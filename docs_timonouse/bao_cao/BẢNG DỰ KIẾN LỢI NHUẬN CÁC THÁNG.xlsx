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ngoc oi\Dekstop\"/>
    </mc:Choice>
  </mc:AlternateContent>
  <xr:revisionPtr revIDLastSave="0" documentId="13_ncr:1_{8341528C-7B75-4FEA-B75B-99144652FB26}" xr6:coauthVersionLast="47" xr6:coauthVersionMax="47" xr10:uidLastSave="{00000000-0000-0000-0000-000000000000}"/>
  <bookViews>
    <workbookView xWindow="-110" yWindow="-110" windowWidth="19420" windowHeight="11500" firstSheet="17" activeTab="20" xr2:uid="{9CE69D92-0D9B-404F-A0E8-960708741031}"/>
  </bookViews>
  <sheets>
    <sheet name="Tháng 4" sheetId="2" r:id="rId1"/>
    <sheet name="Tháng 3" sheetId="1" r:id="rId2"/>
    <sheet name="Tháng 5 " sheetId="3" r:id="rId3"/>
    <sheet name="Tháng 6" sheetId="4" r:id="rId4"/>
    <sheet name="Tháng 7 " sheetId="6" r:id="rId5"/>
    <sheet name="Tháng 8  " sheetId="7" r:id="rId6"/>
    <sheet name="Tháng 8 ." sheetId="8" r:id="rId7"/>
    <sheet name="Tháng 9" sheetId="9" r:id="rId8"/>
    <sheet name="Tháng 10" sheetId="10" r:id="rId9"/>
    <sheet name="Tháng 11" sheetId="11" r:id="rId10"/>
    <sheet name="Tháng 12" sheetId="12" r:id="rId11"/>
    <sheet name="Tháng 1.2026" sheetId="13" r:id="rId12"/>
    <sheet name="Tháng 2.2026 " sheetId="14" r:id="rId13"/>
    <sheet name="Tháng 3.2026 " sheetId="15" r:id="rId14"/>
    <sheet name="Sheet1" sheetId="5" state="hidden" r:id="rId15"/>
    <sheet name="Tháng 4.2026  " sheetId="16" r:id="rId16"/>
    <sheet name="Tháng 5.2026 " sheetId="17" r:id="rId17"/>
    <sheet name="Tháng 6.2026 " sheetId="18" r:id="rId18"/>
    <sheet name="Tháng 7.2026  " sheetId="19" r:id="rId19"/>
    <sheet name="Tháng 8.2026  " sheetId="20" r:id="rId20"/>
    <sheet name="Tháng 9.2026 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1" l="1"/>
  <c r="E4" i="21"/>
  <c r="G23" i="21" l="1"/>
  <c r="G27" i="21" s="1"/>
  <c r="B28" i="21"/>
  <c r="G26" i="21"/>
  <c r="B3" i="21"/>
  <c r="B29" i="21" s="1"/>
  <c r="B30" i="21" s="1"/>
  <c r="E3" i="20"/>
  <c r="E4" i="20"/>
  <c r="E4" i="19" l="1"/>
  <c r="G22" i="20"/>
  <c r="G26" i="20" s="1"/>
  <c r="B28" i="20"/>
  <c r="B29" i="20" s="1"/>
  <c r="B27" i="20"/>
  <c r="G25" i="20"/>
  <c r="B3" i="20"/>
  <c r="E3" i="19"/>
  <c r="E27" i="21" l="1"/>
  <c r="E28" i="21" s="1"/>
  <c r="E26" i="20"/>
  <c r="B27" i="19"/>
  <c r="G25" i="19"/>
  <c r="G22" i="19"/>
  <c r="G26" i="19" s="1"/>
  <c r="B3" i="19"/>
  <c r="B28" i="19" s="1"/>
  <c r="B29" i="19" s="1"/>
  <c r="E3" i="18"/>
  <c r="E26" i="18"/>
  <c r="G22" i="18"/>
  <c r="G26" i="18"/>
  <c r="E4" i="18"/>
  <c r="G25" i="18"/>
  <c r="E29" i="21" l="1"/>
  <c r="E28" i="20"/>
  <c r="E27" i="20"/>
  <c r="E26" i="19"/>
  <c r="E28" i="19" s="1"/>
  <c r="I10" i="18"/>
  <c r="B28" i="18"/>
  <c r="B29" i="18" s="1"/>
  <c r="B27" i="18"/>
  <c r="B3" i="18"/>
  <c r="E3" i="17"/>
  <c r="E4" i="17"/>
  <c r="B27" i="17"/>
  <c r="G25" i="17"/>
  <c r="G13" i="17"/>
  <c r="B3" i="17"/>
  <c r="E3" i="16"/>
  <c r="E4" i="16"/>
  <c r="G21" i="16"/>
  <c r="J4" i="16"/>
  <c r="B26" i="16"/>
  <c r="G24" i="16"/>
  <c r="G13" i="16"/>
  <c r="B3" i="16"/>
  <c r="B27" i="16" s="1"/>
  <c r="B28" i="16" s="1"/>
  <c r="E3" i="15"/>
  <c r="E4" i="15"/>
  <c r="J4" i="15"/>
  <c r="G21" i="15"/>
  <c r="E27" i="19" l="1"/>
  <c r="G22" i="17"/>
  <c r="G26" i="17" s="1"/>
  <c r="B28" i="17"/>
  <c r="B29" i="17" s="1"/>
  <c r="G25" i="16"/>
  <c r="E25" i="16" s="1"/>
  <c r="B26" i="15"/>
  <c r="B27" i="15" s="1"/>
  <c r="B28" i="15" s="1"/>
  <c r="G24" i="15"/>
  <c r="G13" i="15"/>
  <c r="B3" i="15"/>
  <c r="E3" i="14"/>
  <c r="E4" i="14"/>
  <c r="J4" i="14"/>
  <c r="G3" i="14"/>
  <c r="G21" i="14"/>
  <c r="G18" i="14"/>
  <c r="B26" i="14"/>
  <c r="G24" i="14"/>
  <c r="G13" i="14"/>
  <c r="B3" i="14"/>
  <c r="B27" i="14" s="1"/>
  <c r="B28" i="14" s="1"/>
  <c r="J5" i="13"/>
  <c r="E3" i="13"/>
  <c r="E4" i="13"/>
  <c r="G21" i="13" s="1"/>
  <c r="B26" i="13"/>
  <c r="B27" i="13" s="1"/>
  <c r="B28" i="13" s="1"/>
  <c r="K24" i="13"/>
  <c r="G24" i="13"/>
  <c r="G13" i="13"/>
  <c r="B3" i="13"/>
  <c r="E28" i="18" l="1"/>
  <c r="E27" i="18"/>
  <c r="E26" i="17"/>
  <c r="E26" i="16"/>
  <c r="G25" i="15"/>
  <c r="E25" i="15" s="1"/>
  <c r="G25" i="14"/>
  <c r="E25" i="14" s="1"/>
  <c r="G25" i="13"/>
  <c r="E25" i="13" s="1"/>
  <c r="E27" i="13" s="1"/>
  <c r="J5" i="12"/>
  <c r="E3" i="12" s="1"/>
  <c r="E4" i="12"/>
  <c r="E28" i="17" l="1"/>
  <c r="E27" i="17"/>
  <c r="E27" i="16"/>
  <c r="E27" i="15"/>
  <c r="E26" i="15"/>
  <c r="E26" i="14"/>
  <c r="E27" i="14"/>
  <c r="E26" i="13"/>
  <c r="E3" i="11"/>
  <c r="B26" i="12" l="1"/>
  <c r="B27" i="12" s="1"/>
  <c r="B28" i="12" s="1"/>
  <c r="K24" i="12"/>
  <c r="G24" i="12"/>
  <c r="G21" i="12"/>
  <c r="G13" i="12"/>
  <c r="G25" i="12" s="1"/>
  <c r="B3" i="12"/>
  <c r="E25" i="12" l="1"/>
  <c r="E26" i="12" s="1"/>
  <c r="E27" i="12" l="1"/>
  <c r="E4" i="11"/>
  <c r="G21" i="11" s="1"/>
  <c r="B26" i="11" l="1"/>
  <c r="K24" i="11"/>
  <c r="G24" i="11"/>
  <c r="G13" i="11"/>
  <c r="G25" i="11" s="1"/>
  <c r="B3" i="11"/>
  <c r="E3" i="10"/>
  <c r="E4" i="10"/>
  <c r="G13" i="10"/>
  <c r="B27" i="11" l="1"/>
  <c r="B28" i="11" s="1"/>
  <c r="E25" i="11"/>
  <c r="B26" i="10"/>
  <c r="K24" i="10"/>
  <c r="G24" i="10"/>
  <c r="G21" i="10"/>
  <c r="G25" i="10" s="1"/>
  <c r="E25" i="10" s="1"/>
  <c r="B3" i="10"/>
  <c r="E3" i="9"/>
  <c r="E4" i="9"/>
  <c r="G22" i="9" s="1"/>
  <c r="E27" i="11" l="1"/>
  <c r="E26" i="11"/>
  <c r="B27" i="10"/>
  <c r="B28" i="10" s="1"/>
  <c r="E27" i="10"/>
  <c r="B27" i="9"/>
  <c r="K25" i="9"/>
  <c r="G25" i="9"/>
  <c r="G26" i="9" s="1"/>
  <c r="E26" i="9" s="1"/>
  <c r="B3" i="9"/>
  <c r="G22" i="8"/>
  <c r="E4" i="8"/>
  <c r="E3" i="8"/>
  <c r="B28" i="9" l="1"/>
  <c r="B29" i="9" s="1"/>
  <c r="E26" i="10"/>
  <c r="E27" i="9"/>
  <c r="B27" i="8"/>
  <c r="K25" i="8"/>
  <c r="G25" i="8"/>
  <c r="G26" i="8" s="1"/>
  <c r="E26" i="8" s="1"/>
  <c r="E27" i="8" s="1"/>
  <c r="B3" i="8"/>
  <c r="B28" i="8" s="1"/>
  <c r="B29" i="8" s="1"/>
  <c r="E28" i="9" l="1"/>
  <c r="E28" i="8" l="1"/>
  <c r="J5" i="7" l="1"/>
  <c r="E3" i="7" s="1"/>
  <c r="E9" i="7" l="1"/>
  <c r="E11" i="7"/>
  <c r="E8" i="7"/>
  <c r="E10" i="7"/>
  <c r="E14" i="7"/>
  <c r="E4" i="7"/>
  <c r="G22" i="7" s="1"/>
  <c r="E3" i="6"/>
  <c r="G21" i="6"/>
  <c r="E4" i="6"/>
  <c r="B27" i="7" l="1"/>
  <c r="K25" i="7"/>
  <c r="G25" i="7"/>
  <c r="B3" i="7"/>
  <c r="G24" i="6"/>
  <c r="G26" i="7" l="1"/>
  <c r="E26" i="7" s="1"/>
  <c r="E27" i="7" s="1"/>
  <c r="E12" i="7"/>
  <c r="E13" i="7" s="1"/>
  <c r="E15" i="7" s="1"/>
  <c r="B28" i="7"/>
  <c r="B29" i="7" s="1"/>
  <c r="G25" i="6"/>
  <c r="B26" i="6"/>
  <c r="K24" i="6"/>
  <c r="B3" i="6"/>
  <c r="G8" i="5"/>
  <c r="G9" i="5"/>
  <c r="E8" i="5"/>
  <c r="E9" i="5"/>
  <c r="E10" i="5"/>
  <c r="G10" i="5" s="1"/>
  <c r="E7" i="5"/>
  <c r="G7" i="5" s="1"/>
  <c r="G4" i="5"/>
  <c r="G5" i="5"/>
  <c r="E4" i="5"/>
  <c r="E5" i="5"/>
  <c r="E6" i="5"/>
  <c r="G6" i="5" s="1"/>
  <c r="E3" i="5"/>
  <c r="G3" i="5" s="1"/>
  <c r="G11" i="5" s="1"/>
  <c r="E3" i="4"/>
  <c r="E27" i="4"/>
  <c r="G20" i="4"/>
  <c r="E4" i="4"/>
  <c r="K23" i="4"/>
  <c r="B27" i="6" l="1"/>
  <c r="B28" i="6" s="1"/>
  <c r="E28" i="7"/>
  <c r="E25" i="6"/>
  <c r="G3" i="4"/>
  <c r="G24" i="4" s="1"/>
  <c r="E24" i="4" s="1"/>
  <c r="B3" i="4"/>
  <c r="B25" i="4"/>
  <c r="E25" i="4" l="1"/>
  <c r="E26" i="4"/>
  <c r="E27" i="6"/>
  <c r="E26" i="6"/>
  <c r="B26" i="4"/>
  <c r="B27" i="4" s="1"/>
  <c r="B3" i="3"/>
  <c r="B25" i="3"/>
  <c r="B26" i="3" l="1"/>
  <c r="B27" i="3" s="1"/>
  <c r="B18" i="2"/>
  <c r="B5" i="2"/>
  <c r="B25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  <c r="C26" i="1"/>
  <c r="C27" i="1" s="1"/>
  <c r="C25" i="1"/>
  <c r="B27" i="2" l="1"/>
  <c r="B26" i="2"/>
  <c r="B25" i="1"/>
  <c r="B26" i="1" l="1"/>
  <c r="D26" i="1" s="1"/>
  <c r="D25" i="1"/>
  <c r="B27" i="1"/>
  <c r="D27" i="1" s="1"/>
</calcChain>
</file>

<file path=xl/sharedStrings.xml><?xml version="1.0" encoding="utf-8"?>
<sst xmlns="http://schemas.openxmlformats.org/spreadsheetml/2006/main" count="1157" uniqueCount="96">
  <si>
    <t>BẢNG DỰ KIẾN LỢI NHUẬN THÁNG 3/2025</t>
  </si>
  <si>
    <t>Tổng doanh thu</t>
  </si>
  <si>
    <t>Hoàn cọc</t>
  </si>
  <si>
    <t>Tiền thuê nhà</t>
  </si>
  <si>
    <t>Mua sắm thiết bị</t>
  </si>
  <si>
    <t>Điện</t>
  </si>
  <si>
    <t>Nước</t>
  </si>
  <si>
    <t>Mạng</t>
  </si>
  <si>
    <t>Phí thu rác</t>
  </si>
  <si>
    <t>Phí môi trường</t>
  </si>
  <si>
    <t>Phí bảo trì thang máy</t>
  </si>
  <si>
    <t>Lương quản lý</t>
  </si>
  <si>
    <t>Lương quản lý tổng</t>
  </si>
  <si>
    <t>Lương TPVH</t>
  </si>
  <si>
    <t>Lương NVKD</t>
  </si>
  <si>
    <t>Lương vệ sinh</t>
  </si>
  <si>
    <t>Lương kế toán</t>
  </si>
  <si>
    <t xml:space="preserve">Lương sửa chữa </t>
  </si>
  <si>
    <t>Lương bảo vệ</t>
  </si>
  <si>
    <t>Thuê và dv vp</t>
  </si>
  <si>
    <t>Phí marketting</t>
  </si>
  <si>
    <t>Sửa chữa</t>
  </si>
  <si>
    <t>Các chi phí khác</t>
  </si>
  <si>
    <t>Tổng chi phí</t>
  </si>
  <si>
    <t>Tổng lợi nhuận</t>
  </si>
  <si>
    <t>LNR/DT</t>
  </si>
  <si>
    <t>THÁNG 3</t>
  </si>
  <si>
    <t>THÁNG 2</t>
  </si>
  <si>
    <t>THÁNG 3-THÁNG 2</t>
  </si>
  <si>
    <t>BẢNG DỰ KIẾN LỢI NHUẬN THÁNG 4/2025</t>
  </si>
  <si>
    <t>THÁNG 4</t>
  </si>
  <si>
    <t>BẢNG DỰ KIẾN LỢI NHUẬN THÁNG 5/2025</t>
  </si>
  <si>
    <t>THÁNG 5</t>
  </si>
  <si>
    <t>BẢNG DỰ KIẾN LỢI NHUẬN THÁNG 6/2025 NGÀY 6/6</t>
  </si>
  <si>
    <t>T1-T45, S1-S34</t>
  </si>
  <si>
    <t>Cọc mới</t>
  </si>
  <si>
    <t>Mua sắm thiết bị theo khấu hao</t>
  </si>
  <si>
    <t>LNR/GV</t>
  </si>
  <si>
    <t>TỈ LỆ LẤP ĐẦY</t>
  </si>
  <si>
    <t>Tổng số phòng vh</t>
  </si>
  <si>
    <t>Tổng số phòng lấp kín</t>
  </si>
  <si>
    <t>Tổng số phòng trống</t>
  </si>
  <si>
    <t>BẢNG DỰ KIẾN LỢI NHUẬN NGÀY 29/6/2025</t>
  </si>
  <si>
    <t>501S32</t>
  </si>
  <si>
    <t>502S32</t>
  </si>
  <si>
    <t>503S32</t>
  </si>
  <si>
    <t>601S32</t>
  </si>
  <si>
    <t>MÃ PHÒNG</t>
  </si>
  <si>
    <t>CS ĐẦU</t>
  </si>
  <si>
    <t>CS CUỐI</t>
  </si>
  <si>
    <t>SL</t>
  </si>
  <si>
    <t>ĐƠN GIA</t>
  </si>
  <si>
    <t>THÀNH TIÈN</t>
  </si>
  <si>
    <t>ĐIỆN THANH TOÁN CHỦ NHÀ s32</t>
  </si>
  <si>
    <t>THÁNG</t>
  </si>
  <si>
    <t>THÁNG 6</t>
  </si>
  <si>
    <t>TỔNG</t>
  </si>
  <si>
    <t>Công nợ hóa đơn</t>
  </si>
  <si>
    <t>Công nợ phòng mới</t>
  </si>
  <si>
    <t>Tổng doanh thu phòng mới đã thu</t>
  </si>
  <si>
    <t>Tổng doanh thu hóa đơn đã thu</t>
  </si>
  <si>
    <t>Lương nhân sự- đào tạo</t>
  </si>
  <si>
    <t>Lương trưởng nhóm</t>
  </si>
  <si>
    <t>BẢNG DỰ KIẾN LỢI NHUẬN NGÀY 4/8/2025</t>
  </si>
  <si>
    <t>BẢNG DỰ KIẾN LỢI NHUẬN NGÀY 8/9/2025</t>
  </si>
  <si>
    <t>tiền nhà/DT</t>
  </si>
  <si>
    <t>GV/DT</t>
  </si>
  <si>
    <t>DV/DT</t>
  </si>
  <si>
    <t>LƯƠNG/DT</t>
  </si>
  <si>
    <t>CPPS/DT</t>
  </si>
  <si>
    <t>HC/DT</t>
  </si>
  <si>
    <t>TCP/DT</t>
  </si>
  <si>
    <t>LN/DT</t>
  </si>
  <si>
    <t>10-15%</t>
  </si>
  <si>
    <t>BẢNG DỰ KIẾN LỢI NHUẬN NGÀY 22/8/2025</t>
  </si>
  <si>
    <t>Lương NV PDKD</t>
  </si>
  <si>
    <t>Tổng doanh thu dự kiến</t>
  </si>
  <si>
    <t>BẢNG DỰ KIẾN LỢI NHUẬN NGÀY 24/9/2025( Tính đến S44)</t>
  </si>
  <si>
    <t>BẢNG DỰ KIẾN LỢI NHUẬN NGÀY 21/10/2025( Tính đến S48)</t>
  </si>
  <si>
    <t>BẢNG DỰ KIẾN LỢI NHUẬN NGÀY 22/11/2025( Tính đến S48)</t>
  </si>
  <si>
    <t>BẢNG DỰ KIẾN LỢI NHUẬN NGÀY 22/12/2025( Tính đến S50)</t>
  </si>
  <si>
    <t>BẢNG DỰ KIẾN LỢI NHUẬN NGÀY 23/1/2026( Tính đến S50)</t>
  </si>
  <si>
    <t>BẢNG DỰ KIẾN LỢI NHUẬN NGÀY 8/2/2026( Tính đến G1)</t>
  </si>
  <si>
    <t>BẢNG DỰ KIẾN LỢI NHUẬN NGÀY 21/3/2026( Tính đến G2)</t>
  </si>
  <si>
    <t xml:space="preserve">5.308.332.696 </t>
  </si>
  <si>
    <t>BẢNG DỰ KIẾN LỢI NHUẬN NGÀY 10/4/2026( Tính đến G4)</t>
  </si>
  <si>
    <t>Lương phó phòng vận hành</t>
  </si>
  <si>
    <t>Lương nhân viên nguồn</t>
  </si>
  <si>
    <t>BẢNG DỰ KIẾN LỢI NHUẬN NGÀY 31/5/2026( Tính đến G7)</t>
  </si>
  <si>
    <t>BẢNG DỰ KIẾN LỢI NHUẬN NGÀY 19/6/2026( Tính đến G7)</t>
  </si>
  <si>
    <t>Lương TPVH 1</t>
  </si>
  <si>
    <t>Lương TPVH 2</t>
  </si>
  <si>
    <t>BẢNG DỰ KIẾN LỢI NHUẬN NGÀY 30/7/2026( Tính đến G9, chưa tính G8)</t>
  </si>
  <si>
    <t>BẢNG DỰ KIẾN LỢI NHUẬN NGÀY 22/8/2026( Tính đến G11)</t>
  </si>
  <si>
    <t>Lương trưởng nhóm vh thử việc</t>
  </si>
  <si>
    <t>BẢNG DỰ KIẾN LỢI NHUẬN NGÀY 22/9/2026( Tính đến G15)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</si>
</sst>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2" borderId="1" xfId="0" applyFont="1" applyFill="1" applyBorder="1"/>
    <xf numFmtId="3" fontId="3" fillId="2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9" fontId="2" fillId="0" borderId="1" xfId="1" applyFont="1" applyBorder="1"/>
    <xf numFmtId="164" fontId="2" fillId="0" borderId="1" xfId="1" applyNumberFormat="1" applyFont="1" applyBorder="1"/>
    <xf numFmtId="38" fontId="2" fillId="0" borderId="0" xfId="0" applyNumberFormat="1" applyFont="1"/>
    <xf numFmtId="3" fontId="2" fillId="2" borderId="1" xfId="0" applyNumberFormat="1" applyFont="1" applyFill="1" applyBorder="1"/>
    <xf numFmtId="38" fontId="2" fillId="2" borderId="1" xfId="0" applyNumberFormat="1" applyFont="1" applyFill="1" applyBorder="1"/>
    <xf numFmtId="38" fontId="2" fillId="0" borderId="1" xfId="0" applyNumberFormat="1" applyFont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1" applyNumberFormat="1" applyFont="1" applyFill="1" applyBorder="1"/>
    <xf numFmtId="0" fontId="2" fillId="4" borderId="1" xfId="0" applyFont="1" applyFill="1" applyBorder="1"/>
    <xf numFmtId="3" fontId="2" fillId="4" borderId="1" xfId="0" applyNumberFormat="1" applyFont="1" applyFill="1" applyBorder="1"/>
    <xf numFmtId="0" fontId="2" fillId="0" borderId="1" xfId="0" applyFont="1" applyBorder="1" applyAlignment="1">
      <alignment wrapText="1"/>
    </xf>
    <xf numFmtId="9" fontId="2" fillId="3" borderId="1" xfId="1" applyFont="1" applyFill="1" applyBorder="1"/>
    <xf numFmtId="0" fontId="2" fillId="5" borderId="1" xfId="0" applyFont="1" applyFill="1" applyBorder="1"/>
    <xf numFmtId="3" fontId="2" fillId="5" borderId="1" xfId="0" applyNumberFormat="1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0" fontId="2" fillId="7" borderId="1" xfId="0" applyFont="1" applyFill="1" applyBorder="1"/>
    <xf numFmtId="3" fontId="2" fillId="7" borderId="1" xfId="0" applyNumberFormat="1" applyFont="1" applyFill="1" applyBorder="1"/>
    <xf numFmtId="0" fontId="2" fillId="8" borderId="1" xfId="0" applyFont="1" applyFill="1" applyBorder="1"/>
    <xf numFmtId="3" fontId="2" fillId="8" borderId="1" xfId="0" applyNumberFormat="1" applyFont="1" applyFill="1" applyBorder="1"/>
    <xf numFmtId="9" fontId="2" fillId="0" borderId="0" xfId="1" applyFont="1"/>
    <xf numFmtId="9" fontId="2" fillId="0" borderId="0" xfId="0" applyNumberFormat="1" applyFont="1"/>
    <xf numFmtId="164" fontId="2" fillId="0" borderId="0" xfId="1" applyNumberFormat="1" applyFont="1"/>
    <xf numFmtId="10" fontId="2" fillId="0" borderId="0" xfId="1" applyNumberFormat="1" applyFont="1"/>
    <xf numFmtId="10" fontId="2" fillId="0" borderId="0" xfId="0" applyNumberFormat="1" applyFont="1"/>
    <xf numFmtId="165" fontId="2" fillId="0" borderId="0" xfId="0" applyNumberFormat="1" applyFont="1"/>
    <xf numFmtId="10" fontId="2" fillId="3" borderId="1" xfId="1" applyNumberFormat="1" applyFont="1" applyFill="1" applyBorder="1"/>
    <xf numFmtId="9" fontId="2" fillId="9" borderId="0" xfId="1" applyFont="1" applyFill="1"/>
    <xf numFmtId="10" fontId="2" fillId="9" borderId="0" xfId="1" applyNumberFormat="1" applyFont="1" applyFill="1"/>
    <xf numFmtId="164" fontId="2" fillId="0" borderId="0" xfId="1" applyNumberFormat="1" applyFont="1" applyFill="1"/>
    <xf numFmtId="9" fontId="2" fillId="0" borderId="0" xfId="1" applyFont="1" applyFill="1"/>
    <xf numFmtId="10" fontId="2" fillId="0" borderId="0" xfId="1" applyNumberFormat="1" applyFont="1" applyFill="1"/>
    <xf numFmtId="0" fontId="4" fillId="0" borderId="0" xfId="0" applyFont="1"/>
    <xf numFmtId="3" fontId="4" fillId="0" borderId="0" xfId="0" applyNumberFormat="1" applyFon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18C9-2C4B-41F3-A825-883E02F9808E}">
  <dimension ref="A1:B27"/>
  <sheetViews>
    <sheetView workbookViewId="0">
      <selection activeCell="G10" sqref="G10"/>
    </sheetView>
  </sheetViews>
  <sheetFormatPr defaultColWidth="8.7265625" defaultRowHeight="14" x14ac:dyDescent="0.3"/>
  <cols>
    <col min="1" max="1" width="26.7265625" style="1" customWidth="1"/>
    <col min="2" max="2" width="18.453125" style="2" customWidth="1"/>
    <col min="3" max="16384" width="8.7265625" style="1"/>
  </cols>
  <sheetData>
    <row r="1" spans="1:2" x14ac:dyDescent="0.3">
      <c r="A1" s="42" t="s">
        <v>29</v>
      </c>
      <c r="B1" s="43"/>
    </row>
    <row r="2" spans="1:2" x14ac:dyDescent="0.3">
      <c r="A2" s="3"/>
      <c r="B2" s="4" t="s">
        <v>30</v>
      </c>
    </row>
    <row r="3" spans="1:2" x14ac:dyDescent="0.3">
      <c r="A3" s="5" t="s">
        <v>1</v>
      </c>
      <c r="B3" s="6">
        <v>4170000000</v>
      </c>
    </row>
    <row r="4" spans="1:2" x14ac:dyDescent="0.3">
      <c r="A4" s="5" t="s">
        <v>2</v>
      </c>
      <c r="B4" s="6">
        <v>40000000</v>
      </c>
    </row>
    <row r="5" spans="1:2" x14ac:dyDescent="0.3">
      <c r="A5" s="5" t="s">
        <v>3</v>
      </c>
      <c r="B5" s="6">
        <f>2727266665+31000000-15000000</f>
        <v>2743266665</v>
      </c>
    </row>
    <row r="6" spans="1:2" x14ac:dyDescent="0.3">
      <c r="A6" s="5" t="s">
        <v>4</v>
      </c>
      <c r="B6" s="6">
        <v>20000000</v>
      </c>
    </row>
    <row r="7" spans="1:2" x14ac:dyDescent="0.3">
      <c r="A7" s="5" t="s">
        <v>5</v>
      </c>
      <c r="B7" s="6">
        <v>340000000</v>
      </c>
    </row>
    <row r="8" spans="1:2" x14ac:dyDescent="0.3">
      <c r="A8" s="5" t="s">
        <v>6</v>
      </c>
      <c r="B8" s="6">
        <v>121000000</v>
      </c>
    </row>
    <row r="9" spans="1:2" x14ac:dyDescent="0.3">
      <c r="A9" s="5" t="s">
        <v>7</v>
      </c>
      <c r="B9" s="6">
        <v>22000000</v>
      </c>
    </row>
    <row r="10" spans="1:2" x14ac:dyDescent="0.3">
      <c r="A10" s="5" t="s">
        <v>8</v>
      </c>
      <c r="B10" s="6">
        <v>11050000</v>
      </c>
    </row>
    <row r="11" spans="1:2" x14ac:dyDescent="0.3">
      <c r="A11" s="5" t="s">
        <v>9</v>
      </c>
      <c r="B11" s="6">
        <v>2000000</v>
      </c>
    </row>
    <row r="12" spans="1:2" x14ac:dyDescent="0.3">
      <c r="A12" s="5" t="s">
        <v>10</v>
      </c>
      <c r="B12" s="6">
        <v>1000000</v>
      </c>
    </row>
    <row r="13" spans="1:2" x14ac:dyDescent="0.3">
      <c r="A13" s="5" t="s">
        <v>11</v>
      </c>
      <c r="B13" s="6">
        <v>105000000</v>
      </c>
    </row>
    <row r="14" spans="1:2" x14ac:dyDescent="0.3">
      <c r="A14" s="5" t="s">
        <v>12</v>
      </c>
      <c r="B14" s="6">
        <v>10000000</v>
      </c>
    </row>
    <row r="15" spans="1:2" x14ac:dyDescent="0.3">
      <c r="A15" s="5" t="s">
        <v>13</v>
      </c>
      <c r="B15" s="6">
        <v>7000000</v>
      </c>
    </row>
    <row r="16" spans="1:2" x14ac:dyDescent="0.3">
      <c r="A16" s="5" t="s">
        <v>14</v>
      </c>
      <c r="B16" s="6">
        <v>21000000</v>
      </c>
    </row>
    <row r="17" spans="1:2" x14ac:dyDescent="0.3">
      <c r="A17" s="5" t="s">
        <v>15</v>
      </c>
      <c r="B17" s="6">
        <v>24000000</v>
      </c>
    </row>
    <row r="18" spans="1:2" x14ac:dyDescent="0.3">
      <c r="A18" s="5" t="s">
        <v>16</v>
      </c>
      <c r="B18" s="6">
        <f>10140000+100000</f>
        <v>10240000</v>
      </c>
    </row>
    <row r="19" spans="1:2" x14ac:dyDescent="0.3">
      <c r="A19" s="5" t="s">
        <v>17</v>
      </c>
      <c r="B19" s="6">
        <v>12500000</v>
      </c>
    </row>
    <row r="20" spans="1:2" x14ac:dyDescent="0.3">
      <c r="A20" s="5" t="s">
        <v>18</v>
      </c>
      <c r="B20" s="6">
        <v>6000000</v>
      </c>
    </row>
    <row r="21" spans="1:2" x14ac:dyDescent="0.3">
      <c r="A21" s="5" t="s">
        <v>19</v>
      </c>
      <c r="B21" s="6">
        <v>31000000</v>
      </c>
    </row>
    <row r="22" spans="1:2" x14ac:dyDescent="0.3">
      <c r="A22" s="5" t="s">
        <v>20</v>
      </c>
      <c r="B22" s="6">
        <v>80000000</v>
      </c>
    </row>
    <row r="23" spans="1:2" x14ac:dyDescent="0.3">
      <c r="A23" s="5" t="s">
        <v>21</v>
      </c>
      <c r="B23" s="6">
        <v>15000000</v>
      </c>
    </row>
    <row r="24" spans="1:2" x14ac:dyDescent="0.3">
      <c r="A24" s="5" t="s">
        <v>22</v>
      </c>
      <c r="B24" s="6">
        <v>42000000</v>
      </c>
    </row>
    <row r="25" spans="1:2" x14ac:dyDescent="0.3">
      <c r="A25" s="5" t="s">
        <v>23</v>
      </c>
      <c r="B25" s="6">
        <f>SUM(B4:B24)</f>
        <v>3664056665</v>
      </c>
    </row>
    <row r="26" spans="1:2" x14ac:dyDescent="0.3">
      <c r="A26" s="5" t="s">
        <v>24</v>
      </c>
      <c r="B26" s="6">
        <f>B3-B25</f>
        <v>505943335</v>
      </c>
    </row>
    <row r="27" spans="1:2" x14ac:dyDescent="0.3">
      <c r="A27" s="5" t="s">
        <v>25</v>
      </c>
      <c r="B27" s="8">
        <f>(B3-B25+B6)/B3</f>
        <v>0.1261255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1A39-943E-4ABF-8199-3DF82B6BA7BC}">
  <dimension ref="A1:D27"/>
  <sheetViews>
    <sheetView topLeftCell="A4" workbookViewId="0">
      <selection activeCell="D30" sqref="D30"/>
    </sheetView>
  </sheetViews>
  <sheetFormatPr defaultColWidth="8.7265625" defaultRowHeight="14" x14ac:dyDescent="0.3"/>
  <cols>
    <col min="1" max="1" width="26.7265625" style="1" customWidth="1"/>
    <col min="2" max="2" width="18.453125" style="2" customWidth="1"/>
    <col min="3" max="3" width="16.453125" style="2" customWidth="1"/>
    <col min="4" max="4" width="20.36328125" style="9" customWidth="1"/>
    <col min="5" max="16384" width="8.7265625" style="1"/>
  </cols>
  <sheetData>
    <row r="1" spans="1:4" x14ac:dyDescent="0.3">
      <c r="A1" s="42" t="s">
        <v>0</v>
      </c>
      <c r="B1" s="43"/>
      <c r="C1" s="43"/>
      <c r="D1" s="43"/>
    </row>
    <row r="2" spans="1:4" x14ac:dyDescent="0.3">
      <c r="A2" s="3"/>
      <c r="B2" s="4" t="s">
        <v>26</v>
      </c>
      <c r="C2" s="10" t="s">
        <v>27</v>
      </c>
      <c r="D2" s="11" t="s">
        <v>28</v>
      </c>
    </row>
    <row r="3" spans="1:4" x14ac:dyDescent="0.3">
      <c r="A3" s="5" t="s">
        <v>1</v>
      </c>
      <c r="B3" s="6">
        <v>4170000000</v>
      </c>
      <c r="C3" s="6">
        <v>4147009207</v>
      </c>
      <c r="D3" s="12">
        <f>B3-C3</f>
        <v>22990793</v>
      </c>
    </row>
    <row r="4" spans="1:4" x14ac:dyDescent="0.3">
      <c r="A4" s="5" t="s">
        <v>2</v>
      </c>
      <c r="B4" s="6">
        <v>80000000</v>
      </c>
      <c r="C4" s="6">
        <v>11342571</v>
      </c>
      <c r="D4" s="12">
        <f t="shared" ref="D4:D25" si="0">B4-C4</f>
        <v>68657429</v>
      </c>
    </row>
    <row r="5" spans="1:4" x14ac:dyDescent="0.3">
      <c r="A5" s="5" t="s">
        <v>3</v>
      </c>
      <c r="B5" s="6">
        <v>2727266665</v>
      </c>
      <c r="C5" s="6">
        <v>2727266665</v>
      </c>
      <c r="D5" s="12">
        <f t="shared" si="0"/>
        <v>0</v>
      </c>
    </row>
    <row r="6" spans="1:4" x14ac:dyDescent="0.3">
      <c r="A6" s="5" t="s">
        <v>4</v>
      </c>
      <c r="B6" s="6">
        <v>85000000</v>
      </c>
      <c r="C6" s="6">
        <v>12436000</v>
      </c>
      <c r="D6" s="12">
        <f t="shared" si="0"/>
        <v>72564000</v>
      </c>
    </row>
    <row r="7" spans="1:4" x14ac:dyDescent="0.3">
      <c r="A7" s="5" t="s">
        <v>5</v>
      </c>
      <c r="B7" s="6">
        <v>340000000</v>
      </c>
      <c r="C7" s="6">
        <v>302508229</v>
      </c>
      <c r="D7" s="12">
        <f t="shared" si="0"/>
        <v>37491771</v>
      </c>
    </row>
    <row r="8" spans="1:4" x14ac:dyDescent="0.3">
      <c r="A8" s="5" t="s">
        <v>6</v>
      </c>
      <c r="B8" s="6">
        <v>121000000</v>
      </c>
      <c r="C8" s="6">
        <v>121299755.00000001</v>
      </c>
      <c r="D8" s="12">
        <f t="shared" si="0"/>
        <v>-299755.0000000149</v>
      </c>
    </row>
    <row r="9" spans="1:4" x14ac:dyDescent="0.3">
      <c r="A9" s="5" t="s">
        <v>7</v>
      </c>
      <c r="B9" s="6">
        <v>22000000</v>
      </c>
      <c r="C9" s="6">
        <v>21298253</v>
      </c>
      <c r="D9" s="12">
        <f t="shared" si="0"/>
        <v>701747</v>
      </c>
    </row>
    <row r="10" spans="1:4" x14ac:dyDescent="0.3">
      <c r="A10" s="5" t="s">
        <v>8</v>
      </c>
      <c r="B10" s="6">
        <v>11050000</v>
      </c>
      <c r="C10" s="6">
        <v>11050000</v>
      </c>
      <c r="D10" s="12">
        <f t="shared" si="0"/>
        <v>0</v>
      </c>
    </row>
    <row r="11" spans="1:4" x14ac:dyDescent="0.3">
      <c r="A11" s="5" t="s">
        <v>9</v>
      </c>
      <c r="B11" s="6">
        <v>700000</v>
      </c>
      <c r="C11" s="6">
        <v>0</v>
      </c>
      <c r="D11" s="12">
        <f t="shared" si="0"/>
        <v>700000</v>
      </c>
    </row>
    <row r="12" spans="1:4" x14ac:dyDescent="0.3">
      <c r="A12" s="5" t="s">
        <v>10</v>
      </c>
      <c r="B12" s="6">
        <v>1000000</v>
      </c>
      <c r="C12" s="6">
        <v>1600000</v>
      </c>
      <c r="D12" s="12">
        <f t="shared" si="0"/>
        <v>-600000</v>
      </c>
    </row>
    <row r="13" spans="1:4" x14ac:dyDescent="0.3">
      <c r="A13" s="5" t="s">
        <v>11</v>
      </c>
      <c r="B13" s="6">
        <v>105000000</v>
      </c>
      <c r="C13" s="6">
        <v>106458109.64759848</v>
      </c>
      <c r="D13" s="12">
        <f t="shared" si="0"/>
        <v>-1458109.6475984752</v>
      </c>
    </row>
    <row r="14" spans="1:4" x14ac:dyDescent="0.3">
      <c r="A14" s="5" t="s">
        <v>12</v>
      </c>
      <c r="B14" s="6">
        <v>10000000</v>
      </c>
      <c r="C14" s="6">
        <v>9999999.9999999963</v>
      </c>
      <c r="D14" s="12">
        <f t="shared" si="0"/>
        <v>0</v>
      </c>
    </row>
    <row r="15" spans="1:4" x14ac:dyDescent="0.3">
      <c r="A15" s="5" t="s">
        <v>13</v>
      </c>
      <c r="B15" s="6">
        <v>7000000</v>
      </c>
      <c r="C15" s="6">
        <v>7000000.0000000019</v>
      </c>
      <c r="D15" s="12">
        <f t="shared" si="0"/>
        <v>0</v>
      </c>
    </row>
    <row r="16" spans="1:4" x14ac:dyDescent="0.3">
      <c r="A16" s="5" t="s">
        <v>14</v>
      </c>
      <c r="B16" s="6">
        <v>21000000</v>
      </c>
      <c r="C16" s="6">
        <v>14193651.620762717</v>
      </c>
      <c r="D16" s="12">
        <f t="shared" si="0"/>
        <v>6806348.379237283</v>
      </c>
    </row>
    <row r="17" spans="1:4" x14ac:dyDescent="0.3">
      <c r="A17" s="5" t="s">
        <v>15</v>
      </c>
      <c r="B17" s="6">
        <v>24000000</v>
      </c>
      <c r="C17" s="6">
        <v>18100000</v>
      </c>
      <c r="D17" s="12">
        <f t="shared" si="0"/>
        <v>5900000</v>
      </c>
    </row>
    <row r="18" spans="1:4" x14ac:dyDescent="0.3">
      <c r="A18" s="5" t="s">
        <v>16</v>
      </c>
      <c r="B18" s="6">
        <v>10140000</v>
      </c>
      <c r="C18" s="6">
        <v>10140000</v>
      </c>
      <c r="D18" s="12">
        <f t="shared" si="0"/>
        <v>0</v>
      </c>
    </row>
    <row r="19" spans="1:4" x14ac:dyDescent="0.3">
      <c r="A19" s="5" t="s">
        <v>17</v>
      </c>
      <c r="B19" s="6">
        <v>12500000</v>
      </c>
      <c r="C19" s="6">
        <v>12500000</v>
      </c>
      <c r="D19" s="12">
        <f t="shared" si="0"/>
        <v>0</v>
      </c>
    </row>
    <row r="20" spans="1:4" x14ac:dyDescent="0.3">
      <c r="A20" s="5" t="s">
        <v>18</v>
      </c>
      <c r="B20" s="6">
        <v>6000000</v>
      </c>
      <c r="C20" s="6">
        <v>6000000</v>
      </c>
      <c r="D20" s="12">
        <f t="shared" si="0"/>
        <v>0</v>
      </c>
    </row>
    <row r="21" spans="1:4" x14ac:dyDescent="0.3">
      <c r="A21" s="5" t="s">
        <v>19</v>
      </c>
      <c r="B21" s="6">
        <v>31000000</v>
      </c>
      <c r="C21" s="6">
        <v>32119931</v>
      </c>
      <c r="D21" s="12">
        <f t="shared" si="0"/>
        <v>-1119931</v>
      </c>
    </row>
    <row r="22" spans="1:4" x14ac:dyDescent="0.3">
      <c r="A22" s="5" t="s">
        <v>20</v>
      </c>
      <c r="B22" s="6">
        <v>100000000</v>
      </c>
      <c r="C22" s="6">
        <v>46584905.711864397</v>
      </c>
      <c r="D22" s="12">
        <f t="shared" si="0"/>
        <v>53415094.288135603</v>
      </c>
    </row>
    <row r="23" spans="1:4" x14ac:dyDescent="0.3">
      <c r="A23" s="5" t="s">
        <v>21</v>
      </c>
      <c r="B23" s="6">
        <v>15000000</v>
      </c>
      <c r="C23" s="6">
        <v>10587000</v>
      </c>
      <c r="D23" s="12">
        <f t="shared" si="0"/>
        <v>4413000</v>
      </c>
    </row>
    <row r="24" spans="1:4" x14ac:dyDescent="0.3">
      <c r="A24" s="5" t="s">
        <v>22</v>
      </c>
      <c r="B24" s="6">
        <v>42000000</v>
      </c>
      <c r="C24" s="6">
        <v>32199000.333333332</v>
      </c>
      <c r="D24" s="12">
        <f t="shared" si="0"/>
        <v>9800999.6666666679</v>
      </c>
    </row>
    <row r="25" spans="1:4" x14ac:dyDescent="0.3">
      <c r="A25" s="5" t="s">
        <v>23</v>
      </c>
      <c r="B25" s="6">
        <f>SUM(B4:B24)</f>
        <v>3771656665</v>
      </c>
      <c r="C25" s="6">
        <f>SUM(C4:C24)</f>
        <v>3514684071.3135591</v>
      </c>
      <c r="D25" s="12">
        <f t="shared" si="0"/>
        <v>256972593.68644094</v>
      </c>
    </row>
    <row r="26" spans="1:4" x14ac:dyDescent="0.3">
      <c r="A26" s="5" t="s">
        <v>24</v>
      </c>
      <c r="B26" s="6">
        <f>B3-B25+B6</f>
        <v>483343335</v>
      </c>
      <c r="C26" s="6">
        <f>C3-C25+C6</f>
        <v>644761135.68644094</v>
      </c>
      <c r="D26" s="12">
        <f>B26-C26</f>
        <v>-161417800.68644094</v>
      </c>
    </row>
    <row r="27" spans="1:4" x14ac:dyDescent="0.3">
      <c r="A27" s="5" t="s">
        <v>25</v>
      </c>
      <c r="B27" s="8">
        <f>(B3-B25+B6)/B3</f>
        <v>0.11590967266187051</v>
      </c>
      <c r="C27" s="8">
        <f>C26/C3</f>
        <v>0.15547617656553733</v>
      </c>
      <c r="D27" s="7">
        <f>B27-C27</f>
        <v>-3.9566503903666825E-2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4C0E-EB3A-44E8-A819-9115ED542C21}">
  <dimension ref="A1:E27"/>
  <sheetViews>
    <sheetView workbookViewId="0">
      <selection activeCell="B28" sqref="B28"/>
    </sheetView>
  </sheetViews>
  <sheetFormatPr defaultColWidth="8.7265625" defaultRowHeight="14" x14ac:dyDescent="0.3"/>
  <cols>
    <col min="1" max="1" width="26.7265625" style="1" customWidth="1"/>
    <col min="2" max="2" width="18.453125" style="2" customWidth="1"/>
    <col min="3" max="4" width="8.7265625" style="1"/>
    <col min="5" max="5" width="12.1796875" style="1" bestFit="1" customWidth="1"/>
    <col min="6" max="16384" width="8.7265625" style="1"/>
  </cols>
  <sheetData>
    <row r="1" spans="1:5" x14ac:dyDescent="0.3">
      <c r="A1" s="42" t="s">
        <v>31</v>
      </c>
      <c r="B1" s="43"/>
    </row>
    <row r="2" spans="1:5" x14ac:dyDescent="0.3">
      <c r="A2" s="3"/>
      <c r="B2" s="4" t="s">
        <v>32</v>
      </c>
    </row>
    <row r="3" spans="1:5" x14ac:dyDescent="0.3">
      <c r="A3" s="5" t="s">
        <v>1</v>
      </c>
      <c r="B3" s="6">
        <f>4390000000-140000000+100000000+80000000</f>
        <v>4430000000</v>
      </c>
    </row>
    <row r="4" spans="1:5" x14ac:dyDescent="0.3">
      <c r="A4" s="5" t="s">
        <v>2</v>
      </c>
      <c r="B4" s="6">
        <v>60000000</v>
      </c>
    </row>
    <row r="5" spans="1:5" x14ac:dyDescent="0.3">
      <c r="A5" s="5" t="s">
        <v>3</v>
      </c>
      <c r="B5" s="6">
        <v>2877633333</v>
      </c>
    </row>
    <row r="6" spans="1:5" x14ac:dyDescent="0.3">
      <c r="A6" s="5" t="s">
        <v>4</v>
      </c>
      <c r="B6" s="6">
        <v>20000000</v>
      </c>
    </row>
    <row r="7" spans="1:5" x14ac:dyDescent="0.3">
      <c r="A7" s="5" t="s">
        <v>5</v>
      </c>
      <c r="B7" s="6">
        <v>410000000</v>
      </c>
    </row>
    <row r="8" spans="1:5" x14ac:dyDescent="0.3">
      <c r="A8" s="5" t="s">
        <v>6</v>
      </c>
      <c r="B8" s="6">
        <v>121000000</v>
      </c>
    </row>
    <row r="9" spans="1:5" x14ac:dyDescent="0.3">
      <c r="A9" s="5" t="s">
        <v>7</v>
      </c>
      <c r="B9" s="6">
        <v>22000000</v>
      </c>
      <c r="E9" s="2"/>
    </row>
    <row r="10" spans="1:5" x14ac:dyDescent="0.3">
      <c r="A10" s="5" t="s">
        <v>8</v>
      </c>
      <c r="B10" s="6">
        <v>11050000</v>
      </c>
      <c r="E10" s="2"/>
    </row>
    <row r="11" spans="1:5" x14ac:dyDescent="0.3">
      <c r="A11" s="5" t="s">
        <v>9</v>
      </c>
      <c r="B11" s="6">
        <v>2500000</v>
      </c>
    </row>
    <row r="12" spans="1:5" x14ac:dyDescent="0.3">
      <c r="A12" s="5" t="s">
        <v>10</v>
      </c>
      <c r="B12" s="6">
        <v>2000000</v>
      </c>
    </row>
    <row r="13" spans="1:5" x14ac:dyDescent="0.3">
      <c r="A13" s="5" t="s">
        <v>11</v>
      </c>
      <c r="B13" s="6">
        <v>115000000</v>
      </c>
    </row>
    <row r="14" spans="1:5" x14ac:dyDescent="0.3">
      <c r="A14" s="5" t="s">
        <v>12</v>
      </c>
      <c r="B14" s="6">
        <v>10000000</v>
      </c>
    </row>
    <row r="15" spans="1:5" x14ac:dyDescent="0.3">
      <c r="A15" s="5" t="s">
        <v>13</v>
      </c>
      <c r="B15" s="6">
        <v>7000000</v>
      </c>
    </row>
    <row r="16" spans="1:5" x14ac:dyDescent="0.3">
      <c r="A16" s="5" t="s">
        <v>14</v>
      </c>
      <c r="B16" s="6">
        <v>15000000</v>
      </c>
    </row>
    <row r="17" spans="1:2" x14ac:dyDescent="0.3">
      <c r="A17" s="5" t="s">
        <v>15</v>
      </c>
      <c r="B17" s="6">
        <v>25500000</v>
      </c>
    </row>
    <row r="18" spans="1:2" x14ac:dyDescent="0.3">
      <c r="A18" s="5" t="s">
        <v>16</v>
      </c>
      <c r="B18" s="6">
        <v>11300000</v>
      </c>
    </row>
    <row r="19" spans="1:2" x14ac:dyDescent="0.3">
      <c r="A19" s="5" t="s">
        <v>17</v>
      </c>
      <c r="B19" s="6">
        <v>12500000</v>
      </c>
    </row>
    <row r="20" spans="1:2" x14ac:dyDescent="0.3">
      <c r="A20" s="5" t="s">
        <v>18</v>
      </c>
      <c r="B20" s="6">
        <v>6000000</v>
      </c>
    </row>
    <row r="21" spans="1:2" x14ac:dyDescent="0.3">
      <c r="A21" s="5" t="s">
        <v>19</v>
      </c>
      <c r="B21" s="6">
        <v>31000000</v>
      </c>
    </row>
    <row r="22" spans="1:2" x14ac:dyDescent="0.3">
      <c r="A22" s="5" t="s">
        <v>20</v>
      </c>
      <c r="B22" s="6">
        <v>100000000</v>
      </c>
    </row>
    <row r="23" spans="1:2" x14ac:dyDescent="0.3">
      <c r="A23" s="5" t="s">
        <v>21</v>
      </c>
      <c r="B23" s="6">
        <v>31000000</v>
      </c>
    </row>
    <row r="24" spans="1:2" x14ac:dyDescent="0.3">
      <c r="A24" s="5" t="s">
        <v>22</v>
      </c>
      <c r="B24" s="6">
        <v>45000000</v>
      </c>
    </row>
    <row r="25" spans="1:2" x14ac:dyDescent="0.3">
      <c r="A25" s="5" t="s">
        <v>23</v>
      </c>
      <c r="B25" s="6">
        <f>SUM(B4:B24)</f>
        <v>3935483333</v>
      </c>
    </row>
    <row r="26" spans="1:2" x14ac:dyDescent="0.3">
      <c r="A26" s="5" t="s">
        <v>24</v>
      </c>
      <c r="B26" s="6">
        <f>B3-B25</f>
        <v>494516667</v>
      </c>
    </row>
    <row r="27" spans="1:2" x14ac:dyDescent="0.3">
      <c r="A27" s="5" t="s">
        <v>25</v>
      </c>
      <c r="B27" s="8">
        <f>B26/B3</f>
        <v>0.11162904446952596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745B-6BB1-468E-A182-6ABECED57AD8}">
  <dimension ref="A1:K30"/>
  <sheetViews>
    <sheetView topLeftCell="C10" zoomScale="98" zoomScaleNormal="98" workbookViewId="0">
      <selection activeCell="J24" sqref="J24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15.36328125" style="1" customWidth="1"/>
    <col min="10" max="10" width="16.36328125" style="1" customWidth="1"/>
    <col min="11" max="11" width="12.90625" style="1" customWidth="1"/>
    <col min="12" max="16384" width="8.7265625" style="1"/>
  </cols>
  <sheetData>
    <row r="1" spans="1:10" x14ac:dyDescent="0.3">
      <c r="A1" s="42" t="s">
        <v>33</v>
      </c>
      <c r="B1" s="43"/>
      <c r="D1" s="42" t="s">
        <v>42</v>
      </c>
      <c r="E1" s="43"/>
      <c r="F1" s="43"/>
      <c r="G1" s="43"/>
    </row>
    <row r="2" spans="1:10" x14ac:dyDescent="0.3">
      <c r="A2" s="48" t="s">
        <v>34</v>
      </c>
      <c r="B2" s="49"/>
      <c r="D2" s="50"/>
      <c r="E2" s="51"/>
      <c r="F2" s="51"/>
      <c r="G2" s="51"/>
    </row>
    <row r="3" spans="1:10" x14ac:dyDescent="0.3">
      <c r="A3" s="5" t="s">
        <v>1</v>
      </c>
      <c r="B3" s="6">
        <f>4433543596+65000000-50000000</f>
        <v>4448543596</v>
      </c>
      <c r="D3" s="16" t="s">
        <v>1</v>
      </c>
      <c r="E3" s="17">
        <f>4412411752+214422000-E4</f>
        <v>4324414752</v>
      </c>
      <c r="F3" s="5" t="s">
        <v>3</v>
      </c>
      <c r="G3" s="6">
        <f>2829633333</f>
        <v>2829633333</v>
      </c>
      <c r="I3" s="5"/>
      <c r="J3" s="6"/>
    </row>
    <row r="4" spans="1:10" x14ac:dyDescent="0.3">
      <c r="A4" s="5" t="s">
        <v>2</v>
      </c>
      <c r="B4" s="6">
        <v>16000000</v>
      </c>
      <c r="D4" s="5" t="s">
        <v>35</v>
      </c>
      <c r="E4" s="6">
        <f>70200000+103119000+129100000</f>
        <v>302419000</v>
      </c>
      <c r="F4" s="5" t="s">
        <v>2</v>
      </c>
      <c r="G4" s="6"/>
      <c r="I4" s="5" t="s">
        <v>4</v>
      </c>
      <c r="J4" s="6">
        <v>75000000</v>
      </c>
    </row>
    <row r="5" spans="1:10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541000000</v>
      </c>
      <c r="I5" s="5"/>
      <c r="J5" s="6"/>
    </row>
    <row r="6" spans="1:10" x14ac:dyDescent="0.3">
      <c r="A6" s="5" t="s">
        <v>4</v>
      </c>
      <c r="B6" s="6">
        <v>120000000</v>
      </c>
      <c r="F6" s="5" t="s">
        <v>6</v>
      </c>
      <c r="G6" s="6">
        <v>140000000</v>
      </c>
    </row>
    <row r="7" spans="1:10" x14ac:dyDescent="0.3">
      <c r="A7" s="5" t="s">
        <v>5</v>
      </c>
      <c r="B7" s="6">
        <v>500000000</v>
      </c>
      <c r="F7" s="5" t="s">
        <v>7</v>
      </c>
      <c r="G7" s="6">
        <v>22000000</v>
      </c>
    </row>
    <row r="8" spans="1:10" x14ac:dyDescent="0.3">
      <c r="A8" s="5" t="s">
        <v>6</v>
      </c>
      <c r="B8" s="6">
        <v>200000000</v>
      </c>
      <c r="F8" s="5" t="s">
        <v>8</v>
      </c>
      <c r="G8" s="6">
        <v>12000000</v>
      </c>
    </row>
    <row r="9" spans="1:10" x14ac:dyDescent="0.3">
      <c r="A9" s="5" t="s">
        <v>7</v>
      </c>
      <c r="B9" s="6">
        <v>22000000</v>
      </c>
      <c r="F9" s="5" t="s">
        <v>9</v>
      </c>
      <c r="G9" s="6">
        <v>6000000</v>
      </c>
    </row>
    <row r="10" spans="1:10" x14ac:dyDescent="0.3">
      <c r="A10" s="5" t="s">
        <v>8</v>
      </c>
      <c r="B10" s="6">
        <v>12000000</v>
      </c>
      <c r="F10" s="5" t="s">
        <v>10</v>
      </c>
      <c r="G10" s="6">
        <v>2000000</v>
      </c>
    </row>
    <row r="11" spans="1:10" x14ac:dyDescent="0.3">
      <c r="A11" s="5" t="s">
        <v>9</v>
      </c>
      <c r="B11" s="6">
        <v>6000000</v>
      </c>
      <c r="F11" s="5" t="s">
        <v>11</v>
      </c>
      <c r="G11" s="6">
        <v>125000000</v>
      </c>
    </row>
    <row r="12" spans="1:10" x14ac:dyDescent="0.3">
      <c r="A12" s="5" t="s">
        <v>10</v>
      </c>
      <c r="B12" s="6">
        <v>2000000</v>
      </c>
      <c r="F12" s="5" t="s">
        <v>12</v>
      </c>
      <c r="G12" s="6">
        <v>10000000</v>
      </c>
    </row>
    <row r="13" spans="1:10" x14ac:dyDescent="0.3">
      <c r="A13" s="5" t="s">
        <v>11</v>
      </c>
      <c r="B13" s="6">
        <v>125000000</v>
      </c>
      <c r="F13" s="5" t="s">
        <v>13</v>
      </c>
      <c r="G13" s="6">
        <v>7000000</v>
      </c>
    </row>
    <row r="14" spans="1:10" x14ac:dyDescent="0.3">
      <c r="A14" s="5" t="s">
        <v>12</v>
      </c>
      <c r="B14" s="6">
        <v>10000000</v>
      </c>
      <c r="F14" s="5" t="s">
        <v>14</v>
      </c>
      <c r="G14" s="6">
        <v>15000000</v>
      </c>
    </row>
    <row r="15" spans="1:10" x14ac:dyDescent="0.3">
      <c r="A15" s="5" t="s">
        <v>13</v>
      </c>
      <c r="B15" s="6">
        <v>7000000</v>
      </c>
      <c r="F15" s="5" t="s">
        <v>15</v>
      </c>
      <c r="G15" s="6">
        <v>28000000</v>
      </c>
    </row>
    <row r="16" spans="1:10" x14ac:dyDescent="0.3">
      <c r="A16" s="5" t="s">
        <v>14</v>
      </c>
      <c r="B16" s="6">
        <v>15000000</v>
      </c>
      <c r="F16" s="5" t="s">
        <v>16</v>
      </c>
      <c r="G16" s="6">
        <v>10800000</v>
      </c>
    </row>
    <row r="17" spans="1:11" x14ac:dyDescent="0.3">
      <c r="A17" s="5" t="s">
        <v>15</v>
      </c>
      <c r="B17" s="6">
        <v>28000000</v>
      </c>
      <c r="F17" s="5" t="s">
        <v>17</v>
      </c>
      <c r="G17" s="6">
        <v>12500000</v>
      </c>
    </row>
    <row r="18" spans="1:11" x14ac:dyDescent="0.3">
      <c r="A18" s="5" t="s">
        <v>16</v>
      </c>
      <c r="B18" s="6">
        <v>10800000</v>
      </c>
      <c r="F18" s="5" t="s">
        <v>18</v>
      </c>
      <c r="G18" s="6">
        <v>6000000</v>
      </c>
    </row>
    <row r="19" spans="1:11" x14ac:dyDescent="0.3">
      <c r="A19" s="5" t="s">
        <v>17</v>
      </c>
      <c r="B19" s="6">
        <v>12500000</v>
      </c>
      <c r="F19" s="5" t="s">
        <v>19</v>
      </c>
      <c r="G19" s="6">
        <v>35000000</v>
      </c>
    </row>
    <row r="20" spans="1:11" x14ac:dyDescent="0.3">
      <c r="A20" s="5" t="s">
        <v>18</v>
      </c>
      <c r="B20" s="6">
        <v>6000000</v>
      </c>
      <c r="F20" s="5" t="s">
        <v>20</v>
      </c>
      <c r="G20" s="6">
        <f>100000000+35000000+15000000</f>
        <v>150000000</v>
      </c>
    </row>
    <row r="21" spans="1:11" x14ac:dyDescent="0.3">
      <c r="A21" s="5" t="s">
        <v>19</v>
      </c>
      <c r="B21" s="6">
        <v>35000000</v>
      </c>
      <c r="F21" s="5" t="s">
        <v>21</v>
      </c>
      <c r="G21" s="6">
        <v>45000000</v>
      </c>
    </row>
    <row r="22" spans="1:11" x14ac:dyDescent="0.3">
      <c r="A22" s="5" t="s">
        <v>20</v>
      </c>
      <c r="B22" s="6">
        <v>100000000</v>
      </c>
      <c r="F22" s="5" t="s">
        <v>22</v>
      </c>
      <c r="G22" s="6">
        <v>45000000</v>
      </c>
    </row>
    <row r="23" spans="1:11" ht="28" x14ac:dyDescent="0.3">
      <c r="A23" s="5" t="s">
        <v>21</v>
      </c>
      <c r="B23" s="6">
        <v>45000000</v>
      </c>
      <c r="E23" s="2"/>
      <c r="F23" s="18" t="s">
        <v>36</v>
      </c>
      <c r="G23" s="6">
        <v>1920000</v>
      </c>
      <c r="K23" s="1">
        <f>4507494619-87000000-219000000</f>
        <v>4201494619</v>
      </c>
    </row>
    <row r="24" spans="1:11" x14ac:dyDescent="0.3">
      <c r="A24" s="5" t="s">
        <v>22</v>
      </c>
      <c r="B24" s="6">
        <v>45000000</v>
      </c>
      <c r="D24" s="13" t="s">
        <v>24</v>
      </c>
      <c r="E24" s="14">
        <f>E3-G24</f>
        <v>280561419</v>
      </c>
      <c r="F24" s="16" t="s">
        <v>23</v>
      </c>
      <c r="G24" s="17">
        <f>SUM(G3:G23)</f>
        <v>4043853333</v>
      </c>
    </row>
    <row r="25" spans="1:11" x14ac:dyDescent="0.3">
      <c r="A25" s="5" t="s">
        <v>23</v>
      </c>
      <c r="B25" s="6">
        <f>SUM(B4:B24)-B6</f>
        <v>4026933333</v>
      </c>
      <c r="D25" s="13" t="s">
        <v>25</v>
      </c>
      <c r="E25" s="15">
        <f>E24/E3</f>
        <v>6.487847144408225E-2</v>
      </c>
      <c r="F25" s="20" t="s">
        <v>39</v>
      </c>
      <c r="G25" s="20">
        <v>978</v>
      </c>
    </row>
    <row r="26" spans="1:11" x14ac:dyDescent="0.3">
      <c r="A26" s="5" t="s">
        <v>24</v>
      </c>
      <c r="B26" s="6">
        <f>B3-B25</f>
        <v>421610263</v>
      </c>
      <c r="D26" s="13" t="s">
        <v>37</v>
      </c>
      <c r="E26" s="19">
        <f>E24/SUM(G3,G5:G10,G23)</f>
        <v>7.8930147536486542E-2</v>
      </c>
      <c r="F26" s="21" t="s">
        <v>40</v>
      </c>
      <c r="G26" s="20">
        <v>945</v>
      </c>
    </row>
    <row r="27" spans="1:11" x14ac:dyDescent="0.3">
      <c r="A27" s="5" t="s">
        <v>25</v>
      </c>
      <c r="B27" s="8">
        <f>B26/B3</f>
        <v>9.477489742465367E-2</v>
      </c>
      <c r="D27" s="13" t="s">
        <v>38</v>
      </c>
      <c r="E27" s="19">
        <f>945/978</f>
        <v>0.96625766871165641</v>
      </c>
      <c r="F27" s="21" t="s">
        <v>41</v>
      </c>
      <c r="G27" s="21">
        <v>33</v>
      </c>
      <c r="H27" s="2"/>
    </row>
    <row r="28" spans="1:11" x14ac:dyDescent="0.3">
      <c r="F28" s="2"/>
      <c r="G28" s="2"/>
      <c r="H28" s="2"/>
    </row>
    <row r="30" spans="1:11" x14ac:dyDescent="0.3">
      <c r="E30" s="2"/>
    </row>
  </sheetData>
  <mergeCells count="3">
    <mergeCell ref="A1:B1"/>
    <mergeCell ref="A2:B2"/>
    <mergeCell ref="D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96C3-A721-4C0E-A0AF-3434B7CE9B9D}">
  <dimension ref="A1:K31"/>
  <sheetViews>
    <sheetView topLeftCell="D1" zoomScale="98" zoomScaleNormal="98" workbookViewId="0">
      <selection activeCell="I26" sqref="I26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6.36328125" style="1" customWidth="1"/>
    <col min="11" max="11" width="12.90625" style="1" customWidth="1"/>
    <col min="12" max="16384" width="8.7265625" style="1"/>
  </cols>
  <sheetData>
    <row r="1" spans="1:10" x14ac:dyDescent="0.3">
      <c r="A1" s="42" t="s">
        <v>33</v>
      </c>
      <c r="B1" s="43"/>
      <c r="D1" s="42" t="s">
        <v>63</v>
      </c>
      <c r="E1" s="43"/>
      <c r="F1" s="43"/>
      <c r="G1" s="43"/>
    </row>
    <row r="2" spans="1:10" x14ac:dyDescent="0.3">
      <c r="A2" s="48" t="s">
        <v>34</v>
      </c>
      <c r="B2" s="49"/>
      <c r="D2" s="50"/>
      <c r="E2" s="51"/>
      <c r="F2" s="51"/>
      <c r="G2" s="51"/>
    </row>
    <row r="3" spans="1:10" x14ac:dyDescent="0.3">
      <c r="A3" s="5" t="s">
        <v>1</v>
      </c>
      <c r="B3" s="6">
        <f>4433543596+65000000-50000000</f>
        <v>4448543596</v>
      </c>
      <c r="D3" s="16" t="s">
        <v>1</v>
      </c>
      <c r="E3" s="17">
        <f>J4+J5+E4+J6+J7</f>
        <v>5127513050</v>
      </c>
      <c r="F3" s="5" t="s">
        <v>3</v>
      </c>
      <c r="G3" s="6">
        <v>2960133333</v>
      </c>
      <c r="I3" s="5" t="s">
        <v>4</v>
      </c>
      <c r="J3" s="6">
        <v>90000000</v>
      </c>
    </row>
    <row r="4" spans="1:10" x14ac:dyDescent="0.3">
      <c r="A4" s="5" t="s">
        <v>2</v>
      </c>
      <c r="B4" s="6">
        <v>16000000</v>
      </c>
      <c r="D4" s="5" t="s">
        <v>35</v>
      </c>
      <c r="E4" s="6">
        <f>39600000+37039000+114300000</f>
        <v>190939000</v>
      </c>
      <c r="F4" s="5" t="s">
        <v>2</v>
      </c>
      <c r="G4" s="6"/>
      <c r="I4" s="5" t="s">
        <v>60</v>
      </c>
      <c r="J4" s="6">
        <v>4724464050</v>
      </c>
    </row>
    <row r="5" spans="1:10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684021452</v>
      </c>
      <c r="I5" s="5" t="s">
        <v>59</v>
      </c>
      <c r="J5" s="6">
        <v>212110000</v>
      </c>
    </row>
    <row r="6" spans="1:10" x14ac:dyDescent="0.3">
      <c r="A6" s="5" t="s">
        <v>4</v>
      </c>
      <c r="B6" s="6">
        <v>120000000</v>
      </c>
      <c r="F6" s="5" t="s">
        <v>6</v>
      </c>
      <c r="G6" s="6">
        <v>135000000</v>
      </c>
      <c r="I6" s="5" t="s">
        <v>57</v>
      </c>
      <c r="J6" s="6"/>
    </row>
    <row r="7" spans="1:10" x14ac:dyDescent="0.3">
      <c r="A7" s="5" t="s">
        <v>5</v>
      </c>
      <c r="B7" s="6">
        <v>500000000</v>
      </c>
      <c r="F7" s="5" t="s">
        <v>7</v>
      </c>
      <c r="G7" s="6">
        <v>25000000</v>
      </c>
      <c r="I7" s="5" t="s">
        <v>58</v>
      </c>
      <c r="J7" s="6"/>
    </row>
    <row r="8" spans="1:10" x14ac:dyDescent="0.3">
      <c r="A8" s="5" t="s">
        <v>6</v>
      </c>
      <c r="B8" s="6">
        <v>200000000</v>
      </c>
      <c r="F8" s="5" t="s">
        <v>8</v>
      </c>
      <c r="G8" s="6">
        <v>13000000</v>
      </c>
      <c r="I8" s="5"/>
      <c r="J8" s="5"/>
    </row>
    <row r="9" spans="1:10" x14ac:dyDescent="0.3">
      <c r="A9" s="5" t="s">
        <v>7</v>
      </c>
      <c r="B9" s="6">
        <v>22000000</v>
      </c>
      <c r="F9" s="5" t="s">
        <v>9</v>
      </c>
      <c r="G9" s="6">
        <v>3000000</v>
      </c>
    </row>
    <row r="10" spans="1:10" x14ac:dyDescent="0.3">
      <c r="A10" s="5" t="s">
        <v>8</v>
      </c>
      <c r="B10" s="6">
        <v>12000000</v>
      </c>
      <c r="F10" s="5" t="s">
        <v>10</v>
      </c>
      <c r="G10" s="6">
        <v>2000000</v>
      </c>
    </row>
    <row r="11" spans="1:10" x14ac:dyDescent="0.3">
      <c r="A11" s="5" t="s">
        <v>9</v>
      </c>
      <c r="B11" s="6">
        <v>6000000</v>
      </c>
      <c r="F11" s="5" t="s">
        <v>11</v>
      </c>
      <c r="G11" s="6">
        <v>130000000</v>
      </c>
    </row>
    <row r="12" spans="1:10" x14ac:dyDescent="0.3">
      <c r="A12" s="5" t="s">
        <v>10</v>
      </c>
      <c r="B12" s="6">
        <v>2000000</v>
      </c>
      <c r="F12" s="5" t="s">
        <v>12</v>
      </c>
      <c r="G12" s="6">
        <v>10000000</v>
      </c>
    </row>
    <row r="13" spans="1:10" x14ac:dyDescent="0.3">
      <c r="A13" s="5" t="s">
        <v>11</v>
      </c>
      <c r="B13" s="6">
        <v>125000000</v>
      </c>
      <c r="F13" s="5" t="s">
        <v>13</v>
      </c>
      <c r="G13" s="6">
        <v>7000000</v>
      </c>
    </row>
    <row r="14" spans="1:10" x14ac:dyDescent="0.3">
      <c r="A14" s="5"/>
      <c r="B14" s="6"/>
      <c r="F14" s="5" t="s">
        <v>61</v>
      </c>
      <c r="G14" s="6">
        <v>3000000</v>
      </c>
    </row>
    <row r="15" spans="1:10" x14ac:dyDescent="0.3">
      <c r="A15" s="5" t="s">
        <v>12</v>
      </c>
      <c r="B15" s="6">
        <v>10000000</v>
      </c>
      <c r="F15" s="5" t="s">
        <v>14</v>
      </c>
      <c r="G15" s="6">
        <v>18000000</v>
      </c>
    </row>
    <row r="16" spans="1:10" x14ac:dyDescent="0.3">
      <c r="A16" s="5" t="s">
        <v>13</v>
      </c>
      <c r="B16" s="6">
        <v>7000000</v>
      </c>
      <c r="F16" s="5" t="s">
        <v>15</v>
      </c>
      <c r="G16" s="6">
        <v>29000000</v>
      </c>
    </row>
    <row r="17" spans="1:11" x14ac:dyDescent="0.3">
      <c r="A17" s="5" t="s">
        <v>14</v>
      </c>
      <c r="B17" s="6">
        <v>15000000</v>
      </c>
      <c r="F17" s="5" t="s">
        <v>16</v>
      </c>
      <c r="G17" s="6">
        <v>11000000</v>
      </c>
    </row>
    <row r="18" spans="1:11" x14ac:dyDescent="0.3">
      <c r="A18" s="5" t="s">
        <v>15</v>
      </c>
      <c r="B18" s="6">
        <v>28000000</v>
      </c>
      <c r="F18" s="5" t="s">
        <v>17</v>
      </c>
      <c r="G18" s="6">
        <v>14000000</v>
      </c>
    </row>
    <row r="19" spans="1:11" x14ac:dyDescent="0.3">
      <c r="A19" s="5" t="s">
        <v>16</v>
      </c>
      <c r="B19" s="6">
        <v>10800000</v>
      </c>
      <c r="F19" s="5" t="s">
        <v>18</v>
      </c>
      <c r="G19" s="6">
        <v>6000000</v>
      </c>
    </row>
    <row r="20" spans="1:11" x14ac:dyDescent="0.3">
      <c r="A20" s="5" t="s">
        <v>17</v>
      </c>
      <c r="B20" s="6">
        <v>12500000</v>
      </c>
      <c r="F20" s="5" t="s">
        <v>19</v>
      </c>
      <c r="G20" s="6">
        <v>102105611.46153846</v>
      </c>
    </row>
    <row r="21" spans="1:11" x14ac:dyDescent="0.3">
      <c r="A21" s="5" t="s">
        <v>18</v>
      </c>
      <c r="B21" s="6">
        <v>6000000</v>
      </c>
      <c r="F21" s="5" t="s">
        <v>20</v>
      </c>
      <c r="G21" s="6">
        <f>E4/2-20000000</f>
        <v>75469500</v>
      </c>
    </row>
    <row r="22" spans="1:11" x14ac:dyDescent="0.3">
      <c r="A22" s="5" t="s">
        <v>19</v>
      </c>
      <c r="B22" s="6">
        <v>35000000</v>
      </c>
      <c r="F22" s="5" t="s">
        <v>21</v>
      </c>
      <c r="G22" s="6">
        <v>55000000</v>
      </c>
    </row>
    <row r="23" spans="1:11" x14ac:dyDescent="0.3">
      <c r="A23" s="5" t="s">
        <v>20</v>
      </c>
      <c r="B23" s="6">
        <v>100000000</v>
      </c>
      <c r="F23" s="5" t="s">
        <v>22</v>
      </c>
      <c r="G23" s="6">
        <v>50000000</v>
      </c>
    </row>
    <row r="24" spans="1:11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1440000</v>
      </c>
      <c r="K24" s="1">
        <f>4507494619-87000000-219000000</f>
        <v>4201494619</v>
      </c>
    </row>
    <row r="25" spans="1:11" x14ac:dyDescent="0.3">
      <c r="A25" s="5" t="s">
        <v>22</v>
      </c>
      <c r="B25" s="6">
        <v>45000000</v>
      </c>
      <c r="D25" s="13" t="s">
        <v>24</v>
      </c>
      <c r="E25" s="14">
        <f>E3-G25</f>
        <v>793343153.53846169</v>
      </c>
      <c r="F25" s="16" t="s">
        <v>23</v>
      </c>
      <c r="G25" s="17">
        <f>SUM(G3:G24)</f>
        <v>4334169896.4615383</v>
      </c>
    </row>
    <row r="26" spans="1:11" x14ac:dyDescent="0.3">
      <c r="A26" s="5" t="s">
        <v>23</v>
      </c>
      <c r="B26" s="6">
        <f>SUM(B4:B25)-B6</f>
        <v>4026933333</v>
      </c>
      <c r="D26" s="13" t="s">
        <v>25</v>
      </c>
      <c r="E26" s="15">
        <f>E25/E3</f>
        <v>0.15472279559356006</v>
      </c>
      <c r="F26" s="20"/>
      <c r="G26" s="20"/>
    </row>
    <row r="27" spans="1:11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0.2074862003292699</v>
      </c>
      <c r="F27" s="21"/>
      <c r="G27" s="20"/>
    </row>
    <row r="28" spans="1:11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11" x14ac:dyDescent="0.3">
      <c r="F29" s="2"/>
      <c r="G29" s="2"/>
      <c r="H29" s="2"/>
    </row>
    <row r="31" spans="1:11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A2CB-1B0A-4519-9575-E824D82435BD}">
  <dimension ref="A1:K32"/>
  <sheetViews>
    <sheetView topLeftCell="B16" zoomScale="98" zoomScaleNormal="98" workbookViewId="0">
      <selection activeCell="E7" sqref="E7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6.36328125" style="1" customWidth="1"/>
    <col min="11" max="11" width="12.90625" style="1" customWidth="1"/>
    <col min="12" max="16384" width="8.7265625" style="1"/>
  </cols>
  <sheetData>
    <row r="1" spans="1:10" x14ac:dyDescent="0.3">
      <c r="A1" s="42" t="s">
        <v>33</v>
      </c>
      <c r="B1" s="43"/>
      <c r="D1" s="42" t="s">
        <v>64</v>
      </c>
      <c r="E1" s="43"/>
      <c r="F1" s="43"/>
      <c r="G1" s="43"/>
    </row>
    <row r="2" spans="1:10" x14ac:dyDescent="0.3">
      <c r="A2" s="48" t="s">
        <v>34</v>
      </c>
      <c r="B2" s="49"/>
      <c r="D2" s="50"/>
      <c r="E2" s="51"/>
      <c r="F2" s="51"/>
      <c r="G2" s="51"/>
    </row>
    <row r="3" spans="1:10" x14ac:dyDescent="0.3">
      <c r="A3" s="5" t="s">
        <v>1</v>
      </c>
      <c r="B3" s="6">
        <f>4433543596+65000000-50000000</f>
        <v>4448543596</v>
      </c>
      <c r="D3" s="16" t="s">
        <v>1</v>
      </c>
      <c r="E3" s="17">
        <f>J4+J5+J6+J7-G4+60000000+100000000</f>
        <v>5269015442</v>
      </c>
      <c r="F3" s="5" t="s">
        <v>3</v>
      </c>
      <c r="G3" s="6">
        <v>3040133333</v>
      </c>
      <c r="I3" s="5" t="s">
        <v>4</v>
      </c>
      <c r="J3" s="6">
        <v>100000000</v>
      </c>
    </row>
    <row r="4" spans="1:10" x14ac:dyDescent="0.3">
      <c r="A4" s="5" t="s">
        <v>2</v>
      </c>
      <c r="B4" s="6">
        <v>16000000</v>
      </c>
      <c r="D4" s="5" t="s">
        <v>35</v>
      </c>
      <c r="E4" s="6">
        <f>65000000+90700000+83700000</f>
        <v>239400000</v>
      </c>
      <c r="F4" s="5" t="s">
        <v>2</v>
      </c>
      <c r="G4" s="6">
        <v>50000000</v>
      </c>
      <c r="I4" s="5" t="s">
        <v>60</v>
      </c>
      <c r="J4" s="6">
        <v>4775486724</v>
      </c>
    </row>
    <row r="5" spans="1:10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720000000</v>
      </c>
      <c r="I5" s="5" t="s">
        <v>59</v>
      </c>
      <c r="J5" s="6">
        <f>110088000+120000000</f>
        <v>230088000</v>
      </c>
    </row>
    <row r="6" spans="1:10" x14ac:dyDescent="0.3">
      <c r="A6" s="5" t="s">
        <v>4</v>
      </c>
      <c r="B6" s="6">
        <v>120000000</v>
      </c>
      <c r="F6" s="5" t="s">
        <v>6</v>
      </c>
      <c r="G6" s="6">
        <v>158000000</v>
      </c>
      <c r="I6" s="5" t="s">
        <v>57</v>
      </c>
      <c r="J6" s="6">
        <v>117440718</v>
      </c>
    </row>
    <row r="7" spans="1:10" x14ac:dyDescent="0.3">
      <c r="A7" s="5" t="s">
        <v>5</v>
      </c>
      <c r="B7" s="6">
        <v>500000000</v>
      </c>
      <c r="F7" s="5" t="s">
        <v>7</v>
      </c>
      <c r="G7" s="6">
        <v>25500000</v>
      </c>
      <c r="I7" s="5" t="s">
        <v>58</v>
      </c>
      <c r="J7" s="6">
        <v>36000000</v>
      </c>
    </row>
    <row r="8" spans="1:10" x14ac:dyDescent="0.3">
      <c r="A8" s="5" t="s">
        <v>6</v>
      </c>
      <c r="B8" s="6">
        <v>200000000</v>
      </c>
      <c r="D8" s="1" t="s">
        <v>65</v>
      </c>
      <c r="E8" s="30">
        <f>G3/E3</f>
        <v>0.57698318907299195</v>
      </c>
      <c r="F8" s="5" t="s">
        <v>8</v>
      </c>
      <c r="G8" s="6">
        <v>13000000</v>
      </c>
      <c r="I8" s="5"/>
      <c r="J8" s="5"/>
    </row>
    <row r="9" spans="1:10" x14ac:dyDescent="0.3">
      <c r="A9" s="5" t="s">
        <v>7</v>
      </c>
      <c r="B9" s="6">
        <v>22000000</v>
      </c>
      <c r="D9" s="1" t="s">
        <v>66</v>
      </c>
      <c r="E9" s="35">
        <f>SUM(G3,G5:G10)/E3</f>
        <v>0.75225312520539767</v>
      </c>
      <c r="F9" s="5" t="s">
        <v>9</v>
      </c>
      <c r="G9" s="6">
        <v>5000000</v>
      </c>
      <c r="I9" s="29">
        <v>0.7</v>
      </c>
    </row>
    <row r="10" spans="1:10" x14ac:dyDescent="0.3">
      <c r="A10" s="5" t="s">
        <v>8</v>
      </c>
      <c r="B10" s="6">
        <v>12000000</v>
      </c>
      <c r="D10" s="1" t="s">
        <v>67</v>
      </c>
      <c r="E10" s="36">
        <f>SUM(G5:G10)/E3</f>
        <v>0.17526993613240582</v>
      </c>
      <c r="F10" s="5" t="s">
        <v>10</v>
      </c>
      <c r="G10" s="6">
        <v>2000000</v>
      </c>
      <c r="I10" s="1" t="s">
        <v>73</v>
      </c>
    </row>
    <row r="11" spans="1:10" x14ac:dyDescent="0.3">
      <c r="A11" s="5" t="s">
        <v>9</v>
      </c>
      <c r="B11" s="6">
        <v>6000000</v>
      </c>
      <c r="D11" s="1" t="s">
        <v>68</v>
      </c>
      <c r="E11" s="31">
        <f>SUM(G11:G21)/E3</f>
        <v>5.5987689398007273E-2</v>
      </c>
      <c r="F11" s="5" t="s">
        <v>11</v>
      </c>
      <c r="G11" s="6">
        <v>135000000</v>
      </c>
    </row>
    <row r="12" spans="1:10" x14ac:dyDescent="0.3">
      <c r="A12" s="5" t="s">
        <v>10</v>
      </c>
      <c r="B12" s="6">
        <v>2000000</v>
      </c>
      <c r="D12" s="1" t="s">
        <v>69</v>
      </c>
      <c r="E12" s="35">
        <f>SUM((G22:G25))/E3</f>
        <v>3.1561873718266471E-2</v>
      </c>
      <c r="F12" s="5" t="s">
        <v>12</v>
      </c>
      <c r="G12" s="6">
        <v>10000000</v>
      </c>
    </row>
    <row r="13" spans="1:10" x14ac:dyDescent="0.3">
      <c r="A13" s="5" t="s">
        <v>11</v>
      </c>
      <c r="B13" s="6">
        <v>125000000</v>
      </c>
      <c r="D13" s="1" t="s">
        <v>71</v>
      </c>
      <c r="E13" s="32">
        <f>SUM(E8,E10:E12,E14)</f>
        <v>0.84929212720268965</v>
      </c>
      <c r="F13" s="5" t="s">
        <v>13</v>
      </c>
      <c r="G13" s="6">
        <v>7000000</v>
      </c>
    </row>
    <row r="14" spans="1:10" x14ac:dyDescent="0.3">
      <c r="A14" s="5"/>
      <c r="B14" s="6"/>
      <c r="D14" s="1" t="s">
        <v>70</v>
      </c>
      <c r="E14" s="28">
        <f>G4/E3</f>
        <v>9.4894388810181814E-3</v>
      </c>
      <c r="F14" s="5" t="s">
        <v>61</v>
      </c>
      <c r="G14" s="6">
        <v>3000000</v>
      </c>
    </row>
    <row r="15" spans="1:10" x14ac:dyDescent="0.3">
      <c r="A15" s="5"/>
      <c r="B15" s="6"/>
      <c r="D15" s="1" t="s">
        <v>72</v>
      </c>
      <c r="E15" s="33">
        <f>100%-E13</f>
        <v>0.15070787279731035</v>
      </c>
      <c r="F15" s="5" t="s">
        <v>62</v>
      </c>
      <c r="G15" s="6">
        <v>20000000</v>
      </c>
    </row>
    <row r="16" spans="1:10" x14ac:dyDescent="0.3">
      <c r="A16" s="5" t="s">
        <v>12</v>
      </c>
      <c r="B16" s="6">
        <v>10000000</v>
      </c>
      <c r="F16" s="5" t="s">
        <v>14</v>
      </c>
      <c r="G16" s="6">
        <v>23000000</v>
      </c>
    </row>
    <row r="17" spans="1:11" x14ac:dyDescent="0.3">
      <c r="A17" s="5" t="s">
        <v>13</v>
      </c>
      <c r="B17" s="6">
        <v>7000000</v>
      </c>
      <c r="F17" s="5" t="s">
        <v>15</v>
      </c>
      <c r="G17" s="6">
        <v>29000000</v>
      </c>
    </row>
    <row r="18" spans="1:11" x14ac:dyDescent="0.3">
      <c r="A18" s="5" t="s">
        <v>14</v>
      </c>
      <c r="B18" s="6">
        <v>15000000</v>
      </c>
      <c r="E18" s="2"/>
      <c r="F18" s="5" t="s">
        <v>16</v>
      </c>
      <c r="G18" s="6">
        <v>11000000</v>
      </c>
    </row>
    <row r="19" spans="1:11" x14ac:dyDescent="0.3">
      <c r="A19" s="5" t="s">
        <v>15</v>
      </c>
      <c r="B19" s="6">
        <v>28000000</v>
      </c>
      <c r="E19" s="2"/>
      <c r="F19" s="5" t="s">
        <v>17</v>
      </c>
      <c r="G19" s="6">
        <v>14000000</v>
      </c>
    </row>
    <row r="20" spans="1:11" x14ac:dyDescent="0.3">
      <c r="A20" s="5" t="s">
        <v>16</v>
      </c>
      <c r="B20" s="6">
        <v>10800000</v>
      </c>
      <c r="F20" s="5" t="s">
        <v>18</v>
      </c>
      <c r="G20" s="6">
        <v>6000000</v>
      </c>
    </row>
    <row r="21" spans="1:11" x14ac:dyDescent="0.3">
      <c r="A21" s="5" t="s">
        <v>17</v>
      </c>
      <c r="B21" s="6">
        <v>12500000</v>
      </c>
      <c r="F21" s="5" t="s">
        <v>19</v>
      </c>
      <c r="G21" s="6">
        <v>37000000</v>
      </c>
    </row>
    <row r="22" spans="1:11" x14ac:dyDescent="0.3">
      <c r="A22" s="5" t="s">
        <v>18</v>
      </c>
      <c r="B22" s="6">
        <v>6000000</v>
      </c>
      <c r="F22" s="5" t="s">
        <v>20</v>
      </c>
      <c r="G22" s="6">
        <f>E4/2</f>
        <v>119700000</v>
      </c>
    </row>
    <row r="23" spans="1:11" x14ac:dyDescent="0.3">
      <c r="A23" s="5" t="s">
        <v>19</v>
      </c>
      <c r="B23" s="6">
        <v>35000000</v>
      </c>
      <c r="F23" s="5" t="s">
        <v>21</v>
      </c>
      <c r="G23" s="6">
        <v>25000000</v>
      </c>
    </row>
    <row r="24" spans="1:11" x14ac:dyDescent="0.3">
      <c r="A24" s="5" t="s">
        <v>20</v>
      </c>
      <c r="B24" s="6">
        <v>100000000</v>
      </c>
      <c r="F24" s="5" t="s">
        <v>22</v>
      </c>
      <c r="G24" s="6">
        <v>20000000</v>
      </c>
    </row>
    <row r="25" spans="1:11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1600000</v>
      </c>
      <c r="K25" s="1">
        <f>4507494619-87000000-219000000</f>
        <v>4201494619</v>
      </c>
    </row>
    <row r="26" spans="1:11" x14ac:dyDescent="0.3">
      <c r="A26" s="5" t="s">
        <v>22</v>
      </c>
      <c r="B26" s="6">
        <v>45000000</v>
      </c>
      <c r="D26" s="13" t="s">
        <v>24</v>
      </c>
      <c r="E26" s="14">
        <f>E3-G26</f>
        <v>794082109</v>
      </c>
      <c r="F26" s="16" t="s">
        <v>23</v>
      </c>
      <c r="G26" s="17">
        <f>SUM(G3:G25)</f>
        <v>4474933333</v>
      </c>
    </row>
    <row r="27" spans="1:11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0.15070787279731035</v>
      </c>
      <c r="F27" s="20"/>
      <c r="G27" s="20"/>
    </row>
    <row r="28" spans="1:11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0.20026113025717371</v>
      </c>
      <c r="F28" s="21"/>
      <c r="G28" s="20"/>
    </row>
    <row r="29" spans="1:11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11" x14ac:dyDescent="0.3">
      <c r="F30" s="2"/>
      <c r="G30" s="2"/>
      <c r="H30" s="2"/>
    </row>
    <row r="32" spans="1:11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252E-A38F-49BA-BEA5-F37CA8850604}">
  <dimension ref="A1:K32"/>
  <sheetViews>
    <sheetView topLeftCell="C25" zoomScale="98" zoomScaleNormal="98" workbookViewId="0">
      <selection activeCell="I23" sqref="I23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6.363281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74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1</v>
      </c>
      <c r="E3" s="17">
        <f>J4+J5+J6+J7</f>
        <v>5187608791</v>
      </c>
      <c r="F3" s="5" t="s">
        <v>3</v>
      </c>
      <c r="G3" s="6">
        <v>3040133333</v>
      </c>
      <c r="I3" s="5" t="s">
        <v>4</v>
      </c>
      <c r="J3" s="6">
        <v>100000000</v>
      </c>
    </row>
    <row r="4" spans="1:11" x14ac:dyDescent="0.3">
      <c r="A4" s="5" t="s">
        <v>2</v>
      </c>
      <c r="B4" s="6">
        <v>16000000</v>
      </c>
      <c r="D4" s="5" t="s">
        <v>35</v>
      </c>
      <c r="E4" s="6">
        <f>65000000+90500000+171700000</f>
        <v>327200000</v>
      </c>
      <c r="F4" s="5" t="s">
        <v>2</v>
      </c>
      <c r="G4" s="6">
        <v>73000000</v>
      </c>
      <c r="I4" s="5" t="s">
        <v>60</v>
      </c>
      <c r="J4" s="6">
        <v>4905413791</v>
      </c>
    </row>
    <row r="5" spans="1:11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710000000</v>
      </c>
      <c r="I5" s="5" t="s">
        <v>59</v>
      </c>
      <c r="J5" s="6">
        <v>270195000</v>
      </c>
      <c r="K5" s="2"/>
    </row>
    <row r="6" spans="1:11" x14ac:dyDescent="0.3">
      <c r="A6" s="5" t="s">
        <v>4</v>
      </c>
      <c r="B6" s="6">
        <v>120000000</v>
      </c>
      <c r="F6" s="5" t="s">
        <v>6</v>
      </c>
      <c r="G6" s="6">
        <v>158000000</v>
      </c>
      <c r="I6" s="5" t="s">
        <v>57</v>
      </c>
      <c r="J6" s="6">
        <v>0</v>
      </c>
    </row>
    <row r="7" spans="1:11" x14ac:dyDescent="0.3">
      <c r="A7" s="5" t="s">
        <v>5</v>
      </c>
      <c r="B7" s="6">
        <v>500000000</v>
      </c>
      <c r="F7" s="5" t="s">
        <v>7</v>
      </c>
      <c r="G7" s="6">
        <v>25500000</v>
      </c>
      <c r="I7" s="5" t="s">
        <v>58</v>
      </c>
      <c r="J7" s="6">
        <v>12000000</v>
      </c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13000000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5000000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2000000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135000000</v>
      </c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v>7000000</v>
      </c>
    </row>
    <row r="14" spans="1:11" x14ac:dyDescent="0.3">
      <c r="A14" s="5"/>
      <c r="B14" s="6"/>
      <c r="E14" s="38"/>
      <c r="F14" s="5" t="s">
        <v>61</v>
      </c>
      <c r="G14" s="6">
        <v>3000000</v>
      </c>
    </row>
    <row r="15" spans="1:11" x14ac:dyDescent="0.3">
      <c r="A15" s="5"/>
      <c r="B15" s="6"/>
      <c r="E15" s="33"/>
      <c r="F15" s="5" t="s">
        <v>62</v>
      </c>
      <c r="G15" s="6">
        <v>20000000</v>
      </c>
    </row>
    <row r="16" spans="1:11" x14ac:dyDescent="0.3">
      <c r="A16" s="5" t="s">
        <v>12</v>
      </c>
      <c r="B16" s="6">
        <v>10000000</v>
      </c>
      <c r="F16" s="5" t="s">
        <v>14</v>
      </c>
      <c r="G16" s="6">
        <v>25000000</v>
      </c>
    </row>
    <row r="17" spans="1:11" x14ac:dyDescent="0.3">
      <c r="A17" s="5" t="s">
        <v>13</v>
      </c>
      <c r="B17" s="6">
        <v>7000000</v>
      </c>
      <c r="F17" s="5" t="s">
        <v>15</v>
      </c>
      <c r="G17" s="6">
        <v>29000000</v>
      </c>
    </row>
    <row r="18" spans="1:11" x14ac:dyDescent="0.3">
      <c r="A18" s="5" t="s">
        <v>14</v>
      </c>
      <c r="B18" s="6">
        <v>15000000</v>
      </c>
      <c r="E18" s="2"/>
      <c r="F18" s="5" t="s">
        <v>16</v>
      </c>
      <c r="G18" s="6">
        <v>11000000</v>
      </c>
    </row>
    <row r="19" spans="1:11" x14ac:dyDescent="0.3">
      <c r="A19" s="5" t="s">
        <v>15</v>
      </c>
      <c r="B19" s="6">
        <v>28000000</v>
      </c>
      <c r="E19" s="2"/>
      <c r="F19" s="5" t="s">
        <v>17</v>
      </c>
      <c r="G19" s="6">
        <v>14000000</v>
      </c>
    </row>
    <row r="20" spans="1:11" x14ac:dyDescent="0.3">
      <c r="A20" s="5" t="s">
        <v>16</v>
      </c>
      <c r="B20" s="6">
        <v>10800000</v>
      </c>
      <c r="F20" s="5" t="s">
        <v>18</v>
      </c>
      <c r="G20" s="6">
        <v>6000000</v>
      </c>
    </row>
    <row r="21" spans="1:11" x14ac:dyDescent="0.3">
      <c r="A21" s="5" t="s">
        <v>17</v>
      </c>
      <c r="B21" s="6">
        <v>12500000</v>
      </c>
      <c r="F21" s="5" t="s">
        <v>19</v>
      </c>
      <c r="G21" s="6">
        <v>37000000</v>
      </c>
    </row>
    <row r="22" spans="1:11" x14ac:dyDescent="0.3">
      <c r="A22" s="5" t="s">
        <v>18</v>
      </c>
      <c r="B22" s="6">
        <v>6000000</v>
      </c>
      <c r="F22" s="5" t="s">
        <v>20</v>
      </c>
      <c r="G22" s="6">
        <f>E4/2</f>
        <v>163600000</v>
      </c>
    </row>
    <row r="23" spans="1:11" x14ac:dyDescent="0.3">
      <c r="A23" s="5" t="s">
        <v>19</v>
      </c>
      <c r="B23" s="6">
        <v>35000000</v>
      </c>
      <c r="F23" s="5" t="s">
        <v>21</v>
      </c>
      <c r="G23" s="6">
        <v>25000000</v>
      </c>
    </row>
    <row r="24" spans="1:11" x14ac:dyDescent="0.3">
      <c r="A24" s="5" t="s">
        <v>20</v>
      </c>
      <c r="B24" s="6">
        <v>100000000</v>
      </c>
      <c r="F24" s="5" t="s">
        <v>22</v>
      </c>
      <c r="G24" s="6">
        <v>20000000</v>
      </c>
    </row>
    <row r="25" spans="1:11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1600000</v>
      </c>
      <c r="K25" s="1">
        <f>4507494619-87000000-219000000</f>
        <v>4201494619</v>
      </c>
    </row>
    <row r="26" spans="1:11" x14ac:dyDescent="0.3">
      <c r="A26" s="5" t="s">
        <v>22</v>
      </c>
      <c r="B26" s="6">
        <v>45000000</v>
      </c>
      <c r="D26" s="13" t="s">
        <v>24</v>
      </c>
      <c r="E26" s="14">
        <f>E3-G26</f>
        <v>653775458</v>
      </c>
      <c r="F26" s="16" t="s">
        <v>23</v>
      </c>
      <c r="G26" s="17">
        <f>SUM(G3:G25)</f>
        <v>4533833333</v>
      </c>
    </row>
    <row r="27" spans="1:11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0.12602636095733302</v>
      </c>
      <c r="F27" s="20"/>
      <c r="G27" s="20"/>
    </row>
    <row r="28" spans="1:11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0.16529377737219833</v>
      </c>
      <c r="F28" s="21"/>
      <c r="G28" s="20"/>
    </row>
    <row r="29" spans="1:11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11" x14ac:dyDescent="0.3">
      <c r="F30" s="2"/>
      <c r="G30" s="2"/>
      <c r="H30" s="2"/>
    </row>
    <row r="32" spans="1:11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A6D0-F2EF-4A4A-A2CE-976C4C42E1E5}">
  <dimension ref="A1:K32"/>
  <sheetViews>
    <sheetView topLeftCell="C1" zoomScale="98" zoomScaleNormal="98" workbookViewId="0">
      <selection activeCell="G13" sqref="G13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77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</f>
        <v>6008205288</v>
      </c>
      <c r="F3" s="5" t="s">
        <v>3</v>
      </c>
      <c r="G3" s="6">
        <v>3281133333</v>
      </c>
      <c r="I3" s="5" t="s">
        <v>4</v>
      </c>
      <c r="J3" s="6">
        <v>40000000</v>
      </c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279600000+326900000+159800000</f>
        <v>766300000</v>
      </c>
      <c r="F4" s="5" t="s">
        <v>2</v>
      </c>
      <c r="G4" s="6">
        <v>235000000</v>
      </c>
      <c r="I4" s="5" t="s">
        <v>60</v>
      </c>
      <c r="J4" s="6">
        <v>5705109288</v>
      </c>
      <c r="K4" s="40"/>
    </row>
    <row r="5" spans="1:11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750000000</v>
      </c>
      <c r="I5" s="5" t="s">
        <v>59</v>
      </c>
      <c r="J5" s="6">
        <v>299096000</v>
      </c>
      <c r="K5" s="2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155000000</v>
      </c>
      <c r="I6" s="5" t="s">
        <v>57</v>
      </c>
      <c r="J6" s="6">
        <v>0</v>
      </c>
      <c r="K6" s="41"/>
    </row>
    <row r="7" spans="1:11" x14ac:dyDescent="0.3">
      <c r="A7" s="5" t="s">
        <v>5</v>
      </c>
      <c r="B7" s="6">
        <v>500000000</v>
      </c>
      <c r="F7" s="5" t="s">
        <v>7</v>
      </c>
      <c r="G7" s="6">
        <v>27000000</v>
      </c>
      <c r="I7" s="5" t="s">
        <v>58</v>
      </c>
      <c r="J7" s="6">
        <v>4000000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15000000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2000000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3000000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150000000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v>7000000</v>
      </c>
      <c r="J13" s="2"/>
    </row>
    <row r="14" spans="1:11" x14ac:dyDescent="0.3">
      <c r="A14" s="5"/>
      <c r="B14" s="6"/>
      <c r="E14" s="38"/>
      <c r="F14" s="5" t="s">
        <v>61</v>
      </c>
      <c r="G14" s="6">
        <v>3000000</v>
      </c>
    </row>
    <row r="15" spans="1:11" ht="14.5" x14ac:dyDescent="0.35">
      <c r="A15" s="5"/>
      <c r="B15" s="6"/>
      <c r="E15" s="33"/>
      <c r="F15" s="5" t="s">
        <v>62</v>
      </c>
      <c r="G15" s="6">
        <v>10000000</v>
      </c>
      <c r="I15"/>
    </row>
    <row r="16" spans="1:11" x14ac:dyDescent="0.3">
      <c r="A16" s="5" t="s">
        <v>12</v>
      </c>
      <c r="B16" s="6">
        <v>10000000</v>
      </c>
      <c r="F16" s="5" t="s">
        <v>75</v>
      </c>
      <c r="G16" s="6">
        <v>61000000</v>
      </c>
    </row>
    <row r="17" spans="1:11" x14ac:dyDescent="0.3">
      <c r="A17" s="5" t="s">
        <v>13</v>
      </c>
      <c r="B17" s="6">
        <v>7000000</v>
      </c>
      <c r="F17" s="5" t="s">
        <v>15</v>
      </c>
      <c r="G17" s="6">
        <v>32000000</v>
      </c>
    </row>
    <row r="18" spans="1:11" x14ac:dyDescent="0.3">
      <c r="A18" s="5" t="s">
        <v>14</v>
      </c>
      <c r="B18" s="6">
        <v>15000000</v>
      </c>
      <c r="E18" s="2"/>
      <c r="F18" s="5" t="s">
        <v>16</v>
      </c>
      <c r="G18" s="6">
        <v>12000000</v>
      </c>
    </row>
    <row r="19" spans="1:11" x14ac:dyDescent="0.3">
      <c r="A19" s="5" t="s">
        <v>15</v>
      </c>
      <c r="B19" s="6">
        <v>28000000</v>
      </c>
      <c r="E19" s="2"/>
      <c r="F19" s="5" t="s">
        <v>17</v>
      </c>
      <c r="G19" s="6">
        <v>15000000</v>
      </c>
    </row>
    <row r="20" spans="1:11" x14ac:dyDescent="0.3">
      <c r="A20" s="5" t="s">
        <v>16</v>
      </c>
      <c r="B20" s="6">
        <v>10800000</v>
      </c>
      <c r="F20" s="5" t="s">
        <v>18</v>
      </c>
      <c r="G20" s="6">
        <v>5000000</v>
      </c>
    </row>
    <row r="21" spans="1:11" x14ac:dyDescent="0.3">
      <c r="A21" s="5" t="s">
        <v>17</v>
      </c>
      <c r="B21" s="6">
        <v>12500000</v>
      </c>
      <c r="F21" s="5" t="s">
        <v>19</v>
      </c>
      <c r="G21" s="6">
        <v>37000000</v>
      </c>
    </row>
    <row r="22" spans="1:11" x14ac:dyDescent="0.3">
      <c r="A22" s="5" t="s">
        <v>18</v>
      </c>
      <c r="B22" s="6">
        <v>6000000</v>
      </c>
      <c r="F22" s="5" t="s">
        <v>20</v>
      </c>
      <c r="G22" s="6">
        <f>E4/2</f>
        <v>383150000</v>
      </c>
    </row>
    <row r="23" spans="1:11" x14ac:dyDescent="0.3">
      <c r="A23" s="5" t="s">
        <v>19</v>
      </c>
      <c r="B23" s="6">
        <v>35000000</v>
      </c>
      <c r="F23" s="5" t="s">
        <v>21</v>
      </c>
      <c r="G23" s="6">
        <v>35000000</v>
      </c>
    </row>
    <row r="24" spans="1:11" x14ac:dyDescent="0.3">
      <c r="A24" s="5" t="s">
        <v>20</v>
      </c>
      <c r="B24" s="6">
        <v>100000000</v>
      </c>
      <c r="F24" s="5" t="s">
        <v>22</v>
      </c>
      <c r="G24" s="6">
        <v>30000000</v>
      </c>
    </row>
    <row r="25" spans="1:11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640000</v>
      </c>
      <c r="K25" s="1">
        <f>4507494619-87000000-219000000</f>
        <v>4201494619</v>
      </c>
    </row>
    <row r="26" spans="1:11" x14ac:dyDescent="0.3">
      <c r="A26" s="5" t="s">
        <v>22</v>
      </c>
      <c r="B26" s="6">
        <v>45000000</v>
      </c>
      <c r="D26" s="13" t="s">
        <v>24</v>
      </c>
      <c r="E26" s="14">
        <f>E3-G26</f>
        <v>749281955</v>
      </c>
      <c r="F26" s="16" t="s">
        <v>23</v>
      </c>
      <c r="G26" s="17">
        <f>SUM(G3:G25)</f>
        <v>5258923333</v>
      </c>
    </row>
    <row r="27" spans="1:11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0.12470977922417487</v>
      </c>
      <c r="F27" s="20"/>
      <c r="G27" s="20"/>
    </row>
    <row r="28" spans="1:11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0.17697734292002543</v>
      </c>
      <c r="F28" s="21"/>
      <c r="G28" s="20"/>
    </row>
    <row r="29" spans="1:11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11" x14ac:dyDescent="0.3">
      <c r="F30" s="2"/>
      <c r="G30" s="2"/>
      <c r="H30" s="2"/>
    </row>
    <row r="32" spans="1:11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633D-7E58-444E-B6E9-6FA9EDF521E2}">
  <dimension ref="A1:K31"/>
  <sheetViews>
    <sheetView topLeftCell="D12" zoomScale="98" zoomScaleNormal="98" workbookViewId="0">
      <selection activeCell="G30" sqref="G30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78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</f>
        <v>5804020135</v>
      </c>
      <c r="F3" s="5" t="s">
        <v>3</v>
      </c>
      <c r="G3" s="6">
        <v>3450883333</v>
      </c>
      <c r="I3" s="5" t="s">
        <v>4</v>
      </c>
      <c r="J3" s="6">
        <v>35000000</v>
      </c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41200000+65600000+82150000</f>
        <v>188950000</v>
      </c>
      <c r="F4" s="5" t="s">
        <v>2</v>
      </c>
      <c r="G4" s="6">
        <v>99764000</v>
      </c>
      <c r="I4" s="5" t="s">
        <v>60</v>
      </c>
      <c r="J4" s="6">
        <v>5640268006</v>
      </c>
      <c r="K4" s="40"/>
    </row>
    <row r="5" spans="1:11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780000000</v>
      </c>
      <c r="I5" s="5" t="s">
        <v>59</v>
      </c>
      <c r="J5" s="6">
        <v>150076129</v>
      </c>
      <c r="K5" s="2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170000000</v>
      </c>
      <c r="I6" s="5" t="s">
        <v>57</v>
      </c>
      <c r="J6" s="6">
        <v>8676000</v>
      </c>
      <c r="K6" s="41"/>
    </row>
    <row r="7" spans="1:11" x14ac:dyDescent="0.3">
      <c r="A7" s="5" t="s">
        <v>5</v>
      </c>
      <c r="B7" s="6">
        <v>500000000</v>
      </c>
      <c r="F7" s="5" t="s">
        <v>7</v>
      </c>
      <c r="G7" s="6">
        <v>27000000</v>
      </c>
      <c r="I7" s="5" t="s">
        <v>58</v>
      </c>
      <c r="J7" s="6">
        <v>5000000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16000000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2000000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3000000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150000000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25000000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34500000</v>
      </c>
    </row>
    <row r="17" spans="1:11" x14ac:dyDescent="0.3">
      <c r="A17" s="5" t="s">
        <v>14</v>
      </c>
      <c r="B17" s="6">
        <v>15000000</v>
      </c>
      <c r="E17" s="2"/>
      <c r="F17" s="5" t="s">
        <v>16</v>
      </c>
      <c r="G17" s="6">
        <v>12300000</v>
      </c>
    </row>
    <row r="18" spans="1:11" x14ac:dyDescent="0.3">
      <c r="A18" s="5" t="s">
        <v>15</v>
      </c>
      <c r="B18" s="6">
        <v>28000000</v>
      </c>
      <c r="E18" s="2"/>
      <c r="F18" s="5" t="s">
        <v>17</v>
      </c>
      <c r="G18" s="6">
        <v>15000000</v>
      </c>
    </row>
    <row r="19" spans="1:11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11" x14ac:dyDescent="0.3">
      <c r="A20" s="5" t="s">
        <v>17</v>
      </c>
      <c r="B20" s="6">
        <v>12500000</v>
      </c>
      <c r="F20" s="5" t="s">
        <v>19</v>
      </c>
      <c r="G20" s="6">
        <v>35000000</v>
      </c>
    </row>
    <row r="21" spans="1:11" x14ac:dyDescent="0.3">
      <c r="A21" s="5" t="s">
        <v>18</v>
      </c>
      <c r="B21" s="6">
        <v>6000000</v>
      </c>
      <c r="F21" s="5" t="s">
        <v>20</v>
      </c>
      <c r="G21" s="6">
        <f>E4/2</f>
        <v>94475000</v>
      </c>
    </row>
    <row r="22" spans="1:11" x14ac:dyDescent="0.3">
      <c r="A22" s="5" t="s">
        <v>19</v>
      </c>
      <c r="B22" s="6">
        <v>35000000</v>
      </c>
      <c r="F22" s="5" t="s">
        <v>21</v>
      </c>
      <c r="G22" s="6">
        <v>30000000</v>
      </c>
    </row>
    <row r="23" spans="1:11" x14ac:dyDescent="0.3">
      <c r="A23" s="5" t="s">
        <v>20</v>
      </c>
      <c r="B23" s="6">
        <v>100000000</v>
      </c>
      <c r="F23" s="5" t="s">
        <v>22</v>
      </c>
      <c r="G23" s="6">
        <v>20000000</v>
      </c>
    </row>
    <row r="24" spans="1:11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560000</v>
      </c>
      <c r="K24" s="1">
        <f>4507494619-87000000-219000000</f>
        <v>4201494619</v>
      </c>
    </row>
    <row r="25" spans="1:11" x14ac:dyDescent="0.3">
      <c r="A25" s="5" t="s">
        <v>22</v>
      </c>
      <c r="B25" s="6">
        <v>45000000</v>
      </c>
      <c r="D25" s="13" t="s">
        <v>24</v>
      </c>
      <c r="E25" s="14">
        <f>E3-G25</f>
        <v>795537802</v>
      </c>
      <c r="F25" s="16" t="s">
        <v>23</v>
      </c>
      <c r="G25" s="17">
        <f>SUM(G3:G24)</f>
        <v>5008482333</v>
      </c>
    </row>
    <row r="26" spans="1:11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0.13706668541734823</v>
      </c>
      <c r="F26" s="20"/>
      <c r="G26" s="20"/>
    </row>
    <row r="27" spans="1:11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0.17879490589300645</v>
      </c>
      <c r="F27" s="21"/>
      <c r="G27" s="20"/>
    </row>
    <row r="28" spans="1:11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11" x14ac:dyDescent="0.3">
      <c r="F29" s="2"/>
      <c r="G29" s="2"/>
      <c r="H29" s="2"/>
    </row>
    <row r="31" spans="1:11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E1AA-1DF6-4ED4-9FEB-C3AC651DE9BB}">
  <dimension ref="A1:K31"/>
  <sheetViews>
    <sheetView topLeftCell="C15" zoomScale="99" zoomScaleNormal="100" workbookViewId="0">
      <selection activeCell="E4" sqref="E4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79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J4+J5+J6+J7-50000000</f>
        <v>5692550531</v>
      </c>
      <c r="F3" s="5" t="s">
        <v>3</v>
      </c>
      <c r="G3" s="6">
        <v>3399550000</v>
      </c>
      <c r="I3" s="5" t="s">
        <v>4</v>
      </c>
      <c r="J3" s="6">
        <v>40000000</v>
      </c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24900000+27350000+123400000</f>
        <v>175650000</v>
      </c>
      <c r="F4" s="5" t="s">
        <v>2</v>
      </c>
      <c r="G4" s="6">
        <v>45529200</v>
      </c>
      <c r="I4" s="5" t="s">
        <v>60</v>
      </c>
      <c r="J4" s="6">
        <v>5503282531</v>
      </c>
      <c r="K4" s="41"/>
    </row>
    <row r="5" spans="1:11" x14ac:dyDescent="0.3">
      <c r="A5" s="5" t="s">
        <v>3</v>
      </c>
      <c r="B5" s="6">
        <v>2829633333</v>
      </c>
      <c r="D5" s="5"/>
      <c r="E5" s="6"/>
      <c r="F5" s="5" t="s">
        <v>5</v>
      </c>
      <c r="G5" s="6">
        <v>680000000</v>
      </c>
      <c r="I5" s="5" t="s">
        <v>59</v>
      </c>
      <c r="J5" s="6">
        <v>231268000</v>
      </c>
      <c r="K5" s="2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180000000</v>
      </c>
      <c r="I6" s="5" t="s">
        <v>57</v>
      </c>
      <c r="J6" s="6">
        <v>0</v>
      </c>
      <c r="K6" s="41"/>
    </row>
    <row r="7" spans="1:11" x14ac:dyDescent="0.3">
      <c r="A7" s="5" t="s">
        <v>5</v>
      </c>
      <c r="B7" s="6">
        <v>500000000</v>
      </c>
      <c r="F7" s="5" t="s">
        <v>7</v>
      </c>
      <c r="G7" s="6">
        <v>28500000</v>
      </c>
      <c r="I7" s="5" t="s">
        <v>58</v>
      </c>
      <c r="J7" s="6">
        <v>8000000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16000000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3000000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3000000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150000000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25000000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31000000</v>
      </c>
    </row>
    <row r="17" spans="1:11" x14ac:dyDescent="0.3">
      <c r="A17" s="5" t="s">
        <v>14</v>
      </c>
      <c r="B17" s="6">
        <v>15000000</v>
      </c>
      <c r="E17" s="2"/>
      <c r="F17" s="5" t="s">
        <v>16</v>
      </c>
      <c r="G17" s="6">
        <v>12300000</v>
      </c>
    </row>
    <row r="18" spans="1:11" x14ac:dyDescent="0.3">
      <c r="A18" s="5" t="s">
        <v>15</v>
      </c>
      <c r="B18" s="6">
        <v>28000000</v>
      </c>
      <c r="E18" s="2"/>
      <c r="F18" s="5" t="s">
        <v>17</v>
      </c>
      <c r="G18" s="6">
        <v>15000000</v>
      </c>
    </row>
    <row r="19" spans="1:11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11" x14ac:dyDescent="0.3">
      <c r="A20" s="5" t="s">
        <v>17</v>
      </c>
      <c r="B20" s="6">
        <v>12500000</v>
      </c>
      <c r="F20" s="5" t="s">
        <v>19</v>
      </c>
      <c r="G20" s="6">
        <v>52000000</v>
      </c>
    </row>
    <row r="21" spans="1:11" x14ac:dyDescent="0.3">
      <c r="A21" s="5" t="s">
        <v>18</v>
      </c>
      <c r="B21" s="6">
        <v>6000000</v>
      </c>
      <c r="F21" s="5" t="s">
        <v>20</v>
      </c>
      <c r="G21" s="6">
        <f>E4/2</f>
        <v>87825000</v>
      </c>
    </row>
    <row r="22" spans="1:11" x14ac:dyDescent="0.3">
      <c r="A22" s="5" t="s">
        <v>19</v>
      </c>
      <c r="B22" s="6">
        <v>35000000</v>
      </c>
      <c r="F22" s="5" t="s">
        <v>21</v>
      </c>
      <c r="G22" s="6">
        <v>30000000</v>
      </c>
    </row>
    <row r="23" spans="1:11" x14ac:dyDescent="0.3">
      <c r="A23" s="5" t="s">
        <v>20</v>
      </c>
      <c r="B23" s="6">
        <v>100000000</v>
      </c>
      <c r="F23" s="5" t="s">
        <v>22</v>
      </c>
      <c r="G23" s="6">
        <v>50000000</v>
      </c>
    </row>
    <row r="24" spans="1:11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640000</v>
      </c>
      <c r="K24" s="1">
        <f>4507494619-87000000-219000000</f>
        <v>4201494619</v>
      </c>
    </row>
    <row r="25" spans="1:11" x14ac:dyDescent="0.3">
      <c r="A25" s="5" t="s">
        <v>22</v>
      </c>
      <c r="B25" s="6">
        <v>45000000</v>
      </c>
      <c r="D25" s="13" t="s">
        <v>24</v>
      </c>
      <c r="E25" s="14">
        <f>E3-G25</f>
        <v>840206331</v>
      </c>
      <c r="F25" s="16" t="s">
        <v>23</v>
      </c>
      <c r="G25" s="17">
        <f>SUM(G3:G24)</f>
        <v>4852344200</v>
      </c>
    </row>
    <row r="26" spans="1:11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0.14759751826961867</v>
      </c>
      <c r="F26" s="20"/>
      <c r="G26" s="20"/>
    </row>
    <row r="27" spans="1:11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0.19491226021820174</v>
      </c>
      <c r="F27" s="21"/>
      <c r="G27" s="20"/>
    </row>
    <row r="28" spans="1:11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11" x14ac:dyDescent="0.3">
      <c r="F29" s="2"/>
      <c r="G29" s="2"/>
      <c r="H29" s="2"/>
    </row>
    <row r="31" spans="1:11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9D6F-F145-4AF5-A743-4AFC9ECDED56}">
  <dimension ref="A1:K31"/>
  <sheetViews>
    <sheetView topLeftCell="C13" zoomScaleNormal="100" workbookViewId="0">
      <selection activeCell="E3" sqref="E3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80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J4+J5+J6+J7+29500000</f>
        <v>5681361217</v>
      </c>
      <c r="F3" s="5" t="s">
        <v>3</v>
      </c>
      <c r="G3" s="6">
        <v>3534083333</v>
      </c>
      <c r="I3" s="5" t="s">
        <v>4</v>
      </c>
      <c r="J3" s="6">
        <v>55000000</v>
      </c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66300000+37550000+136500000</f>
        <v>240350000</v>
      </c>
      <c r="F4" s="5" t="s">
        <v>2</v>
      </c>
      <c r="G4" s="6">
        <v>33087000</v>
      </c>
      <c r="I4" s="5" t="s">
        <v>60</v>
      </c>
      <c r="J4" s="6">
        <v>5406711217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520000000</v>
      </c>
      <c r="I5" s="5" t="s">
        <v>59</v>
      </c>
      <c r="J5" s="6">
        <f>228950000-10000000</f>
        <v>218950000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170000000</v>
      </c>
      <c r="I6" s="5" t="s">
        <v>57</v>
      </c>
      <c r="J6" s="6">
        <v>1200000</v>
      </c>
      <c r="K6" s="41"/>
    </row>
    <row r="7" spans="1:11" x14ac:dyDescent="0.3">
      <c r="A7" s="5" t="s">
        <v>5</v>
      </c>
      <c r="B7" s="6">
        <v>500000000</v>
      </c>
      <c r="F7" s="5" t="s">
        <v>7</v>
      </c>
      <c r="G7" s="6">
        <v>30000000</v>
      </c>
      <c r="I7" s="5" t="s">
        <v>58</v>
      </c>
      <c r="J7" s="6">
        <v>25000000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17000000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6000000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3500000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135000000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25000000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33000000</v>
      </c>
    </row>
    <row r="17" spans="1:11" x14ac:dyDescent="0.3">
      <c r="A17" s="5" t="s">
        <v>14</v>
      </c>
      <c r="B17" s="6">
        <v>15000000</v>
      </c>
      <c r="E17" s="2"/>
      <c r="F17" s="5" t="s">
        <v>16</v>
      </c>
      <c r="G17" s="6">
        <v>13500000</v>
      </c>
    </row>
    <row r="18" spans="1:11" x14ac:dyDescent="0.3">
      <c r="A18" s="5" t="s">
        <v>15</v>
      </c>
      <c r="B18" s="6">
        <v>28000000</v>
      </c>
      <c r="E18" s="2"/>
      <c r="F18" s="5" t="s">
        <v>17</v>
      </c>
      <c r="G18" s="6">
        <v>15000000</v>
      </c>
    </row>
    <row r="19" spans="1:11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11" x14ac:dyDescent="0.3">
      <c r="A20" s="5" t="s">
        <v>17</v>
      </c>
      <c r="B20" s="6">
        <v>12500000</v>
      </c>
      <c r="F20" s="5" t="s">
        <v>19</v>
      </c>
      <c r="G20" s="6">
        <v>52000000</v>
      </c>
    </row>
    <row r="21" spans="1:11" x14ac:dyDescent="0.3">
      <c r="A21" s="5" t="s">
        <v>18</v>
      </c>
      <c r="B21" s="6">
        <v>6000000</v>
      </c>
      <c r="F21" s="5" t="s">
        <v>20</v>
      </c>
      <c r="G21" s="6">
        <f>E4/2</f>
        <v>120175000</v>
      </c>
    </row>
    <row r="22" spans="1:11" x14ac:dyDescent="0.3">
      <c r="A22" s="5" t="s">
        <v>19</v>
      </c>
      <c r="B22" s="6">
        <v>35000000</v>
      </c>
      <c r="F22" s="5" t="s">
        <v>21</v>
      </c>
      <c r="G22" s="6">
        <v>40000000</v>
      </c>
    </row>
    <row r="23" spans="1:11" x14ac:dyDescent="0.3">
      <c r="A23" s="5" t="s">
        <v>20</v>
      </c>
      <c r="B23" s="6">
        <v>100000000</v>
      </c>
      <c r="F23" s="5" t="s">
        <v>22</v>
      </c>
      <c r="G23" s="6">
        <v>52000000</v>
      </c>
    </row>
    <row r="24" spans="1:11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880000</v>
      </c>
      <c r="K24" s="1">
        <f>4507494619-87000000-219000000</f>
        <v>4201494619</v>
      </c>
    </row>
    <row r="25" spans="1:11" x14ac:dyDescent="0.3">
      <c r="A25" s="5" t="s">
        <v>22</v>
      </c>
      <c r="B25" s="6">
        <v>45000000</v>
      </c>
      <c r="D25" s="13" t="s">
        <v>24</v>
      </c>
      <c r="E25" s="14">
        <f>E3-G25</f>
        <v>838135884</v>
      </c>
      <c r="F25" s="16" t="s">
        <v>23</v>
      </c>
      <c r="G25" s="17">
        <f>SUM(G3:G24)</f>
        <v>4843225333</v>
      </c>
    </row>
    <row r="26" spans="1:11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0.1475237803032301</v>
      </c>
      <c r="F26" s="20"/>
      <c r="G26" s="20"/>
    </row>
    <row r="27" spans="1:11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0.19575921100151578</v>
      </c>
      <c r="F27" s="21"/>
      <c r="G27" s="20"/>
    </row>
    <row r="28" spans="1:11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11" x14ac:dyDescent="0.3">
      <c r="F29" s="2"/>
      <c r="G29" s="2"/>
      <c r="H29" s="2"/>
    </row>
    <row r="31" spans="1:11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81FB-1E3E-4E81-9EC0-30099ACC6248}">
  <dimension ref="A1:K31"/>
  <sheetViews>
    <sheetView topLeftCell="C16" zoomScaleNormal="100" workbookViewId="0">
      <selection activeCell="G33" sqref="G33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81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J4+J5+J6+J7+20000000</f>
        <v>5533154577</v>
      </c>
      <c r="F3" s="5" t="s">
        <v>3</v>
      </c>
      <c r="G3" s="6">
        <v>3534083333</v>
      </c>
      <c r="I3" s="5" t="s">
        <v>4</v>
      </c>
      <c r="J3" s="6">
        <v>40000000</v>
      </c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13650000+23800000+133600000</f>
        <v>171050000</v>
      </c>
      <c r="F4" s="5" t="s">
        <v>2</v>
      </c>
      <c r="G4" s="6">
        <v>9000000</v>
      </c>
      <c r="I4" s="5" t="s">
        <v>60</v>
      </c>
      <c r="J4" s="6">
        <v>5300529577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550000000</v>
      </c>
      <c r="I5" s="5" t="s">
        <v>59</v>
      </c>
      <c r="J5" s="6">
        <f>211125000-8500000</f>
        <v>202625000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185000000</v>
      </c>
      <c r="I6" s="5" t="s">
        <v>57</v>
      </c>
      <c r="J6" s="6">
        <v>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30000000</v>
      </c>
      <c r="I7" s="5" t="s">
        <v>58</v>
      </c>
      <c r="J7" s="6">
        <v>10000000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17000000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6000000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3500000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135000000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30000000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35000000</v>
      </c>
    </row>
    <row r="17" spans="1:11" x14ac:dyDescent="0.3">
      <c r="A17" s="5" t="s">
        <v>14</v>
      </c>
      <c r="B17" s="6">
        <v>15000000</v>
      </c>
      <c r="E17" s="2"/>
      <c r="F17" s="5" t="s">
        <v>16</v>
      </c>
      <c r="G17" s="6">
        <v>13500000</v>
      </c>
    </row>
    <row r="18" spans="1:11" x14ac:dyDescent="0.3">
      <c r="A18" s="5" t="s">
        <v>15</v>
      </c>
      <c r="B18" s="6">
        <v>28000000</v>
      </c>
      <c r="E18" s="2"/>
      <c r="F18" s="5" t="s">
        <v>17</v>
      </c>
      <c r="G18" s="6">
        <v>15500000</v>
      </c>
    </row>
    <row r="19" spans="1:11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11" x14ac:dyDescent="0.3">
      <c r="A20" s="5" t="s">
        <v>17</v>
      </c>
      <c r="B20" s="6">
        <v>12500000</v>
      </c>
      <c r="F20" s="5" t="s">
        <v>19</v>
      </c>
      <c r="G20" s="6">
        <v>50000000</v>
      </c>
    </row>
    <row r="21" spans="1:11" x14ac:dyDescent="0.3">
      <c r="A21" s="5" t="s">
        <v>18</v>
      </c>
      <c r="B21" s="6">
        <v>6000000</v>
      </c>
      <c r="F21" s="5" t="s">
        <v>20</v>
      </c>
      <c r="G21" s="6">
        <f>E4/2</f>
        <v>85525000</v>
      </c>
    </row>
    <row r="22" spans="1:11" x14ac:dyDescent="0.3">
      <c r="A22" s="5" t="s">
        <v>19</v>
      </c>
      <c r="B22" s="6">
        <v>35000000</v>
      </c>
      <c r="F22" s="5" t="s">
        <v>21</v>
      </c>
      <c r="G22" s="6">
        <v>40000000</v>
      </c>
    </row>
    <row r="23" spans="1:11" x14ac:dyDescent="0.3">
      <c r="A23" s="5" t="s">
        <v>20</v>
      </c>
      <c r="B23" s="6">
        <v>100000000</v>
      </c>
      <c r="F23" s="5" t="s">
        <v>22</v>
      </c>
      <c r="G23" s="6">
        <v>45000000</v>
      </c>
    </row>
    <row r="24" spans="1:11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640000</v>
      </c>
      <c r="K24" s="1">
        <f>4507494619-87000000-219000000</f>
        <v>4201494619</v>
      </c>
    </row>
    <row r="25" spans="1:11" x14ac:dyDescent="0.3">
      <c r="A25" s="5" t="s">
        <v>22</v>
      </c>
      <c r="B25" s="6">
        <v>45000000</v>
      </c>
      <c r="D25" s="13" t="s">
        <v>24</v>
      </c>
      <c r="E25" s="14">
        <f>E3-G25</f>
        <v>705406244</v>
      </c>
      <c r="F25" s="16" t="s">
        <v>23</v>
      </c>
      <c r="G25" s="17">
        <f>SUM(G3:G24)</f>
        <v>4827748333</v>
      </c>
    </row>
    <row r="26" spans="1:11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0.12748717466383552</v>
      </c>
      <c r="F26" s="20"/>
      <c r="G26" s="20"/>
    </row>
    <row r="27" spans="1:11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0.16305358963307132</v>
      </c>
      <c r="F27" s="21"/>
      <c r="G27" s="20"/>
    </row>
    <row r="28" spans="1:11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11" x14ac:dyDescent="0.3">
      <c r="F29" s="2"/>
      <c r="G29" s="2"/>
      <c r="H29" s="2"/>
    </row>
    <row r="31" spans="1:11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7655-0B86-496D-B7C2-B152D95B9E93}">
  <dimension ref="A1:K31"/>
  <sheetViews>
    <sheetView topLeftCell="D1" zoomScaleNormal="100" workbookViewId="0">
      <selection activeCell="G24" sqref="G24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82</v>
      </c>
      <c r="E1" s="43"/>
      <c r="F1" s="43"/>
      <c r="G1" s="43"/>
    </row>
    <row r="2" spans="1:11" x14ac:dyDescent="0.3">
      <c r="A2" s="48" t="s">
        <v>34</v>
      </c>
      <c r="B2" s="49"/>
      <c r="D2" s="50"/>
      <c r="E2" s="51"/>
      <c r="F2" s="51"/>
      <c r="G2" s="51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J4+J5+J6+J7+20000000</f>
        <v>5345163560</v>
      </c>
      <c r="F3" s="5" t="s">
        <v>3</v>
      </c>
      <c r="G3" s="6">
        <f>3534083333+48000000-8100000</f>
        <v>3573983333</v>
      </c>
      <c r="I3" s="5" t="s">
        <v>4</v>
      </c>
      <c r="J3" s="6">
        <v>30000000</v>
      </c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3700000+6800000+26200000</f>
        <v>36700000</v>
      </c>
      <c r="F4" s="5" t="s">
        <v>2</v>
      </c>
      <c r="G4" s="6">
        <v>14000000</v>
      </c>
      <c r="I4" s="5" t="s">
        <v>60</v>
      </c>
      <c r="J4" s="6">
        <f>5232182560-25000000</f>
        <v>5207182560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550000000</v>
      </c>
      <c r="I5" s="5" t="s">
        <v>59</v>
      </c>
      <c r="J5" s="6">
        <v>35981000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185000000</v>
      </c>
      <c r="I6" s="5" t="s">
        <v>57</v>
      </c>
      <c r="J6" s="6">
        <v>70000000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30000000</v>
      </c>
      <c r="I7" s="5" t="s">
        <v>58</v>
      </c>
      <c r="J7" s="6">
        <v>12000000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18000000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3000000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2000000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135000000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10000000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30000000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36000000</v>
      </c>
    </row>
    <row r="17" spans="1:8" x14ac:dyDescent="0.3">
      <c r="A17" s="5" t="s">
        <v>14</v>
      </c>
      <c r="B17" s="6">
        <v>15000000</v>
      </c>
      <c r="E17" s="2"/>
      <c r="F17" s="5" t="s">
        <v>16</v>
      </c>
      <c r="G17" s="6">
        <v>13500000</v>
      </c>
    </row>
    <row r="18" spans="1:8" x14ac:dyDescent="0.3">
      <c r="A18" s="5" t="s">
        <v>15</v>
      </c>
      <c r="B18" s="6">
        <v>28000000</v>
      </c>
      <c r="E18" s="2"/>
      <c r="F18" s="5" t="s">
        <v>17</v>
      </c>
      <c r="G18" s="6">
        <f>15500000+4000000</f>
        <v>19500000</v>
      </c>
    </row>
    <row r="19" spans="1:8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8" x14ac:dyDescent="0.3">
      <c r="A20" s="5" t="s">
        <v>17</v>
      </c>
      <c r="B20" s="6">
        <v>12500000</v>
      </c>
      <c r="F20" s="5" t="s">
        <v>19</v>
      </c>
      <c r="G20" s="6">
        <v>190000000</v>
      </c>
    </row>
    <row r="21" spans="1:8" x14ac:dyDescent="0.3">
      <c r="A21" s="5" t="s">
        <v>18</v>
      </c>
      <c r="B21" s="6">
        <v>6000000</v>
      </c>
      <c r="F21" s="5" t="s">
        <v>20</v>
      </c>
      <c r="G21" s="6">
        <f>E4/2</f>
        <v>18350000</v>
      </c>
    </row>
    <row r="22" spans="1:8" x14ac:dyDescent="0.3">
      <c r="A22" s="5" t="s">
        <v>19</v>
      </c>
      <c r="B22" s="6">
        <v>35000000</v>
      </c>
      <c r="F22" s="5" t="s">
        <v>21</v>
      </c>
      <c r="G22" s="6">
        <v>40000000</v>
      </c>
    </row>
    <row r="23" spans="1:8" x14ac:dyDescent="0.3">
      <c r="A23" s="5" t="s">
        <v>20</v>
      </c>
      <c r="B23" s="6">
        <v>100000000</v>
      </c>
      <c r="F23" s="5" t="s">
        <v>22</v>
      </c>
      <c r="G23" s="6">
        <v>40000000</v>
      </c>
    </row>
    <row r="24" spans="1:8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480000</v>
      </c>
    </row>
    <row r="25" spans="1:8" x14ac:dyDescent="0.3">
      <c r="A25" s="5" t="s">
        <v>22</v>
      </c>
      <c r="B25" s="6">
        <v>45000000</v>
      </c>
      <c r="D25" s="13" t="s">
        <v>24</v>
      </c>
      <c r="E25" s="14">
        <f>E3-G25</f>
        <v>403350227</v>
      </c>
      <c r="F25" s="16" t="s">
        <v>23</v>
      </c>
      <c r="G25" s="17">
        <f>SUM(G3:G24)</f>
        <v>4941813333</v>
      </c>
    </row>
    <row r="26" spans="1:8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7.5460782906332624E-2</v>
      </c>
      <c r="F26" s="20"/>
      <c r="G26" s="20"/>
    </row>
    <row r="27" spans="1:8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9.2459281880685099E-2</v>
      </c>
      <c r="F27" s="21"/>
      <c r="G27" s="20"/>
    </row>
    <row r="28" spans="1:8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8" x14ac:dyDescent="0.3">
      <c r="F29" s="2"/>
      <c r="G29" s="2"/>
      <c r="H29" s="2"/>
    </row>
    <row r="31" spans="1:8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2B31-88FA-42A7-AF7B-C2FBF8748A36}">
  <dimension ref="A1:K31"/>
  <sheetViews>
    <sheetView topLeftCell="D16" zoomScaleNormal="100" workbookViewId="0">
      <selection activeCell="D1" sqref="D1:J28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83</v>
      </c>
      <c r="E1" s="43"/>
      <c r="F1" s="43"/>
      <c r="G1" s="43"/>
    </row>
    <row r="2" spans="1:11" ht="14.5" x14ac:dyDescent="0.35">
      <c r="A2" s="48" t="s">
        <v>34</v>
      </c>
      <c r="B2" s="49"/>
      <c r="D2" s="50"/>
      <c r="E2" s="51"/>
      <c r="F2" s="51"/>
      <c r="G2" s="51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J4+J5+J6+J7+11300000+9000000+16000000-3200000-E4</f>
        <v>5214110440</v>
      </c>
      <c r="F3" s="5" t="s">
        <v>3</v>
      </c>
      <c r="G3" s="6">
        <v>3577983333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8800000+64100000+25700000+154900000</f>
        <v>253500000</v>
      </c>
      <c r="F4" s="5" t="s">
        <v>2</v>
      </c>
      <c r="G4" s="6"/>
      <c r="I4" s="5" t="s">
        <v>60</v>
      </c>
      <c r="J4" s="6">
        <f>5352651440-176358000</f>
        <v>5176293440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324000000</v>
      </c>
      <c r="I5" s="5" t="s">
        <v>59</v>
      </c>
      <c r="J5" s="6">
        <v>250217000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115000000</v>
      </c>
      <c r="I6" s="5" t="s">
        <v>57</v>
      </c>
      <c r="J6" s="6">
        <v>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30000000</v>
      </c>
      <c r="I7" s="5" t="s">
        <v>58</v>
      </c>
      <c r="J7" s="6">
        <v>8000000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18000000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1500000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400000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135000000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12000000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30000000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37000000</v>
      </c>
    </row>
    <row r="17" spans="1:8" x14ac:dyDescent="0.3">
      <c r="A17" s="5" t="s">
        <v>14</v>
      </c>
      <c r="B17" s="6">
        <v>15000000</v>
      </c>
      <c r="E17" s="2"/>
      <c r="F17" s="5" t="s">
        <v>16</v>
      </c>
      <c r="G17" s="6">
        <v>13500000</v>
      </c>
    </row>
    <row r="18" spans="1:8" x14ac:dyDescent="0.3">
      <c r="A18" s="5" t="s">
        <v>15</v>
      </c>
      <c r="B18" s="6">
        <v>28000000</v>
      </c>
      <c r="E18" s="2"/>
      <c r="F18" s="5" t="s">
        <v>17</v>
      </c>
      <c r="G18" s="6">
        <v>22000000</v>
      </c>
    </row>
    <row r="19" spans="1:8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8" x14ac:dyDescent="0.3">
      <c r="A20" s="5" t="s">
        <v>17</v>
      </c>
      <c r="B20" s="6">
        <v>12500000</v>
      </c>
      <c r="F20" s="5" t="s">
        <v>19</v>
      </c>
      <c r="G20" s="6">
        <v>40000000</v>
      </c>
    </row>
    <row r="21" spans="1:8" x14ac:dyDescent="0.3">
      <c r="A21" s="5" t="s">
        <v>18</v>
      </c>
      <c r="B21" s="6">
        <v>6000000</v>
      </c>
      <c r="F21" s="5" t="s">
        <v>20</v>
      </c>
      <c r="G21" s="6">
        <f>E4/2</f>
        <v>126750000</v>
      </c>
    </row>
    <row r="22" spans="1:8" x14ac:dyDescent="0.3">
      <c r="A22" s="5" t="s">
        <v>19</v>
      </c>
      <c r="B22" s="6">
        <v>35000000</v>
      </c>
      <c r="F22" s="5" t="s">
        <v>21</v>
      </c>
      <c r="G22" s="6">
        <v>30000000</v>
      </c>
    </row>
    <row r="23" spans="1:8" x14ac:dyDescent="0.3">
      <c r="A23" s="5" t="s">
        <v>20</v>
      </c>
      <c r="B23" s="6">
        <v>100000000</v>
      </c>
      <c r="F23" s="5" t="s">
        <v>22</v>
      </c>
      <c r="G23" s="6">
        <v>35000000</v>
      </c>
    </row>
    <row r="24" spans="1:8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0</v>
      </c>
    </row>
    <row r="25" spans="1:8" x14ac:dyDescent="0.3">
      <c r="A25" s="5" t="s">
        <v>22</v>
      </c>
      <c r="B25" s="6">
        <v>45000000</v>
      </c>
      <c r="D25" s="13" t="s">
        <v>24</v>
      </c>
      <c r="E25" s="14">
        <f>E3-G25</f>
        <v>632977107</v>
      </c>
      <c r="F25" s="16" t="s">
        <v>23</v>
      </c>
      <c r="G25" s="17">
        <f>SUM(G3:G24)</f>
        <v>4581133333</v>
      </c>
    </row>
    <row r="26" spans="1:8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0.12139695050264412</v>
      </c>
      <c r="F26" s="20"/>
      <c r="G26" s="20"/>
    </row>
    <row r="27" spans="1:8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0.15564181589961534</v>
      </c>
      <c r="F27" s="21"/>
      <c r="G27" s="20"/>
    </row>
    <row r="28" spans="1:8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8" x14ac:dyDescent="0.3">
      <c r="F29" s="2"/>
      <c r="G29" s="2"/>
      <c r="H29" s="2"/>
    </row>
    <row r="31" spans="1:8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384D-EA78-44E5-889D-51B7F7912585}">
  <dimension ref="A1:G11"/>
  <sheetViews>
    <sheetView workbookViewId="0">
      <selection activeCell="I14" sqref="I13:I14"/>
    </sheetView>
  </sheetViews>
  <sheetFormatPr defaultColWidth="8.7265625" defaultRowHeight="14" x14ac:dyDescent="0.3"/>
  <cols>
    <col min="1" max="1" width="15.6328125" style="1" customWidth="1"/>
    <col min="2" max="2" width="13.81640625" style="1" customWidth="1"/>
    <col min="3" max="3" width="10.08984375" style="1" customWidth="1"/>
    <col min="4" max="4" width="10.453125" style="1" customWidth="1"/>
    <col min="5" max="5" width="8.7265625" style="1"/>
    <col min="6" max="6" width="11.1796875" style="2" customWidth="1"/>
    <col min="7" max="7" width="15.453125" style="2" customWidth="1"/>
    <col min="8" max="16384" width="8.7265625" style="1"/>
  </cols>
  <sheetData>
    <row r="1" spans="1:7" ht="30.5" customHeight="1" x14ac:dyDescent="0.3">
      <c r="A1" s="52" t="s">
        <v>53</v>
      </c>
      <c r="B1" s="52"/>
      <c r="C1" s="52"/>
      <c r="D1" s="52"/>
      <c r="E1" s="52"/>
      <c r="F1" s="52"/>
      <c r="G1" s="52"/>
    </row>
    <row r="2" spans="1:7" x14ac:dyDescent="0.3">
      <c r="A2" s="22" t="s">
        <v>54</v>
      </c>
      <c r="B2" s="22" t="s">
        <v>47</v>
      </c>
      <c r="C2" s="22" t="s">
        <v>48</v>
      </c>
      <c r="D2" s="22" t="s">
        <v>49</v>
      </c>
      <c r="E2" s="22" t="s">
        <v>50</v>
      </c>
      <c r="F2" s="23" t="s">
        <v>51</v>
      </c>
      <c r="G2" s="23" t="s">
        <v>52</v>
      </c>
    </row>
    <row r="3" spans="1:7" x14ac:dyDescent="0.3">
      <c r="A3" s="53" t="s">
        <v>55</v>
      </c>
      <c r="B3" s="24" t="s">
        <v>43</v>
      </c>
      <c r="C3" s="24">
        <v>9137</v>
      </c>
      <c r="D3" s="24">
        <v>9310</v>
      </c>
      <c r="E3" s="24">
        <f>D3-C3</f>
        <v>173</v>
      </c>
      <c r="F3" s="25">
        <v>2500</v>
      </c>
      <c r="G3" s="25">
        <f>E3*F3</f>
        <v>432500</v>
      </c>
    </row>
    <row r="4" spans="1:7" x14ac:dyDescent="0.3">
      <c r="A4" s="53"/>
      <c r="B4" s="24" t="s">
        <v>44</v>
      </c>
      <c r="C4" s="24">
        <v>11617</v>
      </c>
      <c r="D4" s="24">
        <v>11786</v>
      </c>
      <c r="E4" s="24">
        <f t="shared" ref="E4:E6" si="0">D4-C4</f>
        <v>169</v>
      </c>
      <c r="F4" s="25">
        <v>2500</v>
      </c>
      <c r="G4" s="25">
        <f t="shared" ref="G4:G10" si="1">E4*F4</f>
        <v>422500</v>
      </c>
    </row>
    <row r="5" spans="1:7" x14ac:dyDescent="0.3">
      <c r="A5" s="53"/>
      <c r="B5" s="24" t="s">
        <v>45</v>
      </c>
      <c r="C5" s="24">
        <v>7226</v>
      </c>
      <c r="D5" s="24">
        <v>7419</v>
      </c>
      <c r="E5" s="24">
        <f t="shared" si="0"/>
        <v>193</v>
      </c>
      <c r="F5" s="25">
        <v>2500</v>
      </c>
      <c r="G5" s="25">
        <f t="shared" si="1"/>
        <v>482500</v>
      </c>
    </row>
    <row r="6" spans="1:7" x14ac:dyDescent="0.3">
      <c r="A6" s="53"/>
      <c r="B6" s="24" t="s">
        <v>46</v>
      </c>
      <c r="C6" s="24">
        <v>11855</v>
      </c>
      <c r="D6" s="24">
        <v>12034</v>
      </c>
      <c r="E6" s="24">
        <f t="shared" si="0"/>
        <v>179</v>
      </c>
      <c r="F6" s="25">
        <v>2500</v>
      </c>
      <c r="G6" s="25">
        <f t="shared" si="1"/>
        <v>447500</v>
      </c>
    </row>
    <row r="7" spans="1:7" x14ac:dyDescent="0.3">
      <c r="A7" s="54" t="s">
        <v>32</v>
      </c>
      <c r="B7" s="26" t="s">
        <v>43</v>
      </c>
      <c r="C7" s="26">
        <v>9071</v>
      </c>
      <c r="D7" s="26">
        <v>9137</v>
      </c>
      <c r="E7" s="26">
        <f>D7-C7</f>
        <v>66</v>
      </c>
      <c r="F7" s="27">
        <v>2500</v>
      </c>
      <c r="G7" s="27">
        <f t="shared" si="1"/>
        <v>165000</v>
      </c>
    </row>
    <row r="8" spans="1:7" x14ac:dyDescent="0.3">
      <c r="A8" s="54"/>
      <c r="B8" s="26" t="s">
        <v>44</v>
      </c>
      <c r="C8" s="26">
        <v>11526</v>
      </c>
      <c r="D8" s="26">
        <v>11617</v>
      </c>
      <c r="E8" s="26">
        <f t="shared" ref="E8:E10" si="2">D8-C8</f>
        <v>91</v>
      </c>
      <c r="F8" s="27">
        <v>2500</v>
      </c>
      <c r="G8" s="27">
        <f t="shared" si="1"/>
        <v>227500</v>
      </c>
    </row>
    <row r="9" spans="1:7" x14ac:dyDescent="0.3">
      <c r="A9" s="54"/>
      <c r="B9" s="26" t="s">
        <v>45</v>
      </c>
      <c r="C9" s="26">
        <v>7112</v>
      </c>
      <c r="D9" s="26">
        <v>7226</v>
      </c>
      <c r="E9" s="26">
        <f t="shared" si="2"/>
        <v>114</v>
      </c>
      <c r="F9" s="27">
        <v>2500</v>
      </c>
      <c r="G9" s="27">
        <f t="shared" si="1"/>
        <v>285000</v>
      </c>
    </row>
    <row r="10" spans="1:7" x14ac:dyDescent="0.3">
      <c r="A10" s="54"/>
      <c r="B10" s="26" t="s">
        <v>46</v>
      </c>
      <c r="C10" s="26">
        <v>11748</v>
      </c>
      <c r="D10" s="26">
        <v>11855</v>
      </c>
      <c r="E10" s="26">
        <f t="shared" si="2"/>
        <v>107</v>
      </c>
      <c r="F10" s="27">
        <v>2500</v>
      </c>
      <c r="G10" s="27">
        <f t="shared" si="1"/>
        <v>267500</v>
      </c>
    </row>
    <row r="11" spans="1:7" x14ac:dyDescent="0.3">
      <c r="A11" s="22" t="s">
        <v>56</v>
      </c>
      <c r="B11" s="55"/>
      <c r="C11" s="56"/>
      <c r="D11" s="56"/>
      <c r="E11" s="56"/>
      <c r="F11" s="57"/>
      <c r="G11" s="23">
        <f>SUM(G3:G10)</f>
        <v>2730000</v>
      </c>
    </row>
  </sheetData>
  <mergeCells count="4">
    <mergeCell ref="A1:G1"/>
    <mergeCell ref="A3:A6"/>
    <mergeCell ref="A7:A10"/>
    <mergeCell ref="B11:F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4D13-ADA9-475D-8564-CD34B95BF160}">
  <dimension ref="A1:K31"/>
  <sheetViews>
    <sheetView topLeftCell="C10" zoomScaleNormal="100" workbookViewId="0">
      <selection activeCell="J25" sqref="J25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0.2695312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2" t="s">
        <v>85</v>
      </c>
      <c r="E1" s="43"/>
      <c r="F1" s="43"/>
      <c r="G1" s="43"/>
    </row>
    <row r="2" spans="1:11" ht="14.5" x14ac:dyDescent="0.35">
      <c r="A2" s="48" t="s">
        <v>34</v>
      </c>
      <c r="B2" s="49"/>
      <c r="D2" s="50"/>
      <c r="E2" s="51"/>
      <c r="F2" s="51"/>
      <c r="G2" s="51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J4+J5+J6+J7+21000000-E4</f>
        <v>5176127696</v>
      </c>
      <c r="F3" s="5" t="s">
        <v>3</v>
      </c>
      <c r="G3" s="6">
        <v>3698483333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89700000+58600000+75600000+13000000</f>
        <v>236900000</v>
      </c>
      <c r="F4" s="5" t="s">
        <v>2</v>
      </c>
      <c r="G4" s="6"/>
      <c r="I4" s="5" t="s">
        <v>60</v>
      </c>
      <c r="J4" s="6">
        <f>5308332696-115054000</f>
        <v>5193278696</v>
      </c>
      <c r="K4" t="s">
        <v>84</v>
      </c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450000000</v>
      </c>
      <c r="I5" s="5" t="s">
        <v>59</v>
      </c>
      <c r="J5" s="6">
        <v>78749000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130000000</v>
      </c>
      <c r="I6" s="5" t="s">
        <v>57</v>
      </c>
      <c r="J6" s="6">
        <v>70000000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30000000</v>
      </c>
      <c r="I7" s="5" t="s">
        <v>58</v>
      </c>
      <c r="J7" s="6">
        <v>50000000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18000000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3500000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400000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135000000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12000000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62</v>
      </c>
      <c r="G14" s="6">
        <v>10000000</v>
      </c>
      <c r="I14"/>
    </row>
    <row r="15" spans="1:11" x14ac:dyDescent="0.3">
      <c r="A15" s="5" t="s">
        <v>12</v>
      </c>
      <c r="B15" s="6">
        <v>10000000</v>
      </c>
      <c r="F15" s="5" t="s">
        <v>75</v>
      </c>
      <c r="G15" s="6">
        <v>30000000</v>
      </c>
    </row>
    <row r="16" spans="1:11" x14ac:dyDescent="0.3">
      <c r="A16" s="5" t="s">
        <v>13</v>
      </c>
      <c r="B16" s="6">
        <v>7000000</v>
      </c>
      <c r="F16" s="5" t="s">
        <v>15</v>
      </c>
      <c r="G16" s="6">
        <v>38000000</v>
      </c>
    </row>
    <row r="17" spans="1:8" x14ac:dyDescent="0.3">
      <c r="A17" s="5" t="s">
        <v>14</v>
      </c>
      <c r="B17" s="6">
        <v>15000000</v>
      </c>
      <c r="E17" s="2"/>
      <c r="F17" s="5" t="s">
        <v>16</v>
      </c>
      <c r="G17" s="6">
        <v>13500000</v>
      </c>
    </row>
    <row r="18" spans="1:8" x14ac:dyDescent="0.3">
      <c r="A18" s="5" t="s">
        <v>15</v>
      </c>
      <c r="B18" s="6">
        <v>28000000</v>
      </c>
      <c r="E18" s="2"/>
      <c r="F18" s="5" t="s">
        <v>17</v>
      </c>
      <c r="G18" s="6">
        <v>22000000</v>
      </c>
    </row>
    <row r="19" spans="1:8" x14ac:dyDescent="0.3">
      <c r="A19" s="5" t="s">
        <v>16</v>
      </c>
      <c r="B19" s="6">
        <v>10800000</v>
      </c>
      <c r="F19" s="5" t="s">
        <v>18</v>
      </c>
      <c r="G19" s="6">
        <v>5000000</v>
      </c>
    </row>
    <row r="20" spans="1:8" x14ac:dyDescent="0.3">
      <c r="A20" s="5" t="s">
        <v>17</v>
      </c>
      <c r="B20" s="6">
        <v>12500000</v>
      </c>
      <c r="F20" s="5" t="s">
        <v>19</v>
      </c>
      <c r="G20" s="6">
        <v>40000000</v>
      </c>
    </row>
    <row r="21" spans="1:8" x14ac:dyDescent="0.3">
      <c r="A21" s="5" t="s">
        <v>18</v>
      </c>
      <c r="B21" s="6">
        <v>6000000</v>
      </c>
      <c r="F21" s="5" t="s">
        <v>20</v>
      </c>
      <c r="G21" s="6">
        <f>E4/2</f>
        <v>118450000</v>
      </c>
    </row>
    <row r="22" spans="1:8" x14ac:dyDescent="0.3">
      <c r="A22" s="5" t="s">
        <v>19</v>
      </c>
      <c r="B22" s="6">
        <v>35000000</v>
      </c>
      <c r="F22" s="5" t="s">
        <v>21</v>
      </c>
      <c r="G22" s="6">
        <v>35000000</v>
      </c>
    </row>
    <row r="23" spans="1:8" x14ac:dyDescent="0.3">
      <c r="A23" s="5" t="s">
        <v>20</v>
      </c>
      <c r="B23" s="6">
        <v>100000000</v>
      </c>
      <c r="F23" s="5" t="s">
        <v>22</v>
      </c>
      <c r="G23" s="6">
        <v>35000000</v>
      </c>
    </row>
    <row r="24" spans="1:8" ht="28" x14ac:dyDescent="0.3">
      <c r="A24" s="5" t="s">
        <v>21</v>
      </c>
      <c r="B24" s="6">
        <v>45000000</v>
      </c>
      <c r="E24" s="2"/>
      <c r="F24" s="18" t="s">
        <v>36</v>
      </c>
      <c r="G24" s="6">
        <f>J3*1.6%</f>
        <v>0</v>
      </c>
    </row>
    <row r="25" spans="1:8" x14ac:dyDescent="0.3">
      <c r="A25" s="5" t="s">
        <v>22</v>
      </c>
      <c r="B25" s="6">
        <v>45000000</v>
      </c>
      <c r="D25" s="13" t="s">
        <v>24</v>
      </c>
      <c r="E25" s="14">
        <f>E3-G25</f>
        <v>333794363</v>
      </c>
      <c r="F25" s="16" t="s">
        <v>23</v>
      </c>
      <c r="G25" s="17">
        <f>SUM(G3:G24)</f>
        <v>4842333333</v>
      </c>
    </row>
    <row r="26" spans="1:8" x14ac:dyDescent="0.3">
      <c r="A26" s="5" t="s">
        <v>23</v>
      </c>
      <c r="B26" s="6">
        <f>SUM(B4:B25)-B6</f>
        <v>4026933333</v>
      </c>
      <c r="D26" s="13" t="s">
        <v>25</v>
      </c>
      <c r="E26" s="34">
        <f>E25/E3</f>
        <v>6.4487273615360982E-2</v>
      </c>
      <c r="F26" s="20"/>
      <c r="G26" s="20"/>
    </row>
    <row r="27" spans="1:8" x14ac:dyDescent="0.3">
      <c r="A27" s="5" t="s">
        <v>24</v>
      </c>
      <c r="B27" s="6">
        <f>B3-B26</f>
        <v>421610263</v>
      </c>
      <c r="D27" s="13" t="s">
        <v>37</v>
      </c>
      <c r="E27" s="19">
        <f>E25/SUM(G3,G5:G10,G24)</f>
        <v>7.7081943405863371E-2</v>
      </c>
      <c r="F27" s="21"/>
      <c r="G27" s="20"/>
    </row>
    <row r="28" spans="1:8" x14ac:dyDescent="0.3">
      <c r="A28" s="5" t="s">
        <v>25</v>
      </c>
      <c r="B28" s="8">
        <f>B27/B3</f>
        <v>9.477489742465367E-2</v>
      </c>
      <c r="D28" s="13"/>
      <c r="E28" s="19"/>
      <c r="F28" s="21"/>
      <c r="G28" s="21"/>
      <c r="H28" s="2"/>
    </row>
    <row r="29" spans="1:8" x14ac:dyDescent="0.3">
      <c r="F29" s="2"/>
      <c r="G29" s="2"/>
      <c r="H29" s="2"/>
    </row>
    <row r="31" spans="1:8" x14ac:dyDescent="0.3">
      <c r="E31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338A-03BE-47C1-8948-D6C0A2966512}">
  <dimension ref="A1:K32"/>
  <sheetViews>
    <sheetView topLeftCell="D11" zoomScaleNormal="100" workbookViewId="0">
      <selection activeCell="D1" sqref="D1:J29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3.5429687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4" t="s">
        <v>88</v>
      </c>
      <c r="E1" s="45"/>
      <c r="F1" s="45"/>
      <c r="G1" s="45"/>
    </row>
    <row r="2" spans="1:11" ht="14.5" x14ac:dyDescent="0.35">
      <c r="A2" s="48" t="s">
        <v>34</v>
      </c>
      <c r="B2" s="49"/>
      <c r="D2" s="46"/>
      <c r="E2" s="47"/>
      <c r="F2" s="47"/>
      <c r="G2" s="47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J4+J5+J6+J7-E4</f>
        <v>6143492585</v>
      </c>
      <c r="F3" s="5" t="s">
        <v>3</v>
      </c>
      <c r="G3" s="6">
        <v>3980650000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17000000+40950000+59600000+188800000</f>
        <v>306350000</v>
      </c>
      <c r="F4" s="5" t="s">
        <v>2</v>
      </c>
      <c r="G4" s="6"/>
      <c r="I4" s="5" t="s">
        <v>60</v>
      </c>
      <c r="J4" s="6">
        <v>6117098682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700000000</v>
      </c>
      <c r="I5" s="5" t="s">
        <v>59</v>
      </c>
      <c r="J5" s="6">
        <v>332743903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180000000</v>
      </c>
      <c r="I6" s="5" t="s">
        <v>57</v>
      </c>
      <c r="J6" s="6"/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31000000</v>
      </c>
      <c r="I7" s="5" t="s">
        <v>58</v>
      </c>
      <c r="J7" s="6">
        <v>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18500000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2000000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1000000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130000000</v>
      </c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12000000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f>18000000</f>
        <v>18000000</v>
      </c>
      <c r="J13" s="2"/>
    </row>
    <row r="14" spans="1:11" ht="14.5" x14ac:dyDescent="0.35">
      <c r="A14" s="5"/>
      <c r="B14" s="6"/>
      <c r="E14" s="33"/>
      <c r="F14" s="5" t="s">
        <v>86</v>
      </c>
      <c r="G14" s="6">
        <v>13500000</v>
      </c>
      <c r="I14"/>
    </row>
    <row r="15" spans="1:11" ht="14.5" x14ac:dyDescent="0.35">
      <c r="A15" s="5"/>
      <c r="B15" s="6"/>
      <c r="E15" s="33"/>
      <c r="F15" s="5" t="s">
        <v>87</v>
      </c>
      <c r="G15" s="6">
        <v>3000000</v>
      </c>
      <c r="I15"/>
    </row>
    <row r="16" spans="1:11" x14ac:dyDescent="0.3">
      <c r="A16" s="5" t="s">
        <v>12</v>
      </c>
      <c r="B16" s="6">
        <v>10000000</v>
      </c>
      <c r="F16" s="5" t="s">
        <v>75</v>
      </c>
      <c r="G16" s="6">
        <v>42000000</v>
      </c>
    </row>
    <row r="17" spans="1:8" x14ac:dyDescent="0.3">
      <c r="A17" s="5" t="s">
        <v>13</v>
      </c>
      <c r="B17" s="6">
        <v>7000000</v>
      </c>
      <c r="F17" s="5" t="s">
        <v>15</v>
      </c>
      <c r="G17" s="6">
        <v>38000000</v>
      </c>
    </row>
    <row r="18" spans="1:8" x14ac:dyDescent="0.3">
      <c r="A18" s="5" t="s">
        <v>14</v>
      </c>
      <c r="B18" s="6">
        <v>15000000</v>
      </c>
      <c r="E18" s="2"/>
      <c r="F18" s="5" t="s">
        <v>16</v>
      </c>
      <c r="G18" s="6">
        <v>15000000</v>
      </c>
    </row>
    <row r="19" spans="1:8" x14ac:dyDescent="0.3">
      <c r="A19" s="5" t="s">
        <v>15</v>
      </c>
      <c r="B19" s="6">
        <v>28000000</v>
      </c>
      <c r="E19" s="2"/>
      <c r="F19" s="5" t="s">
        <v>17</v>
      </c>
      <c r="G19" s="6">
        <v>22000000</v>
      </c>
    </row>
    <row r="20" spans="1:8" x14ac:dyDescent="0.3">
      <c r="A20" s="5" t="s">
        <v>16</v>
      </c>
      <c r="B20" s="6">
        <v>10800000</v>
      </c>
      <c r="F20" s="5" t="s">
        <v>18</v>
      </c>
      <c r="G20" s="6">
        <v>5000000</v>
      </c>
    </row>
    <row r="21" spans="1:8" x14ac:dyDescent="0.3">
      <c r="A21" s="5" t="s">
        <v>17</v>
      </c>
      <c r="B21" s="6">
        <v>12500000</v>
      </c>
      <c r="F21" s="5" t="s">
        <v>19</v>
      </c>
      <c r="G21" s="6">
        <v>58000000</v>
      </c>
    </row>
    <row r="22" spans="1:8" x14ac:dyDescent="0.3">
      <c r="A22" s="5" t="s">
        <v>18</v>
      </c>
      <c r="B22" s="6">
        <v>6000000</v>
      </c>
      <c r="F22" s="5" t="s">
        <v>20</v>
      </c>
      <c r="G22" s="6">
        <f>E4/2</f>
        <v>153175000</v>
      </c>
    </row>
    <row r="23" spans="1:8" x14ac:dyDescent="0.3">
      <c r="A23" s="5" t="s">
        <v>19</v>
      </c>
      <c r="B23" s="6">
        <v>35000000</v>
      </c>
      <c r="F23" s="5" t="s">
        <v>21</v>
      </c>
      <c r="G23" s="6">
        <v>35000000</v>
      </c>
    </row>
    <row r="24" spans="1:8" x14ac:dyDescent="0.3">
      <c r="A24" s="5" t="s">
        <v>20</v>
      </c>
      <c r="B24" s="6">
        <v>100000000</v>
      </c>
      <c r="F24" s="5" t="s">
        <v>22</v>
      </c>
      <c r="G24" s="6">
        <v>40000000</v>
      </c>
    </row>
    <row r="25" spans="1:8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0</v>
      </c>
    </row>
    <row r="26" spans="1:8" x14ac:dyDescent="0.3">
      <c r="A26" s="5" t="s">
        <v>22</v>
      </c>
      <c r="B26" s="6">
        <v>45000000</v>
      </c>
      <c r="D26" s="13" t="s">
        <v>24</v>
      </c>
      <c r="E26" s="14">
        <f>E3-G26</f>
        <v>645667585</v>
      </c>
      <c r="F26" s="16" t="s">
        <v>23</v>
      </c>
      <c r="G26" s="17">
        <f>SUM(G3:G25)</f>
        <v>5497825000</v>
      </c>
    </row>
    <row r="27" spans="1:8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0.10509780488324623</v>
      </c>
      <c r="F27" s="20"/>
      <c r="G27" s="20"/>
    </row>
    <row r="28" spans="1:8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0.13141621668379758</v>
      </c>
      <c r="F28" s="21"/>
      <c r="G28" s="20"/>
    </row>
    <row r="29" spans="1:8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8" x14ac:dyDescent="0.3">
      <c r="F30" s="2"/>
      <c r="G30" s="2"/>
      <c r="H30" s="2"/>
    </row>
    <row r="32" spans="1:8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FB06-C0A5-4C21-9461-A563E85B0F8B}">
  <dimension ref="A1:K32"/>
  <sheetViews>
    <sheetView topLeftCell="D11" zoomScaleNormal="100" workbookViewId="0">
      <selection activeCell="D1" sqref="D1:J29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3.5429687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4" t="s">
        <v>89</v>
      </c>
      <c r="E1" s="45"/>
      <c r="F1" s="45"/>
      <c r="G1" s="45"/>
    </row>
    <row r="2" spans="1:11" ht="14.5" x14ac:dyDescent="0.35">
      <c r="A2" s="48" t="s">
        <v>34</v>
      </c>
      <c r="B2" s="49"/>
      <c r="D2" s="46"/>
      <c r="E2" s="47"/>
      <c r="F2" s="47"/>
      <c r="G2" s="47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J4+J5+J6+J7-E4</f>
        <v>6123983431</v>
      </c>
      <c r="F3" s="5" t="s">
        <v>3</v>
      </c>
      <c r="G3" s="6">
        <v>3980650000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19300000+112100000+47850000+164000000</f>
        <v>343250000</v>
      </c>
      <c r="F4" s="5" t="s">
        <v>2</v>
      </c>
      <c r="G4" s="6"/>
      <c r="I4" s="5" t="s">
        <v>60</v>
      </c>
      <c r="J4" s="6">
        <v>6202657431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950000000</v>
      </c>
      <c r="I5" s="5" t="s">
        <v>59</v>
      </c>
      <c r="J5" s="6">
        <v>224576000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200000000</v>
      </c>
      <c r="I6" s="5" t="s">
        <v>57</v>
      </c>
      <c r="J6" s="6">
        <v>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32500000</v>
      </c>
      <c r="I7" s="5" t="s">
        <v>58</v>
      </c>
      <c r="J7" s="6">
        <v>40000000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19500000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5000000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2500000</v>
      </c>
      <c r="I10" s="1">
        <f>3979150000</f>
        <v>3979150000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136000000</v>
      </c>
      <c r="I11" s="2"/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12000000</v>
      </c>
    </row>
    <row r="13" spans="1:11" x14ac:dyDescent="0.3">
      <c r="A13" s="5" t="s">
        <v>11</v>
      </c>
      <c r="B13" s="6">
        <v>125000000</v>
      </c>
      <c r="E13" s="32"/>
      <c r="F13" s="5" t="s">
        <v>13</v>
      </c>
      <c r="G13" s="6">
        <v>19000000</v>
      </c>
      <c r="J13" s="2"/>
    </row>
    <row r="14" spans="1:11" ht="14.5" x14ac:dyDescent="0.35">
      <c r="A14" s="5"/>
      <c r="B14" s="6"/>
      <c r="E14" s="33"/>
      <c r="F14" s="5" t="s">
        <v>86</v>
      </c>
      <c r="G14" s="6">
        <v>15000000</v>
      </c>
      <c r="I14"/>
    </row>
    <row r="15" spans="1:11" ht="14.5" x14ac:dyDescent="0.35">
      <c r="A15" s="5"/>
      <c r="B15" s="6"/>
      <c r="E15" s="33"/>
      <c r="F15" s="5" t="s">
        <v>87</v>
      </c>
      <c r="G15" s="6">
        <v>3000000</v>
      </c>
      <c r="I15"/>
    </row>
    <row r="16" spans="1:11" x14ac:dyDescent="0.3">
      <c r="A16" s="5" t="s">
        <v>12</v>
      </c>
      <c r="B16" s="6">
        <v>10000000</v>
      </c>
      <c r="F16" s="5" t="s">
        <v>75</v>
      </c>
      <c r="G16" s="6">
        <v>42000000</v>
      </c>
    </row>
    <row r="17" spans="1:8" x14ac:dyDescent="0.3">
      <c r="A17" s="5" t="s">
        <v>13</v>
      </c>
      <c r="B17" s="6">
        <v>7000000</v>
      </c>
      <c r="F17" s="5" t="s">
        <v>15</v>
      </c>
      <c r="G17" s="6">
        <v>41000000</v>
      </c>
    </row>
    <row r="18" spans="1:8" x14ac:dyDescent="0.3">
      <c r="A18" s="5" t="s">
        <v>14</v>
      </c>
      <c r="B18" s="6">
        <v>15000000</v>
      </c>
      <c r="E18" s="2"/>
      <c r="F18" s="5" t="s">
        <v>16</v>
      </c>
      <c r="G18" s="6">
        <v>16000000</v>
      </c>
    </row>
    <row r="19" spans="1:8" x14ac:dyDescent="0.3">
      <c r="A19" s="5" t="s">
        <v>15</v>
      </c>
      <c r="B19" s="6">
        <v>28000000</v>
      </c>
      <c r="E19" s="2"/>
      <c r="F19" s="5" t="s">
        <v>17</v>
      </c>
      <c r="G19" s="6">
        <v>22000000</v>
      </c>
    </row>
    <row r="20" spans="1:8" x14ac:dyDescent="0.3">
      <c r="A20" s="5" t="s">
        <v>16</v>
      </c>
      <c r="B20" s="6">
        <v>10800000</v>
      </c>
      <c r="F20" s="5" t="s">
        <v>18</v>
      </c>
      <c r="G20" s="6">
        <v>5000000</v>
      </c>
    </row>
    <row r="21" spans="1:8" x14ac:dyDescent="0.3">
      <c r="A21" s="5" t="s">
        <v>17</v>
      </c>
      <c r="B21" s="6">
        <v>12500000</v>
      </c>
      <c r="F21" s="5" t="s">
        <v>19</v>
      </c>
      <c r="G21" s="6">
        <v>56000000</v>
      </c>
    </row>
    <row r="22" spans="1:8" x14ac:dyDescent="0.3">
      <c r="A22" s="5" t="s">
        <v>18</v>
      </c>
      <c r="B22" s="6">
        <v>6000000</v>
      </c>
      <c r="F22" s="5" t="s">
        <v>20</v>
      </c>
      <c r="G22" s="6">
        <f>E4/2</f>
        <v>171625000</v>
      </c>
    </row>
    <row r="23" spans="1:8" x14ac:dyDescent="0.3">
      <c r="A23" s="5" t="s">
        <v>19</v>
      </c>
      <c r="B23" s="6">
        <v>35000000</v>
      </c>
      <c r="E23" s="2"/>
      <c r="F23" s="5" t="s">
        <v>21</v>
      </c>
      <c r="G23" s="6">
        <v>35000000</v>
      </c>
    </row>
    <row r="24" spans="1:8" x14ac:dyDescent="0.3">
      <c r="A24" s="5" t="s">
        <v>20</v>
      </c>
      <c r="B24" s="6">
        <v>100000000</v>
      </c>
      <c r="F24" s="5" t="s">
        <v>22</v>
      </c>
      <c r="G24" s="6">
        <v>40000000</v>
      </c>
    </row>
    <row r="25" spans="1:8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0</v>
      </c>
    </row>
    <row r="26" spans="1:8" x14ac:dyDescent="0.3">
      <c r="A26" s="5" t="s">
        <v>22</v>
      </c>
      <c r="B26" s="6">
        <v>45000000</v>
      </c>
      <c r="D26" s="13" t="s">
        <v>24</v>
      </c>
      <c r="E26" s="14">
        <f>E3-G26</f>
        <v>320208431</v>
      </c>
      <c r="F26" s="16" t="s">
        <v>23</v>
      </c>
      <c r="G26" s="17">
        <f>SUM(G3:G25)</f>
        <v>5803775000</v>
      </c>
    </row>
    <row r="27" spans="1:8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5.2287605707599438E-2</v>
      </c>
      <c r="F27" s="20"/>
      <c r="G27" s="20"/>
    </row>
    <row r="28" spans="1:8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6.1695409766577072E-2</v>
      </c>
      <c r="F28" s="21"/>
      <c r="G28" s="20"/>
    </row>
    <row r="29" spans="1:8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8" x14ac:dyDescent="0.3">
      <c r="F30" s="2"/>
      <c r="G30" s="2"/>
      <c r="H30" s="2"/>
    </row>
    <row r="32" spans="1:8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BF46-86B7-4EAD-9F30-64A43737F131}">
  <dimension ref="A1:K32"/>
  <sheetViews>
    <sheetView topLeftCell="C16" zoomScaleNormal="100" workbookViewId="0">
      <selection activeCell="F31" sqref="F31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3.5429687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4" t="s">
        <v>92</v>
      </c>
      <c r="E1" s="45"/>
      <c r="F1" s="45"/>
      <c r="G1" s="45"/>
    </row>
    <row r="2" spans="1:11" ht="14.5" x14ac:dyDescent="0.35">
      <c r="A2" s="48" t="s">
        <v>34</v>
      </c>
      <c r="B2" s="49"/>
      <c r="D2" s="46"/>
      <c r="E2" s="47"/>
      <c r="F2" s="47"/>
      <c r="G2" s="47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J4+J5+J6+J7-E4</f>
        <v>6804257528</v>
      </c>
      <c r="F3" s="5" t="s">
        <v>3</v>
      </c>
      <c r="G3" s="6">
        <v>3989416667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17000000+50200000+37600000+147000000</f>
        <v>251800000</v>
      </c>
      <c r="F4" s="5" t="s">
        <v>2</v>
      </c>
      <c r="G4" s="6"/>
      <c r="I4" s="5" t="s">
        <v>60</v>
      </c>
      <c r="J4" s="6">
        <v>6794189754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1100000000</v>
      </c>
      <c r="I5" s="5" t="s">
        <v>59</v>
      </c>
      <c r="J5" s="6">
        <v>261867774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230000000</v>
      </c>
      <c r="I6" s="5" t="s">
        <v>57</v>
      </c>
      <c r="J6" s="6"/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33000000</v>
      </c>
      <c r="I7" s="5" t="s">
        <v>58</v>
      </c>
      <c r="J7" s="6"/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20000000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10000000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2000000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155000000</v>
      </c>
      <c r="I11" s="2"/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12000000</v>
      </c>
    </row>
    <row r="13" spans="1:11" x14ac:dyDescent="0.3">
      <c r="A13" s="5" t="s">
        <v>11</v>
      </c>
      <c r="B13" s="6">
        <v>125000000</v>
      </c>
      <c r="E13" s="32"/>
      <c r="F13" s="5" t="s">
        <v>90</v>
      </c>
      <c r="G13" s="6">
        <v>19000000</v>
      </c>
      <c r="I13" s="2"/>
      <c r="J13" s="2"/>
    </row>
    <row r="14" spans="1:11" ht="14.5" x14ac:dyDescent="0.35">
      <c r="A14" s="5"/>
      <c r="B14" s="6"/>
      <c r="E14" s="33"/>
      <c r="F14" s="5" t="s">
        <v>91</v>
      </c>
      <c r="G14" s="6">
        <v>15000000</v>
      </c>
      <c r="I14"/>
    </row>
    <row r="15" spans="1:11" ht="14.5" x14ac:dyDescent="0.35">
      <c r="A15" s="5"/>
      <c r="B15" s="6"/>
      <c r="E15" s="33"/>
      <c r="F15" s="5" t="s">
        <v>87</v>
      </c>
      <c r="G15" s="6">
        <v>3000000</v>
      </c>
      <c r="I15"/>
    </row>
    <row r="16" spans="1:11" x14ac:dyDescent="0.3">
      <c r="A16" s="5" t="s">
        <v>12</v>
      </c>
      <c r="B16" s="6">
        <v>10000000</v>
      </c>
      <c r="F16" s="5" t="s">
        <v>75</v>
      </c>
      <c r="G16" s="6">
        <v>48000000</v>
      </c>
    </row>
    <row r="17" spans="1:8" x14ac:dyDescent="0.3">
      <c r="A17" s="5" t="s">
        <v>13</v>
      </c>
      <c r="B17" s="6">
        <v>7000000</v>
      </c>
      <c r="F17" s="5" t="s">
        <v>15</v>
      </c>
      <c r="G17" s="6">
        <v>41000000</v>
      </c>
    </row>
    <row r="18" spans="1:8" x14ac:dyDescent="0.3">
      <c r="A18" s="5" t="s">
        <v>14</v>
      </c>
      <c r="B18" s="6">
        <v>15000000</v>
      </c>
      <c r="E18" s="2"/>
      <c r="F18" s="5" t="s">
        <v>16</v>
      </c>
      <c r="G18" s="6">
        <v>16000000</v>
      </c>
    </row>
    <row r="19" spans="1:8" x14ac:dyDescent="0.3">
      <c r="A19" s="5" t="s">
        <v>15</v>
      </c>
      <c r="B19" s="6">
        <v>28000000</v>
      </c>
      <c r="E19" s="2"/>
      <c r="F19" s="5" t="s">
        <v>17</v>
      </c>
      <c r="G19" s="6">
        <v>17000000</v>
      </c>
    </row>
    <row r="20" spans="1:8" x14ac:dyDescent="0.3">
      <c r="A20" s="5" t="s">
        <v>16</v>
      </c>
      <c r="B20" s="6">
        <v>10800000</v>
      </c>
      <c r="F20" s="5" t="s">
        <v>18</v>
      </c>
      <c r="G20" s="6">
        <v>5000000</v>
      </c>
    </row>
    <row r="21" spans="1:8" x14ac:dyDescent="0.3">
      <c r="A21" s="5" t="s">
        <v>17</v>
      </c>
      <c r="B21" s="6">
        <v>12500000</v>
      </c>
      <c r="F21" s="5" t="s">
        <v>19</v>
      </c>
      <c r="G21" s="6">
        <v>130000000</v>
      </c>
    </row>
    <row r="22" spans="1:8" x14ac:dyDescent="0.3">
      <c r="A22" s="5" t="s">
        <v>18</v>
      </c>
      <c r="B22" s="6">
        <v>6000000</v>
      </c>
      <c r="F22" s="5" t="s">
        <v>20</v>
      </c>
      <c r="G22" s="6">
        <f>E4/2</f>
        <v>125900000</v>
      </c>
    </row>
    <row r="23" spans="1:8" x14ac:dyDescent="0.3">
      <c r="A23" s="5" t="s">
        <v>19</v>
      </c>
      <c r="B23" s="6">
        <v>35000000</v>
      </c>
      <c r="E23" s="2"/>
      <c r="F23" s="5" t="s">
        <v>21</v>
      </c>
      <c r="G23" s="6">
        <v>40000000</v>
      </c>
    </row>
    <row r="24" spans="1:8" x14ac:dyDescent="0.3">
      <c r="A24" s="5" t="s">
        <v>20</v>
      </c>
      <c r="B24" s="6">
        <v>100000000</v>
      </c>
      <c r="F24" s="5" t="s">
        <v>22</v>
      </c>
      <c r="G24" s="6">
        <v>50000000</v>
      </c>
    </row>
    <row r="25" spans="1:8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0</v>
      </c>
    </row>
    <row r="26" spans="1:8" x14ac:dyDescent="0.3">
      <c r="A26" s="5" t="s">
        <v>22</v>
      </c>
      <c r="B26" s="6">
        <v>45000000</v>
      </c>
      <c r="D26" s="13" t="s">
        <v>24</v>
      </c>
      <c r="E26" s="14">
        <f>E3-G26</f>
        <v>742940861</v>
      </c>
      <c r="F26" s="16" t="s">
        <v>23</v>
      </c>
      <c r="G26" s="17">
        <f>SUM(G3:G25)</f>
        <v>6061316667</v>
      </c>
    </row>
    <row r="27" spans="1:8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0.10918764581480726</v>
      </c>
      <c r="F27" s="20"/>
      <c r="G27" s="20"/>
    </row>
    <row r="28" spans="1:8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0.13797982343256127</v>
      </c>
      <c r="F28" s="21"/>
      <c r="G28" s="20"/>
    </row>
    <row r="29" spans="1:8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8" x14ac:dyDescent="0.3">
      <c r="F30" s="2"/>
      <c r="G30" s="2"/>
      <c r="H30" s="2"/>
    </row>
    <row r="32" spans="1:8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2B4A-4635-4927-8326-48DE2F70CCD2}">
  <dimension ref="A1:K32"/>
  <sheetViews>
    <sheetView topLeftCell="D16" zoomScaleNormal="100" workbookViewId="0">
      <selection activeCell="G3" sqref="G3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3.5429687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4" t="s">
        <v>93</v>
      </c>
      <c r="E1" s="45"/>
      <c r="F1" s="45"/>
      <c r="G1" s="45"/>
    </row>
    <row r="2" spans="1:11" ht="14.5" x14ac:dyDescent="0.35">
      <c r="A2" s="48" t="s">
        <v>34</v>
      </c>
      <c r="B2" s="49"/>
      <c r="D2" s="46"/>
      <c r="E2" s="47"/>
      <c r="F2" s="47"/>
      <c r="G2" s="47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J4+J5+J6+J7-E4-40000000</f>
        <v>6757607525</v>
      </c>
      <c r="F3" s="5" t="s">
        <v>3</v>
      </c>
      <c r="G3" s="6">
        <v>4109150000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12300000+99650000+69500000+228800000</f>
        <v>410250000</v>
      </c>
      <c r="F4" s="5" t="s">
        <v>2</v>
      </c>
      <c r="G4" s="6"/>
      <c r="I4" s="5" t="s">
        <v>60</v>
      </c>
      <c r="J4" s="6">
        <v>6792884525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950000000</v>
      </c>
      <c r="I5" s="5" t="s">
        <v>59</v>
      </c>
      <c r="J5" s="6">
        <v>404973000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220000000</v>
      </c>
      <c r="I6" s="5" t="s">
        <v>57</v>
      </c>
      <c r="J6" s="6">
        <v>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33000000</v>
      </c>
      <c r="I7" s="5" t="s">
        <v>58</v>
      </c>
      <c r="J7" s="6">
        <v>10000000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20000000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3000000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1500000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155000000</v>
      </c>
      <c r="I11" s="2"/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13000000</v>
      </c>
    </row>
    <row r="13" spans="1:11" x14ac:dyDescent="0.3">
      <c r="A13" s="5" t="s">
        <v>11</v>
      </c>
      <c r="B13" s="6">
        <v>125000000</v>
      </c>
      <c r="E13" s="32"/>
      <c r="F13" s="5" t="s">
        <v>90</v>
      </c>
      <c r="G13" s="6">
        <v>19500000</v>
      </c>
      <c r="I13" s="2"/>
      <c r="J13" s="2"/>
    </row>
    <row r="14" spans="1:11" ht="14.5" x14ac:dyDescent="0.35">
      <c r="A14" s="5"/>
      <c r="B14" s="6"/>
      <c r="E14" s="33"/>
      <c r="F14" s="5" t="s">
        <v>91</v>
      </c>
      <c r="G14" s="6">
        <v>15500000</v>
      </c>
      <c r="I14"/>
    </row>
    <row r="15" spans="1:11" ht="14.5" x14ac:dyDescent="0.35">
      <c r="A15" s="5"/>
      <c r="B15" s="6"/>
      <c r="E15" s="33"/>
      <c r="F15" s="5" t="s">
        <v>87</v>
      </c>
      <c r="G15" s="6">
        <v>3000000</v>
      </c>
      <c r="I15"/>
    </row>
    <row r="16" spans="1:11" x14ac:dyDescent="0.3">
      <c r="A16" s="5" t="s">
        <v>12</v>
      </c>
      <c r="B16" s="6">
        <v>10000000</v>
      </c>
      <c r="F16" s="5" t="s">
        <v>75</v>
      </c>
      <c r="G16" s="6">
        <v>50000000</v>
      </c>
    </row>
    <row r="17" spans="1:8" x14ac:dyDescent="0.3">
      <c r="A17" s="5" t="s">
        <v>13</v>
      </c>
      <c r="B17" s="6">
        <v>7000000</v>
      </c>
      <c r="F17" s="5" t="s">
        <v>15</v>
      </c>
      <c r="G17" s="6">
        <v>42000000</v>
      </c>
    </row>
    <row r="18" spans="1:8" x14ac:dyDescent="0.3">
      <c r="A18" s="5" t="s">
        <v>14</v>
      </c>
      <c r="B18" s="6">
        <v>15000000</v>
      </c>
      <c r="E18" s="2"/>
      <c r="F18" s="5" t="s">
        <v>16</v>
      </c>
      <c r="G18" s="6">
        <v>16000000</v>
      </c>
    </row>
    <row r="19" spans="1:8" x14ac:dyDescent="0.3">
      <c r="A19" s="5" t="s">
        <v>15</v>
      </c>
      <c r="B19" s="6">
        <v>28000000</v>
      </c>
      <c r="E19" s="2"/>
      <c r="F19" s="5" t="s">
        <v>17</v>
      </c>
      <c r="G19" s="6">
        <v>17000000</v>
      </c>
    </row>
    <row r="20" spans="1:8" x14ac:dyDescent="0.3">
      <c r="A20" s="5" t="s">
        <v>16</v>
      </c>
      <c r="B20" s="6">
        <v>10800000</v>
      </c>
      <c r="F20" s="5" t="s">
        <v>18</v>
      </c>
      <c r="G20" s="6">
        <v>5500000</v>
      </c>
    </row>
    <row r="21" spans="1:8" x14ac:dyDescent="0.3">
      <c r="A21" s="5" t="s">
        <v>17</v>
      </c>
      <c r="B21" s="6">
        <v>12500000</v>
      </c>
      <c r="F21" s="5" t="s">
        <v>19</v>
      </c>
      <c r="G21" s="6">
        <v>56000000</v>
      </c>
    </row>
    <row r="22" spans="1:8" x14ac:dyDescent="0.3">
      <c r="A22" s="5" t="s">
        <v>18</v>
      </c>
      <c r="B22" s="6">
        <v>6000000</v>
      </c>
      <c r="F22" s="5" t="s">
        <v>20</v>
      </c>
      <c r="G22" s="6">
        <f>E4/2</f>
        <v>205125000</v>
      </c>
    </row>
    <row r="23" spans="1:8" x14ac:dyDescent="0.3">
      <c r="A23" s="5" t="s">
        <v>19</v>
      </c>
      <c r="B23" s="6">
        <v>35000000</v>
      </c>
      <c r="E23" s="2"/>
      <c r="F23" s="5" t="s">
        <v>21</v>
      </c>
      <c r="G23" s="6">
        <v>50000000</v>
      </c>
    </row>
    <row r="24" spans="1:8" x14ac:dyDescent="0.3">
      <c r="A24" s="5" t="s">
        <v>20</v>
      </c>
      <c r="B24" s="6">
        <v>100000000</v>
      </c>
      <c r="F24" s="5" t="s">
        <v>22</v>
      </c>
      <c r="G24" s="6">
        <v>50000000</v>
      </c>
    </row>
    <row r="25" spans="1:8" ht="28" x14ac:dyDescent="0.3">
      <c r="A25" s="5" t="s">
        <v>21</v>
      </c>
      <c r="B25" s="6">
        <v>45000000</v>
      </c>
      <c r="E25" s="2"/>
      <c r="F25" s="18" t="s">
        <v>36</v>
      </c>
      <c r="G25" s="6">
        <f>J3*1.6%</f>
        <v>0</v>
      </c>
    </row>
    <row r="26" spans="1:8" x14ac:dyDescent="0.3">
      <c r="A26" s="5" t="s">
        <v>22</v>
      </c>
      <c r="B26" s="6">
        <v>45000000</v>
      </c>
      <c r="D26" s="13" t="s">
        <v>24</v>
      </c>
      <c r="E26" s="14">
        <f>E3-G26</f>
        <v>723332525</v>
      </c>
      <c r="F26" s="16" t="s">
        <v>23</v>
      </c>
      <c r="G26" s="17">
        <f>SUM(G3:G25)</f>
        <v>6034275000</v>
      </c>
    </row>
    <row r="27" spans="1:8" x14ac:dyDescent="0.3">
      <c r="A27" s="5" t="s">
        <v>23</v>
      </c>
      <c r="B27" s="6">
        <f>SUM(B4:B26)-B6</f>
        <v>4026933333</v>
      </c>
      <c r="D27" s="13" t="s">
        <v>25</v>
      </c>
      <c r="E27" s="34">
        <f>E26/E3</f>
        <v>0.10703973593080193</v>
      </c>
      <c r="F27" s="20"/>
      <c r="G27" s="20"/>
    </row>
    <row r="28" spans="1:8" x14ac:dyDescent="0.3">
      <c r="A28" s="5" t="s">
        <v>24</v>
      </c>
      <c r="B28" s="6">
        <f>B3-B27</f>
        <v>421610263</v>
      </c>
      <c r="D28" s="13" t="s">
        <v>37</v>
      </c>
      <c r="E28" s="19">
        <f>E26/SUM(G3,G5:G10,G25)</f>
        <v>0.13554055915227717</v>
      </c>
      <c r="F28" s="21"/>
      <c r="G28" s="20"/>
    </row>
    <row r="29" spans="1:8" x14ac:dyDescent="0.3">
      <c r="A29" s="5" t="s">
        <v>25</v>
      </c>
      <c r="B29" s="8">
        <f>B28/B3</f>
        <v>9.477489742465367E-2</v>
      </c>
      <c r="D29" s="13"/>
      <c r="E29" s="19"/>
      <c r="F29" s="21"/>
      <c r="G29" s="21"/>
      <c r="H29" s="2"/>
    </row>
    <row r="30" spans="1:8" x14ac:dyDescent="0.3">
      <c r="F30" s="2"/>
      <c r="G30" s="2"/>
      <c r="H30" s="2"/>
    </row>
    <row r="32" spans="1:8" x14ac:dyDescent="0.3">
      <c r="E32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96B2-E91D-42EA-9446-3DC6B5D51945}">
  <dimension ref="A1:K33"/>
  <sheetViews>
    <sheetView tabSelected="1" topLeftCell="D1" zoomScaleNormal="100" workbookViewId="0">
      <selection activeCell="I11" sqref="I11"/>
    </sheetView>
  </sheetViews>
  <sheetFormatPr defaultColWidth="8.7265625" defaultRowHeight="14" x14ac:dyDescent="0.3"/>
  <cols>
    <col min="1" max="1" width="26.7265625" style="1" customWidth="1"/>
    <col min="2" max="2" width="26.81640625" style="2" customWidth="1"/>
    <col min="3" max="3" width="8.7265625" style="1"/>
    <col min="4" max="4" width="26.1796875" style="1" customWidth="1"/>
    <col min="5" max="5" width="27.26953125" style="1" customWidth="1"/>
    <col min="6" max="6" width="27.08984375" style="1" customWidth="1"/>
    <col min="7" max="7" width="16.26953125" style="1" customWidth="1"/>
    <col min="8" max="8" width="8.7265625" style="1"/>
    <col min="9" max="9" width="28.6328125" style="1" customWidth="1"/>
    <col min="10" max="10" width="17.81640625" style="1" customWidth="1"/>
    <col min="11" max="11" width="12.90625" style="1" customWidth="1"/>
    <col min="12" max="16384" width="8.7265625" style="1"/>
  </cols>
  <sheetData>
    <row r="1" spans="1:11" x14ac:dyDescent="0.3">
      <c r="A1" s="42" t="s">
        <v>33</v>
      </c>
      <c r="B1" s="43"/>
      <c r="D1" s="44" t="s">
        <v>95</v>
      </c>
      <c r="E1" s="45"/>
      <c r="F1" s="45"/>
      <c r="G1" s="45"/>
    </row>
    <row r="2" spans="1:11" ht="14.5" x14ac:dyDescent="0.35">
      <c r="A2" s="48" t="s">
        <v>34</v>
      </c>
      <c r="B2" s="49"/>
      <c r="D2" s="46"/>
      <c r="E2" s="47"/>
      <c r="F2" s="47"/>
      <c r="G2" s="47"/>
      <c r="H2"/>
    </row>
    <row r="3" spans="1:11" x14ac:dyDescent="0.3">
      <c r="A3" s="5" t="s">
        <v>1</v>
      </c>
      <c r="B3" s="6">
        <f>4433543596+65000000-50000000</f>
        <v>4448543596</v>
      </c>
      <c r="D3" s="16" t="s">
        <v>76</v>
      </c>
      <c r="E3" s="17">
        <f>J4+J5+J6+J7-E4+30000000</f>
        <v>7106329529</v>
      </c>
      <c r="F3" s="5" t="s">
        <v>3</v>
      </c>
      <c r="G3" s="6">
        <v>4306883333</v>
      </c>
      <c r="I3" s="5" t="s">
        <v>4</v>
      </c>
      <c r="J3" s="6"/>
    </row>
    <row r="4" spans="1:11" ht="14.5" x14ac:dyDescent="0.35">
      <c r="A4" s="5" t="s">
        <v>2</v>
      </c>
      <c r="B4" s="6">
        <v>16000000</v>
      </c>
      <c r="D4" s="5" t="s">
        <v>35</v>
      </c>
      <c r="E4" s="6">
        <f>245700000+83150000+317900000+75950000</f>
        <v>722700000</v>
      </c>
      <c r="F4" s="5" t="s">
        <v>2</v>
      </c>
      <c r="G4" s="6"/>
      <c r="I4" s="5" t="s">
        <v>60</v>
      </c>
      <c r="J4" s="6">
        <v>7635417529</v>
      </c>
      <c r="K4"/>
    </row>
    <row r="5" spans="1:11" ht="14.5" x14ac:dyDescent="0.35">
      <c r="A5" s="5" t="s">
        <v>3</v>
      </c>
      <c r="B5" s="6">
        <v>2829633333</v>
      </c>
      <c r="D5" s="5"/>
      <c r="E5" s="6"/>
      <c r="F5" s="5" t="s">
        <v>5</v>
      </c>
      <c r="G5" s="6">
        <v>1000000000</v>
      </c>
      <c r="I5" s="5" t="s">
        <v>59</v>
      </c>
      <c r="J5" s="6">
        <v>126912000</v>
      </c>
      <c r="K5"/>
    </row>
    <row r="6" spans="1:11" ht="14.5" x14ac:dyDescent="0.35">
      <c r="A6" s="5" t="s">
        <v>4</v>
      </c>
      <c r="B6" s="6">
        <v>120000000</v>
      </c>
      <c r="F6" s="5" t="s">
        <v>6</v>
      </c>
      <c r="G6" s="6">
        <v>230000000</v>
      </c>
      <c r="I6" s="5" t="s">
        <v>57</v>
      </c>
      <c r="J6" s="6">
        <v>30000000</v>
      </c>
      <c r="K6"/>
    </row>
    <row r="7" spans="1:11" x14ac:dyDescent="0.3">
      <c r="A7" s="5" t="s">
        <v>5</v>
      </c>
      <c r="B7" s="6">
        <v>500000000</v>
      </c>
      <c r="F7" s="5" t="s">
        <v>7</v>
      </c>
      <c r="G7" s="6">
        <v>34000000</v>
      </c>
      <c r="I7" s="5" t="s">
        <v>58</v>
      </c>
      <c r="J7" s="6">
        <v>6700000</v>
      </c>
      <c r="K7" s="2"/>
    </row>
    <row r="8" spans="1:11" x14ac:dyDescent="0.3">
      <c r="A8" s="5" t="s">
        <v>6</v>
      </c>
      <c r="B8" s="6">
        <v>200000000</v>
      </c>
      <c r="E8" s="37"/>
      <c r="F8" s="5" t="s">
        <v>8</v>
      </c>
      <c r="G8" s="6">
        <v>21000000</v>
      </c>
      <c r="I8" s="5"/>
      <c r="J8" s="5"/>
    </row>
    <row r="9" spans="1:11" x14ac:dyDescent="0.3">
      <c r="A9" s="5" t="s">
        <v>7</v>
      </c>
      <c r="B9" s="6">
        <v>22000000</v>
      </c>
      <c r="E9" s="38"/>
      <c r="F9" s="5" t="s">
        <v>9</v>
      </c>
      <c r="G9" s="6">
        <v>3000000</v>
      </c>
      <c r="I9" s="29"/>
    </row>
    <row r="10" spans="1:11" x14ac:dyDescent="0.3">
      <c r="A10" s="5" t="s">
        <v>8</v>
      </c>
      <c r="B10" s="6">
        <v>12000000</v>
      </c>
      <c r="E10" s="39"/>
      <c r="F10" s="5" t="s">
        <v>10</v>
      </c>
      <c r="G10" s="6">
        <v>1000000</v>
      </c>
    </row>
    <row r="11" spans="1:11" x14ac:dyDescent="0.3">
      <c r="A11" s="5" t="s">
        <v>9</v>
      </c>
      <c r="B11" s="6">
        <v>6000000</v>
      </c>
      <c r="E11" s="39"/>
      <c r="F11" s="5" t="s">
        <v>11</v>
      </c>
      <c r="G11" s="6">
        <v>155000000</v>
      </c>
      <c r="I11" s="2"/>
      <c r="J11" s="6"/>
    </row>
    <row r="12" spans="1:11" x14ac:dyDescent="0.3">
      <c r="A12" s="5" t="s">
        <v>10</v>
      </c>
      <c r="B12" s="6">
        <v>2000000</v>
      </c>
      <c r="E12" s="38"/>
      <c r="F12" s="5" t="s">
        <v>12</v>
      </c>
      <c r="G12" s="6">
        <v>13000000</v>
      </c>
    </row>
    <row r="13" spans="1:11" x14ac:dyDescent="0.3">
      <c r="A13" s="5" t="s">
        <v>11</v>
      </c>
      <c r="B13" s="6">
        <v>125000000</v>
      </c>
      <c r="E13" s="32"/>
      <c r="F13" s="5" t="s">
        <v>90</v>
      </c>
      <c r="G13" s="6">
        <v>18000000</v>
      </c>
      <c r="I13" s="2"/>
      <c r="J13" s="2"/>
    </row>
    <row r="14" spans="1:11" ht="14.5" x14ac:dyDescent="0.35">
      <c r="A14" s="5"/>
      <c r="B14" s="6"/>
      <c r="E14" s="33"/>
      <c r="F14" s="5" t="s">
        <v>91</v>
      </c>
      <c r="G14" s="6">
        <v>14500000</v>
      </c>
      <c r="I14"/>
    </row>
    <row r="15" spans="1:11" ht="14.5" x14ac:dyDescent="0.35">
      <c r="A15" s="5"/>
      <c r="B15" s="6"/>
      <c r="E15" s="33"/>
      <c r="F15" s="5" t="s">
        <v>94</v>
      </c>
      <c r="G15" s="6">
        <v>4000000</v>
      </c>
      <c r="I15"/>
    </row>
    <row r="16" spans="1:11" ht="14.5" x14ac:dyDescent="0.35">
      <c r="A16" s="5"/>
      <c r="B16" s="6"/>
      <c r="E16" s="33"/>
      <c r="F16" s="5" t="s">
        <v>87</v>
      </c>
      <c r="G16" s="6">
        <v>3000000</v>
      </c>
      <c r="I16"/>
    </row>
    <row r="17" spans="1:8" x14ac:dyDescent="0.3">
      <c r="A17" s="5" t="s">
        <v>12</v>
      </c>
      <c r="B17" s="6">
        <v>10000000</v>
      </c>
      <c r="F17" s="5" t="s">
        <v>75</v>
      </c>
      <c r="G17" s="6">
        <v>52000000</v>
      </c>
    </row>
    <row r="18" spans="1:8" x14ac:dyDescent="0.3">
      <c r="A18" s="5" t="s">
        <v>13</v>
      </c>
      <c r="B18" s="6">
        <v>7000000</v>
      </c>
      <c r="F18" s="5" t="s">
        <v>15</v>
      </c>
      <c r="G18" s="6">
        <v>43000000</v>
      </c>
    </row>
    <row r="19" spans="1:8" x14ac:dyDescent="0.3">
      <c r="A19" s="5" t="s">
        <v>14</v>
      </c>
      <c r="B19" s="6">
        <v>15000000</v>
      </c>
      <c r="E19" s="2"/>
      <c r="F19" s="5" t="s">
        <v>16</v>
      </c>
      <c r="G19" s="6">
        <v>16300000</v>
      </c>
    </row>
    <row r="20" spans="1:8" x14ac:dyDescent="0.3">
      <c r="A20" s="5" t="s">
        <v>15</v>
      </c>
      <c r="B20" s="6">
        <v>28000000</v>
      </c>
      <c r="E20" s="2"/>
      <c r="F20" s="5" t="s">
        <v>17</v>
      </c>
      <c r="G20" s="6">
        <v>21000000</v>
      </c>
    </row>
    <row r="21" spans="1:8" x14ac:dyDescent="0.3">
      <c r="A21" s="5" t="s">
        <v>16</v>
      </c>
      <c r="B21" s="6">
        <v>10800000</v>
      </c>
      <c r="F21" s="5" t="s">
        <v>18</v>
      </c>
      <c r="G21" s="6">
        <v>5500000</v>
      </c>
    </row>
    <row r="22" spans="1:8" x14ac:dyDescent="0.3">
      <c r="A22" s="5" t="s">
        <v>17</v>
      </c>
      <c r="B22" s="6">
        <v>12500000</v>
      </c>
      <c r="F22" s="5" t="s">
        <v>19</v>
      </c>
      <c r="G22" s="6">
        <v>56000000</v>
      </c>
    </row>
    <row r="23" spans="1:8" x14ac:dyDescent="0.3">
      <c r="A23" s="5" t="s">
        <v>18</v>
      </c>
      <c r="B23" s="6">
        <v>6000000</v>
      </c>
      <c r="F23" s="5" t="s">
        <v>20</v>
      </c>
      <c r="G23" s="6">
        <f>E4/2</f>
        <v>361350000</v>
      </c>
    </row>
    <row r="24" spans="1:8" x14ac:dyDescent="0.3">
      <c r="A24" s="5" t="s">
        <v>19</v>
      </c>
      <c r="B24" s="6">
        <v>35000000</v>
      </c>
      <c r="E24" s="2"/>
      <c r="F24" s="5" t="s">
        <v>21</v>
      </c>
      <c r="G24" s="6">
        <v>60000000</v>
      </c>
    </row>
    <row r="25" spans="1:8" x14ac:dyDescent="0.3">
      <c r="A25" s="5" t="s">
        <v>20</v>
      </c>
      <c r="B25" s="6">
        <v>100000000</v>
      </c>
      <c r="F25" s="5" t="s">
        <v>22</v>
      </c>
      <c r="G25" s="6">
        <v>50000000</v>
      </c>
    </row>
    <row r="26" spans="1:8" x14ac:dyDescent="0.3">
      <c r="A26" s="5" t="s">
        <v>21</v>
      </c>
      <c r="B26" s="6">
        <v>45000000</v>
      </c>
      <c r="E26" s="2"/>
      <c r="F26" s="18" t="s">
        <v>36</v>
      </c>
      <c r="G26" s="6">
        <f>J3*1.6%</f>
        <v>0</v>
      </c>
    </row>
    <row r="27" spans="1:8" x14ac:dyDescent="0.3">
      <c r="A27" s="5" t="s">
        <v>22</v>
      </c>
      <c r="B27" s="6">
        <v>45000000</v>
      </c>
      <c r="D27" s="13" t="s">
        <v>24</v>
      </c>
      <c r="E27" s="14">
        <f>E3-G27</f>
        <v>637796196</v>
      </c>
      <c r="F27" s="16" t="s">
        <v>23</v>
      </c>
      <c r="G27" s="17">
        <f>SUM(G3:G26)</f>
        <v>6468533333</v>
      </c>
    </row>
    <row r="28" spans="1:8" x14ac:dyDescent="0.3">
      <c r="A28" s="5" t="s">
        <v>23</v>
      </c>
      <c r="B28" s="6">
        <f>SUM(B4:B27)-B6</f>
        <v>4026933333</v>
      </c>
      <c r="D28" s="13" t="s">
        <v>25</v>
      </c>
      <c r="E28" s="34">
        <f>E27/E3</f>
        <v>8.9750439153889111E-2</v>
      </c>
      <c r="F28" s="20"/>
      <c r="G28" s="20"/>
    </row>
    <row r="29" spans="1:8" x14ac:dyDescent="0.3">
      <c r="A29" s="5" t="s">
        <v>24</v>
      </c>
      <c r="B29" s="6">
        <f>B3-B28</f>
        <v>421610263</v>
      </c>
      <c r="D29" s="13" t="s">
        <v>37</v>
      </c>
      <c r="E29" s="19">
        <f>E27/SUM(G3,G5:G10,G26)</f>
        <v>0.11397596376586216</v>
      </c>
      <c r="F29" s="21"/>
      <c r="G29" s="20"/>
    </row>
    <row r="30" spans="1:8" x14ac:dyDescent="0.3">
      <c r="A30" s="5" t="s">
        <v>25</v>
      </c>
      <c r="B30" s="8">
        <f>B29/B3</f>
        <v>9.477489742465367E-2</v>
      </c>
      <c r="D30" s="13"/>
      <c r="E30" s="19"/>
      <c r="F30" s="21"/>
      <c r="G30" s="21"/>
      <c r="H30" s="2"/>
    </row>
    <row r="31" spans="1:8" x14ac:dyDescent="0.3">
      <c r="F31" s="2"/>
      <c r="G31" s="2"/>
      <c r="H31" s="2"/>
    </row>
    <row r="33" spans="5:5" x14ac:dyDescent="0.3">
      <c r="E33" s="2"/>
    </row>
  </sheetData>
  <mergeCells count="3">
    <mergeCell ref="A1:B1"/>
    <mergeCell ref="D1:G2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Tháng 4</vt:lpstr>
      <vt:lpstr>Tháng 3</vt:lpstr>
      <vt:lpstr>Tháng 5 </vt:lpstr>
      <vt:lpstr>Tháng 6</vt:lpstr>
      <vt:lpstr>Tháng 7 </vt:lpstr>
      <vt:lpstr>Tháng 8  </vt:lpstr>
      <vt:lpstr>Tháng 8 .</vt:lpstr>
      <vt:lpstr>Tháng 9</vt:lpstr>
      <vt:lpstr>Tháng 10</vt:lpstr>
      <vt:lpstr>Tháng 11</vt:lpstr>
      <vt:lpstr>Tháng 12</vt:lpstr>
      <vt:lpstr>Tháng 1.2026</vt:lpstr>
      <vt:lpstr>Tháng 2.2026 </vt:lpstr>
      <vt:lpstr>Tháng 3.2026 </vt:lpstr>
      <vt:lpstr>Sheet1</vt:lpstr>
      <vt:lpstr>Tháng 4.2026  </vt:lpstr>
      <vt:lpstr>Tháng 5.2026 </vt:lpstr>
      <vt:lpstr>Tháng 6.2026 </vt:lpstr>
      <vt:lpstr>Tháng 7.2026  </vt:lpstr>
      <vt:lpstr>Tháng 8.2026  </vt:lpstr>
      <vt:lpstr>Tháng 9.2026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2025-03-11T00:10:01Z</dcterms:created>
  <dcterms:modified xsi:type="dcterms:W3CDTF">2026-09-22T03:06:41Z</dcterms:modified>
</cp:coreProperties>
</file>
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ngoc oi\TÀI CHÍNH THÁNG 8.2026\"/>
    </mc:Choice>
  </mc:AlternateContent>
  <xr:revisionPtr revIDLastSave="0" documentId="13_ncr:1_{C43C3CD5-38F2-44D9-89A1-C7CFEBA2091B}" xr6:coauthVersionLast="47" xr6:coauthVersionMax="47" xr10:uidLastSave="{00000000-0000-0000-0000-000000000000}"/>
  <bookViews>
    <workbookView xWindow="-110" yWindow="-110" windowWidth="19420" windowHeight="11500" firstSheet="18" activeTab="22" xr2:uid="{A9130BA4-61B2-41E1-B584-D87D02E43243}"/>
  </bookViews>
  <sheets>
    <sheet name="LƯƠNG THÁNG 2" sheetId="4" state="hidden" r:id="rId1"/>
    <sheet name="A Điệp T1.26" sheetId="1" state="hidden" r:id="rId2"/>
    <sheet name="A Ước T1.26" sheetId="2" state="hidden" r:id="rId3"/>
    <sheet name="Trường" sheetId="3" state="hidden" r:id="rId4"/>
    <sheet name="a Điệp T2.26" sheetId="5" state="hidden" r:id="rId5"/>
    <sheet name="A Ước T2.26" sheetId="7" state="hidden" r:id="rId6"/>
    <sheet name="trường.2.26" sheetId="8" state="hidden" r:id="rId7"/>
    <sheet name="trường tháng 3" sheetId="11" state="hidden" r:id="rId8"/>
    <sheet name="A Điệp T3.26" sheetId="9" state="hidden" r:id="rId9"/>
    <sheet name="A Ước T3.26" sheetId="10" state="hidden" r:id="rId10"/>
    <sheet name="LƯƠNG THÁNG 3 " sheetId="12" state="hidden" r:id="rId11"/>
    <sheet name="Trường T4.26" sheetId="15" state="hidden" r:id="rId12"/>
    <sheet name="A Điệp T4.26" sheetId="13" state="hidden" r:id="rId13"/>
    <sheet name="A Ước T4.26" sheetId="14" state="hidden" r:id="rId14"/>
    <sheet name="A Điệp 5.26" sheetId="16" state="hidden" r:id="rId15"/>
    <sheet name="A Ước 5.26 " sheetId="17" state="hidden" r:id="rId16"/>
    <sheet name="trường t5.2026" sheetId="18" state="hidden" r:id="rId17"/>
    <sheet name="Sheet4" sheetId="19" state="hidden" r:id="rId18"/>
    <sheet name="A Điệp 6.26" sheetId="21" r:id="rId19"/>
    <sheet name="A Ước 6.26" sheetId="22" r:id="rId20"/>
    <sheet name="Trường 6.2026" sheetId="23" state="hidden" r:id="rId21"/>
    <sheet name="A Điệp 7.26" sheetId="25" r:id="rId22"/>
    <sheet name="A Ước 7.26" sheetId="26" r:id="rId23"/>
    <sheet name="LƯƠNG THÁNG 5" sheetId="20" state="hidden" r:id="rId24"/>
    <sheet name="LƯƠNG THÁNG 6" sheetId="24" state="hidden" r:id="rId25"/>
    <sheet name="LƯƠNG THÁNG 7" sheetId="27" state="hidden" r:id="rId26"/>
    <sheet name="A Điệp 8.26" sheetId="28" r:id="rId27"/>
    <sheet name="A Ước 8.26" sheetId="29" r:id="rId28"/>
    <sheet name="LƯƠNG THÁNG 8" sheetId="30" r:id="rId29"/>
  </sheets>
  <definedNames>
    <definedName name="_xlnm._FilterDatabase" localSheetId="14" hidden="1">'A Điệp 5.26'!$A$2:$G$81</definedName>
    <definedName name="_xlnm._FilterDatabase" localSheetId="18" hidden="1">'A Điệp 6.26'!$A$2:$G$2</definedName>
    <definedName name="_xlnm._FilterDatabase" localSheetId="21" hidden="1">'A Điệp 7.26'!$A$2:$G$98</definedName>
    <definedName name="_xlnm._FilterDatabase" localSheetId="26" hidden="1">'A Điệp 8.26'!$A$2:$I$101</definedName>
    <definedName name="_xlnm._FilterDatabase" localSheetId="1" hidden="1">'A Điệp T1.26'!$A$2:$G$72</definedName>
    <definedName name="_xlnm._FilterDatabase" localSheetId="4" hidden="1">'a Điệp T2.26'!$A$2:$G$48</definedName>
    <definedName name="_xlnm._FilterDatabase" localSheetId="8" hidden="1">'A Điệp T3.26'!$A$2:$G$97</definedName>
    <definedName name="_xlnm._FilterDatabase" localSheetId="12" hidden="1">'A Điệp T4.26'!$A$2:$I$109</definedName>
    <definedName name="_xlnm._FilterDatabase" localSheetId="15" hidden="1">'A Ước 5.26 '!$A$2:$G$71</definedName>
    <definedName name="_xlnm._FilterDatabase" localSheetId="19" hidden="1">'A Ước 6.26'!$A$2:$G$2</definedName>
    <definedName name="_xlnm._FilterDatabase" localSheetId="22" hidden="1">'A Ước 7.26'!$A$2:$G$71</definedName>
    <definedName name="_xlnm._FilterDatabase" localSheetId="27" hidden="1">'A Ước 8.26'!$A$2:$I$138</definedName>
    <definedName name="_xlnm._FilterDatabase" localSheetId="2" hidden="1">'A Ước T1.26'!$A$2:$G$50</definedName>
    <definedName name="_xlnm._FilterDatabase" localSheetId="5" hidden="1">'A Ước T2.26'!$A$2:$G$29</definedName>
    <definedName name="_xlnm._FilterDatabase" localSheetId="9" hidden="1">'A Ước T3.26'!$A$2:$G$83</definedName>
    <definedName name="_xlnm._FilterDatabase" localSheetId="13" hidden="1">'A Ước T4.26'!$A$2:$I$92</definedName>
    <definedName name="_xlnm._FilterDatabase" localSheetId="17" hidden="1">Sheet4!$A$2:$J$23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8" l="1"/>
  <c r="B16" i="30" s="1"/>
  <c r="F3" i="29" l="1"/>
  <c r="J28" i="30" s="1"/>
  <c r="J29" i="30" s="1"/>
  <c r="J27" i="30"/>
  <c r="E3" i="29"/>
  <c r="J17" i="30" s="1"/>
  <c r="L17" i="30" s="1"/>
  <c r="L23" i="30" s="1"/>
  <c r="B47" i="30"/>
  <c r="D39" i="30"/>
  <c r="D37" i="30"/>
  <c r="D36" i="30"/>
  <c r="D41" i="30" s="1"/>
  <c r="L22" i="30"/>
  <c r="D20" i="30"/>
  <c r="D19" i="30"/>
  <c r="L18" i="30"/>
  <c r="D18" i="30"/>
  <c r="D17" i="30"/>
  <c r="L16" i="30"/>
  <c r="L15" i="30"/>
  <c r="D15" i="30"/>
  <c r="D14" i="30"/>
  <c r="F3" i="28"/>
  <c r="B26" i="30" s="1"/>
  <c r="E3" i="25"/>
  <c r="D16" i="30" s="1"/>
  <c r="D21" i="30" l="1"/>
  <c r="B16" i="27"/>
  <c r="D16" i="27" s="1"/>
  <c r="B47" i="27"/>
  <c r="D39" i="27"/>
  <c r="D37" i="27"/>
  <c r="D36" i="27"/>
  <c r="D41" i="27" s="1"/>
  <c r="L22" i="27"/>
  <c r="D20" i="27"/>
  <c r="D19" i="27"/>
  <c r="L18" i="27"/>
  <c r="D18" i="27"/>
  <c r="D17" i="27"/>
  <c r="L16" i="27"/>
  <c r="L15" i="27"/>
  <c r="D15" i="27"/>
  <c r="D14" i="27"/>
  <c r="F3" i="25"/>
  <c r="F3" i="26"/>
  <c r="J28" i="27" s="1"/>
  <c r="J29" i="27" s="1"/>
  <c r="E3" i="26"/>
  <c r="J17" i="27" s="1"/>
  <c r="L17" i="27" s="1"/>
  <c r="L23" i="27" s="1"/>
  <c r="F3" i="22"/>
  <c r="J28" i="24" s="1"/>
  <c r="J29" i="24" s="1"/>
  <c r="B47" i="24"/>
  <c r="D39" i="24"/>
  <c r="D37" i="24"/>
  <c r="D36" i="24"/>
  <c r="D41" i="24" s="1"/>
  <c r="B27" i="24"/>
  <c r="L22" i="24"/>
  <c r="D20" i="24"/>
  <c r="D19" i="24"/>
  <c r="L18" i="24"/>
  <c r="D18" i="24"/>
  <c r="D17" i="24"/>
  <c r="L16" i="24"/>
  <c r="L15" i="24"/>
  <c r="D15" i="24"/>
  <c r="D14" i="24"/>
  <c r="B26" i="27" l="1"/>
  <c r="B27" i="27" s="1"/>
  <c r="B27" i="30"/>
  <c r="D21" i="27"/>
  <c r="F3" i="21"/>
  <c r="E3" i="21"/>
  <c r="B16" i="24" s="1"/>
  <c r="D16" i="24" s="1"/>
  <c r="D21" i="24" s="1"/>
  <c r="E98" i="21"/>
  <c r="E97" i="21"/>
  <c r="E93" i="21"/>
  <c r="E3" i="22" l="1"/>
  <c r="J17" i="24" s="1"/>
  <c r="L17" i="24" s="1"/>
  <c r="L23" i="24" s="1"/>
  <c r="F66" i="23" l="1"/>
  <c r="E66" i="23"/>
  <c r="F32" i="21"/>
  <c r="B47" i="20"/>
  <c r="E3" i="16"/>
  <c r="B16" i="20" s="1"/>
  <c r="D16" i="20" s="1"/>
  <c r="D21" i="20" s="1"/>
  <c r="D39" i="20"/>
  <c r="D37" i="20"/>
  <c r="D36" i="20"/>
  <c r="D41" i="20" s="1"/>
  <c r="L22" i="20"/>
  <c r="D20" i="20"/>
  <c r="D19" i="20"/>
  <c r="L18" i="20"/>
  <c r="D18" i="20"/>
  <c r="D17" i="20"/>
  <c r="L16" i="20"/>
  <c r="L15" i="20"/>
  <c r="D15" i="20"/>
  <c r="D14" i="20"/>
  <c r="F66" i="18" l="1"/>
  <c r="E66" i="18"/>
  <c r="F3" i="16"/>
  <c r="B26" i="20" s="1"/>
  <c r="B27" i="20" s="1"/>
  <c r="F3" i="17" l="1"/>
  <c r="J28" i="20" s="1"/>
  <c r="J29" i="20" s="1"/>
  <c r="E3" i="17"/>
  <c r="J17" i="20" s="1"/>
  <c r="L17" i="20" s="1"/>
  <c r="L23" i="20" s="1"/>
  <c r="E90" i="14" l="1"/>
  <c r="F71" i="14"/>
  <c r="E3" i="14"/>
  <c r="F3" i="14"/>
  <c r="E103" i="13"/>
  <c r="F52" i="15"/>
  <c r="E52" i="15"/>
  <c r="E3" i="13"/>
  <c r="F3" i="13"/>
  <c r="F68" i="13"/>
  <c r="J17" i="12"/>
  <c r="L17" i="12" s="1"/>
  <c r="L23" i="12" s="1"/>
  <c r="F3" i="9"/>
  <c r="B16" i="12"/>
  <c r="B47" i="12"/>
  <c r="D39" i="12"/>
  <c r="D37" i="12"/>
  <c r="D36" i="12"/>
  <c r="J29" i="12"/>
  <c r="B27" i="12"/>
  <c r="L22" i="12"/>
  <c r="D20" i="12"/>
  <c r="D19" i="12"/>
  <c r="L18" i="12"/>
  <c r="D18" i="12"/>
  <c r="D17" i="12"/>
  <c r="L16" i="12"/>
  <c r="D16" i="12"/>
  <c r="L15" i="12"/>
  <c r="D15" i="12"/>
  <c r="D14" i="12"/>
  <c r="F37" i="11"/>
  <c r="E37" i="11"/>
  <c r="F3" i="10"/>
  <c r="E3" i="10"/>
  <c r="D41" i="12" l="1"/>
  <c r="D21" i="12"/>
  <c r="E3" i="9"/>
  <c r="F22" i="8" l="1"/>
  <c r="E22" i="8"/>
  <c r="E3" i="7"/>
  <c r="J17" i="4" s="1"/>
  <c r="F3" i="7"/>
  <c r="E3" i="5"/>
  <c r="B16" i="4" s="1"/>
  <c r="F37" i="5"/>
  <c r="F3" i="5" s="1"/>
  <c r="D20" i="4"/>
  <c r="B47" i="4" l="1"/>
  <c r="D39" i="4"/>
  <c r="D37" i="4"/>
  <c r="D36" i="4"/>
  <c r="D41" i="4" s="1"/>
  <c r="L22" i="4"/>
  <c r="D19" i="4"/>
  <c r="L18" i="4"/>
  <c r="D18" i="4"/>
  <c r="L17" i="4"/>
  <c r="D17" i="4"/>
  <c r="L16" i="4"/>
  <c r="L15" i="4"/>
  <c r="D15" i="4"/>
  <c r="D14" i="4"/>
  <c r="L23" i="4" l="1"/>
  <c r="J29" i="4"/>
  <c r="E51" i="2" l="1"/>
  <c r="F51" i="2"/>
  <c r="E3" i="1"/>
  <c r="D16" i="4" s="1"/>
  <c r="D21" i="4" s="1"/>
  <c r="F22" i="3"/>
  <c r="E22" i="3"/>
  <c r="F54" i="1"/>
  <c r="F36" i="1"/>
  <c r="F28" i="1"/>
  <c r="F3" i="1" s="1"/>
  <c r="B27" i="4" s="1"/>
</calcChain>
</file>

<file path=xl/sharedStrings.xml><?xml version="1.0" encoding="utf-8"?>
<sst xmlns="http://schemas.openxmlformats.org/spreadsheetml/2006/main" count="4392" uniqueCount="1343">
  <si>
    <t>TIMEHOUSE SỬA CHỮA THÁNG 1.26</t>
  </si>
  <si>
    <t>NGÀY</t>
  </si>
  <si>
    <t>TÒA</t>
  </si>
  <si>
    <t>MÃ PHÒNG</t>
  </si>
  <si>
    <t>NỘI DUNG SỬA CHỮA</t>
  </si>
  <si>
    <t>TIỀN CÔNG</t>
  </si>
  <si>
    <t>MUA VẬT TƯ</t>
  </si>
  <si>
    <t>GHI CHÚ</t>
  </si>
  <si>
    <t>26/12</t>
  </si>
  <si>
    <t>T21</t>
  </si>
  <si>
    <t>Sơn chống thấm mặt ngoài trục 3+4. Làm đường ống thoát nước điều hoà 3+4 . Bịt keo lỗ ống dẫn điều hoà . Làm lại mái tôn sân thượng</t>
  </si>
  <si>
    <t>27/12</t>
  </si>
  <si>
    <t>G1</t>
  </si>
  <si>
    <t>Lắp máy giặt sân thượng</t>
  </si>
  <si>
    <t>T7</t>
  </si>
  <si>
    <t>Sửa cửa chính khó đóng mở</t>
  </si>
  <si>
    <t>28/12</t>
  </si>
  <si>
    <t>T31</t>
  </si>
  <si>
    <t>Sơn chống thấm nvs</t>
  </si>
  <si>
    <t>Sơn phòng</t>
  </si>
  <si>
    <t>S2</t>
  </si>
  <si>
    <t>Tầng 2</t>
  </si>
  <si>
    <t>Đi dây làm ổ cắm điện cho máy giặt</t>
  </si>
  <si>
    <t>Dây điện + ổ + đế</t>
  </si>
  <si>
    <t>29/12</t>
  </si>
  <si>
    <t>T24</t>
  </si>
  <si>
    <t>Thay át tổng 3p 501 + 502 +601</t>
  </si>
  <si>
    <t>T18</t>
  </si>
  <si>
    <t>Sơn chống thấm gác xép, tít keo bọt vào khe hở</t>
  </si>
  <si>
    <t>30/12</t>
  </si>
  <si>
    <t>T26</t>
  </si>
  <si>
    <t>Thay 2 bóng âm trần</t>
  </si>
  <si>
    <t>31/12</t>
  </si>
  <si>
    <t>T35</t>
  </si>
  <si>
    <t>Dọn phòng</t>
  </si>
  <si>
    <t>T28</t>
  </si>
  <si>
    <t>3/1</t>
  </si>
  <si>
    <t>T36</t>
  </si>
  <si>
    <t>T2</t>
  </si>
  <si>
    <t>Bẩn + nhiều đồ</t>
  </si>
  <si>
    <t>4/1</t>
  </si>
  <si>
    <t>S12</t>
  </si>
  <si>
    <t>Lắp kệ gương</t>
  </si>
  <si>
    <t>Thay dây vòi xịt bệt</t>
  </si>
  <si>
    <t>T13</t>
  </si>
  <si>
    <t>Quá bẩn + Nhiều đồ</t>
  </si>
  <si>
    <t>5/1</t>
  </si>
  <si>
    <t>T11</t>
  </si>
  <si>
    <t>Thay 4 bóng đèn ốp trần</t>
  </si>
  <si>
    <t>S41</t>
  </si>
  <si>
    <t xml:space="preserve">Xử lý trần thủng + cố định bồn cầu + Tít keo silicon cửa sổ </t>
  </si>
  <si>
    <t>T33</t>
  </si>
  <si>
    <t xml:space="preserve">Lắp móc khoá cửa </t>
  </si>
  <si>
    <t>Lắp giá cài vòi xịt</t>
  </si>
  <si>
    <t>6/1</t>
  </si>
  <si>
    <t>T25</t>
  </si>
  <si>
    <t>Sơn phòng vá tỉa</t>
  </si>
  <si>
    <t>T20</t>
  </si>
  <si>
    <t>Bắn tấm alu sau tủ</t>
  </si>
  <si>
    <t>Lắp thêm bóng trong 40W + thay công tắc</t>
  </si>
  <si>
    <t>7/1</t>
  </si>
  <si>
    <t>S45</t>
  </si>
  <si>
    <t>Thay vòi nước chậu rửa bát</t>
  </si>
  <si>
    <t>Khách đã chi 1 nửa</t>
  </si>
  <si>
    <t>S5</t>
  </si>
  <si>
    <t>Hỏng van 1 chiều BNL</t>
  </si>
  <si>
    <t>8/1</t>
  </si>
  <si>
    <t>Lắp bơm tăng áp sân thượng</t>
  </si>
  <si>
    <t xml:space="preserve">Bơm + dây + giá + zen trong 26 + nơ + tê 40-225 + mang sông 25 </t>
  </si>
  <si>
    <t>9/1</t>
  </si>
  <si>
    <t>Lắp ổ điện cắm tủ lạnh</t>
  </si>
  <si>
    <t>Sửa BNL</t>
  </si>
  <si>
    <t>S24</t>
  </si>
  <si>
    <t>Thay vòi gạt</t>
  </si>
  <si>
    <t>11/1</t>
  </si>
  <si>
    <t>Lắp cam nhà xe</t>
  </si>
  <si>
    <t>T5</t>
  </si>
  <si>
    <t>12/1</t>
  </si>
  <si>
    <t>T32</t>
  </si>
  <si>
    <t>Hỏng van nước</t>
  </si>
  <si>
    <t>T41</t>
  </si>
  <si>
    <t>Sửa mất nước</t>
  </si>
  <si>
    <t>13/1</t>
  </si>
  <si>
    <t>Lắp bơm tăng áp</t>
  </si>
  <si>
    <t>15/1</t>
  </si>
  <si>
    <t>Thay máy bơm đẩy lên téc</t>
  </si>
  <si>
    <t>Thay phao điện bể ngầm</t>
  </si>
  <si>
    <t>Lắp rơ le chống cạn</t>
  </si>
  <si>
    <t>16/1</t>
  </si>
  <si>
    <t>Lắp thêm bóng điện nhà xe</t>
  </si>
  <si>
    <t xml:space="preserve">Sửa cửa ban công kẹt + vệ sinh củ sen + vòi rửa mặt + bồn cầu, sàn nvs </t>
  </si>
  <si>
    <t>Thay bát sen + Vệ sinh củ sen, kính, bồn cầu, sàn nhà vs</t>
  </si>
  <si>
    <t>17/1</t>
  </si>
  <si>
    <t>T3</t>
  </si>
  <si>
    <t xml:space="preserve">Thay khoá cửa nhà bếp </t>
  </si>
  <si>
    <t>Sơn lại toàn bộ nhà xe + Hành lang cầu thang</t>
  </si>
  <si>
    <t xml:space="preserve">3,5 thùng sơn </t>
  </si>
  <si>
    <t>T8</t>
  </si>
  <si>
    <t>18/1</t>
  </si>
  <si>
    <t xml:space="preserve">Thay phao điện + phao cơ bể ngầm </t>
  </si>
  <si>
    <t>Thay phao điện trên téc</t>
  </si>
  <si>
    <t>19/1</t>
  </si>
  <si>
    <t>Thay bóng típ led</t>
  </si>
  <si>
    <t>T37</t>
  </si>
  <si>
    <t>Sửa khoá cửa ban công</t>
  </si>
  <si>
    <t xml:space="preserve">Chống thấm cổ giếng trời </t>
  </si>
  <si>
    <t>20/1</t>
  </si>
  <si>
    <t>Thay đồng hồ điện</t>
  </si>
  <si>
    <t>21/1</t>
  </si>
  <si>
    <t>S15</t>
  </si>
  <si>
    <t>Sửa bơm mất nước</t>
  </si>
  <si>
    <t>S50</t>
  </si>
  <si>
    <t>Đấu lại nguồn điện cam ở cổng</t>
  </si>
  <si>
    <t>22/1</t>
  </si>
  <si>
    <t xml:space="preserve">Xử lý ngấm trần nhà </t>
  </si>
  <si>
    <t>Keo + ống + cút + xi măng +….</t>
  </si>
  <si>
    <t>Bắn lại tấm alu cửa cuốn</t>
  </si>
  <si>
    <t>Thay bóng 40W sân phơi</t>
  </si>
  <si>
    <t>Thay bóng + đui cảm ứng hành lang tầng 6</t>
  </si>
  <si>
    <t>24/1</t>
  </si>
  <si>
    <t>S22</t>
  </si>
  <si>
    <t>Lắp cam sân phơi</t>
  </si>
  <si>
    <t>25/1</t>
  </si>
  <si>
    <t>Nát lại sàn nhà bị bung</t>
  </si>
  <si>
    <t>Gạch xi măng cát</t>
  </si>
  <si>
    <t>S19C</t>
  </si>
  <si>
    <t>Dọn vệ sinh phòng</t>
  </si>
  <si>
    <t>Bẩn</t>
  </si>
  <si>
    <t>202+302+402</t>
  </si>
  <si>
    <t>1 thùng sơn lấy ở T20</t>
  </si>
  <si>
    <t>Thay bóng típ</t>
  </si>
  <si>
    <t>Thay bóng tròn</t>
  </si>
  <si>
    <t>Thay 2 bóng tròn</t>
  </si>
  <si>
    <t>S42</t>
  </si>
  <si>
    <t>Thay át nóng lạnh</t>
  </si>
  <si>
    <t>Sửa bơm</t>
  </si>
  <si>
    <t>S18</t>
  </si>
  <si>
    <t>1 Thùng sơn lấy ở T20</t>
  </si>
  <si>
    <t>S30</t>
  </si>
  <si>
    <t>S13</t>
  </si>
  <si>
    <t>501+401 = 1 thùng lấy T20</t>
  </si>
  <si>
    <t>S26</t>
  </si>
  <si>
    <t>T27</t>
  </si>
  <si>
    <t xml:space="preserve">S2 </t>
  </si>
  <si>
    <t>14/1</t>
  </si>
  <si>
    <t xml:space="preserve">Thay van cấp nước máy giặt </t>
  </si>
  <si>
    <t>T15</t>
  </si>
  <si>
    <t>Bắn dây phơi</t>
  </si>
  <si>
    <t>Nở sắt + tăng móc + dây thép</t>
  </si>
  <si>
    <t>T42</t>
  </si>
  <si>
    <t>Thay rơle bơm áp</t>
  </si>
  <si>
    <t>Thay bơm</t>
  </si>
  <si>
    <t>Thay óc sen</t>
  </si>
  <si>
    <t>Thay dây cấp</t>
  </si>
  <si>
    <t>Thay vòi xịt</t>
  </si>
  <si>
    <t>Thay dây điện máy bơ</t>
  </si>
  <si>
    <t>Tháo 3 tủ + 1 giường + 1 điều hoà</t>
  </si>
  <si>
    <t xml:space="preserve">Ngày </t>
  </si>
  <si>
    <t xml:space="preserve">Lỗi sửa chữa + mua đồ </t>
  </si>
  <si>
    <t xml:space="preserve">Toà nhà </t>
  </si>
  <si>
    <t>Phòng</t>
  </si>
  <si>
    <t>Chi phí vật liệu</t>
  </si>
  <si>
    <t xml:space="preserve">Chi phí công </t>
  </si>
  <si>
    <t>Bên chi</t>
  </si>
  <si>
    <t>Ghi chú chi tiết</t>
  </si>
  <si>
    <t>Tháng 1</t>
  </si>
  <si>
    <t>Sơn, dọn phòng</t>
  </si>
  <si>
    <t>S20</t>
  </si>
  <si>
    <t>Cty</t>
  </si>
  <si>
    <t>PHĐ</t>
  </si>
  <si>
    <t>S28</t>
  </si>
  <si>
    <t>Thay khoá phòng</t>
  </si>
  <si>
    <t>Khách</t>
  </si>
  <si>
    <t>Mất nước</t>
  </si>
  <si>
    <t>S47</t>
  </si>
  <si>
    <t>S21</t>
  </si>
  <si>
    <t>PHĐ, bẩn</t>
  </si>
  <si>
    <t>Thay dây, vòi xịt</t>
  </si>
  <si>
    <t>Lắp tăng atp tầng 7</t>
  </si>
  <si>
    <t>Dây, vòi sen</t>
  </si>
  <si>
    <t>S25B</t>
  </si>
  <si>
    <t>Khách mới</t>
  </si>
  <si>
    <t>Thay dây, đầu xịt</t>
  </si>
  <si>
    <t xml:space="preserve">Thay atp ngoài cột </t>
  </si>
  <si>
    <t>S36</t>
  </si>
  <si>
    <t>Sửa cửa kéo phòng, thay máng bóng tuýp</t>
  </si>
  <si>
    <t xml:space="preserve">Mua vòi gạt, van hỗ trợ lắp máy giặt, thay dây thoát chậu rửa </t>
  </si>
  <si>
    <t>T45</t>
  </si>
  <si>
    <t xml:space="preserve">Xử lý vỡ ống nước </t>
  </si>
  <si>
    <t xml:space="preserve">Thay 4 bóng âm trần nhà xe </t>
  </si>
  <si>
    <t>Thay 3 bóng thang máy, 2 bóng tuýp p302, p401</t>
  </si>
  <si>
    <t>Thay dây sen</t>
  </si>
  <si>
    <t xml:space="preserve">Thay công tắc nóng, lạnh; sửa cụm ổ điện bị cháy xén theo </t>
  </si>
  <si>
    <t>Ngăn mùi thoát sàn</t>
  </si>
  <si>
    <t>Thay vòi rửa mặt, dây cấp</t>
  </si>
  <si>
    <t xml:space="preserve">Khách mới </t>
  </si>
  <si>
    <t>Tổng</t>
  </si>
  <si>
    <t>Try</t>
  </si>
  <si>
    <t xml:space="preserve">S3 </t>
  </si>
  <si>
    <t>T22</t>
  </si>
  <si>
    <t>S4B</t>
  </si>
  <si>
    <t>dọn vệ sinh phòng + sửa điện+ thay vòi xịt</t>
  </si>
  <si>
    <t>S25A</t>
  </si>
  <si>
    <t>dọn vệ sinh phòng</t>
  </si>
  <si>
    <t>S19A</t>
  </si>
  <si>
    <t>sơn phòng</t>
  </si>
  <si>
    <t>dọn phòng</t>
  </si>
  <si>
    <t>lắp át nhà vệ sinh chung tầng 6</t>
  </si>
  <si>
    <t>Thay bình nóng lạnh</t>
  </si>
  <si>
    <t>T17</t>
  </si>
  <si>
    <t>sơn và dọn phòng</t>
  </si>
  <si>
    <t>thay vòi chậu, dây cấp, làm khung bắn lưới 4 phòng</t>
  </si>
  <si>
    <t>S29</t>
  </si>
  <si>
    <t>lát lại nền gạch</t>
  </si>
  <si>
    <t>TÊN</t>
  </si>
  <si>
    <t>MỨC LƯƠNG</t>
  </si>
  <si>
    <t>HỆ SỐ</t>
  </si>
  <si>
    <t>TỔNG</t>
  </si>
  <si>
    <t>LƯƠNG CỨNG</t>
  </si>
  <si>
    <t>LƯƠNG THÂM NIÊN</t>
  </si>
  <si>
    <t>TIỀN CÔNG ( THEO BẢNG KÊ)</t>
  </si>
  <si>
    <t>HỖ TRỢ ĂN TRƯA</t>
  </si>
  <si>
    <t>Ứng chi</t>
  </si>
  <si>
    <t>Chi thực tế</t>
  </si>
  <si>
    <t>Tổng HT back lại</t>
  </si>
  <si>
    <t>TIMEHOUSE SỬA CHỮA THÁNG 2.26</t>
  </si>
  <si>
    <t>S40</t>
  </si>
  <si>
    <t>Lắp ngăn thoát sàn, sửa rò bệt</t>
  </si>
  <si>
    <t>Lắp cam ở cổng</t>
  </si>
  <si>
    <t>bẩn nhiều đồ</t>
  </si>
  <si>
    <t>sửa chập điện âm tường, thay át và hạt công tắc</t>
  </si>
  <si>
    <t>dây điện , phao điện</t>
  </si>
  <si>
    <t>thay dây điện từ téc xuống, thay phao điện</t>
  </si>
  <si>
    <t>201+202</t>
  </si>
  <si>
    <t>dọn vệ sinh</t>
  </si>
  <si>
    <t>rất bẩn</t>
  </si>
  <si>
    <t>lắp chốt khoá ngoài</t>
  </si>
  <si>
    <t>S1</t>
  </si>
  <si>
    <t>S43</t>
  </si>
  <si>
    <t>khách đã chi 1 nửa</t>
  </si>
  <si>
    <t>S33</t>
  </si>
  <si>
    <t>Dọn vs phòng</t>
  </si>
  <si>
    <t>Dọn nvs gầm cầu thang</t>
  </si>
  <si>
    <t xml:space="preserve">Thay bóng tuýp </t>
  </si>
  <si>
    <t>Sửa chập điện nhảy át</t>
  </si>
  <si>
    <t>Lắp tủ quần áo</t>
  </si>
  <si>
    <t>thùng sơn lấy ở T18</t>
  </si>
  <si>
    <t>Thay vòi củ chậu rửa mặt</t>
  </si>
  <si>
    <t>Thay dây bát sen, sơn sàn gỗ nền nhà</t>
  </si>
  <si>
    <t>Sửa bơm thay bi, tháy cánh quạt</t>
  </si>
  <si>
    <t>thay chõ bơm lắp sắc co bể ngầm</t>
  </si>
  <si>
    <t>Thay 2 bóng tuýp, bịt ống thoát máy giặt</t>
  </si>
  <si>
    <t>1 thùng sơn lấy ở T28</t>
  </si>
  <si>
    <t>bẩn, nhiều đồ</t>
  </si>
  <si>
    <t>thay núm sen</t>
  </si>
  <si>
    <t>S37B</t>
  </si>
  <si>
    <t>hỏi lại mã phòng</t>
  </si>
  <si>
    <t>Sửa máy bơm áp tầng 5</t>
  </si>
  <si>
    <t>thay bóng tuýp</t>
  </si>
  <si>
    <t>Nâng chõ bơm bể ngầm</t>
  </si>
  <si>
    <t>29/2</t>
  </si>
  <si>
    <t>S48B</t>
  </si>
  <si>
    <t>Chống thấm nvs xuống phòng</t>
  </si>
  <si>
    <t>sơn chống thấm</t>
  </si>
  <si>
    <t>xử lý nứt vỡ ống nhiệt</t>
  </si>
  <si>
    <t>ống, cút,tê,xi măng</t>
  </si>
  <si>
    <t>Sửa cửa nvs</t>
  </si>
  <si>
    <t>vít, keo silicon,đinh</t>
  </si>
  <si>
    <t>S49</t>
  </si>
  <si>
    <t>Sửa cửa nhôm kính thay 2 bánh xe ray cửa</t>
  </si>
  <si>
    <t>Cửa chính ra vào bị xệ</t>
  </si>
  <si>
    <t>S48A</t>
  </si>
  <si>
    <t>Thay cần gạt củ sen</t>
  </si>
  <si>
    <t>Xử lý đọng nước sân thượng</t>
  </si>
  <si>
    <t>xử lý ổ điện cắm bơm k có điện</t>
  </si>
  <si>
    <t>S39</t>
  </si>
  <si>
    <t>T38</t>
  </si>
  <si>
    <t>Dọn phòng + sơn phòng</t>
  </si>
  <si>
    <t>S35</t>
  </si>
  <si>
    <t>Dọn và sơn phòng</t>
  </si>
  <si>
    <t>S19B</t>
  </si>
  <si>
    <t>S44</t>
  </si>
  <si>
    <t>S9B</t>
  </si>
  <si>
    <t>bẩn</t>
  </si>
  <si>
    <t>1 thùng sơn lấy T42</t>
  </si>
  <si>
    <t>dây cấp</t>
  </si>
  <si>
    <t>Lắp cam</t>
  </si>
  <si>
    <t>dây điện phích cắm điện</t>
  </si>
  <si>
    <t>sơn chống thấm , bột bả</t>
  </si>
  <si>
    <t xml:space="preserve">S10 </t>
  </si>
  <si>
    <t>bẩn nhiều</t>
  </si>
  <si>
    <t xml:space="preserve">sơn phòng </t>
  </si>
  <si>
    <t>1 thùng sơn lấy ở S3</t>
  </si>
  <si>
    <t>S7</t>
  </si>
  <si>
    <t>thùng sơn lấy ở T42</t>
  </si>
  <si>
    <t>S8</t>
  </si>
  <si>
    <t>1/2 thùng sơn/ khách chi</t>
  </si>
  <si>
    <t>Tháng 2</t>
  </si>
  <si>
    <t>Thay hạt công tắc</t>
  </si>
  <si>
    <t>T44</t>
  </si>
  <si>
    <t>S27</t>
  </si>
  <si>
    <t>phđ</t>
  </si>
  <si>
    <t>Vệ sinh máy giặt</t>
  </si>
  <si>
    <t>S20,S36</t>
  </si>
  <si>
    <t>Rò nước máy bơm</t>
  </si>
  <si>
    <t>Thay bóng âm trần</t>
  </si>
  <si>
    <t>Thay cục chống giật bnl</t>
  </si>
  <si>
    <t>Thay công tắc bnl</t>
  </si>
  <si>
    <t>Sửa ổ điện máy giặt</t>
  </si>
  <si>
    <t>MB</t>
  </si>
  <si>
    <t>Lắp Giường</t>
  </si>
  <si>
    <t>Lắp chốt cửa trong, nối thêm ổ điện, thay ổ, xly cửa nvs lệch bản lề, thay dây thoát chậu, thay vòi xịt, thoát sàn</t>
  </si>
  <si>
    <t>xử lý vỡ ống nhiệt âm tường</t>
  </si>
  <si>
    <t>BẢNG LƯƠNG THÁNG 2-A ĐIỆP</t>
  </si>
  <si>
    <t>BẢNG ỨNG CHI THÁNG 2- A ĐIỆP</t>
  </si>
  <si>
    <t>BẢNG LƯƠNG THÁNG 2-A ƯỚC</t>
  </si>
  <si>
    <t>BẢNG ỨNG CHI THÁNG 2- A ƯỚC</t>
  </si>
  <si>
    <t>BẢNG LƯƠNG THÁNG 2-TRƯỜNG</t>
  </si>
  <si>
    <t>BẢNG ỨNG CHI THÁNG 2- TRƯỜNG</t>
  </si>
  <si>
    <t>TIMEHOUSE SỬA CHỮA THÁNG 3.26</t>
  </si>
  <si>
    <t>Chốt cửa</t>
  </si>
  <si>
    <t>Bát sen</t>
  </si>
  <si>
    <t>Vòi chậu</t>
  </si>
  <si>
    <t>Dây cấp</t>
  </si>
  <si>
    <t>Xi pông chậu rửa mặt</t>
  </si>
  <si>
    <t>Đui chích</t>
  </si>
  <si>
    <t>Thay ổ điện</t>
  </si>
  <si>
    <t>Thay xi pông chậu</t>
  </si>
  <si>
    <t>Sơn lấy 1/2 T42</t>
  </si>
  <si>
    <t>Lắp cam hành lang 4 cái</t>
  </si>
  <si>
    <t>Thay sen tường</t>
  </si>
  <si>
    <t>Lắp cam dây điện + phích cắm</t>
  </si>
  <si>
    <t>Lắp chốt thang</t>
  </si>
  <si>
    <t>Thay phao téc</t>
  </si>
  <si>
    <t>Trường lấy sơn T42</t>
  </si>
  <si>
    <t>Thay tấm alu</t>
  </si>
  <si>
    <t>Vít</t>
  </si>
  <si>
    <t>Thay van cấp máy giặt</t>
  </si>
  <si>
    <t>Thay 1 bộ bát sen</t>
  </si>
  <si>
    <t>Sơn lấy 1/2 S3</t>
  </si>
  <si>
    <t>Chũi keo sơn lại</t>
  </si>
  <si>
    <t>t38</t>
  </si>
  <si>
    <t>S4a</t>
  </si>
  <si>
    <t>Mua sơn chống thấm</t>
  </si>
  <si>
    <t>Thay tấm alu tủ</t>
  </si>
  <si>
    <t>Đậy tấm alu giếng trời</t>
  </si>
  <si>
    <t>Thay vòi chậu rửa</t>
  </si>
  <si>
    <t>Lắp giường</t>
  </si>
  <si>
    <t>Móc treo quần áo</t>
  </si>
  <si>
    <t>S17</t>
  </si>
  <si>
    <t xml:space="preserve">T43 </t>
  </si>
  <si>
    <t>S32</t>
  </si>
  <si>
    <t xml:space="preserve">T42 </t>
  </si>
  <si>
    <t>S31</t>
  </si>
  <si>
    <t>19-20/3</t>
  </si>
  <si>
    <t>Móc treo quần áo và khăn tắm</t>
  </si>
  <si>
    <t xml:space="preserve">Chạy đường điện của bếp </t>
  </si>
  <si>
    <t>Dây điện</t>
  </si>
  <si>
    <t>Ổ cắm đôi và đế</t>
  </si>
  <si>
    <t>Thay vòi gath</t>
  </si>
  <si>
    <t>Lát lại nền nhà</t>
  </si>
  <si>
    <t>Gạch lát nền</t>
  </si>
  <si>
    <t>Xi măng</t>
  </si>
  <si>
    <t>Sơn tỉa + Dọn vs phòng</t>
  </si>
  <si>
    <t>Khách chi</t>
  </si>
  <si>
    <t>S10</t>
  </si>
  <si>
    <t>T12</t>
  </si>
  <si>
    <t>S23</t>
  </si>
  <si>
    <t>Mua sơn làm vp mới</t>
  </si>
  <si>
    <t>Chổi sơn + Lu sơn</t>
  </si>
  <si>
    <t>Thay bóng đèn âm trần WC</t>
  </si>
  <si>
    <t>Thay bóng sân phơi</t>
  </si>
  <si>
    <t>Xử lý ngấm sàn WC ngấm xuống trần tầng 1</t>
  </si>
  <si>
    <t>Thông tắc thoát chậu rửa bát</t>
  </si>
  <si>
    <t>Xử lý tắc cống</t>
  </si>
  <si>
    <t>Thay dây bát sen</t>
  </si>
  <si>
    <t>Thông tắc chậu rửa bát</t>
  </si>
  <si>
    <t>Thay bóng típ chỗ bếp</t>
  </si>
  <si>
    <t>Ống cút + keo + xi măng + dây vòi xịt..</t>
  </si>
  <si>
    <t>1 thùng sơn còn thừa sơn hành lang + cầu thang</t>
  </si>
  <si>
    <t>Phòng đôi to, 1 thùng sơn lấy ở T18</t>
  </si>
  <si>
    <t>1/2 thùng ở T42</t>
  </si>
  <si>
    <t>Quá bẩn - Khách hết hđ</t>
  </si>
  <si>
    <t>1/2 ở T42</t>
  </si>
  <si>
    <t>Lắp át điều hòa</t>
  </si>
  <si>
    <t>Thay điều khiển điều hòa</t>
  </si>
  <si>
    <t>Lắp ngăn mùi thoát sàn</t>
  </si>
  <si>
    <t>Chống thấm ngấm nước từ nvs 404</t>
  </si>
  <si>
    <t>Tháo bộ cửa vân tay</t>
  </si>
  <si>
    <t>Xử lý rò nước bồn rửa</t>
  </si>
  <si>
    <t>Thông tắc cống nvs thông tắc bồn cầu</t>
  </si>
  <si>
    <t>Bắn keo silicon bồn rửa</t>
  </si>
  <si>
    <t>Alu + vít + ke góc</t>
  </si>
  <si>
    <t>Quá bẩn - Nhiều đồ khách hết hđ</t>
  </si>
  <si>
    <t>Quá bẩn - Nhiều đồ đạc</t>
  </si>
  <si>
    <t>Vòi + xi măng+…</t>
  </si>
  <si>
    <t>Keo + cút + tế+ dây điện..</t>
  </si>
  <si>
    <t>S37A</t>
  </si>
  <si>
    <t>Thay át BNL</t>
  </si>
  <si>
    <t>Thay vòi gạt bồn rửa</t>
  </si>
  <si>
    <t>Thay dây vòi xịt</t>
  </si>
  <si>
    <t>Thay bóng típ WC</t>
  </si>
  <si>
    <t>S16</t>
  </si>
  <si>
    <t>Khách đã chi 1/2</t>
  </si>
  <si>
    <t>1/2 thùng T28</t>
  </si>
  <si>
    <t>Phòng to rộng bẩn</t>
  </si>
  <si>
    <t>Bẩn nhiều đồ</t>
  </si>
  <si>
    <t>T41 202-203 lấy 1/2 thùng ở vp</t>
  </si>
  <si>
    <t>1/2 thùng lấy ở vp</t>
  </si>
  <si>
    <t>Lắp giá cài bát sen</t>
  </si>
  <si>
    <t>Lắp bàn bếp + chậu rửa bát</t>
  </si>
  <si>
    <t>Sơn song sắt cửa sổ</t>
  </si>
  <si>
    <t>Thay bơm nước lên téc</t>
  </si>
  <si>
    <t>Lắp thêm cam sân phơi</t>
  </si>
  <si>
    <t>Trám nền gạch hoa bị vỡ</t>
  </si>
  <si>
    <t>Bắn tấm alu gác xép</t>
  </si>
  <si>
    <t>Thay 5 bóng âm trần</t>
  </si>
  <si>
    <t>Thay quạt thông gió WC</t>
  </si>
  <si>
    <t>Chậu rửa + vòi + keo….</t>
  </si>
  <si>
    <t>1/2 thùng vp</t>
  </si>
  <si>
    <t>Khách chi _ Kiên thu hộ</t>
  </si>
  <si>
    <t>Dây điện + phích cắm</t>
  </si>
  <si>
    <t>Dọn phòng thu hồi phòng</t>
  </si>
  <si>
    <t>Quá bẩn + nhiều đồ</t>
  </si>
  <si>
    <t>Xử lý chập cháy ổ nhảy át</t>
  </si>
  <si>
    <t>Lắp thêm ổ cắm tủ lạnh</t>
  </si>
  <si>
    <t>Lắp vòi xịt</t>
  </si>
  <si>
    <t xml:space="preserve">Dọn phòng </t>
  </si>
  <si>
    <t>Xử lý ngấm trần Wc</t>
  </si>
  <si>
    <t>Lắp chốt cố định 2 cánh cổng</t>
  </si>
  <si>
    <t>Thay bóng típ sân phơi</t>
  </si>
  <si>
    <t>Thay bóng hành lang+ nhà xe</t>
  </si>
  <si>
    <t>Thay phao bồn cầu</t>
  </si>
  <si>
    <t>Sửa BNL ko nóng</t>
  </si>
  <si>
    <t>Thay bơm áp sân thượng</t>
  </si>
  <si>
    <t>Phòng bẩn phải chùi + cạo</t>
  </si>
  <si>
    <t>trừ vào hoàn cọc</t>
  </si>
  <si>
    <t>S4A</t>
  </si>
  <si>
    <t>VP</t>
  </si>
  <si>
    <t xml:space="preserve">Tháng 3 </t>
  </si>
  <si>
    <t>Thay van điện máy giặt</t>
  </si>
  <si>
    <t>cty</t>
  </si>
  <si>
    <t>kẻ vạch nhà xe</t>
  </si>
  <si>
    <t>G4</t>
  </si>
  <si>
    <t>Thông tắc nvs, bệt</t>
  </si>
  <si>
    <t>Căng dây phơi</t>
  </si>
  <si>
    <t>G6</t>
  </si>
  <si>
    <t>Thay bộ dây bát sen</t>
  </si>
  <si>
    <t>G5</t>
  </si>
  <si>
    <t>Dọn vsinh, thay vòi đồng, vòi chậu rửa</t>
  </si>
  <si>
    <t>s25A</t>
  </si>
  <si>
    <t>Thay đồng hồ nước</t>
  </si>
  <si>
    <t>G2</t>
  </si>
  <si>
    <t>Thay phao điện</t>
  </si>
  <si>
    <t>Sơn, dọn phòng, thay bát sen</t>
  </si>
  <si>
    <t>trừ cọc</t>
  </si>
  <si>
    <t>G3</t>
  </si>
  <si>
    <t>Dọn, sơn phòng</t>
  </si>
  <si>
    <t>Thay ổ điện sân phơi</t>
  </si>
  <si>
    <t>Lắp 3c cam nhà xe</t>
  </si>
  <si>
    <t>Thay bóng tuýp</t>
  </si>
  <si>
    <t>Vật tư xly vỡ ống nước trên téc</t>
  </si>
  <si>
    <t>Lắp 1c cam ban công</t>
  </si>
  <si>
    <t>Đồ đi đường điện nước, vật tư lắp giặt sấy</t>
  </si>
  <si>
    <t>Thay bóng hành lang</t>
  </si>
  <si>
    <t>Đi ống thoát chậu rửa</t>
  </si>
  <si>
    <t>Thay bóng tuýp p201, 1 lọ thông tắc + 2 ngăn mùi thoát sànp404,601</t>
  </si>
  <si>
    <t>Dọn + sơn p302,601</t>
  </si>
  <si>
    <t>Lắp 5c cam hành lang</t>
  </si>
  <si>
    <t>Đồ lắp máy giặt</t>
  </si>
  <si>
    <t>Lắp 5c cam ( 2c nxe, 3c hành lang tầng)</t>
  </si>
  <si>
    <t>Dây sen</t>
  </si>
  <si>
    <t>khách mới</t>
  </si>
  <si>
    <t>BẢNG LƯƠNG THÁNG 3-TRƯỜNG</t>
  </si>
  <si>
    <t>BẢNG ỨNG CHI THÁNG 3- TRƯỜNG</t>
  </si>
  <si>
    <t>BẢNG LƯƠNG THÁNG 3-A ĐIỆP</t>
  </si>
  <si>
    <t>BẢNG ỨNG CHI THÁNG 3- A ĐIỆP</t>
  </si>
  <si>
    <t>BẢNG LƯƠNG THÁNG 3-A ƯỚC</t>
  </si>
  <si>
    <t>BẢNG ỨNG CHI THÁNG 3- A ƯỚC</t>
  </si>
  <si>
    <t>Thay khóa đấm</t>
  </si>
  <si>
    <t>Thay pin điều khiển đh</t>
  </si>
  <si>
    <t>Rửa cọ téc sân thượng</t>
  </si>
  <si>
    <t>Khách hết hd</t>
  </si>
  <si>
    <t>Thay rửa bể ngầm + lao vét + vận chuyển bùn đất cát</t>
  </si>
  <si>
    <t>Đấu nối hút nước trực tiếp lên téc để rửa bể ngầm</t>
  </si>
  <si>
    <t>Thay rơ le bơm áp</t>
  </si>
  <si>
    <t>Thay củ sen cắm tường</t>
  </si>
  <si>
    <t>Xử lý gẫy ống nước</t>
  </si>
  <si>
    <t>Thay giá cài vòi xịt</t>
  </si>
  <si>
    <t>Thay bát sen</t>
  </si>
  <si>
    <t>Thay 3 bóng típ + 1 bóng tròn</t>
  </si>
  <si>
    <t xml:space="preserve">Tổng vệ sinh phòng </t>
  </si>
  <si>
    <t>Thay át phòng</t>
  </si>
  <si>
    <t>Thông tắc ống thoát nước bàn bếp</t>
  </si>
  <si>
    <t>Phòng đôi</t>
  </si>
  <si>
    <t>Sửa chập điện</t>
  </si>
  <si>
    <t>Đi lại đường điện</t>
  </si>
  <si>
    <t>Sơn phòng + Dọn phòng</t>
  </si>
  <si>
    <t>Sửa cánh tủ bếp</t>
  </si>
  <si>
    <t>T30</t>
  </si>
  <si>
    <t>Chống thấm dột mái WC</t>
  </si>
  <si>
    <t>Thay bóng WC</t>
  </si>
  <si>
    <t>Dọn phòng + sơn cửa WC</t>
  </si>
  <si>
    <t>Thay hút mùi bếp</t>
  </si>
  <si>
    <t>Thay hút mùi WC</t>
  </si>
  <si>
    <t>Thay bóng điện bếp</t>
  </si>
  <si>
    <t>Tầng 3</t>
  </si>
  <si>
    <t>Thay bóng ốp trần hành lang</t>
  </si>
  <si>
    <t>Thay 9 bóng âm trần</t>
  </si>
  <si>
    <t>Thay quạt thông gió</t>
  </si>
  <si>
    <t>Tháo rỡ lắp tủ mới</t>
  </si>
  <si>
    <t>Thay vòi rửa bát</t>
  </si>
  <si>
    <t>Chống thấm ban công thấm xuống 101</t>
  </si>
  <si>
    <t>Chống thấm ban công + WC thấm xuống nhà xe + cửa ra vào</t>
  </si>
  <si>
    <t>Tháo tủ phòng 204 xuống 101 lắp</t>
  </si>
  <si>
    <t>Xử lý rò nước WC 601 ngấm chảy xuống 501</t>
  </si>
  <si>
    <t>Thay át tầng 1</t>
  </si>
  <si>
    <t>Sơn nhà xe + hành lang bộ tầng 1,2. Dọn dẹp lau chùi nhà xe , sơn cửa WC 203+403</t>
  </si>
  <si>
    <t>Lắp thêm 2 bóng típ nhà xe</t>
  </si>
  <si>
    <t>Thay lõi kháo cửa chính</t>
  </si>
  <si>
    <t xml:space="preserve">Lắp quạt thông gió </t>
  </si>
  <si>
    <t>Lắp vòi xịt bệt</t>
  </si>
  <si>
    <t>Sơn nhà xe + hàn cầu thang inox lắp tầng 2</t>
  </si>
  <si>
    <t xml:space="preserve">Sơn nhà xe + cổng </t>
  </si>
  <si>
    <t>Sửa bơm nước</t>
  </si>
  <si>
    <t>Sửa chập điện đi dây nổi</t>
  </si>
  <si>
    <t>Lắp quatj hút mùi bếp</t>
  </si>
  <si>
    <t>Tháp bỏ giường</t>
  </si>
  <si>
    <t>Sơn phòng ( tỉa )</t>
  </si>
  <si>
    <t>Sơn hành lang cầu thang tầng 1-5</t>
  </si>
  <si>
    <t>Thay BNL</t>
  </si>
  <si>
    <t>Sơn nhà xe + Dọn dép sân phơi + mang đồ đi bỏ rác</t>
  </si>
  <si>
    <t>Thay dây cấp bồn rửa</t>
  </si>
  <si>
    <t>Đi đường dẫn điều hòa xuống đường</t>
  </si>
  <si>
    <t>Sơn cửa p304+506+101</t>
  </si>
  <si>
    <t>Bắn vít cố định lại song sắt cửa sổ</t>
  </si>
  <si>
    <t>Sơn cổng nhà xe</t>
  </si>
  <si>
    <t>Văn phòng mới</t>
  </si>
  <si>
    <t>Thay ti sen</t>
  </si>
  <si>
    <t>Thay 1 dây cấp</t>
  </si>
  <si>
    <t>Lắp bình lọc nước</t>
  </si>
  <si>
    <t>Nối ống thoát nước điều hòa</t>
  </si>
  <si>
    <t>Bắn alu bịt kho hành lang tầng 3</t>
  </si>
  <si>
    <t>Thay lõi khóa cửa phòng</t>
  </si>
  <si>
    <t>Bắn alu bịt chỗ chuột khoét</t>
  </si>
  <si>
    <t>Kê ngang ngăn tủ lạnh</t>
  </si>
  <si>
    <t>Thay nắp két nước bệt xí</t>
  </si>
  <si>
    <t>T34</t>
  </si>
  <si>
    <t>Thay 11 bóng đèn âm trần</t>
  </si>
  <si>
    <t>Khách chi ( hết hdd)</t>
  </si>
  <si>
    <t>Sửa cánh tủ xệ</t>
  </si>
  <si>
    <t>Lắp bóng đèn nhà xe</t>
  </si>
  <si>
    <t>Sơn cầu thang và lan can gác xép</t>
  </si>
  <si>
    <t>Đi đường điện máy bơm từ át vào ( bị chập đường cũ )</t>
  </si>
  <si>
    <t>Thay vòi chậu</t>
  </si>
  <si>
    <t>Thay bóng đèn</t>
  </si>
  <si>
    <t>S38</t>
  </si>
  <si>
    <t>Dọn vệ sinh + Sơn chỗ bẩn</t>
  </si>
  <si>
    <t>Khách HHĐ</t>
  </si>
  <si>
    <t>Dọn vệ sinh + Sửa chậu</t>
  </si>
  <si>
    <t>Dọn vệ sinh + Sửa vòi nước</t>
  </si>
  <si>
    <t>Dọn máy hút mùi</t>
  </si>
  <si>
    <t>T14</t>
  </si>
  <si>
    <t>Sơn phòng + Vệ sinh</t>
  </si>
  <si>
    <t>(Khách HHĐ)</t>
  </si>
  <si>
    <t>Dọn vệ sinh + Sơn tỉa</t>
  </si>
  <si>
    <t>khách</t>
  </si>
  <si>
    <t>vệ sinh téc nước</t>
  </si>
  <si>
    <t>T43</t>
  </si>
  <si>
    <t>S3</t>
  </si>
  <si>
    <t>dọn vệ sinh và sơn phòng</t>
  </si>
  <si>
    <t>chạy thêm đường điện ở văn phòng mới</t>
  </si>
  <si>
    <t>lắp đặt máy bơm áp</t>
  </si>
  <si>
    <t>dây điện</t>
  </si>
  <si>
    <t>ống + cút + keo</t>
  </si>
  <si>
    <t>Thay van cấp</t>
  </si>
  <si>
    <t>S19c</t>
  </si>
  <si>
    <t>Thay tụ quạt trần</t>
  </si>
  <si>
    <t>Sơn cổng và sơn nhà xe</t>
  </si>
  <si>
    <t>Sơn đen 5kg</t>
  </si>
  <si>
    <t>Xăng thơm</t>
  </si>
  <si>
    <t>lu nhỏ + chổi</t>
  </si>
  <si>
    <t>bóng đèn nhà xe</t>
  </si>
  <si>
    <t>S6</t>
  </si>
  <si>
    <t>quá bẩn</t>
  </si>
  <si>
    <t>thay phao bể ngầm</t>
  </si>
  <si>
    <t>Ren ngoài 50</t>
  </si>
  <si>
    <t>Cút 50</t>
  </si>
  <si>
    <t>Zắc co 50</t>
  </si>
  <si>
    <t>Keo ống 63</t>
  </si>
  <si>
    <t>Ren ngoài 32</t>
  </si>
  <si>
    <t>Lơ 40/33</t>
  </si>
  <si>
    <t>Kìm xích</t>
  </si>
  <si>
    <t>Chữ đồng</t>
  </si>
  <si>
    <t>máy hàn 63</t>
  </si>
  <si>
    <t>204 + 304 + 603 + 704</t>
  </si>
  <si>
    <t>Sơn điểm</t>
  </si>
  <si>
    <t>Thay 1 bộ bóng + máng lyp</t>
  </si>
  <si>
    <t>Thay 1 bộ điện Tân máy bơm</t>
  </si>
  <si>
    <t>Thay phao bể nước</t>
  </si>
  <si>
    <t>lắp đế nối tủ cam</t>
  </si>
  <si>
    <t>máy bơm áp</t>
  </si>
  <si>
    <t>thay bơm áp</t>
  </si>
  <si>
    <t>Zắc co + Cút + Keo</t>
  </si>
  <si>
    <t>Thay phao bể ngầm</t>
  </si>
  <si>
    <t>lắp bóng đèn + đui</t>
  </si>
  <si>
    <t>bản Alua nhà xe</t>
  </si>
  <si>
    <t>Vít + nở</t>
  </si>
  <si>
    <t>Keo Silicon</t>
  </si>
  <si>
    <t>chạy thêm ổ điện văn phòng mới</t>
  </si>
  <si>
    <t>dây điện + ổ cắm + ống gen</t>
  </si>
  <si>
    <t>Sơn phòng + Dọn vệ sinh</t>
  </si>
  <si>
    <t>Lát gạch sân phơi</t>
  </si>
  <si>
    <t>Gạch lát</t>
  </si>
  <si>
    <t>thay bát sen</t>
  </si>
  <si>
    <t>S4</t>
  </si>
  <si>
    <t>S19a</t>
  </si>
  <si>
    <t>QUẢN LÝ</t>
  </si>
  <si>
    <t>LOẠI PHÒNG</t>
  </si>
  <si>
    <t>Đỗ Thùy Linh</t>
  </si>
  <si>
    <t>Nguyễn Ngọc Văn Khải</t>
  </si>
  <si>
    <t>Đặng Trung Kiên</t>
  </si>
  <si>
    <t>Nguyễn Công Lâm</t>
  </si>
  <si>
    <t>Đỗ Thanh Hương</t>
  </si>
  <si>
    <t>Vũ Đắc Hào</t>
  </si>
  <si>
    <t>Nguyễn Thị Thương Huyền</t>
  </si>
  <si>
    <t>Sơn phòng + Dán phòng</t>
  </si>
  <si>
    <t>kh phá hd thu được điện nước</t>
  </si>
  <si>
    <t>kh phá hd thu điện nước</t>
  </si>
  <si>
    <t>Kh phá hd thu điện nước</t>
  </si>
  <si>
    <t>Trần Quang Huy</t>
  </si>
  <si>
    <t xml:space="preserve">l </t>
  </si>
  <si>
    <t>TIMEHOUSE SỬA CHỮA A ĐIỆP THÁNG 4.26</t>
  </si>
  <si>
    <t>TIMEHOUSE SỬA CHỮA A ƯỚC THÁNG 4.26</t>
  </si>
  <si>
    <t xml:space="preserve">Tháng 4 </t>
  </si>
  <si>
    <t>Thay cấp bệt</t>
  </si>
  <si>
    <t>Thay đèn hành lang</t>
  </si>
  <si>
    <t>T44- 45</t>
  </si>
  <si>
    <t>mua lăn chũi</t>
  </si>
  <si>
    <t>s20-T26</t>
  </si>
  <si>
    <t>Vòi rửa bát, bát sen</t>
  </si>
  <si>
    <t>Mua kìm mỏ quạ</t>
  </si>
  <si>
    <t>Xi măng trắng bịt hở sàn</t>
  </si>
  <si>
    <t>Bộ sen, 2 dây cấp, giá đỡ bình nl</t>
  </si>
  <si>
    <t>G7</t>
  </si>
  <si>
    <t>Băng dính dán tiêu lệnh, bảng biển</t>
  </si>
  <si>
    <t>Vật tư đi lại đường điện nước máy giặt</t>
  </si>
  <si>
    <t>Daay cấp máy giặt hỗ trợ chủ nhà</t>
  </si>
  <si>
    <t>Lắp 4c cam G6</t>
  </si>
  <si>
    <t>Thay lõi khóa phòng</t>
  </si>
  <si>
    <t>Thay vòi rửa</t>
  </si>
  <si>
    <t>Đi thêm đường điện, thêm ổ</t>
  </si>
  <si>
    <t>Kẻ vạch nhà xe G5</t>
  </si>
  <si>
    <t>Thuê đổ trạc</t>
  </si>
  <si>
    <t xml:space="preserve">Thuê đổ trạc </t>
  </si>
  <si>
    <t>Đánh thêm khóa cổng</t>
  </si>
  <si>
    <t>Sơn vá, dọn</t>
  </si>
  <si>
    <t>Thay xịt bệt, vòi gạt</t>
  </si>
  <si>
    <t>Kẻ vạch nhà xe G1</t>
  </si>
  <si>
    <t>Mua khoan pin</t>
  </si>
  <si>
    <t>Lắp then cửa nvs</t>
  </si>
  <si>
    <t>Lắp 6c cam G6</t>
  </si>
  <si>
    <t>Xịt bệt</t>
  </si>
  <si>
    <t>Mua đồ lắp đồ trên VP mới</t>
  </si>
  <si>
    <t>Thay kệ dưới gương</t>
  </si>
  <si>
    <t>Khách đã báo từ lúc mới vào</t>
  </si>
  <si>
    <t>Thay vòi gạt,bát sen</t>
  </si>
  <si>
    <t>Lắp 1c cam</t>
  </si>
  <si>
    <t>Dây cấp, cuts nối</t>
  </si>
  <si>
    <t>Thay át bình, lắp cài then cửa, ổ khóa</t>
  </si>
  <si>
    <t>Sơn dọn</t>
  </si>
  <si>
    <t>2c Băng dính dán bảng biển</t>
  </si>
  <si>
    <t>S20-28-36</t>
  </si>
  <si>
    <t>501+302</t>
  </si>
  <si>
    <t>Sơn phòng+dọn phòng</t>
  </si>
  <si>
    <t>Thay bơm mới đẩy</t>
  </si>
  <si>
    <t>mua sơn chậu kệ rửa</t>
  </si>
  <si>
    <t>TIMEHOUSE SỬA CHỮA THÁNG 5.26</t>
  </si>
  <si>
    <t>26/4</t>
  </si>
  <si>
    <t>Thay chống giật BNL</t>
  </si>
  <si>
    <t>Đi lại đường nước nóng</t>
  </si>
  <si>
    <t>Thông tắc chậu rửa mặt</t>
  </si>
  <si>
    <t>203</t>
  </si>
  <si>
    <t>Thay cần gạt bồn cầu</t>
  </si>
  <si>
    <t>27/4</t>
  </si>
  <si>
    <t>Thay bơm áp trên sân thượng</t>
  </si>
  <si>
    <t>28/4</t>
  </si>
  <si>
    <t>501</t>
  </si>
  <si>
    <t>Sơn cửa sổ + song săt cửa</t>
  </si>
  <si>
    <t>Lắp chốt + Tay nắm cửa nhà vệ sinh</t>
  </si>
  <si>
    <t>404</t>
  </si>
  <si>
    <t>29/4</t>
  </si>
  <si>
    <t>601</t>
  </si>
  <si>
    <t>Bắt giá cài bát sen</t>
  </si>
  <si>
    <t>502</t>
  </si>
  <si>
    <t>Khách hết hđ</t>
  </si>
  <si>
    <t xml:space="preserve">Thay 11 bóng âm trần </t>
  </si>
  <si>
    <t>Thay hút mùi nvs</t>
  </si>
  <si>
    <t>3/5</t>
  </si>
  <si>
    <t>101</t>
  </si>
  <si>
    <t>Tháo lắp điều hòa mới</t>
  </si>
  <si>
    <t>403</t>
  </si>
  <si>
    <t>Sửa giường sập</t>
  </si>
  <si>
    <t>Sửa vòi chậu rửa bát</t>
  </si>
  <si>
    <t>4/5</t>
  </si>
  <si>
    <t>402</t>
  </si>
  <si>
    <t>102</t>
  </si>
  <si>
    <t xml:space="preserve">Dọn phòng + Sơn trả </t>
  </si>
  <si>
    <t>Hàn lại cánh cổng bị rơi ra</t>
  </si>
  <si>
    <t>Tháo điều hòa ở vp cũ đưa về lắp 501T33</t>
  </si>
  <si>
    <t>5/5</t>
  </si>
  <si>
    <t>Sửa hút mùi nhà WC</t>
  </si>
  <si>
    <t>201</t>
  </si>
  <si>
    <t>Kh chi</t>
  </si>
  <si>
    <t>Bắn alu gác xép</t>
  </si>
  <si>
    <t>401</t>
  </si>
  <si>
    <t>6/5</t>
  </si>
  <si>
    <t>104</t>
  </si>
  <si>
    <t>Thay tấm alu sau tủ quần áo</t>
  </si>
  <si>
    <t>Thay vòi liền sen</t>
  </si>
  <si>
    <t>7/5</t>
  </si>
  <si>
    <t>Thay tấm trần nhà</t>
  </si>
  <si>
    <t>Lắp lại cánh tủ bếp mất chốt bản lề</t>
  </si>
  <si>
    <t>Thay bóng nhà WC'</t>
  </si>
  <si>
    <t>Thay ốc nắp bếp</t>
  </si>
  <si>
    <t>Thay van nước bồn cầu</t>
  </si>
  <si>
    <t>Thay lõi khóa cửa chính</t>
  </si>
  <si>
    <t>8/5</t>
  </si>
  <si>
    <t>Làm ống thoát nước máy giặt bằng ống PVC</t>
  </si>
  <si>
    <t>Thay bóng ốp trần WC</t>
  </si>
  <si>
    <t>9/5</t>
  </si>
  <si>
    <t>Lấy 1 thùng sơn ở T20</t>
  </si>
  <si>
    <t>Xử lý nước mưa tràn cửa sổ</t>
  </si>
  <si>
    <t>Hàn giá treo quần áo ở ban công</t>
  </si>
  <si>
    <t>10/5</t>
  </si>
  <si>
    <t>T12+13</t>
  </si>
  <si>
    <t>Mua đồ lắp bàn bếp,chậu rửa bát</t>
  </si>
  <si>
    <t>Lắp cam soi đồng hồ nước</t>
  </si>
  <si>
    <t>soi thùng rác</t>
  </si>
  <si>
    <t>Lắp cam soi máy giặt</t>
  </si>
  <si>
    <t>12/5</t>
  </si>
  <si>
    <t>Tổng vệ sinh nhà xe</t>
  </si>
  <si>
    <t>Sơn toàn bộ nhà xe</t>
  </si>
  <si>
    <t>Bắn alu chân tường xung quanh nhà xe</t>
  </si>
  <si>
    <t>Sơn cửa sắt nhà xe</t>
  </si>
  <si>
    <t>14/5</t>
  </si>
  <si>
    <t>S37+S48+S43</t>
  </si>
  <si>
    <t>Lắp bảng biển nhà xe</t>
  </si>
  <si>
    <t>S48AB</t>
  </si>
  <si>
    <t>Thay bóng điện nhà xe</t>
  </si>
  <si>
    <t>15/5</t>
  </si>
  <si>
    <t>Xử lý chống thấm WC 502 ngấm xuống 402</t>
  </si>
  <si>
    <t>Thay thoát sàn WC</t>
  </si>
  <si>
    <t>16/5</t>
  </si>
  <si>
    <t>Đi lại đường ống điều hòa từ tầng 5- tầng 1</t>
  </si>
  <si>
    <t>Sửa vòi nước + bịt lỗ mái bị hở</t>
  </si>
  <si>
    <t>Thay át tổng tầng 3+4</t>
  </si>
  <si>
    <t>Đi đường thoát nước điều hòa từ tầng 6 - tầng 1</t>
  </si>
  <si>
    <t>17/5</t>
  </si>
  <si>
    <t>Chống thấm nước mưa chảy vào phòng</t>
  </si>
  <si>
    <t>18/5</t>
  </si>
  <si>
    <t>Lắp vòi gạt nhà xe</t>
  </si>
  <si>
    <t>19/5</t>
  </si>
  <si>
    <t xml:space="preserve">Xử lý dột nước mưa </t>
  </si>
  <si>
    <t>Sửa cửa WC</t>
  </si>
  <si>
    <t>Bắn alu chắn nước</t>
  </si>
  <si>
    <t>Thoát máy giặt phụt sang ngõ hàng xóm</t>
  </si>
  <si>
    <t>20/5</t>
  </si>
  <si>
    <t>Xử lý chập điện tầng 6</t>
  </si>
  <si>
    <t>24/5</t>
  </si>
  <si>
    <t>Xử lý chống thấm rò nước xuống hộp kỹ thuật ở nhà xe</t>
  </si>
  <si>
    <t>25/5</t>
  </si>
  <si>
    <t>S46</t>
  </si>
  <si>
    <t>Thay át tầng 4+5+6</t>
  </si>
  <si>
    <t>Kh đã chi 1/2</t>
  </si>
  <si>
    <t>Dọn vệ sinh + Sơn điểm</t>
  </si>
  <si>
    <t>Lắp thêm bóng típ</t>
  </si>
  <si>
    <t>Dọn vệ sin phòng + Thay bóng đèn</t>
  </si>
  <si>
    <t>Thay quạt trần</t>
  </si>
  <si>
    <t>1/2 lấy sơn thùng T42</t>
  </si>
  <si>
    <t>Lắp 1 bộ bóng típ</t>
  </si>
  <si>
    <t>Thay dây cấp nước</t>
  </si>
  <si>
    <t>13/5</t>
  </si>
  <si>
    <t>Thay van máy giặt</t>
  </si>
  <si>
    <t>Sơn nhà xe</t>
  </si>
  <si>
    <t>21/5</t>
  </si>
  <si>
    <t>Thay quạt húi mùi</t>
  </si>
  <si>
    <t>Thay 1 bộ máng típ</t>
  </si>
  <si>
    <t>22/5</t>
  </si>
  <si>
    <t>Thay chốt cửa</t>
  </si>
  <si>
    <t>23/5</t>
  </si>
  <si>
    <t>Thay tụ bơm</t>
  </si>
  <si>
    <t>S34</t>
  </si>
  <si>
    <t>Sơn + dọn phòng</t>
  </si>
  <si>
    <t xml:space="preserve">Lắp tấm alu ở chậu rửa </t>
  </si>
  <si>
    <t>Kéoilicon</t>
  </si>
  <si>
    <t>Lắp ổ điện nhà xe</t>
  </si>
  <si>
    <t>Dây diện</t>
  </si>
  <si>
    <t>Ống ren</t>
  </si>
  <si>
    <t>Ổ cắm + đế nổi</t>
  </si>
  <si>
    <t>Át + đế</t>
  </si>
  <si>
    <t>Công tơ điện</t>
  </si>
  <si>
    <t>26/5</t>
  </si>
  <si>
    <t>27/5</t>
  </si>
  <si>
    <t>Thay lắp bồn cầu</t>
  </si>
  <si>
    <t>28/5</t>
  </si>
  <si>
    <t>30/5</t>
  </si>
  <si>
    <t>31/5</t>
  </si>
  <si>
    <t>G9</t>
  </si>
  <si>
    <t>S9A</t>
  </si>
  <si>
    <t>Thay 1 bộ vòi xịt</t>
  </si>
  <si>
    <t>Công sửa chữa</t>
  </si>
  <si>
    <t>Thay van gạt</t>
  </si>
  <si>
    <t>s13</t>
  </si>
  <si>
    <t>303</t>
  </si>
  <si>
    <t>408</t>
  </si>
  <si>
    <t xml:space="preserve">Tháng 5 </t>
  </si>
  <si>
    <t>Đi đường điện lắp bóng từ cổng ra ngõ</t>
  </si>
  <si>
    <t>Dơn dọn, thay bát sen</t>
  </si>
  <si>
    <t>Thay cấp xả bệt, bộ dây vòi sen</t>
  </si>
  <si>
    <t>Thay lavabo, 2 dây cấp, bóng tuýp</t>
  </si>
  <si>
    <t>Thay máng đèn,dây bát sen, giá đỡ dây xịt</t>
  </si>
  <si>
    <t>Thay bộ gương + kệ</t>
  </si>
  <si>
    <t>Lăn sơn, nối dây sen</t>
  </si>
  <si>
    <t>Thay bộ ngăn mùi thoát sàn</t>
  </si>
  <si>
    <t>mua bóng tuýp,dây điện,máng bóng lắp vp</t>
  </si>
  <si>
    <t>Thay dây cấp bình, thay dây sen</t>
  </si>
  <si>
    <t>Thay đui cẩm ứng + bóng</t>
  </si>
  <si>
    <t>Vít,nở lắp bảng biển các nhà</t>
  </si>
  <si>
    <t>Điều khuyển diều hòa</t>
  </si>
  <si>
    <t>Bột bả, giấy giáp, xăng tẩy phòng</t>
  </si>
  <si>
    <t>Dây thoát lavabo vp</t>
  </si>
  <si>
    <t xml:space="preserve">Thay atp </t>
  </si>
  <si>
    <t>Thay 2 bánh xe cửa lùa</t>
  </si>
  <si>
    <t xml:space="preserve">Thay dây cấp </t>
  </si>
  <si>
    <t>Thay 2 đầu xịt bệt</t>
  </si>
  <si>
    <t>Phao cơ</t>
  </si>
  <si>
    <t>Thay bóng nhà xe</t>
  </si>
  <si>
    <t>Thay 3 bóng hành lang</t>
  </si>
  <si>
    <t>Giá đỡ, vít lavabo</t>
  </si>
  <si>
    <t>G3,S25A</t>
  </si>
  <si>
    <t>Vật tư đi lại đường điện sân phơi, bếp</t>
  </si>
  <si>
    <t>lắp thoát sàn 1 chiều</t>
  </si>
  <si>
    <t>Vật tư lắp cam</t>
  </si>
  <si>
    <t>ngăn mùi thoát sàn</t>
  </si>
  <si>
    <t>Thay atp tổng</t>
  </si>
  <si>
    <t>G1,S28</t>
  </si>
  <si>
    <t>Sơn dọn phòng</t>
  </si>
  <si>
    <t>Lõi khóa phòng</t>
  </si>
  <si>
    <t>Dây sen, bóng tuýp</t>
  </si>
  <si>
    <t>Thoát sàn 1 chiều</t>
  </si>
  <si>
    <t>Thay chống giật</t>
  </si>
  <si>
    <t>1 lọ keo silicon bít cửa sổ</t>
  </si>
  <si>
    <t>T41,S20</t>
  </si>
  <si>
    <t>Quạt hút mùi</t>
  </si>
  <si>
    <t>Lăn sơn,chổi sơn khu vực chung</t>
  </si>
  <si>
    <t>Đổ trạc, đồ xly G9</t>
  </si>
  <si>
    <t>Mua sơn cửa cổng</t>
  </si>
  <si>
    <t>G8,9</t>
  </si>
  <si>
    <t>2 bóng tuýp</t>
  </si>
  <si>
    <t>Thoát chậu rửa</t>
  </si>
  <si>
    <t>Sơn,dọn phòng</t>
  </si>
  <si>
    <t>Dọn, sơn vá</t>
  </si>
  <si>
    <t>Đi lại thoát nước điều hòa các phòng trục trong</t>
  </si>
  <si>
    <t>3 bóng tuýp, 1 đui</t>
  </si>
  <si>
    <t>G8</t>
  </si>
  <si>
    <t>Nẹp sàn,bóng tròn,keo dán sàn</t>
  </si>
  <si>
    <t>trừ cọc khách cũ</t>
  </si>
  <si>
    <t>keo silicon bít cửa sổ</t>
  </si>
  <si>
    <t>dây xịt</t>
  </si>
  <si>
    <t>Sửa điều hòa chảy nước</t>
  </si>
  <si>
    <t>Danh sách sử dụng sơn tháng 5 ( 17 thùng ngày 4/5)</t>
  </si>
  <si>
    <t>101T25</t>
  </si>
  <si>
    <t>Mã phòng</t>
  </si>
  <si>
    <t>Số lượng</t>
  </si>
  <si>
    <t>Ghi chú</t>
  </si>
  <si>
    <t>lấy 1 thùng ở điểm T20</t>
  </si>
  <si>
    <t>203S13</t>
  </si>
  <si>
    <t>301T17</t>
  </si>
  <si>
    <t>3 thùng</t>
  </si>
  <si>
    <t>501T33, 402T33</t>
  </si>
  <si>
    <t>lấy từ vp</t>
  </si>
  <si>
    <t>401T34</t>
  </si>
  <si>
    <t>101, 501T5</t>
  </si>
  <si>
    <t>lấy từ điểm T20</t>
  </si>
  <si>
    <t>T24 ( sơn nhà xe)</t>
  </si>
  <si>
    <t>lấy từ vp đi ( đãng nhẽ là chuyển về kho t33)</t>
  </si>
  <si>
    <t>T22 ( Nhà xe)</t>
  </si>
  <si>
    <t>lấy từ điểm T42</t>
  </si>
  <si>
    <t>lấy 1 thùng ở điểm T42( lấy 1 thùng nguyên dùng hết 1/2 đang ở 203S13</t>
  </si>
  <si>
    <t>lấy 1 thùng ở điểm T42 (lấy 1 thùng nguyên dùng hết 1/3 đang ở 301T17)</t>
  </si>
  <si>
    <t>S10,S3</t>
  </si>
  <si>
    <t>1/3 và 2/3</t>
  </si>
  <si>
    <t>lấy từ điểm S3 ( S3 dùng 1/3 và S10 dùng 2/3)</t>
  </si>
  <si>
    <t>lấy từ vp điều chuyển về điểm chứa sơn ( chuyển 4 1 thùng sang G9, 1 thùng sang 203S13, 1 thùng sang 301T17)</t>
  </si>
  <si>
    <t>T17( nhà xe)</t>
  </si>
  <si>
    <t>sơn đặt riêng nhà huyển</t>
  </si>
  <si>
    <t>sơn đặt riêng nhà huyền</t>
  </si>
  <si>
    <t>d</t>
  </si>
  <si>
    <t>101T38</t>
  </si>
  <si>
    <t>sơn đặt riêng cho nhà huyền</t>
  </si>
  <si>
    <t>lấy về các điểm( chuyển về 2 thùng 1 thùng sang T35)</t>
  </si>
  <si>
    <t>chuyển từ t28 sang</t>
  </si>
  <si>
    <t>còn thiếu 4 thùng</t>
  </si>
  <si>
    <t>S48</t>
  </si>
  <si>
    <t>chuyển từ điểm T20</t>
  </si>
  <si>
    <t>BẢNG LƯƠNG THÁNG 5-A ĐIỆP</t>
  </si>
  <si>
    <t>BẢNG ỨNG CHI THÁNG 5- A ĐIỆP</t>
  </si>
  <si>
    <t>BẢNG LƯƠNG THÁNG 5-A ƯỚC</t>
  </si>
  <si>
    <t>BẢNG ỨNG CHI THÁNG 5- A ƯỚC</t>
  </si>
  <si>
    <t>BẢNG LƯƠNG THÁNG 5-TRƯỜNG</t>
  </si>
  <si>
    <t>BẢNG ỨNG CHI THÁNG 5- TRƯỜNG</t>
  </si>
  <si>
    <t>TIMEHOUSE SỬA CHỮA THÁNG 6.26</t>
  </si>
  <si>
    <t>2/6</t>
  </si>
  <si>
    <t>Nửa thùng sơn S48</t>
  </si>
  <si>
    <t>302</t>
  </si>
  <si>
    <t>3/6</t>
  </si>
  <si>
    <t>Thay bóng điện hành lang</t>
  </si>
  <si>
    <t>Nửa thùng sơn T28</t>
  </si>
  <si>
    <t>Sơn lan can + Cầu thang + Cửa sổ + Cửa ra vào</t>
  </si>
  <si>
    <t>4/6</t>
  </si>
  <si>
    <t xml:space="preserve">Sơn phòng </t>
  </si>
  <si>
    <t>Nửa thùng sơn T21</t>
  </si>
  <si>
    <t>5/6</t>
  </si>
  <si>
    <t>504</t>
  </si>
  <si>
    <t>Chống thấm dột góc trần</t>
  </si>
  <si>
    <t>6/6</t>
  </si>
  <si>
    <t>Sơn + bóc xốp dán tường + Cạo chũi</t>
  </si>
  <si>
    <t>Sửa cửa chính xệ</t>
  </si>
  <si>
    <t>Thay bóng trần</t>
  </si>
  <si>
    <t>Thay 2 bóng đèn thang máy</t>
  </si>
  <si>
    <t>7/6</t>
  </si>
  <si>
    <t>8/6</t>
  </si>
  <si>
    <t>Thay phao téc + Phao bể ngầm</t>
  </si>
  <si>
    <t>10/6</t>
  </si>
  <si>
    <t>Lắp máng nước mái tôn trước cổng</t>
  </si>
  <si>
    <t>11/6</t>
  </si>
  <si>
    <t>Cạo chũi , tháo dỡ tủ + Sơn phòng</t>
  </si>
  <si>
    <t>Xử lý tràn nước bể ngầm</t>
  </si>
  <si>
    <t>13/6</t>
  </si>
  <si>
    <t>14/6</t>
  </si>
  <si>
    <t>Chạy lại ống thoát máy giặt vào đường thoát khác</t>
  </si>
  <si>
    <t>19/6</t>
  </si>
  <si>
    <t>Xử lý nước thải điều hòa nhỏ giọt xuống t1</t>
  </si>
  <si>
    <t>Xử lý rò nước đầy nhỏ xuống kv bếp</t>
  </si>
  <si>
    <t>20/6</t>
  </si>
  <si>
    <t>Thay rửa bể ngầm + téc</t>
  </si>
  <si>
    <t>Cạo chân tường + sơn + dọn phòng</t>
  </si>
  <si>
    <t>Lắp dây vòi xịt</t>
  </si>
  <si>
    <t>Lắp chậu rửa</t>
  </si>
  <si>
    <t>Thay tấm alu sau tủ</t>
  </si>
  <si>
    <t>Lắp chậu rửa bát + khoan rút lõi</t>
  </si>
  <si>
    <t>22/6</t>
  </si>
  <si>
    <t>Thay nắp bệt</t>
  </si>
  <si>
    <t>Thay củ vòi liền sen chậu rửa mặt</t>
  </si>
  <si>
    <t>Thay dây cấp chậu rửa mặt</t>
  </si>
  <si>
    <t>Sơn lại phòng</t>
  </si>
  <si>
    <t>Bắn tấm alu che ô thoáng</t>
  </si>
  <si>
    <t>Sơn + dọn phòng vs quạt trần+ điều hòa</t>
  </si>
  <si>
    <t>Thay cục ấn bệt xí</t>
  </si>
  <si>
    <t xml:space="preserve">Thay phao bồn cầu </t>
  </si>
  <si>
    <t xml:space="preserve">Xử lý ngấm trào nước nên nóc bàn bếp gần nvs </t>
  </si>
  <si>
    <t>21/6</t>
  </si>
  <si>
    <t xml:space="preserve"> T41</t>
  </si>
  <si>
    <t>Xử lý cháy bơm đẩy qua 3 quả lọc</t>
  </si>
  <si>
    <t xml:space="preserve">Lắp rơ le chống cạn </t>
  </si>
  <si>
    <t>23/6</t>
  </si>
  <si>
    <t>G10</t>
  </si>
  <si>
    <t>Cạo chũi sơn phòng</t>
  </si>
  <si>
    <t xml:space="preserve">Lắp mới BNL </t>
  </si>
  <si>
    <t xml:space="preserve">Dây cấp + Nở </t>
  </si>
  <si>
    <t>24/6</t>
  </si>
  <si>
    <t>103+104</t>
  </si>
  <si>
    <t>Thông tắc thoát sàn bị ứ</t>
  </si>
  <si>
    <t>25/6</t>
  </si>
  <si>
    <t>Thay bóng típ + máng</t>
  </si>
  <si>
    <t>Thay gạt nước bồn cầu</t>
  </si>
  <si>
    <t>Thay phao trên téc</t>
  </si>
  <si>
    <t>T10</t>
  </si>
  <si>
    <t>Thay 1 bộ bát sen tăng áp</t>
  </si>
  <si>
    <t>Thay 1 dây cấp nước</t>
  </si>
  <si>
    <t>Thay 1 bộ nắp bệt</t>
  </si>
  <si>
    <t>Sơn tường + dọn vệ sinh</t>
  </si>
  <si>
    <t>Lắp thêm bóng đèn</t>
  </si>
  <si>
    <t>S14</t>
  </si>
  <si>
    <t xml:space="preserve">Chậu rửa bát </t>
  </si>
  <si>
    <t>Sơn phòng + Dọn vệ sinh phòng</t>
  </si>
  <si>
    <t>Thay cánh bơm</t>
  </si>
  <si>
    <t>Chập cháy dây điện tổng</t>
  </si>
  <si>
    <t>Mua dây điện</t>
  </si>
  <si>
    <t>Sơn tòa nhà</t>
  </si>
  <si>
    <t>Lăn sơn chôngs thấm sân thượng</t>
  </si>
  <si>
    <t>Mua sơn</t>
  </si>
  <si>
    <t>Sơn điểm + Dọn phòng</t>
  </si>
  <si>
    <t xml:space="preserve">Sơn điểm + Dọn phòng </t>
  </si>
  <si>
    <t>Thay nắp bồn cầu</t>
  </si>
  <si>
    <t>Thay dây thoát máy giặt</t>
  </si>
  <si>
    <t>Sửa chữa và gắn keo lỗ thoát điều hòa</t>
  </si>
  <si>
    <t>Vệ sinh bể ngầm và téc nước</t>
  </si>
  <si>
    <t>Thay thế phụ tùng máy bơm</t>
  </si>
  <si>
    <t>Thay vòi rửa mặt</t>
  </si>
  <si>
    <t>Sửa cam + Bắn chốt khóa cửa nhà WC tầng 1</t>
  </si>
  <si>
    <t>Thay chốt phòng tắm</t>
  </si>
  <si>
    <t>Thay tay cửa kéo</t>
  </si>
  <si>
    <t>Thay bánh xe cửa kéo</t>
  </si>
  <si>
    <t>Thay ổ điện đôi</t>
  </si>
  <si>
    <t>Thay vòi chậu rửa mặt</t>
  </si>
  <si>
    <t>Thay quạt hút mùi</t>
  </si>
  <si>
    <t>Thay đồng hồ điện tử</t>
  </si>
  <si>
    <t>Thay lõi khóa</t>
  </si>
  <si>
    <t>Thay quạt nhà wc</t>
  </si>
  <si>
    <t>S25b</t>
  </si>
  <si>
    <t>Mua keo xử lý thấm mái</t>
  </si>
  <si>
    <t xml:space="preserve">5 thùng sơn hiện tại còn 3,5 thùng </t>
  </si>
  <si>
    <t>3 thùng sơn hiện tại còn 3 thùng</t>
  </si>
  <si>
    <t>202</t>
  </si>
  <si>
    <t>Tháng 6</t>
  </si>
  <si>
    <t>điều khuyển đh</t>
  </si>
  <si>
    <t>đk đa năng k dò đc</t>
  </si>
  <si>
    <t>bát sen,vòi gạt</t>
  </si>
  <si>
    <t>s10</t>
  </si>
  <si>
    <t>thay phao cơ</t>
  </si>
  <si>
    <t>g5</t>
  </si>
  <si>
    <t>Dây xịt,bát sen</t>
  </si>
  <si>
    <t>t5</t>
  </si>
  <si>
    <t>2 bóng tròn hành lang, vít nở</t>
  </si>
  <si>
    <t>1 bóng tròn thây nvs</t>
  </si>
  <si>
    <t>bản lề cửa</t>
  </si>
  <si>
    <t>vòi rửa,dây cấp</t>
  </si>
  <si>
    <t>vòi chậu dây cấp</t>
  </si>
  <si>
    <t>Dây thoát máy giặt</t>
  </si>
  <si>
    <t>dây- bát sen</t>
  </si>
  <si>
    <t>bát sen</t>
  </si>
  <si>
    <t>Chốt cửa gạt</t>
  </si>
  <si>
    <t>S25a</t>
  </si>
  <si>
    <t>Dây đầu xịt</t>
  </si>
  <si>
    <t>tầng 1</t>
  </si>
  <si>
    <t>2 khóa gạt S25A phòng trống</t>
  </si>
  <si>
    <t>Khóa cửa lùa</t>
  </si>
  <si>
    <t xml:space="preserve">đèn </t>
  </si>
  <si>
    <t>Sửa tăng atp</t>
  </si>
  <si>
    <t>Thay rắc co nhiệt bị rò</t>
  </si>
  <si>
    <t>Sơn hành lang,nxe G10</t>
  </si>
  <si>
    <t>Sơn phòng 302,401</t>
  </si>
  <si>
    <t>vật tư lắp máy giăt</t>
  </si>
  <si>
    <t>sửa điều hòa</t>
  </si>
  <si>
    <t>kê cho nguồn sau thu qly cũ</t>
  </si>
  <si>
    <t>Chổi lăn sơn, móc dán deco, nước ae hỗ trợ</t>
  </si>
  <si>
    <t>G13</t>
  </si>
  <si>
    <t>Vòi chậu rửa</t>
  </si>
  <si>
    <t>Sơn nhà xe, hành lang lên t2, phòng lửng</t>
  </si>
  <si>
    <t>Thây vòi gạt</t>
  </si>
  <si>
    <t>lắp đầu bịt chống nước máy giặt</t>
  </si>
  <si>
    <t>Tầng 1</t>
  </si>
  <si>
    <t>Nối ống thoát WC bị bục vỡ do thông tắc</t>
  </si>
  <si>
    <t>xử lý mất nước</t>
  </si>
  <si>
    <t>Sơn phòng + dọn phòng</t>
  </si>
  <si>
    <t>Thay bóng tròn WC</t>
  </si>
  <si>
    <t>sơn cầu thang</t>
  </si>
  <si>
    <t>sơn phòng+ dọn dòng</t>
  </si>
  <si>
    <t>sửa nền nhà cập kênh</t>
  </si>
  <si>
    <t>BẢNG ỨNG CHI THÁNG 6- A ĐIỆP</t>
  </si>
  <si>
    <t>BẢNG LƯƠNG THÁNG 6-A ƯỚC</t>
  </si>
  <si>
    <t>BẢNG ỨNG CHI THÁNG 6- A ƯỚC</t>
  </si>
  <si>
    <t>TIMEHOUSE SỬA CHỮA THÁNG 7.26</t>
  </si>
  <si>
    <t>28/6</t>
  </si>
  <si>
    <t xml:space="preserve">Sơn chống thấm giếng trời </t>
  </si>
  <si>
    <t>2kg sơn chống thấm + lu sơn + chổi sơn</t>
  </si>
  <si>
    <t>Sơn+ dọn phòng</t>
  </si>
  <si>
    <t>1 thùng lấy T20 ( khách chi )</t>
  </si>
  <si>
    <t>Bắn tấm alu gác lửng</t>
  </si>
  <si>
    <t xml:space="preserve">Thay dây sen </t>
  </si>
  <si>
    <t>Khách báo từ lúc đầu đã bị</t>
  </si>
  <si>
    <t>Quá bẩn</t>
  </si>
  <si>
    <t>Sơn cửa sổ + sơn mặt trong cửa chính + lan can</t>
  </si>
  <si>
    <t>Sơn + chổi sơn</t>
  </si>
  <si>
    <t>106</t>
  </si>
  <si>
    <t>Sơn cao chũi bỏ tủ cũ</t>
  </si>
  <si>
    <t>Sơn + Dọn phòng</t>
  </si>
  <si>
    <t>Thay 2 bản lề cửa nhà WC</t>
  </si>
  <si>
    <t>Thùng sơn T33</t>
  </si>
  <si>
    <t xml:space="preserve">Thay 2 bóng tròn </t>
  </si>
  <si>
    <t>Thay nắp bệt + sửa cửa WC</t>
  </si>
  <si>
    <t>Thay bóng điện hành lang t1 - t2</t>
  </si>
  <si>
    <t>Cạo + chũi sơn phòng + dọn phòng</t>
  </si>
  <si>
    <t>703</t>
  </si>
  <si>
    <t>Sửa chậu rửa mặt xệ</t>
  </si>
  <si>
    <t>Xử lý đường thoát nước máy giặt sân thượng</t>
  </si>
  <si>
    <t>Tầng 4</t>
  </si>
  <si>
    <t>305</t>
  </si>
  <si>
    <t>503</t>
  </si>
  <si>
    <t>Cạo chũi sơn dọn phòng</t>
  </si>
  <si>
    <t>Lắp giường mới</t>
  </si>
  <si>
    <t>Dọn phòng + Sơn vá</t>
  </si>
  <si>
    <t>Sửa vòi nước bồn rửa mặt</t>
  </si>
  <si>
    <t>Dọn + Sơn tỉa</t>
  </si>
  <si>
    <t>Sửa cánh tủ bếp trên</t>
  </si>
  <si>
    <t>Thay vòi xịt bệt</t>
  </si>
  <si>
    <t>Thay xi phông thoát chậu rửa mặt</t>
  </si>
  <si>
    <t>Thay phao két bệt, Thay vòi liền tường</t>
  </si>
  <si>
    <t>302,101,103,304</t>
  </si>
  <si>
    <t>Bịt alu ô thoáng chống thoát kín đh</t>
  </si>
  <si>
    <t>Thay 3 chốt cửa sổ ban công</t>
  </si>
  <si>
    <t>Thay 4 móc khóa cửa</t>
  </si>
  <si>
    <t>Lắp khóa cửa</t>
  </si>
  <si>
    <t>WC tầng 1</t>
  </si>
  <si>
    <t>Thay nắp bệt WC tầng 1</t>
  </si>
  <si>
    <t>Chũi cạo + sơn phòng</t>
  </si>
  <si>
    <t>Lắp chậu rửa + khoan rút lõi</t>
  </si>
  <si>
    <t>Thay dây cấp bệt xí</t>
  </si>
  <si>
    <t>Sửa giường + sửa chốt cửa</t>
  </si>
  <si>
    <t>Thay đui bóng sân phơi</t>
  </si>
  <si>
    <t>G12</t>
  </si>
  <si>
    <t>Lắp 2 cam nhà xe</t>
  </si>
  <si>
    <t>Lắp dây phơi 9 phòng</t>
  </si>
  <si>
    <t>Lắp máy giặt</t>
  </si>
  <si>
    <t>Thay dây cấp nóng lạnh</t>
  </si>
  <si>
    <t>Thay ống thoát nước máy giặt</t>
  </si>
  <si>
    <t>Lắp kệ kính trước gương</t>
  </si>
  <si>
    <t>Xử lý đh rò nước</t>
  </si>
  <si>
    <t>301,405,202,302</t>
  </si>
  <si>
    <t>Nối ống thoát nc đh</t>
  </si>
  <si>
    <t>Thay núm củ sen</t>
  </si>
  <si>
    <t>Sơn song sắt cửa sổ phòng ngủ + khách</t>
  </si>
  <si>
    <t>Thay bóng cảm ứng t4+t6</t>
  </si>
  <si>
    <t>Bắn lại tủ bếp trên</t>
  </si>
  <si>
    <t xml:space="preserve">Xử lý chập điện nhà xe </t>
  </si>
  <si>
    <t xml:space="preserve">Vít lại chậu rửa mặt </t>
  </si>
  <si>
    <t>Lắp giá đỡ vòi xịt</t>
  </si>
  <si>
    <t>Xử lý thoát bệt chảy yếu</t>
  </si>
  <si>
    <t>Lắp hộp để đựng cục mạng và dây mạng</t>
  </si>
  <si>
    <t>Chống thấm mái</t>
  </si>
  <si>
    <t>Thay 1 bộ sen tường</t>
  </si>
  <si>
    <t>Dọn phòng + Sơn nvs</t>
  </si>
  <si>
    <t>Bắn keo lại tấm alu</t>
  </si>
  <si>
    <t>Đi lại đường ống thoát nước</t>
  </si>
  <si>
    <t>1/2 lấy ở T42</t>
  </si>
  <si>
    <t>Thay nút ấn bồn cầu</t>
  </si>
  <si>
    <t>Tiền công</t>
  </si>
  <si>
    <t>Thay bóng điện hành lang , cầu thang 8 bóng</t>
  </si>
  <si>
    <t>Thay bóng điện hành lang 2 bóng</t>
  </si>
  <si>
    <t xml:space="preserve">Sửa cửa vp </t>
  </si>
  <si>
    <t>Thay khóa cửa và bản lề lõi thép</t>
  </si>
  <si>
    <t>Thông tắc bể phốt</t>
  </si>
  <si>
    <t>Sửa bảng mạch máy giặt</t>
  </si>
  <si>
    <t>Thay bóng cầu thang</t>
  </si>
  <si>
    <t>Mua đồ làm ở G13</t>
  </si>
  <si>
    <t>Chậu đơn 1 hố</t>
  </si>
  <si>
    <t>Vòi lạnh</t>
  </si>
  <si>
    <t>Tê lệch</t>
  </si>
  <si>
    <t>Kép</t>
  </si>
  <si>
    <t>BNL</t>
  </si>
  <si>
    <t>Máy bơm áp</t>
  </si>
  <si>
    <t>2 bộ bát sen</t>
  </si>
  <si>
    <t>Sơn chống thấm</t>
  </si>
  <si>
    <t>Lắp bệt liền</t>
  </si>
  <si>
    <t>Bắn mái tôn + lắp máy giătk</t>
  </si>
  <si>
    <t>Khoan rút lõi + lắp bàn bếp</t>
  </si>
  <si>
    <t>Lắp chậu rửa mặt</t>
  </si>
  <si>
    <t>Thay bóng điện cầu thang</t>
  </si>
  <si>
    <t>Thay bóng đèn âm trần</t>
  </si>
  <si>
    <t>Thay rơle chống cạn</t>
  </si>
  <si>
    <t>Lắp thêm đồng hồ điện</t>
  </si>
  <si>
    <t>Lắp đồng hồ điện</t>
  </si>
  <si>
    <t>Thay lắp át</t>
  </si>
  <si>
    <t>1 thùng lấy ở S3</t>
  </si>
  <si>
    <t>Sơn ở T42 còn lại 2.5 thùng</t>
  </si>
  <si>
    <t>Sơn ở S3 còn lại 2.5 thùng</t>
  </si>
  <si>
    <t>BẢNG LƯƠNG THÁNG 7-A ĐIỆP</t>
  </si>
  <si>
    <t>BẢNG LƯƠNG THÁNG 7-A ƯỚC</t>
  </si>
  <si>
    <t>BẢNG ỨNG CHI THÁNG 7- A ĐIỆP</t>
  </si>
  <si>
    <t>BẢNG ỨNG CHI THÁNG 7- A ƯỚC</t>
  </si>
  <si>
    <t>TIMEHOUSE SỬA CHỮA THÁNG 8.26</t>
  </si>
  <si>
    <t>Chống thấm 303 ngấm WC xuống 203</t>
  </si>
  <si>
    <t>Xử lý đứt dây thoát chậu rửa bát</t>
  </si>
  <si>
    <t>Dọn dẹp khu gầm cầu thang bộ, khu máy giặt + xử lý dây điện</t>
  </si>
  <si>
    <t>304</t>
  </si>
  <si>
    <t>Cạo + Dũi + Sơn phòng</t>
  </si>
  <si>
    <t>Thay chốt cửa WC</t>
  </si>
  <si>
    <t>Cạo + chũi + sơn phòng</t>
  </si>
  <si>
    <t>Thay bát sen + đầu xịt</t>
  </si>
  <si>
    <t>Thay giá đỡ vòi xịt</t>
  </si>
  <si>
    <t>Thay tấm alu cửa tủ bếp</t>
  </si>
  <si>
    <t>301</t>
  </si>
  <si>
    <t>Thay nắp bể ngầm</t>
  </si>
  <si>
    <t>Keo silicon</t>
  </si>
  <si>
    <t>Sửa cổng ra vào thay ổ bi</t>
  </si>
  <si>
    <t>308</t>
  </si>
  <si>
    <t>Xử lý trần nhựa WC</t>
  </si>
  <si>
    <t>Bắn lại tủ bếp bát _ sửa giường</t>
  </si>
  <si>
    <t>Dọn phòng + lắp giường</t>
  </si>
  <si>
    <t xml:space="preserve">Sơn song sắt cửa sổ </t>
  </si>
  <si>
    <t>Sửa cửa ban công xệ</t>
  </si>
  <si>
    <t>Xử lý mất nước</t>
  </si>
  <si>
    <t>Chạy đường thoát nước đh cả tòa 20p</t>
  </si>
  <si>
    <t>Khoan rút lõi + lắp chậu rửa</t>
  </si>
  <si>
    <t>Sơn phòng + Lắp giường</t>
  </si>
  <si>
    <t>Lắp cấp thoát nước chậm rửa bát</t>
  </si>
  <si>
    <t xml:space="preserve">Lắp đặt đồng hồ điện WC chung tầng 2 + 3 + 4 + 5 </t>
  </si>
  <si>
    <t>Thay phao + Cọc xả bệt</t>
  </si>
  <si>
    <t>Thay nút ấn vòi sen</t>
  </si>
  <si>
    <t>Thay xi phông thoát bồn rửa mặt</t>
  </si>
  <si>
    <t>Thay bộ thoát nước chậu rửa bát</t>
  </si>
  <si>
    <t>Thay bóng điện hành lang tầng 5</t>
  </si>
  <si>
    <t>Xử lý mất điện mạng cả tòa</t>
  </si>
  <si>
    <t>Thay bóng điện phòng máy giặt</t>
  </si>
  <si>
    <t>Thay van ở bể ngầm</t>
  </si>
  <si>
    <t>Tít keo silicon ở bể ngầm</t>
  </si>
  <si>
    <t>Sơn chống thấm bức tường bị ngấm nước mưa giữa 2 nhà</t>
  </si>
  <si>
    <t>Chạy thêm 2 ổ điện để cắm bếp từ + tủ lạnh</t>
  </si>
  <si>
    <t>Lát lại gạch nền nhà bị bung</t>
  </si>
  <si>
    <t>Thay át tổng 3 pha</t>
  </si>
  <si>
    <t>lắp gương</t>
  </si>
  <si>
    <t>Lắp giá để đồ trước gương</t>
  </si>
  <si>
    <t>Thay dây sen + giá cài sen</t>
  </si>
  <si>
    <t>Gắn lại bồn cầu bị bung</t>
  </si>
  <si>
    <t>Nát lại gạch nền nhà vệ sinh bị bung vỡ</t>
  </si>
  <si>
    <t>Lắp thêm ổ điện bàn bếp</t>
  </si>
  <si>
    <t>Sửa máy giặt thay van cấp</t>
  </si>
  <si>
    <t>Xử lý bồn cầu thoát chậu nước</t>
  </si>
  <si>
    <t>Xử lý bồn cầu rỉ nước</t>
  </si>
  <si>
    <t>Bắn alu chắn ô thoáng cửa sổ + ô vệ sinh</t>
  </si>
  <si>
    <t>Thay xi phông chậu rửa</t>
  </si>
  <si>
    <t>Thay giá cài xịt</t>
  </si>
  <si>
    <t>Cạo + Chũi + Sơn phòng</t>
  </si>
  <si>
    <t>Thay bát sen, dây cấp chậu rửa mặt</t>
  </si>
  <si>
    <t>Thay xi phông bồn rửa mặt</t>
  </si>
  <si>
    <t>Tít keo bồn rửa bát</t>
  </si>
  <si>
    <t>Khách hết hợp đồng</t>
  </si>
  <si>
    <t>Thay rơ le chống cạn</t>
  </si>
  <si>
    <t>Lắp thêm đho điện</t>
  </si>
  <si>
    <t>Thay đho điện</t>
  </si>
  <si>
    <t>Lắp đho điện</t>
  </si>
  <si>
    <t>Thay bóng đèn và sửa chữa</t>
  </si>
  <si>
    <t>Thông tắc sàn nhà vệ sinh</t>
  </si>
  <si>
    <t>Thông tắc giếng trời và chạy lại đường ống</t>
  </si>
  <si>
    <t>208+204</t>
  </si>
  <si>
    <t>Sơn chỗ bị thấm</t>
  </si>
  <si>
    <t>Thay bóng đèn trần</t>
  </si>
  <si>
    <t>Thay 1 bộ bóng típ</t>
  </si>
  <si>
    <t>Sửa cửa + thang</t>
  </si>
  <si>
    <t>Thông thoát sàn</t>
  </si>
  <si>
    <t>Tầng 5</t>
  </si>
  <si>
    <t>Thay át 3 pha</t>
  </si>
  <si>
    <t>Thay tụ quạt và ốp gạch bếp</t>
  </si>
  <si>
    <t>Dọn vệ sinh phòng và sửa chữa</t>
  </si>
  <si>
    <t>Thay 1 bộ tay cửa kéo</t>
  </si>
  <si>
    <t>Thay sen cửa sổ</t>
  </si>
  <si>
    <t>Thay gương</t>
  </si>
  <si>
    <t>Kệ gương</t>
  </si>
  <si>
    <t>Nắp bệt</t>
  </si>
  <si>
    <t>Giá vắt khăn mặt</t>
  </si>
  <si>
    <t>Kệ kính</t>
  </si>
  <si>
    <t>Chạy lại đường điện</t>
  </si>
  <si>
    <t>Át tô mát</t>
  </si>
  <si>
    <t>Thay bát đỡ chậu</t>
  </si>
  <si>
    <t xml:space="preserve">Khách </t>
  </si>
  <si>
    <t>Thay 1 vòi gạt</t>
  </si>
  <si>
    <t xml:space="preserve">Thay tấm lưới inox cửa cổng </t>
  </si>
  <si>
    <t>Chạy lại đường điện ở sân thượng</t>
  </si>
  <si>
    <t>Zắc co ren ngoài</t>
  </si>
  <si>
    <t>Nơ 20-26</t>
  </si>
  <si>
    <t>Mang sông 25</t>
  </si>
  <si>
    <t>Cút 25</t>
  </si>
  <si>
    <t>Ống 25</t>
  </si>
  <si>
    <t>Băng tan</t>
  </si>
  <si>
    <t>Chõ bơm</t>
  </si>
  <si>
    <t>Thay đho nước</t>
  </si>
  <si>
    <t>Thay át tổng</t>
  </si>
  <si>
    <t>Thay thanh magie</t>
  </si>
  <si>
    <t>Hàn cửa + Sửa chữa</t>
  </si>
  <si>
    <t>Thay ống chậu rửa</t>
  </si>
  <si>
    <t>Dọn phòng chủ nhà làm chống thấm</t>
  </si>
  <si>
    <t>Lắp hút mùi</t>
  </si>
  <si>
    <t>Lắp đồng hồ nước</t>
  </si>
  <si>
    <t xml:space="preserve">Mang sông ren trong </t>
  </si>
  <si>
    <t>Sửa tủ</t>
  </si>
  <si>
    <t>Sửa 2 máy giặt</t>
  </si>
  <si>
    <t>Lắp đặt chậu rửa</t>
  </si>
  <si>
    <t xml:space="preserve">Dây cấp </t>
  </si>
  <si>
    <t>Keo silicoon</t>
  </si>
  <si>
    <t>Khoan rút lõi lắp chậu rửa</t>
  </si>
  <si>
    <t>Ống 34</t>
  </si>
  <si>
    <t>Cút 34</t>
  </si>
  <si>
    <t>Tê mang sông</t>
  </si>
  <si>
    <t>1 bộ xi phông chậu</t>
  </si>
  <si>
    <t xml:space="preserve">Thay 2 bóng đèn </t>
  </si>
  <si>
    <t>Sửa chậu rửa mặt</t>
  </si>
  <si>
    <t>Thay bơm mới, bơm cũ hỏng</t>
  </si>
  <si>
    <t>Dọn vệ sinh</t>
  </si>
  <si>
    <t>Khachs chi</t>
  </si>
  <si>
    <t>Thay lắp chậu rửa</t>
  </si>
  <si>
    <t>Vệ sinh + sửa chữa</t>
  </si>
  <si>
    <t>Dọn phòng + Sửa chữa</t>
  </si>
  <si>
    <t>Thay dây cấp máy giặt</t>
  </si>
  <si>
    <t>Thay 1 bộ bats sen</t>
  </si>
  <si>
    <t>Sửa chữa BNL</t>
  </si>
  <si>
    <t>Dọn phòng + sửa giường</t>
  </si>
  <si>
    <t>phòng phá hd</t>
  </si>
  <si>
    <t>kh phá hd</t>
  </si>
  <si>
    <t>do bị thấm</t>
  </si>
  <si>
    <t>ht chi do bị thấm</t>
  </si>
  <si>
    <t>1/2 thùng lấy ở T42</t>
  </si>
  <si>
    <t>1 thùng lấy S3</t>
  </si>
  <si>
    <t>1/2 thùng sơn lấy ở S3</t>
  </si>
  <si>
    <t>1thùng lấy ở T21</t>
  </si>
  <si>
    <t>1/2 thùng sơn T28</t>
  </si>
  <si>
    <t>1/2 thùng sơn T21</t>
  </si>
  <si>
    <t>bị thấm</t>
  </si>
  <si>
    <t>chủ nhà hỗ trợ 50%</t>
  </si>
  <si>
    <t>cháy quạt</t>
  </si>
  <si>
    <t>kh ở 1 tháng , lỗi do khách phá hd</t>
  </si>
  <si>
    <t>kh phá hf</t>
  </si>
  <si>
    <t>lỗi do khasxch cũ trc nữa phá hd</t>
  </si>
  <si>
    <t>do ban đầu chưa sửa</t>
  </si>
  <si>
    <t>801</t>
  </si>
  <si>
    <t>lỗi do khách cũ</t>
  </si>
  <si>
    <t>tắc do xi măng</t>
  </si>
  <si>
    <t>do thấm thu được kh 100k</t>
  </si>
  <si>
    <t>quản lý bank về ht</t>
  </si>
  <si>
    <t>ql bank về ht</t>
  </si>
  <si>
    <t>do thiết kế của nhà</t>
  </si>
  <si>
    <t xml:space="preserve">cũ quá </t>
  </si>
  <si>
    <t>DO THẤM</t>
  </si>
  <si>
    <t>BẢNG LƯƠNG THÁNG 8-A ƯỚC</t>
  </si>
  <si>
    <t>BẢNG ỨNG CHI THÁNG 8- A ƯỚC</t>
  </si>
  <si>
    <t>1thùng sơn chuyển từ vp( sơn chung với t44)</t>
  </si>
  <si>
    <t>1thùng sơn chuyển từ vp( sơn chung với t45</t>
  </si>
  <si>
    <t>1 thùng lấy ở G10</t>
  </si>
  <si>
    <t>1 thùng lấy ở T21</t>
  </si>
  <si>
    <t>ĐIỂM LẤY SƠN</t>
  </si>
  <si>
    <t>mua ngoài</t>
  </si>
  <si>
    <t>a kiên lấy từ vp</t>
  </si>
  <si>
    <t>1/2 thùng sơn lấy ở T25</t>
  </si>
  <si>
    <t>1/2 thùng sơn lấy ở T21</t>
  </si>
  <si>
    <t>1/3 thùng sơn lấy ở T42</t>
  </si>
  <si>
    <t>1/2 thùng sơn T25</t>
  </si>
  <si>
    <t>1/2 thùng sơn phòng G8</t>
  </si>
  <si>
    <t>1/3 thùng sơn lấy ở T41</t>
  </si>
  <si>
    <t>THÁNG 9</t>
  </si>
  <si>
    <t>BẢNG LƯƠNG THÁNG 8-A ĐIỆP</t>
  </si>
  <si>
    <t>BẢNG ỨNG CHI THÁNG 8- A ĐIỆP</t>
  </si>
  <si>
    <t>tháng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</si>
</sst>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m/d/yyyy;@"/>
    <numFmt numFmtId="167" formatCode="dd/mm/yyyy;@"/>
  </numFmts>
  <fonts count="27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sz val="11"/>
      <name val="Times New Roman"/>
      <family val="1"/>
    </font>
    <font>
      <sz val="11"/>
      <color theme="1"/>
      <name val="Aptos Narrow"/>
      <family val="2"/>
      <scheme val="minor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20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2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  <xf numFmtId="0" fontId="7" fillId="0" borderId="0"/>
    <xf numFmtId="0" fontId="6" fillId="0" borderId="0"/>
    <xf numFmtId="0" fontId="5" fillId="0" borderId="0"/>
    <xf numFmtId="164" fontId="4" fillId="0" borderId="0" applyFont="0" applyFill="0" applyBorder="0" applyAlignment="0" applyProtection="0">
      <alignment vertical="center"/>
    </xf>
    <xf numFmtId="0" fontId="3" fillId="0" borderId="0"/>
    <xf numFmtId="164" fontId="18" fillId="0" borderId="0" applyFont="0" applyFill="0" applyBorder="0" applyAlignment="0" applyProtection="0">
      <alignment vertical="center"/>
    </xf>
    <xf numFmtId="0" fontId="2" fillId="0" borderId="0"/>
    <xf numFmtId="0" fontId="1" fillId="0" borderId="0"/>
    <xf numFmtId="164" fontId="23" fillId="0" borderId="0" applyFont="0" applyFill="0" applyBorder="0" applyAlignment="0" applyProtection="0">
      <alignment vertical="center"/>
    </xf>
  </cellStyleXfs>
  <cellXfs count="303">
    <xf numFmtId="0" fontId="0" fillId="0" borderId="0" xfId="0"/>
    <xf numFmtId="0" fontId="10" fillId="0" borderId="4" xfId="0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165" fontId="11" fillId="0" borderId="4" xfId="1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165" fontId="13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165" fontId="12" fillId="0" borderId="4" xfId="1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3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top" wrapText="1"/>
    </xf>
    <xf numFmtId="49" fontId="12" fillId="0" borderId="4" xfId="0" applyNumberFormat="1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14" fillId="0" borderId="0" xfId="2" applyFont="1"/>
    <xf numFmtId="0" fontId="14" fillId="2" borderId="4" xfId="2" applyFont="1" applyFill="1" applyBorder="1" applyAlignment="1">
      <alignment horizontal="center"/>
    </xf>
    <xf numFmtId="0" fontId="8" fillId="0" borderId="0" xfId="2"/>
    <xf numFmtId="0" fontId="14" fillId="3" borderId="4" xfId="2" applyFont="1" applyFill="1" applyBorder="1" applyAlignment="1">
      <alignment horizontal="center"/>
    </xf>
    <xf numFmtId="49" fontId="11" fillId="0" borderId="5" xfId="0" applyNumberFormat="1" applyFont="1" applyBorder="1" applyAlignment="1">
      <alignment horizontal="center" vertical="center"/>
    </xf>
    <xf numFmtId="49" fontId="13" fillId="4" borderId="5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7" fillId="0" borderId="0" xfId="3"/>
    <xf numFmtId="3" fontId="13" fillId="0" borderId="0" xfId="3" applyNumberFormat="1" applyFont="1"/>
    <xf numFmtId="0" fontId="15" fillId="0" borderId="4" xfId="3" applyFont="1" applyBorder="1"/>
    <xf numFmtId="0" fontId="13" fillId="0" borderId="4" xfId="3" applyFont="1" applyBorder="1" applyAlignment="1">
      <alignment horizontal="right" vertical="center"/>
    </xf>
    <xf numFmtId="3" fontId="13" fillId="0" borderId="4" xfId="3" applyNumberFormat="1" applyFont="1" applyBorder="1"/>
    <xf numFmtId="0" fontId="13" fillId="0" borderId="4" xfId="3" applyFont="1" applyBorder="1"/>
    <xf numFmtId="0" fontId="15" fillId="0" borderId="0" xfId="3" applyFont="1"/>
    <xf numFmtId="0" fontId="13" fillId="0" borderId="0" xfId="3" applyFont="1"/>
    <xf numFmtId="0" fontId="15" fillId="6" borderId="4" xfId="3" applyFont="1" applyFill="1" applyBorder="1" applyAlignment="1">
      <alignment horizontal="center"/>
    </xf>
    <xf numFmtId="3" fontId="15" fillId="6" borderId="4" xfId="3" applyNumberFormat="1" applyFont="1" applyFill="1" applyBorder="1" applyAlignment="1">
      <alignment horizontal="center"/>
    </xf>
    <xf numFmtId="0" fontId="15" fillId="7" borderId="4" xfId="3" applyFont="1" applyFill="1" applyBorder="1"/>
    <xf numFmtId="3" fontId="15" fillId="0" borderId="4" xfId="3" applyNumberFormat="1" applyFont="1" applyBorder="1"/>
    <xf numFmtId="0" fontId="15" fillId="7" borderId="4" xfId="3" applyFont="1" applyFill="1" applyBorder="1" applyAlignment="1">
      <alignment wrapText="1"/>
    </xf>
    <xf numFmtId="0" fontId="15" fillId="4" borderId="4" xfId="3" applyFont="1" applyFill="1" applyBorder="1"/>
    <xf numFmtId="0" fontId="7" fillId="4" borderId="4" xfId="3" applyFill="1" applyBorder="1"/>
    <xf numFmtId="3" fontId="15" fillId="4" borderId="4" xfId="3" applyNumberFormat="1" applyFont="1" applyFill="1" applyBorder="1"/>
    <xf numFmtId="0" fontId="13" fillId="8" borderId="4" xfId="3" applyFont="1" applyFill="1" applyBorder="1"/>
    <xf numFmtId="3" fontId="13" fillId="8" borderId="4" xfId="3" applyNumberFormat="1" applyFont="1" applyFill="1" applyBorder="1"/>
    <xf numFmtId="3" fontId="7" fillId="0" borderId="0" xfId="3" applyNumberFormat="1"/>
    <xf numFmtId="0" fontId="12" fillId="0" borderId="4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4" borderId="4" xfId="2" applyFont="1" applyFill="1" applyBorder="1" applyAlignment="1">
      <alignment horizontal="center"/>
    </xf>
    <xf numFmtId="0" fontId="14" fillId="0" borderId="4" xfId="2" applyFont="1" applyBorder="1" applyAlignment="1">
      <alignment horizontal="center"/>
    </xf>
    <xf numFmtId="0" fontId="8" fillId="4" borderId="0" xfId="2" applyFill="1"/>
    <xf numFmtId="0" fontId="13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14" fontId="12" fillId="2" borderId="4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65" fontId="12" fillId="2" borderId="4" xfId="1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14" fontId="11" fillId="2" borderId="4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65" fontId="11" fillId="2" borderId="4" xfId="1" applyNumberFormat="1" applyFont="1" applyFill="1" applyBorder="1" applyAlignment="1">
      <alignment horizontal="center" vertical="center"/>
    </xf>
    <xf numFmtId="14" fontId="13" fillId="2" borderId="4" xfId="0" applyNumberFormat="1" applyFont="1" applyFill="1" applyBorder="1" applyAlignment="1">
      <alignment horizontal="center" vertical="center"/>
    </xf>
    <xf numFmtId="165" fontId="13" fillId="2" borderId="4" xfId="1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0" fillId="2" borderId="0" xfId="0" applyFill="1"/>
    <xf numFmtId="14" fontId="11" fillId="5" borderId="4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165" fontId="11" fillId="5" borderId="4" xfId="1" applyNumberFormat="1" applyFont="1" applyFill="1" applyBorder="1" applyAlignment="1">
      <alignment horizontal="center" vertical="center"/>
    </xf>
    <xf numFmtId="0" fontId="14" fillId="0" borderId="0" xfId="4" applyFont="1"/>
    <xf numFmtId="0" fontId="14" fillId="2" borderId="4" xfId="4" applyFont="1" applyFill="1" applyBorder="1" applyAlignment="1">
      <alignment horizontal="center"/>
    </xf>
    <xf numFmtId="0" fontId="6" fillId="0" borderId="0" xfId="4"/>
    <xf numFmtId="0" fontId="14" fillId="3" borderId="4" xfId="4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14" fillId="4" borderId="4" xfId="4" applyFont="1" applyFill="1" applyBorder="1" applyAlignment="1">
      <alignment horizontal="center"/>
    </xf>
    <xf numFmtId="16" fontId="13" fillId="2" borderId="4" xfId="0" applyNumberFormat="1" applyFont="1" applyFill="1" applyBorder="1" applyAlignment="1">
      <alignment horizontal="center" vertical="center"/>
    </xf>
    <xf numFmtId="16" fontId="12" fillId="2" borderId="4" xfId="0" applyNumberFormat="1" applyFont="1" applyFill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1" fillId="5" borderId="4" xfId="0" applyNumberFormat="1" applyFont="1" applyFill="1" applyBorder="1" applyAlignment="1">
      <alignment horizontal="center" vertical="center"/>
    </xf>
    <xf numFmtId="1" fontId="13" fillId="2" borderId="4" xfId="0" applyNumberFormat="1" applyFont="1" applyFill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3" fontId="11" fillId="0" borderId="4" xfId="1" applyNumberFormat="1" applyFont="1" applyBorder="1" applyAlignment="1">
      <alignment horizontal="center" vertical="center"/>
    </xf>
    <xf numFmtId="3" fontId="11" fillId="5" borderId="4" xfId="1" applyNumberFormat="1" applyFont="1" applyFill="1" applyBorder="1" applyAlignment="1">
      <alignment horizontal="center" vertical="center"/>
    </xf>
    <xf numFmtId="3" fontId="13" fillId="2" borderId="4" xfId="0" applyNumberFormat="1" applyFont="1" applyFill="1" applyBorder="1" applyAlignment="1">
      <alignment horizontal="center" vertical="center"/>
    </xf>
    <xf numFmtId="3" fontId="12" fillId="0" borderId="4" xfId="1" applyNumberFormat="1" applyFont="1" applyBorder="1" applyAlignment="1">
      <alignment horizontal="center" vertical="center"/>
    </xf>
    <xf numFmtId="14" fontId="12" fillId="9" borderId="4" xfId="0" applyNumberFormat="1" applyFont="1" applyFill="1" applyBorder="1" applyAlignment="1">
      <alignment horizontal="center" vertical="center"/>
    </xf>
    <xf numFmtId="1" fontId="13" fillId="9" borderId="4" xfId="0" applyNumberFormat="1" applyFont="1" applyFill="1" applyBorder="1" applyAlignment="1">
      <alignment horizontal="center" vertical="center"/>
    </xf>
    <xf numFmtId="3" fontId="13" fillId="9" borderId="4" xfId="0" applyNumberFormat="1" applyFont="1" applyFill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3" fontId="12" fillId="9" borderId="4" xfId="1" applyNumberFormat="1" applyFont="1" applyFill="1" applyBorder="1" applyAlignment="1">
      <alignment horizontal="center" vertical="center"/>
    </xf>
    <xf numFmtId="3" fontId="12" fillId="0" borderId="4" xfId="1" applyNumberFormat="1" applyFont="1" applyFill="1" applyBorder="1" applyAlignment="1">
      <alignment horizontal="center" vertical="center"/>
    </xf>
    <xf numFmtId="0" fontId="14" fillId="0" borderId="0" xfId="5" applyFont="1"/>
    <xf numFmtId="0" fontId="14" fillId="2" borderId="4" xfId="5" applyFont="1" applyFill="1" applyBorder="1" applyAlignment="1">
      <alignment horizontal="center"/>
    </xf>
    <xf numFmtId="0" fontId="5" fillId="0" borderId="0" xfId="5"/>
    <xf numFmtId="3" fontId="14" fillId="2" borderId="4" xfId="5" applyNumberFormat="1" applyFont="1" applyFill="1" applyBorder="1" applyAlignment="1">
      <alignment horizontal="center"/>
    </xf>
    <xf numFmtId="0" fontId="14" fillId="3" borderId="4" xfId="5" applyFont="1" applyFill="1" applyBorder="1" applyAlignment="1">
      <alignment horizontal="center"/>
    </xf>
    <xf numFmtId="14" fontId="12" fillId="4" borderId="4" xfId="0" applyNumberFormat="1" applyFont="1" applyFill="1" applyBorder="1" applyAlignment="1">
      <alignment horizontal="center" vertical="center"/>
    </xf>
    <xf numFmtId="0" fontId="14" fillId="4" borderId="4" xfId="5" applyFont="1" applyFill="1" applyBorder="1" applyAlignment="1">
      <alignment horizontal="center"/>
    </xf>
    <xf numFmtId="0" fontId="5" fillId="4" borderId="0" xfId="5" applyFill="1"/>
    <xf numFmtId="1" fontId="12" fillId="2" borderId="4" xfId="0" applyNumberFormat="1" applyFont="1" applyFill="1" applyBorder="1" applyAlignment="1">
      <alignment horizontal="center" vertical="center"/>
    </xf>
    <xf numFmtId="14" fontId="12" fillId="2" borderId="5" xfId="0" applyNumberFormat="1" applyFont="1" applyFill="1" applyBorder="1" applyAlignment="1">
      <alignment vertical="center" wrapText="1"/>
    </xf>
    <xf numFmtId="14" fontId="12" fillId="2" borderId="4" xfId="0" applyNumberFormat="1" applyFont="1" applyFill="1" applyBorder="1" applyAlignment="1">
      <alignment vertical="center" wrapText="1"/>
    </xf>
    <xf numFmtId="14" fontId="12" fillId="2" borderId="4" xfId="0" applyNumberFormat="1" applyFont="1" applyFill="1" applyBorder="1" applyAlignment="1">
      <alignment vertical="center"/>
    </xf>
    <xf numFmtId="165" fontId="11" fillId="0" borderId="4" xfId="6" applyNumberFormat="1" applyFont="1" applyBorder="1" applyAlignment="1">
      <alignment horizontal="center" vertical="center"/>
    </xf>
    <xf numFmtId="165" fontId="11" fillId="5" borderId="4" xfId="6" applyNumberFormat="1" applyFont="1" applyFill="1" applyBorder="1" applyAlignment="1">
      <alignment horizontal="center" vertical="center"/>
    </xf>
    <xf numFmtId="3" fontId="12" fillId="2" borderId="4" xfId="0" applyNumberFormat="1" applyFont="1" applyFill="1" applyBorder="1" applyAlignment="1">
      <alignment horizontal="center" vertical="center"/>
    </xf>
    <xf numFmtId="165" fontId="12" fillId="0" borderId="4" xfId="6" applyNumberFormat="1" applyFont="1" applyBorder="1" applyAlignment="1">
      <alignment horizontal="center" vertical="center"/>
    </xf>
    <xf numFmtId="3" fontId="11" fillId="0" borderId="4" xfId="6" applyNumberFormat="1" applyFont="1" applyBorder="1" applyAlignment="1">
      <alignment horizontal="center" vertical="center"/>
    </xf>
    <xf numFmtId="3" fontId="11" fillId="5" borderId="4" xfId="6" applyNumberFormat="1" applyFont="1" applyFill="1" applyBorder="1" applyAlignment="1">
      <alignment horizontal="center" vertical="center"/>
    </xf>
    <xf numFmtId="3" fontId="12" fillId="0" borderId="4" xfId="6" applyNumberFormat="1" applyFont="1" applyBorder="1" applyAlignment="1">
      <alignment horizontal="center" vertical="center"/>
    </xf>
    <xf numFmtId="3" fontId="12" fillId="9" borderId="4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14" fontId="17" fillId="0" borderId="4" xfId="0" applyNumberFormat="1" applyFont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/>
    </xf>
    <xf numFmtId="3" fontId="17" fillId="0" borderId="4" xfId="0" applyNumberFormat="1" applyFont="1" applyBorder="1" applyAlignment="1">
      <alignment horizontal="center" vertical="center"/>
    </xf>
    <xf numFmtId="3" fontId="12" fillId="0" borderId="4" xfId="6" applyNumberFormat="1" applyFont="1" applyFill="1" applyBorder="1" applyAlignment="1">
      <alignment horizontal="center" vertical="center"/>
    </xf>
    <xf numFmtId="165" fontId="12" fillId="0" borderId="4" xfId="6" applyNumberFormat="1" applyFont="1" applyFill="1" applyBorder="1" applyAlignment="1">
      <alignment horizontal="center" vertical="center"/>
    </xf>
    <xf numFmtId="0" fontId="14" fillId="0" borderId="0" xfId="7" applyFont="1"/>
    <xf numFmtId="0" fontId="14" fillId="2" borderId="4" xfId="7" applyFont="1" applyFill="1" applyBorder="1" applyAlignment="1">
      <alignment horizontal="center"/>
    </xf>
    <xf numFmtId="0" fontId="3" fillId="0" borderId="0" xfId="7"/>
    <xf numFmtId="16" fontId="14" fillId="2" borderId="4" xfId="7" applyNumberFormat="1" applyFont="1" applyFill="1" applyBorder="1" applyAlignment="1">
      <alignment horizontal="center"/>
    </xf>
    <xf numFmtId="3" fontId="14" fillId="2" borderId="4" xfId="7" applyNumberFormat="1" applyFont="1" applyFill="1" applyBorder="1" applyAlignment="1">
      <alignment horizontal="center"/>
    </xf>
    <xf numFmtId="0" fontId="14" fillId="3" borderId="4" xfId="7" applyFont="1" applyFill="1" applyBorder="1" applyAlignment="1">
      <alignment horizontal="center"/>
    </xf>
    <xf numFmtId="0" fontId="14" fillId="4" borderId="4" xfId="7" applyFont="1" applyFill="1" applyBorder="1" applyAlignment="1">
      <alignment horizontal="center"/>
    </xf>
    <xf numFmtId="0" fontId="19" fillId="0" borderId="4" xfId="0" applyFont="1" applyBorder="1" applyAlignment="1">
      <alignment horizontal="center" vertical="center"/>
    </xf>
    <xf numFmtId="49" fontId="20" fillId="0" borderId="4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 wrapText="1"/>
    </xf>
    <xf numFmtId="165" fontId="20" fillId="0" borderId="4" xfId="8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 wrapText="1"/>
    </xf>
    <xf numFmtId="165" fontId="21" fillId="0" borderId="4" xfId="8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3" fontId="21" fillId="0" borderId="4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6" fontId="21" fillId="0" borderId="4" xfId="0" applyNumberFormat="1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65" fontId="21" fillId="0" borderId="4" xfId="8" applyNumberFormat="1" applyFont="1" applyFill="1" applyBorder="1" applyAlignment="1">
      <alignment horizontal="center" vertical="center"/>
    </xf>
    <xf numFmtId="49" fontId="21" fillId="9" borderId="5" xfId="0" applyNumberFormat="1" applyFont="1" applyFill="1" applyBorder="1" applyAlignment="1">
      <alignment horizontal="center" vertical="center"/>
    </xf>
    <xf numFmtId="0" fontId="21" fillId="9" borderId="4" xfId="0" applyFont="1" applyFill="1" applyBorder="1" applyAlignment="1">
      <alignment horizontal="left" vertical="center" wrapText="1"/>
    </xf>
    <xf numFmtId="3" fontId="21" fillId="9" borderId="4" xfId="0" applyNumberFormat="1" applyFont="1" applyFill="1" applyBorder="1" applyAlignment="1">
      <alignment horizontal="center" vertical="center"/>
    </xf>
    <xf numFmtId="49" fontId="20" fillId="0" borderId="5" xfId="0" applyNumberFormat="1" applyFont="1" applyBorder="1" applyAlignment="1">
      <alignment horizontal="center" vertical="center"/>
    </xf>
    <xf numFmtId="0" fontId="14" fillId="0" borderId="0" xfId="9" applyFont="1"/>
    <xf numFmtId="0" fontId="14" fillId="2" borderId="4" xfId="9" applyFont="1" applyFill="1" applyBorder="1" applyAlignment="1">
      <alignment horizontal="center"/>
    </xf>
    <xf numFmtId="0" fontId="2" fillId="0" borderId="0" xfId="9"/>
    <xf numFmtId="16" fontId="14" fillId="2" borderId="4" xfId="9" applyNumberFormat="1" applyFont="1" applyFill="1" applyBorder="1" applyAlignment="1">
      <alignment horizontal="center"/>
    </xf>
    <xf numFmtId="3" fontId="14" fillId="2" borderId="4" xfId="9" applyNumberFormat="1" applyFont="1" applyFill="1" applyBorder="1" applyAlignment="1">
      <alignment horizontal="center"/>
    </xf>
    <xf numFmtId="0" fontId="14" fillId="3" borderId="4" xfId="9" applyFont="1" applyFill="1" applyBorder="1" applyAlignment="1">
      <alignment horizontal="center"/>
    </xf>
    <xf numFmtId="0" fontId="12" fillId="0" borderId="0" xfId="0" applyFont="1"/>
    <xf numFmtId="20" fontId="12" fillId="0" borderId="0" xfId="0" applyNumberFormat="1" applyFont="1"/>
    <xf numFmtId="0" fontId="12" fillId="9" borderId="0" xfId="0" applyFont="1" applyFill="1"/>
    <xf numFmtId="0" fontId="14" fillId="0" borderId="4" xfId="9" applyFont="1" applyBorder="1" applyAlignment="1">
      <alignment horizontal="center"/>
    </xf>
    <xf numFmtId="3" fontId="14" fillId="0" borderId="4" xfId="9" applyNumberFormat="1" applyFont="1" applyBorder="1" applyAlignment="1">
      <alignment horizontal="center"/>
    </xf>
    <xf numFmtId="0" fontId="21" fillId="4" borderId="4" xfId="0" applyFont="1" applyFill="1" applyBorder="1" applyAlignment="1">
      <alignment horizontal="center" vertical="center"/>
    </xf>
    <xf numFmtId="49" fontId="21" fillId="4" borderId="5" xfId="0" applyNumberFormat="1" applyFont="1" applyFill="1" applyBorder="1" applyAlignment="1">
      <alignment horizontal="center" vertical="center"/>
    </xf>
    <xf numFmtId="0" fontId="14" fillId="4" borderId="4" xfId="9" applyFont="1" applyFill="1" applyBorder="1" applyAlignment="1">
      <alignment horizontal="center"/>
    </xf>
    <xf numFmtId="0" fontId="12" fillId="4" borderId="0" xfId="0" applyFont="1" applyFill="1"/>
    <xf numFmtId="0" fontId="21" fillId="0" borderId="6" xfId="0" applyFont="1" applyBorder="1" applyAlignment="1">
      <alignment horizontal="center" vertical="center"/>
    </xf>
    <xf numFmtId="49" fontId="21" fillId="4" borderId="5" xfId="0" applyNumberFormat="1" applyFont="1" applyFill="1" applyBorder="1" applyAlignment="1">
      <alignment horizontal="center" vertical="center" wrapText="1"/>
    </xf>
    <xf numFmtId="165" fontId="21" fillId="0" borderId="4" xfId="8" applyNumberFormat="1" applyFont="1" applyBorder="1" applyAlignment="1">
      <alignment vertical="center"/>
    </xf>
    <xf numFmtId="3" fontId="21" fillId="0" borderId="4" xfId="0" applyNumberFormat="1" applyFont="1" applyBorder="1" applyAlignment="1">
      <alignment vertical="center"/>
    </xf>
    <xf numFmtId="167" fontId="20" fillId="0" borderId="4" xfId="0" applyNumberFormat="1" applyFont="1" applyBorder="1" applyAlignment="1">
      <alignment horizontal="center" vertical="center"/>
    </xf>
    <xf numFmtId="167" fontId="21" fillId="0" borderId="4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0" fontId="20" fillId="0" borderId="4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3" fontId="20" fillId="0" borderId="4" xfId="8" applyNumberFormat="1" applyFont="1" applyBorder="1" applyAlignment="1">
      <alignment horizontal="center" vertical="center"/>
    </xf>
    <xf numFmtId="3" fontId="20" fillId="0" borderId="4" xfId="8" applyNumberFormat="1" applyFont="1" applyBorder="1" applyAlignment="1">
      <alignment vertical="center"/>
    </xf>
    <xf numFmtId="3" fontId="21" fillId="0" borderId="4" xfId="8" applyNumberFormat="1" applyFont="1" applyBorder="1" applyAlignment="1">
      <alignment horizontal="center" vertical="center"/>
    </xf>
    <xf numFmtId="3" fontId="21" fillId="0" borderId="4" xfId="8" applyNumberFormat="1" applyFont="1" applyBorder="1" applyAlignment="1">
      <alignment vertical="center"/>
    </xf>
    <xf numFmtId="49" fontId="20" fillId="5" borderId="5" xfId="0" applyNumberFormat="1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 wrapText="1"/>
    </xf>
    <xf numFmtId="0" fontId="14" fillId="0" borderId="0" xfId="10" applyFont="1"/>
    <xf numFmtId="0" fontId="14" fillId="2" borderId="4" xfId="10" applyFont="1" applyFill="1" applyBorder="1" applyAlignment="1">
      <alignment horizontal="center"/>
    </xf>
    <xf numFmtId="0" fontId="1" fillId="0" borderId="0" xfId="10"/>
    <xf numFmtId="16" fontId="14" fillId="2" borderId="4" xfId="10" applyNumberFormat="1" applyFont="1" applyFill="1" applyBorder="1" applyAlignment="1">
      <alignment horizontal="center"/>
    </xf>
    <xf numFmtId="3" fontId="14" fillId="2" borderId="4" xfId="10" applyNumberFormat="1" applyFont="1" applyFill="1" applyBorder="1" applyAlignment="1">
      <alignment horizontal="center"/>
    </xf>
    <xf numFmtId="0" fontId="14" fillId="3" borderId="4" xfId="10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/>
    </xf>
    <xf numFmtId="167" fontId="20" fillId="5" borderId="4" xfId="0" applyNumberFormat="1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/>
    </xf>
    <xf numFmtId="165" fontId="20" fillId="5" borderId="4" xfId="8" applyNumberFormat="1" applyFont="1" applyFill="1" applyBorder="1" applyAlignment="1">
      <alignment horizontal="center" vertical="center"/>
    </xf>
    <xf numFmtId="0" fontId="14" fillId="4" borderId="4" xfId="10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/>
    </xf>
    <xf numFmtId="167" fontId="21" fillId="0" borderId="5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67" fontId="25" fillId="0" borderId="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165" fontId="25" fillId="0" borderId="4" xfId="11" applyNumberFormat="1" applyFont="1" applyBorder="1" applyAlignment="1">
      <alignment horizontal="right"/>
    </xf>
    <xf numFmtId="165" fontId="25" fillId="0" borderId="4" xfId="11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/>
    </xf>
    <xf numFmtId="167" fontId="26" fillId="0" borderId="5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165" fontId="26" fillId="0" borderId="4" xfId="11" applyNumberFormat="1" applyFont="1" applyBorder="1" applyAlignment="1">
      <alignment horizontal="right"/>
    </xf>
    <xf numFmtId="165" fontId="26" fillId="0" borderId="4" xfId="11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167" fontId="26" fillId="0" borderId="4" xfId="0" applyNumberFormat="1" applyFont="1" applyBorder="1" applyAlignment="1">
      <alignment horizontal="center" vertical="center"/>
    </xf>
    <xf numFmtId="49" fontId="26" fillId="0" borderId="5" xfId="0" applyNumberFormat="1" applyFont="1" applyBorder="1" applyAlignment="1">
      <alignment horizontal="center" vertical="center"/>
    </xf>
    <xf numFmtId="3" fontId="26" fillId="0" borderId="4" xfId="0" applyNumberFormat="1" applyFont="1" applyBorder="1" applyAlignment="1">
      <alignment horizontal="right"/>
    </xf>
    <xf numFmtId="3" fontId="26" fillId="0" borderId="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right"/>
    </xf>
    <xf numFmtId="165" fontId="25" fillId="0" borderId="4" xfId="11" applyNumberFormat="1" applyFont="1" applyBorder="1" applyAlignment="1">
      <alignment vertical="center"/>
    </xf>
    <xf numFmtId="0" fontId="26" fillId="0" borderId="4" xfId="11" applyNumberFormat="1" applyFont="1" applyBorder="1" applyAlignment="1">
      <alignment horizontal="center" vertical="center"/>
    </xf>
    <xf numFmtId="0" fontId="26" fillId="9" borderId="4" xfId="0" applyFont="1" applyFill="1" applyBorder="1" applyAlignment="1">
      <alignment horizontal="left" vertical="center" wrapText="1"/>
    </xf>
    <xf numFmtId="0" fontId="26" fillId="9" borderId="4" xfId="0" applyFont="1" applyFill="1" applyBorder="1" applyAlignment="1">
      <alignment horizontal="center" vertical="center"/>
    </xf>
    <xf numFmtId="3" fontId="26" fillId="9" borderId="4" xfId="0" applyNumberFormat="1" applyFont="1" applyFill="1" applyBorder="1" applyAlignment="1">
      <alignment horizontal="center" vertical="center"/>
    </xf>
    <xf numFmtId="0" fontId="26" fillId="9" borderId="4" xfId="11" applyNumberFormat="1" applyFont="1" applyFill="1" applyBorder="1" applyAlignment="1">
      <alignment horizontal="center" vertical="center"/>
    </xf>
    <xf numFmtId="167" fontId="26" fillId="9" borderId="4" xfId="0" applyNumberFormat="1" applyFont="1" applyFill="1" applyBorder="1" applyAlignment="1">
      <alignment horizontal="center" vertical="center"/>
    </xf>
    <xf numFmtId="0" fontId="26" fillId="0" borderId="4" xfId="11" applyNumberFormat="1" applyFont="1" applyFill="1" applyBorder="1" applyAlignment="1">
      <alignment horizontal="center" vertical="center"/>
    </xf>
    <xf numFmtId="165" fontId="26" fillId="9" borderId="4" xfId="11" applyNumberFormat="1" applyFont="1" applyFill="1" applyBorder="1" applyAlignment="1">
      <alignment horizontal="center" vertical="center"/>
    </xf>
    <xf numFmtId="165" fontId="26" fillId="0" borderId="4" xfId="11" applyNumberFormat="1" applyFont="1" applyFill="1" applyBorder="1" applyAlignment="1">
      <alignment horizontal="center" vertical="center"/>
    </xf>
    <xf numFmtId="167" fontId="25" fillId="0" borderId="5" xfId="0" applyNumberFormat="1" applyFont="1" applyBorder="1" applyAlignment="1">
      <alignment horizontal="center" vertical="center"/>
    </xf>
    <xf numFmtId="3" fontId="26" fillId="0" borderId="5" xfId="0" applyNumberFormat="1" applyFont="1" applyBorder="1" applyAlignment="1">
      <alignment horizontal="center" vertical="center"/>
    </xf>
    <xf numFmtId="3" fontId="26" fillId="0" borderId="6" xfId="0" applyNumberFormat="1" applyFont="1" applyBorder="1" applyAlignment="1">
      <alignment horizontal="center" vertical="center"/>
    </xf>
    <xf numFmtId="3" fontId="26" fillId="0" borderId="7" xfId="0" applyNumberFormat="1" applyFont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49" fontId="26" fillId="4" borderId="5" xfId="0" applyNumberFormat="1" applyFont="1" applyFill="1" applyBorder="1" applyAlignment="1">
      <alignment horizontal="center" vertical="center"/>
    </xf>
    <xf numFmtId="3" fontId="26" fillId="4" borderId="4" xfId="0" applyNumberFormat="1" applyFont="1" applyFill="1" applyBorder="1" applyAlignment="1">
      <alignment horizontal="center" vertical="center"/>
    </xf>
    <xf numFmtId="167" fontId="24" fillId="0" borderId="1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2" xfId="11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15" fillId="8" borderId="4" xfId="3" applyFont="1" applyFill="1" applyBorder="1" applyAlignment="1">
      <alignment horizontal="center"/>
    </xf>
    <xf numFmtId="0" fontId="15" fillId="5" borderId="4" xfId="3" applyFont="1" applyFill="1" applyBorder="1" applyAlignment="1">
      <alignment horizontal="center"/>
    </xf>
    <xf numFmtId="0" fontId="15" fillId="5" borderId="1" xfId="3" applyFont="1" applyFill="1" applyBorder="1" applyAlignment="1">
      <alignment horizontal="center"/>
    </xf>
    <xf numFmtId="0" fontId="15" fillId="5" borderId="2" xfId="3" applyFont="1" applyFill="1" applyBorder="1" applyAlignment="1">
      <alignment horizontal="center"/>
    </xf>
    <xf numFmtId="0" fontId="15" fillId="5" borderId="3" xfId="3" applyFont="1" applyFill="1" applyBorder="1" applyAlignment="1">
      <alignment horizontal="center"/>
    </xf>
    <xf numFmtId="0" fontId="15" fillId="8" borderId="1" xfId="3" applyFont="1" applyFill="1" applyBorder="1" applyAlignment="1">
      <alignment horizontal="center"/>
    </xf>
    <xf numFmtId="0" fontId="15" fillId="8" borderId="3" xfId="3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4" fontId="12" fillId="2" borderId="5" xfId="0" applyNumberFormat="1" applyFont="1" applyFill="1" applyBorder="1" applyAlignment="1">
      <alignment horizontal="center" vertical="center" wrapText="1"/>
    </xf>
    <xf numFmtId="14" fontId="12" fillId="2" borderId="6" xfId="0" applyNumberFormat="1" applyFont="1" applyFill="1" applyBorder="1" applyAlignment="1">
      <alignment horizontal="center" vertical="center" wrapText="1"/>
    </xf>
    <xf numFmtId="14" fontId="12" fillId="2" borderId="5" xfId="0" applyNumberFormat="1" applyFont="1" applyFill="1" applyBorder="1" applyAlignment="1">
      <alignment horizontal="center" vertical="center"/>
    </xf>
    <xf numFmtId="14" fontId="12" fillId="2" borderId="6" xfId="0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8" borderId="4" xfId="3" applyFont="1" applyFill="1" applyBorder="1" applyAlignment="1">
      <alignment horizontal="center"/>
    </xf>
    <xf numFmtId="0" fontId="11" fillId="5" borderId="4" xfId="3" applyFont="1" applyFill="1" applyBorder="1" applyAlignment="1">
      <alignment horizontal="center"/>
    </xf>
    <xf numFmtId="0" fontId="11" fillId="5" borderId="1" xfId="3" applyFont="1" applyFill="1" applyBorder="1" applyAlignment="1">
      <alignment horizontal="center"/>
    </xf>
    <xf numFmtId="0" fontId="11" fillId="8" borderId="1" xfId="3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3" fontId="21" fillId="0" borderId="5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3" fontId="21" fillId="0" borderId="5" xfId="0" applyNumberFormat="1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49" fontId="21" fillId="4" borderId="5" xfId="0" applyNumberFormat="1" applyFont="1" applyFill="1" applyBorder="1" applyAlignment="1">
      <alignment horizontal="center" vertical="center" wrapText="1"/>
    </xf>
    <xf numFmtId="49" fontId="21" fillId="0" borderId="7" xfId="0" applyNumberFormat="1" applyFont="1" applyBorder="1" applyAlignment="1">
      <alignment horizontal="center" vertical="center" wrapText="1"/>
    </xf>
    <xf numFmtId="3" fontId="21" fillId="0" borderId="6" xfId="0" applyNumberFormat="1" applyFont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49" fontId="21" fillId="0" borderId="6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21" fillId="0" borderId="7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3" fontId="26" fillId="0" borderId="5" xfId="0" applyNumberFormat="1" applyFont="1" applyBorder="1" applyAlignment="1">
      <alignment horizontal="center" vertical="center"/>
    </xf>
    <xf numFmtId="3" fontId="26" fillId="0" borderId="6" xfId="0" applyNumberFormat="1" applyFont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 wrapText="1"/>
    </xf>
    <xf numFmtId="165" fontId="12" fillId="4" borderId="4" xfId="11" applyNumberFormat="1" applyFont="1" applyFill="1" applyBorder="1" applyAlignment="1">
      <alignment horizontal="center" vertical="center"/>
    </xf>
    <xf numFmtId="165" fontId="26" fillId="4" borderId="4" xfId="11" applyNumberFormat="1" applyFont="1" applyFill="1" applyBorder="1" applyAlignment="1">
      <alignment horizontal="center" vertical="center"/>
    </xf>
    <xf numFmtId="3" fontId="12" fillId="4" borderId="4" xfId="0" applyNumberFormat="1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49" fontId="26" fillId="4" borderId="5" xfId="0" applyNumberFormat="1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 vertical="center"/>
    </xf>
    <xf numFmtId="49" fontId="12" fillId="4" borderId="5" xfId="0" applyNumberFormat="1" applyFont="1" applyFill="1" applyBorder="1" applyAlignment="1">
      <alignment horizontal="center" vertical="center"/>
    </xf>
  </cellXfs>
  <cellStyles count="12">
    <cellStyle name="Comma" xfId="1" builtinId="3"/>
    <cellStyle name="Comma 2" xfId="6" xr:uid="{4E79E650-23C4-4D0A-9547-EBA00E4D4229}"/>
    <cellStyle name="Comma 3" xfId="8" xr:uid="{6798ECFF-9595-45A6-8355-F657C563A7B5}"/>
    <cellStyle name="Comma 4" xfId="11" xr:uid="{3C3F5684-0986-4132-BA58-E52448EE3084}"/>
    <cellStyle name="Normal" xfId="0" builtinId="0"/>
    <cellStyle name="Normal 2" xfId="2" xr:uid="{A5EF6EE7-DF57-4B1B-9378-6068D694E2F4}"/>
    <cellStyle name="Normal 2 2" xfId="3" xr:uid="{93458B66-1F20-4940-9D0D-CE8E05E81670}"/>
    <cellStyle name="Normal 3" xfId="4" xr:uid="{8C7D72AC-D795-4DE4-A342-18A9A48C71C9}"/>
    <cellStyle name="Normal 4" xfId="5" xr:uid="{1AFEAC96-E3A9-4C95-93BC-AFD6C450171C}"/>
    <cellStyle name="Normal 5" xfId="7" xr:uid="{6AECD6CC-EBFD-4ADC-8E2B-932A8F7BB86D}"/>
    <cellStyle name="Normal 6" xfId="9" xr:uid="{A376396E-E636-4DFB-BABE-865252D23B44}"/>
    <cellStyle name="Normal 7" xfId="10" xr:uid="{F6B30F47-7D1A-457D-B0C5-D5E8FA0D9153}"/>
  </cellStyles>
  <dxfs count="60"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673452-1A14-415A-AF7B-1BA34EAF9DA5}" name="Table1" displayName="Table1" ref="A1:H22" totalsRowShown="0" headerRowDxfId="59" dataDxfId="58">
  <autoFilter ref="A1:H22" xr:uid="{77ED30A6-A004-4053-BD11-E77AF21F025F}">
    <filterColumn colId="2">
      <filters>
        <filter val="T26"/>
      </filters>
    </filterColumn>
  </autoFilter>
  <tableColumns count="8">
    <tableColumn id="1" xr3:uid="{CF6E82AF-4277-493F-8F31-7AD70B54CA61}" name="Ngày " dataDxfId="57"/>
    <tableColumn id="2" xr3:uid="{4D1259B5-CD53-470C-BC5C-56F1B41F7D3D}" name="Lỗi sửa chữa + mua đồ " dataDxfId="56"/>
    <tableColumn id="3" xr3:uid="{F17697BF-8FCD-4810-AB07-CF6686F211F5}" name="Toà nhà " dataDxfId="55"/>
    <tableColumn id="4" xr3:uid="{85C13CE9-786E-4E53-AF52-6117944D9F50}" name="Phòng" dataDxfId="54"/>
    <tableColumn id="5" xr3:uid="{1ABB03D7-6E1B-4CD5-9726-B60E813C23AF}" name="Chi phí vật liệu" dataDxfId="53"/>
    <tableColumn id="6" xr3:uid="{3435875E-E83E-4DCE-964D-96147A211410}" name="Chi phí công " dataDxfId="52"/>
    <tableColumn id="7" xr3:uid="{5DE12866-0264-49E8-9535-32EB9C5F042B}" name="Bên chi" dataDxfId="51"/>
    <tableColumn id="8" xr3:uid="{8EB5D4C0-03CA-4E79-8E91-C48565F775D5}" name="Ghi chú chi tiết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8C4D65-5001-43AE-80DB-BA6EB69E5F9D}" name="Table13" displayName="Table13" ref="A1:H22" totalsRowShown="0" headerRowDxfId="49" dataDxfId="48">
  <autoFilter ref="A1:H22" xr:uid="{77ED30A6-A004-4053-BD11-E77AF21F025F}"/>
  <tableColumns count="8">
    <tableColumn id="1" xr3:uid="{FC85B64F-5866-4AC6-9D7E-C00BC7D19E8B}" name="Ngày " dataDxfId="47"/>
    <tableColumn id="2" xr3:uid="{A81B29C0-AD39-43D6-9B6B-E11906E0B812}" name="Lỗi sửa chữa + mua đồ " dataDxfId="46"/>
    <tableColumn id="3" xr3:uid="{2F30F85D-BC7B-4C59-A107-30A18C64D8E9}" name="Toà nhà " dataDxfId="45"/>
    <tableColumn id="4" xr3:uid="{46C51047-E3B9-4F2C-9D2E-0D480766094B}" name="Phòng" dataDxfId="44"/>
    <tableColumn id="5" xr3:uid="{2D72EAF8-9DD8-43E5-A123-43C267CA9C30}" name="Chi phí vật liệu" dataDxfId="43"/>
    <tableColumn id="6" xr3:uid="{431A7FC5-D595-4AFD-8970-E33CDAB73929}" name="Chi phí công " dataDxfId="42"/>
    <tableColumn id="7" xr3:uid="{47E5DCB0-3313-444A-A5BA-1FF2DEA1C7B0}" name="Bên chi" dataDxfId="41"/>
    <tableColumn id="8" xr3:uid="{F8DF0073-111C-40B3-81C8-855693EE135D}" name="Ghi chú chi tiết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567A07-46CA-478B-8066-BD4FB3086731}" name="Table14" displayName="Table14" ref="A1:H37" totalsRowShown="0" headerRowDxfId="39" dataDxfId="38">
  <autoFilter ref="A1:H37" xr:uid="{77ED30A6-A004-4053-BD11-E77AF21F025F}">
    <filterColumn colId="2">
      <filters>
        <filter val="G6"/>
      </filters>
    </filterColumn>
  </autoFilter>
  <tableColumns count="8">
    <tableColumn id="1" xr3:uid="{E52E7571-61FD-43A1-892B-C6B919F10612}" name="Ngày " dataDxfId="37"/>
    <tableColumn id="2" xr3:uid="{DF770A06-E4A1-4A3C-8882-0981AAEDF02E}" name="Lỗi sửa chữa + mua đồ " dataDxfId="36"/>
    <tableColumn id="3" xr3:uid="{9F327622-26D4-4F3B-853D-29270E7FD6A5}" name="Toà nhà " dataDxfId="35"/>
    <tableColumn id="4" xr3:uid="{0EA6A9E0-A4E0-47FA-979B-F054BB7029D4}" name="Phòng" dataDxfId="34"/>
    <tableColumn id="5" xr3:uid="{43DBB312-C46D-4F86-A53F-20C08DC7BBC0}" name="Chi phí vật liệu" dataDxfId="33"/>
    <tableColumn id="6" xr3:uid="{73F9CACD-66ED-4EA2-BBAF-7BB3F0DD9B02}" name="Chi phí công " dataDxfId="32"/>
    <tableColumn id="7" xr3:uid="{BAD5C5AF-C7D2-47C2-9775-74E78B7AEF40}" name="Bên chi" dataDxfId="31"/>
    <tableColumn id="8" xr3:uid="{EB77C7A3-5C7D-47A3-BB1C-2DF97932F99D}" name="Ghi chú chi tiết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82CE04-35C8-484F-B0E9-5613110C1DDC}" name="Table15" displayName="Table15" ref="A1:H52" totalsRowShown="0" headerRowDxfId="29" dataDxfId="28">
  <autoFilter ref="A1:H52" xr:uid="{77ED30A6-A004-4053-BD11-E77AF21F025F}">
    <filterColumn colId="2">
      <filters>
        <filter val="G7"/>
      </filters>
    </filterColumn>
  </autoFilter>
  <tableColumns count="8">
    <tableColumn id="1" xr3:uid="{8F2B78B6-C426-422F-99E8-66D158100D96}" name="Ngày " dataDxfId="27"/>
    <tableColumn id="2" xr3:uid="{BEA32111-32F3-47D3-AE6F-5FFDCD8574B7}" name="Lỗi sửa chữa + mua đồ " dataDxfId="26"/>
    <tableColumn id="3" xr3:uid="{6A56AEAD-BBDE-4B69-BBF7-2B647181594B}" name="Toà nhà " dataDxfId="25"/>
    <tableColumn id="4" xr3:uid="{D470C092-17D0-4A40-BE92-9071CCD0DF6C}" name="Phòng" dataDxfId="24"/>
    <tableColumn id="5" xr3:uid="{87513ACC-8FFE-4F32-A361-4582C23130CA}" name="Chi phí vật liệu" dataDxfId="23"/>
    <tableColumn id="6" xr3:uid="{2D7D8FB8-548B-466A-B2F5-FF9467CA621D}" name="Chi phí công " dataDxfId="22"/>
    <tableColumn id="7" xr3:uid="{4165310B-C294-46EB-83F8-B11EF43CBD19}" name="Bên chi" dataDxfId="21"/>
    <tableColumn id="8" xr3:uid="{CDD5605F-7B2A-4EC1-8031-20D943ADA65D}" name="Ghi chú chi tiết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5425B9-CA3C-406E-833E-AA5F24300FDB}" name="Table16" displayName="Table16" ref="A1:H66" totalsRowShown="0" headerRowDxfId="19" dataDxfId="18">
  <autoFilter ref="A1:H66" xr:uid="{77ED30A6-A004-4053-BD11-E77AF21F025F}"/>
  <tableColumns count="8">
    <tableColumn id="1" xr3:uid="{663E7AF1-E5F4-4B75-8E34-5464994A3059}" name="Ngày " dataDxfId="17"/>
    <tableColumn id="2" xr3:uid="{EF7F9C57-1B66-456A-9DEE-5171BAD40FC6}" name="Lỗi sửa chữa + mua đồ " dataDxfId="16"/>
    <tableColumn id="3" xr3:uid="{6A5D903F-F68D-4719-B341-F41746D0C396}" name="Toà nhà " dataDxfId="15"/>
    <tableColumn id="4" xr3:uid="{A2AFD083-9566-42D5-95DE-63E15D15E023}" name="Phòng" dataDxfId="14"/>
    <tableColumn id="5" xr3:uid="{D89AE7DA-C87A-462B-995E-12DF7C52775F}" name="Chi phí vật liệu" dataDxfId="13"/>
    <tableColumn id="6" xr3:uid="{860C3202-A42D-49B7-A6D2-9BEE5BEE9742}" name="Chi phí công " dataDxfId="12"/>
    <tableColumn id="7" xr3:uid="{0553F5AA-262B-4201-8DBE-5EEEED9CC601}" name="Bên chi" dataDxfId="11"/>
    <tableColumn id="8" xr3:uid="{73267E14-12E1-49A2-B458-2C544141ABF8}" name="Ghi chú chi tiết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E4BE46-5347-4B45-A708-A4ECC4A3DCA2}" name="Table17" displayName="Table17" ref="A1:H66" totalsRowShown="0" headerRowDxfId="9" dataDxfId="8">
  <autoFilter ref="A1:H66" xr:uid="{77ED30A6-A004-4053-BD11-E77AF21F025F}"/>
  <tableColumns count="8">
    <tableColumn id="1" xr3:uid="{39EFBB38-58B4-4791-A463-59BD6DCFC4CD}" name="Ngày " dataDxfId="7"/>
    <tableColumn id="2" xr3:uid="{27131F24-F962-40B3-B28D-68666D4EC2A5}" name="Lỗi sửa chữa + mua đồ " dataDxfId="6"/>
    <tableColumn id="3" xr3:uid="{D6280C3E-5579-4E6F-B18C-65A7C554E475}" name="Toà nhà " dataDxfId="5"/>
    <tableColumn id="4" xr3:uid="{C628B68A-DC7A-4A57-897F-9C41A8A38DBC}" name="Phòng" dataDxfId="4"/>
    <tableColumn id="5" xr3:uid="{35CC556A-5D0D-4E8D-9E9C-FD7EDF8BA1A1}" name="Chi phí vật liệu" dataDxfId="3"/>
    <tableColumn id="6" xr3:uid="{016C1F25-C496-443F-B8FD-6B842F1A156E}" name="Chi phí công " dataDxfId="2"/>
    <tableColumn id="7" xr3:uid="{C795BCD9-CAA6-4A0A-A3DB-81DA762C9933}" name="Bên chi" dataDxfId="1"/>
    <tableColumn id="8" xr3:uid="{18688A93-DD30-46A1-AFDD-39340C153D81}" name="Ghi chú chi tiế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53A9-5D92-459B-8520-B5D0ABFB49AA}">
  <sheetPr codeName="Sheet1"/>
  <dimension ref="A1:L47"/>
  <sheetViews>
    <sheetView topLeftCell="A16" workbookViewId="0">
      <selection activeCell="G35" sqref="G35"/>
    </sheetView>
  </sheetViews>
  <sheetFormatPr defaultColWidth="8.81640625" defaultRowHeight="14.5"/>
  <cols>
    <col min="1" max="1" width="45.1796875" style="29" customWidth="1"/>
    <col min="2" max="2" width="17.1796875" style="29" customWidth="1"/>
    <col min="3" max="3" width="15.90625" style="29" customWidth="1"/>
    <col min="4" max="4" width="13.1796875" style="29" customWidth="1"/>
    <col min="5" max="8" width="8.81640625" style="29"/>
    <col min="9" max="9" width="38" style="29" customWidth="1"/>
    <col min="10" max="10" width="20.90625" style="29" customWidth="1"/>
    <col min="11" max="12" width="15.453125" style="29" customWidth="1"/>
    <col min="13" max="16384" width="8.81640625" style="29"/>
  </cols>
  <sheetData>
    <row r="1" spans="1:12">
      <c r="D1" s="30"/>
      <c r="I1" s="31"/>
      <c r="J1" s="32"/>
      <c r="K1" s="33"/>
      <c r="L1" s="33"/>
    </row>
    <row r="2" spans="1:12">
      <c r="D2" s="30"/>
      <c r="L2" s="33"/>
    </row>
    <row r="3" spans="1:12">
      <c r="D3" s="30"/>
      <c r="I3" s="31"/>
      <c r="J3" s="34"/>
      <c r="K3" s="33"/>
      <c r="L3" s="33"/>
    </row>
    <row r="4" spans="1:12">
      <c r="D4" s="30"/>
      <c r="L4" s="33"/>
    </row>
    <row r="5" spans="1:12">
      <c r="A5" s="35"/>
      <c r="B5" s="36"/>
      <c r="C5" s="30"/>
      <c r="D5" s="30"/>
      <c r="L5" s="33"/>
    </row>
    <row r="6" spans="1:12">
      <c r="A6" s="35"/>
      <c r="B6" s="36"/>
      <c r="C6" s="30"/>
      <c r="D6" s="30"/>
      <c r="I6" s="31"/>
      <c r="J6" s="34"/>
      <c r="K6" s="33"/>
      <c r="L6" s="33"/>
    </row>
    <row r="7" spans="1:12">
      <c r="A7" s="35"/>
      <c r="B7" s="36"/>
      <c r="C7" s="30"/>
      <c r="D7" s="30"/>
      <c r="I7" s="31"/>
      <c r="J7" s="34"/>
      <c r="K7" s="33"/>
      <c r="L7" s="33"/>
    </row>
    <row r="8" spans="1:12">
      <c r="A8" s="35"/>
      <c r="B8" s="36"/>
      <c r="C8" s="30"/>
      <c r="D8" s="30"/>
      <c r="I8" s="31"/>
      <c r="J8" s="34"/>
      <c r="K8" s="33"/>
      <c r="L8" s="33"/>
    </row>
    <row r="9" spans="1:12">
      <c r="A9" s="35"/>
      <c r="B9" s="36"/>
      <c r="C9" s="30"/>
      <c r="D9" s="30"/>
      <c r="I9" s="31"/>
      <c r="J9" s="34"/>
      <c r="K9" s="33"/>
      <c r="L9" s="33"/>
    </row>
    <row r="10" spans="1:12">
      <c r="I10" s="31"/>
      <c r="J10" s="34"/>
      <c r="K10" s="33"/>
      <c r="L10" s="33"/>
    </row>
    <row r="12" spans="1:12">
      <c r="A12" s="249" t="s">
        <v>313</v>
      </c>
      <c r="B12" s="249"/>
      <c r="C12" s="249"/>
      <c r="D12" s="249"/>
    </row>
    <row r="13" spans="1:12">
      <c r="A13" s="37" t="s">
        <v>214</v>
      </c>
      <c r="B13" s="37" t="s">
        <v>215</v>
      </c>
      <c r="C13" s="37" t="s">
        <v>216</v>
      </c>
      <c r="D13" s="38" t="s">
        <v>217</v>
      </c>
      <c r="I13" s="250" t="s">
        <v>315</v>
      </c>
      <c r="J13" s="251"/>
      <c r="K13" s="251"/>
      <c r="L13" s="252"/>
    </row>
    <row r="14" spans="1:12" ht="22.5" customHeight="1">
      <c r="A14" s="39" t="s">
        <v>218</v>
      </c>
      <c r="B14" s="40">
        <v>7000000</v>
      </c>
      <c r="C14" s="31">
        <v>1</v>
      </c>
      <c r="D14" s="40">
        <f t="shared" ref="D14:D20" si="0">B14*C14</f>
        <v>7000000</v>
      </c>
      <c r="I14" s="37" t="s">
        <v>214</v>
      </c>
      <c r="J14" s="37" t="s">
        <v>215</v>
      </c>
      <c r="K14" s="37" t="s">
        <v>216</v>
      </c>
      <c r="L14" s="38" t="s">
        <v>217</v>
      </c>
    </row>
    <row r="15" spans="1:12" ht="20" customHeight="1">
      <c r="A15" s="41" t="s">
        <v>219</v>
      </c>
      <c r="B15" s="40">
        <v>2000000</v>
      </c>
      <c r="C15" s="31">
        <v>1</v>
      </c>
      <c r="D15" s="40">
        <f t="shared" si="0"/>
        <v>2000000</v>
      </c>
      <c r="I15" s="39" t="s">
        <v>218</v>
      </c>
      <c r="J15" s="40">
        <v>7000000</v>
      </c>
      <c r="K15" s="31">
        <v>1</v>
      </c>
      <c r="L15" s="40">
        <f>J15*K15</f>
        <v>7000000</v>
      </c>
    </row>
    <row r="16" spans="1:12" ht="28.5" customHeight="1">
      <c r="A16" s="41" t="s">
        <v>220</v>
      </c>
      <c r="B16" s="40">
        <f>'a Điệp T2.26'!E3</f>
        <v>2900000</v>
      </c>
      <c r="C16" s="31">
        <v>1</v>
      </c>
      <c r="D16" s="40">
        <f t="shared" si="0"/>
        <v>2900000</v>
      </c>
      <c r="I16" s="39" t="s">
        <v>219</v>
      </c>
      <c r="J16" s="40">
        <v>2000000</v>
      </c>
      <c r="K16" s="31">
        <v>1</v>
      </c>
      <c r="L16" s="40">
        <f t="shared" ref="L16:L22" si="1">J16*K16</f>
        <v>2000000</v>
      </c>
    </row>
    <row r="17" spans="1:12">
      <c r="A17" s="41" t="s">
        <v>221</v>
      </c>
      <c r="B17" s="40">
        <v>700000</v>
      </c>
      <c r="C17" s="31">
        <v>1</v>
      </c>
      <c r="D17" s="40">
        <f t="shared" si="0"/>
        <v>700000</v>
      </c>
      <c r="I17" s="41" t="s">
        <v>220</v>
      </c>
      <c r="J17" s="40">
        <f>'A Ước T2.26'!E3</f>
        <v>3600000</v>
      </c>
      <c r="K17" s="31">
        <v>1</v>
      </c>
      <c r="L17" s="40">
        <f t="shared" si="1"/>
        <v>3600000</v>
      </c>
    </row>
    <row r="18" spans="1:12">
      <c r="A18" s="41"/>
      <c r="B18" s="40"/>
      <c r="C18" s="31"/>
      <c r="D18" s="40">
        <f t="shared" si="0"/>
        <v>0</v>
      </c>
      <c r="I18" s="41" t="s">
        <v>221</v>
      </c>
      <c r="J18" s="40">
        <v>700000</v>
      </c>
      <c r="K18" s="31">
        <v>1</v>
      </c>
      <c r="L18" s="40">
        <f t="shared" si="1"/>
        <v>700000</v>
      </c>
    </row>
    <row r="19" spans="1:12">
      <c r="A19" s="39"/>
      <c r="B19" s="40"/>
      <c r="C19" s="31"/>
      <c r="D19" s="40">
        <f t="shared" si="0"/>
        <v>0</v>
      </c>
      <c r="I19" s="41"/>
      <c r="J19" s="40"/>
      <c r="K19" s="31"/>
      <c r="L19" s="40"/>
    </row>
    <row r="20" spans="1:12">
      <c r="A20" s="39"/>
      <c r="B20" s="40"/>
      <c r="C20" s="31"/>
      <c r="D20" s="40">
        <f t="shared" si="0"/>
        <v>0</v>
      </c>
      <c r="I20" s="39"/>
      <c r="J20" s="40"/>
      <c r="K20" s="31"/>
      <c r="L20" s="40"/>
    </row>
    <row r="21" spans="1:12">
      <c r="A21" s="42" t="s">
        <v>217</v>
      </c>
      <c r="B21" s="43"/>
      <c r="C21" s="43"/>
      <c r="D21" s="44">
        <f>SUM(D14:D20)</f>
        <v>12600000</v>
      </c>
      <c r="I21" s="39"/>
      <c r="J21" s="40"/>
      <c r="K21" s="31"/>
      <c r="L21" s="40"/>
    </row>
    <row r="22" spans="1:12">
      <c r="I22" s="39"/>
      <c r="J22" s="40"/>
      <c r="K22" s="31"/>
      <c r="L22" s="40">
        <f t="shared" si="1"/>
        <v>0</v>
      </c>
    </row>
    <row r="23" spans="1:12">
      <c r="I23" s="42" t="s">
        <v>217</v>
      </c>
      <c r="J23" s="43"/>
      <c r="K23" s="43"/>
      <c r="L23" s="44">
        <f>SUM(L15:L22)</f>
        <v>13300000</v>
      </c>
    </row>
    <row r="24" spans="1:12">
      <c r="A24" s="248" t="s">
        <v>314</v>
      </c>
      <c r="B24" s="248"/>
    </row>
    <row r="25" spans="1:12">
      <c r="A25" s="34" t="s">
        <v>222</v>
      </c>
      <c r="B25" s="33">
        <v>3000000</v>
      </c>
    </row>
    <row r="26" spans="1:12">
      <c r="A26" s="34" t="s">
        <v>223</v>
      </c>
      <c r="B26" s="33">
        <v>3920000</v>
      </c>
      <c r="I26" s="253" t="s">
        <v>316</v>
      </c>
      <c r="J26" s="254"/>
    </row>
    <row r="27" spans="1:12">
      <c r="A27" s="45" t="s">
        <v>224</v>
      </c>
      <c r="B27" s="46">
        <f>B26-B25</f>
        <v>920000</v>
      </c>
      <c r="D27" s="47"/>
      <c r="I27" s="34" t="s">
        <v>222</v>
      </c>
      <c r="J27" s="33">
        <v>6000000</v>
      </c>
    </row>
    <row r="28" spans="1:12">
      <c r="I28" s="34" t="s">
        <v>223</v>
      </c>
      <c r="J28" s="33">
        <v>2210000</v>
      </c>
    </row>
    <row r="29" spans="1:12">
      <c r="I29" s="45" t="s">
        <v>224</v>
      </c>
      <c r="J29" s="46">
        <f>J28-J27</f>
        <v>-3790000</v>
      </c>
    </row>
    <row r="34" spans="1:4">
      <c r="A34" s="249" t="s">
        <v>317</v>
      </c>
      <c r="B34" s="249"/>
      <c r="C34" s="249"/>
      <c r="D34" s="249"/>
    </row>
    <row r="35" spans="1:4">
      <c r="A35" s="37" t="s">
        <v>214</v>
      </c>
      <c r="B35" s="37" t="s">
        <v>215</v>
      </c>
      <c r="C35" s="37" t="s">
        <v>216</v>
      </c>
      <c r="D35" s="38" t="s">
        <v>217</v>
      </c>
    </row>
    <row r="36" spans="1:4">
      <c r="A36" s="39" t="s">
        <v>218</v>
      </c>
      <c r="B36" s="40">
        <v>4000000</v>
      </c>
      <c r="C36" s="31">
        <v>1</v>
      </c>
      <c r="D36" s="40">
        <f>B36*C36</f>
        <v>4000000</v>
      </c>
    </row>
    <row r="37" spans="1:4">
      <c r="A37" s="41" t="s">
        <v>220</v>
      </c>
      <c r="B37" s="40">
        <v>140000</v>
      </c>
      <c r="C37" s="31">
        <v>1</v>
      </c>
      <c r="D37" s="40">
        <f>B37*C37</f>
        <v>140000</v>
      </c>
    </row>
    <row r="38" spans="1:4">
      <c r="A38" s="41"/>
      <c r="B38" s="40"/>
      <c r="C38" s="31"/>
      <c r="D38" s="40"/>
    </row>
    <row r="39" spans="1:4">
      <c r="A39" s="39"/>
      <c r="B39" s="40"/>
      <c r="C39" s="31"/>
      <c r="D39" s="40">
        <f>B39*C39</f>
        <v>0</v>
      </c>
    </row>
    <row r="40" spans="1:4">
      <c r="A40" s="39"/>
      <c r="B40" s="40"/>
      <c r="C40" s="31"/>
      <c r="D40" s="40"/>
    </row>
    <row r="41" spans="1:4">
      <c r="A41" s="42" t="s">
        <v>217</v>
      </c>
      <c r="B41" s="43"/>
      <c r="C41" s="43"/>
      <c r="D41" s="44">
        <f>SUM(D36:D40)</f>
        <v>4140000</v>
      </c>
    </row>
    <row r="44" spans="1:4">
      <c r="A44" s="248" t="s">
        <v>318</v>
      </c>
      <c r="B44" s="248"/>
    </row>
    <row r="45" spans="1:4">
      <c r="A45" s="34" t="s">
        <v>222</v>
      </c>
      <c r="B45" s="33">
        <v>0</v>
      </c>
    </row>
    <row r="46" spans="1:4">
      <c r="A46" s="34" t="s">
        <v>223</v>
      </c>
      <c r="B46" s="33">
        <v>325000</v>
      </c>
    </row>
    <row r="47" spans="1:4">
      <c r="A47" s="45" t="s">
        <v>224</v>
      </c>
      <c r="B47" s="46">
        <f>B46-B45</f>
        <v>325000</v>
      </c>
    </row>
  </sheetData>
  <mergeCells count="6">
    <mergeCell ref="A44:B44"/>
    <mergeCell ref="A12:D12"/>
    <mergeCell ref="I13:L13"/>
    <mergeCell ref="A24:B24"/>
    <mergeCell ref="I26:J26"/>
    <mergeCell ref="A34:D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DE4E-292A-4417-ABCB-13830D7C855C}">
  <sheetPr codeName="Sheet2"/>
  <dimension ref="A1:G196"/>
  <sheetViews>
    <sheetView topLeftCell="A58" workbookViewId="0">
      <selection activeCell="G39" sqref="G39"/>
    </sheetView>
  </sheetViews>
  <sheetFormatPr defaultColWidth="8.81640625" defaultRowHeight="14"/>
  <cols>
    <col min="1" max="1" width="9.90625" style="19" customWidth="1"/>
    <col min="2" max="2" width="10.36328125" style="7" customWidth="1"/>
    <col min="3" max="3" width="12.81640625" style="7" customWidth="1"/>
    <col min="4" max="4" width="70.6328125" style="14" customWidth="1"/>
    <col min="5" max="6" width="16.6328125" style="15" customWidth="1"/>
    <col min="7" max="7" width="34.81640625" style="16" customWidth="1"/>
    <col min="8" max="16384" width="8.81640625" style="7"/>
  </cols>
  <sheetData>
    <row r="1" spans="1:7" s="1" customFormat="1" ht="24.5" customHeight="1">
      <c r="A1" s="255" t="s">
        <v>0</v>
      </c>
      <c r="B1" s="256"/>
      <c r="C1" s="256"/>
      <c r="D1" s="256"/>
      <c r="E1" s="256"/>
      <c r="F1" s="256"/>
      <c r="G1" s="257"/>
    </row>
    <row r="2" spans="1:7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5" t="s">
        <v>6</v>
      </c>
      <c r="G2" s="6" t="s">
        <v>7</v>
      </c>
    </row>
    <row r="3" spans="1:7">
      <c r="A3" s="26"/>
      <c r="B3" s="3"/>
      <c r="C3" s="3"/>
      <c r="D3" s="4"/>
      <c r="E3" s="5">
        <f>SUBTOTAL(109,E4:E77)</f>
        <v>4750000</v>
      </c>
      <c r="F3" s="5">
        <f>SUBTOTAL(109,F4:F77)</f>
        <v>11315000</v>
      </c>
      <c r="G3" s="6"/>
    </row>
    <row r="4" spans="1:7" ht="28">
      <c r="A4" s="8" t="s">
        <v>8</v>
      </c>
      <c r="B4" s="54" t="s">
        <v>9</v>
      </c>
      <c r="C4" s="9"/>
      <c r="D4" s="10" t="s">
        <v>10</v>
      </c>
      <c r="E4" s="11">
        <v>1000000</v>
      </c>
      <c r="F4" s="11">
        <v>479000</v>
      </c>
      <c r="G4" s="12"/>
    </row>
    <row r="5" spans="1:7">
      <c r="A5" s="9" t="s">
        <v>11</v>
      </c>
      <c r="B5" s="9" t="s">
        <v>12</v>
      </c>
      <c r="C5" s="9"/>
      <c r="D5" s="10" t="s">
        <v>13</v>
      </c>
      <c r="E5" s="11"/>
      <c r="F5" s="11">
        <v>356000</v>
      </c>
      <c r="G5" s="12"/>
    </row>
    <row r="6" spans="1:7">
      <c r="A6" s="9"/>
      <c r="B6" s="54" t="s">
        <v>14</v>
      </c>
      <c r="C6" s="9">
        <v>101</v>
      </c>
      <c r="D6" s="10" t="s">
        <v>15</v>
      </c>
      <c r="E6" s="11"/>
      <c r="F6" s="11">
        <v>70000</v>
      </c>
      <c r="G6" s="12"/>
    </row>
    <row r="7" spans="1:7">
      <c r="A7" s="9" t="s">
        <v>16</v>
      </c>
      <c r="B7" s="54" t="s">
        <v>17</v>
      </c>
      <c r="C7" s="9">
        <v>304</v>
      </c>
      <c r="D7" s="10" t="s">
        <v>18</v>
      </c>
      <c r="E7" s="11">
        <v>200000</v>
      </c>
      <c r="F7" s="11"/>
      <c r="G7" s="12"/>
    </row>
    <row r="8" spans="1:7">
      <c r="A8" s="8"/>
      <c r="B8" s="54" t="s">
        <v>17</v>
      </c>
      <c r="C8" s="9">
        <v>303</v>
      </c>
      <c r="D8" s="10" t="s">
        <v>19</v>
      </c>
      <c r="E8" s="11">
        <v>200000</v>
      </c>
      <c r="F8" s="11"/>
      <c r="G8" s="12"/>
    </row>
    <row r="9" spans="1:7">
      <c r="A9" s="8"/>
      <c r="B9" s="27" t="s">
        <v>20</v>
      </c>
      <c r="C9" s="13" t="s">
        <v>21</v>
      </c>
      <c r="D9" s="10" t="s">
        <v>22</v>
      </c>
      <c r="E9" s="11"/>
      <c r="F9" s="11">
        <v>107000</v>
      </c>
      <c r="G9" s="12" t="s">
        <v>23</v>
      </c>
    </row>
    <row r="10" spans="1:7">
      <c r="A10" s="8" t="s">
        <v>24</v>
      </c>
      <c r="B10" s="8" t="s">
        <v>25</v>
      </c>
      <c r="C10" s="13"/>
      <c r="D10" s="10" t="s">
        <v>26</v>
      </c>
      <c r="E10" s="11"/>
      <c r="F10" s="11">
        <v>60000</v>
      </c>
      <c r="G10" s="12"/>
    </row>
    <row r="11" spans="1:7">
      <c r="A11" s="8"/>
      <c r="B11" s="8" t="s">
        <v>27</v>
      </c>
      <c r="C11" s="13">
        <v>303</v>
      </c>
      <c r="D11" s="10" t="s">
        <v>28</v>
      </c>
      <c r="E11" s="11">
        <v>50000</v>
      </c>
      <c r="F11" s="11">
        <v>50000</v>
      </c>
      <c r="G11" s="12"/>
    </row>
    <row r="12" spans="1:7">
      <c r="A12" s="8" t="s">
        <v>29</v>
      </c>
      <c r="B12" s="27" t="s">
        <v>30</v>
      </c>
      <c r="C12" s="13">
        <v>403</v>
      </c>
      <c r="D12" s="10" t="s">
        <v>31</v>
      </c>
      <c r="E12" s="11"/>
      <c r="F12" s="11">
        <v>70000</v>
      </c>
      <c r="G12" s="12"/>
    </row>
    <row r="13" spans="1:7">
      <c r="A13" s="8" t="s">
        <v>32</v>
      </c>
      <c r="B13" s="8" t="s">
        <v>33</v>
      </c>
      <c r="C13" s="13">
        <v>302</v>
      </c>
      <c r="D13" s="10" t="s">
        <v>34</v>
      </c>
      <c r="E13" s="11">
        <v>100000</v>
      </c>
      <c r="F13" s="11"/>
      <c r="G13" s="12"/>
    </row>
    <row r="14" spans="1:7">
      <c r="A14" s="8"/>
      <c r="B14" s="27" t="s">
        <v>35</v>
      </c>
      <c r="C14" s="13">
        <v>302</v>
      </c>
      <c r="D14" s="10" t="s">
        <v>34</v>
      </c>
      <c r="E14" s="11">
        <v>100000</v>
      </c>
      <c r="F14" s="11"/>
      <c r="G14" s="12"/>
    </row>
    <row r="15" spans="1:7">
      <c r="A15" s="8"/>
      <c r="B15" s="27" t="s">
        <v>35</v>
      </c>
      <c r="C15" s="13">
        <v>302</v>
      </c>
      <c r="D15" s="10" t="s">
        <v>19</v>
      </c>
      <c r="E15" s="11">
        <v>200000</v>
      </c>
      <c r="F15" s="11"/>
      <c r="G15" s="12"/>
    </row>
    <row r="16" spans="1:7">
      <c r="A16" s="8" t="s">
        <v>36</v>
      </c>
      <c r="B16" s="27" t="s">
        <v>37</v>
      </c>
      <c r="C16" s="13">
        <v>203</v>
      </c>
      <c r="D16" s="10" t="s">
        <v>34</v>
      </c>
      <c r="E16" s="11">
        <v>100000</v>
      </c>
      <c r="F16" s="11"/>
      <c r="G16" s="12"/>
    </row>
    <row r="17" spans="1:7">
      <c r="A17" s="8"/>
      <c r="B17" s="27" t="s">
        <v>38</v>
      </c>
      <c r="C17" s="13">
        <v>201</v>
      </c>
      <c r="D17" s="10" t="s">
        <v>34</v>
      </c>
      <c r="E17" s="11">
        <v>200000</v>
      </c>
      <c r="F17" s="11"/>
      <c r="G17" s="12" t="s">
        <v>39</v>
      </c>
    </row>
    <row r="18" spans="1:7">
      <c r="A18" s="8" t="s">
        <v>40</v>
      </c>
      <c r="B18" s="27" t="s">
        <v>41</v>
      </c>
      <c r="C18" s="13">
        <v>101</v>
      </c>
      <c r="D18" s="10" t="s">
        <v>34</v>
      </c>
      <c r="E18" s="11">
        <v>100000</v>
      </c>
      <c r="F18" s="11"/>
      <c r="G18" s="12"/>
    </row>
    <row r="19" spans="1:7">
      <c r="A19" s="8"/>
      <c r="B19" s="27" t="s">
        <v>41</v>
      </c>
      <c r="C19" s="13">
        <v>101</v>
      </c>
      <c r="D19" s="10" t="s">
        <v>19</v>
      </c>
      <c r="E19" s="11">
        <v>100000</v>
      </c>
      <c r="F19" s="11"/>
      <c r="G19" s="12"/>
    </row>
    <row r="20" spans="1:7">
      <c r="A20" s="8"/>
      <c r="B20" s="27" t="s">
        <v>41</v>
      </c>
      <c r="C20" s="13">
        <v>504</v>
      </c>
      <c r="D20" s="10" t="s">
        <v>42</v>
      </c>
      <c r="E20" s="11"/>
      <c r="F20" s="11">
        <v>80000</v>
      </c>
      <c r="G20" s="12"/>
    </row>
    <row r="21" spans="1:7">
      <c r="A21" s="8"/>
      <c r="B21" s="27" t="s">
        <v>9</v>
      </c>
      <c r="C21" s="13">
        <v>101</v>
      </c>
      <c r="D21" s="10" t="s">
        <v>43</v>
      </c>
      <c r="E21" s="11"/>
      <c r="F21" s="11">
        <v>80000</v>
      </c>
      <c r="G21" s="12"/>
    </row>
    <row r="22" spans="1:7">
      <c r="A22" s="8"/>
      <c r="B22" s="8" t="s">
        <v>44</v>
      </c>
      <c r="C22" s="13">
        <v>601</v>
      </c>
      <c r="D22" s="10" t="s">
        <v>34</v>
      </c>
      <c r="E22" s="11">
        <v>100000</v>
      </c>
      <c r="F22" s="11"/>
      <c r="G22" s="12"/>
    </row>
    <row r="23" spans="1:7">
      <c r="A23" s="8"/>
      <c r="B23" s="8" t="s">
        <v>44</v>
      </c>
      <c r="C23" s="13">
        <v>601</v>
      </c>
      <c r="D23" s="10" t="s">
        <v>19</v>
      </c>
      <c r="E23" s="11">
        <v>200000</v>
      </c>
      <c r="F23" s="11"/>
      <c r="G23" s="12"/>
    </row>
    <row r="24" spans="1:7">
      <c r="A24" s="8"/>
      <c r="B24" s="8" t="s">
        <v>44</v>
      </c>
      <c r="C24" s="13">
        <v>301</v>
      </c>
      <c r="D24" s="14" t="s">
        <v>34</v>
      </c>
      <c r="E24" s="15">
        <v>200000</v>
      </c>
      <c r="G24" s="16" t="s">
        <v>45</v>
      </c>
    </row>
    <row r="25" spans="1:7">
      <c r="A25" s="8"/>
      <c r="B25" s="8" t="s">
        <v>44</v>
      </c>
      <c r="C25" s="13">
        <v>301</v>
      </c>
      <c r="D25" s="14" t="s">
        <v>19</v>
      </c>
      <c r="E25" s="15">
        <v>100000</v>
      </c>
      <c r="G25" s="15"/>
    </row>
    <row r="26" spans="1:7">
      <c r="A26" s="8" t="s">
        <v>46</v>
      </c>
      <c r="B26" s="8" t="s">
        <v>47</v>
      </c>
      <c r="C26" s="13">
        <v>202</v>
      </c>
      <c r="D26" s="14" t="s">
        <v>48</v>
      </c>
      <c r="F26" s="15">
        <v>140000</v>
      </c>
      <c r="G26" s="15"/>
    </row>
    <row r="27" spans="1:7">
      <c r="A27" s="8"/>
      <c r="B27" s="27" t="s">
        <v>49</v>
      </c>
      <c r="C27" s="13">
        <v>401</v>
      </c>
      <c r="D27" s="14" t="s">
        <v>34</v>
      </c>
      <c r="E27" s="15">
        <v>100000</v>
      </c>
      <c r="G27" s="15"/>
    </row>
    <row r="28" spans="1:7">
      <c r="A28" s="8"/>
      <c r="B28" s="27" t="s">
        <v>41</v>
      </c>
      <c r="C28" s="13">
        <v>408</v>
      </c>
      <c r="D28" s="14" t="s">
        <v>50</v>
      </c>
      <c r="F28" s="15">
        <f>65000+10000+55000</f>
        <v>130000</v>
      </c>
      <c r="G28" s="15"/>
    </row>
    <row r="29" spans="1:7">
      <c r="A29" s="8"/>
      <c r="B29" s="27" t="s">
        <v>51</v>
      </c>
      <c r="C29" s="13">
        <v>404</v>
      </c>
      <c r="D29" s="14" t="s">
        <v>52</v>
      </c>
      <c r="F29" s="15">
        <v>15000</v>
      </c>
      <c r="G29" s="15"/>
    </row>
    <row r="30" spans="1:7">
      <c r="A30" s="8"/>
      <c r="B30" s="27" t="s">
        <v>51</v>
      </c>
      <c r="C30" s="13">
        <v>404</v>
      </c>
      <c r="D30" s="14" t="s">
        <v>53</v>
      </c>
      <c r="F30" s="15">
        <v>10000</v>
      </c>
    </row>
    <row r="31" spans="1:7">
      <c r="A31" s="8" t="s">
        <v>54</v>
      </c>
      <c r="B31" s="8" t="s">
        <v>55</v>
      </c>
      <c r="C31" s="13">
        <v>302</v>
      </c>
      <c r="D31" s="14" t="s">
        <v>34</v>
      </c>
      <c r="E31" s="15">
        <v>100000</v>
      </c>
    </row>
    <row r="32" spans="1:7">
      <c r="A32" s="8"/>
      <c r="B32" s="8" t="s">
        <v>55</v>
      </c>
      <c r="C32" s="13">
        <v>302</v>
      </c>
      <c r="D32" s="14" t="s">
        <v>56</v>
      </c>
      <c r="E32" s="17">
        <v>50000</v>
      </c>
      <c r="F32" s="7"/>
    </row>
    <row r="33" spans="1:7">
      <c r="A33" s="8"/>
      <c r="B33" s="27" t="s">
        <v>57</v>
      </c>
      <c r="C33" s="13">
        <v>301</v>
      </c>
      <c r="D33" s="14" t="s">
        <v>19</v>
      </c>
      <c r="E33" s="17">
        <v>200000</v>
      </c>
      <c r="F33" s="17"/>
    </row>
    <row r="34" spans="1:7">
      <c r="A34" s="8"/>
      <c r="B34" s="27" t="s">
        <v>57</v>
      </c>
      <c r="C34" s="13"/>
      <c r="D34" s="14" t="s">
        <v>34</v>
      </c>
      <c r="E34" s="17">
        <v>100000</v>
      </c>
      <c r="F34" s="7"/>
    </row>
    <row r="35" spans="1:7">
      <c r="A35" s="8"/>
      <c r="B35" s="27" t="s">
        <v>57</v>
      </c>
      <c r="C35" s="13"/>
      <c r="D35" s="14" t="s">
        <v>58</v>
      </c>
      <c r="E35" s="17"/>
      <c r="F35" s="17">
        <v>215000</v>
      </c>
    </row>
    <row r="36" spans="1:7">
      <c r="A36" s="8"/>
      <c r="B36" s="27" t="s">
        <v>57</v>
      </c>
      <c r="C36" s="13"/>
      <c r="D36" s="14" t="s">
        <v>59</v>
      </c>
      <c r="E36" s="17"/>
      <c r="F36" s="7">
        <f>60000+10000</f>
        <v>70000</v>
      </c>
    </row>
    <row r="37" spans="1:7">
      <c r="A37" s="8" t="s">
        <v>60</v>
      </c>
      <c r="B37" s="27" t="s">
        <v>61</v>
      </c>
      <c r="C37" s="13">
        <v>501</v>
      </c>
      <c r="D37" s="14" t="s">
        <v>62</v>
      </c>
      <c r="E37" s="17"/>
      <c r="F37" s="17">
        <v>60000</v>
      </c>
      <c r="G37" s="16" t="s">
        <v>63</v>
      </c>
    </row>
    <row r="38" spans="1:7">
      <c r="A38" s="8"/>
      <c r="B38" s="27" t="s">
        <v>64</v>
      </c>
      <c r="C38" s="7">
        <v>501</v>
      </c>
      <c r="D38" s="14" t="s">
        <v>65</v>
      </c>
      <c r="E38" s="17"/>
      <c r="F38" s="17">
        <v>50000</v>
      </c>
    </row>
    <row r="39" spans="1:7" ht="28">
      <c r="A39" s="8" t="s">
        <v>66</v>
      </c>
      <c r="B39" s="8" t="s">
        <v>12</v>
      </c>
      <c r="D39" s="14" t="s">
        <v>67</v>
      </c>
      <c r="E39" s="7"/>
      <c r="F39" s="17">
        <v>1175000</v>
      </c>
      <c r="G39" s="16" t="s">
        <v>68</v>
      </c>
    </row>
    <row r="40" spans="1:7">
      <c r="A40" s="8" t="s">
        <v>69</v>
      </c>
      <c r="B40" s="27" t="s">
        <v>61</v>
      </c>
      <c r="C40" s="7">
        <v>403</v>
      </c>
      <c r="D40" s="14" t="s">
        <v>70</v>
      </c>
      <c r="E40" s="17"/>
      <c r="F40" s="17">
        <v>35000</v>
      </c>
    </row>
    <row r="41" spans="1:7">
      <c r="A41" s="8"/>
      <c r="B41" s="27" t="s">
        <v>61</v>
      </c>
      <c r="D41" s="14" t="s">
        <v>71</v>
      </c>
      <c r="E41" s="17"/>
      <c r="F41" s="17">
        <v>120000</v>
      </c>
    </row>
    <row r="42" spans="1:7">
      <c r="A42" s="8"/>
      <c r="B42" s="27" t="s">
        <v>72</v>
      </c>
      <c r="C42" s="7">
        <v>301</v>
      </c>
      <c r="D42" s="14" t="s">
        <v>34</v>
      </c>
      <c r="E42" s="17">
        <v>100000</v>
      </c>
      <c r="F42" s="17"/>
    </row>
    <row r="43" spans="1:7">
      <c r="A43" s="8"/>
      <c r="B43" s="27" t="s">
        <v>17</v>
      </c>
      <c r="C43" s="7">
        <v>401</v>
      </c>
      <c r="D43" s="14" t="s">
        <v>73</v>
      </c>
      <c r="E43" s="7"/>
      <c r="F43" s="17">
        <v>35000</v>
      </c>
    </row>
    <row r="44" spans="1:7">
      <c r="A44" s="8" t="s">
        <v>74</v>
      </c>
      <c r="B44" s="8" t="s">
        <v>27</v>
      </c>
      <c r="D44" s="14" t="s">
        <v>75</v>
      </c>
      <c r="E44" s="17">
        <v>100000</v>
      </c>
      <c r="F44" s="17"/>
    </row>
    <row r="45" spans="1:7">
      <c r="A45" s="8"/>
      <c r="B45" s="27" t="s">
        <v>76</v>
      </c>
      <c r="C45" s="7">
        <v>201</v>
      </c>
      <c r="D45" s="14" t="s">
        <v>19</v>
      </c>
      <c r="E45" s="17">
        <v>100000</v>
      </c>
      <c r="F45" s="17"/>
    </row>
    <row r="46" spans="1:7">
      <c r="A46" s="8" t="s">
        <v>77</v>
      </c>
      <c r="B46" s="8" t="s">
        <v>78</v>
      </c>
      <c r="C46" s="7">
        <v>401</v>
      </c>
      <c r="D46" s="14" t="s">
        <v>79</v>
      </c>
      <c r="E46" s="7"/>
      <c r="F46" s="17">
        <v>145000</v>
      </c>
    </row>
    <row r="47" spans="1:7" ht="16.75" customHeight="1">
      <c r="A47" s="8"/>
      <c r="B47" s="27" t="s">
        <v>80</v>
      </c>
      <c r="D47" s="14" t="s">
        <v>81</v>
      </c>
      <c r="E47" s="7"/>
      <c r="F47" s="17">
        <v>80000</v>
      </c>
      <c r="G47" s="18"/>
    </row>
    <row r="48" spans="1:7">
      <c r="A48" s="8" t="s">
        <v>82</v>
      </c>
      <c r="B48" s="27" t="s">
        <v>64</v>
      </c>
      <c r="D48" s="14" t="s">
        <v>83</v>
      </c>
      <c r="E48" s="7"/>
      <c r="F48" s="17">
        <v>1933000</v>
      </c>
    </row>
    <row r="49" spans="1:7">
      <c r="A49" s="8" t="s">
        <v>84</v>
      </c>
      <c r="B49" s="27" t="s">
        <v>61</v>
      </c>
      <c r="D49" s="14" t="s">
        <v>85</v>
      </c>
      <c r="E49" s="7"/>
      <c r="F49" s="17">
        <v>2494000</v>
      </c>
    </row>
    <row r="50" spans="1:7">
      <c r="A50" s="8"/>
      <c r="B50" s="27" t="s">
        <v>61</v>
      </c>
      <c r="D50" s="14" t="s">
        <v>86</v>
      </c>
      <c r="E50" s="7"/>
      <c r="F50" s="17">
        <v>80000</v>
      </c>
    </row>
    <row r="51" spans="1:7">
      <c r="A51" s="8"/>
      <c r="B51" s="27" t="s">
        <v>61</v>
      </c>
      <c r="D51" s="14" t="s">
        <v>87</v>
      </c>
      <c r="E51" s="7"/>
      <c r="F51" s="17">
        <v>635000</v>
      </c>
    </row>
    <row r="52" spans="1:7">
      <c r="A52" s="8" t="s">
        <v>88</v>
      </c>
      <c r="B52" s="27" t="s">
        <v>80</v>
      </c>
      <c r="D52" s="14" t="s">
        <v>89</v>
      </c>
      <c r="E52" s="17"/>
      <c r="F52" s="17">
        <v>135000</v>
      </c>
    </row>
    <row r="53" spans="1:7">
      <c r="A53" s="8"/>
      <c r="B53" s="27" t="s">
        <v>80</v>
      </c>
      <c r="C53" s="7">
        <v>403</v>
      </c>
      <c r="D53" s="14" t="s">
        <v>90</v>
      </c>
      <c r="E53" s="17">
        <v>50000</v>
      </c>
      <c r="F53" s="17">
        <v>55000</v>
      </c>
    </row>
    <row r="54" spans="1:7">
      <c r="A54" s="8"/>
      <c r="B54" s="27" t="s">
        <v>80</v>
      </c>
      <c r="C54" s="7">
        <v>401</v>
      </c>
      <c r="D54" s="14" t="s">
        <v>91</v>
      </c>
      <c r="E54" s="17">
        <v>50000</v>
      </c>
      <c r="F54" s="17">
        <f>40000+35000</f>
        <v>75000</v>
      </c>
    </row>
    <row r="55" spans="1:7">
      <c r="A55" s="8" t="s">
        <v>92</v>
      </c>
      <c r="B55" s="27" t="s">
        <v>93</v>
      </c>
      <c r="C55" s="7">
        <v>204</v>
      </c>
      <c r="D55" s="14" t="s">
        <v>94</v>
      </c>
      <c r="E55" s="17"/>
      <c r="F55" s="17">
        <v>195000</v>
      </c>
    </row>
    <row r="56" spans="1:7">
      <c r="A56" s="8"/>
      <c r="B56" s="27" t="s">
        <v>57</v>
      </c>
      <c r="D56" s="14" t="s">
        <v>95</v>
      </c>
      <c r="E56" s="17"/>
      <c r="F56" s="17"/>
      <c r="G56" s="55" t="s">
        <v>96</v>
      </c>
    </row>
    <row r="57" spans="1:7">
      <c r="A57" s="8"/>
      <c r="B57" s="27" t="s">
        <v>97</v>
      </c>
      <c r="D57" s="14" t="s">
        <v>81</v>
      </c>
      <c r="E57" s="7"/>
      <c r="F57" s="17">
        <v>80000</v>
      </c>
    </row>
    <row r="58" spans="1:7">
      <c r="A58" s="8" t="s">
        <v>98</v>
      </c>
      <c r="B58" s="27" t="s">
        <v>9</v>
      </c>
      <c r="D58" s="14" t="s">
        <v>81</v>
      </c>
      <c r="E58" s="17"/>
      <c r="F58" s="17">
        <v>210000</v>
      </c>
    </row>
    <row r="59" spans="1:7">
      <c r="A59" s="8"/>
      <c r="B59" s="27" t="s">
        <v>9</v>
      </c>
      <c r="D59" s="14" t="s">
        <v>99</v>
      </c>
      <c r="E59" s="7"/>
      <c r="F59" s="17"/>
    </row>
    <row r="60" spans="1:7">
      <c r="A60" s="8"/>
      <c r="B60" s="27" t="s">
        <v>61</v>
      </c>
      <c r="D60" s="14" t="s">
        <v>100</v>
      </c>
      <c r="E60" s="7"/>
      <c r="F60" s="17">
        <v>80000</v>
      </c>
    </row>
    <row r="61" spans="1:7">
      <c r="A61" s="8" t="s">
        <v>101</v>
      </c>
      <c r="B61" s="27" t="s">
        <v>17</v>
      </c>
      <c r="C61" s="7">
        <v>303</v>
      </c>
      <c r="D61" s="14" t="s">
        <v>102</v>
      </c>
      <c r="E61" s="7"/>
      <c r="F61" s="17">
        <v>45000</v>
      </c>
    </row>
    <row r="62" spans="1:7">
      <c r="A62" s="8"/>
      <c r="B62" s="27" t="s">
        <v>103</v>
      </c>
      <c r="C62" s="7">
        <v>403</v>
      </c>
      <c r="D62" s="14" t="s">
        <v>104</v>
      </c>
      <c r="E62" s="7"/>
      <c r="F62" s="17">
        <v>195000</v>
      </c>
    </row>
    <row r="63" spans="1:7">
      <c r="A63" s="8"/>
      <c r="B63" s="27" t="s">
        <v>57</v>
      </c>
      <c r="D63" s="14" t="s">
        <v>105</v>
      </c>
      <c r="E63" s="17">
        <v>200000</v>
      </c>
      <c r="F63" s="17">
        <v>185000</v>
      </c>
    </row>
    <row r="64" spans="1:7">
      <c r="A64" s="8" t="s">
        <v>106</v>
      </c>
      <c r="B64" s="8" t="s">
        <v>55</v>
      </c>
      <c r="C64" s="7">
        <v>501</v>
      </c>
      <c r="D64" s="14" t="s">
        <v>107</v>
      </c>
      <c r="E64" s="17"/>
      <c r="F64" s="17">
        <v>140000</v>
      </c>
    </row>
    <row r="65" spans="1:7">
      <c r="A65" s="8" t="s">
        <v>108</v>
      </c>
      <c r="B65" s="27" t="s">
        <v>109</v>
      </c>
      <c r="D65" s="14" t="s">
        <v>110</v>
      </c>
      <c r="E65" s="7"/>
      <c r="F65" s="17">
        <v>350000</v>
      </c>
    </row>
    <row r="66" spans="1:7">
      <c r="A66" s="8"/>
      <c r="B66" s="27" t="s">
        <v>111</v>
      </c>
      <c r="D66" s="14" t="s">
        <v>112</v>
      </c>
      <c r="E66" s="7"/>
      <c r="F66" s="17">
        <v>35000</v>
      </c>
    </row>
    <row r="67" spans="1:7">
      <c r="A67" s="8" t="s">
        <v>113</v>
      </c>
      <c r="B67" s="27" t="s">
        <v>64</v>
      </c>
      <c r="C67" s="7">
        <v>502</v>
      </c>
      <c r="D67" s="14" t="s">
        <v>114</v>
      </c>
      <c r="E67" s="17">
        <v>250000</v>
      </c>
      <c r="F67" s="17">
        <v>285000</v>
      </c>
      <c r="G67" s="16" t="s">
        <v>115</v>
      </c>
    </row>
    <row r="68" spans="1:7" s="16" customFormat="1">
      <c r="A68" s="8"/>
      <c r="B68" s="27" t="s">
        <v>61</v>
      </c>
      <c r="C68" s="7">
        <v>102</v>
      </c>
      <c r="D68" s="14" t="s">
        <v>116</v>
      </c>
      <c r="E68" s="7"/>
      <c r="F68" s="17">
        <v>15000</v>
      </c>
    </row>
    <row r="69" spans="1:7" s="16" customFormat="1">
      <c r="A69" s="8"/>
      <c r="B69" s="8" t="s">
        <v>25</v>
      </c>
      <c r="C69" s="7"/>
      <c r="D69" s="14" t="s">
        <v>117</v>
      </c>
      <c r="E69" s="7"/>
      <c r="F69" s="17">
        <v>45000</v>
      </c>
    </row>
    <row r="70" spans="1:7" s="16" customFormat="1">
      <c r="A70" s="8"/>
      <c r="B70" s="8" t="s">
        <v>25</v>
      </c>
      <c r="C70" s="7"/>
      <c r="D70" s="14" t="s">
        <v>118</v>
      </c>
      <c r="E70" s="7"/>
      <c r="F70" s="17">
        <v>90000</v>
      </c>
    </row>
    <row r="71" spans="1:7" s="16" customFormat="1">
      <c r="A71" s="8" t="s">
        <v>119</v>
      </c>
      <c r="B71" s="27" t="s">
        <v>120</v>
      </c>
      <c r="C71" s="7"/>
      <c r="D71" s="14" t="s">
        <v>121</v>
      </c>
      <c r="E71" s="17">
        <v>100000</v>
      </c>
      <c r="F71" s="17">
        <v>31000</v>
      </c>
    </row>
    <row r="72" spans="1:7" s="16" customFormat="1">
      <c r="A72" s="8" t="s">
        <v>122</v>
      </c>
      <c r="B72" s="27" t="s">
        <v>17</v>
      </c>
      <c r="C72" s="7">
        <v>301</v>
      </c>
      <c r="D72" s="14" t="s">
        <v>123</v>
      </c>
      <c r="E72" s="17">
        <v>300000</v>
      </c>
      <c r="F72" s="17">
        <v>295000</v>
      </c>
      <c r="G72" s="16" t="s">
        <v>124</v>
      </c>
    </row>
    <row r="73" spans="1:7" s="16" customFormat="1">
      <c r="A73" s="8"/>
      <c r="B73" s="8"/>
      <c r="C73" s="7"/>
      <c r="D73" s="14"/>
      <c r="E73" s="7"/>
      <c r="F73" s="17"/>
    </row>
    <row r="74" spans="1:7" s="16" customFormat="1">
      <c r="A74" s="8"/>
      <c r="B74" s="8"/>
      <c r="C74" s="7"/>
      <c r="D74" s="14"/>
      <c r="E74" s="7"/>
      <c r="F74" s="17"/>
    </row>
    <row r="75" spans="1:7" s="16" customFormat="1">
      <c r="A75" s="8"/>
      <c r="B75" s="8"/>
      <c r="C75" s="7"/>
      <c r="D75" s="14"/>
      <c r="E75" s="7"/>
      <c r="F75" s="17"/>
    </row>
    <row r="76" spans="1:7" s="16" customFormat="1">
      <c r="A76" s="8"/>
      <c r="B76" s="8"/>
      <c r="C76" s="7"/>
      <c r="D76" s="14"/>
      <c r="E76" s="17"/>
      <c r="F76" s="17"/>
    </row>
    <row r="77" spans="1:7" s="16" customFormat="1">
      <c r="A77" s="8"/>
      <c r="B77" s="8"/>
      <c r="C77" s="7"/>
      <c r="D77" s="14"/>
      <c r="E77" s="7"/>
      <c r="F77" s="7"/>
    </row>
    <row r="78" spans="1:7" s="16" customFormat="1">
      <c r="A78" s="8"/>
      <c r="B78" s="8"/>
      <c r="C78" s="7"/>
      <c r="D78" s="14"/>
      <c r="E78" s="7"/>
      <c r="F78" s="17"/>
    </row>
    <row r="79" spans="1:7" s="16" customFormat="1">
      <c r="A79" s="8"/>
      <c r="B79" s="8"/>
      <c r="C79" s="7"/>
      <c r="D79" s="14"/>
      <c r="E79" s="17"/>
      <c r="F79" s="7"/>
    </row>
    <row r="80" spans="1:7" s="16" customFormat="1">
      <c r="A80" s="8"/>
      <c r="B80" s="8"/>
      <c r="C80" s="8"/>
      <c r="D80" s="14"/>
      <c r="E80" s="17"/>
      <c r="F80" s="7"/>
    </row>
    <row r="81" spans="1:6" s="16" customFormat="1">
      <c r="A81" s="8"/>
      <c r="B81" s="8"/>
      <c r="C81" s="7"/>
      <c r="D81" s="14"/>
      <c r="E81" s="7"/>
      <c r="F81" s="17"/>
    </row>
    <row r="82" spans="1:6" s="16" customFormat="1">
      <c r="A82" s="8"/>
      <c r="B82" s="8"/>
      <c r="C82" s="7"/>
      <c r="D82" s="14"/>
      <c r="E82" s="17"/>
      <c r="F82" s="17"/>
    </row>
    <row r="83" spans="1:6" s="16" customFormat="1">
      <c r="A83" s="8"/>
      <c r="B83" s="8"/>
      <c r="C83" s="7"/>
      <c r="D83" s="14"/>
      <c r="E83" s="17"/>
      <c r="F83" s="7"/>
    </row>
    <row r="84" spans="1:6" s="16" customFormat="1">
      <c r="A84" s="8"/>
      <c r="B84" s="8"/>
      <c r="C84" s="7"/>
      <c r="D84" s="14"/>
      <c r="E84" s="7"/>
      <c r="F84" s="17"/>
    </row>
    <row r="85" spans="1:6" s="16" customFormat="1">
      <c r="A85" s="8"/>
      <c r="B85" s="8"/>
      <c r="C85" s="7"/>
      <c r="D85" s="14"/>
      <c r="E85" s="7"/>
      <c r="F85" s="17"/>
    </row>
    <row r="86" spans="1:6" s="16" customFormat="1">
      <c r="A86" s="8"/>
      <c r="B86" s="8"/>
      <c r="C86" s="7"/>
      <c r="D86" s="14"/>
      <c r="E86" s="7"/>
      <c r="F86" s="17"/>
    </row>
    <row r="87" spans="1:6" s="16" customFormat="1">
      <c r="A87" s="8"/>
      <c r="B87" s="8"/>
      <c r="C87" s="7"/>
      <c r="D87" s="14"/>
      <c r="E87" s="7"/>
      <c r="F87" s="17"/>
    </row>
    <row r="88" spans="1:6" s="16" customFormat="1">
      <c r="A88" s="8"/>
      <c r="B88" s="8"/>
      <c r="C88" s="7"/>
      <c r="D88" s="14"/>
      <c r="E88" s="7"/>
      <c r="F88" s="17"/>
    </row>
    <row r="89" spans="1:6" s="16" customFormat="1">
      <c r="A89" s="8"/>
      <c r="B89" s="8"/>
      <c r="C89" s="7"/>
      <c r="D89" s="14"/>
      <c r="E89" s="7"/>
      <c r="F89" s="17"/>
    </row>
    <row r="90" spans="1:6" s="16" customFormat="1">
      <c r="A90" s="8"/>
      <c r="B90" s="8"/>
      <c r="C90" s="7"/>
      <c r="D90" s="14"/>
      <c r="E90" s="7"/>
      <c r="F90" s="17"/>
    </row>
    <row r="91" spans="1:6" s="16" customFormat="1">
      <c r="A91" s="8"/>
      <c r="B91" s="8"/>
      <c r="C91" s="7"/>
      <c r="D91" s="14"/>
      <c r="E91" s="7"/>
      <c r="F91" s="17"/>
    </row>
    <row r="92" spans="1:6" s="16" customFormat="1">
      <c r="A92" s="19"/>
      <c r="B92" s="7"/>
      <c r="C92" s="7"/>
      <c r="D92" s="14"/>
      <c r="E92" s="7"/>
      <c r="F92" s="17"/>
    </row>
    <row r="93" spans="1:6" s="16" customFormat="1">
      <c r="A93" s="19"/>
      <c r="B93" s="7"/>
      <c r="C93" s="7"/>
      <c r="D93" s="14"/>
      <c r="E93" s="7"/>
      <c r="F93" s="17"/>
    </row>
    <row r="94" spans="1:6" s="16" customFormat="1">
      <c r="A94" s="19"/>
      <c r="B94" s="7"/>
      <c r="C94" s="7"/>
      <c r="D94" s="14"/>
      <c r="E94" s="17"/>
      <c r="F94" s="7"/>
    </row>
    <row r="95" spans="1:6" s="16" customFormat="1">
      <c r="A95" s="19"/>
      <c r="B95" s="7"/>
      <c r="C95" s="7"/>
      <c r="D95" s="14"/>
      <c r="E95" s="7"/>
      <c r="F95" s="7"/>
    </row>
    <row r="96" spans="1:6" s="16" customFormat="1">
      <c r="A96" s="19"/>
      <c r="B96" s="7"/>
      <c r="C96" s="7"/>
      <c r="D96" s="14"/>
      <c r="E96" s="7"/>
      <c r="F96" s="7"/>
    </row>
    <row r="97" spans="1:6" s="16" customFormat="1">
      <c r="A97" s="19"/>
      <c r="B97" s="7"/>
      <c r="C97" s="7"/>
      <c r="D97" s="14"/>
      <c r="E97" s="7"/>
      <c r="F97" s="7"/>
    </row>
    <row r="98" spans="1:6" s="16" customFormat="1">
      <c r="A98" s="19"/>
      <c r="B98" s="7"/>
      <c r="C98" s="7"/>
      <c r="D98" s="14"/>
      <c r="E98" s="7"/>
      <c r="F98" s="7"/>
    </row>
    <row r="99" spans="1:6" s="16" customFormat="1">
      <c r="A99" s="19"/>
      <c r="B99" s="7"/>
      <c r="C99" s="7"/>
      <c r="D99" s="14"/>
      <c r="E99" s="7"/>
      <c r="F99" s="7"/>
    </row>
    <row r="100" spans="1:6" s="16" customFormat="1">
      <c r="A100" s="19"/>
      <c r="B100" s="7"/>
      <c r="C100" s="7"/>
      <c r="D100" s="14"/>
      <c r="E100" s="7"/>
      <c r="F100" s="7"/>
    </row>
    <row r="101" spans="1:6" s="16" customFormat="1">
      <c r="A101" s="19"/>
      <c r="B101" s="7"/>
      <c r="C101" s="7"/>
      <c r="D101" s="14"/>
      <c r="E101" s="7"/>
      <c r="F101" s="7"/>
    </row>
    <row r="102" spans="1:6" s="16" customFormat="1">
      <c r="A102" s="19"/>
      <c r="B102" s="7"/>
      <c r="C102" s="7"/>
      <c r="D102" s="14"/>
      <c r="E102" s="7"/>
      <c r="F102" s="7"/>
    </row>
    <row r="103" spans="1:6" s="16" customFormat="1">
      <c r="A103" s="19"/>
      <c r="B103" s="7"/>
      <c r="C103" s="7"/>
      <c r="D103" s="14"/>
      <c r="E103" s="7"/>
      <c r="F103" s="7"/>
    </row>
    <row r="104" spans="1:6" s="16" customFormat="1">
      <c r="A104" s="19"/>
      <c r="B104" s="7"/>
      <c r="C104" s="7"/>
      <c r="D104" s="14"/>
      <c r="E104" s="7"/>
      <c r="F104" s="7"/>
    </row>
    <row r="105" spans="1:6" s="16" customFormat="1">
      <c r="A105" s="19"/>
      <c r="B105" s="7"/>
      <c r="C105" s="7"/>
      <c r="D105" s="14"/>
      <c r="E105" s="7"/>
      <c r="F105" s="7"/>
    </row>
    <row r="106" spans="1:6" s="16" customFormat="1">
      <c r="A106" s="19"/>
      <c r="B106" s="7"/>
      <c r="C106" s="7"/>
      <c r="D106" s="14"/>
      <c r="E106" s="7"/>
      <c r="F106" s="7"/>
    </row>
    <row r="107" spans="1:6" s="16" customFormat="1">
      <c r="A107" s="19"/>
      <c r="B107" s="7"/>
      <c r="C107" s="7"/>
      <c r="D107" s="14"/>
      <c r="E107" s="7"/>
      <c r="F107" s="7"/>
    </row>
    <row r="108" spans="1:6" s="16" customFormat="1">
      <c r="A108" s="19"/>
      <c r="B108" s="7"/>
      <c r="C108" s="7"/>
      <c r="D108" s="14"/>
      <c r="E108" s="7"/>
      <c r="F108" s="7"/>
    </row>
    <row r="109" spans="1:6" s="16" customFormat="1">
      <c r="A109" s="19"/>
      <c r="B109" s="7"/>
      <c r="C109" s="7"/>
      <c r="D109" s="14"/>
      <c r="E109" s="7"/>
      <c r="F109" s="7"/>
    </row>
    <row r="110" spans="1:6" s="16" customFormat="1">
      <c r="A110" s="19"/>
      <c r="B110" s="7"/>
      <c r="C110" s="7"/>
      <c r="D110" s="14"/>
      <c r="E110" s="7"/>
      <c r="F110" s="7"/>
    </row>
    <row r="111" spans="1:6" s="16" customFormat="1">
      <c r="A111" s="19"/>
      <c r="B111" s="7"/>
      <c r="C111" s="7"/>
      <c r="D111" s="14"/>
      <c r="E111" s="7"/>
      <c r="F111" s="7"/>
    </row>
    <row r="112" spans="1:6" s="16" customFormat="1">
      <c r="A112" s="19"/>
      <c r="B112" s="7"/>
      <c r="C112" s="7"/>
      <c r="D112" s="14"/>
      <c r="E112" s="7"/>
      <c r="F112" s="7"/>
    </row>
    <row r="113" spans="1:6" s="16" customFormat="1">
      <c r="A113" s="19"/>
      <c r="B113" s="7"/>
      <c r="C113" s="7"/>
      <c r="D113" s="14"/>
      <c r="E113" s="7"/>
      <c r="F113" s="7"/>
    </row>
    <row r="114" spans="1:6" s="16" customFormat="1">
      <c r="A114" s="19"/>
      <c r="B114" s="7"/>
      <c r="C114" s="7"/>
      <c r="D114" s="14"/>
      <c r="E114" s="7"/>
      <c r="F114" s="7"/>
    </row>
    <row r="115" spans="1:6" s="16" customFormat="1">
      <c r="A115" s="19"/>
      <c r="B115" s="7"/>
      <c r="C115" s="7"/>
      <c r="D115" s="14"/>
      <c r="E115" s="7"/>
      <c r="F115" s="7"/>
    </row>
    <row r="116" spans="1:6" s="16" customFormat="1">
      <c r="A116" s="19"/>
      <c r="B116" s="7"/>
      <c r="C116" s="7"/>
      <c r="D116" s="14"/>
      <c r="E116" s="7"/>
      <c r="F116" s="7"/>
    </row>
    <row r="117" spans="1:6" s="16" customFormat="1">
      <c r="A117" s="19"/>
      <c r="B117" s="7"/>
      <c r="C117" s="7"/>
      <c r="D117" s="14"/>
      <c r="E117" s="7"/>
      <c r="F117" s="7"/>
    </row>
    <row r="118" spans="1:6" s="16" customFormat="1">
      <c r="A118" s="19"/>
      <c r="B118" s="7"/>
      <c r="C118" s="7"/>
      <c r="D118" s="14"/>
      <c r="E118" s="7"/>
      <c r="F118" s="7"/>
    </row>
    <row r="119" spans="1:6" s="16" customFormat="1">
      <c r="A119" s="19"/>
      <c r="B119" s="7"/>
      <c r="C119" s="7"/>
      <c r="D119" s="14"/>
      <c r="E119" s="7"/>
      <c r="F119" s="7"/>
    </row>
    <row r="120" spans="1:6" s="16" customFormat="1">
      <c r="A120" s="19"/>
      <c r="B120" s="7"/>
      <c r="C120" s="7"/>
      <c r="D120" s="14"/>
      <c r="E120" s="7"/>
      <c r="F120" s="7"/>
    </row>
    <row r="121" spans="1:6" s="16" customFormat="1">
      <c r="A121" s="19"/>
      <c r="B121" s="7"/>
      <c r="C121" s="7"/>
      <c r="D121" s="14"/>
      <c r="E121" s="7"/>
      <c r="F121" s="7"/>
    </row>
    <row r="122" spans="1:6" s="16" customFormat="1">
      <c r="A122" s="19"/>
      <c r="B122" s="7"/>
      <c r="C122" s="7"/>
      <c r="D122" s="14"/>
      <c r="E122" s="7"/>
      <c r="F122" s="7"/>
    </row>
    <row r="123" spans="1:6" s="16" customFormat="1">
      <c r="A123" s="19"/>
      <c r="B123" s="7"/>
      <c r="C123" s="7"/>
      <c r="D123" s="14"/>
      <c r="E123" s="7"/>
      <c r="F123" s="7"/>
    </row>
    <row r="124" spans="1:6" s="16" customFormat="1">
      <c r="A124" s="19"/>
      <c r="B124" s="7"/>
      <c r="C124" s="7"/>
      <c r="D124" s="14"/>
      <c r="E124" s="7"/>
      <c r="F124" s="7"/>
    </row>
    <row r="125" spans="1:6" s="16" customFormat="1">
      <c r="A125" s="19"/>
      <c r="B125" s="7"/>
      <c r="C125" s="7"/>
      <c r="D125" s="14"/>
      <c r="E125" s="7"/>
      <c r="F125" s="7"/>
    </row>
    <row r="126" spans="1:6" s="16" customFormat="1">
      <c r="A126" s="19"/>
      <c r="B126" s="7"/>
      <c r="C126" s="7"/>
      <c r="D126" s="14"/>
      <c r="E126" s="7"/>
      <c r="F126" s="7"/>
    </row>
    <row r="127" spans="1:6" s="16" customFormat="1">
      <c r="A127" s="19"/>
      <c r="B127" s="7"/>
      <c r="C127" s="7"/>
      <c r="D127" s="14"/>
      <c r="E127" s="7"/>
      <c r="F127" s="7"/>
    </row>
    <row r="128" spans="1:6" s="16" customFormat="1">
      <c r="A128" s="19"/>
      <c r="B128" s="7"/>
      <c r="C128" s="7"/>
      <c r="D128" s="14"/>
      <c r="E128" s="7"/>
      <c r="F128" s="7"/>
    </row>
    <row r="129" spans="1:6" s="16" customFormat="1">
      <c r="A129" s="19"/>
      <c r="B129" s="7"/>
      <c r="C129" s="7"/>
      <c r="D129" s="14"/>
      <c r="E129" s="7"/>
      <c r="F129" s="7"/>
    </row>
    <row r="130" spans="1:6" s="16" customFormat="1">
      <c r="A130" s="19"/>
      <c r="B130" s="7"/>
      <c r="C130" s="7"/>
      <c r="D130" s="14"/>
      <c r="E130" s="7"/>
      <c r="F130" s="7"/>
    </row>
    <row r="131" spans="1:6" s="16" customFormat="1">
      <c r="A131" s="19"/>
      <c r="B131" s="7"/>
      <c r="C131" s="7"/>
      <c r="D131" s="14"/>
      <c r="E131" s="7"/>
      <c r="F131" s="7"/>
    </row>
    <row r="132" spans="1:6" s="16" customFormat="1">
      <c r="A132" s="19"/>
      <c r="B132" s="7"/>
      <c r="C132" s="7"/>
      <c r="D132" s="14"/>
      <c r="E132" s="7"/>
      <c r="F132" s="7"/>
    </row>
    <row r="133" spans="1:6" s="16" customFormat="1">
      <c r="A133" s="19"/>
      <c r="B133" s="7"/>
      <c r="C133" s="7"/>
      <c r="D133" s="14"/>
      <c r="E133" s="7"/>
      <c r="F133" s="7"/>
    </row>
    <row r="134" spans="1:6" s="16" customFormat="1">
      <c r="A134" s="19"/>
      <c r="B134" s="7"/>
      <c r="C134" s="7"/>
      <c r="D134" s="14"/>
      <c r="E134" s="7"/>
      <c r="F134" s="7"/>
    </row>
    <row r="135" spans="1:6" s="16" customFormat="1">
      <c r="A135" s="19"/>
      <c r="B135" s="7"/>
      <c r="C135" s="7"/>
      <c r="D135" s="14"/>
      <c r="E135" s="7"/>
      <c r="F135" s="7"/>
    </row>
    <row r="136" spans="1:6" s="16" customFormat="1">
      <c r="A136" s="19"/>
      <c r="B136" s="7"/>
      <c r="C136" s="7"/>
      <c r="D136" s="14"/>
      <c r="E136" s="7"/>
      <c r="F136" s="7"/>
    </row>
    <row r="137" spans="1:6" s="16" customFormat="1">
      <c r="A137" s="19"/>
      <c r="B137" s="7"/>
      <c r="C137" s="7"/>
      <c r="D137" s="14"/>
      <c r="E137" s="7"/>
      <c r="F137" s="7"/>
    </row>
    <row r="138" spans="1:6" s="16" customFormat="1">
      <c r="A138" s="19"/>
      <c r="B138" s="7"/>
      <c r="C138" s="7"/>
      <c r="D138" s="14"/>
      <c r="E138" s="7"/>
      <c r="F138" s="7"/>
    </row>
    <row r="139" spans="1:6" s="16" customFormat="1">
      <c r="A139" s="19"/>
      <c r="B139" s="7"/>
      <c r="C139" s="7"/>
      <c r="D139" s="14"/>
      <c r="E139" s="7"/>
      <c r="F139" s="7"/>
    </row>
    <row r="140" spans="1:6" s="16" customFormat="1">
      <c r="A140" s="19"/>
      <c r="B140" s="7"/>
      <c r="C140" s="7"/>
      <c r="D140" s="14"/>
      <c r="E140" s="7"/>
      <c r="F140" s="7"/>
    </row>
    <row r="141" spans="1:6" s="16" customFormat="1">
      <c r="A141" s="19"/>
      <c r="B141" s="7"/>
      <c r="C141" s="7"/>
      <c r="D141" s="14"/>
      <c r="E141" s="7"/>
      <c r="F141" s="7"/>
    </row>
    <row r="142" spans="1:6" s="16" customFormat="1">
      <c r="A142" s="19"/>
      <c r="B142" s="7"/>
      <c r="C142" s="7"/>
      <c r="D142" s="14"/>
      <c r="E142" s="7"/>
      <c r="F142" s="7"/>
    </row>
    <row r="143" spans="1:6" s="16" customFormat="1">
      <c r="A143" s="19"/>
      <c r="B143" s="7"/>
      <c r="C143" s="7"/>
      <c r="D143" s="14"/>
      <c r="E143" s="7"/>
      <c r="F143" s="7"/>
    </row>
    <row r="144" spans="1:6" s="16" customFormat="1">
      <c r="A144" s="19"/>
      <c r="B144" s="7"/>
      <c r="C144" s="7"/>
      <c r="D144" s="14"/>
      <c r="E144" s="7"/>
      <c r="F144" s="7"/>
    </row>
    <row r="145" spans="1:6" s="16" customFormat="1">
      <c r="A145" s="19"/>
      <c r="B145" s="7"/>
      <c r="C145" s="7"/>
      <c r="D145" s="14"/>
      <c r="E145" s="7"/>
      <c r="F145" s="7"/>
    </row>
    <row r="146" spans="1:6" s="16" customFormat="1">
      <c r="A146" s="19"/>
      <c r="B146" s="7"/>
      <c r="C146" s="7"/>
      <c r="D146" s="14"/>
      <c r="E146" s="7"/>
      <c r="F146" s="7"/>
    </row>
    <row r="147" spans="1:6" s="16" customFormat="1">
      <c r="A147" s="19"/>
      <c r="B147" s="7"/>
      <c r="C147" s="7"/>
      <c r="D147" s="14"/>
      <c r="E147" s="7"/>
      <c r="F147" s="7"/>
    </row>
    <row r="148" spans="1:6" s="16" customFormat="1">
      <c r="A148" s="19"/>
      <c r="B148" s="7"/>
      <c r="C148" s="7"/>
      <c r="D148" s="14"/>
      <c r="E148" s="7"/>
      <c r="F148" s="7"/>
    </row>
    <row r="149" spans="1:6" s="16" customFormat="1">
      <c r="A149" s="19"/>
      <c r="B149" s="7"/>
      <c r="C149" s="7"/>
      <c r="D149" s="14"/>
      <c r="E149" s="7"/>
      <c r="F149" s="7"/>
    </row>
    <row r="150" spans="1:6" s="16" customFormat="1">
      <c r="A150" s="19"/>
      <c r="B150" s="7"/>
      <c r="C150" s="7"/>
      <c r="D150" s="14"/>
      <c r="E150" s="7"/>
      <c r="F150" s="7"/>
    </row>
    <row r="151" spans="1:6" s="16" customFormat="1">
      <c r="A151" s="19"/>
      <c r="B151" s="7"/>
      <c r="C151" s="7"/>
      <c r="D151" s="14"/>
      <c r="E151" s="7"/>
      <c r="F151" s="7"/>
    </row>
    <row r="152" spans="1:6" s="16" customFormat="1">
      <c r="A152" s="19"/>
      <c r="B152" s="7"/>
      <c r="C152" s="7"/>
      <c r="D152" s="14"/>
      <c r="E152" s="7"/>
      <c r="F152" s="7"/>
    </row>
    <row r="153" spans="1:6" s="16" customFormat="1">
      <c r="A153" s="19"/>
      <c r="B153" s="7"/>
      <c r="C153" s="7"/>
      <c r="D153" s="14"/>
      <c r="E153" s="7"/>
      <c r="F153" s="7"/>
    </row>
    <row r="154" spans="1:6" s="16" customFormat="1">
      <c r="A154" s="19"/>
      <c r="B154" s="7"/>
      <c r="C154" s="7"/>
      <c r="D154" s="14"/>
      <c r="E154" s="7"/>
      <c r="F154" s="7"/>
    </row>
    <row r="155" spans="1:6" s="16" customFormat="1">
      <c r="A155" s="19"/>
      <c r="B155" s="7"/>
      <c r="C155" s="7"/>
      <c r="D155" s="14"/>
      <c r="E155" s="7"/>
      <c r="F155" s="7"/>
    </row>
    <row r="156" spans="1:6" s="16" customFormat="1">
      <c r="A156" s="19"/>
      <c r="B156" s="7"/>
      <c r="C156" s="7"/>
      <c r="D156" s="14"/>
      <c r="E156" s="7"/>
      <c r="F156" s="7"/>
    </row>
    <row r="157" spans="1:6" s="16" customFormat="1">
      <c r="A157" s="19"/>
      <c r="B157" s="7"/>
      <c r="C157" s="7"/>
      <c r="D157" s="14"/>
      <c r="E157" s="7"/>
      <c r="F157" s="7"/>
    </row>
    <row r="158" spans="1:6" s="16" customFormat="1">
      <c r="A158" s="19"/>
      <c r="B158" s="7"/>
      <c r="C158" s="7"/>
      <c r="D158" s="14"/>
      <c r="E158" s="7"/>
      <c r="F158" s="7"/>
    </row>
    <row r="159" spans="1:6" s="16" customFormat="1">
      <c r="A159" s="19"/>
      <c r="B159" s="7"/>
      <c r="C159" s="7"/>
      <c r="D159" s="14"/>
      <c r="E159" s="7"/>
      <c r="F159" s="7"/>
    </row>
    <row r="160" spans="1:6" s="16" customFormat="1">
      <c r="A160" s="19"/>
      <c r="B160" s="7"/>
      <c r="C160" s="7"/>
      <c r="D160" s="14"/>
      <c r="E160" s="7"/>
      <c r="F160" s="7"/>
    </row>
    <row r="161" spans="1:6" s="16" customFormat="1">
      <c r="A161" s="19"/>
      <c r="B161" s="7"/>
      <c r="C161" s="7"/>
      <c r="D161" s="14"/>
      <c r="E161" s="7"/>
      <c r="F161" s="7"/>
    </row>
    <row r="162" spans="1:6" s="16" customFormat="1">
      <c r="A162" s="19"/>
      <c r="B162" s="7"/>
      <c r="C162" s="7"/>
      <c r="D162" s="14"/>
      <c r="E162" s="7"/>
      <c r="F162" s="7"/>
    </row>
    <row r="163" spans="1:6" s="16" customFormat="1">
      <c r="A163" s="19"/>
      <c r="B163" s="7"/>
      <c r="C163" s="7"/>
      <c r="D163" s="14"/>
      <c r="E163" s="7"/>
      <c r="F163" s="7"/>
    </row>
    <row r="164" spans="1:6" s="16" customFormat="1">
      <c r="A164" s="19"/>
      <c r="B164" s="7"/>
      <c r="C164" s="7"/>
      <c r="D164" s="14"/>
      <c r="E164" s="7"/>
      <c r="F164" s="7"/>
    </row>
    <row r="165" spans="1:6" s="16" customFormat="1">
      <c r="A165" s="19"/>
      <c r="B165" s="7"/>
      <c r="C165" s="7"/>
      <c r="D165" s="14"/>
      <c r="E165" s="7"/>
      <c r="F165" s="7"/>
    </row>
    <row r="166" spans="1:6" s="16" customFormat="1">
      <c r="A166" s="19"/>
      <c r="B166" s="7"/>
      <c r="C166" s="7"/>
      <c r="D166" s="14"/>
      <c r="E166" s="7"/>
      <c r="F166" s="7"/>
    </row>
    <row r="167" spans="1:6" s="16" customFormat="1">
      <c r="A167" s="19"/>
      <c r="B167" s="7"/>
      <c r="C167" s="7"/>
      <c r="D167" s="14"/>
      <c r="E167" s="7"/>
      <c r="F167" s="7"/>
    </row>
    <row r="168" spans="1:6" s="16" customFormat="1">
      <c r="A168" s="19"/>
      <c r="B168" s="7"/>
      <c r="C168" s="7"/>
      <c r="D168" s="14"/>
      <c r="E168" s="7"/>
      <c r="F168" s="7"/>
    </row>
    <row r="169" spans="1:6" s="16" customFormat="1">
      <c r="A169" s="19"/>
      <c r="B169" s="7"/>
      <c r="C169" s="7"/>
      <c r="D169" s="14"/>
      <c r="E169" s="7"/>
      <c r="F169" s="7"/>
    </row>
    <row r="170" spans="1:6" s="16" customFormat="1">
      <c r="A170" s="19"/>
      <c r="B170" s="7"/>
      <c r="C170" s="7"/>
      <c r="D170" s="14"/>
      <c r="E170" s="7"/>
      <c r="F170" s="7"/>
    </row>
    <row r="171" spans="1:6" s="16" customFormat="1">
      <c r="A171" s="19"/>
      <c r="B171" s="7"/>
      <c r="C171" s="7"/>
      <c r="D171" s="14"/>
      <c r="E171" s="7"/>
      <c r="F171" s="7"/>
    </row>
    <row r="172" spans="1:6" s="16" customFormat="1">
      <c r="A172" s="19"/>
      <c r="B172" s="7"/>
      <c r="C172" s="7"/>
      <c r="D172" s="14"/>
      <c r="E172" s="7"/>
      <c r="F172" s="7"/>
    </row>
    <row r="173" spans="1:6" s="16" customFormat="1">
      <c r="A173" s="19"/>
      <c r="B173" s="7"/>
      <c r="C173" s="7"/>
      <c r="D173" s="14"/>
      <c r="E173" s="7"/>
      <c r="F173" s="7"/>
    </row>
    <row r="174" spans="1:6" s="16" customFormat="1">
      <c r="A174" s="19"/>
      <c r="B174" s="7"/>
      <c r="C174" s="7"/>
      <c r="D174" s="14"/>
      <c r="E174" s="7"/>
      <c r="F174" s="7"/>
    </row>
    <row r="175" spans="1:6" s="16" customFormat="1">
      <c r="A175" s="19"/>
      <c r="B175" s="7"/>
      <c r="C175" s="7"/>
      <c r="D175" s="14"/>
      <c r="E175" s="7"/>
      <c r="F175" s="7"/>
    </row>
    <row r="176" spans="1:6" s="16" customFormat="1">
      <c r="A176" s="19"/>
      <c r="B176" s="7"/>
      <c r="C176" s="7"/>
      <c r="D176" s="14"/>
      <c r="E176" s="7"/>
      <c r="F176" s="7"/>
    </row>
    <row r="177" spans="1:6" s="16" customFormat="1">
      <c r="A177" s="19"/>
      <c r="B177" s="7"/>
      <c r="C177" s="7"/>
      <c r="D177" s="14"/>
      <c r="E177" s="7"/>
      <c r="F177" s="7"/>
    </row>
    <row r="178" spans="1:6" s="16" customFormat="1">
      <c r="A178" s="19"/>
      <c r="B178" s="7"/>
      <c r="C178" s="7"/>
      <c r="D178" s="14"/>
      <c r="E178" s="7"/>
      <c r="F178" s="7"/>
    </row>
    <row r="179" spans="1:6" s="16" customFormat="1">
      <c r="A179" s="19"/>
      <c r="B179" s="7"/>
      <c r="C179" s="7"/>
      <c r="D179" s="14"/>
      <c r="E179" s="7"/>
      <c r="F179" s="7"/>
    </row>
    <row r="180" spans="1:6" s="16" customFormat="1">
      <c r="A180" s="19"/>
      <c r="B180" s="7"/>
      <c r="C180" s="7"/>
      <c r="D180" s="14"/>
      <c r="E180" s="7"/>
      <c r="F180" s="7"/>
    </row>
    <row r="181" spans="1:6" s="16" customFormat="1">
      <c r="A181" s="19"/>
      <c r="B181" s="7"/>
      <c r="C181" s="7"/>
      <c r="D181" s="14"/>
      <c r="E181" s="7"/>
      <c r="F181" s="7"/>
    </row>
    <row r="182" spans="1:6" s="16" customFormat="1">
      <c r="A182" s="19"/>
      <c r="B182" s="7"/>
      <c r="C182" s="7"/>
      <c r="D182" s="14"/>
      <c r="E182" s="7"/>
      <c r="F182" s="7"/>
    </row>
    <row r="183" spans="1:6" s="16" customFormat="1">
      <c r="A183" s="19"/>
      <c r="B183" s="7"/>
      <c r="C183" s="7"/>
      <c r="D183" s="14"/>
      <c r="E183" s="7"/>
      <c r="F183" s="7"/>
    </row>
    <row r="184" spans="1:6" s="16" customFormat="1">
      <c r="A184" s="19"/>
      <c r="B184" s="7"/>
      <c r="C184" s="7"/>
      <c r="D184" s="14"/>
      <c r="E184" s="7"/>
      <c r="F184" s="7"/>
    </row>
    <row r="185" spans="1:6" s="16" customFormat="1">
      <c r="A185" s="19"/>
      <c r="B185" s="7"/>
      <c r="C185" s="7"/>
      <c r="D185" s="14"/>
      <c r="E185" s="7"/>
      <c r="F185" s="7"/>
    </row>
    <row r="186" spans="1:6" s="16" customFormat="1">
      <c r="A186" s="19"/>
      <c r="B186" s="7"/>
      <c r="C186" s="7"/>
      <c r="D186" s="14"/>
      <c r="E186" s="7"/>
      <c r="F186" s="7"/>
    </row>
    <row r="187" spans="1:6" s="16" customFormat="1">
      <c r="A187" s="19"/>
      <c r="B187" s="7"/>
      <c r="C187" s="7"/>
      <c r="D187" s="14"/>
      <c r="E187" s="7"/>
      <c r="F187" s="7"/>
    </row>
    <row r="188" spans="1:6" s="16" customFormat="1">
      <c r="A188" s="19"/>
      <c r="B188" s="7"/>
      <c r="C188" s="7"/>
      <c r="D188" s="14"/>
      <c r="E188" s="7"/>
      <c r="F188" s="7"/>
    </row>
    <row r="189" spans="1:6" s="16" customFormat="1">
      <c r="A189" s="19"/>
      <c r="B189" s="7"/>
      <c r="C189" s="7"/>
      <c r="D189" s="14"/>
      <c r="E189" s="7"/>
      <c r="F189" s="7"/>
    </row>
    <row r="190" spans="1:6" s="16" customFormat="1">
      <c r="A190" s="19"/>
      <c r="B190" s="7"/>
      <c r="C190" s="7"/>
      <c r="D190" s="14"/>
      <c r="E190" s="7"/>
      <c r="F190" s="7"/>
    </row>
    <row r="191" spans="1:6" s="16" customFormat="1">
      <c r="A191" s="19"/>
      <c r="B191" s="7"/>
      <c r="C191" s="7"/>
      <c r="D191" s="14"/>
      <c r="E191" s="7"/>
      <c r="F191" s="7"/>
    </row>
    <row r="192" spans="1:6" s="16" customFormat="1">
      <c r="A192" s="19"/>
      <c r="B192" s="7"/>
      <c r="C192" s="7"/>
      <c r="D192" s="14"/>
      <c r="E192" s="7"/>
      <c r="F192" s="7"/>
    </row>
    <row r="193" spans="1:6" s="16" customFormat="1">
      <c r="A193" s="19"/>
      <c r="B193" s="7"/>
      <c r="C193" s="7"/>
      <c r="D193" s="14"/>
      <c r="E193" s="7"/>
      <c r="F193" s="7"/>
    </row>
    <row r="194" spans="1:6" s="16" customFormat="1">
      <c r="A194" s="19"/>
      <c r="B194" s="7"/>
      <c r="C194" s="7"/>
      <c r="D194" s="14"/>
      <c r="E194" s="7"/>
      <c r="F194" s="7"/>
    </row>
    <row r="195" spans="1:6" s="16" customFormat="1">
      <c r="A195" s="19"/>
      <c r="B195" s="7"/>
      <c r="C195" s="7"/>
      <c r="D195" s="14"/>
      <c r="E195" s="7"/>
      <c r="F195" s="7"/>
    </row>
    <row r="196" spans="1:6" s="16" customFormat="1">
      <c r="A196" s="19"/>
      <c r="B196" s="7"/>
      <c r="C196" s="7"/>
      <c r="D196" s="14"/>
      <c r="E196" s="7"/>
      <c r="F196" s="7"/>
    </row>
  </sheetData>
  <autoFilter ref="A2:G72" xr:uid="{FB39DE4E-292A-4417-ABCB-13830D7C855C}">
    <sortState xmlns:xlrd2="http://schemas.microsoft.com/office/spreadsheetml/2017/richdata2" ref="A42:G42">
      <sortCondition ref="B2:B72"/>
    </sortState>
  </autoFilter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BCB0-5B18-44CA-AFA2-8D76F1E0C89D}">
  <sheetPr codeName="Sheet3"/>
  <dimension ref="A1:G51"/>
  <sheetViews>
    <sheetView workbookViewId="0">
      <selection activeCell="D19" sqref="D19"/>
    </sheetView>
  </sheetViews>
  <sheetFormatPr defaultColWidth="8.81640625" defaultRowHeight="14"/>
  <cols>
    <col min="1" max="1" width="9.90625" style="21" customWidth="1"/>
    <col min="2" max="2" width="10.36328125" style="7" customWidth="1"/>
    <col min="3" max="3" width="12.81640625" style="7" customWidth="1"/>
    <col min="4" max="4" width="45.6328125" style="7" customWidth="1"/>
    <col min="5" max="6" width="16.6328125" style="15" customWidth="1"/>
    <col min="7" max="7" width="34.81640625" style="7" customWidth="1"/>
    <col min="8" max="16384" width="8.81640625" style="7"/>
  </cols>
  <sheetData>
    <row r="1" spans="1:7" ht="24.5" customHeight="1">
      <c r="A1" s="255" t="s">
        <v>0</v>
      </c>
      <c r="B1" s="256"/>
      <c r="C1" s="256"/>
      <c r="D1" s="256"/>
      <c r="E1" s="256"/>
      <c r="F1" s="256"/>
      <c r="G1" s="257"/>
    </row>
    <row r="2" spans="1:7">
      <c r="A2" s="20" t="s">
        <v>1</v>
      </c>
      <c r="B2" s="3" t="s">
        <v>2</v>
      </c>
      <c r="C2" s="3" t="s">
        <v>3</v>
      </c>
      <c r="D2" s="3" t="s">
        <v>4</v>
      </c>
      <c r="E2" s="5" t="s">
        <v>5</v>
      </c>
      <c r="F2" s="5" t="s">
        <v>6</v>
      </c>
      <c r="G2" s="3" t="s">
        <v>7</v>
      </c>
    </row>
    <row r="3" spans="1:7">
      <c r="B3" s="7" t="s">
        <v>12</v>
      </c>
      <c r="D3" s="7" t="s">
        <v>207</v>
      </c>
      <c r="F3" s="15">
        <v>60000</v>
      </c>
    </row>
    <row r="4" spans="1:7">
      <c r="B4" s="28" t="s">
        <v>139</v>
      </c>
      <c r="C4" s="7">
        <v>501</v>
      </c>
      <c r="D4" s="7" t="s">
        <v>19</v>
      </c>
      <c r="E4" s="15">
        <v>150000</v>
      </c>
      <c r="G4" s="28" t="s">
        <v>140</v>
      </c>
    </row>
    <row r="5" spans="1:7">
      <c r="B5" s="28" t="s">
        <v>139</v>
      </c>
      <c r="C5" s="7">
        <v>501</v>
      </c>
      <c r="D5" s="7" t="s">
        <v>126</v>
      </c>
      <c r="E5" s="15">
        <v>150000</v>
      </c>
    </row>
    <row r="6" spans="1:7">
      <c r="B6" s="28" t="s">
        <v>139</v>
      </c>
      <c r="C6" s="7">
        <v>401</v>
      </c>
      <c r="D6" s="7" t="s">
        <v>19</v>
      </c>
      <c r="E6" s="15">
        <v>150000</v>
      </c>
    </row>
    <row r="7" spans="1:7">
      <c r="A7" s="21" t="s">
        <v>144</v>
      </c>
      <c r="B7" s="28" t="s">
        <v>139</v>
      </c>
      <c r="D7" s="7" t="s">
        <v>145</v>
      </c>
      <c r="F7" s="15">
        <v>60000</v>
      </c>
    </row>
    <row r="8" spans="1:7">
      <c r="B8" s="28" t="s">
        <v>139</v>
      </c>
      <c r="C8" s="7">
        <v>401</v>
      </c>
      <c r="D8" s="7" t="s">
        <v>154</v>
      </c>
      <c r="F8" s="15">
        <v>40000</v>
      </c>
    </row>
    <row r="9" spans="1:7">
      <c r="B9" s="28" t="s">
        <v>109</v>
      </c>
      <c r="D9" s="7" t="s">
        <v>151</v>
      </c>
      <c r="F9" s="15">
        <v>1300000</v>
      </c>
    </row>
    <row r="10" spans="1:7">
      <c r="B10" s="28" t="s">
        <v>109</v>
      </c>
      <c r="C10" s="7">
        <v>101</v>
      </c>
      <c r="D10" s="7" t="s">
        <v>126</v>
      </c>
      <c r="E10" s="15">
        <v>100000</v>
      </c>
    </row>
    <row r="11" spans="1:7">
      <c r="A11" s="21">
        <v>46023</v>
      </c>
      <c r="B11" s="28" t="s">
        <v>136</v>
      </c>
      <c r="C11" s="7">
        <v>304</v>
      </c>
      <c r="D11" s="7" t="s">
        <v>19</v>
      </c>
      <c r="E11" s="15">
        <v>150000</v>
      </c>
    </row>
    <row r="12" spans="1:7">
      <c r="B12" s="28" t="s">
        <v>204</v>
      </c>
      <c r="C12" s="7">
        <v>502</v>
      </c>
      <c r="D12" s="9" t="s">
        <v>203</v>
      </c>
      <c r="E12" s="15">
        <v>100000</v>
      </c>
    </row>
    <row r="13" spans="1:7">
      <c r="A13" s="21" t="s">
        <v>24</v>
      </c>
      <c r="B13" s="28" t="s">
        <v>125</v>
      </c>
      <c r="C13" s="7">
        <v>202</v>
      </c>
      <c r="D13" s="7" t="s">
        <v>126</v>
      </c>
      <c r="E13" s="15">
        <v>200000</v>
      </c>
      <c r="G13" s="7" t="s">
        <v>127</v>
      </c>
    </row>
    <row r="14" spans="1:7">
      <c r="B14" s="28" t="s">
        <v>125</v>
      </c>
      <c r="C14" s="7">
        <v>202</v>
      </c>
      <c r="D14" s="7" t="s">
        <v>19</v>
      </c>
      <c r="E14" s="15">
        <v>100000</v>
      </c>
      <c r="G14" s="7" t="s">
        <v>128</v>
      </c>
    </row>
    <row r="15" spans="1:7">
      <c r="B15" s="28" t="s">
        <v>125</v>
      </c>
      <c r="C15" s="7">
        <v>302</v>
      </c>
      <c r="D15" s="7" t="s">
        <v>126</v>
      </c>
      <c r="E15" s="15">
        <v>150000</v>
      </c>
      <c r="G15" s="28" t="s">
        <v>129</v>
      </c>
    </row>
    <row r="16" spans="1:7">
      <c r="B16" s="28" t="s">
        <v>125</v>
      </c>
      <c r="C16" s="7">
        <v>302</v>
      </c>
      <c r="D16" s="7" t="s">
        <v>19</v>
      </c>
      <c r="E16" s="15">
        <v>100000</v>
      </c>
    </row>
    <row r="17" spans="1:7">
      <c r="B17" s="28" t="s">
        <v>125</v>
      </c>
      <c r="C17" s="7">
        <v>301</v>
      </c>
      <c r="D17" s="7" t="s">
        <v>130</v>
      </c>
      <c r="F17" s="15">
        <v>40000</v>
      </c>
    </row>
    <row r="18" spans="1:7">
      <c r="B18" s="28" t="s">
        <v>125</v>
      </c>
      <c r="C18" s="7">
        <v>202</v>
      </c>
      <c r="D18" s="7" t="s">
        <v>131</v>
      </c>
      <c r="F18" s="15">
        <v>20000</v>
      </c>
    </row>
    <row r="19" spans="1:7">
      <c r="B19" s="28" t="s">
        <v>125</v>
      </c>
      <c r="C19" s="7">
        <v>302</v>
      </c>
      <c r="D19" s="7" t="s">
        <v>132</v>
      </c>
      <c r="F19" s="15">
        <v>40000</v>
      </c>
    </row>
    <row r="20" spans="1:7">
      <c r="B20" s="28" t="s">
        <v>125</v>
      </c>
      <c r="C20" s="7">
        <v>402</v>
      </c>
      <c r="D20" s="7" t="s">
        <v>205</v>
      </c>
      <c r="E20" s="15">
        <v>200000</v>
      </c>
    </row>
    <row r="21" spans="1:7">
      <c r="B21" s="28" t="s">
        <v>125</v>
      </c>
      <c r="C21" s="7">
        <v>402</v>
      </c>
      <c r="D21" s="7" t="s">
        <v>206</v>
      </c>
      <c r="E21" s="15">
        <v>100000</v>
      </c>
    </row>
    <row r="22" spans="1:7">
      <c r="B22" s="28" t="s">
        <v>20</v>
      </c>
      <c r="C22" s="7">
        <v>304</v>
      </c>
      <c r="D22" s="7" t="s">
        <v>208</v>
      </c>
      <c r="F22" s="15">
        <v>1200000</v>
      </c>
    </row>
    <row r="23" spans="1:7">
      <c r="B23" s="28" t="s">
        <v>143</v>
      </c>
      <c r="D23" s="7" t="s">
        <v>135</v>
      </c>
      <c r="F23" s="15">
        <v>200000</v>
      </c>
    </row>
    <row r="24" spans="1:7">
      <c r="B24" s="28" t="s">
        <v>202</v>
      </c>
      <c r="C24" s="7">
        <v>402</v>
      </c>
      <c r="D24" s="9" t="s">
        <v>203</v>
      </c>
      <c r="E24" s="15">
        <v>100000</v>
      </c>
      <c r="G24" s="50"/>
    </row>
    <row r="25" spans="1:7">
      <c r="A25" s="21">
        <v>46082</v>
      </c>
      <c r="B25" s="28" t="s">
        <v>180</v>
      </c>
      <c r="C25" s="7">
        <v>102</v>
      </c>
      <c r="D25" s="9" t="s">
        <v>201</v>
      </c>
      <c r="E25" s="15">
        <v>200000</v>
      </c>
      <c r="G25" s="49"/>
    </row>
    <row r="26" spans="1:7">
      <c r="A26" s="21">
        <v>46327</v>
      </c>
      <c r="B26" s="28" t="s">
        <v>141</v>
      </c>
      <c r="C26" s="7">
        <v>601</v>
      </c>
      <c r="D26" s="7" t="s">
        <v>19</v>
      </c>
      <c r="E26" s="15">
        <v>150000</v>
      </c>
    </row>
    <row r="27" spans="1:7">
      <c r="B27" s="28" t="s">
        <v>212</v>
      </c>
      <c r="C27" s="7">
        <v>201</v>
      </c>
      <c r="D27" s="7" t="s">
        <v>213</v>
      </c>
      <c r="E27" s="15">
        <v>300000</v>
      </c>
      <c r="F27" s="15">
        <v>500000</v>
      </c>
    </row>
    <row r="28" spans="1:7">
      <c r="B28" s="28" t="s">
        <v>198</v>
      </c>
      <c r="D28" s="7" t="s">
        <v>150</v>
      </c>
      <c r="F28" s="15">
        <v>115000</v>
      </c>
    </row>
    <row r="29" spans="1:7">
      <c r="B29" s="28" t="s">
        <v>138</v>
      </c>
      <c r="C29" s="7">
        <v>203</v>
      </c>
      <c r="D29" s="7" t="s">
        <v>126</v>
      </c>
      <c r="E29" s="15">
        <v>100000</v>
      </c>
    </row>
    <row r="30" spans="1:7">
      <c r="B30" s="28" t="s">
        <v>138</v>
      </c>
      <c r="D30" s="7" t="s">
        <v>126</v>
      </c>
      <c r="E30" s="15">
        <v>100000</v>
      </c>
    </row>
    <row r="31" spans="1:7">
      <c r="A31" s="21" t="s">
        <v>29</v>
      </c>
      <c r="B31" s="28" t="s">
        <v>133</v>
      </c>
      <c r="C31" s="7">
        <v>301</v>
      </c>
      <c r="D31" s="7" t="s">
        <v>134</v>
      </c>
      <c r="F31" s="15">
        <v>60000</v>
      </c>
    </row>
    <row r="32" spans="1:7">
      <c r="A32" s="21" t="s">
        <v>32</v>
      </c>
      <c r="B32" s="28" t="s">
        <v>61</v>
      </c>
      <c r="D32" s="7" t="s">
        <v>135</v>
      </c>
      <c r="F32" s="15">
        <v>400000</v>
      </c>
    </row>
    <row r="33" spans="1:7">
      <c r="B33" s="28" t="s">
        <v>200</v>
      </c>
      <c r="D33" s="7" t="s">
        <v>156</v>
      </c>
      <c r="E33" s="15">
        <v>500000</v>
      </c>
    </row>
    <row r="34" spans="1:7">
      <c r="B34" s="28" t="s">
        <v>146</v>
      </c>
      <c r="C34" s="7">
        <v>603</v>
      </c>
      <c r="D34" s="7" t="s">
        <v>147</v>
      </c>
      <c r="F34" s="15">
        <v>80000</v>
      </c>
      <c r="G34" s="7" t="s">
        <v>148</v>
      </c>
    </row>
    <row r="35" spans="1:7">
      <c r="B35" s="28" t="s">
        <v>146</v>
      </c>
      <c r="C35" s="7">
        <v>603</v>
      </c>
      <c r="D35" s="7" t="s">
        <v>206</v>
      </c>
      <c r="E35" s="15">
        <v>200000</v>
      </c>
    </row>
    <row r="36" spans="1:7">
      <c r="B36" s="28" t="s">
        <v>146</v>
      </c>
      <c r="C36" s="7">
        <v>502</v>
      </c>
      <c r="D36" s="7" t="s">
        <v>206</v>
      </c>
      <c r="E36" s="15">
        <v>100000</v>
      </c>
    </row>
    <row r="37" spans="1:7">
      <c r="B37" s="7" t="s">
        <v>209</v>
      </c>
      <c r="C37" s="7">
        <v>401</v>
      </c>
      <c r="D37" s="7" t="s">
        <v>210</v>
      </c>
      <c r="E37" s="15">
        <v>300000</v>
      </c>
    </row>
    <row r="38" spans="1:7">
      <c r="B38" s="7" t="s">
        <v>209</v>
      </c>
      <c r="C38" s="7">
        <v>401</v>
      </c>
      <c r="D38" s="7" t="s">
        <v>211</v>
      </c>
      <c r="E38" s="15">
        <v>100000</v>
      </c>
      <c r="F38" s="15">
        <v>85000</v>
      </c>
    </row>
    <row r="39" spans="1:7">
      <c r="B39" s="28" t="s">
        <v>9</v>
      </c>
      <c r="C39" s="7">
        <v>503</v>
      </c>
      <c r="D39" s="7" t="s">
        <v>19</v>
      </c>
      <c r="E39" s="15">
        <v>200000</v>
      </c>
      <c r="G39" s="7" t="s">
        <v>137</v>
      </c>
    </row>
    <row r="40" spans="1:7">
      <c r="B40" s="28" t="s">
        <v>9</v>
      </c>
      <c r="C40" s="7">
        <v>503</v>
      </c>
      <c r="D40" s="7" t="s">
        <v>126</v>
      </c>
      <c r="E40" s="15">
        <v>200000</v>
      </c>
      <c r="G40" s="7" t="s">
        <v>127</v>
      </c>
    </row>
    <row r="41" spans="1:7">
      <c r="B41" s="7" t="s">
        <v>199</v>
      </c>
      <c r="D41" s="7" t="s">
        <v>155</v>
      </c>
      <c r="F41" s="15">
        <v>105000</v>
      </c>
    </row>
    <row r="42" spans="1:7">
      <c r="B42" s="28" t="s">
        <v>142</v>
      </c>
      <c r="C42" s="7">
        <v>301</v>
      </c>
      <c r="D42" s="7" t="s">
        <v>126</v>
      </c>
      <c r="E42" s="15">
        <v>200000</v>
      </c>
      <c r="G42" s="48" t="s">
        <v>127</v>
      </c>
    </row>
    <row r="43" spans="1:7">
      <c r="B43" s="28" t="s">
        <v>142</v>
      </c>
      <c r="C43" s="7">
        <v>303</v>
      </c>
      <c r="D43" s="7" t="s">
        <v>152</v>
      </c>
      <c r="F43" s="15">
        <v>60000</v>
      </c>
    </row>
    <row r="44" spans="1:7">
      <c r="B44" s="28" t="s">
        <v>142</v>
      </c>
      <c r="C44" s="7">
        <v>303</v>
      </c>
      <c r="D44" s="7" t="s">
        <v>153</v>
      </c>
      <c r="F44" s="15">
        <v>30000</v>
      </c>
    </row>
    <row r="45" spans="1:7">
      <c r="B45" s="28" t="s">
        <v>93</v>
      </c>
      <c r="C45" s="7">
        <v>204</v>
      </c>
      <c r="D45" s="7" t="s">
        <v>126</v>
      </c>
      <c r="E45" s="15">
        <v>100000</v>
      </c>
    </row>
    <row r="46" spans="1:7" ht="14.4" customHeight="1">
      <c r="A46" s="21">
        <v>46357</v>
      </c>
      <c r="B46" s="28" t="s">
        <v>103</v>
      </c>
      <c r="C46" s="7">
        <v>202</v>
      </c>
      <c r="D46" s="7" t="s">
        <v>126</v>
      </c>
      <c r="E46" s="15">
        <v>150000</v>
      </c>
      <c r="G46" s="48"/>
    </row>
    <row r="47" spans="1:7">
      <c r="A47" s="21" t="s">
        <v>88</v>
      </c>
      <c r="B47" s="28" t="s">
        <v>149</v>
      </c>
      <c r="C47" s="7">
        <v>407</v>
      </c>
      <c r="D47" s="7" t="s">
        <v>130</v>
      </c>
      <c r="F47" s="15">
        <v>40000</v>
      </c>
    </row>
    <row r="48" spans="1:7">
      <c r="B48" s="28" t="s">
        <v>149</v>
      </c>
      <c r="C48" s="7">
        <v>207</v>
      </c>
      <c r="D48" s="7" t="s">
        <v>126</v>
      </c>
      <c r="E48" s="15">
        <v>100000</v>
      </c>
    </row>
    <row r="49" spans="1:7">
      <c r="B49" s="28" t="s">
        <v>14</v>
      </c>
      <c r="C49" s="7">
        <v>402</v>
      </c>
      <c r="D49" s="7" t="s">
        <v>19</v>
      </c>
      <c r="E49" s="15">
        <v>150000</v>
      </c>
    </row>
    <row r="50" spans="1:7">
      <c r="B50" s="28" t="s">
        <v>14</v>
      </c>
      <c r="C50" s="7">
        <v>402</v>
      </c>
      <c r="D50" s="7" t="s">
        <v>126</v>
      </c>
      <c r="E50" s="15">
        <v>100000</v>
      </c>
    </row>
    <row r="51" spans="1:7">
      <c r="A51" s="20"/>
      <c r="B51" s="3"/>
      <c r="C51" s="3"/>
      <c r="D51" s="3"/>
      <c r="E51" s="5">
        <f>SUBTOTAL(109,E52:E107)</f>
        <v>0</v>
      </c>
      <c r="F51" s="5">
        <f>SUBTOTAL(109,F52:F101)</f>
        <v>0</v>
      </c>
      <c r="G51" s="3"/>
    </row>
  </sheetData>
  <autoFilter ref="A2:G50" xr:uid="{9E02BCB0-5B18-44CA-AFA2-8D76F1E0C89D}"/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FD34-FE23-48F3-A83A-C19AA012AE2F}">
  <sheetPr codeName="Sheet4"/>
  <dimension ref="A1:M23"/>
  <sheetViews>
    <sheetView zoomScale="69" workbookViewId="0">
      <selection activeCell="F23" sqref="F23"/>
    </sheetView>
  </sheetViews>
  <sheetFormatPr defaultColWidth="8.81640625" defaultRowHeight="14.5"/>
  <cols>
    <col min="1" max="1" width="12.36328125" style="24" customWidth="1"/>
    <col min="2" max="2" width="60.81640625" style="24" bestFit="1" customWidth="1"/>
    <col min="3" max="4" width="10.1796875" style="24" customWidth="1"/>
    <col min="5" max="5" width="15.453125" style="24" bestFit="1" customWidth="1"/>
    <col min="6" max="6" width="13.6328125" style="24" bestFit="1" customWidth="1"/>
    <col min="7" max="7" width="10.1796875" style="24" customWidth="1"/>
    <col min="8" max="8" width="15.6328125" style="24" bestFit="1" customWidth="1"/>
    <col min="9" max="16384" width="8.81640625" style="24"/>
  </cols>
  <sheetData>
    <row r="1" spans="1:8" s="22" customFormat="1" ht="16.5">
      <c r="A1" s="22" t="s">
        <v>157</v>
      </c>
      <c r="B1" s="22" t="s">
        <v>158</v>
      </c>
      <c r="C1" s="22" t="s">
        <v>159</v>
      </c>
      <c r="D1" s="22" t="s">
        <v>160</v>
      </c>
      <c r="E1" s="22" t="s">
        <v>161</v>
      </c>
      <c r="F1" s="22" t="s">
        <v>162</v>
      </c>
      <c r="G1" s="22" t="s">
        <v>163</v>
      </c>
      <c r="H1" s="22" t="s">
        <v>164</v>
      </c>
    </row>
    <row r="2" spans="1:8" ht="16.5" hidden="1">
      <c r="A2" s="23" t="s">
        <v>165</v>
      </c>
      <c r="B2" s="23" t="s">
        <v>166</v>
      </c>
      <c r="C2" s="52" t="s">
        <v>167</v>
      </c>
      <c r="D2" s="51">
        <v>201</v>
      </c>
      <c r="E2" s="23"/>
      <c r="F2" s="23">
        <v>300</v>
      </c>
      <c r="G2" s="23" t="s">
        <v>168</v>
      </c>
      <c r="H2" s="23" t="s">
        <v>169</v>
      </c>
    </row>
    <row r="3" spans="1:8" ht="16.5" hidden="1">
      <c r="A3" s="23"/>
      <c r="B3" s="23" t="s">
        <v>34</v>
      </c>
      <c r="C3" s="52" t="s">
        <v>170</v>
      </c>
      <c r="D3" s="51">
        <v>401</v>
      </c>
      <c r="E3" s="23"/>
      <c r="F3" s="23">
        <v>100</v>
      </c>
      <c r="G3" s="23" t="s">
        <v>168</v>
      </c>
      <c r="H3" s="23" t="s">
        <v>169</v>
      </c>
    </row>
    <row r="4" spans="1:8" ht="16.5">
      <c r="A4" s="23"/>
      <c r="B4" s="23" t="s">
        <v>171</v>
      </c>
      <c r="C4" s="52" t="s">
        <v>30</v>
      </c>
      <c r="D4" s="51">
        <v>602</v>
      </c>
      <c r="E4" s="23"/>
      <c r="F4" s="23"/>
      <c r="G4" s="23" t="s">
        <v>172</v>
      </c>
      <c r="H4" s="23"/>
    </row>
    <row r="5" spans="1:8" ht="16.5" hidden="1">
      <c r="A5" s="23"/>
      <c r="B5" s="23" t="s">
        <v>173</v>
      </c>
      <c r="C5" s="52" t="s">
        <v>174</v>
      </c>
      <c r="D5" s="23"/>
      <c r="E5" s="23"/>
      <c r="F5" s="23"/>
      <c r="G5" s="23" t="s">
        <v>168</v>
      </c>
      <c r="H5" s="23"/>
    </row>
    <row r="6" spans="1:8" ht="16.5" hidden="1">
      <c r="A6" s="23"/>
      <c r="B6" s="23" t="s">
        <v>34</v>
      </c>
      <c r="C6" s="52" t="s">
        <v>175</v>
      </c>
      <c r="D6" s="51">
        <v>501</v>
      </c>
      <c r="E6" s="51"/>
      <c r="F6" s="23">
        <v>100</v>
      </c>
      <c r="G6" s="23" t="s">
        <v>168</v>
      </c>
      <c r="H6" s="23" t="s">
        <v>169</v>
      </c>
    </row>
    <row r="7" spans="1:8" ht="16.5" hidden="1">
      <c r="A7" s="23"/>
      <c r="B7" s="23" t="s">
        <v>34</v>
      </c>
      <c r="C7" s="52" t="s">
        <v>174</v>
      </c>
      <c r="D7" s="23">
        <v>301</v>
      </c>
      <c r="E7" s="23"/>
      <c r="F7" s="23">
        <v>200</v>
      </c>
      <c r="G7" s="23" t="s">
        <v>168</v>
      </c>
      <c r="H7" s="23" t="s">
        <v>176</v>
      </c>
    </row>
    <row r="8" spans="1:8" ht="16.5" hidden="1">
      <c r="A8" s="23"/>
      <c r="B8" s="23" t="s">
        <v>177</v>
      </c>
      <c r="C8" s="52" t="s">
        <v>174</v>
      </c>
      <c r="D8" s="23">
        <v>402</v>
      </c>
      <c r="E8" s="23">
        <v>60</v>
      </c>
      <c r="F8" s="23"/>
      <c r="G8" s="23" t="s">
        <v>168</v>
      </c>
      <c r="H8" s="23"/>
    </row>
    <row r="9" spans="1:8" ht="16.5" hidden="1">
      <c r="A9" s="23"/>
      <c r="B9" s="23" t="s">
        <v>178</v>
      </c>
      <c r="C9" s="52" t="s">
        <v>175</v>
      </c>
      <c r="D9" s="51"/>
      <c r="E9" s="51">
        <v>250</v>
      </c>
      <c r="F9" s="23"/>
      <c r="G9" s="23" t="s">
        <v>168</v>
      </c>
      <c r="H9" s="23"/>
    </row>
    <row r="10" spans="1:8" ht="16.5" hidden="1">
      <c r="A10" s="23"/>
      <c r="B10" s="23" t="s">
        <v>179</v>
      </c>
      <c r="C10" s="52" t="s">
        <v>180</v>
      </c>
      <c r="D10" s="51">
        <v>102</v>
      </c>
      <c r="E10" s="23">
        <v>80</v>
      </c>
      <c r="F10" s="23"/>
      <c r="G10" s="23" t="s">
        <v>168</v>
      </c>
      <c r="H10" s="23" t="s">
        <v>181</v>
      </c>
    </row>
    <row r="11" spans="1:8" ht="16.5" hidden="1">
      <c r="A11" s="23"/>
      <c r="B11" s="23" t="s">
        <v>182</v>
      </c>
      <c r="C11" s="52" t="s">
        <v>167</v>
      </c>
      <c r="D11" s="51">
        <v>201</v>
      </c>
      <c r="E11" s="23">
        <v>80</v>
      </c>
      <c r="F11" s="23"/>
      <c r="G11" s="23" t="s">
        <v>168</v>
      </c>
      <c r="H11" s="23" t="s">
        <v>169</v>
      </c>
    </row>
    <row r="12" spans="1:8" ht="16.5" hidden="1">
      <c r="A12" s="23"/>
      <c r="B12" s="51" t="s">
        <v>183</v>
      </c>
      <c r="C12" s="52" t="s">
        <v>184</v>
      </c>
      <c r="D12" s="23"/>
      <c r="E12" s="23"/>
      <c r="F12" s="23"/>
      <c r="G12" s="23"/>
      <c r="H12" s="23"/>
    </row>
    <row r="13" spans="1:8" ht="16.5" hidden="1">
      <c r="A13" s="23"/>
      <c r="B13" s="23" t="s">
        <v>185</v>
      </c>
      <c r="C13" s="52" t="s">
        <v>170</v>
      </c>
      <c r="D13" s="51">
        <v>401</v>
      </c>
      <c r="E13" s="23">
        <v>50</v>
      </c>
      <c r="F13" s="23"/>
      <c r="G13" s="23" t="s">
        <v>168</v>
      </c>
      <c r="H13" s="23" t="s">
        <v>181</v>
      </c>
    </row>
    <row r="14" spans="1:8" ht="16.5" hidden="1">
      <c r="A14" s="23"/>
      <c r="B14" s="23" t="s">
        <v>186</v>
      </c>
      <c r="C14" s="52" t="s">
        <v>187</v>
      </c>
      <c r="D14" s="23">
        <v>101</v>
      </c>
      <c r="E14" s="23">
        <v>150</v>
      </c>
      <c r="F14" s="23"/>
      <c r="G14" s="23" t="s">
        <v>168</v>
      </c>
      <c r="H14" s="23" t="s">
        <v>181</v>
      </c>
    </row>
    <row r="15" spans="1:8" ht="16.5" hidden="1">
      <c r="A15" s="23"/>
      <c r="B15" s="23" t="s">
        <v>188</v>
      </c>
      <c r="C15" s="52" t="s">
        <v>174</v>
      </c>
      <c r="D15" s="23"/>
      <c r="E15" s="23">
        <v>25</v>
      </c>
      <c r="F15" s="23"/>
      <c r="G15" s="23" t="s">
        <v>168</v>
      </c>
      <c r="H15" s="23"/>
    </row>
    <row r="16" spans="1:8" ht="16.5">
      <c r="A16" s="23"/>
      <c r="B16" s="23" t="s">
        <v>189</v>
      </c>
      <c r="C16" s="52" t="s">
        <v>30</v>
      </c>
      <c r="D16" s="51"/>
      <c r="E16" s="23">
        <v>132</v>
      </c>
      <c r="F16" s="23"/>
      <c r="G16" s="23" t="s">
        <v>168</v>
      </c>
      <c r="H16" s="23"/>
    </row>
    <row r="17" spans="1:13" ht="16.5" hidden="1">
      <c r="A17" s="23"/>
      <c r="B17" s="23" t="s">
        <v>190</v>
      </c>
      <c r="C17" s="52" t="s">
        <v>44</v>
      </c>
      <c r="D17" s="23"/>
      <c r="E17" s="23">
        <v>170</v>
      </c>
      <c r="F17" s="23"/>
      <c r="G17" s="23" t="s">
        <v>168</v>
      </c>
      <c r="H17" s="23"/>
    </row>
    <row r="18" spans="1:13" ht="16.5">
      <c r="A18" s="23"/>
      <c r="B18" s="23" t="s">
        <v>191</v>
      </c>
      <c r="C18" s="52" t="s">
        <v>30</v>
      </c>
      <c r="D18" s="51">
        <v>403</v>
      </c>
      <c r="E18" s="23">
        <v>30</v>
      </c>
      <c r="F18" s="23"/>
      <c r="G18" s="23" t="s">
        <v>168</v>
      </c>
      <c r="H18" s="23"/>
    </row>
    <row r="19" spans="1:13" ht="16.5" hidden="1">
      <c r="A19" s="23"/>
      <c r="B19" s="23" t="s">
        <v>192</v>
      </c>
      <c r="C19" s="52" t="s">
        <v>170</v>
      </c>
      <c r="D19" s="51">
        <v>401</v>
      </c>
      <c r="E19" s="23">
        <v>140</v>
      </c>
      <c r="F19" s="23"/>
      <c r="G19" s="23" t="s">
        <v>168</v>
      </c>
      <c r="H19" s="23"/>
      <c r="M19" s="24" t="s">
        <v>197</v>
      </c>
    </row>
    <row r="20" spans="1:13" ht="16.5" hidden="1">
      <c r="A20" s="23"/>
      <c r="B20" s="23" t="s">
        <v>193</v>
      </c>
      <c r="C20" s="52" t="s">
        <v>170</v>
      </c>
      <c r="D20" s="51">
        <v>102</v>
      </c>
      <c r="E20" s="23">
        <v>35</v>
      </c>
      <c r="F20" s="23"/>
      <c r="G20" s="23" t="s">
        <v>168</v>
      </c>
      <c r="H20" s="23"/>
    </row>
    <row r="21" spans="1:13" ht="16.5" hidden="1">
      <c r="A21" s="23"/>
      <c r="B21" s="23" t="s">
        <v>194</v>
      </c>
      <c r="C21" s="52" t="s">
        <v>187</v>
      </c>
      <c r="D21" s="23">
        <v>101</v>
      </c>
      <c r="E21" s="23">
        <v>230</v>
      </c>
      <c r="F21" s="23"/>
      <c r="G21" s="23" t="s">
        <v>168</v>
      </c>
      <c r="H21" s="23" t="s">
        <v>195</v>
      </c>
    </row>
    <row r="22" spans="1:13" ht="16.5" hidden="1">
      <c r="A22" s="23"/>
      <c r="B22" s="25" t="s">
        <v>196</v>
      </c>
      <c r="C22" s="25"/>
      <c r="D22" s="25"/>
      <c r="E22" s="25">
        <f>SUM(E2:E21)</f>
        <v>1432</v>
      </c>
      <c r="F22" s="25">
        <f>SUM(F2:F21)</f>
        <v>700</v>
      </c>
      <c r="G22" s="25"/>
      <c r="H22" s="25"/>
    </row>
    <row r="23" spans="1:13">
      <c r="D23" s="5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D464-E6D4-4C97-8584-7F2852357F77}">
  <sheetPr codeName="Sheet5"/>
  <dimension ref="A1:G49"/>
  <sheetViews>
    <sheetView workbookViewId="0">
      <selection activeCell="D19" sqref="D19"/>
    </sheetView>
  </sheetViews>
  <sheetFormatPr defaultColWidth="8.81640625" defaultRowHeight="14"/>
  <cols>
    <col min="1" max="1" width="9.90625" style="21" customWidth="1"/>
    <col min="2" max="2" width="10.36328125" style="7" customWidth="1"/>
    <col min="3" max="3" width="12.81640625" style="7" customWidth="1"/>
    <col min="4" max="4" width="45.6328125" style="7" customWidth="1"/>
    <col min="5" max="6" width="16.6328125" style="15" customWidth="1"/>
    <col min="7" max="7" width="34.81640625" style="7" customWidth="1"/>
    <col min="8" max="16384" width="8.81640625" style="7"/>
  </cols>
  <sheetData>
    <row r="1" spans="1:7" ht="24.5" customHeight="1">
      <c r="A1" s="255" t="s">
        <v>225</v>
      </c>
      <c r="B1" s="256"/>
      <c r="C1" s="256"/>
      <c r="D1" s="256"/>
      <c r="E1" s="256"/>
      <c r="F1" s="256"/>
      <c r="G1" s="257"/>
    </row>
    <row r="2" spans="1:7" ht="28" customHeight="1">
      <c r="A2" s="20" t="s">
        <v>1</v>
      </c>
      <c r="B2" s="3" t="s">
        <v>2</v>
      </c>
      <c r="C2" s="3" t="s">
        <v>3</v>
      </c>
      <c r="D2" s="3" t="s">
        <v>4</v>
      </c>
      <c r="E2" s="5" t="s">
        <v>5</v>
      </c>
      <c r="F2" s="5" t="s">
        <v>6</v>
      </c>
      <c r="G2" s="3" t="s">
        <v>7</v>
      </c>
    </row>
    <row r="3" spans="1:7" ht="28" customHeight="1">
      <c r="A3" s="70"/>
      <c r="B3" s="71"/>
      <c r="C3" s="71"/>
      <c r="D3" s="71"/>
      <c r="E3" s="72">
        <f>SUBTOTAL(109,E4:E47)</f>
        <v>2900000</v>
      </c>
      <c r="F3" s="72">
        <f>SUBTOTAL(109,F4:F47)</f>
        <v>3920000</v>
      </c>
      <c r="G3" s="71"/>
    </row>
    <row r="4" spans="1:7" s="59" customFormat="1" ht="19.5" customHeight="1">
      <c r="A4" s="65">
        <v>46048</v>
      </c>
      <c r="B4" s="54" t="s">
        <v>55</v>
      </c>
      <c r="C4" s="59">
        <v>304</v>
      </c>
      <c r="D4" s="59" t="s">
        <v>258</v>
      </c>
      <c r="E4" s="66"/>
      <c r="F4" s="66">
        <v>50000</v>
      </c>
    </row>
    <row r="5" spans="1:7" s="59" customFormat="1" ht="19.5" customHeight="1">
      <c r="A5" s="65">
        <v>46050</v>
      </c>
      <c r="B5" s="54" t="s">
        <v>61</v>
      </c>
      <c r="D5" s="59" t="s">
        <v>259</v>
      </c>
      <c r="E5" s="66"/>
      <c r="F5" s="66">
        <v>80000</v>
      </c>
    </row>
    <row r="6" spans="1:7" s="59" customFormat="1" ht="19.5" customHeight="1">
      <c r="A6" s="65" t="s">
        <v>260</v>
      </c>
      <c r="B6" s="54" t="s">
        <v>261</v>
      </c>
      <c r="C6" s="59">
        <v>101</v>
      </c>
      <c r="D6" s="59" t="s">
        <v>262</v>
      </c>
      <c r="E6" s="66">
        <v>500000</v>
      </c>
      <c r="F6" s="66">
        <v>350000</v>
      </c>
      <c r="G6" s="59" t="s">
        <v>263</v>
      </c>
    </row>
    <row r="7" spans="1:7" s="59" customFormat="1" ht="19.5" customHeight="1">
      <c r="A7" s="65"/>
      <c r="C7" s="59">
        <v>201</v>
      </c>
      <c r="D7" s="59" t="s">
        <v>264</v>
      </c>
      <c r="E7" s="66"/>
      <c r="F7" s="66">
        <v>165000</v>
      </c>
      <c r="G7" s="59" t="s">
        <v>265</v>
      </c>
    </row>
    <row r="8" spans="1:7" s="59" customFormat="1" ht="19.5" customHeight="1">
      <c r="A8" s="65">
        <v>46052</v>
      </c>
      <c r="B8" s="54" t="s">
        <v>35</v>
      </c>
      <c r="C8" s="59">
        <v>201</v>
      </c>
      <c r="D8" s="59" t="s">
        <v>266</v>
      </c>
      <c r="E8" s="66"/>
      <c r="F8" s="66">
        <v>85000</v>
      </c>
      <c r="G8" s="59" t="s">
        <v>267</v>
      </c>
    </row>
    <row r="9" spans="1:7" s="59" customFormat="1" ht="19.5" customHeight="1">
      <c r="A9" s="65"/>
      <c r="B9" s="54" t="s">
        <v>268</v>
      </c>
      <c r="C9" s="59">
        <v>301</v>
      </c>
      <c r="D9" s="59" t="s">
        <v>34</v>
      </c>
      <c r="E9" s="66">
        <v>100000</v>
      </c>
      <c r="F9" s="66"/>
    </row>
    <row r="10" spans="1:7" s="59" customFormat="1" ht="19.5" customHeight="1">
      <c r="A10" s="65"/>
      <c r="B10" s="54" t="s">
        <v>240</v>
      </c>
      <c r="C10" s="59">
        <v>101</v>
      </c>
      <c r="D10" s="59" t="s">
        <v>269</v>
      </c>
      <c r="E10" s="66"/>
      <c r="F10" s="66">
        <v>175000</v>
      </c>
    </row>
    <row r="11" spans="1:7" s="59" customFormat="1" ht="19.5" customHeight="1">
      <c r="A11" s="65">
        <v>45688</v>
      </c>
      <c r="B11" s="54" t="s">
        <v>61</v>
      </c>
      <c r="C11" s="59">
        <v>503</v>
      </c>
      <c r="D11" s="59" t="s">
        <v>270</v>
      </c>
      <c r="E11" s="66"/>
      <c r="F11" s="66">
        <v>15000</v>
      </c>
    </row>
    <row r="12" spans="1:7" s="59" customFormat="1" ht="19.5" customHeight="1">
      <c r="A12" s="65"/>
      <c r="B12" s="54" t="s">
        <v>271</v>
      </c>
      <c r="C12" s="59">
        <v>201</v>
      </c>
      <c r="D12" s="59" t="s">
        <v>272</v>
      </c>
      <c r="E12" s="66"/>
      <c r="F12" s="66">
        <v>50000</v>
      </c>
    </row>
    <row r="13" spans="1:7" s="59" customFormat="1" ht="19.5" customHeight="1">
      <c r="A13" s="65"/>
      <c r="B13" s="54" t="s">
        <v>240</v>
      </c>
      <c r="C13" s="59">
        <v>404</v>
      </c>
      <c r="D13" s="59" t="s">
        <v>19</v>
      </c>
      <c r="E13" s="66">
        <v>200000</v>
      </c>
      <c r="F13" s="66"/>
    </row>
    <row r="14" spans="1:7" s="59" customFormat="1" ht="19.5" customHeight="1">
      <c r="A14" s="65"/>
      <c r="D14" s="59" t="s">
        <v>34</v>
      </c>
      <c r="E14" s="66">
        <v>100000</v>
      </c>
      <c r="F14" s="66"/>
    </row>
    <row r="15" spans="1:7" s="59" customFormat="1" ht="19.5" customHeight="1">
      <c r="A15" s="65"/>
      <c r="B15" s="54" t="s">
        <v>240</v>
      </c>
      <c r="D15" s="59" t="s">
        <v>273</v>
      </c>
      <c r="E15" s="66"/>
      <c r="F15" s="66">
        <v>135000</v>
      </c>
    </row>
    <row r="16" spans="1:7" s="59" customFormat="1" ht="19.5" customHeight="1">
      <c r="A16" s="65"/>
      <c r="B16" s="54" t="s">
        <v>55</v>
      </c>
      <c r="D16" s="59" t="s">
        <v>274</v>
      </c>
      <c r="E16" s="66"/>
      <c r="F16" s="66">
        <v>110000</v>
      </c>
    </row>
    <row r="17" spans="1:7" s="59" customFormat="1" ht="19.5" customHeight="1">
      <c r="A17" s="65"/>
      <c r="B17" s="54" t="s">
        <v>61</v>
      </c>
      <c r="C17" s="59">
        <v>401</v>
      </c>
      <c r="D17" s="59" t="s">
        <v>34</v>
      </c>
      <c r="E17" s="66">
        <v>100000</v>
      </c>
      <c r="F17" s="66"/>
    </row>
    <row r="18" spans="1:7" s="59" customFormat="1" ht="19.5" customHeight="1">
      <c r="A18" s="65">
        <v>46061</v>
      </c>
      <c r="B18" s="54" t="s">
        <v>226</v>
      </c>
      <c r="C18" s="59">
        <v>301</v>
      </c>
      <c r="D18" s="59" t="s">
        <v>227</v>
      </c>
      <c r="E18" s="66"/>
      <c r="F18" s="66">
        <v>95000</v>
      </c>
    </row>
    <row r="19" spans="1:7" s="59" customFormat="1" ht="19.5" customHeight="1">
      <c r="A19" s="65">
        <v>46062</v>
      </c>
      <c r="B19" s="54" t="s">
        <v>14</v>
      </c>
      <c r="D19" s="59" t="s">
        <v>228</v>
      </c>
      <c r="E19" s="66">
        <v>100000</v>
      </c>
      <c r="F19" s="66">
        <v>25000</v>
      </c>
    </row>
    <row r="20" spans="1:7" s="59" customFormat="1" ht="19.5" customHeight="1">
      <c r="A20" s="65">
        <v>46063</v>
      </c>
      <c r="B20" s="54" t="s">
        <v>64</v>
      </c>
      <c r="C20" s="59">
        <v>303</v>
      </c>
      <c r="D20" s="59" t="s">
        <v>19</v>
      </c>
      <c r="E20" s="66">
        <v>200000</v>
      </c>
      <c r="F20" s="66"/>
    </row>
    <row r="21" spans="1:7" s="59" customFormat="1" ht="19.5" customHeight="1">
      <c r="A21" s="65"/>
      <c r="D21" s="59" t="s">
        <v>206</v>
      </c>
      <c r="E21" s="66">
        <v>100000</v>
      </c>
      <c r="F21" s="66"/>
    </row>
    <row r="22" spans="1:7" s="59" customFormat="1">
      <c r="A22" s="65"/>
      <c r="B22" s="54" t="s">
        <v>149</v>
      </c>
      <c r="C22" s="59">
        <v>303</v>
      </c>
      <c r="D22" s="59" t="s">
        <v>206</v>
      </c>
      <c r="E22" s="66">
        <v>150000</v>
      </c>
      <c r="F22" s="66"/>
      <c r="G22" s="59" t="s">
        <v>229</v>
      </c>
    </row>
    <row r="23" spans="1:7" s="59" customFormat="1">
      <c r="A23" s="65">
        <v>46076</v>
      </c>
      <c r="B23" s="54" t="s">
        <v>25</v>
      </c>
      <c r="D23" s="59" t="s">
        <v>230</v>
      </c>
      <c r="E23" s="66"/>
      <c r="F23" s="66">
        <v>385000</v>
      </c>
    </row>
    <row r="24" spans="1:7" s="59" customFormat="1">
      <c r="A24" s="65"/>
      <c r="B24" s="54" t="s">
        <v>199</v>
      </c>
      <c r="D24" s="59" t="s">
        <v>232</v>
      </c>
      <c r="E24" s="66"/>
      <c r="F24" s="66">
        <v>460000</v>
      </c>
      <c r="G24" s="59" t="s">
        <v>231</v>
      </c>
    </row>
    <row r="25" spans="1:7" s="59" customFormat="1">
      <c r="A25" s="65">
        <v>46077</v>
      </c>
      <c r="B25" s="54" t="s">
        <v>57</v>
      </c>
      <c r="C25" s="59" t="s">
        <v>233</v>
      </c>
      <c r="D25" s="59" t="s">
        <v>234</v>
      </c>
      <c r="E25" s="66">
        <v>100000</v>
      </c>
      <c r="F25" s="66"/>
      <c r="G25" s="59" t="s">
        <v>235</v>
      </c>
    </row>
    <row r="26" spans="1:7" s="59" customFormat="1">
      <c r="A26" s="65"/>
      <c r="D26" s="59" t="s">
        <v>236</v>
      </c>
      <c r="E26" s="66"/>
      <c r="F26" s="66">
        <v>30000</v>
      </c>
    </row>
    <row r="27" spans="1:7" s="59" customFormat="1">
      <c r="A27" s="65">
        <v>46078</v>
      </c>
      <c r="B27" s="54" t="s">
        <v>237</v>
      </c>
      <c r="D27" s="59" t="s">
        <v>81</v>
      </c>
      <c r="E27" s="66"/>
      <c r="F27" s="66">
        <v>95000</v>
      </c>
    </row>
    <row r="28" spans="1:7" s="59" customFormat="1">
      <c r="A28" s="65"/>
      <c r="B28" s="54" t="s">
        <v>238</v>
      </c>
      <c r="C28" s="59">
        <v>401</v>
      </c>
      <c r="D28" s="59" t="s">
        <v>19</v>
      </c>
      <c r="E28" s="66">
        <v>100000</v>
      </c>
      <c r="F28" s="66"/>
      <c r="G28" s="59" t="s">
        <v>239</v>
      </c>
    </row>
    <row r="29" spans="1:7" s="59" customFormat="1">
      <c r="A29" s="65">
        <v>46054</v>
      </c>
      <c r="B29" s="54" t="s">
        <v>80</v>
      </c>
      <c r="D29" s="59" t="s">
        <v>242</v>
      </c>
      <c r="E29" s="66">
        <v>50000</v>
      </c>
      <c r="F29" s="66">
        <v>50000</v>
      </c>
    </row>
    <row r="30" spans="1:7" s="59" customFormat="1">
      <c r="A30" s="65"/>
      <c r="D30" s="59" t="s">
        <v>243</v>
      </c>
      <c r="E30" s="66"/>
      <c r="F30" s="66">
        <v>80000</v>
      </c>
      <c r="G30" s="67"/>
    </row>
    <row r="31" spans="1:7" s="59" customFormat="1">
      <c r="A31" s="65">
        <v>46055</v>
      </c>
      <c r="B31" s="9" t="s">
        <v>61</v>
      </c>
      <c r="C31" s="59">
        <v>601</v>
      </c>
      <c r="D31" s="59" t="s">
        <v>206</v>
      </c>
      <c r="E31" s="66">
        <v>100000</v>
      </c>
      <c r="F31" s="66"/>
      <c r="G31" s="68"/>
    </row>
    <row r="32" spans="1:7" s="59" customFormat="1">
      <c r="A32" s="65"/>
      <c r="B32" s="54" t="s">
        <v>38</v>
      </c>
      <c r="C32" s="59">
        <v>501</v>
      </c>
      <c r="D32" s="59" t="s">
        <v>244</v>
      </c>
      <c r="E32" s="66"/>
      <c r="F32" s="66">
        <v>65000</v>
      </c>
    </row>
    <row r="33" spans="1:7" s="59" customFormat="1">
      <c r="A33" s="65"/>
      <c r="B33" s="54" t="s">
        <v>9</v>
      </c>
      <c r="C33" s="59">
        <v>503</v>
      </c>
      <c r="D33" s="59" t="s">
        <v>245</v>
      </c>
      <c r="E33" s="66">
        <v>100000</v>
      </c>
      <c r="F33" s="66">
        <v>38000</v>
      </c>
    </row>
    <row r="34" spans="1:7" s="59" customFormat="1">
      <c r="A34" s="65">
        <v>46056</v>
      </c>
      <c r="B34" s="54" t="s">
        <v>35</v>
      </c>
      <c r="C34" s="59">
        <v>202</v>
      </c>
      <c r="D34" s="59" t="s">
        <v>34</v>
      </c>
      <c r="E34" s="66">
        <v>100000</v>
      </c>
      <c r="F34" s="66"/>
    </row>
    <row r="35" spans="1:7" s="59" customFormat="1">
      <c r="A35" s="65">
        <v>46057</v>
      </c>
      <c r="B35" s="54" t="s">
        <v>64</v>
      </c>
      <c r="C35" s="59">
        <v>502</v>
      </c>
      <c r="D35" s="59" t="s">
        <v>19</v>
      </c>
      <c r="E35" s="66">
        <v>200000</v>
      </c>
      <c r="F35" s="66"/>
      <c r="G35" s="54" t="s">
        <v>246</v>
      </c>
    </row>
    <row r="36" spans="1:7" s="59" customFormat="1">
      <c r="A36" s="65"/>
      <c r="B36" s="54" t="s">
        <v>64</v>
      </c>
      <c r="C36" s="59">
        <v>303</v>
      </c>
      <c r="D36" s="59" t="s">
        <v>247</v>
      </c>
      <c r="E36" s="66"/>
      <c r="F36" s="66">
        <v>180000</v>
      </c>
    </row>
    <row r="37" spans="1:7" s="59" customFormat="1">
      <c r="A37" s="65"/>
      <c r="B37" s="54" t="s">
        <v>14</v>
      </c>
      <c r="C37" s="59">
        <v>201</v>
      </c>
      <c r="D37" s="59" t="s">
        <v>248</v>
      </c>
      <c r="E37" s="66"/>
      <c r="F37" s="66">
        <f>80000+112000</f>
        <v>192000</v>
      </c>
    </row>
    <row r="38" spans="1:7" s="59" customFormat="1">
      <c r="A38" s="65">
        <v>46058</v>
      </c>
      <c r="B38" s="54" t="s">
        <v>47</v>
      </c>
      <c r="D38" s="59" t="s">
        <v>249</v>
      </c>
      <c r="E38" s="66"/>
      <c r="F38" s="66">
        <v>350000</v>
      </c>
    </row>
    <row r="39" spans="1:7" s="59" customFormat="1">
      <c r="A39" s="65"/>
      <c r="D39" s="59" t="s">
        <v>250</v>
      </c>
      <c r="E39" s="66"/>
      <c r="F39" s="66">
        <v>160000</v>
      </c>
    </row>
    <row r="40" spans="1:7" s="59" customFormat="1">
      <c r="A40" s="65">
        <v>6</v>
      </c>
      <c r="B40" s="54" t="s">
        <v>61</v>
      </c>
      <c r="D40" s="59" t="s">
        <v>81</v>
      </c>
      <c r="E40" s="66"/>
      <c r="F40" s="66">
        <v>230000</v>
      </c>
    </row>
    <row r="41" spans="1:7" s="59" customFormat="1">
      <c r="A41" s="65"/>
      <c r="B41" s="54" t="s">
        <v>33</v>
      </c>
      <c r="C41" s="59">
        <v>204</v>
      </c>
      <c r="D41" s="59" t="s">
        <v>251</v>
      </c>
      <c r="E41" s="66"/>
      <c r="F41" s="66">
        <v>110000</v>
      </c>
    </row>
    <row r="42" spans="1:7" s="59" customFormat="1">
      <c r="A42" s="65"/>
      <c r="B42" s="54" t="s">
        <v>33</v>
      </c>
      <c r="C42" s="59">
        <v>204</v>
      </c>
      <c r="D42" s="59" t="s">
        <v>19</v>
      </c>
      <c r="E42" s="66">
        <v>200000</v>
      </c>
      <c r="F42" s="66"/>
      <c r="G42" s="59" t="s">
        <v>252</v>
      </c>
    </row>
    <row r="43" spans="1:7" s="59" customFormat="1">
      <c r="A43" s="65"/>
      <c r="D43" s="59" t="s">
        <v>206</v>
      </c>
      <c r="E43" s="66">
        <v>150000</v>
      </c>
      <c r="F43" s="66"/>
    </row>
    <row r="44" spans="1:7" s="59" customFormat="1">
      <c r="A44" s="65">
        <v>46060</v>
      </c>
      <c r="B44" s="54" t="s">
        <v>238</v>
      </c>
      <c r="C44" s="59">
        <v>402</v>
      </c>
      <c r="D44" s="59" t="s">
        <v>34</v>
      </c>
      <c r="E44" s="66">
        <v>150000</v>
      </c>
      <c r="F44" s="66"/>
      <c r="G44" s="59" t="s">
        <v>253</v>
      </c>
    </row>
    <row r="45" spans="1:7" s="59" customFormat="1">
      <c r="A45" s="65"/>
      <c r="D45" s="59" t="s">
        <v>254</v>
      </c>
      <c r="E45" s="66"/>
      <c r="F45" s="66">
        <v>50000</v>
      </c>
    </row>
    <row r="46" spans="1:7" s="59" customFormat="1">
      <c r="A46" s="65"/>
      <c r="B46" s="54" t="s">
        <v>255</v>
      </c>
      <c r="C46" s="59" t="s">
        <v>256</v>
      </c>
      <c r="D46" s="59" t="s">
        <v>206</v>
      </c>
      <c r="E46" s="66">
        <v>100000</v>
      </c>
      <c r="F46" s="66"/>
    </row>
    <row r="47" spans="1:7" s="59" customFormat="1">
      <c r="A47" s="65"/>
      <c r="B47" s="54" t="s">
        <v>33</v>
      </c>
      <c r="D47" s="59" t="s">
        <v>257</v>
      </c>
      <c r="E47" s="66"/>
      <c r="F47" s="66">
        <v>110000</v>
      </c>
    </row>
    <row r="48" spans="1:7" s="57" customFormat="1">
      <c r="A48" s="56"/>
      <c r="B48" s="28" t="s">
        <v>261</v>
      </c>
      <c r="C48" s="57">
        <v>201</v>
      </c>
      <c r="D48" s="57" t="s">
        <v>312</v>
      </c>
      <c r="E48" s="58"/>
      <c r="F48" s="58">
        <v>165000</v>
      </c>
    </row>
    <row r="49" spans="1:6" s="57" customFormat="1">
      <c r="A49" s="56"/>
      <c r="E49" s="58"/>
      <c r="F49" s="58"/>
    </row>
  </sheetData>
  <autoFilter ref="A2:G48" xr:uid="{1037D464-E6D4-4C97-8584-7F2852357F77}"/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4010-BCFE-4A7E-9A04-72EA5A17C0C6}">
  <sheetPr codeName="Sheet6"/>
  <dimension ref="A1:G53"/>
  <sheetViews>
    <sheetView workbookViewId="0">
      <selection activeCell="D19" sqref="D19"/>
    </sheetView>
  </sheetViews>
  <sheetFormatPr defaultRowHeight="14"/>
  <cols>
    <col min="1" max="1" width="8.90625" bestFit="1" customWidth="1"/>
    <col min="3" max="3" width="17.90625" customWidth="1"/>
    <col min="4" max="4" width="30.36328125" customWidth="1"/>
    <col min="5" max="5" width="17.1796875" customWidth="1"/>
    <col min="6" max="6" width="31.6328125" customWidth="1"/>
    <col min="7" max="7" width="22.90625" customWidth="1"/>
  </cols>
  <sheetData>
    <row r="1" spans="1:7" ht="24" customHeight="1">
      <c r="A1" s="255" t="s">
        <v>225</v>
      </c>
      <c r="B1" s="256"/>
      <c r="C1" s="256"/>
      <c r="D1" s="256"/>
      <c r="E1" s="256"/>
      <c r="F1" s="256"/>
      <c r="G1" s="257"/>
    </row>
    <row r="2" spans="1:7">
      <c r="A2" s="20" t="s">
        <v>1</v>
      </c>
      <c r="B2" s="3" t="s">
        <v>2</v>
      </c>
      <c r="C2" s="3" t="s">
        <v>3</v>
      </c>
      <c r="D2" s="3" t="s">
        <v>4</v>
      </c>
      <c r="E2" s="5" t="s">
        <v>5</v>
      </c>
      <c r="F2" s="5" t="s">
        <v>6</v>
      </c>
      <c r="G2" s="3" t="s">
        <v>7</v>
      </c>
    </row>
    <row r="3" spans="1:7">
      <c r="A3" s="70"/>
      <c r="B3" s="71"/>
      <c r="C3" s="71"/>
      <c r="D3" s="71"/>
      <c r="E3" s="72">
        <f>SUBTOTAL(109,E4:E32)</f>
        <v>3600000</v>
      </c>
      <c r="F3" s="72">
        <f>SUBTOTAL(109,F4:F32)</f>
        <v>2210000</v>
      </c>
      <c r="G3" s="3"/>
    </row>
    <row r="4" spans="1:7">
      <c r="A4" s="56">
        <v>46055</v>
      </c>
      <c r="B4" s="54" t="s">
        <v>275</v>
      </c>
      <c r="C4" s="57">
        <v>601</v>
      </c>
      <c r="D4" s="59" t="s">
        <v>34</v>
      </c>
      <c r="E4" s="58">
        <v>100000</v>
      </c>
      <c r="F4" s="58"/>
      <c r="G4" s="57"/>
    </row>
    <row r="5" spans="1:7">
      <c r="A5" s="56">
        <v>46056</v>
      </c>
      <c r="B5" s="54" t="s">
        <v>276</v>
      </c>
      <c r="C5" s="57">
        <v>101</v>
      </c>
      <c r="D5" s="59" t="s">
        <v>277</v>
      </c>
      <c r="E5" s="58">
        <v>200000</v>
      </c>
      <c r="F5" s="58"/>
      <c r="G5" s="57"/>
    </row>
    <row r="6" spans="1:7">
      <c r="A6" s="56">
        <v>46057</v>
      </c>
      <c r="B6" s="54" t="s">
        <v>278</v>
      </c>
      <c r="C6" s="57">
        <v>201</v>
      </c>
      <c r="D6" s="59" t="s">
        <v>241</v>
      </c>
      <c r="E6" s="58">
        <v>100000</v>
      </c>
      <c r="F6" s="58"/>
      <c r="G6" s="57"/>
    </row>
    <row r="7" spans="1:7">
      <c r="A7" s="56">
        <v>46057</v>
      </c>
      <c r="B7" s="54" t="s">
        <v>109</v>
      </c>
      <c r="C7" s="57">
        <v>402</v>
      </c>
      <c r="D7" s="59" t="s">
        <v>279</v>
      </c>
      <c r="E7" s="58">
        <v>200000</v>
      </c>
      <c r="F7" s="58"/>
      <c r="G7" s="57"/>
    </row>
    <row r="8" spans="1:7">
      <c r="A8" s="56">
        <v>46057</v>
      </c>
      <c r="B8" s="54" t="s">
        <v>280</v>
      </c>
      <c r="C8" s="57">
        <v>203</v>
      </c>
      <c r="D8" s="59" t="s">
        <v>34</v>
      </c>
      <c r="E8" s="58">
        <v>100000</v>
      </c>
      <c r="F8" s="58"/>
      <c r="G8" s="57"/>
    </row>
    <row r="9" spans="1:7">
      <c r="A9" s="56">
        <v>46057</v>
      </c>
      <c r="B9" s="54" t="s">
        <v>204</v>
      </c>
      <c r="C9" s="57">
        <v>402</v>
      </c>
      <c r="D9" s="59" t="s">
        <v>34</v>
      </c>
      <c r="E9" s="58">
        <v>100000</v>
      </c>
      <c r="F9" s="58"/>
      <c r="G9" s="57"/>
    </row>
    <row r="10" spans="1:7">
      <c r="A10" s="56">
        <v>46058</v>
      </c>
      <c r="B10" s="54" t="s">
        <v>146</v>
      </c>
      <c r="C10" s="57">
        <v>202</v>
      </c>
      <c r="D10" s="59" t="s">
        <v>34</v>
      </c>
      <c r="E10" s="58">
        <v>100000</v>
      </c>
      <c r="F10" s="58"/>
      <c r="G10" s="57"/>
    </row>
    <row r="11" spans="1:7">
      <c r="A11" s="56">
        <v>46058</v>
      </c>
      <c r="B11" s="54" t="s">
        <v>111</v>
      </c>
      <c r="C11" s="57">
        <v>302</v>
      </c>
      <c r="D11" s="59" t="s">
        <v>34</v>
      </c>
      <c r="E11" s="58">
        <v>100000</v>
      </c>
      <c r="F11" s="58"/>
      <c r="G11" s="57"/>
    </row>
    <row r="12" spans="1:7">
      <c r="A12" s="56">
        <v>46059</v>
      </c>
      <c r="B12" s="54" t="s">
        <v>103</v>
      </c>
      <c r="C12" s="57">
        <v>702</v>
      </c>
      <c r="D12" s="59" t="s">
        <v>34</v>
      </c>
      <c r="E12" s="58">
        <v>200000</v>
      </c>
      <c r="F12" s="58"/>
      <c r="G12" s="59" t="s">
        <v>283</v>
      </c>
    </row>
    <row r="13" spans="1:7">
      <c r="A13" s="56">
        <v>46059</v>
      </c>
      <c r="B13" s="54" t="s">
        <v>103</v>
      </c>
      <c r="C13" s="57">
        <v>702</v>
      </c>
      <c r="D13" s="59" t="s">
        <v>19</v>
      </c>
      <c r="E13" s="58">
        <v>200000</v>
      </c>
      <c r="F13" s="58"/>
      <c r="G13" s="54" t="s">
        <v>284</v>
      </c>
    </row>
    <row r="14" spans="1:7">
      <c r="A14" s="56">
        <v>46060</v>
      </c>
      <c r="B14" s="54" t="s">
        <v>133</v>
      </c>
      <c r="C14" s="57">
        <v>302</v>
      </c>
      <c r="D14" s="59" t="s">
        <v>34</v>
      </c>
      <c r="E14" s="58">
        <v>100000</v>
      </c>
      <c r="F14" s="58"/>
      <c r="G14" s="57"/>
    </row>
    <row r="15" spans="1:7">
      <c r="A15" s="56">
        <v>46060</v>
      </c>
      <c r="B15" s="54" t="s">
        <v>133</v>
      </c>
      <c r="C15" s="57">
        <v>402</v>
      </c>
      <c r="D15" s="59" t="s">
        <v>34</v>
      </c>
      <c r="E15" s="58">
        <v>150000</v>
      </c>
      <c r="F15" s="58"/>
      <c r="G15" s="57"/>
    </row>
    <row r="16" spans="1:7">
      <c r="A16" s="56">
        <v>46060</v>
      </c>
      <c r="B16" s="54" t="s">
        <v>281</v>
      </c>
      <c r="C16" s="57">
        <v>303</v>
      </c>
      <c r="D16" s="59" t="s">
        <v>34</v>
      </c>
      <c r="E16" s="58">
        <v>100000</v>
      </c>
      <c r="F16" s="58"/>
      <c r="G16" s="57"/>
    </row>
    <row r="17" spans="1:7">
      <c r="A17" s="56">
        <v>46061</v>
      </c>
      <c r="B17" s="54" t="s">
        <v>111</v>
      </c>
      <c r="C17" s="57">
        <v>502</v>
      </c>
      <c r="D17" s="59" t="s">
        <v>34</v>
      </c>
      <c r="E17" s="58">
        <v>150000</v>
      </c>
      <c r="F17" s="58"/>
      <c r="G17" s="57" t="s">
        <v>283</v>
      </c>
    </row>
    <row r="18" spans="1:7">
      <c r="A18" s="56"/>
      <c r="B18" s="54" t="s">
        <v>111</v>
      </c>
      <c r="C18" s="57">
        <v>203</v>
      </c>
      <c r="D18" s="59" t="s">
        <v>34</v>
      </c>
      <c r="E18" s="58">
        <v>150000</v>
      </c>
      <c r="F18" s="58"/>
      <c r="G18" s="57"/>
    </row>
    <row r="19" spans="1:7">
      <c r="A19" s="56"/>
      <c r="B19" s="54" t="s">
        <v>282</v>
      </c>
      <c r="C19" s="57">
        <v>402</v>
      </c>
      <c r="D19" s="59" t="s">
        <v>208</v>
      </c>
      <c r="E19" s="58"/>
      <c r="F19" s="58">
        <v>1350000</v>
      </c>
      <c r="G19" s="57"/>
    </row>
    <row r="20" spans="1:7">
      <c r="A20" s="56"/>
      <c r="B20" s="28" t="s">
        <v>282</v>
      </c>
      <c r="C20" s="57"/>
      <c r="D20" s="57" t="s">
        <v>285</v>
      </c>
      <c r="E20" s="58"/>
      <c r="F20" s="58">
        <v>50000</v>
      </c>
      <c r="G20" s="57"/>
    </row>
    <row r="21" spans="1:7">
      <c r="A21" s="56">
        <v>46062</v>
      </c>
      <c r="B21" s="28" t="s">
        <v>111</v>
      </c>
      <c r="C21" s="57"/>
      <c r="D21" s="57" t="s">
        <v>286</v>
      </c>
      <c r="E21" s="58">
        <v>100000</v>
      </c>
      <c r="F21" s="58"/>
      <c r="G21" s="57"/>
    </row>
    <row r="22" spans="1:7">
      <c r="A22" s="56"/>
      <c r="B22" s="28" t="s">
        <v>111</v>
      </c>
      <c r="C22" s="57"/>
      <c r="D22" s="57" t="s">
        <v>287</v>
      </c>
      <c r="E22" s="58"/>
      <c r="F22" s="58">
        <v>110000</v>
      </c>
      <c r="G22" s="57"/>
    </row>
    <row r="23" spans="1:7">
      <c r="A23" s="56"/>
      <c r="B23" s="28" t="s">
        <v>209</v>
      </c>
      <c r="C23" s="57">
        <v>202</v>
      </c>
      <c r="D23" s="57" t="s">
        <v>288</v>
      </c>
      <c r="E23" s="58">
        <v>150000</v>
      </c>
      <c r="F23" s="58">
        <v>700000</v>
      </c>
      <c r="G23" s="57"/>
    </row>
    <row r="24" spans="1:7">
      <c r="A24" s="56">
        <v>46063</v>
      </c>
      <c r="B24" s="28" t="s">
        <v>289</v>
      </c>
      <c r="C24" s="57">
        <v>402</v>
      </c>
      <c r="D24" s="57" t="s">
        <v>34</v>
      </c>
      <c r="E24" s="58">
        <v>400000</v>
      </c>
      <c r="F24" s="58"/>
      <c r="G24" s="57" t="s">
        <v>290</v>
      </c>
    </row>
    <row r="25" spans="1:7">
      <c r="A25" s="56"/>
      <c r="B25" s="28" t="s">
        <v>289</v>
      </c>
      <c r="C25" s="57">
        <v>402</v>
      </c>
      <c r="D25" s="59" t="s">
        <v>291</v>
      </c>
      <c r="E25" s="58">
        <v>300000</v>
      </c>
      <c r="F25" s="58"/>
      <c r="G25" s="77" t="s">
        <v>292</v>
      </c>
    </row>
    <row r="26" spans="1:7">
      <c r="A26" s="56"/>
      <c r="B26" s="28" t="s">
        <v>293</v>
      </c>
      <c r="C26" s="57">
        <v>103</v>
      </c>
      <c r="D26" s="59" t="s">
        <v>206</v>
      </c>
      <c r="E26" s="58">
        <v>100000</v>
      </c>
      <c r="F26" s="58"/>
      <c r="G26" s="60"/>
    </row>
    <row r="27" spans="1:7">
      <c r="A27" s="56"/>
      <c r="B27" s="28" t="s">
        <v>293</v>
      </c>
      <c r="C27" s="57">
        <v>103</v>
      </c>
      <c r="D27" s="57" t="s">
        <v>205</v>
      </c>
      <c r="E27" s="58">
        <v>150000</v>
      </c>
      <c r="F27" s="58"/>
      <c r="G27" s="28" t="s">
        <v>294</v>
      </c>
    </row>
    <row r="28" spans="1:7">
      <c r="A28" s="56"/>
      <c r="B28" s="57" t="s">
        <v>149</v>
      </c>
      <c r="C28" s="57">
        <v>303</v>
      </c>
      <c r="D28" s="57" t="s">
        <v>34</v>
      </c>
      <c r="E28" s="58">
        <v>150000</v>
      </c>
      <c r="F28" s="58"/>
      <c r="G28" s="57"/>
    </row>
    <row r="29" spans="1:7">
      <c r="A29" s="56"/>
      <c r="B29" s="28" t="s">
        <v>295</v>
      </c>
      <c r="C29" s="57">
        <v>105</v>
      </c>
      <c r="D29" s="57" t="s">
        <v>279</v>
      </c>
      <c r="E29" s="58">
        <v>200000</v>
      </c>
      <c r="F29" s="58"/>
      <c r="G29" s="57" t="s">
        <v>296</v>
      </c>
    </row>
    <row r="30" spans="1:7">
      <c r="A30" s="56"/>
      <c r="B30" s="57"/>
      <c r="C30" s="57"/>
      <c r="D30" s="57"/>
      <c r="E30" s="58"/>
      <c r="F30" s="58"/>
      <c r="G30" s="57"/>
    </row>
    <row r="31" spans="1:7">
      <c r="A31" s="56"/>
      <c r="B31" s="57"/>
      <c r="C31" s="57"/>
      <c r="D31" s="57"/>
      <c r="E31" s="58"/>
      <c r="F31" s="58"/>
      <c r="G31" s="57"/>
    </row>
    <row r="32" spans="1:7">
      <c r="A32" s="56"/>
      <c r="B32" s="57"/>
      <c r="C32" s="57"/>
      <c r="D32" s="57"/>
      <c r="E32" s="58"/>
      <c r="F32" s="58"/>
      <c r="G32" s="57"/>
    </row>
    <row r="33" spans="1:7">
      <c r="A33" s="56"/>
      <c r="B33" s="57"/>
      <c r="C33" s="57"/>
      <c r="D33" s="57"/>
      <c r="E33" s="58"/>
      <c r="F33" s="58"/>
      <c r="G33" s="57"/>
    </row>
    <row r="34" spans="1:7">
      <c r="A34" s="56"/>
      <c r="B34" s="57"/>
      <c r="C34" s="57"/>
      <c r="D34" s="57"/>
      <c r="E34" s="58"/>
      <c r="F34" s="58"/>
      <c r="G34" s="57"/>
    </row>
    <row r="35" spans="1:7">
      <c r="A35" s="56"/>
      <c r="B35" s="57"/>
      <c r="C35" s="57"/>
      <c r="D35" s="57"/>
      <c r="E35" s="58"/>
      <c r="F35" s="58"/>
      <c r="G35" s="57"/>
    </row>
    <row r="36" spans="1:7">
      <c r="A36" s="56"/>
      <c r="B36" s="57"/>
      <c r="C36" s="57"/>
      <c r="D36" s="57"/>
      <c r="E36" s="58"/>
      <c r="F36" s="58"/>
      <c r="G36" s="57"/>
    </row>
    <row r="37" spans="1:7">
      <c r="A37" s="56"/>
      <c r="B37" s="57"/>
      <c r="C37" s="57"/>
      <c r="D37" s="57"/>
      <c r="E37" s="58"/>
      <c r="F37" s="58"/>
      <c r="G37" s="57"/>
    </row>
    <row r="38" spans="1:7">
      <c r="A38" s="56"/>
      <c r="B38" s="57"/>
      <c r="C38" s="57"/>
      <c r="D38" s="57"/>
      <c r="E38" s="58"/>
      <c r="F38" s="58"/>
      <c r="G38" s="57"/>
    </row>
    <row r="39" spans="1:7">
      <c r="A39" s="56"/>
      <c r="B39" s="57"/>
      <c r="C39" s="57"/>
      <c r="D39" s="57"/>
      <c r="E39" s="58"/>
      <c r="F39" s="58"/>
      <c r="G39" s="57"/>
    </row>
    <row r="40" spans="1:7">
      <c r="A40" s="56"/>
      <c r="B40" s="57"/>
      <c r="C40" s="57"/>
      <c r="D40" s="57"/>
      <c r="E40" s="58"/>
      <c r="F40" s="58"/>
      <c r="G40" s="57"/>
    </row>
    <row r="41" spans="1:7">
      <c r="A41" s="56"/>
      <c r="B41" s="57"/>
      <c r="C41" s="57"/>
      <c r="D41" s="57"/>
      <c r="E41" s="58"/>
      <c r="F41" s="58"/>
      <c r="G41" s="57"/>
    </row>
    <row r="42" spans="1:7">
      <c r="A42" s="56"/>
      <c r="B42" s="57"/>
      <c r="C42" s="57"/>
      <c r="D42" s="57"/>
      <c r="E42" s="58"/>
      <c r="F42" s="58"/>
      <c r="G42" s="57"/>
    </row>
    <row r="43" spans="1:7">
      <c r="A43" s="56"/>
      <c r="B43" s="57"/>
      <c r="C43" s="57"/>
      <c r="D43" s="57"/>
      <c r="E43" s="58"/>
      <c r="F43" s="58"/>
      <c r="G43" s="61"/>
    </row>
    <row r="44" spans="1:7">
      <c r="A44" s="56"/>
      <c r="B44" s="57"/>
      <c r="C44" s="57"/>
      <c r="D44" s="57"/>
      <c r="E44" s="58"/>
      <c r="F44" s="58"/>
      <c r="G44" s="57"/>
    </row>
    <row r="45" spans="1:7">
      <c r="A45" s="56"/>
      <c r="B45" s="57"/>
      <c r="C45" s="57"/>
      <c r="D45" s="57"/>
      <c r="E45" s="58"/>
      <c r="F45" s="58"/>
      <c r="G45" s="57"/>
    </row>
    <row r="46" spans="1:7">
      <c r="A46" s="56"/>
      <c r="B46" s="57"/>
      <c r="C46" s="57"/>
      <c r="D46" s="57"/>
      <c r="E46" s="58"/>
      <c r="F46" s="58"/>
      <c r="G46" s="57"/>
    </row>
    <row r="47" spans="1:7">
      <c r="A47" s="56"/>
      <c r="B47" s="57"/>
      <c r="C47" s="57"/>
      <c r="D47" s="57"/>
      <c r="E47" s="58"/>
      <c r="F47" s="58"/>
      <c r="G47" s="61"/>
    </row>
    <row r="48" spans="1:7">
      <c r="A48" s="56"/>
      <c r="B48" s="57"/>
      <c r="C48" s="57"/>
      <c r="D48" s="57"/>
      <c r="E48" s="58"/>
      <c r="F48" s="58"/>
      <c r="G48" s="57"/>
    </row>
    <row r="49" spans="1:7">
      <c r="A49" s="56"/>
      <c r="B49" s="57"/>
      <c r="C49" s="57"/>
      <c r="D49" s="57"/>
      <c r="E49" s="58"/>
      <c r="F49" s="58"/>
      <c r="G49" s="57"/>
    </row>
    <row r="50" spans="1:7">
      <c r="A50" s="56"/>
      <c r="B50" s="57"/>
      <c r="C50" s="57"/>
      <c r="D50" s="57"/>
      <c r="E50" s="58"/>
      <c r="F50" s="58"/>
      <c r="G50" s="57"/>
    </row>
    <row r="51" spans="1:7">
      <c r="A51" s="56"/>
      <c r="B51" s="57"/>
      <c r="C51" s="57"/>
      <c r="D51" s="57"/>
      <c r="E51" s="58"/>
      <c r="F51" s="58"/>
      <c r="G51" s="57"/>
    </row>
    <row r="52" spans="1:7">
      <c r="A52" s="62"/>
      <c r="B52" s="63"/>
      <c r="C52" s="63"/>
      <c r="D52" s="63"/>
      <c r="E52" s="64"/>
      <c r="F52" s="64"/>
      <c r="G52" s="63"/>
    </row>
    <row r="53" spans="1:7">
      <c r="A53" s="69"/>
      <c r="B53" s="69"/>
      <c r="C53" s="69"/>
      <c r="D53" s="69"/>
      <c r="E53" s="69"/>
      <c r="F53" s="69"/>
      <c r="G53" s="69"/>
    </row>
  </sheetData>
  <autoFilter ref="A2:G29" xr:uid="{20124010-BCFE-4A7E-9A04-72EA5A17C0C6}"/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96E7-7181-4358-B3D0-7A3F60E6E230}">
  <sheetPr codeName="Sheet7"/>
  <dimension ref="A1:H22"/>
  <sheetViews>
    <sheetView zoomScale="69" workbookViewId="0">
      <selection activeCell="G68" sqref="G68"/>
    </sheetView>
  </sheetViews>
  <sheetFormatPr defaultColWidth="8.81640625" defaultRowHeight="14.5"/>
  <cols>
    <col min="1" max="1" width="12.36328125" style="75" customWidth="1"/>
    <col min="2" max="2" width="60.81640625" style="75" bestFit="1" customWidth="1"/>
    <col min="3" max="3" width="11.1796875" style="75" customWidth="1"/>
    <col min="4" max="4" width="10.1796875" style="75" customWidth="1"/>
    <col min="5" max="5" width="15.453125" style="75" bestFit="1" customWidth="1"/>
    <col min="6" max="6" width="13.6328125" style="75" bestFit="1" customWidth="1"/>
    <col min="7" max="7" width="10.1796875" style="75" customWidth="1"/>
    <col min="8" max="8" width="15.6328125" style="75" bestFit="1" customWidth="1"/>
    <col min="9" max="16384" width="8.81640625" style="75"/>
  </cols>
  <sheetData>
    <row r="1" spans="1:8" s="73" customFormat="1" ht="16.5">
      <c r="A1" s="73" t="s">
        <v>157</v>
      </c>
      <c r="B1" s="73" t="s">
        <v>158</v>
      </c>
      <c r="C1" s="73" t="s">
        <v>159</v>
      </c>
      <c r="D1" s="73" t="s">
        <v>160</v>
      </c>
      <c r="E1" s="73" t="s">
        <v>161</v>
      </c>
      <c r="F1" s="73" t="s">
        <v>162</v>
      </c>
      <c r="G1" s="73" t="s">
        <v>163</v>
      </c>
      <c r="H1" s="73" t="s">
        <v>164</v>
      </c>
    </row>
    <row r="2" spans="1:8" ht="16.5">
      <c r="A2" s="74" t="s">
        <v>297</v>
      </c>
      <c r="B2" s="74" t="s">
        <v>171</v>
      </c>
      <c r="C2" s="78" t="s">
        <v>170</v>
      </c>
      <c r="D2" s="74">
        <v>101</v>
      </c>
      <c r="E2" s="74"/>
      <c r="F2" s="74"/>
      <c r="G2" s="74" t="s">
        <v>172</v>
      </c>
      <c r="H2" s="74"/>
    </row>
    <row r="3" spans="1:8" ht="16.5">
      <c r="A3" s="74"/>
      <c r="B3" s="74" t="s">
        <v>298</v>
      </c>
      <c r="C3" s="78" t="s">
        <v>299</v>
      </c>
      <c r="D3" s="74">
        <v>201</v>
      </c>
      <c r="E3" s="74"/>
      <c r="F3" s="74"/>
      <c r="G3" s="74" t="s">
        <v>172</v>
      </c>
      <c r="H3" s="74"/>
    </row>
    <row r="4" spans="1:8" ht="16.5">
      <c r="A4" s="74"/>
      <c r="B4" s="74" t="s">
        <v>34</v>
      </c>
      <c r="C4" s="78" t="s">
        <v>300</v>
      </c>
      <c r="D4" s="74">
        <v>601</v>
      </c>
      <c r="E4" s="74"/>
      <c r="F4" s="74">
        <v>100</v>
      </c>
      <c r="G4" s="74" t="s">
        <v>168</v>
      </c>
      <c r="H4" s="74" t="s">
        <v>301</v>
      </c>
    </row>
    <row r="5" spans="1:8" ht="16.5">
      <c r="A5" s="74"/>
      <c r="B5" s="74" t="s">
        <v>302</v>
      </c>
      <c r="C5" s="78" t="s">
        <v>303</v>
      </c>
      <c r="D5" s="74"/>
      <c r="E5" s="74"/>
      <c r="F5" s="74"/>
      <c r="G5" s="74" t="s">
        <v>168</v>
      </c>
      <c r="H5" s="74"/>
    </row>
    <row r="6" spans="1:8" ht="16.5">
      <c r="A6" s="74"/>
      <c r="B6" s="74" t="s">
        <v>304</v>
      </c>
      <c r="C6" s="78" t="s">
        <v>12</v>
      </c>
      <c r="D6" s="74"/>
      <c r="E6" s="74">
        <v>10</v>
      </c>
      <c r="F6" s="74"/>
      <c r="G6" s="74" t="s">
        <v>168</v>
      </c>
      <c r="H6" s="74"/>
    </row>
    <row r="7" spans="1:8" ht="16.5">
      <c r="A7" s="74"/>
      <c r="B7" s="74" t="s">
        <v>305</v>
      </c>
      <c r="C7" s="78" t="s">
        <v>30</v>
      </c>
      <c r="D7" s="74">
        <v>203</v>
      </c>
      <c r="E7" s="74"/>
      <c r="F7" s="74">
        <v>40</v>
      </c>
      <c r="G7" s="74" t="s">
        <v>168</v>
      </c>
      <c r="H7" s="74" t="s">
        <v>301</v>
      </c>
    </row>
    <row r="8" spans="1:8" ht="16.5">
      <c r="A8" s="74"/>
      <c r="B8" s="74" t="s">
        <v>154</v>
      </c>
      <c r="C8" s="78" t="s">
        <v>180</v>
      </c>
      <c r="D8" s="74">
        <v>101</v>
      </c>
      <c r="E8" s="74"/>
      <c r="F8" s="74"/>
      <c r="G8" s="74" t="s">
        <v>172</v>
      </c>
      <c r="H8" s="74"/>
    </row>
    <row r="9" spans="1:8" ht="16.5">
      <c r="A9" s="74"/>
      <c r="B9" s="74" t="s">
        <v>306</v>
      </c>
      <c r="C9" s="78" t="s">
        <v>240</v>
      </c>
      <c r="D9" s="74">
        <v>101</v>
      </c>
      <c r="E9" s="74"/>
      <c r="F9" s="74"/>
      <c r="G9" s="74" t="s">
        <v>172</v>
      </c>
      <c r="H9" s="74"/>
    </row>
    <row r="10" spans="1:8" ht="16.5">
      <c r="A10" s="74"/>
      <c r="B10" s="74" t="s">
        <v>307</v>
      </c>
      <c r="C10" s="78" t="s">
        <v>299</v>
      </c>
      <c r="D10" s="74">
        <v>201</v>
      </c>
      <c r="E10" s="74"/>
      <c r="F10" s="74"/>
      <c r="G10" s="74" t="s">
        <v>172</v>
      </c>
      <c r="H10" s="74"/>
    </row>
    <row r="11" spans="1:8" ht="16.5">
      <c r="A11" s="74"/>
      <c r="B11" s="74" t="s">
        <v>308</v>
      </c>
      <c r="C11" s="78" t="s">
        <v>187</v>
      </c>
      <c r="D11" s="74"/>
      <c r="E11" s="74"/>
      <c r="F11" s="74"/>
      <c r="G11" s="74" t="s">
        <v>168</v>
      </c>
      <c r="H11" s="74"/>
    </row>
    <row r="12" spans="1:8" ht="16.5">
      <c r="A12" s="74"/>
      <c r="B12" s="74" t="s">
        <v>153</v>
      </c>
      <c r="C12" s="78" t="s">
        <v>170</v>
      </c>
      <c r="D12" s="74" t="s">
        <v>309</v>
      </c>
      <c r="E12" s="74"/>
      <c r="F12" s="74"/>
      <c r="G12" s="74" t="s">
        <v>172</v>
      </c>
      <c r="H12" s="74"/>
    </row>
    <row r="13" spans="1:8" ht="16.5">
      <c r="A13" s="74"/>
      <c r="B13" s="74" t="s">
        <v>310</v>
      </c>
      <c r="C13" s="78" t="s">
        <v>184</v>
      </c>
      <c r="D13" s="74">
        <v>602</v>
      </c>
      <c r="E13" s="74"/>
      <c r="F13" s="74"/>
      <c r="G13" s="74" t="s">
        <v>168</v>
      </c>
      <c r="H13" s="74"/>
    </row>
    <row r="14" spans="1:8" ht="16.5">
      <c r="A14" s="74"/>
      <c r="B14" s="74" t="s">
        <v>311</v>
      </c>
      <c r="C14" s="78" t="s">
        <v>170</v>
      </c>
      <c r="D14" s="74">
        <v>401</v>
      </c>
      <c r="E14" s="74">
        <v>315</v>
      </c>
      <c r="F14" s="74"/>
      <c r="G14" s="74" t="s">
        <v>168</v>
      </c>
      <c r="H14" s="74" t="s">
        <v>181</v>
      </c>
    </row>
    <row r="15" spans="1:8" ht="16.5">
      <c r="A15" s="74"/>
      <c r="B15" s="74"/>
      <c r="C15" s="74"/>
      <c r="D15" s="74"/>
      <c r="E15" s="74"/>
      <c r="F15" s="74"/>
      <c r="G15" s="74" t="s">
        <v>168</v>
      </c>
      <c r="H15" s="74"/>
    </row>
    <row r="16" spans="1:8" ht="16.5">
      <c r="A16" s="74"/>
      <c r="B16" s="74"/>
      <c r="C16" s="74"/>
      <c r="D16" s="74"/>
      <c r="E16" s="74"/>
      <c r="F16" s="74"/>
      <c r="G16" s="74" t="s">
        <v>168</v>
      </c>
      <c r="H16" s="74"/>
    </row>
    <row r="17" spans="1:8" ht="16.5">
      <c r="A17" s="74"/>
      <c r="B17" s="74"/>
      <c r="C17" s="74"/>
      <c r="D17" s="74"/>
      <c r="E17" s="74"/>
      <c r="F17" s="74"/>
      <c r="G17" s="74" t="s">
        <v>168</v>
      </c>
      <c r="H17" s="74"/>
    </row>
    <row r="18" spans="1:8" ht="16.5">
      <c r="A18" s="74"/>
      <c r="B18" s="74"/>
      <c r="C18" s="74"/>
      <c r="D18" s="74"/>
      <c r="E18" s="74"/>
      <c r="F18" s="74"/>
      <c r="G18" s="74" t="s">
        <v>168</v>
      </c>
      <c r="H18" s="74"/>
    </row>
    <row r="19" spans="1:8" ht="16.5">
      <c r="A19" s="74"/>
      <c r="B19" s="74"/>
      <c r="C19" s="74"/>
      <c r="D19" s="74"/>
      <c r="E19" s="74"/>
      <c r="F19" s="74"/>
      <c r="G19" s="74" t="s">
        <v>168</v>
      </c>
      <c r="H19" s="74"/>
    </row>
    <row r="20" spans="1:8" ht="16.5">
      <c r="A20" s="74"/>
      <c r="B20" s="74"/>
      <c r="C20" s="74"/>
      <c r="D20" s="74"/>
      <c r="E20" s="74"/>
      <c r="F20" s="74"/>
      <c r="G20" s="74" t="s">
        <v>168</v>
      </c>
      <c r="H20" s="74"/>
    </row>
    <row r="21" spans="1:8" ht="16.5">
      <c r="A21" s="74"/>
      <c r="B21" s="74"/>
      <c r="C21" s="74"/>
      <c r="D21" s="74"/>
      <c r="E21" s="74"/>
      <c r="F21" s="74"/>
      <c r="G21" s="74" t="s">
        <v>168</v>
      </c>
      <c r="H21" s="74"/>
    </row>
    <row r="22" spans="1:8" ht="16.5">
      <c r="A22" s="74"/>
      <c r="B22" s="76" t="s">
        <v>196</v>
      </c>
      <c r="C22" s="76"/>
      <c r="D22" s="76"/>
      <c r="E22" s="76">
        <f>SUM(E2:E21)</f>
        <v>325</v>
      </c>
      <c r="F22" s="76">
        <f>SUM(F2:F21)</f>
        <v>140</v>
      </c>
      <c r="G22" s="76"/>
      <c r="H22" s="7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26E1-0955-4C71-9A30-CC5011F28AC8}">
  <sheetPr codeName="Sheet8"/>
  <dimension ref="A1:H38"/>
  <sheetViews>
    <sheetView zoomScale="69" workbookViewId="0">
      <selection activeCell="G68" sqref="G68"/>
    </sheetView>
  </sheetViews>
  <sheetFormatPr defaultRowHeight="14.5"/>
  <cols>
    <col min="1" max="1" width="12.453125" style="99" customWidth="1"/>
    <col min="2" max="2" width="70.81640625" style="99" customWidth="1"/>
    <col min="3" max="3" width="11.1796875" style="99" customWidth="1"/>
    <col min="4" max="4" width="13.54296875" style="99" customWidth="1"/>
    <col min="5" max="5" width="15.453125" style="99" bestFit="1" customWidth="1"/>
    <col min="6" max="6" width="13.54296875" style="99" bestFit="1" customWidth="1"/>
    <col min="7" max="7" width="10.26953125" style="99" customWidth="1"/>
    <col min="8" max="8" width="15.54296875" style="99" bestFit="1" customWidth="1"/>
    <col min="9" max="16384" width="8.7265625" style="99"/>
  </cols>
  <sheetData>
    <row r="1" spans="1:8" s="97" customFormat="1" ht="16.5">
      <c r="A1" s="97" t="s">
        <v>157</v>
      </c>
      <c r="B1" s="97" t="s">
        <v>158</v>
      </c>
      <c r="C1" s="97" t="s">
        <v>159</v>
      </c>
      <c r="D1" s="97" t="s">
        <v>160</v>
      </c>
      <c r="E1" s="97" t="s">
        <v>161</v>
      </c>
      <c r="F1" s="97" t="s">
        <v>162</v>
      </c>
      <c r="G1" s="97" t="s">
        <v>163</v>
      </c>
      <c r="H1" s="97" t="s">
        <v>164</v>
      </c>
    </row>
    <row r="2" spans="1:8" ht="16.5" hidden="1">
      <c r="A2" s="98" t="s">
        <v>439</v>
      </c>
      <c r="B2" s="98" t="s">
        <v>440</v>
      </c>
      <c r="C2" s="103" t="s">
        <v>300</v>
      </c>
      <c r="D2" s="98"/>
      <c r="E2" s="98">
        <v>95</v>
      </c>
      <c r="F2" s="98"/>
      <c r="G2" s="98" t="s">
        <v>441</v>
      </c>
      <c r="H2" s="98"/>
    </row>
    <row r="3" spans="1:8" ht="16.5" hidden="1">
      <c r="A3" s="98"/>
      <c r="B3" s="98" t="s">
        <v>442</v>
      </c>
      <c r="C3" s="103" t="s">
        <v>443</v>
      </c>
      <c r="D3" s="98"/>
      <c r="E3" s="98">
        <v>375</v>
      </c>
      <c r="F3" s="98">
        <v>300</v>
      </c>
      <c r="G3" s="98" t="s">
        <v>441</v>
      </c>
      <c r="H3" s="98"/>
    </row>
    <row r="4" spans="1:8" ht="16.5" hidden="1">
      <c r="A4" s="98"/>
      <c r="B4" s="98" t="s">
        <v>444</v>
      </c>
      <c r="C4" s="103" t="s">
        <v>12</v>
      </c>
      <c r="D4" s="98">
        <v>404</v>
      </c>
      <c r="E4" s="98">
        <v>40</v>
      </c>
      <c r="F4" s="98"/>
      <c r="G4" s="98" t="s">
        <v>441</v>
      </c>
      <c r="H4" s="98"/>
    </row>
    <row r="5" spans="1:8" ht="16.5">
      <c r="A5" s="98"/>
      <c r="B5" s="98" t="s">
        <v>445</v>
      </c>
      <c r="C5" s="103" t="s">
        <v>446</v>
      </c>
      <c r="D5" s="98"/>
      <c r="E5" s="98">
        <v>170</v>
      </c>
      <c r="F5" s="98"/>
      <c r="G5" s="98" t="s">
        <v>168</v>
      </c>
      <c r="H5" s="98"/>
    </row>
    <row r="6" spans="1:8" ht="16.5" hidden="1">
      <c r="A6" s="98"/>
      <c r="B6" s="98" t="s">
        <v>447</v>
      </c>
      <c r="C6" s="103" t="s">
        <v>448</v>
      </c>
      <c r="D6" s="98">
        <v>401</v>
      </c>
      <c r="E6" s="98">
        <v>80</v>
      </c>
      <c r="F6" s="98"/>
      <c r="G6" s="98" t="s">
        <v>168</v>
      </c>
      <c r="H6" s="98"/>
    </row>
    <row r="7" spans="1:8" ht="16.5" hidden="1">
      <c r="A7" s="98"/>
      <c r="B7" s="98" t="s">
        <v>107</v>
      </c>
      <c r="C7" s="103" t="s">
        <v>170</v>
      </c>
      <c r="D7" s="98">
        <v>302</v>
      </c>
      <c r="E7" s="98">
        <v>145</v>
      </c>
      <c r="F7" s="98"/>
      <c r="G7" s="98" t="s">
        <v>168</v>
      </c>
      <c r="H7" s="98"/>
    </row>
    <row r="8" spans="1:8" ht="16.5" hidden="1">
      <c r="A8" s="98"/>
      <c r="B8" s="98" t="s">
        <v>449</v>
      </c>
      <c r="C8" s="103" t="s">
        <v>450</v>
      </c>
      <c r="D8" s="98">
        <v>601</v>
      </c>
      <c r="E8" s="98">
        <v>180</v>
      </c>
      <c r="F8" s="98">
        <v>100</v>
      </c>
      <c r="G8" s="98" t="s">
        <v>168</v>
      </c>
      <c r="H8" s="98"/>
    </row>
    <row r="9" spans="1:8" ht="16.5" hidden="1">
      <c r="A9" s="98"/>
      <c r="B9" s="98" t="s">
        <v>451</v>
      </c>
      <c r="C9" s="103" t="s">
        <v>452</v>
      </c>
      <c r="D9" s="98">
        <v>401</v>
      </c>
      <c r="E9" s="98">
        <v>440</v>
      </c>
      <c r="F9" s="98"/>
      <c r="G9" s="98" t="s">
        <v>441</v>
      </c>
      <c r="H9" s="98"/>
    </row>
    <row r="10" spans="1:8" ht="16.5" hidden="1">
      <c r="A10" s="98"/>
      <c r="B10" s="98" t="s">
        <v>453</v>
      </c>
      <c r="C10" s="103" t="s">
        <v>12</v>
      </c>
      <c r="D10" s="98"/>
      <c r="E10" s="98">
        <v>145</v>
      </c>
      <c r="F10" s="98"/>
      <c r="G10" s="98" t="s">
        <v>441</v>
      </c>
      <c r="H10" s="98"/>
    </row>
    <row r="11" spans="1:8" ht="16.5" hidden="1">
      <c r="A11" s="98"/>
      <c r="B11" s="98" t="s">
        <v>454</v>
      </c>
      <c r="C11" s="103" t="s">
        <v>184</v>
      </c>
      <c r="D11" s="98">
        <v>501</v>
      </c>
      <c r="E11" s="98">
        <v>30</v>
      </c>
      <c r="F11" s="98">
        <v>300</v>
      </c>
      <c r="G11" s="98" t="s">
        <v>441</v>
      </c>
      <c r="H11" s="98" t="s">
        <v>455</v>
      </c>
    </row>
    <row r="12" spans="1:8" ht="16.5" hidden="1">
      <c r="A12" s="98"/>
      <c r="B12" s="98" t="s">
        <v>34</v>
      </c>
      <c r="C12" s="103" t="s">
        <v>456</v>
      </c>
      <c r="D12" s="98">
        <v>301</v>
      </c>
      <c r="E12" s="98"/>
      <c r="F12" s="98">
        <v>100</v>
      </c>
      <c r="G12" s="98" t="s">
        <v>168</v>
      </c>
      <c r="H12" s="98"/>
    </row>
    <row r="13" spans="1:8" ht="16.5" hidden="1">
      <c r="A13" s="98"/>
      <c r="B13" s="98" t="s">
        <v>457</v>
      </c>
      <c r="C13" s="103" t="s">
        <v>180</v>
      </c>
      <c r="D13" s="98">
        <v>202</v>
      </c>
      <c r="E13" s="98">
        <v>40</v>
      </c>
      <c r="F13" s="98">
        <v>200</v>
      </c>
      <c r="G13" s="98" t="s">
        <v>441</v>
      </c>
      <c r="H13" s="98"/>
    </row>
    <row r="14" spans="1:8" ht="16.5" hidden="1">
      <c r="A14" s="98"/>
      <c r="B14" s="103" t="s">
        <v>34</v>
      </c>
      <c r="C14" s="103" t="s">
        <v>175</v>
      </c>
      <c r="D14" s="100">
        <v>401701</v>
      </c>
      <c r="E14" s="98"/>
      <c r="F14" s="98">
        <v>250</v>
      </c>
      <c r="G14" s="98" t="s">
        <v>168</v>
      </c>
      <c r="H14" s="98"/>
    </row>
    <row r="15" spans="1:8" ht="16.5" hidden="1">
      <c r="A15" s="98"/>
      <c r="B15" s="98" t="s">
        <v>458</v>
      </c>
      <c r="C15" s="103" t="s">
        <v>30</v>
      </c>
      <c r="D15" s="98"/>
      <c r="E15" s="98">
        <v>45</v>
      </c>
      <c r="F15" s="98"/>
      <c r="G15" s="98" t="s">
        <v>168</v>
      </c>
      <c r="H15" s="98"/>
    </row>
    <row r="16" spans="1:8" ht="16.5" hidden="1">
      <c r="A16" s="98"/>
      <c r="B16" s="98" t="s">
        <v>34</v>
      </c>
      <c r="C16" s="103" t="s">
        <v>456</v>
      </c>
      <c r="D16" s="98">
        <v>601</v>
      </c>
      <c r="E16" s="98"/>
      <c r="F16" s="98">
        <v>100</v>
      </c>
      <c r="G16" s="98" t="s">
        <v>168</v>
      </c>
      <c r="H16" s="98"/>
    </row>
    <row r="17" spans="1:8" ht="16.5" hidden="1">
      <c r="A17" s="98"/>
      <c r="B17" s="98" t="s">
        <v>459</v>
      </c>
      <c r="C17" s="103" t="s">
        <v>448</v>
      </c>
      <c r="D17" s="98"/>
      <c r="E17" s="98">
        <v>30</v>
      </c>
      <c r="F17" s="98">
        <v>300</v>
      </c>
      <c r="G17" s="98" t="s">
        <v>168</v>
      </c>
      <c r="H17" s="98"/>
    </row>
    <row r="18" spans="1:8" ht="16.5" hidden="1">
      <c r="A18" s="98"/>
      <c r="B18" s="98" t="s">
        <v>445</v>
      </c>
      <c r="C18" s="103" t="s">
        <v>448</v>
      </c>
      <c r="D18" s="98"/>
      <c r="E18" s="98">
        <v>55</v>
      </c>
      <c r="F18" s="98"/>
      <c r="G18" s="98" t="s">
        <v>168</v>
      </c>
      <c r="H18" s="98"/>
    </row>
    <row r="19" spans="1:8" ht="16.5" hidden="1">
      <c r="A19" s="98"/>
      <c r="B19" s="98" t="s">
        <v>19</v>
      </c>
      <c r="C19" s="103" t="s">
        <v>202</v>
      </c>
      <c r="D19" s="98">
        <v>601</v>
      </c>
      <c r="E19" s="98"/>
      <c r="F19" s="98">
        <v>100</v>
      </c>
      <c r="G19" s="98" t="s">
        <v>168</v>
      </c>
      <c r="H19" s="98"/>
    </row>
    <row r="20" spans="1:8" ht="16.5" hidden="1">
      <c r="A20" s="98"/>
      <c r="B20" s="98" t="s">
        <v>19</v>
      </c>
      <c r="C20" s="103" t="s">
        <v>180</v>
      </c>
      <c r="D20" s="98">
        <v>101</v>
      </c>
      <c r="E20" s="98"/>
      <c r="F20" s="98">
        <v>100</v>
      </c>
      <c r="G20" s="98" t="s">
        <v>168</v>
      </c>
      <c r="H20" s="98"/>
    </row>
    <row r="21" spans="1:8" ht="16.5" hidden="1">
      <c r="A21" s="98"/>
      <c r="B21" s="98" t="s">
        <v>460</v>
      </c>
      <c r="C21" s="103" t="s">
        <v>167</v>
      </c>
      <c r="D21" s="98">
        <v>201</v>
      </c>
      <c r="E21" s="98">
        <v>40</v>
      </c>
      <c r="F21" s="98"/>
      <c r="G21" s="98" t="s">
        <v>441</v>
      </c>
      <c r="H21" s="98"/>
    </row>
    <row r="22" spans="1:8" ht="16.5" hidden="1">
      <c r="A22" s="98"/>
      <c r="B22" s="98" t="s">
        <v>461</v>
      </c>
      <c r="C22" s="103" t="s">
        <v>167</v>
      </c>
      <c r="D22" s="98"/>
      <c r="E22" s="98">
        <v>50</v>
      </c>
      <c r="F22" s="98"/>
      <c r="G22" s="98" t="s">
        <v>441</v>
      </c>
      <c r="H22" s="98"/>
    </row>
    <row r="23" spans="1:8" ht="16.5" hidden="1">
      <c r="A23" s="98"/>
      <c r="B23" s="98" t="s">
        <v>462</v>
      </c>
      <c r="C23" s="103" t="s">
        <v>448</v>
      </c>
      <c r="D23" s="98"/>
      <c r="E23" s="98">
        <v>30</v>
      </c>
      <c r="F23" s="98">
        <v>100</v>
      </c>
      <c r="G23" s="98" t="s">
        <v>441</v>
      </c>
      <c r="H23" s="98"/>
    </row>
    <row r="24" spans="1:8" ht="16.5" hidden="1">
      <c r="A24" s="98"/>
      <c r="B24" s="98" t="s">
        <v>463</v>
      </c>
      <c r="C24" s="103" t="s">
        <v>448</v>
      </c>
      <c r="D24" s="98"/>
      <c r="E24" s="98">
        <v>789</v>
      </c>
      <c r="F24" s="98"/>
      <c r="G24" s="98" t="s">
        <v>168</v>
      </c>
      <c r="H24" s="98"/>
    </row>
    <row r="25" spans="1:8" ht="16.5" hidden="1">
      <c r="A25" s="98"/>
      <c r="B25" s="98" t="s">
        <v>464</v>
      </c>
      <c r="C25" s="103" t="s">
        <v>202</v>
      </c>
      <c r="D25" s="98"/>
      <c r="E25" s="98">
        <v>90</v>
      </c>
      <c r="F25" s="98"/>
      <c r="G25" s="98" t="s">
        <v>441</v>
      </c>
      <c r="H25" s="98"/>
    </row>
    <row r="26" spans="1:8" ht="16.5" hidden="1">
      <c r="A26" s="98"/>
      <c r="B26" s="98" t="s">
        <v>465</v>
      </c>
      <c r="C26" s="103" t="s">
        <v>12</v>
      </c>
      <c r="D26" s="98">
        <v>601</v>
      </c>
      <c r="E26" s="98">
        <v>30</v>
      </c>
      <c r="F26" s="98"/>
      <c r="G26" s="98" t="s">
        <v>441</v>
      </c>
      <c r="H26" s="98"/>
    </row>
    <row r="27" spans="1:8" ht="16.5" hidden="1">
      <c r="A27" s="98"/>
      <c r="B27" s="98" t="s">
        <v>466</v>
      </c>
      <c r="C27" s="103" t="s">
        <v>12</v>
      </c>
      <c r="D27" s="100">
        <v>201404601</v>
      </c>
      <c r="E27" s="98">
        <v>200</v>
      </c>
      <c r="F27" s="98"/>
      <c r="G27" s="98" t="s">
        <v>441</v>
      </c>
      <c r="H27" s="98"/>
    </row>
    <row r="28" spans="1:8" ht="16.5" hidden="1">
      <c r="A28" s="98"/>
      <c r="B28" s="98" t="s">
        <v>467</v>
      </c>
      <c r="C28" s="103" t="s">
        <v>30</v>
      </c>
      <c r="D28" s="100">
        <v>302601</v>
      </c>
      <c r="E28" s="98"/>
      <c r="F28" s="98">
        <v>400</v>
      </c>
      <c r="G28" s="98" t="s">
        <v>441</v>
      </c>
      <c r="H28" s="98"/>
    </row>
    <row r="29" spans="1:8" ht="16.5" hidden="1">
      <c r="A29" s="98"/>
      <c r="B29" s="98" t="s">
        <v>19</v>
      </c>
      <c r="C29" s="103" t="s">
        <v>30</v>
      </c>
      <c r="D29" s="100">
        <v>202301402</v>
      </c>
      <c r="E29" s="98"/>
      <c r="F29" s="98">
        <v>200</v>
      </c>
      <c r="G29" s="98" t="s">
        <v>441</v>
      </c>
      <c r="H29" s="98"/>
    </row>
    <row r="30" spans="1:8" ht="16.5" hidden="1">
      <c r="A30" s="98"/>
      <c r="B30" s="98" t="s">
        <v>153</v>
      </c>
      <c r="C30" s="103" t="s">
        <v>139</v>
      </c>
      <c r="D30" s="100">
        <v>504</v>
      </c>
      <c r="E30" s="98">
        <v>30</v>
      </c>
      <c r="F30" s="98"/>
      <c r="G30" s="98" t="s">
        <v>441</v>
      </c>
      <c r="H30" s="98"/>
    </row>
    <row r="31" spans="1:8" ht="16.5" hidden="1">
      <c r="A31" s="98"/>
      <c r="B31" s="98" t="s">
        <v>34</v>
      </c>
      <c r="C31" s="103" t="s">
        <v>299</v>
      </c>
      <c r="D31" s="100">
        <v>101</v>
      </c>
      <c r="E31" s="98"/>
      <c r="F31" s="98">
        <v>100</v>
      </c>
      <c r="G31" s="98" t="s">
        <v>441</v>
      </c>
      <c r="H31" s="98"/>
    </row>
    <row r="32" spans="1:8" ht="16.5" hidden="1">
      <c r="A32" s="98"/>
      <c r="B32" s="98" t="s">
        <v>468</v>
      </c>
      <c r="C32" s="103" t="s">
        <v>448</v>
      </c>
      <c r="D32" s="100"/>
      <c r="E32" s="98">
        <v>275</v>
      </c>
      <c r="F32" s="98">
        <v>500</v>
      </c>
      <c r="G32" s="98" t="s">
        <v>441</v>
      </c>
      <c r="H32" s="98"/>
    </row>
    <row r="33" spans="1:8" ht="16.5" hidden="1">
      <c r="A33" s="98"/>
      <c r="B33" s="98" t="s">
        <v>469</v>
      </c>
      <c r="C33" s="103" t="s">
        <v>443</v>
      </c>
      <c r="D33" s="100"/>
      <c r="E33" s="98">
        <v>165</v>
      </c>
      <c r="F33" s="98"/>
      <c r="G33" s="98" t="s">
        <v>441</v>
      </c>
      <c r="H33" s="98"/>
    </row>
    <row r="34" spans="1:8" ht="16.5" hidden="1">
      <c r="A34" s="98"/>
      <c r="B34" s="98" t="s">
        <v>470</v>
      </c>
      <c r="C34" s="103" t="s">
        <v>443</v>
      </c>
      <c r="D34" s="100"/>
      <c r="E34" s="98">
        <v>330</v>
      </c>
      <c r="F34" s="98">
        <v>500</v>
      </c>
      <c r="G34" s="98" t="s">
        <v>441</v>
      </c>
      <c r="H34" s="98"/>
    </row>
    <row r="35" spans="1:8" ht="16.5" hidden="1">
      <c r="A35" s="98"/>
      <c r="B35" s="98" t="s">
        <v>471</v>
      </c>
      <c r="C35" s="103" t="s">
        <v>170</v>
      </c>
      <c r="D35" s="100">
        <v>401</v>
      </c>
      <c r="E35" s="98">
        <v>70</v>
      </c>
      <c r="F35" s="98"/>
      <c r="G35" s="98" t="s">
        <v>441</v>
      </c>
      <c r="H35" s="98" t="s">
        <v>472</v>
      </c>
    </row>
    <row r="36" spans="1:8" ht="16.5" hidden="1">
      <c r="A36" s="98"/>
      <c r="B36" s="98" t="s">
        <v>464</v>
      </c>
      <c r="C36" s="103" t="s">
        <v>167</v>
      </c>
      <c r="D36" s="98"/>
      <c r="E36" s="98">
        <v>65</v>
      </c>
      <c r="F36" s="98"/>
      <c r="G36" s="98" t="s">
        <v>168</v>
      </c>
      <c r="H36" s="98"/>
    </row>
    <row r="37" spans="1:8" ht="16.5" hidden="1">
      <c r="A37" s="98"/>
      <c r="B37" s="101" t="s">
        <v>196</v>
      </c>
      <c r="C37" s="101"/>
      <c r="D37" s="101"/>
      <c r="E37" s="101">
        <f>SUM(E2:E36)</f>
        <v>4034</v>
      </c>
      <c r="F37" s="101">
        <f>SUM(F2:F36)</f>
        <v>3650</v>
      </c>
      <c r="G37" s="101"/>
      <c r="H37" s="101"/>
    </row>
    <row r="38" spans="1:8">
      <c r="C38" s="10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8EE4-7E2B-4525-AD55-65E564DBD069}">
  <sheetPr codeName="Sheet9"/>
  <dimension ref="A1:G97"/>
  <sheetViews>
    <sheetView topLeftCell="A10" workbookViewId="0">
      <selection activeCell="D19" sqref="D19"/>
    </sheetView>
  </sheetViews>
  <sheetFormatPr defaultColWidth="8.81640625" defaultRowHeight="14"/>
  <cols>
    <col min="1" max="1" width="9.90625" style="21" customWidth="1"/>
    <col min="2" max="2" width="10.36328125" style="7" customWidth="1"/>
    <col min="3" max="3" width="12.81640625" style="84" customWidth="1"/>
    <col min="4" max="4" width="45.6328125" style="7" customWidth="1"/>
    <col min="5" max="6" width="16.6328125" style="88" customWidth="1"/>
    <col min="7" max="7" width="34.81640625" style="7" customWidth="1"/>
    <col min="8" max="16384" width="8.81640625" style="7"/>
  </cols>
  <sheetData>
    <row r="1" spans="1:7" ht="24.5" customHeight="1">
      <c r="A1" s="255" t="s">
        <v>319</v>
      </c>
      <c r="B1" s="256"/>
      <c r="C1" s="256"/>
      <c r="D1" s="256"/>
      <c r="E1" s="256"/>
      <c r="F1" s="256"/>
      <c r="G1" s="257"/>
    </row>
    <row r="2" spans="1:7" ht="28" customHeight="1">
      <c r="A2" s="20" t="s">
        <v>1</v>
      </c>
      <c r="B2" s="3" t="s">
        <v>2</v>
      </c>
      <c r="C2" s="81" t="s">
        <v>3</v>
      </c>
      <c r="D2" s="3" t="s">
        <v>4</v>
      </c>
      <c r="E2" s="85" t="s">
        <v>5</v>
      </c>
      <c r="F2" s="85" t="s">
        <v>6</v>
      </c>
      <c r="G2" s="3" t="s">
        <v>7</v>
      </c>
    </row>
    <row r="3" spans="1:7" ht="28" customHeight="1">
      <c r="A3" s="70"/>
      <c r="B3" s="71"/>
      <c r="C3" s="82"/>
      <c r="D3" s="71"/>
      <c r="E3" s="86">
        <f>SUBTOTAL(109,E4:E127)</f>
        <v>8535000</v>
      </c>
      <c r="F3" s="86">
        <f>SUBTOTAL(109,F4:F127)</f>
        <v>6966000</v>
      </c>
      <c r="G3" s="71"/>
    </row>
    <row r="4" spans="1:7" s="59" customFormat="1" ht="19.5" customHeight="1">
      <c r="A4" s="65">
        <v>46079</v>
      </c>
      <c r="B4" s="102" t="s">
        <v>240</v>
      </c>
      <c r="C4" s="83">
        <v>104</v>
      </c>
      <c r="D4" s="56" t="s">
        <v>370</v>
      </c>
      <c r="E4" s="87"/>
      <c r="F4" s="87">
        <v>35000</v>
      </c>
      <c r="G4" s="65"/>
    </row>
    <row r="5" spans="1:7" s="59" customFormat="1" ht="19.5" customHeight="1">
      <c r="A5" s="65"/>
      <c r="B5" s="102" t="s">
        <v>240</v>
      </c>
      <c r="C5" s="83"/>
      <c r="D5" s="56" t="s">
        <v>371</v>
      </c>
      <c r="E5" s="87"/>
      <c r="F5" s="87">
        <v>25000</v>
      </c>
      <c r="G5" s="65"/>
    </row>
    <row r="6" spans="1:7" s="59" customFormat="1" ht="19.5" customHeight="1">
      <c r="A6" s="65"/>
      <c r="B6" s="102" t="s">
        <v>44</v>
      </c>
      <c r="C6" s="83">
        <v>202</v>
      </c>
      <c r="D6" s="56" t="s">
        <v>372</v>
      </c>
      <c r="E6" s="87">
        <v>200000</v>
      </c>
      <c r="F6" s="87">
        <v>195000</v>
      </c>
      <c r="G6" s="56" t="s">
        <v>378</v>
      </c>
    </row>
    <row r="7" spans="1:7" s="59" customFormat="1" ht="19.5" customHeight="1">
      <c r="A7" s="65">
        <v>46080</v>
      </c>
      <c r="B7" s="102" t="s">
        <v>9</v>
      </c>
      <c r="C7" s="83">
        <v>402</v>
      </c>
      <c r="D7" s="56" t="s">
        <v>241</v>
      </c>
      <c r="E7" s="87">
        <v>100000</v>
      </c>
      <c r="F7" s="87"/>
      <c r="G7" s="65"/>
    </row>
    <row r="8" spans="1:7" s="59" customFormat="1" ht="19.5" customHeight="1">
      <c r="A8" s="65"/>
      <c r="B8" s="102" t="s">
        <v>55</v>
      </c>
      <c r="C8" s="83">
        <v>408</v>
      </c>
      <c r="D8" s="56" t="s">
        <v>19</v>
      </c>
      <c r="E8" s="87">
        <v>200000</v>
      </c>
      <c r="F8" s="87"/>
      <c r="G8" s="258" t="s">
        <v>379</v>
      </c>
    </row>
    <row r="9" spans="1:7" s="59" customFormat="1" ht="19.5" customHeight="1">
      <c r="A9" s="65"/>
      <c r="B9" s="102" t="s">
        <v>55</v>
      </c>
      <c r="C9" s="83">
        <v>208</v>
      </c>
      <c r="D9" s="56" t="s">
        <v>19</v>
      </c>
      <c r="E9" s="87">
        <v>200000</v>
      </c>
      <c r="F9" s="87"/>
      <c r="G9" s="259"/>
    </row>
    <row r="10" spans="1:7" s="59" customFormat="1" ht="19.5" customHeight="1">
      <c r="A10" s="65"/>
      <c r="B10" s="102" t="s">
        <v>55</v>
      </c>
      <c r="C10" s="90">
        <v>208</v>
      </c>
      <c r="D10" s="89" t="s">
        <v>241</v>
      </c>
      <c r="E10" s="91">
        <v>100000</v>
      </c>
      <c r="F10" s="87"/>
      <c r="G10" s="65"/>
    </row>
    <row r="11" spans="1:7" s="59" customFormat="1" ht="19.5" customHeight="1">
      <c r="A11" s="65">
        <v>46081</v>
      </c>
      <c r="B11" s="102" t="s">
        <v>55</v>
      </c>
      <c r="C11" s="92">
        <v>309</v>
      </c>
      <c r="D11" s="21" t="s">
        <v>19</v>
      </c>
      <c r="E11" s="93">
        <v>300000</v>
      </c>
      <c r="F11" s="87"/>
      <c r="G11" s="260" t="s">
        <v>380</v>
      </c>
    </row>
    <row r="12" spans="1:7" s="59" customFormat="1" ht="19.5" customHeight="1">
      <c r="A12" s="65"/>
      <c r="B12" s="102" t="s">
        <v>55</v>
      </c>
      <c r="C12" s="90">
        <v>104</v>
      </c>
      <c r="D12" s="89" t="s">
        <v>19</v>
      </c>
      <c r="E12" s="91">
        <v>100000</v>
      </c>
      <c r="F12" s="87"/>
      <c r="G12" s="261"/>
    </row>
    <row r="13" spans="1:7" s="59" customFormat="1" ht="19.5" customHeight="1">
      <c r="A13" s="65"/>
      <c r="B13" s="102" t="s">
        <v>226</v>
      </c>
      <c r="C13" s="92">
        <v>303</v>
      </c>
      <c r="D13" s="21" t="s">
        <v>241</v>
      </c>
      <c r="E13" s="93">
        <v>250000</v>
      </c>
      <c r="F13" s="87"/>
      <c r="G13" s="56" t="s">
        <v>436</v>
      </c>
    </row>
    <row r="14" spans="1:7" s="59" customFormat="1" ht="19.5" customHeight="1">
      <c r="A14" s="65"/>
      <c r="B14" s="102" t="s">
        <v>226</v>
      </c>
      <c r="C14" s="83">
        <v>506</v>
      </c>
      <c r="D14" s="56" t="s">
        <v>241</v>
      </c>
      <c r="E14" s="87">
        <v>100000</v>
      </c>
      <c r="F14" s="87"/>
      <c r="G14" s="65"/>
    </row>
    <row r="15" spans="1:7" s="59" customFormat="1" ht="19.5" customHeight="1">
      <c r="A15" s="65">
        <v>46082</v>
      </c>
      <c r="B15" s="102" t="s">
        <v>226</v>
      </c>
      <c r="C15" s="83">
        <v>103</v>
      </c>
      <c r="D15" s="56" t="s">
        <v>241</v>
      </c>
      <c r="E15" s="87">
        <v>100000</v>
      </c>
      <c r="F15" s="87"/>
      <c r="G15" s="65"/>
    </row>
    <row r="16" spans="1:7" s="59" customFormat="1" ht="19.5" customHeight="1">
      <c r="A16" s="65"/>
      <c r="B16" s="102" t="s">
        <v>61</v>
      </c>
      <c r="C16" s="83">
        <v>303</v>
      </c>
      <c r="D16" s="56" t="s">
        <v>241</v>
      </c>
      <c r="E16" s="87">
        <v>200000</v>
      </c>
      <c r="F16" s="87"/>
      <c r="G16" s="56" t="s">
        <v>364</v>
      </c>
    </row>
    <row r="17" spans="1:7" s="59" customFormat="1" ht="19.5" customHeight="1">
      <c r="A17" s="65"/>
      <c r="B17" s="102" t="s">
        <v>61</v>
      </c>
      <c r="C17" s="83">
        <v>303</v>
      </c>
      <c r="D17" s="56" t="s">
        <v>373</v>
      </c>
      <c r="E17" s="87">
        <v>150000</v>
      </c>
      <c r="F17" s="87"/>
      <c r="G17" s="65"/>
    </row>
    <row r="18" spans="1:7" s="59" customFormat="1" ht="19.5" customHeight="1">
      <c r="A18" s="65"/>
      <c r="B18" s="102" t="s">
        <v>9</v>
      </c>
      <c r="C18" s="83"/>
      <c r="D18" s="56" t="s">
        <v>374</v>
      </c>
      <c r="E18" s="87">
        <v>150000</v>
      </c>
      <c r="F18" s="87"/>
      <c r="G18" s="65"/>
    </row>
    <row r="19" spans="1:7" s="59" customFormat="1" ht="19.5" customHeight="1">
      <c r="A19" s="65">
        <v>46083</v>
      </c>
      <c r="B19" s="102" t="s">
        <v>80</v>
      </c>
      <c r="C19" s="92">
        <v>401</v>
      </c>
      <c r="D19" s="21" t="s">
        <v>19</v>
      </c>
      <c r="E19" s="93">
        <v>200000</v>
      </c>
      <c r="F19" s="87"/>
      <c r="G19" s="56" t="s">
        <v>381</v>
      </c>
    </row>
    <row r="20" spans="1:7" s="59" customFormat="1" ht="19.5" customHeight="1">
      <c r="A20" s="65"/>
      <c r="B20" s="102" t="s">
        <v>80</v>
      </c>
      <c r="C20" s="92">
        <v>401</v>
      </c>
      <c r="D20" s="21" t="s">
        <v>241</v>
      </c>
      <c r="E20" s="93">
        <v>400000</v>
      </c>
      <c r="F20" s="87"/>
      <c r="G20" s="56" t="s">
        <v>382</v>
      </c>
    </row>
    <row r="21" spans="1:7" s="59" customFormat="1" ht="19.5" customHeight="1">
      <c r="A21" s="65"/>
      <c r="B21" s="102" t="s">
        <v>80</v>
      </c>
      <c r="C21" s="92">
        <v>401</v>
      </c>
      <c r="D21" s="21" t="s">
        <v>375</v>
      </c>
      <c r="E21" s="93">
        <v>150000</v>
      </c>
      <c r="F21" s="87"/>
      <c r="G21" s="65"/>
    </row>
    <row r="22" spans="1:7" s="59" customFormat="1">
      <c r="A22" s="65"/>
      <c r="B22" s="102" t="s">
        <v>80</v>
      </c>
      <c r="C22" s="92">
        <v>401</v>
      </c>
      <c r="D22" s="21" t="s">
        <v>376</v>
      </c>
      <c r="E22" s="93">
        <v>150000</v>
      </c>
      <c r="F22" s="87"/>
      <c r="G22" s="65"/>
    </row>
    <row r="23" spans="1:7" s="59" customFormat="1">
      <c r="A23" s="65"/>
      <c r="B23" s="102" t="s">
        <v>80</v>
      </c>
      <c r="C23" s="92">
        <v>401</v>
      </c>
      <c r="D23" s="21" t="s">
        <v>377</v>
      </c>
      <c r="E23" s="93">
        <v>35000</v>
      </c>
      <c r="F23" s="87"/>
      <c r="G23" s="65"/>
    </row>
    <row r="24" spans="1:7" s="59" customFormat="1">
      <c r="A24" s="65"/>
      <c r="B24" s="102" t="s">
        <v>27</v>
      </c>
      <c r="C24" s="90">
        <v>302</v>
      </c>
      <c r="D24" s="89" t="s">
        <v>19</v>
      </c>
      <c r="E24" s="91">
        <v>200000</v>
      </c>
      <c r="F24" s="87"/>
      <c r="G24" s="56" t="s">
        <v>383</v>
      </c>
    </row>
    <row r="25" spans="1:7" s="59" customFormat="1">
      <c r="A25" s="65"/>
      <c r="B25" s="102" t="s">
        <v>9</v>
      </c>
      <c r="C25" s="83">
        <v>402</v>
      </c>
      <c r="D25" s="56" t="s">
        <v>245</v>
      </c>
      <c r="E25" s="87">
        <v>100000</v>
      </c>
      <c r="F25" s="87">
        <v>215000</v>
      </c>
      <c r="G25" s="56" t="s">
        <v>392</v>
      </c>
    </row>
    <row r="26" spans="1:7" s="59" customFormat="1">
      <c r="A26" s="65"/>
      <c r="B26" s="102" t="s">
        <v>57</v>
      </c>
      <c r="C26" s="83">
        <v>301</v>
      </c>
      <c r="D26" s="56" t="s">
        <v>384</v>
      </c>
      <c r="E26" s="87"/>
      <c r="F26" s="87">
        <v>50000</v>
      </c>
      <c r="G26" s="65"/>
    </row>
    <row r="27" spans="1:7" s="59" customFormat="1">
      <c r="A27" s="65"/>
      <c r="B27" s="102" t="s">
        <v>57</v>
      </c>
      <c r="C27" s="83">
        <v>301</v>
      </c>
      <c r="D27" s="56" t="s">
        <v>385</v>
      </c>
      <c r="E27" s="87"/>
      <c r="F27" s="87">
        <v>100000</v>
      </c>
      <c r="G27" s="65"/>
    </row>
    <row r="28" spans="1:7" s="59" customFormat="1">
      <c r="A28" s="65">
        <v>46084</v>
      </c>
      <c r="B28" s="102" t="s">
        <v>14</v>
      </c>
      <c r="C28" s="83">
        <v>401</v>
      </c>
      <c r="D28" s="56" t="s">
        <v>241</v>
      </c>
      <c r="E28" s="87">
        <v>300000</v>
      </c>
      <c r="F28" s="87"/>
      <c r="G28" s="56" t="s">
        <v>393</v>
      </c>
    </row>
    <row r="29" spans="1:7" s="59" customFormat="1">
      <c r="A29" s="65"/>
      <c r="B29" s="102" t="s">
        <v>61</v>
      </c>
      <c r="C29" s="83">
        <v>401</v>
      </c>
      <c r="D29" s="56" t="s">
        <v>386</v>
      </c>
      <c r="E29" s="87"/>
      <c r="F29" s="87">
        <v>35000</v>
      </c>
      <c r="G29" s="65"/>
    </row>
    <row r="30" spans="1:7" s="59" customFormat="1">
      <c r="A30" s="65"/>
      <c r="B30" s="102" t="s">
        <v>61</v>
      </c>
      <c r="C30" s="83">
        <v>503</v>
      </c>
      <c r="D30" s="56" t="s">
        <v>241</v>
      </c>
      <c r="E30" s="87">
        <v>200000</v>
      </c>
      <c r="F30" s="87"/>
      <c r="G30" s="56" t="s">
        <v>394</v>
      </c>
    </row>
    <row r="31" spans="1:7" s="59" customFormat="1">
      <c r="A31" s="65"/>
      <c r="B31" s="102" t="s">
        <v>33</v>
      </c>
      <c r="C31" s="83">
        <v>304</v>
      </c>
      <c r="D31" s="56" t="s">
        <v>387</v>
      </c>
      <c r="E31" s="87">
        <v>150000</v>
      </c>
      <c r="F31" s="87">
        <v>85000</v>
      </c>
      <c r="G31" s="56" t="s">
        <v>395</v>
      </c>
    </row>
    <row r="32" spans="1:7" s="59" customFormat="1">
      <c r="A32" s="65"/>
      <c r="B32" s="102" t="s">
        <v>120</v>
      </c>
      <c r="C32" s="92"/>
      <c r="D32" s="21" t="s">
        <v>13</v>
      </c>
      <c r="E32" s="93"/>
      <c r="F32" s="93">
        <v>65000</v>
      </c>
      <c r="G32" s="56" t="s">
        <v>396</v>
      </c>
    </row>
    <row r="33" spans="1:7" s="59" customFormat="1">
      <c r="A33" s="65"/>
      <c r="B33" s="56" t="s">
        <v>49</v>
      </c>
      <c r="C33" s="83"/>
      <c r="D33" s="56" t="s">
        <v>388</v>
      </c>
      <c r="E33" s="87"/>
      <c r="F33" s="87">
        <v>170000</v>
      </c>
      <c r="G33" s="65"/>
    </row>
    <row r="34" spans="1:7" s="59" customFormat="1">
      <c r="A34" s="65">
        <v>46085</v>
      </c>
      <c r="B34" s="102" t="s">
        <v>93</v>
      </c>
      <c r="C34" s="83">
        <v>401</v>
      </c>
      <c r="D34" s="56" t="s">
        <v>241</v>
      </c>
      <c r="E34" s="87">
        <v>150000</v>
      </c>
      <c r="F34" s="87"/>
      <c r="G34" s="65"/>
    </row>
    <row r="35" spans="1:7" s="59" customFormat="1">
      <c r="A35" s="65"/>
      <c r="B35" s="102" t="s">
        <v>93</v>
      </c>
      <c r="C35" s="83">
        <v>401</v>
      </c>
      <c r="D35" s="56" t="s">
        <v>19</v>
      </c>
      <c r="E35" s="87">
        <v>200000</v>
      </c>
      <c r="F35" s="87"/>
      <c r="G35" s="65"/>
    </row>
    <row r="36" spans="1:7" s="59" customFormat="1">
      <c r="A36" s="65"/>
      <c r="B36" s="102" t="s">
        <v>80</v>
      </c>
      <c r="C36" s="83">
        <v>301</v>
      </c>
      <c r="D36" s="56" t="s">
        <v>389</v>
      </c>
      <c r="E36" s="87"/>
      <c r="F36" s="87">
        <v>55000</v>
      </c>
      <c r="G36" s="65"/>
    </row>
    <row r="37" spans="1:7" s="59" customFormat="1">
      <c r="A37" s="65"/>
      <c r="B37" s="102" t="s">
        <v>93</v>
      </c>
      <c r="C37" s="83">
        <v>401</v>
      </c>
      <c r="D37" s="56" t="s">
        <v>191</v>
      </c>
      <c r="E37" s="87"/>
      <c r="F37" s="87">
        <v>40000</v>
      </c>
      <c r="G37" s="65"/>
    </row>
    <row r="38" spans="1:7" s="59" customFormat="1">
      <c r="A38" s="65"/>
      <c r="B38" s="102" t="s">
        <v>93</v>
      </c>
      <c r="C38" s="83">
        <v>401</v>
      </c>
      <c r="D38" s="56" t="s">
        <v>154</v>
      </c>
      <c r="E38" s="87"/>
      <c r="F38" s="87">
        <v>40000</v>
      </c>
      <c r="G38" s="65"/>
    </row>
    <row r="39" spans="1:7" s="59" customFormat="1">
      <c r="A39" s="65">
        <v>46086</v>
      </c>
      <c r="B39" s="102" t="s">
        <v>397</v>
      </c>
      <c r="C39" s="83">
        <v>501</v>
      </c>
      <c r="D39" s="56" t="s">
        <v>390</v>
      </c>
      <c r="E39" s="87"/>
      <c r="F39" s="87">
        <v>50000</v>
      </c>
      <c r="G39" s="65"/>
    </row>
    <row r="40" spans="1:7" s="59" customFormat="1">
      <c r="A40" s="65"/>
      <c r="B40" s="102" t="s">
        <v>397</v>
      </c>
      <c r="C40" s="83">
        <v>501</v>
      </c>
      <c r="D40" s="56" t="s">
        <v>391</v>
      </c>
      <c r="E40" s="87"/>
      <c r="F40" s="87">
        <v>55000</v>
      </c>
      <c r="G40" s="65"/>
    </row>
    <row r="41" spans="1:7" s="59" customFormat="1">
      <c r="A41" s="65"/>
      <c r="B41" s="102" t="s">
        <v>61</v>
      </c>
      <c r="C41" s="83">
        <v>303</v>
      </c>
      <c r="D41" s="56" t="s">
        <v>102</v>
      </c>
      <c r="E41" s="87"/>
      <c r="F41" s="87">
        <v>40000</v>
      </c>
      <c r="G41" s="65"/>
    </row>
    <row r="42" spans="1:7" s="59" customFormat="1">
      <c r="A42" s="65"/>
      <c r="B42" s="102" t="s">
        <v>80</v>
      </c>
      <c r="C42" s="83">
        <v>301</v>
      </c>
      <c r="D42" s="56" t="s">
        <v>102</v>
      </c>
      <c r="E42" s="87"/>
      <c r="F42" s="87">
        <v>40000</v>
      </c>
      <c r="G42" s="65"/>
    </row>
    <row r="43" spans="1:7" s="59" customFormat="1">
      <c r="A43" s="65">
        <v>46090</v>
      </c>
      <c r="B43" s="102" t="s">
        <v>17</v>
      </c>
      <c r="C43" s="83">
        <v>303</v>
      </c>
      <c r="D43" s="56" t="s">
        <v>398</v>
      </c>
      <c r="E43" s="87"/>
      <c r="F43" s="87">
        <v>55000</v>
      </c>
      <c r="G43" s="56" t="s">
        <v>403</v>
      </c>
    </row>
    <row r="44" spans="1:7" s="59" customFormat="1">
      <c r="A44" s="65"/>
      <c r="B44" s="102" t="s">
        <v>64</v>
      </c>
      <c r="C44" s="83">
        <v>303</v>
      </c>
      <c r="D44" s="56" t="s">
        <v>102</v>
      </c>
      <c r="E44" s="87"/>
      <c r="F44" s="87">
        <v>45000</v>
      </c>
      <c r="G44" s="65"/>
    </row>
    <row r="45" spans="1:7" s="59" customFormat="1">
      <c r="A45" s="65"/>
      <c r="B45" s="102" t="s">
        <v>402</v>
      </c>
      <c r="C45" s="83">
        <v>302</v>
      </c>
      <c r="D45" s="56" t="s">
        <v>102</v>
      </c>
      <c r="E45" s="87"/>
      <c r="F45" s="87">
        <v>45000</v>
      </c>
      <c r="G45" s="65"/>
    </row>
    <row r="46" spans="1:7" s="59" customFormat="1">
      <c r="A46" s="65">
        <v>46091</v>
      </c>
      <c r="B46" s="102" t="s">
        <v>402</v>
      </c>
      <c r="C46" s="83">
        <v>404</v>
      </c>
      <c r="D46" s="56" t="s">
        <v>19</v>
      </c>
      <c r="E46" s="87">
        <v>250000</v>
      </c>
      <c r="F46" s="87"/>
      <c r="G46" s="56" t="s">
        <v>405</v>
      </c>
    </row>
    <row r="47" spans="1:7" s="59" customFormat="1">
      <c r="A47" s="65"/>
      <c r="B47" s="102" t="s">
        <v>402</v>
      </c>
      <c r="C47" s="83">
        <v>404</v>
      </c>
      <c r="D47" s="56" t="s">
        <v>241</v>
      </c>
      <c r="E47" s="87">
        <v>100000</v>
      </c>
      <c r="F47" s="87"/>
      <c r="G47" s="56" t="s">
        <v>404</v>
      </c>
    </row>
    <row r="48" spans="1:7" s="57" customFormat="1">
      <c r="A48" s="56"/>
      <c r="B48" s="102" t="s">
        <v>402</v>
      </c>
      <c r="C48" s="83">
        <v>302</v>
      </c>
      <c r="D48" s="56" t="s">
        <v>19</v>
      </c>
      <c r="E48" s="87">
        <v>200000</v>
      </c>
      <c r="F48" s="87"/>
      <c r="G48" s="65"/>
    </row>
    <row r="49" spans="1:7" s="57" customFormat="1">
      <c r="A49" s="56"/>
      <c r="B49" s="102" t="s">
        <v>402</v>
      </c>
      <c r="C49" s="83">
        <v>302</v>
      </c>
      <c r="D49" s="56" t="s">
        <v>241</v>
      </c>
      <c r="E49" s="87">
        <v>150000</v>
      </c>
      <c r="F49" s="87"/>
      <c r="G49" s="56" t="s">
        <v>406</v>
      </c>
    </row>
    <row r="50" spans="1:7">
      <c r="B50" s="102" t="s">
        <v>402</v>
      </c>
      <c r="C50" s="83">
        <v>302</v>
      </c>
      <c r="D50" s="56" t="s">
        <v>399</v>
      </c>
      <c r="E50" s="87"/>
      <c r="F50" s="87">
        <v>35000</v>
      </c>
      <c r="G50" s="65"/>
    </row>
    <row r="51" spans="1:7">
      <c r="A51" s="21">
        <v>46095</v>
      </c>
      <c r="B51" s="28" t="s">
        <v>80</v>
      </c>
      <c r="C51" s="84">
        <v>202</v>
      </c>
      <c r="D51" s="7" t="s">
        <v>19</v>
      </c>
      <c r="E51" s="88">
        <v>100000</v>
      </c>
      <c r="G51" s="7" t="s">
        <v>407</v>
      </c>
    </row>
    <row r="52" spans="1:7">
      <c r="B52" s="28" t="s">
        <v>80</v>
      </c>
      <c r="C52" s="84">
        <v>202</v>
      </c>
      <c r="D52" s="7" t="s">
        <v>241</v>
      </c>
      <c r="E52" s="88">
        <v>100000</v>
      </c>
    </row>
    <row r="53" spans="1:7">
      <c r="B53" s="28" t="s">
        <v>80</v>
      </c>
      <c r="C53" s="84">
        <v>202</v>
      </c>
      <c r="D53" s="7" t="s">
        <v>375</v>
      </c>
      <c r="F53" s="88">
        <v>80000</v>
      </c>
    </row>
    <row r="54" spans="1:7">
      <c r="B54" s="28" t="s">
        <v>80</v>
      </c>
      <c r="C54" s="84">
        <v>203</v>
      </c>
      <c r="D54" s="7" t="s">
        <v>19</v>
      </c>
      <c r="E54" s="88">
        <v>100000</v>
      </c>
    </row>
    <row r="55" spans="1:7">
      <c r="B55" s="28" t="s">
        <v>80</v>
      </c>
      <c r="C55" s="84">
        <v>203</v>
      </c>
      <c r="D55" s="7" t="s">
        <v>241</v>
      </c>
      <c r="E55" s="88">
        <v>100000</v>
      </c>
    </row>
    <row r="56" spans="1:7">
      <c r="B56" s="28" t="s">
        <v>80</v>
      </c>
      <c r="C56" s="84">
        <v>203</v>
      </c>
      <c r="D56" s="7" t="s">
        <v>375</v>
      </c>
      <c r="F56" s="88">
        <v>80000</v>
      </c>
    </row>
    <row r="57" spans="1:7">
      <c r="B57" s="28" t="s">
        <v>80</v>
      </c>
      <c r="C57" s="84">
        <v>203</v>
      </c>
      <c r="D57" s="7" t="s">
        <v>400</v>
      </c>
      <c r="F57" s="88">
        <v>80000</v>
      </c>
    </row>
    <row r="58" spans="1:7">
      <c r="B58" s="28" t="s">
        <v>80</v>
      </c>
      <c r="C58" s="84">
        <v>203</v>
      </c>
      <c r="D58" s="7" t="s">
        <v>401</v>
      </c>
      <c r="F58" s="88">
        <v>35000</v>
      </c>
    </row>
    <row r="59" spans="1:7">
      <c r="B59" s="28" t="s">
        <v>80</v>
      </c>
      <c r="C59" s="84">
        <v>401</v>
      </c>
      <c r="D59" s="7" t="s">
        <v>401</v>
      </c>
      <c r="F59" s="88">
        <v>35000</v>
      </c>
    </row>
    <row r="60" spans="1:7">
      <c r="B60" s="28" t="s">
        <v>27</v>
      </c>
      <c r="C60" s="84">
        <v>301</v>
      </c>
      <c r="D60" s="7" t="s">
        <v>19</v>
      </c>
      <c r="E60" s="88">
        <v>200000</v>
      </c>
      <c r="G60" s="7" t="s">
        <v>408</v>
      </c>
    </row>
    <row r="61" spans="1:7">
      <c r="B61" s="28" t="s">
        <v>27</v>
      </c>
      <c r="C61" s="84">
        <v>302</v>
      </c>
      <c r="D61" s="7" t="s">
        <v>241</v>
      </c>
      <c r="E61" s="88">
        <v>100000</v>
      </c>
    </row>
    <row r="62" spans="1:7">
      <c r="B62" s="28" t="s">
        <v>27</v>
      </c>
      <c r="C62" s="84">
        <v>204</v>
      </c>
      <c r="D62" s="7" t="s">
        <v>19</v>
      </c>
      <c r="E62" s="88">
        <v>200000</v>
      </c>
      <c r="G62" s="7" t="s">
        <v>408</v>
      </c>
    </row>
    <row r="63" spans="1:7">
      <c r="B63" s="28" t="s">
        <v>27</v>
      </c>
      <c r="C63" s="84">
        <v>204</v>
      </c>
      <c r="D63" s="7" t="s">
        <v>241</v>
      </c>
      <c r="E63" s="88">
        <v>100000</v>
      </c>
    </row>
    <row r="64" spans="1:7">
      <c r="A64" s="21">
        <v>46096</v>
      </c>
      <c r="B64" s="28" t="s">
        <v>41</v>
      </c>
      <c r="C64" s="84">
        <v>202</v>
      </c>
      <c r="D64" s="7" t="s">
        <v>19</v>
      </c>
      <c r="E64" s="88">
        <v>200000</v>
      </c>
    </row>
    <row r="65" spans="1:7">
      <c r="B65" s="28" t="s">
        <v>41</v>
      </c>
      <c r="C65" s="84">
        <v>202</v>
      </c>
      <c r="D65" s="7" t="s">
        <v>241</v>
      </c>
      <c r="E65" s="88">
        <v>100000</v>
      </c>
    </row>
    <row r="66" spans="1:7">
      <c r="B66" s="28" t="s">
        <v>41</v>
      </c>
      <c r="C66" s="84">
        <v>202</v>
      </c>
      <c r="D66" s="7" t="s">
        <v>409</v>
      </c>
      <c r="F66" s="88">
        <v>50000</v>
      </c>
    </row>
    <row r="67" spans="1:7">
      <c r="B67" s="28" t="s">
        <v>41</v>
      </c>
      <c r="C67" s="84">
        <v>202</v>
      </c>
      <c r="D67" s="7" t="s">
        <v>410</v>
      </c>
      <c r="F67" s="88">
        <v>564000</v>
      </c>
      <c r="G67" s="7" t="s">
        <v>418</v>
      </c>
    </row>
    <row r="68" spans="1:7">
      <c r="B68" s="28" t="s">
        <v>41</v>
      </c>
      <c r="C68" s="84">
        <v>202</v>
      </c>
      <c r="D68" s="7" t="s">
        <v>411</v>
      </c>
      <c r="F68" s="88">
        <v>35000</v>
      </c>
    </row>
    <row r="69" spans="1:7">
      <c r="B69" s="28" t="s">
        <v>271</v>
      </c>
      <c r="D69" s="7" t="s">
        <v>412</v>
      </c>
      <c r="F69" s="88">
        <v>1500000</v>
      </c>
    </row>
    <row r="70" spans="1:7">
      <c r="B70" s="28" t="s">
        <v>9</v>
      </c>
      <c r="C70" s="84">
        <v>302</v>
      </c>
      <c r="D70" s="7" t="s">
        <v>19</v>
      </c>
      <c r="E70" s="88">
        <v>200000</v>
      </c>
      <c r="G70" s="7" t="s">
        <v>419</v>
      </c>
    </row>
    <row r="71" spans="1:7">
      <c r="B71" s="28" t="s">
        <v>9</v>
      </c>
      <c r="C71" s="84">
        <v>302</v>
      </c>
      <c r="D71" s="7" t="s">
        <v>241</v>
      </c>
      <c r="E71" s="88">
        <v>150000</v>
      </c>
    </row>
    <row r="72" spans="1:7">
      <c r="A72" s="21">
        <v>46098</v>
      </c>
      <c r="B72" s="28" t="s">
        <v>226</v>
      </c>
      <c r="C72" s="84">
        <v>504</v>
      </c>
      <c r="D72" s="7" t="s">
        <v>241</v>
      </c>
      <c r="E72" s="88">
        <v>150000</v>
      </c>
      <c r="G72" s="262" t="s">
        <v>420</v>
      </c>
    </row>
    <row r="73" spans="1:7">
      <c r="B73" s="28" t="s">
        <v>240</v>
      </c>
      <c r="C73" s="84">
        <v>401</v>
      </c>
      <c r="D73" s="7" t="s">
        <v>241</v>
      </c>
      <c r="E73" s="88">
        <v>150000</v>
      </c>
      <c r="G73" s="263"/>
    </row>
    <row r="74" spans="1:7">
      <c r="A74" s="21">
        <v>46099</v>
      </c>
      <c r="B74" s="28" t="s">
        <v>64</v>
      </c>
      <c r="D74" s="7" t="s">
        <v>413</v>
      </c>
      <c r="E74" s="88">
        <v>100000</v>
      </c>
      <c r="F74" s="88">
        <v>107000</v>
      </c>
      <c r="G74" s="7" t="s">
        <v>421</v>
      </c>
    </row>
    <row r="75" spans="1:7">
      <c r="B75" s="28" t="s">
        <v>41</v>
      </c>
      <c r="D75" s="7" t="s">
        <v>121</v>
      </c>
      <c r="E75" s="88">
        <v>100000</v>
      </c>
      <c r="F75" s="88">
        <v>57000</v>
      </c>
    </row>
    <row r="76" spans="1:7">
      <c r="A76" s="21">
        <v>46100</v>
      </c>
      <c r="B76" s="28" t="s">
        <v>55</v>
      </c>
      <c r="C76" s="84">
        <v>203</v>
      </c>
      <c r="D76" s="7" t="s">
        <v>414</v>
      </c>
      <c r="F76" s="88">
        <v>15000</v>
      </c>
    </row>
    <row r="77" spans="1:7">
      <c r="B77" s="28" t="s">
        <v>44</v>
      </c>
      <c r="C77" s="84">
        <v>402</v>
      </c>
      <c r="D77" s="7" t="s">
        <v>415</v>
      </c>
      <c r="E77" s="88">
        <v>150000</v>
      </c>
      <c r="F77" s="88">
        <v>295000</v>
      </c>
    </row>
    <row r="78" spans="1:7">
      <c r="B78" s="28" t="s">
        <v>44</v>
      </c>
      <c r="C78" s="84">
        <v>301</v>
      </c>
      <c r="D78" s="7" t="s">
        <v>415</v>
      </c>
      <c r="E78" s="88">
        <v>150000</v>
      </c>
      <c r="F78" s="88">
        <v>295000</v>
      </c>
    </row>
    <row r="79" spans="1:7">
      <c r="B79" s="28" t="s">
        <v>38</v>
      </c>
      <c r="C79" s="84">
        <v>401</v>
      </c>
      <c r="D79" s="7" t="s">
        <v>416</v>
      </c>
      <c r="F79" s="88">
        <v>175000</v>
      </c>
    </row>
    <row r="80" spans="1:7">
      <c r="B80" s="28" t="s">
        <v>38</v>
      </c>
      <c r="C80" s="84">
        <v>401</v>
      </c>
      <c r="D80" s="7" t="s">
        <v>417</v>
      </c>
      <c r="F80" s="88">
        <v>150000</v>
      </c>
    </row>
    <row r="81" spans="1:7">
      <c r="B81" s="28" t="s">
        <v>38</v>
      </c>
      <c r="C81" s="84">
        <v>201</v>
      </c>
      <c r="D81" s="7" t="s">
        <v>416</v>
      </c>
      <c r="F81" s="88">
        <v>175000</v>
      </c>
    </row>
    <row r="82" spans="1:7">
      <c r="B82" s="28" t="s">
        <v>38</v>
      </c>
      <c r="C82" s="84">
        <v>201</v>
      </c>
      <c r="D82" s="7" t="s">
        <v>417</v>
      </c>
      <c r="F82" s="88">
        <v>150000</v>
      </c>
    </row>
    <row r="83" spans="1:7">
      <c r="A83" s="21">
        <v>46101</v>
      </c>
      <c r="B83" s="28" t="s">
        <v>226</v>
      </c>
      <c r="C83" s="84">
        <v>606</v>
      </c>
      <c r="D83" s="7" t="s">
        <v>422</v>
      </c>
      <c r="E83" s="88">
        <v>150000</v>
      </c>
      <c r="G83" s="7" t="s">
        <v>423</v>
      </c>
    </row>
    <row r="84" spans="1:7">
      <c r="B84" s="28" t="s">
        <v>226</v>
      </c>
      <c r="C84" s="84">
        <v>603</v>
      </c>
      <c r="D84" s="7" t="s">
        <v>422</v>
      </c>
      <c r="E84" s="88">
        <v>150000</v>
      </c>
    </row>
    <row r="85" spans="1:7">
      <c r="B85" s="28" t="s">
        <v>402</v>
      </c>
      <c r="C85" s="84">
        <v>704</v>
      </c>
      <c r="D85" s="7" t="s">
        <v>424</v>
      </c>
      <c r="F85" s="88">
        <v>100000</v>
      </c>
    </row>
    <row r="86" spans="1:7">
      <c r="B86" s="28" t="s">
        <v>14</v>
      </c>
      <c r="C86" s="84">
        <v>402</v>
      </c>
      <c r="D86" s="7" t="s">
        <v>425</v>
      </c>
      <c r="F86" s="88">
        <v>43000</v>
      </c>
    </row>
    <row r="87" spans="1:7">
      <c r="B87" s="28" t="s">
        <v>14</v>
      </c>
      <c r="C87" s="84">
        <v>402</v>
      </c>
      <c r="D87" s="7" t="s">
        <v>426</v>
      </c>
      <c r="F87" s="88">
        <v>10000</v>
      </c>
    </row>
    <row r="88" spans="1:7">
      <c r="B88" s="28" t="s">
        <v>14</v>
      </c>
      <c r="C88" s="84">
        <v>402</v>
      </c>
      <c r="D88" s="7" t="s">
        <v>427</v>
      </c>
      <c r="E88" s="88">
        <v>100000</v>
      </c>
    </row>
    <row r="89" spans="1:7">
      <c r="B89" s="28" t="s">
        <v>14</v>
      </c>
      <c r="C89" s="84">
        <v>402</v>
      </c>
      <c r="D89" s="7" t="s">
        <v>428</v>
      </c>
      <c r="F89" s="88">
        <v>125000</v>
      </c>
    </row>
    <row r="90" spans="1:7">
      <c r="A90" s="21">
        <v>46102</v>
      </c>
      <c r="B90" s="28" t="s">
        <v>38</v>
      </c>
      <c r="D90" s="7" t="s">
        <v>429</v>
      </c>
      <c r="F90" s="88">
        <v>65000</v>
      </c>
    </row>
    <row r="91" spans="1:7">
      <c r="A91" s="21">
        <v>46103</v>
      </c>
      <c r="B91" s="28" t="s">
        <v>37</v>
      </c>
      <c r="D91" s="7" t="s">
        <v>430</v>
      </c>
      <c r="F91" s="88">
        <v>45000</v>
      </c>
    </row>
    <row r="92" spans="1:7">
      <c r="A92" s="21">
        <v>46104</v>
      </c>
      <c r="B92" s="28" t="s">
        <v>38</v>
      </c>
      <c r="D92" s="7" t="s">
        <v>431</v>
      </c>
      <c r="F92" s="88">
        <v>50000</v>
      </c>
    </row>
    <row r="93" spans="1:7">
      <c r="A93" s="21">
        <v>46077</v>
      </c>
      <c r="B93" s="28" t="s">
        <v>27</v>
      </c>
      <c r="C93" s="84">
        <v>602</v>
      </c>
      <c r="D93" s="7" t="s">
        <v>432</v>
      </c>
      <c r="F93" s="88">
        <v>50000</v>
      </c>
    </row>
    <row r="94" spans="1:7">
      <c r="B94" s="28" t="s">
        <v>27</v>
      </c>
      <c r="C94" s="84">
        <v>204</v>
      </c>
      <c r="D94" s="7" t="s">
        <v>433</v>
      </c>
      <c r="F94" s="88">
        <v>75000</v>
      </c>
    </row>
    <row r="95" spans="1:7">
      <c r="A95" s="21">
        <v>46106</v>
      </c>
      <c r="B95" s="28" t="s">
        <v>97</v>
      </c>
      <c r="D95" s="7" t="s">
        <v>434</v>
      </c>
      <c r="F95" s="88">
        <v>1050000</v>
      </c>
    </row>
    <row r="96" spans="1:7">
      <c r="B96" s="28" t="s">
        <v>78</v>
      </c>
      <c r="C96" s="84">
        <v>401</v>
      </c>
      <c r="D96" s="7" t="s">
        <v>241</v>
      </c>
      <c r="E96" s="88">
        <v>300000</v>
      </c>
      <c r="G96" s="7" t="s">
        <v>435</v>
      </c>
    </row>
    <row r="97" spans="2:5">
      <c r="B97" s="28" t="s">
        <v>78</v>
      </c>
      <c r="C97" s="84">
        <v>401</v>
      </c>
      <c r="D97" s="7" t="s">
        <v>19</v>
      </c>
      <c r="E97" s="88">
        <v>300000</v>
      </c>
    </row>
  </sheetData>
  <autoFilter ref="A2:G97" xr:uid="{1037D464-E6D4-4C97-8584-7F2852357F77}"/>
  <mergeCells count="4">
    <mergeCell ref="A1:G1"/>
    <mergeCell ref="G8:G9"/>
    <mergeCell ref="G11:G12"/>
    <mergeCell ref="G72:G73"/>
  </mergeCells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96F1-594B-404A-B0E0-3F1E300D96FB}">
  <sheetPr codeName="Sheet10"/>
  <dimension ref="A1:G84"/>
  <sheetViews>
    <sheetView workbookViewId="0">
      <selection activeCell="G68" sqref="G68"/>
    </sheetView>
  </sheetViews>
  <sheetFormatPr defaultColWidth="8.81640625" defaultRowHeight="14"/>
  <cols>
    <col min="1" max="1" width="9.90625" style="21" customWidth="1"/>
    <col min="2" max="2" width="10.36328125" style="7" customWidth="1"/>
    <col min="3" max="3" width="12.81640625" style="7" customWidth="1"/>
    <col min="4" max="4" width="45.6328125" style="7" customWidth="1"/>
    <col min="5" max="6" width="16.6328125" style="88" customWidth="1"/>
    <col min="7" max="7" width="34.81640625" style="7" customWidth="1"/>
    <col min="8" max="16384" width="8.81640625" style="7"/>
  </cols>
  <sheetData>
    <row r="1" spans="1:7" ht="24.5" customHeight="1">
      <c r="A1" s="255" t="s">
        <v>319</v>
      </c>
      <c r="B1" s="256"/>
      <c r="C1" s="256"/>
      <c r="D1" s="256"/>
      <c r="E1" s="256"/>
      <c r="F1" s="256"/>
      <c r="G1" s="257"/>
    </row>
    <row r="2" spans="1:7" ht="28" customHeight="1">
      <c r="A2" s="20" t="s">
        <v>1</v>
      </c>
      <c r="B2" s="3" t="s">
        <v>2</v>
      </c>
      <c r="C2" s="3" t="s">
        <v>3</v>
      </c>
      <c r="D2" s="3" t="s">
        <v>4</v>
      </c>
      <c r="E2" s="85" t="s">
        <v>5</v>
      </c>
      <c r="F2" s="85" t="s">
        <v>6</v>
      </c>
      <c r="G2" s="3" t="s">
        <v>7</v>
      </c>
    </row>
    <row r="3" spans="1:7" ht="28" customHeight="1">
      <c r="A3" s="70"/>
      <c r="B3" s="71"/>
      <c r="C3" s="71"/>
      <c r="D3" s="71"/>
      <c r="E3" s="86">
        <f>SUBTOTAL(109,E4:E88)</f>
        <v>7550000</v>
      </c>
      <c r="F3" s="86">
        <f>SUBTOTAL(109,F4:F88)</f>
        <v>6200000</v>
      </c>
      <c r="G3" s="71"/>
    </row>
    <row r="4" spans="1:7" s="59" customFormat="1" ht="19.5" customHeight="1">
      <c r="A4" s="79">
        <v>46082</v>
      </c>
      <c r="B4" s="28" t="s">
        <v>149</v>
      </c>
      <c r="C4" s="59">
        <v>205</v>
      </c>
      <c r="D4" s="57" t="s">
        <v>19</v>
      </c>
      <c r="E4" s="87">
        <v>150000</v>
      </c>
      <c r="F4" s="87"/>
    </row>
    <row r="5" spans="1:7" s="59" customFormat="1" ht="19.5" customHeight="1">
      <c r="B5" s="28" t="s">
        <v>149</v>
      </c>
      <c r="C5" s="59">
        <v>205</v>
      </c>
      <c r="D5" s="57" t="s">
        <v>241</v>
      </c>
      <c r="E5" s="87">
        <v>200000</v>
      </c>
      <c r="F5" s="87"/>
      <c r="G5" s="57" t="s">
        <v>328</v>
      </c>
    </row>
    <row r="6" spans="1:7" s="59" customFormat="1" ht="19.5" customHeight="1">
      <c r="B6" s="28" t="s">
        <v>149</v>
      </c>
      <c r="C6" s="59">
        <v>205</v>
      </c>
      <c r="D6" s="57" t="s">
        <v>266</v>
      </c>
      <c r="E6" s="87"/>
      <c r="F6" s="87">
        <v>20000</v>
      </c>
    </row>
    <row r="7" spans="1:7" s="59" customFormat="1" ht="19.5" customHeight="1">
      <c r="B7" s="28" t="s">
        <v>149</v>
      </c>
      <c r="C7" s="59">
        <v>205</v>
      </c>
      <c r="D7" s="57" t="s">
        <v>320</v>
      </c>
      <c r="E7" s="87"/>
      <c r="F7" s="87">
        <v>10000</v>
      </c>
    </row>
    <row r="8" spans="1:7" s="59" customFormat="1" ht="19.5" customHeight="1">
      <c r="B8" s="28" t="s">
        <v>149</v>
      </c>
      <c r="C8" s="59">
        <v>205</v>
      </c>
      <c r="D8" s="57" t="s">
        <v>321</v>
      </c>
      <c r="E8" s="87"/>
      <c r="F8" s="87">
        <v>40000</v>
      </c>
    </row>
    <row r="9" spans="1:7" s="59" customFormat="1" ht="19.5" customHeight="1">
      <c r="B9" s="28" t="s">
        <v>149</v>
      </c>
      <c r="C9" s="59">
        <v>205</v>
      </c>
      <c r="D9" s="57" t="s">
        <v>322</v>
      </c>
      <c r="E9" s="87"/>
      <c r="F9" s="87">
        <v>120000</v>
      </c>
    </row>
    <row r="10" spans="1:7" s="59" customFormat="1" ht="19.5" customHeight="1">
      <c r="B10" s="28" t="s">
        <v>149</v>
      </c>
      <c r="C10" s="59">
        <v>205</v>
      </c>
      <c r="D10" s="57" t="s">
        <v>323</v>
      </c>
      <c r="E10" s="87">
        <v>200000</v>
      </c>
      <c r="F10" s="87">
        <v>40000</v>
      </c>
    </row>
    <row r="11" spans="1:7" s="59" customFormat="1" ht="19.5" customHeight="1">
      <c r="B11" s="28" t="s">
        <v>149</v>
      </c>
      <c r="C11" s="59">
        <v>205</v>
      </c>
      <c r="D11" s="57" t="s">
        <v>324</v>
      </c>
      <c r="E11" s="87"/>
      <c r="F11" s="87">
        <v>30000</v>
      </c>
    </row>
    <row r="12" spans="1:7" s="59" customFormat="1" ht="19.5" customHeight="1">
      <c r="B12" s="28" t="s">
        <v>149</v>
      </c>
      <c r="C12" s="59">
        <v>205</v>
      </c>
      <c r="D12" s="57" t="s">
        <v>325</v>
      </c>
      <c r="E12" s="87"/>
      <c r="F12" s="87">
        <v>10000</v>
      </c>
    </row>
    <row r="13" spans="1:7" s="59" customFormat="1" ht="19.5" customHeight="1">
      <c r="B13" s="28" t="s">
        <v>212</v>
      </c>
      <c r="C13" s="59">
        <v>402</v>
      </c>
      <c r="D13" s="57" t="s">
        <v>241</v>
      </c>
      <c r="E13" s="87">
        <v>100000</v>
      </c>
      <c r="F13" s="87"/>
    </row>
    <row r="14" spans="1:7" s="59" customFormat="1" ht="19.5" customHeight="1">
      <c r="B14" s="28" t="s">
        <v>109</v>
      </c>
      <c r="C14" s="59">
        <v>302</v>
      </c>
      <c r="D14" s="57" t="s">
        <v>241</v>
      </c>
      <c r="E14" s="87">
        <v>300000</v>
      </c>
      <c r="F14" s="87"/>
    </row>
    <row r="15" spans="1:7" s="59" customFormat="1" ht="19.5" customHeight="1">
      <c r="A15" s="79">
        <v>46084</v>
      </c>
      <c r="B15" s="28" t="s">
        <v>20</v>
      </c>
      <c r="C15" s="59">
        <v>206</v>
      </c>
      <c r="D15" s="57" t="s">
        <v>241</v>
      </c>
      <c r="E15" s="87">
        <v>150000</v>
      </c>
      <c r="F15" s="87"/>
    </row>
    <row r="16" spans="1:7" s="59" customFormat="1" ht="19.5" customHeight="1">
      <c r="B16" s="28" t="s">
        <v>20</v>
      </c>
      <c r="C16" s="59">
        <v>206</v>
      </c>
      <c r="D16" s="57" t="s">
        <v>326</v>
      </c>
      <c r="E16" s="87"/>
      <c r="F16" s="87">
        <v>40000</v>
      </c>
    </row>
    <row r="17" spans="1:7" s="59" customFormat="1" ht="19.5" customHeight="1">
      <c r="B17" s="28" t="s">
        <v>20</v>
      </c>
      <c r="C17" s="59">
        <v>206</v>
      </c>
      <c r="D17" s="57" t="s">
        <v>191</v>
      </c>
      <c r="E17" s="87"/>
      <c r="F17" s="87">
        <v>40000</v>
      </c>
    </row>
    <row r="18" spans="1:7" s="59" customFormat="1" ht="19.5" customHeight="1">
      <c r="A18" s="79">
        <v>46085</v>
      </c>
      <c r="B18" s="28" t="s">
        <v>149</v>
      </c>
      <c r="C18" s="59">
        <v>102</v>
      </c>
      <c r="D18" s="57" t="s">
        <v>19</v>
      </c>
      <c r="E18" s="87">
        <v>150000</v>
      </c>
      <c r="F18" s="87"/>
    </row>
    <row r="19" spans="1:7" s="59" customFormat="1" ht="19.5" customHeight="1">
      <c r="B19" s="28" t="s">
        <v>149</v>
      </c>
      <c r="C19" s="59">
        <v>102</v>
      </c>
      <c r="D19" s="57" t="s">
        <v>241</v>
      </c>
      <c r="E19" s="87">
        <v>200000</v>
      </c>
      <c r="F19" s="87"/>
      <c r="G19" s="57" t="s">
        <v>172</v>
      </c>
    </row>
    <row r="20" spans="1:7" s="59" customFormat="1" ht="19.5" customHeight="1">
      <c r="B20" s="28" t="s">
        <v>278</v>
      </c>
      <c r="C20" s="59">
        <v>402</v>
      </c>
      <c r="D20" s="57" t="s">
        <v>241</v>
      </c>
      <c r="E20" s="87">
        <v>200000</v>
      </c>
      <c r="F20" s="87"/>
      <c r="G20" s="57" t="s">
        <v>127</v>
      </c>
    </row>
    <row r="21" spans="1:7" s="59" customFormat="1" ht="19.5" customHeight="1">
      <c r="B21" s="28" t="s">
        <v>149</v>
      </c>
      <c r="C21" s="59">
        <v>203</v>
      </c>
      <c r="D21" s="57" t="s">
        <v>241</v>
      </c>
      <c r="E21" s="87">
        <v>100000</v>
      </c>
      <c r="F21" s="87"/>
      <c r="G21" s="57" t="s">
        <v>172</v>
      </c>
    </row>
    <row r="22" spans="1:7" s="59" customFormat="1">
      <c r="B22" s="28" t="s">
        <v>149</v>
      </c>
      <c r="C22" s="59">
        <v>203</v>
      </c>
      <c r="D22" s="57" t="s">
        <v>327</v>
      </c>
      <c r="E22" s="87"/>
      <c r="F22" s="87">
        <v>30000</v>
      </c>
    </row>
    <row r="23" spans="1:7" s="59" customFormat="1">
      <c r="A23" s="79">
        <v>46086</v>
      </c>
      <c r="B23" s="28" t="s">
        <v>138</v>
      </c>
      <c r="C23" s="59">
        <v>201</v>
      </c>
      <c r="D23" s="57" t="s">
        <v>241</v>
      </c>
      <c r="E23" s="87">
        <v>150000</v>
      </c>
      <c r="F23" s="87"/>
    </row>
    <row r="24" spans="1:7" s="59" customFormat="1">
      <c r="A24" s="79">
        <v>46087</v>
      </c>
      <c r="B24" s="28" t="s">
        <v>138</v>
      </c>
      <c r="D24" s="57" t="s">
        <v>329</v>
      </c>
      <c r="E24" s="87">
        <v>400000</v>
      </c>
      <c r="F24" s="87"/>
    </row>
    <row r="25" spans="1:7" s="59" customFormat="1">
      <c r="B25" s="28" t="s">
        <v>341</v>
      </c>
      <c r="C25" s="59">
        <v>101</v>
      </c>
      <c r="D25" s="57" t="s">
        <v>330</v>
      </c>
      <c r="E25" s="87"/>
      <c r="F25" s="87">
        <v>250000</v>
      </c>
    </row>
    <row r="26" spans="1:7" s="59" customFormat="1">
      <c r="A26" s="79">
        <v>46089</v>
      </c>
      <c r="B26" s="28" t="s">
        <v>275</v>
      </c>
      <c r="C26" s="59">
        <v>405</v>
      </c>
      <c r="D26" s="57" t="s">
        <v>241</v>
      </c>
      <c r="E26" s="87">
        <v>200000</v>
      </c>
      <c r="F26" s="87"/>
      <c r="G26" s="57" t="s">
        <v>127</v>
      </c>
    </row>
    <row r="27" spans="1:7" s="59" customFormat="1">
      <c r="A27" s="79">
        <v>46087</v>
      </c>
      <c r="B27" s="28" t="s">
        <v>138</v>
      </c>
      <c r="D27" s="57" t="s">
        <v>331</v>
      </c>
      <c r="E27" s="87"/>
      <c r="F27" s="87">
        <v>90000</v>
      </c>
    </row>
    <row r="28" spans="1:7" s="59" customFormat="1">
      <c r="A28" s="79">
        <v>46089</v>
      </c>
      <c r="B28" s="28" t="s">
        <v>281</v>
      </c>
      <c r="C28" s="59">
        <v>303</v>
      </c>
      <c r="D28" s="57" t="s">
        <v>19</v>
      </c>
      <c r="E28" s="87">
        <v>150000</v>
      </c>
      <c r="F28" s="87"/>
      <c r="G28" s="57" t="s">
        <v>339</v>
      </c>
    </row>
    <row r="29" spans="1:7" s="59" customFormat="1">
      <c r="A29" s="79">
        <v>46090</v>
      </c>
      <c r="B29" s="28" t="s">
        <v>149</v>
      </c>
      <c r="C29" s="59">
        <v>205</v>
      </c>
      <c r="D29" s="57" t="s">
        <v>332</v>
      </c>
      <c r="E29" s="87"/>
      <c r="F29" s="87">
        <v>20000</v>
      </c>
    </row>
    <row r="30" spans="1:7" s="59" customFormat="1">
      <c r="A30" s="79">
        <v>46091</v>
      </c>
      <c r="B30" s="28" t="s">
        <v>278</v>
      </c>
      <c r="C30" s="59">
        <v>402</v>
      </c>
      <c r="D30" s="57" t="s">
        <v>340</v>
      </c>
      <c r="E30" s="87">
        <v>100000</v>
      </c>
      <c r="F30" s="87"/>
    </row>
    <row r="31" spans="1:7" s="59" customFormat="1">
      <c r="B31" s="28" t="s">
        <v>342</v>
      </c>
      <c r="C31" s="59">
        <v>103</v>
      </c>
      <c r="D31" s="57" t="s">
        <v>19</v>
      </c>
      <c r="E31" s="87">
        <v>150000</v>
      </c>
      <c r="F31" s="87"/>
      <c r="G31" s="57" t="s">
        <v>339</v>
      </c>
    </row>
    <row r="32" spans="1:7" s="59" customFormat="1">
      <c r="B32" s="28" t="s">
        <v>437</v>
      </c>
      <c r="D32" s="57" t="s">
        <v>241</v>
      </c>
      <c r="E32" s="87">
        <v>150000</v>
      </c>
      <c r="F32" s="87"/>
    </row>
    <row r="33" spans="1:6" s="59" customFormat="1">
      <c r="A33" s="79">
        <v>46092</v>
      </c>
      <c r="B33" s="28" t="s">
        <v>199</v>
      </c>
      <c r="D33" s="57" t="s">
        <v>333</v>
      </c>
      <c r="E33" s="87"/>
      <c r="F33" s="87">
        <v>80000</v>
      </c>
    </row>
    <row r="34" spans="1:6" s="59" customFormat="1">
      <c r="B34" s="28" t="s">
        <v>30</v>
      </c>
      <c r="D34" s="57" t="s">
        <v>334</v>
      </c>
      <c r="E34" s="87"/>
      <c r="F34" s="87"/>
    </row>
    <row r="35" spans="1:6" s="59" customFormat="1">
      <c r="A35" s="79">
        <v>46094</v>
      </c>
      <c r="B35" s="28" t="s">
        <v>136</v>
      </c>
      <c r="C35" s="59">
        <v>203</v>
      </c>
      <c r="D35" s="57" t="s">
        <v>19</v>
      </c>
      <c r="E35" s="87">
        <v>150000</v>
      </c>
      <c r="F35" s="87"/>
    </row>
    <row r="36" spans="1:6" s="59" customFormat="1">
      <c r="B36" s="28" t="s">
        <v>136</v>
      </c>
      <c r="C36" s="59">
        <v>203</v>
      </c>
      <c r="D36" s="57" t="s">
        <v>241</v>
      </c>
      <c r="E36" s="87">
        <v>150000</v>
      </c>
      <c r="F36" s="87"/>
    </row>
    <row r="37" spans="1:6" s="59" customFormat="1">
      <c r="B37" s="28" t="s">
        <v>139</v>
      </c>
      <c r="C37" s="59">
        <v>102</v>
      </c>
      <c r="D37" s="57" t="s">
        <v>335</v>
      </c>
      <c r="E37" s="87"/>
      <c r="F37" s="87">
        <v>220000</v>
      </c>
    </row>
    <row r="38" spans="1:6" s="59" customFormat="1">
      <c r="B38" s="28" t="s">
        <v>139</v>
      </c>
      <c r="D38" s="57" t="s">
        <v>336</v>
      </c>
      <c r="E38" s="87"/>
      <c r="F38" s="87">
        <v>20000</v>
      </c>
    </row>
    <row r="39" spans="1:6" s="59" customFormat="1">
      <c r="B39" s="28" t="s">
        <v>149</v>
      </c>
      <c r="D39" s="57" t="s">
        <v>337</v>
      </c>
      <c r="E39" s="87"/>
      <c r="F39" s="87">
        <v>30000</v>
      </c>
    </row>
    <row r="40" spans="1:6" s="59" customFormat="1">
      <c r="B40" s="28" t="s">
        <v>139</v>
      </c>
      <c r="D40" s="57" t="s">
        <v>337</v>
      </c>
      <c r="E40" s="87"/>
      <c r="F40" s="87">
        <v>30000</v>
      </c>
    </row>
    <row r="41" spans="1:6" s="59" customFormat="1">
      <c r="B41" s="28" t="s">
        <v>136</v>
      </c>
      <c r="C41" s="59">
        <v>203</v>
      </c>
      <c r="D41" s="57" t="s">
        <v>338</v>
      </c>
      <c r="E41" s="87"/>
      <c r="F41" s="87">
        <v>80000</v>
      </c>
    </row>
    <row r="42" spans="1:6" s="59" customFormat="1">
      <c r="A42" s="79">
        <v>46096</v>
      </c>
      <c r="B42" s="28" t="s">
        <v>342</v>
      </c>
      <c r="C42" s="59">
        <v>105</v>
      </c>
      <c r="D42" s="57" t="s">
        <v>343</v>
      </c>
      <c r="E42" s="87">
        <v>150000</v>
      </c>
      <c r="F42" s="87">
        <v>600000</v>
      </c>
    </row>
    <row r="43" spans="1:6" s="59" customFormat="1">
      <c r="B43" s="28" t="s">
        <v>349</v>
      </c>
      <c r="C43" s="59">
        <v>302</v>
      </c>
      <c r="D43" s="57" t="s">
        <v>343</v>
      </c>
      <c r="E43" s="87">
        <v>150000</v>
      </c>
      <c r="F43" s="87">
        <v>600000</v>
      </c>
    </row>
    <row r="44" spans="1:6" s="59" customFormat="1">
      <c r="A44" s="79">
        <v>46098</v>
      </c>
      <c r="B44" s="28" t="s">
        <v>142</v>
      </c>
      <c r="C44" s="59">
        <v>603</v>
      </c>
      <c r="D44" s="57" t="s">
        <v>19</v>
      </c>
      <c r="E44" s="87">
        <v>200000</v>
      </c>
      <c r="F44" s="87"/>
    </row>
    <row r="45" spans="1:6" s="59" customFormat="1">
      <c r="B45" s="28" t="s">
        <v>142</v>
      </c>
      <c r="C45" s="59">
        <v>603</v>
      </c>
      <c r="D45" s="57" t="s">
        <v>241</v>
      </c>
      <c r="E45" s="87">
        <v>150000</v>
      </c>
      <c r="F45" s="87"/>
    </row>
    <row r="46" spans="1:6" s="59" customFormat="1">
      <c r="A46" s="79">
        <v>46099</v>
      </c>
      <c r="B46" s="28" t="s">
        <v>103</v>
      </c>
      <c r="C46" s="59">
        <v>402</v>
      </c>
      <c r="D46" s="57" t="s">
        <v>19</v>
      </c>
      <c r="E46" s="87">
        <v>200000</v>
      </c>
      <c r="F46" s="87"/>
    </row>
    <row r="47" spans="1:6" s="59" customFormat="1">
      <c r="B47" s="28" t="s">
        <v>103</v>
      </c>
      <c r="C47" s="59">
        <v>402</v>
      </c>
      <c r="D47" s="57" t="s">
        <v>241</v>
      </c>
      <c r="E47" s="87">
        <v>150000</v>
      </c>
      <c r="F47" s="87"/>
    </row>
    <row r="48" spans="1:6" s="59" customFormat="1">
      <c r="A48" s="80" t="s">
        <v>354</v>
      </c>
      <c r="B48" s="28" t="s">
        <v>350</v>
      </c>
      <c r="C48" s="59">
        <v>102</v>
      </c>
      <c r="D48" s="57" t="s">
        <v>19</v>
      </c>
      <c r="E48" s="87">
        <v>150000</v>
      </c>
      <c r="F48" s="87"/>
    </row>
    <row r="49" spans="1:7" s="57" customFormat="1">
      <c r="A49" s="59"/>
      <c r="B49" s="28" t="s">
        <v>350</v>
      </c>
      <c r="C49" s="59">
        <v>102</v>
      </c>
      <c r="D49" s="57" t="s">
        <v>241</v>
      </c>
      <c r="E49" s="87">
        <v>150000</v>
      </c>
      <c r="F49" s="87"/>
      <c r="G49" s="59"/>
    </row>
    <row r="50" spans="1:7" s="57" customFormat="1">
      <c r="A50" s="59"/>
      <c r="B50" s="28" t="s">
        <v>350</v>
      </c>
      <c r="C50" s="59">
        <v>102</v>
      </c>
      <c r="D50" s="57" t="s">
        <v>344</v>
      </c>
      <c r="E50" s="87"/>
      <c r="F50" s="87">
        <v>220000</v>
      </c>
      <c r="G50" s="59"/>
    </row>
    <row r="51" spans="1:7">
      <c r="A51" s="59"/>
      <c r="B51" s="28" t="s">
        <v>350</v>
      </c>
      <c r="C51" s="59"/>
      <c r="D51" s="57" t="s">
        <v>336</v>
      </c>
      <c r="E51" s="87"/>
      <c r="F51" s="87">
        <v>20000</v>
      </c>
      <c r="G51" s="59"/>
    </row>
    <row r="52" spans="1:7">
      <c r="A52" s="21">
        <v>46101</v>
      </c>
      <c r="B52" s="28" t="s">
        <v>103</v>
      </c>
      <c r="C52" s="7">
        <v>702</v>
      </c>
      <c r="D52" s="7" t="s">
        <v>154</v>
      </c>
      <c r="F52" s="88">
        <v>80000</v>
      </c>
    </row>
    <row r="53" spans="1:7">
      <c r="B53" s="28" t="s">
        <v>209</v>
      </c>
      <c r="C53" s="7">
        <v>401</v>
      </c>
      <c r="D53" s="7" t="s">
        <v>345</v>
      </c>
      <c r="F53" s="88">
        <v>70000</v>
      </c>
    </row>
    <row r="54" spans="1:7">
      <c r="A54" s="21">
        <v>46102</v>
      </c>
      <c r="B54" s="28" t="s">
        <v>351</v>
      </c>
      <c r="C54" s="7">
        <v>202</v>
      </c>
      <c r="D54" s="7" t="s">
        <v>19</v>
      </c>
      <c r="E54" s="88">
        <v>200000</v>
      </c>
    </row>
    <row r="55" spans="1:7">
      <c r="B55" s="28" t="s">
        <v>351</v>
      </c>
      <c r="C55" s="7">
        <v>202</v>
      </c>
      <c r="D55" s="7" t="s">
        <v>241</v>
      </c>
      <c r="E55" s="88">
        <v>150000</v>
      </c>
    </row>
    <row r="56" spans="1:7">
      <c r="B56" s="28" t="s">
        <v>352</v>
      </c>
      <c r="C56" s="7">
        <v>401</v>
      </c>
      <c r="D56" s="7" t="s">
        <v>153</v>
      </c>
      <c r="F56" s="88">
        <v>25000</v>
      </c>
    </row>
    <row r="57" spans="1:7">
      <c r="A57" s="21">
        <v>46104</v>
      </c>
      <c r="B57" s="28" t="s">
        <v>353</v>
      </c>
      <c r="C57" s="7">
        <v>202</v>
      </c>
      <c r="D57" s="7" t="s">
        <v>154</v>
      </c>
      <c r="F57" s="88">
        <v>80000</v>
      </c>
    </row>
    <row r="58" spans="1:7">
      <c r="B58" s="28" t="s">
        <v>353</v>
      </c>
      <c r="C58" s="7">
        <v>202</v>
      </c>
      <c r="D58" s="7" t="s">
        <v>346</v>
      </c>
      <c r="F58" s="88">
        <v>160000</v>
      </c>
    </row>
    <row r="59" spans="1:7">
      <c r="A59" s="21">
        <v>46106</v>
      </c>
      <c r="B59" s="28" t="s">
        <v>111</v>
      </c>
      <c r="C59" s="7">
        <v>702</v>
      </c>
      <c r="D59" s="7" t="s">
        <v>347</v>
      </c>
      <c r="F59" s="88">
        <v>120000</v>
      </c>
    </row>
    <row r="60" spans="1:7">
      <c r="B60" s="28" t="s">
        <v>111</v>
      </c>
      <c r="C60" s="7">
        <v>702</v>
      </c>
      <c r="D60" s="7" t="s">
        <v>348</v>
      </c>
      <c r="F60" s="88">
        <v>60000</v>
      </c>
    </row>
    <row r="61" spans="1:7">
      <c r="B61" s="28" t="s">
        <v>111</v>
      </c>
      <c r="C61" s="7">
        <v>701</v>
      </c>
      <c r="D61" s="7" t="s">
        <v>355</v>
      </c>
      <c r="F61" s="88">
        <v>280000</v>
      </c>
    </row>
    <row r="62" spans="1:7">
      <c r="B62" s="28" t="s">
        <v>111</v>
      </c>
      <c r="C62" s="7">
        <v>701</v>
      </c>
      <c r="D62" s="7" t="s">
        <v>356</v>
      </c>
    </row>
    <row r="63" spans="1:7">
      <c r="B63" s="28" t="s">
        <v>111</v>
      </c>
      <c r="C63" s="7">
        <v>701</v>
      </c>
      <c r="D63" s="7" t="s">
        <v>357</v>
      </c>
      <c r="F63" s="88">
        <v>40000</v>
      </c>
    </row>
    <row r="64" spans="1:7">
      <c r="B64" s="28" t="s">
        <v>111</v>
      </c>
      <c r="C64" s="7">
        <v>701</v>
      </c>
      <c r="D64" s="7" t="s">
        <v>358</v>
      </c>
      <c r="F64" s="88">
        <v>45000</v>
      </c>
    </row>
    <row r="65" spans="1:7">
      <c r="B65" s="28" t="s">
        <v>149</v>
      </c>
      <c r="C65" s="7">
        <v>101</v>
      </c>
      <c r="D65" s="7" t="s">
        <v>19</v>
      </c>
      <c r="E65" s="96">
        <v>200000</v>
      </c>
    </row>
    <row r="66" spans="1:7">
      <c r="B66" s="28" t="s">
        <v>149</v>
      </c>
      <c r="C66" s="7">
        <v>101</v>
      </c>
      <c r="D66" s="7" t="s">
        <v>241</v>
      </c>
      <c r="E66" s="96">
        <v>200000</v>
      </c>
      <c r="G66" s="7" t="s">
        <v>127</v>
      </c>
    </row>
    <row r="67" spans="1:7">
      <c r="A67" s="21">
        <v>46109</v>
      </c>
      <c r="B67" s="28" t="s">
        <v>365</v>
      </c>
      <c r="C67" s="7">
        <v>102</v>
      </c>
      <c r="D67" s="7" t="s">
        <v>19</v>
      </c>
      <c r="E67" s="88">
        <v>200000</v>
      </c>
    </row>
    <row r="68" spans="1:7">
      <c r="B68" s="28" t="s">
        <v>365</v>
      </c>
      <c r="C68" s="7">
        <v>102</v>
      </c>
      <c r="D68" s="7" t="s">
        <v>241</v>
      </c>
      <c r="E68" s="88">
        <v>150000</v>
      </c>
    </row>
    <row r="69" spans="1:7">
      <c r="A69" s="21">
        <v>46110</v>
      </c>
      <c r="B69" s="28" t="s">
        <v>142</v>
      </c>
      <c r="C69" s="7">
        <v>603</v>
      </c>
      <c r="D69" s="7" t="s">
        <v>338</v>
      </c>
      <c r="F69" s="88">
        <v>80000</v>
      </c>
    </row>
    <row r="70" spans="1:7">
      <c r="B70" s="28" t="s">
        <v>149</v>
      </c>
      <c r="C70" s="7">
        <v>101</v>
      </c>
      <c r="D70" s="7" t="s">
        <v>130</v>
      </c>
      <c r="F70" s="88">
        <v>40000</v>
      </c>
    </row>
    <row r="71" spans="1:7">
      <c r="B71" s="28" t="s">
        <v>149</v>
      </c>
      <c r="C71" s="7">
        <v>101</v>
      </c>
      <c r="D71" s="7" t="s">
        <v>359</v>
      </c>
      <c r="F71" s="88">
        <v>40000</v>
      </c>
    </row>
    <row r="72" spans="1:7">
      <c r="A72" s="21">
        <v>46111</v>
      </c>
      <c r="B72" s="28" t="s">
        <v>282</v>
      </c>
      <c r="C72" s="7">
        <v>603</v>
      </c>
      <c r="D72" s="7" t="s">
        <v>360</v>
      </c>
      <c r="E72" s="88">
        <v>500000</v>
      </c>
    </row>
    <row r="73" spans="1:7">
      <c r="B73" s="28" t="s">
        <v>282</v>
      </c>
      <c r="C73" s="7">
        <v>603</v>
      </c>
      <c r="D73" s="7" t="s">
        <v>361</v>
      </c>
      <c r="F73" s="88">
        <v>500000</v>
      </c>
    </row>
    <row r="74" spans="1:7">
      <c r="B74" s="28" t="s">
        <v>282</v>
      </c>
      <c r="C74" s="7">
        <v>603</v>
      </c>
      <c r="D74" s="7" t="s">
        <v>362</v>
      </c>
      <c r="F74" s="88">
        <v>100000</v>
      </c>
    </row>
    <row r="75" spans="1:7">
      <c r="B75" s="28" t="s">
        <v>61</v>
      </c>
      <c r="C75" s="94">
        <v>403</v>
      </c>
      <c r="D75" s="94" t="s">
        <v>363</v>
      </c>
      <c r="E75" s="95">
        <v>200000</v>
      </c>
    </row>
    <row r="76" spans="1:7">
      <c r="A76" s="21">
        <v>46112</v>
      </c>
      <c r="B76" s="28" t="s">
        <v>366</v>
      </c>
      <c r="C76" s="7">
        <v>302</v>
      </c>
      <c r="D76" s="7" t="s">
        <v>241</v>
      </c>
      <c r="E76" s="88">
        <v>200000</v>
      </c>
    </row>
    <row r="77" spans="1:7">
      <c r="B77" s="28" t="s">
        <v>226</v>
      </c>
      <c r="C77" s="7">
        <v>405</v>
      </c>
      <c r="D77" s="7" t="s">
        <v>241</v>
      </c>
      <c r="E77" s="88">
        <v>200000</v>
      </c>
    </row>
    <row r="78" spans="1:7">
      <c r="B78" s="28" t="s">
        <v>367</v>
      </c>
      <c r="C78" s="7">
        <v>402</v>
      </c>
      <c r="D78" s="7" t="s">
        <v>19</v>
      </c>
      <c r="E78" s="88">
        <v>200000</v>
      </c>
    </row>
    <row r="79" spans="1:7">
      <c r="B79" s="28" t="s">
        <v>367</v>
      </c>
      <c r="C79" s="7">
        <v>402</v>
      </c>
      <c r="D79" s="7" t="s">
        <v>241</v>
      </c>
      <c r="E79" s="88">
        <v>150000</v>
      </c>
    </row>
    <row r="80" spans="1:7">
      <c r="B80" s="28" t="s">
        <v>149</v>
      </c>
      <c r="C80" s="7">
        <v>105</v>
      </c>
      <c r="D80" s="7" t="s">
        <v>19</v>
      </c>
      <c r="E80" s="88">
        <v>200000</v>
      </c>
    </row>
    <row r="81" spans="2:6">
      <c r="B81" s="28" t="s">
        <v>149</v>
      </c>
      <c r="C81" s="7">
        <v>105</v>
      </c>
      <c r="D81" s="7" t="s">
        <v>241</v>
      </c>
      <c r="E81" s="88">
        <v>150000</v>
      </c>
    </row>
    <row r="82" spans="2:6">
      <c r="B82" s="28" t="s">
        <v>438</v>
      </c>
      <c r="D82" s="7" t="s">
        <v>368</v>
      </c>
      <c r="F82" s="88">
        <v>1800000</v>
      </c>
    </row>
    <row r="83" spans="2:6">
      <c r="B83" s="28" t="s">
        <v>438</v>
      </c>
      <c r="D83" s="7" t="s">
        <v>369</v>
      </c>
      <c r="F83" s="88">
        <v>40000</v>
      </c>
    </row>
    <row r="84" spans="2:6">
      <c r="B84" s="28"/>
    </row>
  </sheetData>
  <autoFilter ref="A2:G83" xr:uid="{1037D464-E6D4-4C97-8584-7F2852357F77}"/>
  <mergeCells count="1">
    <mergeCell ref="A1:G1"/>
  </mergeCells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EEDE-CD60-4715-AA42-E11994068B07}">
  <sheetPr codeName="Sheet11"/>
  <dimension ref="A1:L47"/>
  <sheetViews>
    <sheetView topLeftCell="B19" workbookViewId="0">
      <selection activeCell="I13" sqref="I13:L29"/>
    </sheetView>
  </sheetViews>
  <sheetFormatPr defaultColWidth="8.81640625" defaultRowHeight="14.5"/>
  <cols>
    <col min="1" max="1" width="45.1796875" style="29" customWidth="1"/>
    <col min="2" max="2" width="17.1796875" style="29" customWidth="1"/>
    <col min="3" max="3" width="15.90625" style="29" customWidth="1"/>
    <col min="4" max="4" width="13.1796875" style="29" customWidth="1"/>
    <col min="5" max="8" width="8.81640625" style="29"/>
    <col min="9" max="9" width="38" style="29" customWidth="1"/>
    <col min="10" max="10" width="20.90625" style="29" customWidth="1"/>
    <col min="11" max="12" width="15.453125" style="29" customWidth="1"/>
    <col min="13" max="16384" width="8.81640625" style="29"/>
  </cols>
  <sheetData>
    <row r="1" spans="1:12">
      <c r="D1" s="30"/>
      <c r="I1" s="31"/>
      <c r="J1" s="32"/>
      <c r="K1" s="33"/>
      <c r="L1" s="33"/>
    </row>
    <row r="2" spans="1:12">
      <c r="D2" s="30"/>
      <c r="L2" s="33"/>
    </row>
    <row r="3" spans="1:12">
      <c r="D3" s="30"/>
      <c r="I3" s="31"/>
      <c r="J3" s="34"/>
      <c r="K3" s="33"/>
      <c r="L3" s="33"/>
    </row>
    <row r="4" spans="1:12">
      <c r="D4" s="30"/>
      <c r="L4" s="33"/>
    </row>
    <row r="5" spans="1:12">
      <c r="A5" s="35"/>
      <c r="B5" s="36"/>
      <c r="C5" s="30"/>
      <c r="D5" s="30"/>
      <c r="L5" s="33"/>
    </row>
    <row r="6" spans="1:12">
      <c r="A6" s="35"/>
      <c r="B6" s="36"/>
      <c r="C6" s="30"/>
      <c r="D6" s="30"/>
      <c r="I6" s="31"/>
      <c r="J6" s="34"/>
      <c r="K6" s="33"/>
      <c r="L6" s="33"/>
    </row>
    <row r="7" spans="1:12">
      <c r="A7" s="35"/>
      <c r="B7" s="36"/>
      <c r="C7" s="30"/>
      <c r="D7" s="30"/>
      <c r="I7" s="31"/>
      <c r="J7" s="34"/>
      <c r="K7" s="33"/>
      <c r="L7" s="33"/>
    </row>
    <row r="8" spans="1:12">
      <c r="A8" s="35"/>
      <c r="B8" s="36"/>
      <c r="C8" s="30"/>
      <c r="D8" s="30"/>
      <c r="I8" s="31"/>
      <c r="J8" s="34"/>
      <c r="K8" s="33"/>
      <c r="L8" s="33"/>
    </row>
    <row r="9" spans="1:12">
      <c r="A9" s="35"/>
      <c r="B9" s="36"/>
      <c r="C9" s="30"/>
      <c r="D9" s="30"/>
      <c r="I9" s="31"/>
      <c r="J9" s="34"/>
      <c r="K9" s="33"/>
      <c r="L9" s="33"/>
    </row>
    <row r="10" spans="1:12">
      <c r="I10" s="31"/>
      <c r="J10" s="34"/>
      <c r="K10" s="33"/>
      <c r="L10" s="33"/>
    </row>
    <row r="12" spans="1:12">
      <c r="A12" s="265" t="s">
        <v>475</v>
      </c>
      <c r="B12" s="249"/>
      <c r="C12" s="249"/>
      <c r="D12" s="249"/>
    </row>
    <row r="13" spans="1:12">
      <c r="A13" s="37" t="s">
        <v>214</v>
      </c>
      <c r="B13" s="37" t="s">
        <v>215</v>
      </c>
      <c r="C13" s="37" t="s">
        <v>216</v>
      </c>
      <c r="D13" s="38" t="s">
        <v>217</v>
      </c>
      <c r="I13" s="266" t="s">
        <v>477</v>
      </c>
      <c r="J13" s="251"/>
      <c r="K13" s="251"/>
      <c r="L13" s="252"/>
    </row>
    <row r="14" spans="1:12" ht="22.5" customHeight="1">
      <c r="A14" s="39" t="s">
        <v>218</v>
      </c>
      <c r="B14" s="40">
        <v>7000000</v>
      </c>
      <c r="C14" s="31">
        <v>1</v>
      </c>
      <c r="D14" s="40">
        <f t="shared" ref="D14:D20" si="0">B14*C14</f>
        <v>7000000</v>
      </c>
      <c r="I14" s="37" t="s">
        <v>214</v>
      </c>
      <c r="J14" s="37" t="s">
        <v>215</v>
      </c>
      <c r="K14" s="37" t="s">
        <v>216</v>
      </c>
      <c r="L14" s="38" t="s">
        <v>217</v>
      </c>
    </row>
    <row r="15" spans="1:12" ht="20" customHeight="1">
      <c r="A15" s="41" t="s">
        <v>219</v>
      </c>
      <c r="B15" s="40">
        <v>2000000</v>
      </c>
      <c r="C15" s="31">
        <v>1</v>
      </c>
      <c r="D15" s="40">
        <f t="shared" si="0"/>
        <v>2000000</v>
      </c>
      <c r="I15" s="39" t="s">
        <v>218</v>
      </c>
      <c r="J15" s="40">
        <v>7000000</v>
      </c>
      <c r="K15" s="31">
        <v>1</v>
      </c>
      <c r="L15" s="40">
        <f>J15*K15</f>
        <v>7000000</v>
      </c>
    </row>
    <row r="16" spans="1:12" ht="28.5" customHeight="1">
      <c r="A16" s="41" t="s">
        <v>220</v>
      </c>
      <c r="B16" s="40">
        <f>'A Điệp T3.26'!E3</f>
        <v>8535000</v>
      </c>
      <c r="C16" s="31">
        <v>1</v>
      </c>
      <c r="D16" s="40">
        <f t="shared" si="0"/>
        <v>8535000</v>
      </c>
      <c r="I16" s="39" t="s">
        <v>219</v>
      </c>
      <c r="J16" s="40">
        <v>2000000</v>
      </c>
      <c r="K16" s="31">
        <v>1</v>
      </c>
      <c r="L16" s="40">
        <f t="shared" ref="L16:L22" si="1">J16*K16</f>
        <v>2000000</v>
      </c>
    </row>
    <row r="17" spans="1:12">
      <c r="A17" s="41" t="s">
        <v>221</v>
      </c>
      <c r="B17" s="40">
        <v>700000</v>
      </c>
      <c r="C17" s="31">
        <v>1</v>
      </c>
      <c r="D17" s="40">
        <f t="shared" si="0"/>
        <v>700000</v>
      </c>
      <c r="I17" s="41" t="s">
        <v>220</v>
      </c>
      <c r="J17" s="40">
        <f>'A Ước T3.26'!E3</f>
        <v>7550000</v>
      </c>
      <c r="K17" s="31">
        <v>1</v>
      </c>
      <c r="L17" s="40">
        <f t="shared" si="1"/>
        <v>7550000</v>
      </c>
    </row>
    <row r="18" spans="1:12">
      <c r="A18" s="41"/>
      <c r="B18" s="40"/>
      <c r="C18" s="31"/>
      <c r="D18" s="40">
        <f t="shared" si="0"/>
        <v>0</v>
      </c>
      <c r="I18" s="41" t="s">
        <v>221</v>
      </c>
      <c r="J18" s="40">
        <v>700000</v>
      </c>
      <c r="K18" s="31">
        <v>1</v>
      </c>
      <c r="L18" s="40">
        <f t="shared" si="1"/>
        <v>700000</v>
      </c>
    </row>
    <row r="19" spans="1:12">
      <c r="A19" s="39"/>
      <c r="B19" s="40"/>
      <c r="C19" s="31"/>
      <c r="D19" s="40">
        <f t="shared" si="0"/>
        <v>0</v>
      </c>
      <c r="I19" s="41"/>
      <c r="J19" s="40"/>
      <c r="K19" s="31"/>
      <c r="L19" s="40"/>
    </row>
    <row r="20" spans="1:12">
      <c r="A20" s="39"/>
      <c r="B20" s="40"/>
      <c r="C20" s="31"/>
      <c r="D20" s="40">
        <f t="shared" si="0"/>
        <v>0</v>
      </c>
      <c r="I20" s="39"/>
      <c r="J20" s="40"/>
      <c r="K20" s="31"/>
      <c r="L20" s="40"/>
    </row>
    <row r="21" spans="1:12">
      <c r="A21" s="42" t="s">
        <v>217</v>
      </c>
      <c r="B21" s="43"/>
      <c r="C21" s="43"/>
      <c r="D21" s="44">
        <f>SUM(D14:D20)</f>
        <v>18235000</v>
      </c>
      <c r="I21" s="39"/>
      <c r="J21" s="40"/>
      <c r="K21" s="31"/>
      <c r="L21" s="40"/>
    </row>
    <row r="22" spans="1:12">
      <c r="I22" s="39"/>
      <c r="J22" s="40"/>
      <c r="K22" s="31"/>
      <c r="L22" s="40">
        <f t="shared" si="1"/>
        <v>0</v>
      </c>
    </row>
    <row r="23" spans="1:12">
      <c r="I23" s="42" t="s">
        <v>217</v>
      </c>
      <c r="J23" s="43"/>
      <c r="K23" s="43"/>
      <c r="L23" s="44">
        <f>SUM(L15:L22)</f>
        <v>17250000</v>
      </c>
    </row>
    <row r="24" spans="1:12">
      <c r="A24" s="264" t="s">
        <v>476</v>
      </c>
      <c r="B24" s="248"/>
    </row>
    <row r="25" spans="1:12">
      <c r="A25" s="34" t="s">
        <v>222</v>
      </c>
      <c r="B25" s="33">
        <v>9000000</v>
      </c>
    </row>
    <row r="26" spans="1:12">
      <c r="A26" s="34" t="s">
        <v>223</v>
      </c>
      <c r="B26" s="33">
        <v>6966000</v>
      </c>
      <c r="I26" s="267" t="s">
        <v>478</v>
      </c>
      <c r="J26" s="254"/>
    </row>
    <row r="27" spans="1:12">
      <c r="A27" s="45" t="s">
        <v>224</v>
      </c>
      <c r="B27" s="46">
        <f>B26-B25</f>
        <v>-2034000</v>
      </c>
      <c r="D27" s="47"/>
      <c r="I27" s="34" t="s">
        <v>222</v>
      </c>
      <c r="J27" s="33">
        <v>6000000</v>
      </c>
    </row>
    <row r="28" spans="1:12">
      <c r="I28" s="34" t="s">
        <v>223</v>
      </c>
      <c r="J28" s="33">
        <v>6200000</v>
      </c>
    </row>
    <row r="29" spans="1:12">
      <c r="I29" s="45" t="s">
        <v>224</v>
      </c>
      <c r="J29" s="46">
        <f>J28-J27</f>
        <v>200000</v>
      </c>
    </row>
    <row r="34" spans="1:4">
      <c r="A34" s="265" t="s">
        <v>473</v>
      </c>
      <c r="B34" s="249"/>
      <c r="C34" s="249"/>
      <c r="D34" s="249"/>
    </row>
    <row r="35" spans="1:4">
      <c r="A35" s="37" t="s">
        <v>214</v>
      </c>
      <c r="B35" s="37" t="s">
        <v>215</v>
      </c>
      <c r="C35" s="37" t="s">
        <v>216</v>
      </c>
      <c r="D35" s="38" t="s">
        <v>217</v>
      </c>
    </row>
    <row r="36" spans="1:4">
      <c r="A36" s="39" t="s">
        <v>218</v>
      </c>
      <c r="B36" s="40">
        <v>4000000</v>
      </c>
      <c r="C36" s="31">
        <v>1</v>
      </c>
      <c r="D36" s="40">
        <f>B36*C36</f>
        <v>4000000</v>
      </c>
    </row>
    <row r="37" spans="1:4">
      <c r="A37" s="41" t="s">
        <v>220</v>
      </c>
      <c r="B37" s="40">
        <v>3650000</v>
      </c>
      <c r="C37" s="31">
        <v>1</v>
      </c>
      <c r="D37" s="40">
        <f>B37*C37</f>
        <v>3650000</v>
      </c>
    </row>
    <row r="38" spans="1:4">
      <c r="A38" s="41"/>
      <c r="B38" s="40"/>
      <c r="C38" s="31"/>
      <c r="D38" s="40"/>
    </row>
    <row r="39" spans="1:4">
      <c r="A39" s="39"/>
      <c r="B39" s="40"/>
      <c r="C39" s="31"/>
      <c r="D39" s="40">
        <f>B39*C39</f>
        <v>0</v>
      </c>
    </row>
    <row r="40" spans="1:4">
      <c r="A40" s="39"/>
      <c r="B40" s="40"/>
      <c r="C40" s="31"/>
      <c r="D40" s="40"/>
    </row>
    <row r="41" spans="1:4">
      <c r="A41" s="42" t="s">
        <v>217</v>
      </c>
      <c r="B41" s="43"/>
      <c r="C41" s="43"/>
      <c r="D41" s="44">
        <f>SUM(D36:D40)</f>
        <v>7650000</v>
      </c>
    </row>
    <row r="44" spans="1:4">
      <c r="A44" s="264" t="s">
        <v>474</v>
      </c>
      <c r="B44" s="248"/>
    </row>
    <row r="45" spans="1:4">
      <c r="A45" s="34" t="s">
        <v>222</v>
      </c>
      <c r="B45" s="33">
        <v>0</v>
      </c>
    </row>
    <row r="46" spans="1:4">
      <c r="A46" s="34" t="s">
        <v>223</v>
      </c>
      <c r="B46" s="33">
        <v>4034000</v>
      </c>
    </row>
    <row r="47" spans="1:4">
      <c r="A47" s="45" t="s">
        <v>224</v>
      </c>
      <c r="B47" s="46">
        <f>B46-B45</f>
        <v>4034000</v>
      </c>
    </row>
  </sheetData>
  <mergeCells count="6">
    <mergeCell ref="A44:B44"/>
    <mergeCell ref="A12:D12"/>
    <mergeCell ref="I13:L13"/>
    <mergeCell ref="A24:B24"/>
    <mergeCell ref="I26:J26"/>
    <mergeCell ref="A34:D3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0A84-72E3-45F5-81AF-1FAE05B79230}">
  <sheetPr codeName="Sheet12"/>
  <dimension ref="A1:H52"/>
  <sheetViews>
    <sheetView zoomScale="69" workbookViewId="0">
      <selection activeCell="G68" sqref="G68"/>
    </sheetView>
  </sheetViews>
  <sheetFormatPr defaultRowHeight="14.5"/>
  <cols>
    <col min="1" max="1" width="12.453125" style="126" customWidth="1"/>
    <col min="2" max="2" width="70.81640625" style="126" customWidth="1"/>
    <col min="3" max="3" width="11.1796875" style="126" customWidth="1"/>
    <col min="4" max="4" width="13.54296875" style="126" customWidth="1"/>
    <col min="5" max="5" width="15.453125" style="126" bestFit="1" customWidth="1"/>
    <col min="6" max="6" width="13.54296875" style="126" bestFit="1" customWidth="1"/>
    <col min="7" max="7" width="10.26953125" style="126" customWidth="1"/>
    <col min="8" max="8" width="15.54296875" style="126" bestFit="1" customWidth="1"/>
    <col min="9" max="16384" width="8.7265625" style="126"/>
  </cols>
  <sheetData>
    <row r="1" spans="1:8" s="124" customFormat="1" ht="16.5">
      <c r="A1" s="124" t="s">
        <v>157</v>
      </c>
      <c r="B1" s="124" t="s">
        <v>158</v>
      </c>
      <c r="C1" s="124" t="s">
        <v>159</v>
      </c>
      <c r="D1" s="124" t="s">
        <v>160</v>
      </c>
      <c r="E1" s="124" t="s">
        <v>161</v>
      </c>
      <c r="F1" s="124" t="s">
        <v>162</v>
      </c>
      <c r="G1" s="124" t="s">
        <v>163</v>
      </c>
      <c r="H1" s="124" t="s">
        <v>164</v>
      </c>
    </row>
    <row r="2" spans="1:8" ht="16.5" hidden="1">
      <c r="A2" s="125" t="s">
        <v>634</v>
      </c>
      <c r="B2" s="125"/>
      <c r="C2" s="125"/>
      <c r="D2" s="125"/>
      <c r="E2" s="125"/>
      <c r="F2" s="125"/>
      <c r="G2" s="125" t="s">
        <v>441</v>
      </c>
      <c r="H2" s="125"/>
    </row>
    <row r="3" spans="1:8" ht="16.5" hidden="1">
      <c r="A3" s="127">
        <v>46117</v>
      </c>
      <c r="B3" s="125" t="s">
        <v>635</v>
      </c>
      <c r="C3" s="130" t="s">
        <v>175</v>
      </c>
      <c r="D3" s="125">
        <v>801</v>
      </c>
      <c r="E3" s="125">
        <v>71</v>
      </c>
      <c r="F3" s="125"/>
      <c r="G3" s="125" t="s">
        <v>441</v>
      </c>
      <c r="H3" s="125"/>
    </row>
    <row r="4" spans="1:8" ht="16.5" hidden="1">
      <c r="A4" s="127">
        <v>46118</v>
      </c>
      <c r="B4" s="125" t="s">
        <v>34</v>
      </c>
      <c r="C4" s="125" t="s">
        <v>12</v>
      </c>
      <c r="D4" s="125">
        <v>302</v>
      </c>
      <c r="E4" s="125"/>
      <c r="F4" s="125">
        <v>100</v>
      </c>
      <c r="G4" s="125" t="s">
        <v>441</v>
      </c>
      <c r="H4" s="125"/>
    </row>
    <row r="5" spans="1:8" ht="16.5" hidden="1">
      <c r="A5" s="125"/>
      <c r="B5" s="125" t="s">
        <v>19</v>
      </c>
      <c r="C5" s="130" t="s">
        <v>167</v>
      </c>
      <c r="D5" s="125">
        <v>101</v>
      </c>
      <c r="E5" s="125"/>
      <c r="F5" s="125">
        <v>150</v>
      </c>
      <c r="G5" s="125" t="s">
        <v>168</v>
      </c>
      <c r="H5" s="125"/>
    </row>
    <row r="6" spans="1:8" ht="16.5" hidden="1">
      <c r="A6" s="127">
        <v>46119</v>
      </c>
      <c r="B6" s="125" t="s">
        <v>636</v>
      </c>
      <c r="C6" s="130" t="s">
        <v>637</v>
      </c>
      <c r="D6" s="125"/>
      <c r="E6" s="125">
        <v>88</v>
      </c>
      <c r="F6" s="125"/>
      <c r="G6" s="125" t="s">
        <v>168</v>
      </c>
      <c r="H6" s="125"/>
    </row>
    <row r="7" spans="1:8" ht="16.5" hidden="1">
      <c r="A7" s="125"/>
      <c r="B7" s="125" t="s">
        <v>34</v>
      </c>
      <c r="C7" s="130" t="s">
        <v>300</v>
      </c>
      <c r="D7" s="125">
        <v>302</v>
      </c>
      <c r="E7" s="125"/>
      <c r="F7" s="125">
        <v>150</v>
      </c>
      <c r="G7" s="125" t="s">
        <v>168</v>
      </c>
      <c r="H7" s="125"/>
    </row>
    <row r="8" spans="1:8" ht="16.5" hidden="1">
      <c r="A8" s="125"/>
      <c r="B8" s="125" t="s">
        <v>638</v>
      </c>
      <c r="C8" s="130" t="s">
        <v>639</v>
      </c>
      <c r="D8" s="125"/>
      <c r="E8" s="125">
        <v>35</v>
      </c>
      <c r="F8" s="125"/>
      <c r="G8" s="125" t="s">
        <v>168</v>
      </c>
      <c r="H8" s="125"/>
    </row>
    <row r="9" spans="1:8" ht="16.5" hidden="1">
      <c r="A9" s="127">
        <v>46121</v>
      </c>
      <c r="B9" s="125" t="s">
        <v>640</v>
      </c>
      <c r="C9" s="130" t="s">
        <v>202</v>
      </c>
      <c r="D9" s="125">
        <v>402</v>
      </c>
      <c r="E9" s="125">
        <v>170</v>
      </c>
      <c r="F9" s="125"/>
      <c r="G9" s="125" t="s">
        <v>441</v>
      </c>
      <c r="H9" s="125"/>
    </row>
    <row r="10" spans="1:8" ht="16.5" hidden="1">
      <c r="A10" s="125"/>
      <c r="B10" s="125" t="s">
        <v>641</v>
      </c>
      <c r="C10" s="125"/>
      <c r="D10" s="125"/>
      <c r="E10" s="125">
        <v>80</v>
      </c>
      <c r="F10" s="125"/>
      <c r="G10" s="125" t="s">
        <v>441</v>
      </c>
      <c r="H10" s="125"/>
    </row>
    <row r="11" spans="1:8" ht="16.5" hidden="1">
      <c r="A11" s="125"/>
      <c r="B11" s="125" t="s">
        <v>642</v>
      </c>
      <c r="C11" s="130" t="s">
        <v>448</v>
      </c>
      <c r="D11" s="125"/>
      <c r="E11" s="125">
        <v>10</v>
      </c>
      <c r="F11" s="125"/>
      <c r="G11" s="125" t="s">
        <v>441</v>
      </c>
      <c r="H11" s="125"/>
    </row>
    <row r="12" spans="1:8" ht="16.5">
      <c r="A12" s="127">
        <v>46123</v>
      </c>
      <c r="B12" s="125" t="s">
        <v>643</v>
      </c>
      <c r="C12" s="130" t="s">
        <v>644</v>
      </c>
      <c r="D12" s="125">
        <v>101</v>
      </c>
      <c r="E12" s="125">
        <v>430</v>
      </c>
      <c r="F12" s="125"/>
      <c r="G12" s="125" t="s">
        <v>168</v>
      </c>
      <c r="H12" s="125"/>
    </row>
    <row r="13" spans="1:8" ht="16.5" hidden="1">
      <c r="A13" s="125"/>
      <c r="B13" s="125" t="s">
        <v>645</v>
      </c>
      <c r="C13" s="125" t="s">
        <v>184</v>
      </c>
      <c r="D13" s="125"/>
      <c r="E13" s="125">
        <v>50</v>
      </c>
      <c r="F13" s="125"/>
      <c r="G13" s="125" t="s">
        <v>441</v>
      </c>
      <c r="H13" s="125"/>
    </row>
    <row r="14" spans="1:8" ht="16.5" hidden="1">
      <c r="A14" s="125"/>
      <c r="B14" s="125" t="s">
        <v>646</v>
      </c>
      <c r="C14" s="125" t="s">
        <v>12</v>
      </c>
      <c r="D14" s="128"/>
      <c r="E14" s="125">
        <v>680</v>
      </c>
      <c r="F14" s="125"/>
      <c r="G14" s="125" t="s">
        <v>168</v>
      </c>
      <c r="H14" s="125"/>
    </row>
    <row r="15" spans="1:8" ht="16.5" hidden="1">
      <c r="A15" s="127"/>
      <c r="B15" s="125" t="s">
        <v>647</v>
      </c>
      <c r="C15" s="125" t="s">
        <v>12</v>
      </c>
      <c r="D15" s="125"/>
      <c r="E15" s="125">
        <v>80</v>
      </c>
      <c r="F15" s="125"/>
      <c r="G15" s="125" t="s">
        <v>168</v>
      </c>
      <c r="H15" s="125"/>
    </row>
    <row r="16" spans="1:8" ht="16.5" hidden="1">
      <c r="A16" s="127">
        <v>46124</v>
      </c>
      <c r="B16" s="125" t="s">
        <v>648</v>
      </c>
      <c r="C16" s="130" t="s">
        <v>446</v>
      </c>
      <c r="D16" s="125"/>
      <c r="E16" s="125">
        <v>132</v>
      </c>
      <c r="F16" s="125">
        <v>400</v>
      </c>
      <c r="G16" s="125" t="s">
        <v>168</v>
      </c>
      <c r="H16" s="125"/>
    </row>
    <row r="17" spans="1:8" ht="16.5" hidden="1">
      <c r="A17" s="125"/>
      <c r="B17" s="125" t="s">
        <v>649</v>
      </c>
      <c r="C17" s="130" t="s">
        <v>448</v>
      </c>
      <c r="D17" s="125">
        <v>501</v>
      </c>
      <c r="E17" s="125">
        <v>110</v>
      </c>
      <c r="F17" s="125"/>
      <c r="G17" s="125" t="s">
        <v>168</v>
      </c>
      <c r="H17" s="125"/>
    </row>
    <row r="18" spans="1:8" ht="16.5" hidden="1">
      <c r="A18" s="125"/>
      <c r="B18" s="125" t="s">
        <v>34</v>
      </c>
      <c r="C18" s="130" t="s">
        <v>446</v>
      </c>
      <c r="D18" s="125">
        <v>402</v>
      </c>
      <c r="E18" s="125"/>
      <c r="F18" s="125">
        <v>100</v>
      </c>
      <c r="G18" s="125" t="s">
        <v>168</v>
      </c>
      <c r="H18" s="125"/>
    </row>
    <row r="19" spans="1:8" ht="16.5" hidden="1">
      <c r="A19" s="127">
        <v>46127</v>
      </c>
      <c r="B19" s="125" t="s">
        <v>650</v>
      </c>
      <c r="C19" s="130" t="s">
        <v>202</v>
      </c>
      <c r="D19" s="125">
        <v>202</v>
      </c>
      <c r="E19" s="125">
        <v>120</v>
      </c>
      <c r="F19" s="125"/>
      <c r="G19" s="125" t="s">
        <v>168</v>
      </c>
      <c r="H19" s="125"/>
    </row>
    <row r="20" spans="1:8" ht="16.5" hidden="1">
      <c r="A20" s="125"/>
      <c r="B20" s="125" t="s">
        <v>73</v>
      </c>
      <c r="C20" s="130" t="s">
        <v>202</v>
      </c>
      <c r="D20" s="125">
        <v>402</v>
      </c>
      <c r="E20" s="125">
        <v>75</v>
      </c>
      <c r="F20" s="125"/>
      <c r="G20" s="125" t="s">
        <v>168</v>
      </c>
      <c r="H20" s="125"/>
    </row>
    <row r="21" spans="1:8" ht="16.5">
      <c r="A21" s="125"/>
      <c r="B21" s="125" t="s">
        <v>651</v>
      </c>
      <c r="C21" s="130" t="s">
        <v>644</v>
      </c>
      <c r="D21" s="125">
        <v>101</v>
      </c>
      <c r="E21" s="125">
        <v>81</v>
      </c>
      <c r="F21" s="125"/>
      <c r="G21" s="125" t="s">
        <v>441</v>
      </c>
      <c r="H21" s="125"/>
    </row>
    <row r="22" spans="1:8" ht="16.5">
      <c r="A22" s="125"/>
      <c r="B22" s="125" t="s">
        <v>34</v>
      </c>
      <c r="C22" s="130" t="s">
        <v>644</v>
      </c>
      <c r="D22" s="125">
        <v>101</v>
      </c>
      <c r="E22" s="125"/>
      <c r="F22" s="125">
        <v>100</v>
      </c>
      <c r="G22" s="125" t="s">
        <v>441</v>
      </c>
      <c r="H22" s="125"/>
    </row>
    <row r="23" spans="1:8" ht="16.5" hidden="1">
      <c r="A23" s="127">
        <v>46129</v>
      </c>
      <c r="B23" s="125" t="s">
        <v>326</v>
      </c>
      <c r="C23" s="130" t="s">
        <v>448</v>
      </c>
      <c r="D23" s="125">
        <v>404</v>
      </c>
      <c r="E23" s="125">
        <v>40</v>
      </c>
      <c r="F23" s="125"/>
      <c r="G23" s="125" t="s">
        <v>441</v>
      </c>
      <c r="H23" s="125"/>
    </row>
    <row r="24" spans="1:8" ht="16.5" hidden="1">
      <c r="A24" s="127">
        <v>46132</v>
      </c>
      <c r="B24" s="125" t="s">
        <v>19</v>
      </c>
      <c r="C24" s="130" t="s">
        <v>170</v>
      </c>
      <c r="D24" s="125">
        <v>301</v>
      </c>
      <c r="E24" s="125"/>
      <c r="F24" s="125">
        <v>200</v>
      </c>
      <c r="G24" s="125" t="s">
        <v>168</v>
      </c>
      <c r="H24" s="125"/>
    </row>
    <row r="25" spans="1:8" ht="16.5" hidden="1">
      <c r="A25" s="125"/>
      <c r="B25" s="125" t="s">
        <v>652</v>
      </c>
      <c r="C25" s="130" t="s">
        <v>448</v>
      </c>
      <c r="D25" s="125"/>
      <c r="E25" s="125">
        <v>283</v>
      </c>
      <c r="F25" s="125">
        <v>300</v>
      </c>
      <c r="G25" s="125" t="s">
        <v>441</v>
      </c>
      <c r="H25" s="125"/>
    </row>
    <row r="26" spans="1:8" ht="16.5" hidden="1">
      <c r="A26" s="127">
        <v>46134</v>
      </c>
      <c r="B26" s="125" t="s">
        <v>653</v>
      </c>
      <c r="C26" s="130" t="s">
        <v>170</v>
      </c>
      <c r="D26" s="125"/>
      <c r="E26" s="125">
        <v>100</v>
      </c>
      <c r="F26" s="125"/>
      <c r="G26" s="125" t="s">
        <v>441</v>
      </c>
      <c r="H26" s="125"/>
    </row>
    <row r="27" spans="1:8" ht="16.5" hidden="1">
      <c r="A27" s="125"/>
      <c r="B27" s="125" t="s">
        <v>654</v>
      </c>
      <c r="C27" s="130" t="s">
        <v>187</v>
      </c>
      <c r="D27" s="128"/>
      <c r="E27" s="125">
        <v>100</v>
      </c>
      <c r="F27" s="125"/>
      <c r="G27" s="125" t="s">
        <v>441</v>
      </c>
      <c r="H27" s="125"/>
    </row>
    <row r="28" spans="1:8" ht="16.5" hidden="1">
      <c r="A28" s="127">
        <v>46136</v>
      </c>
      <c r="B28" s="125" t="s">
        <v>489</v>
      </c>
      <c r="C28" s="130" t="s">
        <v>30</v>
      </c>
      <c r="D28" s="128">
        <v>501</v>
      </c>
      <c r="E28" s="125"/>
      <c r="F28" s="125">
        <v>50</v>
      </c>
      <c r="G28" s="125" t="s">
        <v>441</v>
      </c>
      <c r="H28" s="125"/>
    </row>
    <row r="29" spans="1:8" ht="16.5" hidden="1">
      <c r="A29" s="125"/>
      <c r="B29" s="125" t="s">
        <v>457</v>
      </c>
      <c r="C29" s="130" t="s">
        <v>30</v>
      </c>
      <c r="D29" s="128">
        <v>501</v>
      </c>
      <c r="E29" s="125"/>
      <c r="F29" s="125">
        <v>250</v>
      </c>
      <c r="G29" s="125" t="s">
        <v>441</v>
      </c>
      <c r="H29" s="125"/>
    </row>
    <row r="30" spans="1:8" ht="16.5" hidden="1">
      <c r="A30" s="125"/>
      <c r="B30" s="125" t="s">
        <v>655</v>
      </c>
      <c r="C30" s="130" t="s">
        <v>167</v>
      </c>
      <c r="D30" s="128"/>
      <c r="E30" s="125">
        <v>30</v>
      </c>
      <c r="F30" s="125"/>
      <c r="G30" s="125"/>
      <c r="H30" s="125"/>
    </row>
    <row r="31" spans="1:8" ht="16.5" hidden="1">
      <c r="A31" s="125"/>
      <c r="B31" s="125" t="s">
        <v>656</v>
      </c>
      <c r="C31" s="130" t="s">
        <v>30</v>
      </c>
      <c r="D31" s="128">
        <v>301</v>
      </c>
      <c r="E31" s="125"/>
      <c r="F31" s="125">
        <v>200</v>
      </c>
      <c r="G31" s="125" t="s">
        <v>441</v>
      </c>
      <c r="H31" s="125"/>
    </row>
    <row r="32" spans="1:8" ht="16.5" hidden="1">
      <c r="A32" s="127">
        <v>46139</v>
      </c>
      <c r="B32" s="125" t="s">
        <v>657</v>
      </c>
      <c r="C32" s="130" t="s">
        <v>167</v>
      </c>
      <c r="D32" s="128">
        <v>101</v>
      </c>
      <c r="E32" s="125">
        <v>130</v>
      </c>
      <c r="F32" s="125"/>
      <c r="G32" s="125" t="s">
        <v>441</v>
      </c>
      <c r="H32" s="125"/>
    </row>
    <row r="33" spans="1:8" ht="16.5" hidden="1">
      <c r="A33" s="125"/>
      <c r="B33" s="125" t="s">
        <v>658</v>
      </c>
      <c r="C33" s="125" t="s">
        <v>12</v>
      </c>
      <c r="D33" s="128"/>
      <c r="E33" s="125">
        <v>315</v>
      </c>
      <c r="F33" s="125">
        <v>100</v>
      </c>
      <c r="G33" s="125" t="s">
        <v>441</v>
      </c>
      <c r="H33" s="125"/>
    </row>
    <row r="34" spans="1:8" ht="16.5" hidden="1">
      <c r="A34" s="127">
        <v>46140</v>
      </c>
      <c r="B34" s="125" t="s">
        <v>659</v>
      </c>
      <c r="C34" s="125"/>
      <c r="D34" s="128"/>
      <c r="E34" s="125">
        <v>650</v>
      </c>
      <c r="F34" s="125"/>
      <c r="G34" s="125" t="s">
        <v>441</v>
      </c>
      <c r="H34" s="125"/>
    </row>
    <row r="35" spans="1:8" ht="16.5" hidden="1">
      <c r="A35" s="125"/>
      <c r="B35" s="125" t="s">
        <v>660</v>
      </c>
      <c r="C35" s="130" t="s">
        <v>167</v>
      </c>
      <c r="D35" s="128">
        <v>201</v>
      </c>
      <c r="E35" s="125">
        <v>20</v>
      </c>
      <c r="F35" s="125"/>
      <c r="G35" s="125" t="s">
        <v>441</v>
      </c>
      <c r="H35" s="125"/>
    </row>
    <row r="36" spans="1:8" ht="16.5" hidden="1">
      <c r="A36" s="127">
        <v>46141</v>
      </c>
      <c r="B36" s="125" t="s">
        <v>661</v>
      </c>
      <c r="C36" s="130" t="s">
        <v>446</v>
      </c>
      <c r="D36" s="128"/>
      <c r="E36" s="125">
        <v>90</v>
      </c>
      <c r="F36" s="125">
        <v>600</v>
      </c>
      <c r="G36" s="125" t="s">
        <v>441</v>
      </c>
      <c r="H36" s="125"/>
    </row>
    <row r="37" spans="1:8" ht="16.5" hidden="1">
      <c r="A37" s="127">
        <v>46145</v>
      </c>
      <c r="B37" s="125" t="s">
        <v>662</v>
      </c>
      <c r="C37" s="130" t="s">
        <v>202</v>
      </c>
      <c r="D37" s="128">
        <v>102</v>
      </c>
      <c r="E37" s="125">
        <v>80</v>
      </c>
      <c r="F37" s="125"/>
      <c r="G37" s="125" t="s">
        <v>441</v>
      </c>
      <c r="H37" s="125"/>
    </row>
    <row r="38" spans="1:8" ht="16.5" hidden="1">
      <c r="A38" s="125"/>
      <c r="B38" s="125" t="s">
        <v>663</v>
      </c>
      <c r="C38" s="125"/>
      <c r="D38" s="128"/>
      <c r="E38" s="125">
        <v>40</v>
      </c>
      <c r="F38" s="125"/>
      <c r="G38" s="125" t="s">
        <v>441</v>
      </c>
      <c r="H38" s="125"/>
    </row>
    <row r="39" spans="1:8" ht="16.5" hidden="1">
      <c r="A39" s="127">
        <v>46146</v>
      </c>
      <c r="B39" s="125" t="s">
        <v>664</v>
      </c>
      <c r="C39" s="130" t="s">
        <v>170</v>
      </c>
      <c r="D39" s="128">
        <v>401</v>
      </c>
      <c r="E39" s="125">
        <v>80</v>
      </c>
      <c r="F39" s="125"/>
      <c r="G39" s="125" t="s">
        <v>441</v>
      </c>
      <c r="H39" s="125" t="s">
        <v>665</v>
      </c>
    </row>
    <row r="40" spans="1:8" ht="16.5" hidden="1">
      <c r="A40" s="125"/>
      <c r="B40" s="125" t="s">
        <v>666</v>
      </c>
      <c r="C40" s="130" t="s">
        <v>142</v>
      </c>
      <c r="D40" s="128"/>
      <c r="E40" s="125">
        <v>160</v>
      </c>
      <c r="F40" s="125"/>
      <c r="G40" s="125" t="s">
        <v>441</v>
      </c>
      <c r="H40" s="125"/>
    </row>
    <row r="41" spans="1:8" ht="16.5" hidden="1">
      <c r="A41" s="125"/>
      <c r="B41" s="125" t="s">
        <v>650</v>
      </c>
      <c r="C41" s="125" t="s">
        <v>174</v>
      </c>
      <c r="D41" s="128">
        <v>201</v>
      </c>
      <c r="E41" s="125">
        <v>120</v>
      </c>
      <c r="F41" s="125"/>
      <c r="G41" s="125" t="s">
        <v>441</v>
      </c>
      <c r="H41" s="125"/>
    </row>
    <row r="42" spans="1:8" ht="16.5" hidden="1">
      <c r="A42" s="125"/>
      <c r="B42" s="125" t="s">
        <v>667</v>
      </c>
      <c r="C42" s="125" t="s">
        <v>174</v>
      </c>
      <c r="D42" s="128"/>
      <c r="E42" s="125">
        <v>35</v>
      </c>
      <c r="F42" s="125">
        <v>100</v>
      </c>
      <c r="G42" s="125" t="s">
        <v>441</v>
      </c>
      <c r="H42" s="125"/>
    </row>
    <row r="43" spans="1:8" ht="16.5" hidden="1">
      <c r="A43" s="127">
        <v>46147</v>
      </c>
      <c r="B43" s="125" t="s">
        <v>34</v>
      </c>
      <c r="C43" s="130" t="s">
        <v>80</v>
      </c>
      <c r="D43" s="128">
        <v>701</v>
      </c>
      <c r="E43" s="125"/>
      <c r="F43" s="125">
        <v>150</v>
      </c>
      <c r="G43" s="125" t="s">
        <v>441</v>
      </c>
      <c r="H43" s="125"/>
    </row>
    <row r="44" spans="1:8" ht="16.5" hidden="1">
      <c r="A44" s="127"/>
      <c r="B44" s="125" t="s">
        <v>668</v>
      </c>
      <c r="C44" s="130" t="s">
        <v>41</v>
      </c>
      <c r="D44" s="128">
        <v>402</v>
      </c>
      <c r="E44" s="125">
        <v>35</v>
      </c>
      <c r="F44" s="125"/>
      <c r="G44" s="125" t="s">
        <v>441</v>
      </c>
      <c r="H44" s="125"/>
    </row>
    <row r="45" spans="1:8" ht="16.5" hidden="1">
      <c r="A45" s="127"/>
      <c r="B45" s="125" t="s">
        <v>669</v>
      </c>
      <c r="C45" s="130" t="s">
        <v>80</v>
      </c>
      <c r="D45" s="128">
        <v>701</v>
      </c>
      <c r="E45" s="125"/>
      <c r="F45" s="125">
        <v>95</v>
      </c>
      <c r="G45" s="125" t="s">
        <v>441</v>
      </c>
      <c r="H45" s="125"/>
    </row>
    <row r="46" spans="1:8" ht="16.5" hidden="1">
      <c r="A46" s="127"/>
      <c r="B46" s="125" t="s">
        <v>670</v>
      </c>
      <c r="C46" s="130" t="s">
        <v>202</v>
      </c>
      <c r="D46" s="128">
        <v>102</v>
      </c>
      <c r="E46" s="125"/>
      <c r="F46" s="125">
        <v>300</v>
      </c>
      <c r="G46" s="125" t="s">
        <v>441</v>
      </c>
      <c r="H46" s="125"/>
    </row>
    <row r="47" spans="1:8" ht="16.5" hidden="1">
      <c r="A47" s="127"/>
      <c r="B47" s="125" t="s">
        <v>670</v>
      </c>
      <c r="C47" s="130" t="s">
        <v>569</v>
      </c>
      <c r="D47" s="128">
        <v>101</v>
      </c>
      <c r="E47" s="125"/>
      <c r="F47" s="125">
        <v>250</v>
      </c>
      <c r="G47" s="125" t="s">
        <v>441</v>
      </c>
      <c r="H47" s="125"/>
    </row>
    <row r="48" spans="1:8" ht="16.5" hidden="1">
      <c r="A48" s="127">
        <v>46148</v>
      </c>
      <c r="B48" s="125" t="s">
        <v>670</v>
      </c>
      <c r="C48" s="125" t="s">
        <v>76</v>
      </c>
      <c r="D48" s="128">
        <v>101</v>
      </c>
      <c r="E48" s="125"/>
      <c r="F48" s="125">
        <v>300</v>
      </c>
      <c r="G48" s="125" t="s">
        <v>441</v>
      </c>
      <c r="H48" s="125"/>
    </row>
    <row r="49" spans="1:8" ht="16.5" hidden="1">
      <c r="A49" s="127"/>
      <c r="B49" s="125" t="s">
        <v>670</v>
      </c>
      <c r="C49" s="130" t="s">
        <v>41</v>
      </c>
      <c r="D49" s="128">
        <v>204</v>
      </c>
      <c r="E49" s="125"/>
      <c r="F49" s="125">
        <v>300</v>
      </c>
      <c r="G49" s="125" t="s">
        <v>441</v>
      </c>
      <c r="H49" s="125"/>
    </row>
    <row r="50" spans="1:8" ht="16.5" hidden="1">
      <c r="A50" s="125"/>
      <c r="B50" s="125" t="s">
        <v>34</v>
      </c>
      <c r="C50" s="130" t="s">
        <v>446</v>
      </c>
      <c r="D50" s="128">
        <v>506</v>
      </c>
      <c r="E50" s="125"/>
      <c r="F50" s="125">
        <v>100</v>
      </c>
      <c r="G50" s="125" t="s">
        <v>441</v>
      </c>
      <c r="H50" s="125"/>
    </row>
    <row r="51" spans="1:8" ht="16.5" hidden="1">
      <c r="A51" s="125"/>
      <c r="B51" s="125" t="s">
        <v>671</v>
      </c>
      <c r="C51" s="130" t="s">
        <v>672</v>
      </c>
      <c r="D51" s="125"/>
      <c r="E51" s="125">
        <v>50</v>
      </c>
      <c r="F51" s="125"/>
      <c r="G51" s="125" t="s">
        <v>168</v>
      </c>
      <c r="H51" s="125"/>
    </row>
    <row r="52" spans="1:8" ht="16.5" hidden="1">
      <c r="A52" s="125"/>
      <c r="B52" s="129" t="s">
        <v>196</v>
      </c>
      <c r="C52" s="129"/>
      <c r="D52" s="129"/>
      <c r="E52" s="129">
        <f>SUM(E2:E51)</f>
        <v>4570</v>
      </c>
      <c r="F52" s="129">
        <f>SUM(F2:F51)</f>
        <v>4295</v>
      </c>
      <c r="G52" s="129"/>
      <c r="H52" s="12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24EF-BBE2-4251-9005-B92BC1C53868}">
  <sheetPr codeName="Sheet13"/>
  <dimension ref="A1:I109"/>
  <sheetViews>
    <sheetView workbookViewId="0">
      <pane xSplit="2" ySplit="3" topLeftCell="C124" activePane="bottomRight" state="frozen"/>
      <selection activeCell="E108" sqref="E108"/>
      <selection pane="topRight" activeCell="E108" sqref="E108"/>
      <selection pane="bottomLeft" activeCell="E108" sqref="E108"/>
      <selection pane="bottomRight" activeCell="E108" sqref="E108"/>
    </sheetView>
  </sheetViews>
  <sheetFormatPr defaultColWidth="8.81640625" defaultRowHeight="14"/>
  <cols>
    <col min="1" max="1" width="9.90625" style="21" customWidth="1"/>
    <col min="2" max="2" width="17.81640625" style="7" customWidth="1"/>
    <col min="3" max="3" width="17.81640625" style="84" customWidth="1"/>
    <col min="4" max="4" width="45.6328125" style="7" customWidth="1"/>
    <col min="5" max="6" width="16.6328125" style="115" customWidth="1"/>
    <col min="7" max="7" width="34.81640625" style="7" customWidth="1"/>
    <col min="8" max="8" width="25.1796875" style="7" customWidth="1"/>
    <col min="9" max="9" width="12.90625" style="7" customWidth="1"/>
    <col min="10" max="16384" width="8.81640625" style="7"/>
  </cols>
  <sheetData>
    <row r="1" spans="1:9" ht="24.5" customHeight="1">
      <c r="A1" s="255" t="s">
        <v>632</v>
      </c>
      <c r="B1" s="256"/>
      <c r="C1" s="256"/>
      <c r="D1" s="256"/>
      <c r="E1" s="256"/>
      <c r="F1" s="256"/>
      <c r="G1" s="256"/>
      <c r="H1" s="256"/>
      <c r="I1" s="257"/>
    </row>
    <row r="2" spans="1:9" ht="28" customHeight="1">
      <c r="A2" s="20" t="s">
        <v>1</v>
      </c>
      <c r="B2" s="3" t="s">
        <v>2</v>
      </c>
      <c r="C2" s="81" t="s">
        <v>3</v>
      </c>
      <c r="D2" s="3" t="s">
        <v>4</v>
      </c>
      <c r="E2" s="113" t="s">
        <v>5</v>
      </c>
      <c r="F2" s="113" t="s">
        <v>6</v>
      </c>
      <c r="G2" s="3" t="s">
        <v>7</v>
      </c>
      <c r="H2" s="7" t="s">
        <v>617</v>
      </c>
      <c r="I2" s="7" t="s">
        <v>618</v>
      </c>
    </row>
    <row r="3" spans="1:9" ht="28" customHeight="1">
      <c r="A3" s="70"/>
      <c r="B3" s="71"/>
      <c r="C3" s="82"/>
      <c r="D3" s="71"/>
      <c r="E3" s="114">
        <f>SUBTOTAL(109,E4:E118)</f>
        <v>10490000</v>
      </c>
      <c r="F3" s="114">
        <f>SUBTOTAL(109,F4:F158)</f>
        <v>7456000</v>
      </c>
      <c r="G3" s="71"/>
      <c r="H3" s="118">
        <v>1</v>
      </c>
      <c r="I3" s="118">
        <v>1</v>
      </c>
    </row>
    <row r="4" spans="1:9" s="57" customFormat="1" ht="19.5" customHeight="1">
      <c r="A4" s="56">
        <v>46107</v>
      </c>
      <c r="B4" s="56" t="s">
        <v>9</v>
      </c>
      <c r="C4" s="105">
        <v>202</v>
      </c>
      <c r="D4" s="56" t="s">
        <v>479</v>
      </c>
      <c r="E4" s="111"/>
      <c r="F4" s="111">
        <v>65000</v>
      </c>
      <c r="G4" s="56"/>
      <c r="H4" s="57" t="s">
        <v>619</v>
      </c>
    </row>
    <row r="5" spans="1:9" s="57" customFormat="1" ht="19.5" customHeight="1">
      <c r="A5" s="56"/>
      <c r="B5" s="56" t="s">
        <v>9</v>
      </c>
      <c r="C5" s="105"/>
      <c r="D5" s="56" t="s">
        <v>480</v>
      </c>
      <c r="E5" s="111"/>
      <c r="F5" s="111">
        <v>10000</v>
      </c>
      <c r="G5" s="56"/>
      <c r="H5" s="57" t="s">
        <v>619</v>
      </c>
    </row>
    <row r="6" spans="1:9" s="57" customFormat="1" ht="19.5" customHeight="1">
      <c r="A6" s="56"/>
      <c r="B6" s="56" t="s">
        <v>44</v>
      </c>
      <c r="C6" s="105">
        <v>601</v>
      </c>
      <c r="D6" s="56" t="s">
        <v>400</v>
      </c>
      <c r="E6" s="111"/>
      <c r="F6" s="111">
        <v>80000</v>
      </c>
      <c r="G6" s="56"/>
      <c r="H6" s="57" t="s">
        <v>619</v>
      </c>
    </row>
    <row r="7" spans="1:9" s="57" customFormat="1" ht="19.5" customHeight="1">
      <c r="A7" s="56"/>
      <c r="B7" s="56" t="s">
        <v>27</v>
      </c>
      <c r="C7" s="105"/>
      <c r="D7" s="56" t="s">
        <v>481</v>
      </c>
      <c r="E7" s="111">
        <v>500000</v>
      </c>
      <c r="F7" s="111"/>
      <c r="G7" s="56"/>
      <c r="H7" s="57" t="s">
        <v>620</v>
      </c>
    </row>
    <row r="8" spans="1:9" s="57" customFormat="1" ht="19.5" customHeight="1">
      <c r="A8" s="56"/>
      <c r="B8" s="56" t="s">
        <v>226</v>
      </c>
      <c r="C8" s="105">
        <v>605</v>
      </c>
      <c r="D8" s="56" t="s">
        <v>34</v>
      </c>
      <c r="E8" s="111">
        <v>300000</v>
      </c>
      <c r="F8" s="111"/>
      <c r="G8" s="106" t="s">
        <v>482</v>
      </c>
      <c r="H8" s="57" t="s">
        <v>621</v>
      </c>
    </row>
    <row r="9" spans="1:9" s="57" customFormat="1" ht="19.5" customHeight="1">
      <c r="A9" s="56"/>
      <c r="B9" s="56" t="s">
        <v>27</v>
      </c>
      <c r="C9" s="105"/>
      <c r="D9" s="56" t="s">
        <v>483</v>
      </c>
      <c r="E9" s="111">
        <v>1000000</v>
      </c>
      <c r="F9" s="111"/>
      <c r="G9" s="107"/>
      <c r="H9" s="57" t="s">
        <v>620</v>
      </c>
    </row>
    <row r="10" spans="1:9" s="57" customFormat="1" ht="19.5" customHeight="1">
      <c r="A10" s="56"/>
      <c r="B10" s="56" t="s">
        <v>27</v>
      </c>
      <c r="C10" s="105"/>
      <c r="D10" s="56" t="s">
        <v>484</v>
      </c>
      <c r="E10" s="111"/>
      <c r="F10" s="111">
        <v>175000</v>
      </c>
      <c r="G10" s="56"/>
      <c r="H10" s="57" t="s">
        <v>620</v>
      </c>
    </row>
    <row r="11" spans="1:9" s="57" customFormat="1" ht="19.5" customHeight="1">
      <c r="A11" s="56">
        <v>46108</v>
      </c>
      <c r="B11" s="56" t="s">
        <v>367</v>
      </c>
      <c r="C11" s="105"/>
      <c r="D11" s="56" t="s">
        <v>485</v>
      </c>
      <c r="E11" s="111"/>
      <c r="F11" s="111">
        <v>80000</v>
      </c>
      <c r="G11" s="108"/>
      <c r="H11" s="57" t="s">
        <v>622</v>
      </c>
    </row>
    <row r="12" spans="1:9" s="57" customFormat="1" ht="19.5" customHeight="1">
      <c r="A12" s="56">
        <v>46111</v>
      </c>
      <c r="B12" s="102" t="s">
        <v>41</v>
      </c>
      <c r="C12" s="84">
        <v>101</v>
      </c>
      <c r="D12" s="21" t="s">
        <v>34</v>
      </c>
      <c r="E12" s="17">
        <v>100000</v>
      </c>
      <c r="F12" s="17"/>
      <c r="G12" s="108"/>
      <c r="H12" s="57" t="s">
        <v>623</v>
      </c>
    </row>
    <row r="13" spans="1:9" s="57" customFormat="1" ht="19.5" customHeight="1">
      <c r="A13" s="56">
        <v>46112</v>
      </c>
      <c r="B13" s="102" t="s">
        <v>240</v>
      </c>
      <c r="C13" s="84">
        <v>401</v>
      </c>
      <c r="D13" s="21" t="s">
        <v>486</v>
      </c>
      <c r="E13" s="17"/>
      <c r="F13" s="17">
        <v>250000</v>
      </c>
      <c r="G13" s="56"/>
      <c r="H13" s="57" t="s">
        <v>621</v>
      </c>
    </row>
    <row r="14" spans="1:9" s="57" customFormat="1" ht="19.5" customHeight="1">
      <c r="A14" s="56"/>
      <c r="B14" s="102" t="s">
        <v>240</v>
      </c>
      <c r="C14" s="84">
        <v>401</v>
      </c>
      <c r="D14" s="21" t="s">
        <v>375</v>
      </c>
      <c r="E14" s="17"/>
      <c r="F14" s="17">
        <v>80000</v>
      </c>
      <c r="G14" s="56"/>
      <c r="H14" s="57" t="s">
        <v>621</v>
      </c>
    </row>
    <row r="15" spans="1:9" s="57" customFormat="1" ht="19.5" customHeight="1">
      <c r="A15" s="56"/>
      <c r="B15" s="102" t="s">
        <v>240</v>
      </c>
      <c r="C15" s="84">
        <v>401</v>
      </c>
      <c r="D15" s="21" t="s">
        <v>487</v>
      </c>
      <c r="E15" s="17"/>
      <c r="F15" s="17">
        <v>20000</v>
      </c>
      <c r="G15" s="56"/>
      <c r="H15" s="57" t="s">
        <v>621</v>
      </c>
    </row>
    <row r="16" spans="1:9" s="57" customFormat="1" ht="19.5" customHeight="1">
      <c r="A16" s="56">
        <v>46114</v>
      </c>
      <c r="B16" s="56" t="s">
        <v>14</v>
      </c>
      <c r="C16" s="105">
        <v>201</v>
      </c>
      <c r="D16" s="56" t="s">
        <v>34</v>
      </c>
      <c r="E16" s="111">
        <v>100000</v>
      </c>
      <c r="F16" s="111"/>
      <c r="G16" s="56"/>
      <c r="H16" s="57" t="s">
        <v>621</v>
      </c>
    </row>
    <row r="17" spans="1:8" s="57" customFormat="1" ht="19.5" customHeight="1">
      <c r="A17" s="56"/>
      <c r="B17" s="56" t="s">
        <v>14</v>
      </c>
      <c r="C17" s="105">
        <v>301</v>
      </c>
      <c r="D17" s="56" t="s">
        <v>34</v>
      </c>
      <c r="E17" s="111">
        <v>100000</v>
      </c>
      <c r="F17" s="111"/>
      <c r="G17" s="56"/>
      <c r="H17" s="57" t="s">
        <v>621</v>
      </c>
    </row>
    <row r="18" spans="1:8" s="57" customFormat="1" ht="19.5" customHeight="1">
      <c r="A18" s="56"/>
      <c r="B18" s="56" t="s">
        <v>14</v>
      </c>
      <c r="C18" s="105">
        <v>301</v>
      </c>
      <c r="D18" s="56" t="s">
        <v>19</v>
      </c>
      <c r="E18" s="111">
        <v>100000</v>
      </c>
      <c r="F18" s="111"/>
      <c r="G18" s="56"/>
      <c r="H18" s="57" t="s">
        <v>621</v>
      </c>
    </row>
    <row r="19" spans="1:8" s="57" customFormat="1" ht="19.5" customHeight="1">
      <c r="A19" s="56"/>
      <c r="B19" s="56" t="s">
        <v>14</v>
      </c>
      <c r="C19" s="105">
        <v>301</v>
      </c>
      <c r="D19" s="56" t="s">
        <v>375</v>
      </c>
      <c r="E19" s="111"/>
      <c r="F19" s="111">
        <v>80000</v>
      </c>
      <c r="G19" s="56"/>
      <c r="H19" s="57" t="s">
        <v>621</v>
      </c>
    </row>
    <row r="20" spans="1:8" s="57" customFormat="1" ht="19.5" customHeight="1">
      <c r="A20" s="56"/>
      <c r="B20" s="56" t="s">
        <v>14</v>
      </c>
      <c r="C20" s="105">
        <v>302</v>
      </c>
      <c r="D20" s="56" t="s">
        <v>34</v>
      </c>
      <c r="E20" s="111">
        <v>250000</v>
      </c>
      <c r="F20" s="111"/>
      <c r="G20" s="56"/>
      <c r="H20" s="57" t="s">
        <v>621</v>
      </c>
    </row>
    <row r="21" spans="1:8" s="57" customFormat="1">
      <c r="A21" s="56"/>
      <c r="B21" s="56" t="s">
        <v>14</v>
      </c>
      <c r="C21" s="105">
        <v>302</v>
      </c>
      <c r="D21" s="56" t="s">
        <v>19</v>
      </c>
      <c r="E21" s="111">
        <v>200000</v>
      </c>
      <c r="F21" s="111"/>
      <c r="G21" s="56"/>
      <c r="H21" s="57" t="s">
        <v>621</v>
      </c>
    </row>
    <row r="22" spans="1:8" s="57" customFormat="1">
      <c r="A22" s="56"/>
      <c r="B22" s="56" t="s">
        <v>14</v>
      </c>
      <c r="C22" s="105">
        <v>302</v>
      </c>
      <c r="D22" s="56" t="s">
        <v>488</v>
      </c>
      <c r="E22" s="111"/>
      <c r="F22" s="111">
        <v>10000</v>
      </c>
      <c r="G22" s="56"/>
      <c r="H22" s="57" t="s">
        <v>621</v>
      </c>
    </row>
    <row r="23" spans="1:8" s="57" customFormat="1">
      <c r="A23" s="56">
        <v>46115</v>
      </c>
      <c r="B23" s="102" t="s">
        <v>33</v>
      </c>
      <c r="C23" s="105">
        <v>101</v>
      </c>
      <c r="D23" s="56" t="s">
        <v>489</v>
      </c>
      <c r="E23" s="111"/>
      <c r="F23" s="111">
        <v>40000</v>
      </c>
      <c r="G23" s="56"/>
      <c r="H23" s="57" t="s">
        <v>622</v>
      </c>
    </row>
    <row r="24" spans="1:8" s="57" customFormat="1">
      <c r="A24" s="56"/>
      <c r="B24" s="102" t="s">
        <v>33</v>
      </c>
      <c r="C24" s="105">
        <v>101</v>
      </c>
      <c r="D24" s="56" t="s">
        <v>490</v>
      </c>
      <c r="E24" s="111"/>
      <c r="F24" s="111">
        <v>220000</v>
      </c>
      <c r="G24" s="56"/>
      <c r="H24" s="57" t="s">
        <v>622</v>
      </c>
    </row>
    <row r="25" spans="1:8" s="57" customFormat="1">
      <c r="A25" s="56"/>
      <c r="B25" s="102" t="s">
        <v>33</v>
      </c>
      <c r="C25" s="105">
        <v>101</v>
      </c>
      <c r="D25" s="56" t="s">
        <v>19</v>
      </c>
      <c r="E25" s="111">
        <v>300000</v>
      </c>
      <c r="F25" s="111"/>
      <c r="G25" s="56"/>
      <c r="H25" s="57" t="s">
        <v>622</v>
      </c>
    </row>
    <row r="26" spans="1:8" s="57" customFormat="1">
      <c r="A26" s="56"/>
      <c r="B26" s="102" t="s">
        <v>33</v>
      </c>
      <c r="C26" s="105">
        <v>101</v>
      </c>
      <c r="D26" s="56" t="s">
        <v>491</v>
      </c>
      <c r="E26" s="111">
        <v>300000</v>
      </c>
      <c r="F26" s="111"/>
      <c r="G26" s="56"/>
      <c r="H26" s="57" t="s">
        <v>622</v>
      </c>
    </row>
    <row r="27" spans="1:8" s="57" customFormat="1">
      <c r="A27" s="56"/>
      <c r="B27" s="56" t="s">
        <v>271</v>
      </c>
      <c r="C27" s="105">
        <v>301</v>
      </c>
      <c r="D27" s="56" t="s">
        <v>492</v>
      </c>
      <c r="E27" s="111"/>
      <c r="F27" s="111">
        <v>55000</v>
      </c>
      <c r="G27" s="56"/>
      <c r="H27" s="57" t="s">
        <v>623</v>
      </c>
    </row>
    <row r="28" spans="1:8" s="57" customFormat="1">
      <c r="A28" s="56"/>
      <c r="B28" s="56" t="s">
        <v>38</v>
      </c>
      <c r="C28" s="105">
        <v>201</v>
      </c>
      <c r="D28" s="56" t="s">
        <v>433</v>
      </c>
      <c r="E28" s="111"/>
      <c r="F28" s="111">
        <v>50000</v>
      </c>
      <c r="G28" s="56"/>
      <c r="H28" s="57" t="s">
        <v>624</v>
      </c>
    </row>
    <row r="29" spans="1:8" s="57" customFormat="1">
      <c r="A29" s="56"/>
      <c r="B29" s="56" t="s">
        <v>9</v>
      </c>
      <c r="C29" s="105">
        <v>202</v>
      </c>
      <c r="D29" s="56" t="s">
        <v>375</v>
      </c>
      <c r="E29" s="111"/>
      <c r="F29" s="111">
        <v>80000</v>
      </c>
      <c r="G29" s="56"/>
      <c r="H29" s="57" t="s">
        <v>619</v>
      </c>
    </row>
    <row r="30" spans="1:8" s="57" customFormat="1">
      <c r="A30" s="56"/>
      <c r="B30" s="56" t="s">
        <v>9</v>
      </c>
      <c r="C30" s="105">
        <v>202</v>
      </c>
      <c r="D30" s="56" t="s">
        <v>493</v>
      </c>
      <c r="E30" s="111"/>
      <c r="F30" s="111">
        <v>50000</v>
      </c>
      <c r="G30" s="56"/>
      <c r="H30" s="57" t="s">
        <v>619</v>
      </c>
    </row>
    <row r="31" spans="1:8" s="57" customFormat="1">
      <c r="A31" s="56">
        <v>46116</v>
      </c>
      <c r="B31" s="119" t="s">
        <v>55</v>
      </c>
      <c r="C31" s="120">
        <v>209</v>
      </c>
      <c r="D31" s="119" t="s">
        <v>19</v>
      </c>
      <c r="E31" s="121">
        <v>300000</v>
      </c>
      <c r="F31" s="111"/>
      <c r="G31" s="56" t="s">
        <v>494</v>
      </c>
      <c r="H31" s="117" t="s">
        <v>622</v>
      </c>
    </row>
    <row r="32" spans="1:8" s="57" customFormat="1">
      <c r="A32" s="56"/>
      <c r="B32" s="102" t="s">
        <v>51</v>
      </c>
      <c r="C32" s="105">
        <v>502</v>
      </c>
      <c r="D32" s="56" t="s">
        <v>495</v>
      </c>
      <c r="E32" s="111"/>
      <c r="F32" s="111">
        <v>255000</v>
      </c>
      <c r="G32" s="56"/>
      <c r="H32" s="117" t="s">
        <v>622</v>
      </c>
    </row>
    <row r="33" spans="1:9" s="57" customFormat="1">
      <c r="A33" s="56"/>
      <c r="B33" s="102" t="s">
        <v>240</v>
      </c>
      <c r="C33" s="84">
        <v>203</v>
      </c>
      <c r="D33" s="21" t="s">
        <v>496</v>
      </c>
      <c r="E33" s="17"/>
      <c r="F33" s="17">
        <v>65000</v>
      </c>
      <c r="G33" s="56"/>
      <c r="H33" s="57" t="s">
        <v>621</v>
      </c>
    </row>
    <row r="34" spans="1:9" s="57" customFormat="1">
      <c r="A34" s="56"/>
      <c r="B34" s="102" t="s">
        <v>240</v>
      </c>
      <c r="C34" s="84">
        <v>203</v>
      </c>
      <c r="D34" s="21" t="s">
        <v>34</v>
      </c>
      <c r="E34" s="17">
        <v>100000</v>
      </c>
      <c r="F34" s="17"/>
      <c r="G34" s="56" t="s">
        <v>482</v>
      </c>
      <c r="H34" s="57" t="s">
        <v>621</v>
      </c>
    </row>
    <row r="35" spans="1:9" s="57" customFormat="1">
      <c r="A35" s="56"/>
      <c r="B35" s="102" t="s">
        <v>240</v>
      </c>
      <c r="C35" s="84">
        <v>203</v>
      </c>
      <c r="D35" s="21" t="s">
        <v>626</v>
      </c>
      <c r="E35" s="17">
        <v>200000</v>
      </c>
      <c r="F35" s="17"/>
      <c r="G35" s="56"/>
      <c r="H35" s="57" t="s">
        <v>621</v>
      </c>
    </row>
    <row r="36" spans="1:9" s="57" customFormat="1" ht="42">
      <c r="A36" s="56">
        <v>46117</v>
      </c>
      <c r="B36" s="56" t="s">
        <v>47</v>
      </c>
      <c r="C36" s="105">
        <v>402</v>
      </c>
      <c r="D36" s="56" t="s">
        <v>34</v>
      </c>
      <c r="E36" s="111">
        <v>100000</v>
      </c>
      <c r="F36" s="111"/>
      <c r="G36" s="56"/>
      <c r="H36" s="57" t="s">
        <v>623</v>
      </c>
      <c r="I36" s="117" t="s">
        <v>627</v>
      </c>
    </row>
    <row r="37" spans="1:9" s="57" customFormat="1" ht="42">
      <c r="A37" s="56"/>
      <c r="B37" s="56" t="s">
        <v>47</v>
      </c>
      <c r="C37" s="105">
        <v>402</v>
      </c>
      <c r="D37" s="56" t="s">
        <v>498</v>
      </c>
      <c r="E37" s="111"/>
      <c r="F37" s="111">
        <v>35000</v>
      </c>
      <c r="G37" s="56"/>
      <c r="H37" s="57" t="s">
        <v>623</v>
      </c>
      <c r="I37" s="117" t="s">
        <v>627</v>
      </c>
    </row>
    <row r="38" spans="1:9" s="57" customFormat="1">
      <c r="A38" s="56">
        <v>46118</v>
      </c>
      <c r="B38" s="102" t="s">
        <v>499</v>
      </c>
      <c r="C38" s="105">
        <v>502</v>
      </c>
      <c r="D38" s="56" t="s">
        <v>500</v>
      </c>
      <c r="E38" s="111"/>
      <c r="F38" s="111">
        <v>80000</v>
      </c>
      <c r="G38" s="56"/>
      <c r="H38" s="57" t="s">
        <v>621</v>
      </c>
    </row>
    <row r="39" spans="1:9" s="57" customFormat="1">
      <c r="A39" s="56"/>
      <c r="B39" s="56" t="s">
        <v>44</v>
      </c>
      <c r="C39" s="105">
        <v>602</v>
      </c>
      <c r="D39" s="56" t="s">
        <v>497</v>
      </c>
      <c r="E39" s="111">
        <v>400000</v>
      </c>
      <c r="F39" s="111"/>
      <c r="G39" s="56" t="s">
        <v>364</v>
      </c>
      <c r="H39" s="57" t="s">
        <v>619</v>
      </c>
    </row>
    <row r="40" spans="1:9" s="57" customFormat="1">
      <c r="A40" s="56"/>
      <c r="B40" s="102" t="s">
        <v>120</v>
      </c>
      <c r="C40" s="105"/>
      <c r="D40" s="56" t="s">
        <v>81</v>
      </c>
      <c r="E40" s="111"/>
      <c r="F40" s="111">
        <v>65000</v>
      </c>
      <c r="G40" s="56"/>
      <c r="H40" s="57" t="s">
        <v>622</v>
      </c>
    </row>
    <row r="41" spans="1:9" s="57" customFormat="1">
      <c r="A41" s="56"/>
      <c r="B41" s="102" t="s">
        <v>240</v>
      </c>
      <c r="C41" s="105">
        <v>404</v>
      </c>
      <c r="D41" s="56" t="s">
        <v>501</v>
      </c>
      <c r="E41" s="111"/>
      <c r="F41" s="111">
        <v>35000</v>
      </c>
      <c r="G41" s="56"/>
      <c r="H41" s="57" t="s">
        <v>621</v>
      </c>
    </row>
    <row r="42" spans="1:9" s="57" customFormat="1" ht="42">
      <c r="A42" s="56">
        <v>46119</v>
      </c>
      <c r="B42" s="102" t="s">
        <v>64</v>
      </c>
      <c r="C42" s="105">
        <v>403</v>
      </c>
      <c r="D42" s="56" t="s">
        <v>34</v>
      </c>
      <c r="E42" s="111">
        <v>100000</v>
      </c>
      <c r="F42" s="111"/>
      <c r="G42" s="56"/>
      <c r="H42" s="57" t="s">
        <v>623</v>
      </c>
      <c r="I42" s="117" t="s">
        <v>627</v>
      </c>
    </row>
    <row r="43" spans="1:9" s="57" customFormat="1">
      <c r="A43" s="56"/>
      <c r="B43" s="56" t="s">
        <v>255</v>
      </c>
      <c r="C43" s="105">
        <v>501</v>
      </c>
      <c r="D43" s="56" t="s">
        <v>34</v>
      </c>
      <c r="E43" s="111">
        <v>200000</v>
      </c>
      <c r="F43" s="111"/>
      <c r="G43" s="56"/>
      <c r="H43" s="57" t="s">
        <v>619</v>
      </c>
    </row>
    <row r="44" spans="1:9" s="57" customFormat="1" ht="42">
      <c r="A44" s="56">
        <v>46120</v>
      </c>
      <c r="B44" s="102" t="s">
        <v>80</v>
      </c>
      <c r="C44" s="105">
        <v>501</v>
      </c>
      <c r="D44" s="56" t="s">
        <v>19</v>
      </c>
      <c r="E44" s="111">
        <v>200000</v>
      </c>
      <c r="F44" s="111"/>
      <c r="G44" s="56"/>
      <c r="H44" s="57" t="s">
        <v>625</v>
      </c>
      <c r="I44" s="117" t="s">
        <v>627</v>
      </c>
    </row>
    <row r="45" spans="1:9" s="57" customFormat="1" ht="42">
      <c r="A45" s="56"/>
      <c r="B45" s="102" t="s">
        <v>80</v>
      </c>
      <c r="C45" s="105">
        <v>501</v>
      </c>
      <c r="D45" s="56" t="s">
        <v>502</v>
      </c>
      <c r="E45" s="111">
        <v>150000</v>
      </c>
      <c r="F45" s="111">
        <v>64000</v>
      </c>
      <c r="G45" s="56"/>
      <c r="H45" s="57" t="s">
        <v>625</v>
      </c>
      <c r="I45" s="117" t="s">
        <v>627</v>
      </c>
    </row>
    <row r="46" spans="1:9" s="57" customFormat="1">
      <c r="A46" s="56"/>
      <c r="B46" s="102" t="s">
        <v>80</v>
      </c>
      <c r="C46" s="105">
        <v>201</v>
      </c>
      <c r="D46" s="56" t="s">
        <v>19</v>
      </c>
      <c r="E46" s="111">
        <v>200000</v>
      </c>
      <c r="F46" s="111"/>
      <c r="G46" s="56"/>
      <c r="H46" s="57" t="s">
        <v>625</v>
      </c>
    </row>
    <row r="47" spans="1:9" s="57" customFormat="1">
      <c r="A47" s="56"/>
      <c r="B47" s="102" t="s">
        <v>80</v>
      </c>
      <c r="C47" s="105">
        <v>201</v>
      </c>
      <c r="D47" s="56" t="s">
        <v>502</v>
      </c>
      <c r="E47" s="111">
        <v>150000</v>
      </c>
      <c r="F47" s="111">
        <v>64000</v>
      </c>
      <c r="G47" s="56"/>
      <c r="H47" s="57" t="s">
        <v>625</v>
      </c>
    </row>
    <row r="48" spans="1:9">
      <c r="B48" s="102" t="s">
        <v>80</v>
      </c>
      <c r="C48" s="105">
        <v>201</v>
      </c>
      <c r="D48" s="56" t="s">
        <v>191</v>
      </c>
      <c r="E48" s="111"/>
      <c r="F48" s="111">
        <v>40000</v>
      </c>
      <c r="G48" s="56"/>
      <c r="H48" s="57" t="s">
        <v>625</v>
      </c>
    </row>
    <row r="49" spans="1:9">
      <c r="B49" s="102" t="s">
        <v>80</v>
      </c>
      <c r="C49" s="105">
        <v>201</v>
      </c>
      <c r="D49" s="7" t="s">
        <v>503</v>
      </c>
      <c r="F49" s="115">
        <v>130000</v>
      </c>
      <c r="H49" s="57" t="s">
        <v>625</v>
      </c>
    </row>
    <row r="50" spans="1:9">
      <c r="B50" s="102" t="s">
        <v>80</v>
      </c>
      <c r="C50" s="105">
        <v>201</v>
      </c>
      <c r="D50" s="7" t="s">
        <v>504</v>
      </c>
      <c r="F50" s="115">
        <v>130000</v>
      </c>
      <c r="H50" s="57" t="s">
        <v>625</v>
      </c>
    </row>
    <row r="51" spans="1:9">
      <c r="B51" s="102" t="s">
        <v>80</v>
      </c>
      <c r="C51" s="105">
        <v>201</v>
      </c>
      <c r="D51" s="7" t="s">
        <v>505</v>
      </c>
      <c r="F51" s="115">
        <v>40000</v>
      </c>
      <c r="H51" s="57" t="s">
        <v>625</v>
      </c>
    </row>
    <row r="52" spans="1:9">
      <c r="A52" s="21">
        <v>46121</v>
      </c>
      <c r="B52" s="28" t="s">
        <v>402</v>
      </c>
      <c r="C52" s="84" t="s">
        <v>506</v>
      </c>
      <c r="D52" s="7" t="s">
        <v>507</v>
      </c>
      <c r="F52" s="115">
        <v>120000</v>
      </c>
      <c r="H52" s="7" t="s">
        <v>622</v>
      </c>
    </row>
    <row r="53" spans="1:9" ht="42">
      <c r="A53" s="21">
        <v>46122</v>
      </c>
      <c r="B53" s="7" t="s">
        <v>38</v>
      </c>
      <c r="C53" s="84">
        <v>302</v>
      </c>
      <c r="D53" s="7" t="s">
        <v>508</v>
      </c>
      <c r="F53" s="115">
        <v>315000</v>
      </c>
      <c r="H53" s="7" t="s">
        <v>624</v>
      </c>
      <c r="I53" s="16" t="s">
        <v>627</v>
      </c>
    </row>
    <row r="54" spans="1:9" ht="42">
      <c r="B54" s="7" t="s">
        <v>38</v>
      </c>
      <c r="C54" s="84">
        <v>302</v>
      </c>
      <c r="D54" s="7" t="s">
        <v>509</v>
      </c>
      <c r="F54" s="115">
        <v>150000</v>
      </c>
      <c r="H54" s="7" t="s">
        <v>624</v>
      </c>
      <c r="I54" s="16" t="s">
        <v>627</v>
      </c>
    </row>
    <row r="55" spans="1:9">
      <c r="A55" s="21">
        <v>46123</v>
      </c>
      <c r="B55" s="7" t="s">
        <v>9</v>
      </c>
      <c r="C55" s="84">
        <v>302</v>
      </c>
      <c r="D55" s="7" t="s">
        <v>510</v>
      </c>
      <c r="E55" s="115">
        <v>100000</v>
      </c>
      <c r="F55" s="115">
        <v>25000</v>
      </c>
      <c r="H55" s="7" t="s">
        <v>619</v>
      </c>
    </row>
    <row r="56" spans="1:9">
      <c r="B56" s="7" t="s">
        <v>9</v>
      </c>
      <c r="C56" s="84">
        <v>302</v>
      </c>
      <c r="D56" s="7" t="s">
        <v>511</v>
      </c>
      <c r="F56" s="115">
        <v>150000</v>
      </c>
      <c r="H56" s="7" t="s">
        <v>619</v>
      </c>
    </row>
    <row r="57" spans="1:9">
      <c r="B57" s="28" t="s">
        <v>35</v>
      </c>
      <c r="C57" s="84">
        <v>201</v>
      </c>
      <c r="D57" s="7" t="s">
        <v>512</v>
      </c>
      <c r="E57" s="115">
        <v>100000</v>
      </c>
      <c r="F57" s="115">
        <v>45000</v>
      </c>
      <c r="H57" s="7" t="s">
        <v>622</v>
      </c>
    </row>
    <row r="58" spans="1:9" ht="28">
      <c r="B58" s="28" t="s">
        <v>35</v>
      </c>
      <c r="C58" s="84">
        <v>101</v>
      </c>
      <c r="D58" s="16" t="s">
        <v>513</v>
      </c>
      <c r="E58" s="115">
        <v>100000</v>
      </c>
      <c r="F58" s="115">
        <v>95000</v>
      </c>
      <c r="H58" s="7" t="s">
        <v>622</v>
      </c>
    </row>
    <row r="59" spans="1:9">
      <c r="B59" s="28" t="s">
        <v>33</v>
      </c>
      <c r="C59" s="84">
        <v>101</v>
      </c>
      <c r="D59" s="7" t="s">
        <v>514</v>
      </c>
      <c r="E59" s="115">
        <v>100000</v>
      </c>
      <c r="H59" s="7" t="s">
        <v>622</v>
      </c>
    </row>
    <row r="60" spans="1:9">
      <c r="A60" s="21">
        <v>46124</v>
      </c>
      <c r="B60" s="28" t="s">
        <v>353</v>
      </c>
      <c r="C60" s="84">
        <v>501</v>
      </c>
      <c r="D60" s="7" t="s">
        <v>515</v>
      </c>
      <c r="F60" s="115">
        <v>115000</v>
      </c>
      <c r="H60" s="7" t="s">
        <v>624</v>
      </c>
    </row>
    <row r="61" spans="1:9">
      <c r="B61" s="7" t="s">
        <v>261</v>
      </c>
      <c r="C61" s="84">
        <v>101</v>
      </c>
      <c r="D61" s="7" t="s">
        <v>516</v>
      </c>
      <c r="F61" s="115">
        <v>58000</v>
      </c>
      <c r="H61" s="7" t="s">
        <v>623</v>
      </c>
    </row>
    <row r="62" spans="1:9" ht="28">
      <c r="A62" s="21">
        <v>46125</v>
      </c>
      <c r="B62" s="28" t="s">
        <v>80</v>
      </c>
      <c r="D62" s="16" t="s">
        <v>517</v>
      </c>
      <c r="E62" s="115">
        <v>600000</v>
      </c>
      <c r="F62" s="115">
        <v>64000</v>
      </c>
      <c r="H62" s="7" t="s">
        <v>625</v>
      </c>
    </row>
    <row r="63" spans="1:9">
      <c r="B63" s="28" t="s">
        <v>80</v>
      </c>
      <c r="D63" s="7" t="s">
        <v>518</v>
      </c>
      <c r="F63" s="115">
        <v>180000</v>
      </c>
      <c r="H63" s="7" t="s">
        <v>625</v>
      </c>
    </row>
    <row r="64" spans="1:9">
      <c r="B64" s="28" t="s">
        <v>80</v>
      </c>
      <c r="C64" s="84">
        <v>203</v>
      </c>
      <c r="D64" s="7" t="s">
        <v>519</v>
      </c>
      <c r="F64" s="115">
        <v>110000</v>
      </c>
      <c r="H64" s="7" t="s">
        <v>625</v>
      </c>
    </row>
    <row r="65" spans="1:8">
      <c r="A65" s="21">
        <v>46126</v>
      </c>
      <c r="B65" s="28" t="s">
        <v>41</v>
      </c>
      <c r="C65" s="84">
        <v>102</v>
      </c>
      <c r="D65" s="7" t="s">
        <v>520</v>
      </c>
      <c r="F65" s="115">
        <v>190000</v>
      </c>
      <c r="H65" s="7" t="s">
        <v>623</v>
      </c>
    </row>
    <row r="66" spans="1:8">
      <c r="B66" s="28" t="s">
        <v>41</v>
      </c>
      <c r="C66" s="84">
        <v>202</v>
      </c>
      <c r="D66" s="7" t="s">
        <v>521</v>
      </c>
      <c r="F66" s="115">
        <v>105000</v>
      </c>
      <c r="H66" s="7" t="s">
        <v>623</v>
      </c>
    </row>
    <row r="67" spans="1:8">
      <c r="B67" s="7" t="s">
        <v>61</v>
      </c>
      <c r="D67" s="7" t="s">
        <v>522</v>
      </c>
      <c r="E67" s="115">
        <v>400000</v>
      </c>
      <c r="F67" s="115">
        <v>15000</v>
      </c>
      <c r="H67" s="7" t="s">
        <v>621</v>
      </c>
    </row>
    <row r="68" spans="1:8">
      <c r="A68" s="21">
        <v>46127</v>
      </c>
      <c r="B68" s="7" t="s">
        <v>44</v>
      </c>
      <c r="D68" s="7" t="s">
        <v>523</v>
      </c>
      <c r="E68" s="115">
        <v>400000</v>
      </c>
      <c r="F68" s="115">
        <f>380000+10000+7000+22000</f>
        <v>419000</v>
      </c>
      <c r="H68" s="7" t="s">
        <v>619</v>
      </c>
    </row>
    <row r="69" spans="1:8">
      <c r="A69" s="21">
        <v>46129</v>
      </c>
      <c r="B69" s="7" t="s">
        <v>55</v>
      </c>
      <c r="D69" s="7" t="s">
        <v>524</v>
      </c>
      <c r="F69" s="115">
        <v>16000</v>
      </c>
      <c r="H69" s="7" t="s">
        <v>622</v>
      </c>
    </row>
    <row r="70" spans="1:8">
      <c r="B70" s="7" t="s">
        <v>55</v>
      </c>
      <c r="C70" s="84">
        <v>308</v>
      </c>
      <c r="D70" s="7" t="s">
        <v>107</v>
      </c>
      <c r="F70" s="115">
        <v>140000</v>
      </c>
      <c r="G70" s="262"/>
      <c r="H70" s="7" t="s">
        <v>622</v>
      </c>
    </row>
    <row r="71" spans="1:8">
      <c r="B71" s="7" t="s">
        <v>55</v>
      </c>
      <c r="D71" s="7" t="s">
        <v>525</v>
      </c>
      <c r="F71" s="115">
        <v>195000</v>
      </c>
      <c r="G71" s="263"/>
      <c r="H71" s="7" t="s">
        <v>622</v>
      </c>
    </row>
    <row r="72" spans="1:8">
      <c r="B72" s="7" t="s">
        <v>55</v>
      </c>
      <c r="C72" s="84">
        <v>209</v>
      </c>
      <c r="D72" s="7" t="s">
        <v>526</v>
      </c>
      <c r="F72" s="115">
        <v>250000</v>
      </c>
      <c r="H72" s="7" t="s">
        <v>622</v>
      </c>
    </row>
    <row r="73" spans="1:8">
      <c r="B73" s="7" t="s">
        <v>55</v>
      </c>
      <c r="C73" s="84">
        <v>209</v>
      </c>
      <c r="D73" s="7" t="s">
        <v>527</v>
      </c>
      <c r="H73" s="7" t="s">
        <v>622</v>
      </c>
    </row>
    <row r="74" spans="1:8">
      <c r="B74" s="28" t="s">
        <v>41</v>
      </c>
      <c r="C74" s="84">
        <v>506</v>
      </c>
      <c r="D74" s="7" t="s">
        <v>19</v>
      </c>
      <c r="E74" s="122">
        <v>140000</v>
      </c>
      <c r="H74" s="7" t="s">
        <v>623</v>
      </c>
    </row>
    <row r="75" spans="1:8">
      <c r="B75" s="28" t="s">
        <v>41</v>
      </c>
      <c r="C75" s="84">
        <v>304</v>
      </c>
      <c r="D75" s="7" t="s">
        <v>528</v>
      </c>
      <c r="E75" s="115">
        <v>100000</v>
      </c>
      <c r="H75" s="7" t="s">
        <v>623</v>
      </c>
    </row>
    <row r="76" spans="1:8">
      <c r="A76" s="21">
        <v>46130</v>
      </c>
      <c r="B76" s="28" t="s">
        <v>78</v>
      </c>
      <c r="D76" s="7" t="s">
        <v>529</v>
      </c>
      <c r="E76" s="115">
        <v>300000</v>
      </c>
      <c r="H76" s="7" t="s">
        <v>621</v>
      </c>
    </row>
    <row r="77" spans="1:8">
      <c r="A77" s="21">
        <v>46131</v>
      </c>
      <c r="B77" s="28" t="s">
        <v>240</v>
      </c>
      <c r="C77" s="84">
        <v>401</v>
      </c>
      <c r="D77" s="7" t="s">
        <v>530</v>
      </c>
      <c r="F77" s="115">
        <v>44000</v>
      </c>
      <c r="H77" s="7" t="s">
        <v>621</v>
      </c>
    </row>
    <row r="78" spans="1:8">
      <c r="A78" s="21">
        <v>46132</v>
      </c>
      <c r="B78" s="7" t="s">
        <v>76</v>
      </c>
      <c r="D78" s="7" t="s">
        <v>531</v>
      </c>
      <c r="E78" s="115">
        <v>400000</v>
      </c>
      <c r="H78" s="7" t="s">
        <v>619</v>
      </c>
    </row>
    <row r="79" spans="1:8">
      <c r="B79" s="7" t="s">
        <v>27</v>
      </c>
      <c r="C79" s="84">
        <v>301</v>
      </c>
      <c r="D79" s="7" t="s">
        <v>532</v>
      </c>
      <c r="F79" s="115">
        <v>25000</v>
      </c>
      <c r="H79" s="7" t="s">
        <v>620</v>
      </c>
    </row>
    <row r="80" spans="1:8">
      <c r="B80" s="7" t="s">
        <v>97</v>
      </c>
      <c r="C80" s="84">
        <v>402</v>
      </c>
      <c r="D80" s="7" t="s">
        <v>533</v>
      </c>
      <c r="F80" s="115">
        <v>40000</v>
      </c>
      <c r="H80" s="7" t="s">
        <v>622</v>
      </c>
    </row>
    <row r="81" spans="1:9">
      <c r="A81" s="21">
        <v>46133</v>
      </c>
      <c r="B81" s="28" t="s">
        <v>41</v>
      </c>
      <c r="C81" s="84">
        <v>304</v>
      </c>
      <c r="D81" s="7" t="s">
        <v>130</v>
      </c>
      <c r="E81" s="122"/>
      <c r="F81" s="122">
        <v>40000</v>
      </c>
      <c r="H81" s="7" t="s">
        <v>623</v>
      </c>
    </row>
    <row r="82" spans="1:9">
      <c r="B82" s="28" t="s">
        <v>41</v>
      </c>
      <c r="D82" s="7" t="s">
        <v>534</v>
      </c>
      <c r="E82" s="115">
        <v>150000</v>
      </c>
      <c r="F82" s="115">
        <v>187000</v>
      </c>
      <c r="H82" s="7" t="s">
        <v>623</v>
      </c>
    </row>
    <row r="83" spans="1:9">
      <c r="B83" s="28" t="s">
        <v>41</v>
      </c>
      <c r="C83" s="84">
        <v>304</v>
      </c>
      <c r="D83" s="7" t="s">
        <v>535</v>
      </c>
      <c r="H83" s="7" t="s">
        <v>623</v>
      </c>
    </row>
    <row r="84" spans="1:9">
      <c r="B84" s="7" t="s">
        <v>27</v>
      </c>
      <c r="D84" s="7" t="s">
        <v>536</v>
      </c>
      <c r="E84" s="115">
        <v>150000</v>
      </c>
      <c r="F84" s="115">
        <v>180000</v>
      </c>
      <c r="H84" s="7" t="s">
        <v>620</v>
      </c>
    </row>
    <row r="85" spans="1:9">
      <c r="A85" s="21">
        <v>46134</v>
      </c>
      <c r="B85" s="7" t="s">
        <v>537</v>
      </c>
      <c r="D85" s="7" t="s">
        <v>375</v>
      </c>
      <c r="F85" s="115">
        <v>80000</v>
      </c>
    </row>
    <row r="86" spans="1:9">
      <c r="B86" s="28" t="s">
        <v>438</v>
      </c>
      <c r="D86" s="7" t="s">
        <v>538</v>
      </c>
      <c r="F86" s="115">
        <v>50000</v>
      </c>
    </row>
    <row r="87" spans="1:9">
      <c r="B87" s="28" t="s">
        <v>438</v>
      </c>
      <c r="D87" s="7" t="s">
        <v>539</v>
      </c>
      <c r="F87" s="115">
        <v>30000</v>
      </c>
    </row>
    <row r="88" spans="1:9">
      <c r="B88" s="28" t="s">
        <v>438</v>
      </c>
      <c r="D88" s="7" t="s">
        <v>540</v>
      </c>
      <c r="F88" s="115">
        <v>65000</v>
      </c>
    </row>
    <row r="89" spans="1:9">
      <c r="B89" s="28" t="s">
        <v>438</v>
      </c>
      <c r="D89" s="7" t="s">
        <v>541</v>
      </c>
      <c r="F89" s="115">
        <v>45000</v>
      </c>
    </row>
    <row r="90" spans="1:9">
      <c r="B90" s="28" t="s">
        <v>78</v>
      </c>
      <c r="D90" s="7" t="s">
        <v>542</v>
      </c>
      <c r="E90" s="115">
        <v>50000</v>
      </c>
      <c r="F90" s="115">
        <v>95000</v>
      </c>
      <c r="H90" s="7" t="s">
        <v>621</v>
      </c>
    </row>
    <row r="91" spans="1:9">
      <c r="B91" s="28" t="s">
        <v>80</v>
      </c>
      <c r="C91" s="84">
        <v>403</v>
      </c>
      <c r="D91" s="7" t="s">
        <v>543</v>
      </c>
      <c r="F91" s="115">
        <v>120000</v>
      </c>
      <c r="H91" s="7" t="s">
        <v>625</v>
      </c>
    </row>
    <row r="92" spans="1:9">
      <c r="B92" s="7" t="s">
        <v>14</v>
      </c>
      <c r="C92" s="84">
        <v>502</v>
      </c>
      <c r="D92" s="7" t="s">
        <v>544</v>
      </c>
      <c r="E92" s="115">
        <v>50000</v>
      </c>
      <c r="F92" s="115">
        <v>95000</v>
      </c>
      <c r="H92" s="7" t="s">
        <v>621</v>
      </c>
    </row>
    <row r="93" spans="1:9">
      <c r="A93" s="21">
        <v>46135</v>
      </c>
      <c r="B93" s="7" t="s">
        <v>93</v>
      </c>
      <c r="C93" s="84">
        <v>202</v>
      </c>
      <c r="D93" s="7" t="s">
        <v>19</v>
      </c>
      <c r="E93" s="122">
        <v>300000</v>
      </c>
      <c r="H93" s="7" t="s">
        <v>625</v>
      </c>
    </row>
    <row r="94" spans="1:9">
      <c r="B94" s="7" t="s">
        <v>93</v>
      </c>
      <c r="C94" s="84">
        <v>202</v>
      </c>
      <c r="D94" s="7" t="s">
        <v>34</v>
      </c>
      <c r="E94" s="122">
        <v>300000</v>
      </c>
      <c r="H94" s="7" t="s">
        <v>625</v>
      </c>
    </row>
    <row r="95" spans="1:9" ht="42">
      <c r="B95" s="7" t="s">
        <v>93</v>
      </c>
      <c r="C95" s="84">
        <v>403</v>
      </c>
      <c r="D95" s="7" t="s">
        <v>19</v>
      </c>
      <c r="E95" s="115">
        <v>300000</v>
      </c>
      <c r="H95" s="7" t="s">
        <v>625</v>
      </c>
      <c r="I95" s="16" t="s">
        <v>627</v>
      </c>
    </row>
    <row r="96" spans="1:9" ht="42">
      <c r="B96" s="7" t="s">
        <v>93</v>
      </c>
      <c r="C96" s="84">
        <v>403</v>
      </c>
      <c r="D96" s="7" t="s">
        <v>545</v>
      </c>
      <c r="F96" s="115">
        <v>50000</v>
      </c>
      <c r="H96" s="7" t="s">
        <v>625</v>
      </c>
      <c r="I96" s="16" t="s">
        <v>627</v>
      </c>
    </row>
    <row r="97" spans="1:9" ht="42">
      <c r="B97" s="7" t="s">
        <v>93</v>
      </c>
      <c r="C97" s="84">
        <v>403</v>
      </c>
      <c r="D97" s="7" t="s">
        <v>34</v>
      </c>
      <c r="E97" s="115">
        <v>300000</v>
      </c>
      <c r="H97" s="7" t="s">
        <v>625</v>
      </c>
      <c r="I97" s="16" t="s">
        <v>627</v>
      </c>
    </row>
    <row r="98" spans="1:9" ht="42">
      <c r="B98" s="7" t="s">
        <v>93</v>
      </c>
      <c r="C98" s="84">
        <v>403</v>
      </c>
      <c r="D98" s="7" t="s">
        <v>546</v>
      </c>
      <c r="F98" s="115">
        <v>150000</v>
      </c>
      <c r="H98" s="7" t="s">
        <v>625</v>
      </c>
      <c r="I98" s="16" t="s">
        <v>627</v>
      </c>
    </row>
    <row r="99" spans="1:9">
      <c r="A99" s="21">
        <v>46136</v>
      </c>
      <c r="B99" s="28" t="s">
        <v>547</v>
      </c>
      <c r="C99" s="84">
        <v>101</v>
      </c>
      <c r="D99" s="7" t="s">
        <v>19</v>
      </c>
      <c r="E99" s="115">
        <v>200000</v>
      </c>
      <c r="H99" s="7" t="s">
        <v>622</v>
      </c>
    </row>
    <row r="100" spans="1:9">
      <c r="B100" s="7" t="s">
        <v>38</v>
      </c>
      <c r="C100" s="84">
        <v>501</v>
      </c>
      <c r="D100" s="7" t="s">
        <v>548</v>
      </c>
      <c r="E100" s="122"/>
      <c r="F100" s="122">
        <v>385000</v>
      </c>
      <c r="H100" s="7" t="s">
        <v>624</v>
      </c>
    </row>
    <row r="101" spans="1:9">
      <c r="B101" s="7" t="s">
        <v>38</v>
      </c>
      <c r="C101" s="84">
        <v>501</v>
      </c>
      <c r="D101" s="7" t="s">
        <v>375</v>
      </c>
      <c r="E101" s="122"/>
      <c r="F101" s="122">
        <v>150000</v>
      </c>
      <c r="G101" s="7" t="s">
        <v>549</v>
      </c>
      <c r="H101" s="7" t="s">
        <v>624</v>
      </c>
    </row>
    <row r="102" spans="1:9">
      <c r="B102" s="7" t="s">
        <v>38</v>
      </c>
      <c r="C102" s="84">
        <v>501</v>
      </c>
      <c r="D102" s="7" t="s">
        <v>550</v>
      </c>
      <c r="E102" s="122"/>
      <c r="F102" s="122">
        <v>50000</v>
      </c>
      <c r="H102" s="7" t="s">
        <v>624</v>
      </c>
    </row>
    <row r="103" spans="1:9">
      <c r="B103" s="7" t="s">
        <v>38</v>
      </c>
      <c r="C103" s="84" t="s">
        <v>673</v>
      </c>
      <c r="D103" s="7" t="s">
        <v>34</v>
      </c>
      <c r="E103" s="122">
        <f>200000+100000</f>
        <v>300000</v>
      </c>
      <c r="F103" s="122"/>
      <c r="H103" s="7" t="s">
        <v>624</v>
      </c>
    </row>
    <row r="104" spans="1:9">
      <c r="B104" s="7" t="s">
        <v>271</v>
      </c>
      <c r="D104" s="7" t="s">
        <v>551</v>
      </c>
      <c r="F104" s="115">
        <v>50000</v>
      </c>
      <c r="H104" s="7" t="s">
        <v>623</v>
      </c>
    </row>
    <row r="105" spans="1:9">
      <c r="A105" s="21">
        <v>46137</v>
      </c>
      <c r="B105" s="28" t="s">
        <v>367</v>
      </c>
      <c r="C105" s="84">
        <v>201</v>
      </c>
      <c r="D105" s="7" t="s">
        <v>19</v>
      </c>
      <c r="E105" s="122">
        <v>100000</v>
      </c>
      <c r="H105" s="7" t="s">
        <v>622</v>
      </c>
    </row>
    <row r="106" spans="1:9">
      <c r="B106" s="28" t="s">
        <v>367</v>
      </c>
      <c r="C106" s="84">
        <v>201</v>
      </c>
      <c r="D106" s="7" t="s">
        <v>34</v>
      </c>
      <c r="E106" s="122">
        <v>100000</v>
      </c>
      <c r="H106" s="7" t="s">
        <v>622</v>
      </c>
    </row>
    <row r="107" spans="1:9">
      <c r="B107" s="28" t="s">
        <v>33</v>
      </c>
      <c r="C107" s="84">
        <v>101</v>
      </c>
      <c r="D107" s="7" t="s">
        <v>552</v>
      </c>
      <c r="E107" s="115">
        <v>100000</v>
      </c>
      <c r="F107" s="115">
        <v>115000</v>
      </c>
      <c r="H107" s="7" t="s">
        <v>622</v>
      </c>
    </row>
    <row r="108" spans="1:9" ht="42">
      <c r="B108" s="7" t="s">
        <v>38</v>
      </c>
      <c r="C108" s="84">
        <v>302</v>
      </c>
      <c r="D108" s="7" t="s">
        <v>489</v>
      </c>
      <c r="F108" s="115">
        <v>40000</v>
      </c>
      <c r="H108" s="7" t="s">
        <v>624</v>
      </c>
      <c r="I108" s="16" t="s">
        <v>627</v>
      </c>
    </row>
    <row r="109" spans="1:9">
      <c r="B109" s="7" t="s">
        <v>25</v>
      </c>
      <c r="D109" s="7" t="s">
        <v>553</v>
      </c>
      <c r="F109" s="115">
        <v>265000</v>
      </c>
      <c r="H109" s="7" t="s">
        <v>625</v>
      </c>
    </row>
  </sheetData>
  <autoFilter ref="A2:I109" xr:uid="{302C24EF-BBE2-4251-9005-B92BC1C53868}"/>
  <mergeCells count="2">
    <mergeCell ref="G70:G71"/>
    <mergeCell ref="A1:I1"/>
  </mergeCells>
  <phoneticPr fontId="1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21B10-D3B0-47D5-95CC-264DFF73C0E5}">
  <sheetPr codeName="Sheet14"/>
  <dimension ref="A1:I92"/>
  <sheetViews>
    <sheetView workbookViewId="0">
      <pane xSplit="2" ySplit="3" topLeftCell="C115" activePane="bottomRight" state="frozen"/>
      <selection activeCell="E108" sqref="E108"/>
      <selection pane="topRight" activeCell="E108" sqref="E108"/>
      <selection pane="bottomLeft" activeCell="E108" sqref="E108"/>
      <selection pane="bottomRight" activeCell="E108" sqref="E108"/>
    </sheetView>
  </sheetViews>
  <sheetFormatPr defaultColWidth="8.81640625" defaultRowHeight="14"/>
  <cols>
    <col min="1" max="1" width="14.90625" style="21" customWidth="1"/>
    <col min="2" max="2" width="10.36328125" style="7" customWidth="1"/>
    <col min="3" max="3" width="12.81640625" style="7" customWidth="1"/>
    <col min="4" max="4" width="45.6328125" style="7" customWidth="1"/>
    <col min="5" max="6" width="16.6328125" style="112" customWidth="1"/>
    <col min="7" max="7" width="34.81640625" style="7" customWidth="1"/>
    <col min="8" max="8" width="26.81640625" style="7" customWidth="1"/>
    <col min="9" max="9" width="14.08984375" style="7" customWidth="1"/>
    <col min="10" max="16384" width="8.81640625" style="7"/>
  </cols>
  <sheetData>
    <row r="1" spans="1:9" ht="24.5" customHeight="1">
      <c r="A1" s="255" t="s">
        <v>633</v>
      </c>
      <c r="B1" s="256"/>
      <c r="C1" s="256"/>
      <c r="D1" s="256"/>
      <c r="E1" s="256"/>
      <c r="F1" s="256"/>
      <c r="G1" s="256"/>
      <c r="H1" s="256"/>
      <c r="I1" s="257"/>
    </row>
    <row r="2" spans="1:9" ht="28" customHeight="1">
      <c r="A2" s="20" t="s">
        <v>1</v>
      </c>
      <c r="B2" s="3" t="s">
        <v>2</v>
      </c>
      <c r="C2" s="3" t="s">
        <v>3</v>
      </c>
      <c r="D2" s="3" t="s">
        <v>4</v>
      </c>
      <c r="E2" s="109" t="s">
        <v>5</v>
      </c>
      <c r="F2" s="109" t="s">
        <v>6</v>
      </c>
      <c r="G2" s="3" t="s">
        <v>7</v>
      </c>
      <c r="H2" s="7" t="s">
        <v>617</v>
      </c>
      <c r="I2" s="7" t="s">
        <v>618</v>
      </c>
    </row>
    <row r="3" spans="1:9" ht="28" customHeight="1">
      <c r="A3" s="70"/>
      <c r="B3" s="71"/>
      <c r="C3" s="71"/>
      <c r="D3" s="71"/>
      <c r="E3" s="110">
        <f>SUBTOTAL(109,E4:E100)</f>
        <v>9300000</v>
      </c>
      <c r="F3" s="110">
        <f>SUBTOTAL(109,F4:F119)</f>
        <v>12823000</v>
      </c>
      <c r="G3" s="71"/>
      <c r="H3" s="118">
        <v>1</v>
      </c>
      <c r="I3" s="118" t="s">
        <v>631</v>
      </c>
    </row>
    <row r="4" spans="1:9" s="57" customFormat="1" ht="19.5" customHeight="1">
      <c r="A4" s="56">
        <v>46113</v>
      </c>
      <c r="B4" s="28" t="s">
        <v>125</v>
      </c>
      <c r="C4" s="57">
        <v>302</v>
      </c>
      <c r="D4" s="57" t="s">
        <v>554</v>
      </c>
      <c r="F4" s="111">
        <v>120000</v>
      </c>
      <c r="H4" s="57" t="s">
        <v>624</v>
      </c>
    </row>
    <row r="5" spans="1:9" s="57" customFormat="1" ht="19.5" customHeight="1">
      <c r="A5" s="56"/>
      <c r="B5" s="28" t="s">
        <v>125</v>
      </c>
      <c r="C5" s="57">
        <v>302</v>
      </c>
      <c r="D5" s="57" t="s">
        <v>555</v>
      </c>
      <c r="F5" s="111">
        <v>20000</v>
      </c>
      <c r="H5" s="57" t="s">
        <v>624</v>
      </c>
    </row>
    <row r="6" spans="1:9" s="57" customFormat="1" ht="19.5" customHeight="1">
      <c r="A6" s="56">
        <v>46113</v>
      </c>
      <c r="B6" s="57" t="s">
        <v>556</v>
      </c>
      <c r="C6" s="57">
        <v>301</v>
      </c>
      <c r="D6" s="57" t="s">
        <v>557</v>
      </c>
      <c r="E6" s="111">
        <v>200000</v>
      </c>
      <c r="G6" s="57" t="s">
        <v>558</v>
      </c>
      <c r="H6" s="57" t="s">
        <v>621</v>
      </c>
    </row>
    <row r="7" spans="1:9" s="57" customFormat="1" ht="19.5" customHeight="1">
      <c r="A7" s="56">
        <v>46113</v>
      </c>
      <c r="B7" s="57" t="s">
        <v>281</v>
      </c>
      <c r="C7" s="57">
        <v>301</v>
      </c>
      <c r="D7" s="57" t="s">
        <v>559</v>
      </c>
      <c r="E7" s="111">
        <v>200000</v>
      </c>
      <c r="G7" s="57" t="s">
        <v>558</v>
      </c>
      <c r="H7" s="57" t="s">
        <v>624</v>
      </c>
    </row>
    <row r="8" spans="1:9" s="57" customFormat="1" ht="19.5" customHeight="1">
      <c r="A8" s="56">
        <v>46113</v>
      </c>
      <c r="B8" s="28" t="s">
        <v>136</v>
      </c>
      <c r="C8" s="57">
        <v>604</v>
      </c>
      <c r="D8" s="57" t="s">
        <v>560</v>
      </c>
      <c r="E8" s="111">
        <v>200000</v>
      </c>
      <c r="G8" s="57" t="s">
        <v>558</v>
      </c>
      <c r="H8" s="57" t="s">
        <v>624</v>
      </c>
    </row>
    <row r="9" spans="1:9" s="57" customFormat="1" ht="19.5" customHeight="1">
      <c r="A9" s="56">
        <v>46113</v>
      </c>
      <c r="B9" s="28" t="s">
        <v>136</v>
      </c>
      <c r="C9" s="57">
        <v>703</v>
      </c>
      <c r="D9" s="57" t="s">
        <v>561</v>
      </c>
      <c r="E9" s="111">
        <v>100000</v>
      </c>
      <c r="G9" s="57" t="s">
        <v>558</v>
      </c>
      <c r="H9" s="57" t="s">
        <v>624</v>
      </c>
    </row>
    <row r="10" spans="1:9" s="57" customFormat="1" ht="47" customHeight="1">
      <c r="A10" s="56">
        <v>46114</v>
      </c>
      <c r="B10" s="28" t="s">
        <v>149</v>
      </c>
      <c r="C10" s="57">
        <v>608</v>
      </c>
      <c r="D10" s="57" t="s">
        <v>19</v>
      </c>
      <c r="E10" s="111">
        <v>200000</v>
      </c>
      <c r="H10" s="57" t="s">
        <v>630</v>
      </c>
      <c r="I10" s="117" t="s">
        <v>628</v>
      </c>
    </row>
    <row r="11" spans="1:9" s="57" customFormat="1" ht="33" customHeight="1">
      <c r="A11" s="56"/>
      <c r="B11" s="28" t="s">
        <v>149</v>
      </c>
      <c r="C11" s="57">
        <v>608</v>
      </c>
      <c r="D11" s="57" t="s">
        <v>126</v>
      </c>
      <c r="E11" s="111">
        <v>150000</v>
      </c>
      <c r="H11" s="57" t="s">
        <v>630</v>
      </c>
      <c r="I11" s="117" t="s">
        <v>628</v>
      </c>
    </row>
    <row r="12" spans="1:9" s="57" customFormat="1" ht="19.5" customHeight="1">
      <c r="A12" s="56">
        <v>46114</v>
      </c>
      <c r="B12" s="28" t="s">
        <v>149</v>
      </c>
      <c r="C12" s="57">
        <v>506</v>
      </c>
      <c r="D12" s="57" t="s">
        <v>19</v>
      </c>
      <c r="E12" s="111">
        <v>200000</v>
      </c>
      <c r="H12" s="57" t="s">
        <v>630</v>
      </c>
    </row>
    <row r="13" spans="1:9" s="57" customFormat="1" ht="19.5" customHeight="1">
      <c r="A13" s="56"/>
      <c r="B13" s="28" t="s">
        <v>149</v>
      </c>
      <c r="C13" s="57">
        <v>506</v>
      </c>
      <c r="D13" s="57" t="s">
        <v>126</v>
      </c>
      <c r="E13" s="111">
        <v>150000</v>
      </c>
      <c r="H13" s="57" t="s">
        <v>630</v>
      </c>
    </row>
    <row r="14" spans="1:9" s="57" customFormat="1" ht="19.5" customHeight="1">
      <c r="A14" s="56">
        <v>46114</v>
      </c>
      <c r="B14" s="28" t="s">
        <v>149</v>
      </c>
      <c r="C14" s="57">
        <v>103</v>
      </c>
      <c r="D14" s="57" t="s">
        <v>19</v>
      </c>
      <c r="E14" s="111">
        <v>200000</v>
      </c>
      <c r="H14" s="57" t="s">
        <v>630</v>
      </c>
    </row>
    <row r="15" spans="1:9" s="57" customFormat="1" ht="19.5" customHeight="1">
      <c r="A15" s="56"/>
      <c r="B15" s="28" t="s">
        <v>149</v>
      </c>
      <c r="C15" s="57">
        <v>103</v>
      </c>
      <c r="D15" s="57" t="s">
        <v>126</v>
      </c>
      <c r="E15" s="111">
        <v>200000</v>
      </c>
      <c r="G15" s="57" t="s">
        <v>172</v>
      </c>
      <c r="H15" s="57" t="s">
        <v>630</v>
      </c>
    </row>
    <row r="16" spans="1:9" s="57" customFormat="1" ht="19.5" customHeight="1">
      <c r="A16" s="56">
        <v>46115</v>
      </c>
      <c r="B16" s="57" t="s">
        <v>562</v>
      </c>
      <c r="C16" s="57">
        <v>503</v>
      </c>
      <c r="D16" s="57" t="s">
        <v>19</v>
      </c>
      <c r="E16" s="111">
        <v>200000</v>
      </c>
      <c r="H16" s="57" t="s">
        <v>620</v>
      </c>
    </row>
    <row r="17" spans="1:9" s="57" customFormat="1" ht="19.5" customHeight="1">
      <c r="A17" s="56">
        <v>46116</v>
      </c>
      <c r="B17" s="28" t="s">
        <v>293</v>
      </c>
      <c r="C17" s="7">
        <v>201</v>
      </c>
      <c r="D17" s="7" t="s">
        <v>563</v>
      </c>
      <c r="E17" s="17">
        <v>300000</v>
      </c>
      <c r="G17" s="57" t="s">
        <v>172</v>
      </c>
      <c r="H17" s="57" t="s">
        <v>619</v>
      </c>
    </row>
    <row r="18" spans="1:9" s="57" customFormat="1" ht="19.5" customHeight="1">
      <c r="A18" s="56">
        <v>46116</v>
      </c>
      <c r="B18" s="28" t="s">
        <v>136</v>
      </c>
      <c r="C18" s="57">
        <v>201</v>
      </c>
      <c r="D18" s="57" t="s">
        <v>126</v>
      </c>
      <c r="E18" s="111">
        <v>150000</v>
      </c>
      <c r="G18" s="57" t="s">
        <v>564</v>
      </c>
      <c r="H18" s="57" t="s">
        <v>624</v>
      </c>
    </row>
    <row r="19" spans="1:9" s="57" customFormat="1" ht="33.5" customHeight="1">
      <c r="A19" s="56">
        <v>46116</v>
      </c>
      <c r="B19" s="57" t="s">
        <v>562</v>
      </c>
      <c r="C19" s="57">
        <v>401</v>
      </c>
      <c r="D19" s="57" t="s">
        <v>19</v>
      </c>
      <c r="E19" s="111">
        <v>200000</v>
      </c>
      <c r="H19" s="57" t="s">
        <v>620</v>
      </c>
      <c r="I19" s="117" t="s">
        <v>628</v>
      </c>
    </row>
    <row r="20" spans="1:9" s="57" customFormat="1" ht="31.5" customHeight="1">
      <c r="A20" s="56"/>
      <c r="B20" s="57" t="s">
        <v>562</v>
      </c>
      <c r="C20" s="57">
        <v>401</v>
      </c>
      <c r="D20" s="57" t="s">
        <v>126</v>
      </c>
      <c r="E20" s="111">
        <v>150000</v>
      </c>
      <c r="H20" s="57" t="s">
        <v>620</v>
      </c>
      <c r="I20" s="117" t="s">
        <v>628</v>
      </c>
    </row>
    <row r="21" spans="1:9" s="57" customFormat="1" ht="36.5" customHeight="1">
      <c r="A21" s="56">
        <v>46116</v>
      </c>
      <c r="B21" s="57" t="s">
        <v>275</v>
      </c>
      <c r="C21" s="57">
        <v>302</v>
      </c>
      <c r="D21" s="57" t="s">
        <v>565</v>
      </c>
      <c r="E21" s="111">
        <v>150000</v>
      </c>
      <c r="H21" s="57" t="s">
        <v>620</v>
      </c>
      <c r="I21" s="117" t="s">
        <v>628</v>
      </c>
    </row>
    <row r="22" spans="1:9" s="57" customFormat="1">
      <c r="A22" s="56">
        <v>46117</v>
      </c>
      <c r="B22" s="28" t="s">
        <v>149</v>
      </c>
      <c r="D22" s="57" t="s">
        <v>567</v>
      </c>
      <c r="E22" s="111">
        <v>400000</v>
      </c>
      <c r="H22" s="57" t="s">
        <v>630</v>
      </c>
    </row>
    <row r="23" spans="1:9" s="57" customFormat="1">
      <c r="A23" s="56">
        <v>46117</v>
      </c>
      <c r="B23" s="28" t="s">
        <v>136</v>
      </c>
      <c r="C23" s="57">
        <v>304</v>
      </c>
      <c r="D23" s="57" t="s">
        <v>203</v>
      </c>
      <c r="E23" s="111">
        <v>150000</v>
      </c>
      <c r="H23" s="57" t="s">
        <v>624</v>
      </c>
    </row>
    <row r="24" spans="1:9" s="57" customFormat="1">
      <c r="A24" s="56">
        <v>46117</v>
      </c>
      <c r="B24" s="28" t="s">
        <v>20</v>
      </c>
      <c r="C24" s="57">
        <v>308</v>
      </c>
      <c r="D24" s="57" t="s">
        <v>19</v>
      </c>
      <c r="E24" s="111">
        <v>200000</v>
      </c>
      <c r="H24" s="57" t="s">
        <v>621</v>
      </c>
    </row>
    <row r="25" spans="1:9" s="57" customFormat="1">
      <c r="A25" s="56"/>
      <c r="B25" s="28" t="s">
        <v>20</v>
      </c>
      <c r="C25" s="57">
        <v>308</v>
      </c>
      <c r="D25" s="57" t="s">
        <v>203</v>
      </c>
      <c r="E25" s="111">
        <v>150000</v>
      </c>
      <c r="H25" s="57" t="s">
        <v>621</v>
      </c>
    </row>
    <row r="26" spans="1:9" s="57" customFormat="1" ht="28">
      <c r="A26" s="56">
        <v>46117</v>
      </c>
      <c r="B26" s="28" t="s">
        <v>20</v>
      </c>
      <c r="C26" s="57">
        <v>402</v>
      </c>
      <c r="D26" s="57" t="s">
        <v>19</v>
      </c>
      <c r="E26" s="111">
        <v>200000</v>
      </c>
      <c r="H26" s="57" t="s">
        <v>621</v>
      </c>
      <c r="I26" s="117" t="s">
        <v>628</v>
      </c>
    </row>
    <row r="27" spans="1:9" s="57" customFormat="1" ht="28">
      <c r="A27" s="56"/>
      <c r="B27" s="28" t="s">
        <v>20</v>
      </c>
      <c r="C27" s="57">
        <v>402</v>
      </c>
      <c r="D27" s="57" t="s">
        <v>203</v>
      </c>
      <c r="E27" s="111">
        <v>150000</v>
      </c>
      <c r="H27" s="57" t="s">
        <v>621</v>
      </c>
      <c r="I27" s="117" t="s">
        <v>628</v>
      </c>
    </row>
    <row r="28" spans="1:9" s="57" customFormat="1">
      <c r="A28" s="56">
        <v>46117</v>
      </c>
      <c r="B28" s="28" t="s">
        <v>149</v>
      </c>
      <c r="C28" s="57">
        <v>506</v>
      </c>
      <c r="D28" s="57" t="s">
        <v>338</v>
      </c>
      <c r="F28" s="111">
        <v>80000</v>
      </c>
      <c r="H28" s="57" t="s">
        <v>630</v>
      </c>
    </row>
    <row r="29" spans="1:9" s="57" customFormat="1">
      <c r="A29" s="56">
        <v>46118</v>
      </c>
      <c r="B29" s="57" t="s">
        <v>568</v>
      </c>
      <c r="D29" s="57" t="s">
        <v>337</v>
      </c>
      <c r="F29" s="111">
        <v>30000</v>
      </c>
      <c r="H29" s="57" t="s">
        <v>623</v>
      </c>
    </row>
    <row r="30" spans="1:9" s="57" customFormat="1">
      <c r="A30" s="56">
        <v>46118</v>
      </c>
      <c r="B30" s="28" t="s">
        <v>569</v>
      </c>
      <c r="C30" s="57">
        <v>303</v>
      </c>
      <c r="D30" s="57" t="s">
        <v>570</v>
      </c>
      <c r="E30" s="111">
        <v>800000</v>
      </c>
      <c r="G30" s="57" t="s">
        <v>566</v>
      </c>
      <c r="H30" s="57" t="s">
        <v>619</v>
      </c>
    </row>
    <row r="31" spans="1:9" s="57" customFormat="1">
      <c r="A31" s="56">
        <v>46118</v>
      </c>
      <c r="B31" s="28" t="s">
        <v>569</v>
      </c>
      <c r="C31" s="57">
        <v>403</v>
      </c>
      <c r="D31" s="57" t="s">
        <v>203</v>
      </c>
      <c r="E31" s="111">
        <v>200000</v>
      </c>
      <c r="G31" s="57" t="s">
        <v>566</v>
      </c>
      <c r="H31" s="57" t="s">
        <v>619</v>
      </c>
    </row>
    <row r="32" spans="1:9" s="57" customFormat="1">
      <c r="A32" s="56">
        <v>46119</v>
      </c>
      <c r="B32" s="28" t="s">
        <v>342</v>
      </c>
      <c r="C32" s="94">
        <v>204</v>
      </c>
      <c r="D32" s="94" t="s">
        <v>19</v>
      </c>
      <c r="E32" s="116">
        <v>200000</v>
      </c>
      <c r="H32" s="57" t="s">
        <v>620</v>
      </c>
    </row>
    <row r="33" spans="1:8" s="57" customFormat="1">
      <c r="A33" s="56">
        <v>46119</v>
      </c>
      <c r="B33" s="28" t="s">
        <v>438</v>
      </c>
      <c r="D33" s="57" t="s">
        <v>571</v>
      </c>
      <c r="F33" s="111">
        <v>420000</v>
      </c>
    </row>
    <row r="34" spans="1:8" s="57" customFormat="1">
      <c r="A34" s="56">
        <v>46120</v>
      </c>
      <c r="B34" s="28" t="s">
        <v>149</v>
      </c>
      <c r="D34" s="57" t="s">
        <v>572</v>
      </c>
      <c r="F34" s="111">
        <v>1800000</v>
      </c>
      <c r="H34" s="57" t="s">
        <v>630</v>
      </c>
    </row>
    <row r="35" spans="1:8" s="57" customFormat="1">
      <c r="A35" s="56"/>
      <c r="B35" s="28" t="s">
        <v>149</v>
      </c>
      <c r="D35" s="57" t="s">
        <v>573</v>
      </c>
      <c r="F35" s="111">
        <v>150000</v>
      </c>
      <c r="H35" s="57" t="s">
        <v>630</v>
      </c>
    </row>
    <row r="36" spans="1:8" s="57" customFormat="1">
      <c r="A36" s="56"/>
      <c r="B36" s="28" t="s">
        <v>149</v>
      </c>
      <c r="D36" s="57" t="s">
        <v>574</v>
      </c>
      <c r="F36" s="111">
        <v>70000</v>
      </c>
      <c r="H36" s="57" t="s">
        <v>630</v>
      </c>
    </row>
    <row r="37" spans="1:8" s="57" customFormat="1">
      <c r="A37" s="56">
        <v>46120</v>
      </c>
      <c r="B37" s="28" t="s">
        <v>293</v>
      </c>
      <c r="C37" s="57">
        <v>201</v>
      </c>
      <c r="D37" s="57" t="s">
        <v>575</v>
      </c>
      <c r="F37" s="111">
        <v>40000</v>
      </c>
      <c r="H37" s="57" t="s">
        <v>619</v>
      </c>
    </row>
    <row r="38" spans="1:8" s="57" customFormat="1">
      <c r="A38" s="56">
        <v>46120</v>
      </c>
      <c r="B38" s="28" t="s">
        <v>576</v>
      </c>
      <c r="C38" s="57">
        <v>201</v>
      </c>
      <c r="D38" s="57" t="s">
        <v>577</v>
      </c>
      <c r="F38" s="111">
        <v>10000</v>
      </c>
      <c r="H38" s="57" t="s">
        <v>624</v>
      </c>
    </row>
    <row r="39" spans="1:8" s="57" customFormat="1">
      <c r="A39" s="56">
        <v>46121</v>
      </c>
      <c r="B39" s="57" t="s">
        <v>209</v>
      </c>
      <c r="D39" s="57" t="s">
        <v>578</v>
      </c>
      <c r="F39" s="111">
        <v>475000</v>
      </c>
      <c r="H39" s="57" t="s">
        <v>625</v>
      </c>
    </row>
    <row r="40" spans="1:8" s="57" customFormat="1">
      <c r="A40" s="56"/>
      <c r="B40" s="57" t="s">
        <v>209</v>
      </c>
      <c r="D40" s="57" t="s">
        <v>579</v>
      </c>
      <c r="E40" s="111">
        <v>400000</v>
      </c>
      <c r="F40" s="111">
        <v>20000</v>
      </c>
      <c r="H40" s="57" t="s">
        <v>625</v>
      </c>
    </row>
    <row r="41" spans="1:8" s="57" customFormat="1">
      <c r="A41" s="56"/>
      <c r="B41" s="57" t="s">
        <v>209</v>
      </c>
      <c r="D41" s="57" t="s">
        <v>580</v>
      </c>
      <c r="F41" s="111">
        <v>24000</v>
      </c>
      <c r="H41" s="57" t="s">
        <v>625</v>
      </c>
    </row>
    <row r="42" spans="1:8" s="57" customFormat="1">
      <c r="A42" s="56"/>
      <c r="B42" s="57" t="s">
        <v>209</v>
      </c>
      <c r="D42" s="57" t="s">
        <v>581</v>
      </c>
      <c r="F42" s="111">
        <v>40000</v>
      </c>
      <c r="H42" s="57" t="s">
        <v>625</v>
      </c>
    </row>
    <row r="43" spans="1:8" s="57" customFormat="1">
      <c r="A43" s="56"/>
      <c r="B43" s="57" t="s">
        <v>209</v>
      </c>
      <c r="D43" s="57" t="s">
        <v>582</v>
      </c>
      <c r="H43" s="57" t="s">
        <v>625</v>
      </c>
    </row>
    <row r="44" spans="1:8" s="57" customFormat="1">
      <c r="A44" s="56">
        <v>46123</v>
      </c>
      <c r="B44" s="28" t="s">
        <v>138</v>
      </c>
      <c r="C44" s="57">
        <v>403</v>
      </c>
      <c r="D44" s="57" t="s">
        <v>19</v>
      </c>
      <c r="E44" s="111">
        <v>150000</v>
      </c>
      <c r="H44" s="57" t="s">
        <v>620</v>
      </c>
    </row>
    <row r="45" spans="1:8" s="57" customFormat="1">
      <c r="A45" s="56">
        <v>46123</v>
      </c>
      <c r="B45" s="28" t="s">
        <v>138</v>
      </c>
      <c r="C45" s="57">
        <v>403</v>
      </c>
      <c r="D45" s="57" t="s">
        <v>203</v>
      </c>
      <c r="E45" s="111">
        <v>150000</v>
      </c>
      <c r="H45" s="57" t="s">
        <v>620</v>
      </c>
    </row>
    <row r="46" spans="1:8" s="57" customFormat="1">
      <c r="A46" s="56">
        <v>46124</v>
      </c>
      <c r="B46" s="28" t="s">
        <v>583</v>
      </c>
      <c r="C46" s="57">
        <v>202</v>
      </c>
      <c r="D46" s="57" t="s">
        <v>203</v>
      </c>
      <c r="E46" s="111">
        <v>300000</v>
      </c>
      <c r="G46" s="57" t="s">
        <v>584</v>
      </c>
      <c r="H46" s="57" t="s">
        <v>619</v>
      </c>
    </row>
    <row r="47" spans="1:8" s="57" customFormat="1">
      <c r="A47" s="56">
        <v>46124</v>
      </c>
      <c r="B47" s="28" t="s">
        <v>583</v>
      </c>
      <c r="C47" s="57">
        <v>202</v>
      </c>
      <c r="D47" s="57" t="s">
        <v>19</v>
      </c>
      <c r="E47" s="111">
        <v>200000</v>
      </c>
      <c r="H47" s="57" t="s">
        <v>619</v>
      </c>
    </row>
    <row r="48" spans="1:8" s="57" customFormat="1">
      <c r="A48" s="56">
        <v>46124</v>
      </c>
      <c r="B48" s="28" t="s">
        <v>576</v>
      </c>
      <c r="C48" s="57">
        <v>102</v>
      </c>
      <c r="D48" s="57" t="s">
        <v>585</v>
      </c>
      <c r="F48" s="111">
        <v>160000</v>
      </c>
      <c r="H48" s="57" t="s">
        <v>624</v>
      </c>
    </row>
    <row r="49" spans="1:8" s="57" customFormat="1">
      <c r="A49" s="56">
        <v>46125</v>
      </c>
      <c r="B49" s="28" t="s">
        <v>149</v>
      </c>
      <c r="D49" s="57" t="s">
        <v>675</v>
      </c>
      <c r="F49" s="111">
        <v>4200000</v>
      </c>
      <c r="H49" s="57" t="s">
        <v>630</v>
      </c>
    </row>
    <row r="50" spans="1:8">
      <c r="A50" s="56"/>
      <c r="B50" s="28" t="s">
        <v>149</v>
      </c>
      <c r="C50" s="57"/>
      <c r="D50" s="57" t="s">
        <v>586</v>
      </c>
      <c r="E50" s="57"/>
      <c r="F50" s="111">
        <v>616000</v>
      </c>
      <c r="G50" s="57"/>
      <c r="H50" s="57" t="s">
        <v>630</v>
      </c>
    </row>
    <row r="51" spans="1:8">
      <c r="B51" s="28" t="s">
        <v>149</v>
      </c>
      <c r="D51" s="7" t="s">
        <v>587</v>
      </c>
      <c r="F51" s="112">
        <v>58000</v>
      </c>
      <c r="H51" s="57" t="s">
        <v>630</v>
      </c>
    </row>
    <row r="52" spans="1:8">
      <c r="B52" s="28" t="s">
        <v>149</v>
      </c>
      <c r="D52" s="7" t="s">
        <v>588</v>
      </c>
      <c r="F52" s="112">
        <v>104000</v>
      </c>
      <c r="H52" s="57" t="s">
        <v>630</v>
      </c>
    </row>
    <row r="53" spans="1:8">
      <c r="B53" s="28" t="s">
        <v>149</v>
      </c>
      <c r="D53" s="7" t="s">
        <v>587</v>
      </c>
      <c r="F53" s="112">
        <v>160000</v>
      </c>
      <c r="H53" s="57" t="s">
        <v>630</v>
      </c>
    </row>
    <row r="54" spans="1:8">
      <c r="B54" s="28" t="s">
        <v>149</v>
      </c>
      <c r="D54" s="7" t="s">
        <v>589</v>
      </c>
      <c r="F54" s="112">
        <v>210000</v>
      </c>
      <c r="H54" s="57" t="s">
        <v>630</v>
      </c>
    </row>
    <row r="55" spans="1:8">
      <c r="B55" s="28" t="s">
        <v>149</v>
      </c>
      <c r="D55" s="7" t="s">
        <v>590</v>
      </c>
      <c r="F55" s="112">
        <v>85000</v>
      </c>
      <c r="H55" s="57" t="s">
        <v>630</v>
      </c>
    </row>
    <row r="56" spans="1:8">
      <c r="B56" s="28" t="s">
        <v>149</v>
      </c>
      <c r="D56" s="7" t="s">
        <v>591</v>
      </c>
      <c r="F56" s="112">
        <v>40000</v>
      </c>
      <c r="H56" s="57" t="s">
        <v>630</v>
      </c>
    </row>
    <row r="57" spans="1:8">
      <c r="B57" s="28" t="s">
        <v>149</v>
      </c>
      <c r="D57" s="7" t="s">
        <v>592</v>
      </c>
      <c r="F57" s="112">
        <v>75000</v>
      </c>
      <c r="H57" s="57" t="s">
        <v>630</v>
      </c>
    </row>
    <row r="58" spans="1:8">
      <c r="B58" s="28" t="s">
        <v>149</v>
      </c>
      <c r="D58" s="7" t="s">
        <v>593</v>
      </c>
      <c r="F58" s="112">
        <v>220000</v>
      </c>
      <c r="H58" s="57" t="s">
        <v>630</v>
      </c>
    </row>
    <row r="59" spans="1:8">
      <c r="B59" s="28" t="s">
        <v>149</v>
      </c>
      <c r="D59" s="7" t="s">
        <v>594</v>
      </c>
      <c r="F59" s="112">
        <v>480000</v>
      </c>
      <c r="H59" s="57" t="s">
        <v>630</v>
      </c>
    </row>
    <row r="60" spans="1:8">
      <c r="A60" s="21">
        <v>46126</v>
      </c>
      <c r="B60" s="28" t="s">
        <v>136</v>
      </c>
      <c r="D60" s="7" t="s">
        <v>595</v>
      </c>
      <c r="H60" s="7" t="s">
        <v>624</v>
      </c>
    </row>
    <row r="61" spans="1:8">
      <c r="B61" s="28" t="s">
        <v>136</v>
      </c>
      <c r="D61" s="7" t="s">
        <v>596</v>
      </c>
      <c r="E61" s="112">
        <v>150000</v>
      </c>
      <c r="H61" s="7" t="s">
        <v>624</v>
      </c>
    </row>
    <row r="62" spans="1:8">
      <c r="A62" s="21">
        <v>46126</v>
      </c>
      <c r="B62" s="28" t="s">
        <v>568</v>
      </c>
      <c r="C62" s="7">
        <v>401</v>
      </c>
      <c r="D62" s="7" t="s">
        <v>597</v>
      </c>
      <c r="E62" s="123"/>
      <c r="F62" s="123">
        <v>70000</v>
      </c>
      <c r="H62" s="7" t="s">
        <v>623</v>
      </c>
    </row>
    <row r="63" spans="1:8">
      <c r="A63" s="21">
        <v>46126</v>
      </c>
      <c r="B63" s="28" t="s">
        <v>149</v>
      </c>
      <c r="D63" s="7" t="s">
        <v>598</v>
      </c>
      <c r="F63" s="112">
        <v>485000</v>
      </c>
      <c r="H63" s="7" t="s">
        <v>630</v>
      </c>
    </row>
    <row r="64" spans="1:8">
      <c r="A64" s="21">
        <v>46126</v>
      </c>
      <c r="B64" s="28" t="s">
        <v>149</v>
      </c>
      <c r="D64" s="7" t="s">
        <v>599</v>
      </c>
      <c r="F64" s="112">
        <v>160000</v>
      </c>
      <c r="H64" s="7" t="s">
        <v>630</v>
      </c>
    </row>
    <row r="65" spans="1:8">
      <c r="A65" s="21">
        <v>46126</v>
      </c>
      <c r="B65" s="28" t="s">
        <v>149</v>
      </c>
      <c r="D65" s="7" t="s">
        <v>600</v>
      </c>
      <c r="F65" s="112">
        <v>40000</v>
      </c>
      <c r="H65" s="7" t="s">
        <v>630</v>
      </c>
    </row>
    <row r="66" spans="1:8">
      <c r="B66" s="28" t="s">
        <v>568</v>
      </c>
      <c r="D66" s="7" t="s">
        <v>601</v>
      </c>
      <c r="F66" s="112">
        <v>1000000</v>
      </c>
      <c r="H66" s="7" t="s">
        <v>630</v>
      </c>
    </row>
    <row r="67" spans="1:8">
      <c r="A67" s="21">
        <v>46129</v>
      </c>
      <c r="B67" s="28" t="s">
        <v>568</v>
      </c>
      <c r="D67" s="7" t="s">
        <v>602</v>
      </c>
      <c r="F67" s="112">
        <v>70000</v>
      </c>
      <c r="H67" s="7" t="s">
        <v>623</v>
      </c>
    </row>
    <row r="68" spans="1:8">
      <c r="B68" s="28" t="s">
        <v>568</v>
      </c>
      <c r="D68" s="7" t="s">
        <v>603</v>
      </c>
      <c r="F68" s="112">
        <v>20000</v>
      </c>
      <c r="H68" s="7" t="s">
        <v>623</v>
      </c>
    </row>
    <row r="69" spans="1:8">
      <c r="A69" s="21">
        <v>46129</v>
      </c>
      <c r="B69" s="28" t="s">
        <v>149</v>
      </c>
      <c r="D69" s="7" t="s">
        <v>604</v>
      </c>
      <c r="F69" s="112">
        <v>200000</v>
      </c>
      <c r="H69" s="7" t="s">
        <v>630</v>
      </c>
    </row>
    <row r="70" spans="1:8">
      <c r="A70" s="21">
        <v>46129</v>
      </c>
      <c r="B70" s="28" t="s">
        <v>103</v>
      </c>
      <c r="C70" s="7">
        <v>202</v>
      </c>
      <c r="D70" s="7" t="s">
        <v>605</v>
      </c>
      <c r="F70" s="112">
        <v>40000</v>
      </c>
      <c r="H70" s="7" t="s">
        <v>624</v>
      </c>
    </row>
    <row r="71" spans="1:8">
      <c r="B71" s="28" t="s">
        <v>103</v>
      </c>
      <c r="D71" s="7" t="s">
        <v>606</v>
      </c>
      <c r="F71" s="112">
        <f>220000+36000</f>
        <v>256000</v>
      </c>
      <c r="H71" s="7" t="s">
        <v>624</v>
      </c>
    </row>
    <row r="72" spans="1:8">
      <c r="A72" s="21">
        <v>46129</v>
      </c>
      <c r="B72" s="7" t="s">
        <v>209</v>
      </c>
      <c r="D72" s="7" t="s">
        <v>607</v>
      </c>
      <c r="H72" s="7" t="s">
        <v>625</v>
      </c>
    </row>
    <row r="73" spans="1:8">
      <c r="B73" s="7" t="s">
        <v>209</v>
      </c>
      <c r="D73" s="7" t="s">
        <v>608</v>
      </c>
      <c r="H73" s="7" t="s">
        <v>625</v>
      </c>
    </row>
    <row r="74" spans="1:8">
      <c r="A74" s="21">
        <v>46131</v>
      </c>
      <c r="B74" s="28" t="s">
        <v>438</v>
      </c>
      <c r="D74" s="7" t="s">
        <v>609</v>
      </c>
      <c r="F74" s="112">
        <v>430000</v>
      </c>
    </row>
    <row r="75" spans="1:8">
      <c r="B75" s="28" t="s">
        <v>438</v>
      </c>
      <c r="D75" s="7" t="s">
        <v>610</v>
      </c>
    </row>
    <row r="76" spans="1:8">
      <c r="A76" s="21">
        <v>46133</v>
      </c>
      <c r="B76" s="28" t="s">
        <v>583</v>
      </c>
      <c r="C76" s="7">
        <v>501</v>
      </c>
      <c r="D76" s="7" t="s">
        <v>611</v>
      </c>
      <c r="E76" s="123">
        <v>400000</v>
      </c>
      <c r="G76" s="7" t="s">
        <v>172</v>
      </c>
      <c r="H76" s="7" t="s">
        <v>619</v>
      </c>
    </row>
    <row r="77" spans="1:8">
      <c r="A77" s="21">
        <v>46134</v>
      </c>
      <c r="B77" s="28" t="s">
        <v>295</v>
      </c>
      <c r="C77" s="7">
        <v>204</v>
      </c>
      <c r="D77" s="7" t="s">
        <v>19</v>
      </c>
      <c r="E77" s="123">
        <v>150000</v>
      </c>
      <c r="H77" s="7" t="s">
        <v>619</v>
      </c>
    </row>
    <row r="78" spans="1:8">
      <c r="A78" s="21">
        <v>46137</v>
      </c>
      <c r="B78" s="28" t="s">
        <v>109</v>
      </c>
      <c r="D78" s="7" t="s">
        <v>612</v>
      </c>
      <c r="H78" s="7" t="s">
        <v>621</v>
      </c>
    </row>
    <row r="79" spans="1:8">
      <c r="B79" s="28" t="s">
        <v>109</v>
      </c>
      <c r="D79" s="7" t="s">
        <v>613</v>
      </c>
      <c r="E79" s="112">
        <v>200000</v>
      </c>
      <c r="F79" s="112">
        <v>160000</v>
      </c>
      <c r="H79" s="7" t="s">
        <v>621</v>
      </c>
    </row>
    <row r="80" spans="1:8">
      <c r="B80" s="28" t="s">
        <v>109</v>
      </c>
      <c r="D80" s="7" t="s">
        <v>362</v>
      </c>
      <c r="F80" s="112">
        <v>50000</v>
      </c>
      <c r="H80" s="7" t="s">
        <v>621</v>
      </c>
    </row>
    <row r="81" spans="1:9" ht="28">
      <c r="A81" s="21">
        <v>46138</v>
      </c>
      <c r="B81" s="28" t="s">
        <v>568</v>
      </c>
      <c r="C81" s="7">
        <v>601</v>
      </c>
      <c r="D81" s="7" t="s">
        <v>19</v>
      </c>
      <c r="E81" s="112">
        <v>150000</v>
      </c>
      <c r="H81" s="7" t="s">
        <v>623</v>
      </c>
      <c r="I81" s="16" t="s">
        <v>629</v>
      </c>
    </row>
    <row r="82" spans="1:9" ht="28">
      <c r="A82" s="21">
        <v>46138</v>
      </c>
      <c r="B82" s="28" t="s">
        <v>568</v>
      </c>
      <c r="C82" s="7">
        <v>601</v>
      </c>
      <c r="D82" s="7" t="s">
        <v>203</v>
      </c>
      <c r="E82" s="112">
        <v>150000</v>
      </c>
      <c r="H82" s="7" t="s">
        <v>623</v>
      </c>
      <c r="I82" s="16" t="s">
        <v>629</v>
      </c>
    </row>
    <row r="83" spans="1:9">
      <c r="A83" s="21">
        <v>46138</v>
      </c>
      <c r="B83" s="28" t="s">
        <v>568</v>
      </c>
      <c r="C83" s="7">
        <v>601</v>
      </c>
      <c r="D83" s="7" t="s">
        <v>676</v>
      </c>
      <c r="F83" s="112">
        <v>95000</v>
      </c>
      <c r="H83" s="7" t="s">
        <v>623</v>
      </c>
    </row>
    <row r="84" spans="1:9" ht="28">
      <c r="A84" s="21">
        <v>46138</v>
      </c>
      <c r="B84" s="28" t="s">
        <v>568</v>
      </c>
      <c r="C84" s="7">
        <v>201</v>
      </c>
      <c r="D84" s="7" t="s">
        <v>203</v>
      </c>
      <c r="E84" s="112">
        <v>150000</v>
      </c>
      <c r="H84" s="7" t="s">
        <v>623</v>
      </c>
      <c r="I84" s="16" t="s">
        <v>629</v>
      </c>
    </row>
    <row r="85" spans="1:9" ht="28">
      <c r="B85" s="28" t="s">
        <v>568</v>
      </c>
      <c r="C85" s="7">
        <v>201</v>
      </c>
      <c r="D85" s="7" t="s">
        <v>614</v>
      </c>
      <c r="F85" s="112">
        <v>40000</v>
      </c>
      <c r="H85" s="7" t="s">
        <v>623</v>
      </c>
      <c r="I85" s="16" t="s">
        <v>629</v>
      </c>
    </row>
    <row r="86" spans="1:9">
      <c r="A86" s="21">
        <v>46138</v>
      </c>
      <c r="B86" s="28" t="s">
        <v>365</v>
      </c>
      <c r="C86" s="7">
        <v>401</v>
      </c>
      <c r="D86" s="7" t="s">
        <v>19</v>
      </c>
      <c r="E86" s="112">
        <v>200000</v>
      </c>
      <c r="H86" s="7" t="s">
        <v>619</v>
      </c>
    </row>
    <row r="87" spans="1:9">
      <c r="A87" s="21">
        <v>46138</v>
      </c>
      <c r="B87" s="28" t="s">
        <v>365</v>
      </c>
      <c r="C87" s="7">
        <v>401</v>
      </c>
      <c r="D87" s="7" t="s">
        <v>203</v>
      </c>
      <c r="E87" s="112">
        <v>200000</v>
      </c>
      <c r="H87" s="7" t="s">
        <v>619</v>
      </c>
    </row>
    <row r="88" spans="1:9">
      <c r="A88" s="21">
        <v>46138</v>
      </c>
      <c r="B88" s="28" t="s">
        <v>365</v>
      </c>
      <c r="C88" s="7">
        <v>503</v>
      </c>
      <c r="D88" s="7" t="s">
        <v>19</v>
      </c>
      <c r="E88" s="112">
        <v>150000</v>
      </c>
      <c r="H88" s="7" t="s">
        <v>619</v>
      </c>
    </row>
    <row r="89" spans="1:9">
      <c r="A89" s="21">
        <v>46138</v>
      </c>
      <c r="B89" s="28" t="s">
        <v>365</v>
      </c>
      <c r="C89" s="7">
        <v>503</v>
      </c>
      <c r="D89" s="7" t="s">
        <v>203</v>
      </c>
      <c r="E89" s="112">
        <v>150000</v>
      </c>
      <c r="H89" s="7" t="s">
        <v>619</v>
      </c>
    </row>
    <row r="90" spans="1:9" ht="28">
      <c r="A90" s="21">
        <v>46139</v>
      </c>
      <c r="B90" s="28" t="s">
        <v>615</v>
      </c>
      <c r="C90" s="7">
        <v>205</v>
      </c>
      <c r="D90" s="7" t="s">
        <v>674</v>
      </c>
      <c r="E90" s="112">
        <f>200000+150000</f>
        <v>350000</v>
      </c>
      <c r="H90" s="7" t="s">
        <v>620</v>
      </c>
      <c r="I90" s="16" t="s">
        <v>628</v>
      </c>
    </row>
    <row r="91" spans="1:9" ht="28">
      <c r="A91" s="21">
        <v>46139</v>
      </c>
      <c r="B91" s="28" t="s">
        <v>616</v>
      </c>
      <c r="C91" s="7">
        <v>501</v>
      </c>
      <c r="D91" s="7" t="s">
        <v>206</v>
      </c>
      <c r="E91" s="112">
        <v>150000</v>
      </c>
      <c r="H91" s="7" t="s">
        <v>624</v>
      </c>
      <c r="I91" s="16" t="s">
        <v>628</v>
      </c>
    </row>
    <row r="92" spans="1:9" s="112" customFormat="1" ht="28">
      <c r="A92" s="21">
        <v>46139</v>
      </c>
      <c r="B92" s="28" t="s">
        <v>138</v>
      </c>
      <c r="C92" s="7">
        <v>203</v>
      </c>
      <c r="D92" s="7" t="s">
        <v>206</v>
      </c>
      <c r="E92" s="112">
        <v>150000</v>
      </c>
      <c r="G92" s="7"/>
      <c r="H92" s="7" t="s">
        <v>620</v>
      </c>
      <c r="I92" s="16" t="s">
        <v>628</v>
      </c>
    </row>
  </sheetData>
  <autoFilter ref="A2:I92" xr:uid="{3A421B10-D3B0-47D5-95CC-264DFF73C0E5}"/>
  <mergeCells count="1">
    <mergeCell ref="A1:I1"/>
  </mergeCells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3EFA-A97E-4405-AE60-115C82EFAD93}">
  <sheetPr codeName="Sheet15"/>
  <dimension ref="A1:G194"/>
  <sheetViews>
    <sheetView topLeftCell="A79" workbookViewId="0">
      <selection activeCell="A80" sqref="A80"/>
    </sheetView>
  </sheetViews>
  <sheetFormatPr defaultColWidth="8.7265625" defaultRowHeight="14"/>
  <cols>
    <col min="1" max="1" width="9.90625" style="148" customWidth="1"/>
    <col min="2" max="2" width="12.7265625" style="137" customWidth="1"/>
    <col min="3" max="3" width="15.453125" style="137" customWidth="1"/>
    <col min="4" max="4" width="70.6328125" style="139" customWidth="1"/>
    <col min="5" max="6" width="16.6328125" style="140" customWidth="1"/>
    <col min="7" max="7" width="34.7265625" style="141" customWidth="1"/>
    <col min="8" max="16384" width="8.7265625" style="137"/>
  </cols>
  <sheetData>
    <row r="1" spans="1:7" s="131" customFormat="1" ht="24.5" customHeight="1">
      <c r="A1" s="268" t="s">
        <v>677</v>
      </c>
      <c r="B1" s="269"/>
      <c r="C1" s="269"/>
      <c r="D1" s="269"/>
      <c r="E1" s="269"/>
      <c r="F1" s="269"/>
      <c r="G1" s="270"/>
    </row>
    <row r="2" spans="1:7">
      <c r="A2" s="132" t="s">
        <v>1</v>
      </c>
      <c r="B2" s="133" t="s">
        <v>2</v>
      </c>
      <c r="C2" s="133" t="s">
        <v>3</v>
      </c>
      <c r="D2" s="134" t="s">
        <v>4</v>
      </c>
      <c r="E2" s="135" t="s">
        <v>5</v>
      </c>
      <c r="F2" s="135" t="s">
        <v>6</v>
      </c>
      <c r="G2" s="136" t="s">
        <v>7</v>
      </c>
    </row>
    <row r="3" spans="1:7">
      <c r="A3" s="156"/>
      <c r="B3" s="133"/>
      <c r="C3" s="133"/>
      <c r="D3" s="134"/>
      <c r="E3" s="135">
        <f>SUBTOTAL(109,E4:E85)</f>
        <v>7150000</v>
      </c>
      <c r="F3" s="135">
        <f>SUBTOTAL(109,F4:F85)</f>
        <v>8003000</v>
      </c>
      <c r="G3" s="136"/>
    </row>
    <row r="4" spans="1:7">
      <c r="A4" s="138" t="s">
        <v>678</v>
      </c>
      <c r="B4" s="168" t="s">
        <v>240</v>
      </c>
      <c r="C4" s="137">
        <v>302</v>
      </c>
      <c r="D4" s="139" t="s">
        <v>679</v>
      </c>
      <c r="F4" s="140">
        <v>120000</v>
      </c>
    </row>
    <row r="5" spans="1:7">
      <c r="A5" s="137"/>
      <c r="B5" s="168" t="s">
        <v>240</v>
      </c>
      <c r="C5" s="137">
        <v>302</v>
      </c>
      <c r="D5" s="139" t="s">
        <v>680</v>
      </c>
      <c r="F5" s="140">
        <v>56000</v>
      </c>
    </row>
    <row r="6" spans="1:7">
      <c r="A6" s="137"/>
      <c r="B6" s="168" t="s">
        <v>61</v>
      </c>
      <c r="C6" s="137">
        <v>303</v>
      </c>
      <c r="D6" s="139" t="s">
        <v>19</v>
      </c>
      <c r="E6" s="140">
        <v>150000</v>
      </c>
    </row>
    <row r="7" spans="1:7">
      <c r="A7" s="137"/>
      <c r="B7" s="168" t="s">
        <v>61</v>
      </c>
      <c r="C7" s="137">
        <v>303</v>
      </c>
      <c r="D7" s="139" t="s">
        <v>34</v>
      </c>
      <c r="E7" s="140">
        <v>150000</v>
      </c>
    </row>
    <row r="8" spans="1:7">
      <c r="A8" s="138"/>
      <c r="B8" s="168" t="s">
        <v>61</v>
      </c>
      <c r="C8" s="137">
        <v>303</v>
      </c>
      <c r="D8" s="139" t="s">
        <v>191</v>
      </c>
      <c r="F8" s="140">
        <v>50000</v>
      </c>
    </row>
    <row r="9" spans="1:7">
      <c r="A9" s="138"/>
      <c r="B9" s="169" t="s">
        <v>61</v>
      </c>
      <c r="C9" s="138" t="s">
        <v>814</v>
      </c>
      <c r="D9" s="139" t="s">
        <v>73</v>
      </c>
      <c r="F9" s="140">
        <v>50000</v>
      </c>
    </row>
    <row r="10" spans="1:7">
      <c r="A10" s="138"/>
      <c r="B10" s="169" t="s">
        <v>61</v>
      </c>
      <c r="C10" s="138" t="s">
        <v>814</v>
      </c>
      <c r="D10" s="139" t="s">
        <v>681</v>
      </c>
      <c r="E10" s="140">
        <v>150000</v>
      </c>
    </row>
    <row r="11" spans="1:7">
      <c r="A11" s="138"/>
      <c r="B11" s="169" t="s">
        <v>240</v>
      </c>
      <c r="C11" s="138" t="s">
        <v>682</v>
      </c>
      <c r="D11" s="139" t="s">
        <v>683</v>
      </c>
      <c r="F11" s="140">
        <v>50000</v>
      </c>
    </row>
    <row r="12" spans="1:7">
      <c r="A12" s="138" t="s">
        <v>684</v>
      </c>
      <c r="B12" s="169" t="s">
        <v>367</v>
      </c>
      <c r="C12" s="138"/>
      <c r="D12" s="139" t="s">
        <v>685</v>
      </c>
      <c r="F12" s="140">
        <v>1050000</v>
      </c>
    </row>
    <row r="13" spans="1:7">
      <c r="A13" s="138" t="s">
        <v>686</v>
      </c>
      <c r="B13" s="169" t="s">
        <v>51</v>
      </c>
      <c r="C13" s="138" t="s">
        <v>687</v>
      </c>
      <c r="D13" s="139" t="s">
        <v>19</v>
      </c>
      <c r="E13" s="152">
        <v>300000</v>
      </c>
      <c r="F13" s="152"/>
    </row>
    <row r="14" spans="1:7">
      <c r="A14" s="138"/>
      <c r="B14" s="169" t="s">
        <v>51</v>
      </c>
      <c r="C14" s="138" t="s">
        <v>687</v>
      </c>
      <c r="D14" s="139" t="s">
        <v>34</v>
      </c>
      <c r="E14" s="152">
        <v>100000</v>
      </c>
      <c r="F14" s="152"/>
    </row>
    <row r="15" spans="1:7">
      <c r="A15" s="138"/>
      <c r="B15" s="169" t="s">
        <v>51</v>
      </c>
      <c r="C15" s="138" t="s">
        <v>687</v>
      </c>
      <c r="D15" s="139" t="s">
        <v>688</v>
      </c>
      <c r="E15" s="140">
        <v>100000</v>
      </c>
      <c r="F15" s="140">
        <v>98000</v>
      </c>
    </row>
    <row r="16" spans="1:7">
      <c r="A16" s="138"/>
      <c r="B16" s="169" t="s">
        <v>51</v>
      </c>
      <c r="C16" s="138" t="s">
        <v>687</v>
      </c>
      <c r="D16" s="139" t="s">
        <v>689</v>
      </c>
      <c r="F16" s="140">
        <v>40000</v>
      </c>
    </row>
    <row r="17" spans="1:7">
      <c r="A17" s="138"/>
      <c r="B17" s="169" t="s">
        <v>402</v>
      </c>
      <c r="C17" s="138" t="s">
        <v>690</v>
      </c>
      <c r="D17" s="139" t="s">
        <v>107</v>
      </c>
      <c r="F17" s="140">
        <v>150000</v>
      </c>
    </row>
    <row r="18" spans="1:7">
      <c r="A18" s="138" t="s">
        <v>691</v>
      </c>
      <c r="B18" s="169" t="s">
        <v>38</v>
      </c>
      <c r="C18" s="138" t="s">
        <v>692</v>
      </c>
      <c r="D18" s="139" t="s">
        <v>305</v>
      </c>
      <c r="F18" s="140">
        <v>315000</v>
      </c>
    </row>
    <row r="19" spans="1:7">
      <c r="A19" s="138"/>
      <c r="B19" s="169" t="s">
        <v>38</v>
      </c>
      <c r="C19" s="138" t="s">
        <v>692</v>
      </c>
      <c r="D19" s="139" t="s">
        <v>693</v>
      </c>
      <c r="F19" s="140">
        <v>10000</v>
      </c>
    </row>
    <row r="20" spans="1:7">
      <c r="A20" s="138"/>
      <c r="B20" s="169" t="s">
        <v>38</v>
      </c>
      <c r="C20" s="138" t="s">
        <v>692</v>
      </c>
      <c r="D20" s="139" t="s">
        <v>34</v>
      </c>
      <c r="E20" s="140">
        <v>150000</v>
      </c>
    </row>
    <row r="21" spans="1:7">
      <c r="A21" s="138"/>
      <c r="B21" s="169" t="s">
        <v>38</v>
      </c>
      <c r="C21" s="138" t="s">
        <v>694</v>
      </c>
      <c r="D21" s="139" t="s">
        <v>34</v>
      </c>
      <c r="E21" s="140">
        <v>150000</v>
      </c>
      <c r="G21" s="141" t="s">
        <v>695</v>
      </c>
    </row>
    <row r="22" spans="1:7">
      <c r="A22" s="138"/>
      <c r="B22" s="169" t="s">
        <v>38</v>
      </c>
      <c r="C22" s="138" t="s">
        <v>694</v>
      </c>
      <c r="D22" s="139" t="s">
        <v>696</v>
      </c>
      <c r="F22" s="140">
        <v>385000</v>
      </c>
    </row>
    <row r="23" spans="1:7">
      <c r="A23" s="138"/>
      <c r="B23" s="169" t="s">
        <v>38</v>
      </c>
      <c r="C23" s="138" t="s">
        <v>694</v>
      </c>
      <c r="D23" s="139" t="s">
        <v>697</v>
      </c>
      <c r="E23" s="140">
        <v>50000</v>
      </c>
      <c r="F23" s="140">
        <v>150000</v>
      </c>
      <c r="G23" s="141" t="s">
        <v>364</v>
      </c>
    </row>
    <row r="24" spans="1:7">
      <c r="A24" s="138" t="s">
        <v>698</v>
      </c>
      <c r="B24" s="169" t="s">
        <v>547</v>
      </c>
      <c r="C24" s="138" t="s">
        <v>699</v>
      </c>
      <c r="D24" s="139" t="s">
        <v>700</v>
      </c>
      <c r="E24" s="140">
        <v>600000</v>
      </c>
    </row>
    <row r="25" spans="1:7">
      <c r="A25" s="138"/>
      <c r="B25" s="169" t="s">
        <v>41</v>
      </c>
      <c r="C25" s="138" t="s">
        <v>815</v>
      </c>
      <c r="D25" s="139" t="s">
        <v>702</v>
      </c>
      <c r="E25" s="152"/>
      <c r="F25" s="152">
        <v>45000</v>
      </c>
      <c r="G25" s="142"/>
    </row>
    <row r="26" spans="1:7">
      <c r="A26" s="138"/>
      <c r="B26" s="169" t="s">
        <v>240</v>
      </c>
      <c r="C26" s="138" t="s">
        <v>682</v>
      </c>
      <c r="D26" s="139" t="s">
        <v>703</v>
      </c>
      <c r="F26" s="140">
        <v>165000</v>
      </c>
      <c r="G26" s="143"/>
    </row>
    <row r="27" spans="1:7">
      <c r="A27" s="138" t="s">
        <v>704</v>
      </c>
      <c r="B27" s="169" t="s">
        <v>366</v>
      </c>
      <c r="C27" s="138" t="s">
        <v>705</v>
      </c>
      <c r="D27" s="139" t="s">
        <v>34</v>
      </c>
      <c r="E27" s="140">
        <v>150000</v>
      </c>
      <c r="G27" s="144"/>
    </row>
    <row r="28" spans="1:7">
      <c r="A28" s="138"/>
      <c r="B28" s="169" t="s">
        <v>61</v>
      </c>
      <c r="C28" s="138" t="s">
        <v>706</v>
      </c>
      <c r="D28" s="139" t="s">
        <v>707</v>
      </c>
      <c r="E28" s="140">
        <v>150000</v>
      </c>
    </row>
    <row r="29" spans="1:7">
      <c r="A29" s="138"/>
      <c r="B29" s="169" t="s">
        <v>61</v>
      </c>
      <c r="C29" s="138"/>
      <c r="D29" s="139" t="s">
        <v>708</v>
      </c>
      <c r="F29" s="140">
        <v>86000</v>
      </c>
    </row>
    <row r="30" spans="1:7">
      <c r="A30" s="138"/>
      <c r="B30" s="169" t="s">
        <v>51</v>
      </c>
      <c r="C30" s="138" t="s">
        <v>687</v>
      </c>
      <c r="D30" s="139" t="s">
        <v>709</v>
      </c>
      <c r="E30" s="140">
        <v>600000</v>
      </c>
    </row>
    <row r="31" spans="1:7">
      <c r="A31" s="138" t="s">
        <v>710</v>
      </c>
      <c r="B31" s="169" t="s">
        <v>80</v>
      </c>
      <c r="C31" s="138" t="s">
        <v>701</v>
      </c>
      <c r="D31" s="139" t="s">
        <v>711</v>
      </c>
      <c r="F31" s="140">
        <v>50000</v>
      </c>
    </row>
    <row r="32" spans="1:7">
      <c r="A32" s="138"/>
      <c r="B32" s="169" t="s">
        <v>51</v>
      </c>
      <c r="C32" s="138" t="s">
        <v>705</v>
      </c>
      <c r="D32" s="139" t="s">
        <v>497</v>
      </c>
      <c r="E32" s="145">
        <v>300000</v>
      </c>
      <c r="F32" s="137"/>
    </row>
    <row r="33" spans="1:7">
      <c r="A33" s="138"/>
      <c r="B33" s="153" t="s">
        <v>44</v>
      </c>
      <c r="C33" s="153" t="s">
        <v>712</v>
      </c>
      <c r="D33" s="154" t="s">
        <v>497</v>
      </c>
      <c r="E33" s="151">
        <v>300000</v>
      </c>
      <c r="F33" s="155"/>
      <c r="G33" s="141" t="s">
        <v>713</v>
      </c>
    </row>
    <row r="34" spans="1:7">
      <c r="A34" s="138"/>
      <c r="B34" s="169" t="s">
        <v>44</v>
      </c>
      <c r="C34" s="138" t="s">
        <v>712</v>
      </c>
      <c r="D34" s="139" t="s">
        <v>714</v>
      </c>
      <c r="E34" s="145">
        <v>150000</v>
      </c>
      <c r="F34" s="137">
        <v>295000</v>
      </c>
    </row>
    <row r="35" spans="1:7">
      <c r="A35" s="138"/>
      <c r="B35" s="169" t="s">
        <v>547</v>
      </c>
      <c r="C35" s="138" t="s">
        <v>715</v>
      </c>
      <c r="D35" s="139" t="s">
        <v>19</v>
      </c>
      <c r="E35" s="145">
        <v>300000</v>
      </c>
      <c r="F35" s="137"/>
    </row>
    <row r="36" spans="1:7">
      <c r="A36" s="138"/>
      <c r="B36" s="169" t="s">
        <v>547</v>
      </c>
      <c r="C36" s="138" t="s">
        <v>715</v>
      </c>
      <c r="D36" s="139" t="s">
        <v>34</v>
      </c>
      <c r="E36" s="145">
        <v>200000</v>
      </c>
      <c r="F36" s="137"/>
    </row>
    <row r="37" spans="1:7">
      <c r="A37" s="138" t="s">
        <v>716</v>
      </c>
      <c r="B37" s="169" t="s">
        <v>55</v>
      </c>
      <c r="C37" s="138" t="s">
        <v>717</v>
      </c>
      <c r="D37" s="139" t="s">
        <v>718</v>
      </c>
      <c r="E37" s="145"/>
      <c r="F37" s="145">
        <v>250000</v>
      </c>
    </row>
    <row r="38" spans="1:7">
      <c r="A38" s="138"/>
      <c r="B38" s="169" t="s">
        <v>55</v>
      </c>
      <c r="C38" s="137">
        <v>104</v>
      </c>
      <c r="D38" s="139" t="s">
        <v>719</v>
      </c>
      <c r="E38" s="145"/>
      <c r="F38" s="145">
        <v>200000</v>
      </c>
      <c r="G38" s="146"/>
    </row>
    <row r="39" spans="1:7">
      <c r="A39" s="138" t="s">
        <v>720</v>
      </c>
      <c r="B39" s="169" t="s">
        <v>37</v>
      </c>
      <c r="C39" s="137">
        <v>302</v>
      </c>
      <c r="D39" s="139" t="s">
        <v>721</v>
      </c>
      <c r="E39" s="137"/>
      <c r="F39" s="145">
        <v>35000</v>
      </c>
      <c r="G39" s="147"/>
    </row>
    <row r="40" spans="1:7">
      <c r="A40" s="138"/>
      <c r="B40" s="169" t="s">
        <v>268</v>
      </c>
      <c r="C40" s="137">
        <v>202</v>
      </c>
      <c r="D40" s="139" t="s">
        <v>34</v>
      </c>
      <c r="E40" s="145">
        <v>100000</v>
      </c>
      <c r="F40" s="145"/>
    </row>
    <row r="41" spans="1:7">
      <c r="A41" s="138"/>
      <c r="B41" s="169" t="s">
        <v>268</v>
      </c>
      <c r="C41" s="137">
        <v>202</v>
      </c>
      <c r="D41" s="139" t="s">
        <v>722</v>
      </c>
      <c r="E41" s="145"/>
      <c r="F41" s="145">
        <v>80000</v>
      </c>
    </row>
    <row r="42" spans="1:7">
      <c r="A42" s="138"/>
      <c r="B42" s="169" t="s">
        <v>64</v>
      </c>
      <c r="C42" s="137">
        <v>502</v>
      </c>
      <c r="D42" s="139" t="s">
        <v>34</v>
      </c>
      <c r="E42" s="145">
        <v>200000</v>
      </c>
      <c r="F42" s="145"/>
    </row>
    <row r="43" spans="1:7">
      <c r="A43" s="138"/>
      <c r="B43" s="169" t="s">
        <v>64</v>
      </c>
      <c r="C43" s="137">
        <v>502</v>
      </c>
      <c r="D43" s="139" t="s">
        <v>723</v>
      </c>
      <c r="E43" s="137"/>
      <c r="F43" s="145">
        <v>25000</v>
      </c>
    </row>
    <row r="44" spans="1:7">
      <c r="A44" s="138"/>
      <c r="B44" s="169" t="s">
        <v>64</v>
      </c>
      <c r="C44" s="137">
        <v>502</v>
      </c>
      <c r="D44" s="139" t="s">
        <v>724</v>
      </c>
      <c r="E44" s="137"/>
      <c r="F44" s="145">
        <v>40000</v>
      </c>
    </row>
    <row r="45" spans="1:7">
      <c r="A45" s="138"/>
      <c r="B45" s="169" t="s">
        <v>64</v>
      </c>
      <c r="C45" s="137">
        <v>502</v>
      </c>
      <c r="D45" s="139" t="s">
        <v>725</v>
      </c>
      <c r="E45" s="137"/>
      <c r="F45" s="145">
        <v>50000</v>
      </c>
    </row>
    <row r="46" spans="1:7">
      <c r="A46" s="138"/>
      <c r="B46" s="169" t="s">
        <v>64</v>
      </c>
      <c r="C46" s="137">
        <v>502</v>
      </c>
      <c r="D46" s="139" t="s">
        <v>19</v>
      </c>
      <c r="E46" s="145">
        <v>150000</v>
      </c>
      <c r="F46" s="137"/>
    </row>
    <row r="47" spans="1:7" ht="16.75" customHeight="1">
      <c r="A47" s="138"/>
      <c r="B47" s="169" t="s">
        <v>38</v>
      </c>
      <c r="C47" s="137">
        <v>601</v>
      </c>
      <c r="D47" s="139" t="s">
        <v>726</v>
      </c>
      <c r="E47" s="137"/>
      <c r="F47" s="145">
        <v>110000</v>
      </c>
    </row>
    <row r="48" spans="1:7">
      <c r="A48" s="138" t="s">
        <v>727</v>
      </c>
      <c r="B48" s="169" t="s">
        <v>27</v>
      </c>
      <c r="D48" s="139" t="s">
        <v>728</v>
      </c>
      <c r="E48" s="137"/>
      <c r="F48" s="145">
        <v>118000</v>
      </c>
    </row>
    <row r="49" spans="1:7">
      <c r="A49" s="138"/>
      <c r="B49" s="169" t="s">
        <v>14</v>
      </c>
      <c r="C49" s="137">
        <v>301</v>
      </c>
      <c r="D49" s="139" t="s">
        <v>729</v>
      </c>
      <c r="E49" s="137"/>
      <c r="F49" s="145">
        <v>80000</v>
      </c>
    </row>
    <row r="50" spans="1:7">
      <c r="A50" s="138" t="s">
        <v>730</v>
      </c>
      <c r="B50" s="169" t="s">
        <v>55</v>
      </c>
      <c r="C50" s="137">
        <v>101</v>
      </c>
      <c r="D50" s="139" t="s">
        <v>19</v>
      </c>
      <c r="E50" s="145">
        <v>200000</v>
      </c>
      <c r="F50" s="137"/>
      <c r="G50" s="141" t="s">
        <v>731</v>
      </c>
    </row>
    <row r="51" spans="1:7">
      <c r="A51" s="138"/>
      <c r="B51" s="169" t="s">
        <v>9</v>
      </c>
      <c r="C51" s="137">
        <v>504</v>
      </c>
      <c r="D51" s="139" t="s">
        <v>732</v>
      </c>
      <c r="E51" s="137"/>
      <c r="F51" s="145">
        <v>55000</v>
      </c>
    </row>
    <row r="52" spans="1:7">
      <c r="A52" s="138"/>
      <c r="B52" s="169" t="s">
        <v>353</v>
      </c>
      <c r="C52" s="137">
        <v>201</v>
      </c>
      <c r="D52" s="139" t="s">
        <v>733</v>
      </c>
      <c r="E52" s="145">
        <v>150000</v>
      </c>
      <c r="F52" s="145">
        <v>165000</v>
      </c>
    </row>
    <row r="53" spans="1:7">
      <c r="A53" s="138" t="s">
        <v>734</v>
      </c>
      <c r="B53" s="169" t="s">
        <v>735</v>
      </c>
      <c r="D53" s="139" t="s">
        <v>736</v>
      </c>
      <c r="E53" s="137"/>
      <c r="F53" s="145">
        <v>425000</v>
      </c>
    </row>
    <row r="54" spans="1:7">
      <c r="A54" s="138"/>
      <c r="B54" s="169" t="s">
        <v>226</v>
      </c>
      <c r="D54" s="139" t="s">
        <v>737</v>
      </c>
      <c r="E54" s="145">
        <v>100000</v>
      </c>
      <c r="F54" s="145">
        <v>15000</v>
      </c>
    </row>
    <row r="55" spans="1:7">
      <c r="A55" s="138"/>
      <c r="B55" s="169" t="s">
        <v>226</v>
      </c>
      <c r="D55" s="139" t="s">
        <v>738</v>
      </c>
      <c r="E55" s="137"/>
      <c r="F55" s="137"/>
    </row>
    <row r="56" spans="1:7">
      <c r="A56" s="138"/>
      <c r="B56" s="169" t="s">
        <v>240</v>
      </c>
      <c r="D56" s="139" t="s">
        <v>75</v>
      </c>
      <c r="E56" s="145">
        <v>100000</v>
      </c>
      <c r="F56" s="145">
        <v>15000</v>
      </c>
    </row>
    <row r="57" spans="1:7">
      <c r="A57" s="138"/>
      <c r="B57" s="169" t="s">
        <v>61</v>
      </c>
      <c r="D57" s="139" t="s">
        <v>739</v>
      </c>
      <c r="E57" s="145">
        <v>100000</v>
      </c>
      <c r="F57" s="145">
        <v>23000</v>
      </c>
    </row>
    <row r="58" spans="1:7">
      <c r="A58" s="138" t="s">
        <v>740</v>
      </c>
      <c r="B58" s="169" t="s">
        <v>25</v>
      </c>
      <c r="D58" s="139" t="s">
        <v>741</v>
      </c>
      <c r="E58" s="271">
        <v>800000</v>
      </c>
      <c r="F58" s="274">
        <v>585000</v>
      </c>
    </row>
    <row r="59" spans="1:7">
      <c r="A59" s="138"/>
      <c r="B59" s="169" t="s">
        <v>25</v>
      </c>
      <c r="D59" s="139" t="s">
        <v>742</v>
      </c>
      <c r="E59" s="272"/>
      <c r="F59" s="275"/>
    </row>
    <row r="60" spans="1:7">
      <c r="A60" s="138"/>
      <c r="B60" s="169" t="s">
        <v>25</v>
      </c>
      <c r="D60" s="139" t="s">
        <v>743</v>
      </c>
      <c r="E60" s="272"/>
      <c r="F60" s="275"/>
    </row>
    <row r="61" spans="1:7">
      <c r="A61" s="138"/>
      <c r="B61" s="169" t="s">
        <v>25</v>
      </c>
      <c r="D61" s="139" t="s">
        <v>744</v>
      </c>
      <c r="E61" s="273"/>
      <c r="F61" s="276"/>
    </row>
    <row r="62" spans="1:7">
      <c r="A62" s="138" t="s">
        <v>745</v>
      </c>
      <c r="B62" s="173" t="s">
        <v>746</v>
      </c>
      <c r="D62" s="139" t="s">
        <v>747</v>
      </c>
      <c r="E62" s="137"/>
      <c r="F62" s="145">
        <v>30000</v>
      </c>
    </row>
    <row r="63" spans="1:7">
      <c r="A63" s="138"/>
      <c r="B63" s="169" t="s">
        <v>748</v>
      </c>
      <c r="D63" s="139" t="s">
        <v>749</v>
      </c>
      <c r="E63" s="137"/>
      <c r="F63" s="145">
        <v>60000</v>
      </c>
    </row>
    <row r="64" spans="1:7">
      <c r="A64" s="138" t="s">
        <v>750</v>
      </c>
      <c r="B64" s="169" t="s">
        <v>120</v>
      </c>
      <c r="C64" s="137">
        <v>402</v>
      </c>
      <c r="D64" s="139" t="s">
        <v>751</v>
      </c>
      <c r="E64" s="145">
        <v>200000</v>
      </c>
      <c r="F64" s="145">
        <v>57000</v>
      </c>
    </row>
    <row r="65" spans="1:6">
      <c r="A65" s="138"/>
      <c r="B65" s="169" t="s">
        <v>120</v>
      </c>
      <c r="D65" s="139" t="s">
        <v>752</v>
      </c>
      <c r="E65" s="137"/>
      <c r="F65" s="145">
        <v>55000</v>
      </c>
    </row>
    <row r="66" spans="1:6">
      <c r="A66" s="138" t="s">
        <v>753</v>
      </c>
      <c r="B66" s="169" t="s">
        <v>25</v>
      </c>
      <c r="D66" s="139" t="s">
        <v>754</v>
      </c>
      <c r="E66" s="145">
        <v>200000</v>
      </c>
      <c r="F66" s="145">
        <v>285000</v>
      </c>
    </row>
    <row r="67" spans="1:6" s="141" customFormat="1">
      <c r="A67" s="138"/>
      <c r="B67" s="169" t="s">
        <v>61</v>
      </c>
      <c r="C67" s="137">
        <v>404</v>
      </c>
      <c r="D67" s="139" t="s">
        <v>755</v>
      </c>
      <c r="E67" s="137"/>
      <c r="F67" s="145">
        <v>55000</v>
      </c>
    </row>
    <row r="68" spans="1:6" s="141" customFormat="1">
      <c r="A68" s="138"/>
      <c r="B68" s="169" t="s">
        <v>17</v>
      </c>
      <c r="C68" s="137"/>
      <c r="D68" s="139" t="s">
        <v>756</v>
      </c>
      <c r="E68" s="137"/>
      <c r="F68" s="145">
        <v>150000</v>
      </c>
    </row>
    <row r="69" spans="1:6" s="141" customFormat="1">
      <c r="A69" s="138"/>
      <c r="B69" s="169" t="s">
        <v>44</v>
      </c>
      <c r="C69" s="137"/>
      <c r="D69" s="139" t="s">
        <v>757</v>
      </c>
      <c r="E69" s="145">
        <v>200000</v>
      </c>
      <c r="F69" s="145">
        <v>308000</v>
      </c>
    </row>
    <row r="70" spans="1:6" s="141" customFormat="1">
      <c r="A70" s="138" t="s">
        <v>758</v>
      </c>
      <c r="B70" s="169" t="s">
        <v>55</v>
      </c>
      <c r="C70" s="137">
        <v>505</v>
      </c>
      <c r="D70" s="139" t="s">
        <v>759</v>
      </c>
      <c r="E70" s="137"/>
      <c r="F70" s="145">
        <v>55000</v>
      </c>
    </row>
    <row r="71" spans="1:6" s="141" customFormat="1">
      <c r="A71" s="138" t="s">
        <v>760</v>
      </c>
      <c r="B71" s="169" t="s">
        <v>149</v>
      </c>
      <c r="C71" s="137">
        <v>307</v>
      </c>
      <c r="D71" s="139" t="s">
        <v>400</v>
      </c>
      <c r="E71" s="137"/>
      <c r="F71" s="145">
        <v>80000</v>
      </c>
    </row>
    <row r="72" spans="1:6" s="141" customFormat="1">
      <c r="A72" s="138"/>
      <c r="B72" s="169" t="s">
        <v>141</v>
      </c>
      <c r="C72" s="137"/>
      <c r="D72" s="139" t="s">
        <v>761</v>
      </c>
      <c r="E72" s="137"/>
      <c r="F72" s="145">
        <v>40000</v>
      </c>
    </row>
    <row r="73" spans="1:6" s="141" customFormat="1">
      <c r="A73" s="138" t="s">
        <v>762</v>
      </c>
      <c r="B73" s="169" t="s">
        <v>37</v>
      </c>
      <c r="C73" s="137">
        <v>103</v>
      </c>
      <c r="D73" s="139" t="s">
        <v>763</v>
      </c>
      <c r="E73" s="137"/>
      <c r="F73" s="145">
        <v>55000</v>
      </c>
    </row>
    <row r="74" spans="1:6" s="141" customFormat="1">
      <c r="A74" s="138"/>
      <c r="B74" s="169" t="s">
        <v>142</v>
      </c>
      <c r="C74" s="137">
        <v>301</v>
      </c>
      <c r="D74" s="139" t="s">
        <v>764</v>
      </c>
      <c r="E74" s="137"/>
      <c r="F74" s="145">
        <v>110000</v>
      </c>
    </row>
    <row r="75" spans="1:6" s="141" customFormat="1">
      <c r="A75" s="138"/>
      <c r="B75" s="277" t="s">
        <v>226</v>
      </c>
      <c r="C75" s="271">
        <v>606506406306</v>
      </c>
      <c r="D75" s="139" t="s">
        <v>765</v>
      </c>
      <c r="E75" s="145">
        <v>150000</v>
      </c>
      <c r="F75" s="145">
        <v>230000</v>
      </c>
    </row>
    <row r="76" spans="1:6" s="141" customFormat="1">
      <c r="A76" s="138"/>
      <c r="B76" s="278"/>
      <c r="C76" s="279"/>
      <c r="D76" s="139" t="s">
        <v>766</v>
      </c>
      <c r="E76" s="137"/>
      <c r="F76" s="137"/>
    </row>
    <row r="77" spans="1:6" s="141" customFormat="1">
      <c r="A77" s="138" t="s">
        <v>767</v>
      </c>
      <c r="B77" s="169" t="s">
        <v>44</v>
      </c>
      <c r="C77" s="137"/>
      <c r="D77" s="139" t="s">
        <v>768</v>
      </c>
      <c r="E77" s="137"/>
      <c r="F77" s="145">
        <v>120000</v>
      </c>
    </row>
    <row r="78" spans="1:6" s="141" customFormat="1">
      <c r="A78" s="138" t="s">
        <v>769</v>
      </c>
      <c r="B78" s="169" t="s">
        <v>37</v>
      </c>
      <c r="C78" s="137"/>
      <c r="D78" s="139" t="s">
        <v>770</v>
      </c>
      <c r="E78" s="145">
        <v>150000</v>
      </c>
      <c r="F78" s="145">
        <v>200000</v>
      </c>
    </row>
    <row r="79" spans="1:6" s="141" customFormat="1">
      <c r="A79" s="138"/>
      <c r="B79" s="169" t="s">
        <v>51</v>
      </c>
      <c r="C79" s="137"/>
      <c r="D79" s="139" t="s">
        <v>536</v>
      </c>
      <c r="E79" s="145">
        <v>300000</v>
      </c>
      <c r="F79" s="145">
        <v>427000</v>
      </c>
    </row>
    <row r="80" spans="1:6" s="141" customFormat="1">
      <c r="A80" s="138" t="s">
        <v>771</v>
      </c>
      <c r="B80" s="169" t="s">
        <v>772</v>
      </c>
      <c r="C80" s="137"/>
      <c r="D80" s="139" t="s">
        <v>773</v>
      </c>
      <c r="E80" s="137"/>
      <c r="F80" s="145">
        <v>150000</v>
      </c>
    </row>
    <row r="81" spans="1:7" s="141" customFormat="1">
      <c r="A81" s="138"/>
      <c r="B81" s="169" t="s">
        <v>9</v>
      </c>
      <c r="C81" s="137">
        <v>102</v>
      </c>
      <c r="D81" s="139" t="s">
        <v>679</v>
      </c>
      <c r="E81" s="137"/>
      <c r="F81" s="145">
        <v>100000</v>
      </c>
      <c r="G81" s="141" t="s">
        <v>774</v>
      </c>
    </row>
    <row r="82" spans="1:7" s="141" customFormat="1">
      <c r="A82" s="138"/>
      <c r="B82" s="169"/>
      <c r="C82" s="137"/>
      <c r="D82" s="139"/>
      <c r="E82" s="137"/>
      <c r="F82" s="137"/>
    </row>
    <row r="83" spans="1:7" s="141" customFormat="1">
      <c r="A83" s="138"/>
      <c r="B83" s="138"/>
      <c r="C83" s="137"/>
      <c r="D83" s="139"/>
      <c r="E83" s="137"/>
      <c r="F83" s="137"/>
    </row>
    <row r="84" spans="1:7" s="141" customFormat="1">
      <c r="A84" s="138"/>
      <c r="B84" s="138"/>
      <c r="C84" s="137"/>
      <c r="D84" s="139"/>
      <c r="E84" s="137"/>
      <c r="F84" s="137"/>
    </row>
    <row r="85" spans="1:7" s="141" customFormat="1">
      <c r="A85" s="138"/>
      <c r="B85" s="138"/>
      <c r="C85" s="137"/>
      <c r="D85" s="139"/>
      <c r="E85" s="137"/>
      <c r="F85" s="137"/>
    </row>
    <row r="86" spans="1:7" s="141" customFormat="1">
      <c r="A86" s="138"/>
      <c r="B86" s="138"/>
      <c r="C86" s="137"/>
      <c r="D86" s="139"/>
      <c r="E86" s="137"/>
      <c r="F86" s="137"/>
    </row>
    <row r="87" spans="1:7" s="141" customFormat="1">
      <c r="A87" s="138"/>
      <c r="B87" s="138"/>
      <c r="C87" s="137"/>
      <c r="D87" s="139"/>
      <c r="E87" s="137"/>
      <c r="F87" s="137"/>
    </row>
    <row r="88" spans="1:7" s="141" customFormat="1">
      <c r="A88" s="138"/>
      <c r="B88" s="138"/>
      <c r="C88" s="137"/>
      <c r="D88" s="139"/>
      <c r="E88" s="137"/>
      <c r="F88" s="137"/>
    </row>
    <row r="89" spans="1:7" s="141" customFormat="1">
      <c r="A89" s="138"/>
      <c r="B89" s="138"/>
      <c r="C89" s="137"/>
      <c r="D89" s="139"/>
      <c r="E89" s="137"/>
      <c r="F89" s="137"/>
    </row>
    <row r="90" spans="1:7" s="141" customFormat="1">
      <c r="A90" s="148"/>
      <c r="B90" s="137"/>
      <c r="C90" s="137"/>
      <c r="D90" s="139"/>
      <c r="E90" s="137"/>
      <c r="F90" s="137"/>
    </row>
    <row r="91" spans="1:7" s="141" customFormat="1">
      <c r="A91" s="148"/>
      <c r="B91" s="137"/>
      <c r="C91" s="137"/>
      <c r="D91" s="139"/>
      <c r="E91" s="137"/>
      <c r="F91" s="137"/>
    </row>
    <row r="92" spans="1:7" s="141" customFormat="1">
      <c r="A92" s="148"/>
      <c r="B92" s="137"/>
      <c r="C92" s="137"/>
      <c r="D92" s="139"/>
      <c r="E92" s="137"/>
      <c r="F92" s="137"/>
    </row>
    <row r="93" spans="1:7" s="141" customFormat="1">
      <c r="A93" s="148"/>
      <c r="B93" s="137"/>
      <c r="C93" s="137"/>
      <c r="D93" s="139"/>
      <c r="E93" s="137"/>
      <c r="F93" s="137"/>
    </row>
    <row r="94" spans="1:7" s="141" customFormat="1">
      <c r="A94" s="148"/>
      <c r="B94" s="137"/>
      <c r="C94" s="137"/>
      <c r="D94" s="139"/>
      <c r="E94" s="137"/>
      <c r="F94" s="137"/>
    </row>
    <row r="95" spans="1:7" s="141" customFormat="1">
      <c r="A95" s="148"/>
      <c r="B95" s="137"/>
      <c r="C95" s="137"/>
      <c r="D95" s="139"/>
      <c r="E95" s="137"/>
      <c r="F95" s="137"/>
    </row>
    <row r="96" spans="1:7" s="141" customFormat="1">
      <c r="A96" s="148"/>
      <c r="B96" s="137"/>
      <c r="C96" s="137"/>
      <c r="D96" s="139"/>
      <c r="E96" s="137"/>
      <c r="F96" s="137"/>
    </row>
    <row r="97" spans="1:6" s="141" customFormat="1">
      <c r="A97" s="148"/>
      <c r="B97" s="137"/>
      <c r="C97" s="137"/>
      <c r="D97" s="139"/>
      <c r="E97" s="137"/>
      <c r="F97" s="137"/>
    </row>
    <row r="98" spans="1:6" s="141" customFormat="1">
      <c r="A98" s="148"/>
      <c r="B98" s="137"/>
      <c r="C98" s="137"/>
      <c r="D98" s="139"/>
      <c r="E98" s="137"/>
      <c r="F98" s="137"/>
    </row>
    <row r="99" spans="1:6" s="141" customFormat="1">
      <c r="A99" s="148"/>
      <c r="B99" s="137"/>
      <c r="C99" s="137"/>
      <c r="D99" s="139"/>
      <c r="E99" s="137"/>
      <c r="F99" s="137"/>
    </row>
    <row r="100" spans="1:6" s="141" customFormat="1">
      <c r="A100" s="148"/>
      <c r="B100" s="137"/>
      <c r="C100" s="137"/>
      <c r="D100" s="139"/>
      <c r="E100" s="137"/>
      <c r="F100" s="137"/>
    </row>
    <row r="101" spans="1:6" s="141" customFormat="1">
      <c r="A101" s="148"/>
      <c r="B101" s="137"/>
      <c r="C101" s="137"/>
      <c r="D101" s="139"/>
      <c r="E101" s="137"/>
      <c r="F101" s="137"/>
    </row>
    <row r="102" spans="1:6" s="141" customFormat="1">
      <c r="A102" s="148"/>
      <c r="B102" s="137"/>
      <c r="C102" s="137"/>
      <c r="D102" s="139"/>
      <c r="E102" s="137"/>
      <c r="F102" s="137"/>
    </row>
    <row r="103" spans="1:6" s="141" customFormat="1">
      <c r="A103" s="148"/>
      <c r="B103" s="137"/>
      <c r="C103" s="137"/>
      <c r="D103" s="139"/>
      <c r="E103" s="137"/>
      <c r="F103" s="137"/>
    </row>
    <row r="104" spans="1:6" s="141" customFormat="1">
      <c r="A104" s="148"/>
      <c r="B104" s="137"/>
      <c r="C104" s="137"/>
      <c r="D104" s="139"/>
      <c r="E104" s="137"/>
      <c r="F104" s="137"/>
    </row>
    <row r="105" spans="1:6" s="141" customFormat="1">
      <c r="A105" s="148"/>
      <c r="B105" s="137"/>
      <c r="C105" s="137"/>
      <c r="D105" s="139"/>
      <c r="E105" s="137"/>
      <c r="F105" s="137"/>
    </row>
    <row r="106" spans="1:6" s="141" customFormat="1">
      <c r="A106" s="148"/>
      <c r="B106" s="137"/>
      <c r="C106" s="137"/>
      <c r="D106" s="139"/>
      <c r="E106" s="137"/>
      <c r="F106" s="137"/>
    </row>
    <row r="107" spans="1:6" s="141" customFormat="1">
      <c r="A107" s="148"/>
      <c r="B107" s="137"/>
      <c r="C107" s="137"/>
      <c r="D107" s="139"/>
      <c r="E107" s="137"/>
      <c r="F107" s="137"/>
    </row>
    <row r="108" spans="1:6" s="141" customFormat="1">
      <c r="A108" s="148"/>
      <c r="B108" s="137"/>
      <c r="C108" s="137"/>
      <c r="D108" s="139"/>
      <c r="E108" s="137"/>
      <c r="F108" s="137"/>
    </row>
    <row r="109" spans="1:6" s="141" customFormat="1">
      <c r="A109" s="148"/>
      <c r="B109" s="137"/>
      <c r="C109" s="137"/>
      <c r="D109" s="139"/>
      <c r="E109" s="137"/>
      <c r="F109" s="137"/>
    </row>
    <row r="110" spans="1:6" s="141" customFormat="1">
      <c r="A110" s="148"/>
      <c r="B110" s="137"/>
      <c r="C110" s="137"/>
      <c r="D110" s="139"/>
      <c r="E110" s="137"/>
      <c r="F110" s="137"/>
    </row>
    <row r="111" spans="1:6" s="141" customFormat="1">
      <c r="A111" s="148"/>
      <c r="B111" s="137"/>
      <c r="C111" s="137"/>
      <c r="D111" s="139"/>
      <c r="E111" s="137"/>
      <c r="F111" s="137"/>
    </row>
    <row r="112" spans="1:6" s="141" customFormat="1">
      <c r="A112" s="148"/>
      <c r="B112" s="137"/>
      <c r="C112" s="137"/>
      <c r="D112" s="139"/>
      <c r="E112" s="137"/>
      <c r="F112" s="137"/>
    </row>
    <row r="113" spans="1:6" s="141" customFormat="1">
      <c r="A113" s="148"/>
      <c r="B113" s="137"/>
      <c r="C113" s="137"/>
      <c r="D113" s="139"/>
      <c r="E113" s="137"/>
      <c r="F113" s="137"/>
    </row>
    <row r="114" spans="1:6" s="141" customFormat="1">
      <c r="A114" s="148"/>
      <c r="B114" s="137"/>
      <c r="C114" s="137"/>
      <c r="D114" s="139"/>
      <c r="E114" s="137"/>
      <c r="F114" s="137"/>
    </row>
    <row r="115" spans="1:6" s="141" customFormat="1">
      <c r="A115" s="148"/>
      <c r="B115" s="137"/>
      <c r="C115" s="137"/>
      <c r="D115" s="139"/>
      <c r="E115" s="137"/>
      <c r="F115" s="137"/>
    </row>
    <row r="116" spans="1:6" s="141" customFormat="1">
      <c r="A116" s="148"/>
      <c r="B116" s="137"/>
      <c r="C116" s="137"/>
      <c r="D116" s="139"/>
      <c r="E116" s="137"/>
      <c r="F116" s="137"/>
    </row>
    <row r="117" spans="1:6" s="141" customFormat="1">
      <c r="A117" s="148"/>
      <c r="B117" s="137"/>
      <c r="C117" s="137"/>
      <c r="D117" s="139"/>
      <c r="E117" s="137"/>
      <c r="F117" s="137"/>
    </row>
    <row r="118" spans="1:6" s="141" customFormat="1">
      <c r="A118" s="148"/>
      <c r="B118" s="137"/>
      <c r="C118" s="137"/>
      <c r="D118" s="139"/>
      <c r="E118" s="137"/>
      <c r="F118" s="137"/>
    </row>
    <row r="119" spans="1:6" s="141" customFormat="1">
      <c r="A119" s="148"/>
      <c r="B119" s="137"/>
      <c r="C119" s="137"/>
      <c r="D119" s="139"/>
      <c r="E119" s="137"/>
      <c r="F119" s="137"/>
    </row>
    <row r="120" spans="1:6" s="141" customFormat="1">
      <c r="A120" s="148"/>
      <c r="B120" s="137"/>
      <c r="C120" s="137"/>
      <c r="D120" s="139"/>
      <c r="E120" s="137"/>
      <c r="F120" s="137"/>
    </row>
    <row r="121" spans="1:6" s="141" customFormat="1">
      <c r="A121" s="148"/>
      <c r="B121" s="137"/>
      <c r="C121" s="137"/>
      <c r="D121" s="139"/>
      <c r="E121" s="137"/>
      <c r="F121" s="137"/>
    </row>
    <row r="122" spans="1:6" s="141" customFormat="1">
      <c r="A122" s="148"/>
      <c r="B122" s="137"/>
      <c r="C122" s="137"/>
      <c r="D122" s="139"/>
      <c r="E122" s="137"/>
      <c r="F122" s="137"/>
    </row>
    <row r="123" spans="1:6" s="141" customFormat="1">
      <c r="A123" s="148"/>
      <c r="B123" s="137"/>
      <c r="C123" s="137"/>
      <c r="D123" s="139"/>
      <c r="E123" s="137"/>
      <c r="F123" s="137"/>
    </row>
    <row r="124" spans="1:6" s="141" customFormat="1">
      <c r="A124" s="148"/>
      <c r="B124" s="137"/>
      <c r="C124" s="137"/>
      <c r="D124" s="139"/>
      <c r="E124" s="137"/>
      <c r="F124" s="137"/>
    </row>
    <row r="125" spans="1:6" s="141" customFormat="1">
      <c r="A125" s="148"/>
      <c r="B125" s="137"/>
      <c r="C125" s="137"/>
      <c r="D125" s="139"/>
      <c r="E125" s="137"/>
      <c r="F125" s="137"/>
    </row>
    <row r="126" spans="1:6" s="141" customFormat="1">
      <c r="A126" s="148"/>
      <c r="B126" s="137"/>
      <c r="C126" s="137"/>
      <c r="D126" s="139"/>
      <c r="E126" s="137"/>
      <c r="F126" s="137"/>
    </row>
    <row r="127" spans="1:6" s="141" customFormat="1">
      <c r="A127" s="148"/>
      <c r="B127" s="137"/>
      <c r="C127" s="137"/>
      <c r="D127" s="139"/>
      <c r="E127" s="137"/>
      <c r="F127" s="137"/>
    </row>
    <row r="128" spans="1:6" s="141" customFormat="1">
      <c r="A128" s="148"/>
      <c r="B128" s="137"/>
      <c r="C128" s="137"/>
      <c r="D128" s="139"/>
      <c r="E128" s="137"/>
      <c r="F128" s="137"/>
    </row>
    <row r="129" spans="1:6" s="141" customFormat="1">
      <c r="A129" s="148"/>
      <c r="B129" s="137"/>
      <c r="C129" s="137"/>
      <c r="D129" s="139"/>
      <c r="E129" s="137"/>
      <c r="F129" s="137"/>
    </row>
    <row r="130" spans="1:6" s="141" customFormat="1">
      <c r="A130" s="148"/>
      <c r="B130" s="137"/>
      <c r="C130" s="137"/>
      <c r="D130" s="139"/>
      <c r="E130" s="137"/>
      <c r="F130" s="137"/>
    </row>
    <row r="131" spans="1:6" s="141" customFormat="1">
      <c r="A131" s="148"/>
      <c r="B131" s="137"/>
      <c r="C131" s="137"/>
      <c r="D131" s="139"/>
      <c r="E131" s="137"/>
      <c r="F131" s="137"/>
    </row>
    <row r="132" spans="1:6" s="141" customFormat="1">
      <c r="A132" s="148"/>
      <c r="B132" s="137"/>
      <c r="C132" s="137"/>
      <c r="D132" s="139"/>
      <c r="E132" s="137"/>
      <c r="F132" s="137"/>
    </row>
    <row r="133" spans="1:6" s="141" customFormat="1">
      <c r="A133" s="148"/>
      <c r="B133" s="137"/>
      <c r="C133" s="137"/>
      <c r="D133" s="139"/>
      <c r="E133" s="137"/>
      <c r="F133" s="137"/>
    </row>
    <row r="134" spans="1:6" s="141" customFormat="1">
      <c r="A134" s="148"/>
      <c r="B134" s="137"/>
      <c r="C134" s="137"/>
      <c r="D134" s="139"/>
      <c r="E134" s="137"/>
      <c r="F134" s="137"/>
    </row>
    <row r="135" spans="1:6" s="141" customFormat="1">
      <c r="A135" s="148"/>
      <c r="B135" s="137"/>
      <c r="C135" s="137"/>
      <c r="D135" s="139"/>
      <c r="E135" s="137"/>
      <c r="F135" s="137"/>
    </row>
    <row r="136" spans="1:6" s="141" customFormat="1">
      <c r="A136" s="148"/>
      <c r="B136" s="137"/>
      <c r="C136" s="137"/>
      <c r="D136" s="139"/>
      <c r="E136" s="137"/>
      <c r="F136" s="137"/>
    </row>
    <row r="137" spans="1:6" s="141" customFormat="1">
      <c r="A137" s="148"/>
      <c r="B137" s="137"/>
      <c r="C137" s="137"/>
      <c r="D137" s="139"/>
      <c r="E137" s="137"/>
      <c r="F137" s="137"/>
    </row>
    <row r="138" spans="1:6" s="141" customFormat="1">
      <c r="A138" s="148"/>
      <c r="B138" s="137"/>
      <c r="C138" s="137"/>
      <c r="D138" s="139"/>
      <c r="E138" s="137"/>
      <c r="F138" s="137"/>
    </row>
    <row r="139" spans="1:6" s="141" customFormat="1">
      <c r="A139" s="148"/>
      <c r="B139" s="137"/>
      <c r="C139" s="137"/>
      <c r="D139" s="139"/>
      <c r="E139" s="137"/>
      <c r="F139" s="137"/>
    </row>
    <row r="140" spans="1:6" s="141" customFormat="1">
      <c r="A140" s="148"/>
      <c r="B140" s="137"/>
      <c r="C140" s="137"/>
      <c r="D140" s="139"/>
      <c r="E140" s="137"/>
      <c r="F140" s="137"/>
    </row>
    <row r="141" spans="1:6" s="141" customFormat="1">
      <c r="A141" s="148"/>
      <c r="B141" s="137"/>
      <c r="C141" s="137"/>
      <c r="D141" s="139"/>
      <c r="E141" s="137"/>
      <c r="F141" s="137"/>
    </row>
    <row r="142" spans="1:6" s="141" customFormat="1">
      <c r="A142" s="148"/>
      <c r="B142" s="137"/>
      <c r="C142" s="137"/>
      <c r="D142" s="139"/>
      <c r="E142" s="137"/>
      <c r="F142" s="137"/>
    </row>
    <row r="143" spans="1:6" s="141" customFormat="1">
      <c r="A143" s="148"/>
      <c r="B143" s="137"/>
      <c r="C143" s="137"/>
      <c r="D143" s="139"/>
      <c r="E143" s="137"/>
      <c r="F143" s="137"/>
    </row>
    <row r="144" spans="1:6" s="141" customFormat="1">
      <c r="A144" s="148"/>
      <c r="B144" s="137"/>
      <c r="C144" s="137"/>
      <c r="D144" s="139"/>
      <c r="E144" s="137"/>
      <c r="F144" s="137"/>
    </row>
    <row r="145" spans="1:6" s="141" customFormat="1">
      <c r="A145" s="148"/>
      <c r="B145" s="137"/>
      <c r="C145" s="137"/>
      <c r="D145" s="139"/>
      <c r="E145" s="137"/>
      <c r="F145" s="137"/>
    </row>
    <row r="146" spans="1:6" s="141" customFormat="1">
      <c r="A146" s="148"/>
      <c r="B146" s="137"/>
      <c r="C146" s="137"/>
      <c r="D146" s="139"/>
      <c r="E146" s="137"/>
      <c r="F146" s="137"/>
    </row>
    <row r="147" spans="1:6" s="141" customFormat="1">
      <c r="A147" s="148"/>
      <c r="B147" s="137"/>
      <c r="C147" s="137"/>
      <c r="D147" s="139"/>
      <c r="E147" s="137"/>
      <c r="F147" s="137"/>
    </row>
    <row r="148" spans="1:6" s="141" customFormat="1">
      <c r="A148" s="148"/>
      <c r="B148" s="137"/>
      <c r="C148" s="137"/>
      <c r="D148" s="139"/>
      <c r="E148" s="137"/>
      <c r="F148" s="137"/>
    </row>
    <row r="149" spans="1:6" s="141" customFormat="1">
      <c r="A149" s="148"/>
      <c r="B149" s="137"/>
      <c r="C149" s="137"/>
      <c r="D149" s="139"/>
      <c r="E149" s="137"/>
      <c r="F149" s="137"/>
    </row>
    <row r="150" spans="1:6" s="141" customFormat="1">
      <c r="A150" s="148"/>
      <c r="B150" s="137"/>
      <c r="C150" s="137"/>
      <c r="D150" s="139"/>
      <c r="E150" s="137"/>
      <c r="F150" s="137"/>
    </row>
    <row r="151" spans="1:6" s="141" customFormat="1">
      <c r="A151" s="148"/>
      <c r="B151" s="137"/>
      <c r="C151" s="137"/>
      <c r="D151" s="139"/>
      <c r="E151" s="137"/>
      <c r="F151" s="137"/>
    </row>
    <row r="152" spans="1:6" s="141" customFormat="1">
      <c r="A152" s="148"/>
      <c r="B152" s="137"/>
      <c r="C152" s="137"/>
      <c r="D152" s="139"/>
      <c r="E152" s="137"/>
      <c r="F152" s="137"/>
    </row>
    <row r="153" spans="1:6" s="141" customFormat="1">
      <c r="A153" s="148"/>
      <c r="B153" s="137"/>
      <c r="C153" s="137"/>
      <c r="D153" s="139"/>
      <c r="E153" s="137"/>
      <c r="F153" s="137"/>
    </row>
    <row r="154" spans="1:6" s="141" customFormat="1">
      <c r="A154" s="148"/>
      <c r="B154" s="137"/>
      <c r="C154" s="137"/>
      <c r="D154" s="139"/>
      <c r="E154" s="137"/>
      <c r="F154" s="137"/>
    </row>
    <row r="155" spans="1:6" s="141" customFormat="1">
      <c r="A155" s="148"/>
      <c r="B155" s="137"/>
      <c r="C155" s="137"/>
      <c r="D155" s="139"/>
      <c r="E155" s="137"/>
      <c r="F155" s="137"/>
    </row>
    <row r="156" spans="1:6" s="141" customFormat="1">
      <c r="A156" s="148"/>
      <c r="B156" s="137"/>
      <c r="C156" s="137"/>
      <c r="D156" s="139"/>
      <c r="E156" s="137"/>
      <c r="F156" s="137"/>
    </row>
    <row r="157" spans="1:6" s="141" customFormat="1">
      <c r="A157" s="148"/>
      <c r="B157" s="137"/>
      <c r="C157" s="137"/>
      <c r="D157" s="139"/>
      <c r="E157" s="137"/>
      <c r="F157" s="137"/>
    </row>
    <row r="158" spans="1:6" s="141" customFormat="1">
      <c r="A158" s="148"/>
      <c r="B158" s="137"/>
      <c r="C158" s="137"/>
      <c r="D158" s="139"/>
      <c r="E158" s="137"/>
      <c r="F158" s="137"/>
    </row>
    <row r="159" spans="1:6" s="141" customFormat="1">
      <c r="A159" s="148"/>
      <c r="B159" s="137"/>
      <c r="C159" s="137"/>
      <c r="D159" s="139"/>
      <c r="E159" s="137"/>
      <c r="F159" s="137"/>
    </row>
    <row r="160" spans="1:6" s="141" customFormat="1">
      <c r="A160" s="148"/>
      <c r="B160" s="137"/>
      <c r="C160" s="137"/>
      <c r="D160" s="139"/>
      <c r="E160" s="137"/>
      <c r="F160" s="137"/>
    </row>
    <row r="161" spans="1:6" s="141" customFormat="1">
      <c r="A161" s="148"/>
      <c r="B161" s="137"/>
      <c r="C161" s="137"/>
      <c r="D161" s="139"/>
      <c r="E161" s="137"/>
      <c r="F161" s="137"/>
    </row>
    <row r="162" spans="1:6" s="141" customFormat="1">
      <c r="A162" s="148"/>
      <c r="B162" s="137"/>
      <c r="C162" s="137"/>
      <c r="D162" s="139"/>
      <c r="E162" s="137"/>
      <c r="F162" s="137"/>
    </row>
    <row r="163" spans="1:6" s="141" customFormat="1">
      <c r="A163" s="148"/>
      <c r="B163" s="137"/>
      <c r="C163" s="137"/>
      <c r="D163" s="139"/>
      <c r="E163" s="137"/>
      <c r="F163" s="137"/>
    </row>
    <row r="164" spans="1:6" s="141" customFormat="1">
      <c r="A164" s="148"/>
      <c r="B164" s="137"/>
      <c r="C164" s="137"/>
      <c r="D164" s="139"/>
      <c r="E164" s="137"/>
      <c r="F164" s="137"/>
    </row>
    <row r="165" spans="1:6" s="141" customFormat="1">
      <c r="A165" s="148"/>
      <c r="B165" s="137"/>
      <c r="C165" s="137"/>
      <c r="D165" s="139"/>
      <c r="E165" s="137"/>
      <c r="F165" s="137"/>
    </row>
    <row r="166" spans="1:6" s="141" customFormat="1">
      <c r="A166" s="148"/>
      <c r="B166" s="137"/>
      <c r="C166" s="137"/>
      <c r="D166" s="139"/>
      <c r="E166" s="137"/>
      <c r="F166" s="137"/>
    </row>
    <row r="167" spans="1:6" s="141" customFormat="1">
      <c r="A167" s="148"/>
      <c r="B167" s="137"/>
      <c r="C167" s="137"/>
      <c r="D167" s="139"/>
      <c r="E167" s="137"/>
      <c r="F167" s="137"/>
    </row>
    <row r="168" spans="1:6" s="141" customFormat="1">
      <c r="A168" s="148"/>
      <c r="B168" s="137"/>
      <c r="C168" s="137"/>
      <c r="D168" s="139"/>
      <c r="E168" s="137"/>
      <c r="F168" s="137"/>
    </row>
    <row r="169" spans="1:6" s="141" customFormat="1">
      <c r="A169" s="148"/>
      <c r="B169" s="137"/>
      <c r="C169" s="137"/>
      <c r="D169" s="139"/>
      <c r="E169" s="137"/>
      <c r="F169" s="137"/>
    </row>
    <row r="170" spans="1:6" s="141" customFormat="1">
      <c r="A170" s="148"/>
      <c r="B170" s="137"/>
      <c r="C170" s="137"/>
      <c r="D170" s="139"/>
      <c r="E170" s="137"/>
      <c r="F170" s="137"/>
    </row>
    <row r="171" spans="1:6" s="141" customFormat="1">
      <c r="A171" s="148"/>
      <c r="B171" s="137"/>
      <c r="C171" s="137"/>
      <c r="D171" s="139"/>
      <c r="E171" s="137"/>
      <c r="F171" s="137"/>
    </row>
    <row r="172" spans="1:6" s="141" customFormat="1">
      <c r="A172" s="148"/>
      <c r="B172" s="137"/>
      <c r="C172" s="137"/>
      <c r="D172" s="139"/>
      <c r="E172" s="137"/>
      <c r="F172" s="137"/>
    </row>
    <row r="173" spans="1:6" s="141" customFormat="1">
      <c r="A173" s="148"/>
      <c r="B173" s="137"/>
      <c r="C173" s="137"/>
      <c r="D173" s="139"/>
      <c r="E173" s="137"/>
      <c r="F173" s="137"/>
    </row>
    <row r="174" spans="1:6" s="141" customFormat="1">
      <c r="A174" s="148"/>
      <c r="B174" s="137"/>
      <c r="C174" s="137"/>
      <c r="D174" s="139"/>
      <c r="E174" s="137"/>
      <c r="F174" s="137"/>
    </row>
    <row r="175" spans="1:6" s="141" customFormat="1">
      <c r="A175" s="148"/>
      <c r="B175" s="137"/>
      <c r="C175" s="137"/>
      <c r="D175" s="139"/>
      <c r="E175" s="137"/>
      <c r="F175" s="137"/>
    </row>
    <row r="176" spans="1:6" s="141" customFormat="1">
      <c r="A176" s="148"/>
      <c r="B176" s="137"/>
      <c r="C176" s="137"/>
      <c r="D176" s="139"/>
      <c r="E176" s="137"/>
      <c r="F176" s="137"/>
    </row>
    <row r="177" spans="1:6" s="141" customFormat="1">
      <c r="A177" s="148"/>
      <c r="B177" s="137"/>
      <c r="C177" s="137"/>
      <c r="D177" s="139"/>
      <c r="E177" s="137"/>
      <c r="F177" s="137"/>
    </row>
    <row r="178" spans="1:6" s="141" customFormat="1">
      <c r="A178" s="148"/>
      <c r="B178" s="137"/>
      <c r="C178" s="137"/>
      <c r="D178" s="139"/>
      <c r="E178" s="137"/>
      <c r="F178" s="137"/>
    </row>
    <row r="179" spans="1:6" s="141" customFormat="1">
      <c r="A179" s="148"/>
      <c r="B179" s="137"/>
      <c r="C179" s="137"/>
      <c r="D179" s="139"/>
      <c r="E179" s="137"/>
      <c r="F179" s="137"/>
    </row>
    <row r="180" spans="1:6" s="141" customFormat="1">
      <c r="A180" s="148"/>
      <c r="B180" s="137"/>
      <c r="C180" s="137"/>
      <c r="D180" s="139"/>
      <c r="E180" s="137"/>
      <c r="F180" s="137"/>
    </row>
    <row r="181" spans="1:6" s="141" customFormat="1">
      <c r="A181" s="148"/>
      <c r="B181" s="137"/>
      <c r="C181" s="137"/>
      <c r="D181" s="139"/>
      <c r="E181" s="137"/>
      <c r="F181" s="137"/>
    </row>
    <row r="182" spans="1:6" s="141" customFormat="1">
      <c r="A182" s="148"/>
      <c r="B182" s="137"/>
      <c r="C182" s="137"/>
      <c r="D182" s="139"/>
      <c r="E182" s="137"/>
      <c r="F182" s="137"/>
    </row>
    <row r="183" spans="1:6" s="141" customFormat="1">
      <c r="A183" s="148"/>
      <c r="B183" s="137"/>
      <c r="C183" s="137"/>
      <c r="D183" s="139"/>
      <c r="E183" s="137"/>
      <c r="F183" s="137"/>
    </row>
    <row r="184" spans="1:6" s="141" customFormat="1">
      <c r="A184" s="148"/>
      <c r="B184" s="137"/>
      <c r="C184" s="137"/>
      <c r="D184" s="139"/>
      <c r="E184" s="137"/>
      <c r="F184" s="137"/>
    </row>
    <row r="185" spans="1:6" s="141" customFormat="1">
      <c r="A185" s="148"/>
      <c r="B185" s="137"/>
      <c r="C185" s="137"/>
      <c r="D185" s="139"/>
      <c r="E185" s="137"/>
      <c r="F185" s="137"/>
    </row>
    <row r="186" spans="1:6" s="141" customFormat="1">
      <c r="A186" s="148"/>
      <c r="B186" s="137"/>
      <c r="C186" s="137"/>
      <c r="D186" s="139"/>
      <c r="E186" s="137"/>
      <c r="F186" s="137"/>
    </row>
    <row r="187" spans="1:6" s="141" customFormat="1">
      <c r="A187" s="148"/>
      <c r="B187" s="137"/>
      <c r="C187" s="137"/>
      <c r="D187" s="139"/>
      <c r="E187" s="137"/>
      <c r="F187" s="137"/>
    </row>
    <row r="188" spans="1:6" s="141" customFormat="1">
      <c r="A188" s="148"/>
      <c r="B188" s="137"/>
      <c r="C188" s="137"/>
      <c r="D188" s="139"/>
      <c r="E188" s="137"/>
      <c r="F188" s="137"/>
    </row>
    <row r="189" spans="1:6" s="141" customFormat="1">
      <c r="A189" s="148"/>
      <c r="B189" s="137"/>
      <c r="C189" s="137"/>
      <c r="D189" s="139"/>
      <c r="E189" s="137"/>
      <c r="F189" s="137"/>
    </row>
    <row r="190" spans="1:6" s="141" customFormat="1">
      <c r="A190" s="148"/>
      <c r="B190" s="137"/>
      <c r="C190" s="137"/>
      <c r="D190" s="139"/>
      <c r="E190" s="137"/>
      <c r="F190" s="137"/>
    </row>
    <row r="191" spans="1:6" s="141" customFormat="1">
      <c r="A191" s="148"/>
      <c r="B191" s="137"/>
      <c r="C191" s="137"/>
      <c r="D191" s="139"/>
      <c r="E191" s="137"/>
      <c r="F191" s="137"/>
    </row>
    <row r="192" spans="1:6" s="141" customFormat="1">
      <c r="A192" s="148"/>
      <c r="B192" s="137"/>
      <c r="C192" s="137"/>
      <c r="D192" s="139"/>
      <c r="E192" s="137"/>
      <c r="F192" s="137"/>
    </row>
    <row r="193" spans="1:6" s="141" customFormat="1">
      <c r="A193" s="148"/>
      <c r="B193" s="137"/>
      <c r="C193" s="137"/>
      <c r="D193" s="139"/>
      <c r="E193" s="137"/>
      <c r="F193" s="137"/>
    </row>
    <row r="194" spans="1:6" s="141" customFormat="1">
      <c r="A194" s="148"/>
      <c r="B194" s="137"/>
      <c r="C194" s="137"/>
      <c r="D194" s="139"/>
      <c r="E194" s="137"/>
      <c r="F194" s="137"/>
    </row>
  </sheetData>
  <autoFilter ref="A2:G81" xr:uid="{A91C3EFA-A97E-4405-AE60-115C82EFAD93}"/>
  <mergeCells count="5">
    <mergeCell ref="A1:G1"/>
    <mergeCell ref="E58:E61"/>
    <mergeCell ref="F58:F61"/>
    <mergeCell ref="B75:B76"/>
    <mergeCell ref="C75:C7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6BFF-13BC-46AA-8B8F-8AB223F83BCD}">
  <sheetPr codeName="Sheet16"/>
  <dimension ref="A1:G72"/>
  <sheetViews>
    <sheetView topLeftCell="A70" workbookViewId="0">
      <selection activeCell="D80" sqref="D80"/>
    </sheetView>
  </sheetViews>
  <sheetFormatPr defaultColWidth="8.7265625" defaultRowHeight="14"/>
  <cols>
    <col min="1" max="1" width="9.90625" style="150" customWidth="1"/>
    <col min="2" max="2" width="10.36328125" style="137" customWidth="1"/>
    <col min="3" max="3" width="12.7265625" style="137" customWidth="1"/>
    <col min="4" max="4" width="45.6328125" style="137" customWidth="1"/>
    <col min="5" max="6" width="16.6328125" style="140" customWidth="1"/>
    <col min="7" max="7" width="34.7265625" style="137" customWidth="1"/>
    <col min="8" max="16384" width="8.7265625" style="137"/>
  </cols>
  <sheetData>
    <row r="1" spans="1:7" ht="24.5" customHeight="1">
      <c r="A1" s="280" t="s">
        <v>677</v>
      </c>
      <c r="B1" s="269"/>
      <c r="C1" s="269"/>
      <c r="D1" s="269"/>
      <c r="E1" s="269"/>
      <c r="F1" s="269"/>
      <c r="G1" s="270"/>
    </row>
    <row r="2" spans="1:7">
      <c r="A2" s="149" t="s">
        <v>1</v>
      </c>
      <c r="B2" s="133" t="s">
        <v>2</v>
      </c>
      <c r="C2" s="133" t="s">
        <v>3</v>
      </c>
      <c r="D2" s="133" t="s">
        <v>4</v>
      </c>
      <c r="E2" s="135" t="s">
        <v>5</v>
      </c>
      <c r="F2" s="135" t="s">
        <v>6</v>
      </c>
      <c r="G2" s="133" t="s">
        <v>7</v>
      </c>
    </row>
    <row r="3" spans="1:7">
      <c r="A3" s="149"/>
      <c r="B3" s="133"/>
      <c r="C3" s="133"/>
      <c r="D3" s="133"/>
      <c r="E3" s="135">
        <f>SUBTOTAL(109,E4:E79)</f>
        <v>7400000</v>
      </c>
      <c r="F3" s="135">
        <f>SUBTOTAL(109,F4:F79)</f>
        <v>3248000</v>
      </c>
      <c r="G3" s="133"/>
    </row>
    <row r="4" spans="1:7">
      <c r="A4" s="150">
        <v>46058</v>
      </c>
      <c r="B4" s="168" t="s">
        <v>562</v>
      </c>
      <c r="C4" s="137">
        <v>303</v>
      </c>
      <c r="D4" s="137" t="s">
        <v>775</v>
      </c>
      <c r="E4" s="140">
        <v>200000</v>
      </c>
    </row>
    <row r="5" spans="1:7">
      <c r="B5" s="168" t="s">
        <v>562</v>
      </c>
      <c r="C5" s="137">
        <v>304</v>
      </c>
      <c r="D5" s="137" t="s">
        <v>107</v>
      </c>
      <c r="F5" s="140">
        <v>160000</v>
      </c>
    </row>
    <row r="6" spans="1:7">
      <c r="B6" s="168" t="s">
        <v>133</v>
      </c>
      <c r="C6" s="137">
        <v>101</v>
      </c>
      <c r="D6" s="137" t="s">
        <v>126</v>
      </c>
      <c r="E6" s="140">
        <v>150000</v>
      </c>
    </row>
    <row r="7" spans="1:7">
      <c r="B7" s="168" t="s">
        <v>133</v>
      </c>
      <c r="C7" s="137">
        <v>301</v>
      </c>
      <c r="D7" s="137" t="s">
        <v>126</v>
      </c>
      <c r="E7" s="140">
        <v>150000</v>
      </c>
    </row>
    <row r="8" spans="1:7">
      <c r="A8" s="150">
        <v>46086</v>
      </c>
      <c r="B8" s="168" t="s">
        <v>20</v>
      </c>
      <c r="C8" s="137">
        <v>404</v>
      </c>
      <c r="D8" s="137" t="s">
        <v>126</v>
      </c>
      <c r="E8" s="140">
        <v>200000</v>
      </c>
    </row>
    <row r="9" spans="1:7">
      <c r="B9" s="168" t="s">
        <v>20</v>
      </c>
      <c r="C9" s="137">
        <v>404</v>
      </c>
      <c r="D9" s="137" t="s">
        <v>19</v>
      </c>
      <c r="E9" s="140">
        <v>200000</v>
      </c>
    </row>
    <row r="10" spans="1:7">
      <c r="A10" s="150">
        <v>46117</v>
      </c>
      <c r="B10" s="168" t="s">
        <v>139</v>
      </c>
      <c r="C10" s="137">
        <v>502</v>
      </c>
      <c r="D10" s="137" t="s">
        <v>19</v>
      </c>
      <c r="E10" s="140">
        <v>200000</v>
      </c>
    </row>
    <row r="11" spans="1:7">
      <c r="B11" s="168" t="s">
        <v>813</v>
      </c>
      <c r="C11" s="137">
        <v>301</v>
      </c>
      <c r="D11" s="137" t="s">
        <v>19</v>
      </c>
      <c r="E11" s="152">
        <v>200000</v>
      </c>
    </row>
    <row r="12" spans="1:7">
      <c r="A12" s="150">
        <v>46147</v>
      </c>
      <c r="B12" s="168" t="s">
        <v>103</v>
      </c>
      <c r="C12" s="137">
        <v>402</v>
      </c>
      <c r="D12" s="137" t="s">
        <v>776</v>
      </c>
      <c r="F12" s="140">
        <v>80000</v>
      </c>
    </row>
    <row r="13" spans="1:7">
      <c r="B13" s="168" t="s">
        <v>111</v>
      </c>
      <c r="C13" s="137">
        <v>703</v>
      </c>
      <c r="D13" s="137" t="s">
        <v>126</v>
      </c>
      <c r="E13" s="140">
        <v>150000</v>
      </c>
    </row>
    <row r="14" spans="1:7">
      <c r="B14" s="168" t="s">
        <v>111</v>
      </c>
      <c r="C14" s="137">
        <v>703</v>
      </c>
      <c r="D14" s="137" t="s">
        <v>305</v>
      </c>
      <c r="F14" s="140">
        <v>80000</v>
      </c>
    </row>
    <row r="15" spans="1:7">
      <c r="B15" s="168" t="s">
        <v>111</v>
      </c>
      <c r="C15" s="137">
        <v>201</v>
      </c>
      <c r="D15" s="137" t="s">
        <v>126</v>
      </c>
      <c r="E15" s="140">
        <v>400000</v>
      </c>
    </row>
    <row r="16" spans="1:7">
      <c r="A16" s="150">
        <v>46178</v>
      </c>
      <c r="B16" s="168" t="s">
        <v>275</v>
      </c>
      <c r="C16" s="137">
        <v>405</v>
      </c>
      <c r="D16" s="137" t="s">
        <v>126</v>
      </c>
      <c r="E16" s="140">
        <v>150000</v>
      </c>
    </row>
    <row r="17" spans="1:7">
      <c r="B17" s="168" t="s">
        <v>149</v>
      </c>
      <c r="C17" s="137">
        <v>109</v>
      </c>
      <c r="D17" s="137" t="s">
        <v>777</v>
      </c>
      <c r="E17" s="140">
        <v>300000</v>
      </c>
    </row>
    <row r="18" spans="1:7">
      <c r="B18" s="168" t="s">
        <v>149</v>
      </c>
      <c r="C18" s="137">
        <v>109</v>
      </c>
      <c r="D18" s="137" t="s">
        <v>19</v>
      </c>
      <c r="E18" s="140">
        <v>200000</v>
      </c>
    </row>
    <row r="19" spans="1:7">
      <c r="B19" s="168" t="s">
        <v>149</v>
      </c>
      <c r="C19" s="137">
        <v>307</v>
      </c>
      <c r="D19" s="137" t="s">
        <v>126</v>
      </c>
      <c r="E19" s="140">
        <v>200000</v>
      </c>
    </row>
    <row r="20" spans="1:7">
      <c r="A20" s="150">
        <v>46208</v>
      </c>
      <c r="B20" s="168" t="s">
        <v>280</v>
      </c>
      <c r="C20" s="137">
        <v>203</v>
      </c>
      <c r="D20" s="137" t="s">
        <v>778</v>
      </c>
      <c r="F20" s="140">
        <v>750000</v>
      </c>
    </row>
    <row r="21" spans="1:7">
      <c r="B21" s="168" t="s">
        <v>139</v>
      </c>
      <c r="C21" s="137">
        <v>504</v>
      </c>
      <c r="D21" s="137" t="s">
        <v>19</v>
      </c>
      <c r="E21" s="140">
        <v>200000</v>
      </c>
    </row>
    <row r="22" spans="1:7">
      <c r="B22" s="168" t="s">
        <v>139</v>
      </c>
      <c r="C22" s="137">
        <v>504</v>
      </c>
      <c r="D22" s="137" t="s">
        <v>126</v>
      </c>
      <c r="E22" s="152">
        <v>250000</v>
      </c>
    </row>
    <row r="23" spans="1:7">
      <c r="B23" s="168" t="s">
        <v>139</v>
      </c>
      <c r="C23" s="137">
        <v>504</v>
      </c>
      <c r="D23" s="137" t="s">
        <v>338</v>
      </c>
      <c r="F23" s="140">
        <v>80000</v>
      </c>
    </row>
    <row r="24" spans="1:7">
      <c r="A24" s="150">
        <v>46208</v>
      </c>
      <c r="B24" s="168" t="s">
        <v>139</v>
      </c>
      <c r="C24" s="137">
        <v>203</v>
      </c>
      <c r="D24" s="137" t="s">
        <v>19</v>
      </c>
      <c r="E24" s="140">
        <v>200000</v>
      </c>
      <c r="G24" s="137" t="s">
        <v>779</v>
      </c>
    </row>
    <row r="25" spans="1:7">
      <c r="B25" s="168" t="s">
        <v>139</v>
      </c>
      <c r="C25" s="137">
        <v>203</v>
      </c>
      <c r="D25" s="137" t="s">
        <v>126</v>
      </c>
      <c r="E25" s="140">
        <v>200000</v>
      </c>
    </row>
    <row r="26" spans="1:7">
      <c r="A26" s="150">
        <v>46239</v>
      </c>
      <c r="B26" s="168" t="s">
        <v>209</v>
      </c>
      <c r="C26" s="137">
        <v>301</v>
      </c>
      <c r="D26" s="137" t="s">
        <v>19</v>
      </c>
      <c r="E26" s="140">
        <v>200000</v>
      </c>
      <c r="G26" s="137" t="s">
        <v>779</v>
      </c>
    </row>
    <row r="27" spans="1:7">
      <c r="B27" s="168" t="s">
        <v>209</v>
      </c>
      <c r="C27" s="137">
        <v>301</v>
      </c>
      <c r="D27" s="137" t="s">
        <v>126</v>
      </c>
      <c r="E27" s="140">
        <v>300000</v>
      </c>
      <c r="G27" s="137" t="s">
        <v>713</v>
      </c>
    </row>
    <row r="28" spans="1:7">
      <c r="A28" s="150">
        <v>46300</v>
      </c>
      <c r="B28" s="168" t="s">
        <v>103</v>
      </c>
      <c r="C28" s="137">
        <v>102</v>
      </c>
      <c r="D28" s="137" t="s">
        <v>780</v>
      </c>
      <c r="F28" s="140">
        <v>75000</v>
      </c>
    </row>
    <row r="29" spans="1:7">
      <c r="A29" s="150">
        <v>46331</v>
      </c>
      <c r="B29" s="168" t="s">
        <v>149</v>
      </c>
      <c r="C29" s="137">
        <v>108</v>
      </c>
      <c r="D29" s="137" t="s">
        <v>781</v>
      </c>
      <c r="F29" s="140">
        <v>25000</v>
      </c>
    </row>
    <row r="30" spans="1:7">
      <c r="A30" s="150" t="s">
        <v>782</v>
      </c>
      <c r="B30" s="168" t="s">
        <v>293</v>
      </c>
      <c r="C30" s="137">
        <v>103</v>
      </c>
      <c r="D30" s="137" t="s">
        <v>554</v>
      </c>
      <c r="F30" s="140">
        <v>120000</v>
      </c>
    </row>
    <row r="31" spans="1:7">
      <c r="A31" s="150" t="s">
        <v>745</v>
      </c>
      <c r="B31" s="168" t="s">
        <v>295</v>
      </c>
      <c r="D31" s="137" t="s">
        <v>783</v>
      </c>
      <c r="F31" s="140">
        <v>35000</v>
      </c>
    </row>
    <row r="32" spans="1:7">
      <c r="B32" s="168" t="s">
        <v>199</v>
      </c>
      <c r="D32" s="137" t="s">
        <v>784</v>
      </c>
      <c r="E32" s="140">
        <v>400000</v>
      </c>
    </row>
    <row r="33" spans="1:6">
      <c r="A33" s="150" t="s">
        <v>762</v>
      </c>
      <c r="B33" s="168" t="s">
        <v>103</v>
      </c>
      <c r="C33" s="137">
        <v>301</v>
      </c>
      <c r="D33" s="137" t="s">
        <v>781</v>
      </c>
      <c r="F33" s="140">
        <v>25000</v>
      </c>
    </row>
    <row r="34" spans="1:6">
      <c r="B34" s="168" t="s">
        <v>149</v>
      </c>
      <c r="C34" s="137">
        <v>103</v>
      </c>
      <c r="D34" s="137" t="s">
        <v>338</v>
      </c>
      <c r="F34" s="140">
        <v>80000</v>
      </c>
    </row>
    <row r="35" spans="1:6">
      <c r="B35" s="168" t="s">
        <v>202</v>
      </c>
      <c r="C35" s="137">
        <v>202</v>
      </c>
      <c r="D35" s="137" t="s">
        <v>126</v>
      </c>
      <c r="E35" s="140">
        <v>200000</v>
      </c>
    </row>
    <row r="36" spans="1:6">
      <c r="B36" s="168" t="s">
        <v>202</v>
      </c>
      <c r="C36" s="137">
        <v>202</v>
      </c>
      <c r="D36" s="137" t="s">
        <v>338</v>
      </c>
      <c r="F36" s="140">
        <v>80000</v>
      </c>
    </row>
    <row r="37" spans="1:6">
      <c r="A37" s="150" t="s">
        <v>785</v>
      </c>
      <c r="B37" s="168" t="s">
        <v>202</v>
      </c>
      <c r="C37" s="137">
        <v>601</v>
      </c>
      <c r="D37" s="137" t="s">
        <v>126</v>
      </c>
      <c r="E37" s="152">
        <v>200000</v>
      </c>
      <c r="F37" s="152"/>
    </row>
    <row r="38" spans="1:6">
      <c r="B38" s="168" t="s">
        <v>202</v>
      </c>
      <c r="C38" s="137">
        <v>601</v>
      </c>
      <c r="D38" s="137" t="s">
        <v>131</v>
      </c>
      <c r="F38" s="140">
        <v>22000</v>
      </c>
    </row>
    <row r="39" spans="1:6">
      <c r="B39" s="168" t="s">
        <v>202</v>
      </c>
      <c r="D39" s="137" t="s">
        <v>371</v>
      </c>
      <c r="F39" s="140">
        <v>22000</v>
      </c>
    </row>
    <row r="40" spans="1:6">
      <c r="B40" s="168" t="s">
        <v>562</v>
      </c>
      <c r="C40" s="137">
        <v>503</v>
      </c>
      <c r="D40" s="137" t="s">
        <v>786</v>
      </c>
      <c r="E40" s="152"/>
      <c r="F40" s="152">
        <v>180000</v>
      </c>
    </row>
    <row r="41" spans="1:6">
      <c r="B41" s="168" t="s">
        <v>562</v>
      </c>
      <c r="C41" s="137">
        <v>503</v>
      </c>
      <c r="D41" s="137" t="s">
        <v>787</v>
      </c>
      <c r="E41" s="152"/>
      <c r="F41" s="152">
        <v>75000</v>
      </c>
    </row>
    <row r="42" spans="1:6">
      <c r="B42" s="168" t="s">
        <v>562</v>
      </c>
      <c r="C42" s="137">
        <v>503</v>
      </c>
      <c r="D42" s="137" t="s">
        <v>132</v>
      </c>
      <c r="E42" s="152"/>
      <c r="F42" s="152">
        <v>44000</v>
      </c>
    </row>
    <row r="43" spans="1:6">
      <c r="A43" s="150" t="s">
        <v>788</v>
      </c>
      <c r="B43" s="168" t="s">
        <v>437</v>
      </c>
      <c r="C43" s="137">
        <v>103</v>
      </c>
      <c r="D43" s="137" t="s">
        <v>789</v>
      </c>
      <c r="F43" s="140">
        <v>10000</v>
      </c>
    </row>
    <row r="44" spans="1:6">
      <c r="A44" s="150" t="s">
        <v>790</v>
      </c>
      <c r="B44" s="168" t="s">
        <v>209</v>
      </c>
      <c r="D44" s="137" t="s">
        <v>791</v>
      </c>
      <c r="F44" s="140">
        <v>80000</v>
      </c>
    </row>
    <row r="45" spans="1:6" ht="14.4" customHeight="1">
      <c r="B45" s="168" t="s">
        <v>792</v>
      </c>
      <c r="C45" s="137">
        <v>101</v>
      </c>
      <c r="D45" s="137" t="s">
        <v>793</v>
      </c>
      <c r="E45" s="140">
        <v>200000</v>
      </c>
    </row>
    <row r="46" spans="1:6">
      <c r="A46" s="150" t="s">
        <v>769</v>
      </c>
      <c r="B46" s="168" t="s">
        <v>366</v>
      </c>
      <c r="C46" s="137">
        <v>402</v>
      </c>
      <c r="D46" s="137" t="s">
        <v>794</v>
      </c>
      <c r="F46" s="140">
        <v>70000</v>
      </c>
    </row>
    <row r="47" spans="1:6">
      <c r="B47" s="168" t="s">
        <v>366</v>
      </c>
      <c r="C47" s="137">
        <v>402</v>
      </c>
      <c r="D47" s="137" t="s">
        <v>795</v>
      </c>
      <c r="F47" s="140">
        <v>80000</v>
      </c>
    </row>
    <row r="48" spans="1:6">
      <c r="B48" s="168" t="s">
        <v>44</v>
      </c>
      <c r="C48" s="137">
        <v>201</v>
      </c>
      <c r="D48" s="137" t="s">
        <v>794</v>
      </c>
      <c r="F48" s="140">
        <v>70000</v>
      </c>
    </row>
    <row r="49" spans="1:7">
      <c r="B49" s="168" t="s">
        <v>44</v>
      </c>
      <c r="C49" s="137">
        <v>201</v>
      </c>
      <c r="D49" s="137" t="s">
        <v>608</v>
      </c>
      <c r="F49" s="140">
        <v>80000</v>
      </c>
    </row>
    <row r="50" spans="1:7">
      <c r="B50" s="168" t="s">
        <v>281</v>
      </c>
      <c r="D50" s="137" t="s">
        <v>796</v>
      </c>
    </row>
    <row r="51" spans="1:7">
      <c r="B51" s="168" t="s">
        <v>281</v>
      </c>
      <c r="D51" s="137" t="s">
        <v>797</v>
      </c>
      <c r="F51" s="140">
        <v>220000</v>
      </c>
    </row>
    <row r="52" spans="1:7">
      <c r="B52" s="168" t="s">
        <v>281</v>
      </c>
      <c r="D52" s="137" t="s">
        <v>798</v>
      </c>
      <c r="F52" s="140">
        <v>50000</v>
      </c>
    </row>
    <row r="53" spans="1:7">
      <c r="B53" s="168" t="s">
        <v>281</v>
      </c>
      <c r="D53" s="137" t="s">
        <v>799</v>
      </c>
      <c r="F53" s="140">
        <v>40000</v>
      </c>
    </row>
    <row r="54" spans="1:7">
      <c r="B54" s="168" t="s">
        <v>281</v>
      </c>
      <c r="D54" s="137" t="s">
        <v>800</v>
      </c>
      <c r="F54" s="140">
        <v>50000</v>
      </c>
    </row>
    <row r="55" spans="1:7">
      <c r="B55" s="168" t="s">
        <v>281</v>
      </c>
      <c r="D55" s="137" t="s">
        <v>801</v>
      </c>
      <c r="F55" s="140">
        <v>130000</v>
      </c>
    </row>
    <row r="56" spans="1:7">
      <c r="A56" s="150" t="s">
        <v>802</v>
      </c>
      <c r="B56" s="168" t="s">
        <v>149</v>
      </c>
      <c r="D56" s="137" t="s">
        <v>337</v>
      </c>
      <c r="F56" s="140">
        <v>30000</v>
      </c>
    </row>
    <row r="57" spans="1:7">
      <c r="A57" s="150" t="s">
        <v>803</v>
      </c>
      <c r="B57" s="168" t="s">
        <v>349</v>
      </c>
      <c r="C57" s="137">
        <v>101</v>
      </c>
      <c r="D57" s="137" t="s">
        <v>126</v>
      </c>
      <c r="E57" s="140">
        <v>200000</v>
      </c>
      <c r="G57" s="137" t="s">
        <v>364</v>
      </c>
    </row>
    <row r="58" spans="1:7">
      <c r="B58" s="168" t="s">
        <v>349</v>
      </c>
      <c r="C58" s="137">
        <v>101</v>
      </c>
      <c r="D58" s="137" t="s">
        <v>804</v>
      </c>
      <c r="F58" s="140">
        <v>180000</v>
      </c>
      <c r="G58" s="137" t="s">
        <v>364</v>
      </c>
    </row>
    <row r="59" spans="1:7">
      <c r="A59" s="150" t="s">
        <v>805</v>
      </c>
      <c r="B59" s="168" t="s">
        <v>276</v>
      </c>
      <c r="C59" s="137">
        <v>202</v>
      </c>
      <c r="D59" s="137" t="s">
        <v>19</v>
      </c>
      <c r="E59" s="140">
        <v>300000</v>
      </c>
    </row>
    <row r="60" spans="1:7">
      <c r="B60" s="168" t="s">
        <v>276</v>
      </c>
      <c r="C60" s="137">
        <v>202</v>
      </c>
      <c r="D60" s="137" t="s">
        <v>126</v>
      </c>
      <c r="E60" s="140">
        <v>500000</v>
      </c>
    </row>
    <row r="61" spans="1:7">
      <c r="A61" s="150" t="s">
        <v>806</v>
      </c>
      <c r="B61" s="168" t="s">
        <v>209</v>
      </c>
      <c r="C61" s="137">
        <v>302</v>
      </c>
      <c r="D61" s="137" t="s">
        <v>793</v>
      </c>
      <c r="E61" s="140">
        <v>300000</v>
      </c>
      <c r="G61" s="137" t="s">
        <v>364</v>
      </c>
    </row>
    <row r="62" spans="1:7">
      <c r="A62" s="150" t="s">
        <v>807</v>
      </c>
      <c r="B62" s="168" t="s">
        <v>808</v>
      </c>
      <c r="C62" s="137">
        <v>101</v>
      </c>
      <c r="D62" s="137" t="s">
        <v>19</v>
      </c>
      <c r="E62" s="140">
        <v>200000</v>
      </c>
    </row>
    <row r="63" spans="1:7">
      <c r="B63" s="168" t="s">
        <v>808</v>
      </c>
      <c r="C63" s="137">
        <v>101</v>
      </c>
      <c r="D63" s="137" t="s">
        <v>126</v>
      </c>
      <c r="E63" s="140">
        <v>150000</v>
      </c>
    </row>
    <row r="64" spans="1:7">
      <c r="B64" s="168" t="s">
        <v>808</v>
      </c>
      <c r="C64" s="137">
        <v>302</v>
      </c>
      <c r="D64" s="137" t="s">
        <v>19</v>
      </c>
      <c r="E64" s="140">
        <v>200000</v>
      </c>
    </row>
    <row r="65" spans="2:6">
      <c r="B65" s="168" t="s">
        <v>808</v>
      </c>
      <c r="C65" s="137">
        <v>302</v>
      </c>
      <c r="D65" s="137" t="s">
        <v>126</v>
      </c>
      <c r="E65" s="140">
        <v>150000</v>
      </c>
    </row>
    <row r="66" spans="2:6">
      <c r="B66" s="168" t="s">
        <v>809</v>
      </c>
      <c r="C66" s="137">
        <v>402</v>
      </c>
      <c r="D66" s="137" t="s">
        <v>810</v>
      </c>
      <c r="F66" s="140">
        <v>120000</v>
      </c>
    </row>
    <row r="67" spans="2:6">
      <c r="B67" s="168" t="s">
        <v>809</v>
      </c>
      <c r="C67" s="137">
        <v>402</v>
      </c>
      <c r="D67" s="137" t="s">
        <v>73</v>
      </c>
      <c r="F67" s="140">
        <v>40000</v>
      </c>
    </row>
    <row r="68" spans="2:6">
      <c r="B68" s="168" t="s">
        <v>809</v>
      </c>
      <c r="C68" s="137">
        <v>402</v>
      </c>
      <c r="D68" s="137" t="s">
        <v>781</v>
      </c>
      <c r="F68" s="140">
        <v>25000</v>
      </c>
    </row>
    <row r="69" spans="2:6">
      <c r="B69" s="168" t="s">
        <v>809</v>
      </c>
      <c r="C69" s="137">
        <v>402</v>
      </c>
      <c r="D69" s="137" t="s">
        <v>811</v>
      </c>
      <c r="E69" s="140">
        <v>200000</v>
      </c>
    </row>
    <row r="70" spans="2:6">
      <c r="B70" s="168" t="s">
        <v>133</v>
      </c>
      <c r="C70" s="137">
        <v>301</v>
      </c>
      <c r="D70" s="137" t="s">
        <v>812</v>
      </c>
      <c r="F70" s="140">
        <v>40000</v>
      </c>
    </row>
    <row r="71" spans="2:6">
      <c r="B71" s="168" t="s">
        <v>443</v>
      </c>
      <c r="C71" s="137">
        <v>302</v>
      </c>
      <c r="D71" s="137" t="s">
        <v>126</v>
      </c>
      <c r="E71" s="140">
        <v>150000</v>
      </c>
    </row>
    <row r="72" spans="2:6">
      <c r="B72" s="168"/>
    </row>
  </sheetData>
  <autoFilter ref="A2:G71" xr:uid="{32196BFF-13BC-46AA-8B8F-8AB223F83BCD}"/>
  <mergeCells count="1">
    <mergeCell ref="A1:G1"/>
  </mergeCells>
  <phoneticPr fontId="2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2CE9-7EE6-4960-B191-89406C00DE56}">
  <sheetPr codeName="Sheet17"/>
  <dimension ref="A1:H66"/>
  <sheetViews>
    <sheetView topLeftCell="A52" zoomScale="69" workbookViewId="0">
      <selection activeCell="C54" sqref="C54"/>
    </sheetView>
  </sheetViews>
  <sheetFormatPr defaultRowHeight="14.5"/>
  <cols>
    <col min="1" max="1" width="12.453125" style="159" customWidth="1"/>
    <col min="2" max="2" width="70.81640625" style="159" customWidth="1"/>
    <col min="3" max="3" width="11.1796875" style="159" customWidth="1"/>
    <col min="4" max="4" width="13.54296875" style="159" customWidth="1"/>
    <col min="5" max="5" width="15.453125" style="159" bestFit="1" customWidth="1"/>
    <col min="6" max="6" width="13.54296875" style="159" bestFit="1" customWidth="1"/>
    <col min="7" max="7" width="10.26953125" style="159" customWidth="1"/>
    <col min="8" max="8" width="25.26953125" style="159" customWidth="1"/>
    <col min="9" max="16384" width="8.7265625" style="159"/>
  </cols>
  <sheetData>
    <row r="1" spans="1:8" s="157" customFormat="1" ht="16.5">
      <c r="A1" s="157" t="s">
        <v>157</v>
      </c>
      <c r="B1" s="157" t="s">
        <v>158</v>
      </c>
      <c r="C1" s="157" t="s">
        <v>159</v>
      </c>
      <c r="D1" s="157" t="s">
        <v>160</v>
      </c>
      <c r="E1" s="157" t="s">
        <v>161</v>
      </c>
      <c r="F1" s="157" t="s">
        <v>162</v>
      </c>
      <c r="G1" s="157" t="s">
        <v>163</v>
      </c>
      <c r="H1" s="157" t="s">
        <v>164</v>
      </c>
    </row>
    <row r="2" spans="1:8" ht="16.5">
      <c r="A2" s="158" t="s">
        <v>816</v>
      </c>
      <c r="B2" s="158"/>
      <c r="C2" s="158"/>
      <c r="D2" s="158"/>
      <c r="E2" s="158"/>
      <c r="F2" s="158"/>
      <c r="G2" s="158" t="s">
        <v>441</v>
      </c>
      <c r="H2" s="158"/>
    </row>
    <row r="3" spans="1:8" ht="16.5">
      <c r="A3" s="160">
        <v>46149</v>
      </c>
      <c r="B3" s="158" t="s">
        <v>817</v>
      </c>
      <c r="C3" s="170" t="s">
        <v>41</v>
      </c>
      <c r="D3" s="158"/>
      <c r="E3" s="158">
        <v>775</v>
      </c>
      <c r="F3" s="158"/>
      <c r="G3" s="158" t="s">
        <v>441</v>
      </c>
      <c r="H3" s="158"/>
    </row>
    <row r="4" spans="1:8" ht="16.5">
      <c r="A4" s="160">
        <v>46150</v>
      </c>
      <c r="B4" s="158" t="s">
        <v>818</v>
      </c>
      <c r="C4" s="170" t="s">
        <v>365</v>
      </c>
      <c r="D4" s="158">
        <v>303</v>
      </c>
      <c r="E4" s="158">
        <v>70</v>
      </c>
      <c r="F4" s="158">
        <v>200</v>
      </c>
      <c r="G4" s="158" t="s">
        <v>441</v>
      </c>
      <c r="H4" s="158"/>
    </row>
    <row r="5" spans="1:8" ht="16.5">
      <c r="A5" s="158"/>
      <c r="B5" s="158" t="s">
        <v>819</v>
      </c>
      <c r="C5" s="170" t="s">
        <v>202</v>
      </c>
      <c r="D5" s="158">
        <v>302</v>
      </c>
      <c r="E5" s="158">
        <v>180</v>
      </c>
      <c r="F5" s="158"/>
      <c r="G5" s="158" t="s">
        <v>168</v>
      </c>
      <c r="H5" s="158"/>
    </row>
    <row r="6" spans="1:8" ht="16.5">
      <c r="A6" s="160">
        <v>46151</v>
      </c>
      <c r="B6" s="158" t="s">
        <v>820</v>
      </c>
      <c r="C6" s="170" t="s">
        <v>41</v>
      </c>
      <c r="D6" s="158">
        <v>101</v>
      </c>
      <c r="E6" s="158">
        <v>275</v>
      </c>
      <c r="F6" s="158"/>
      <c r="G6" s="158" t="s">
        <v>168</v>
      </c>
      <c r="H6" s="158"/>
    </row>
    <row r="7" spans="1:8" ht="16.5">
      <c r="A7" s="158"/>
      <c r="B7" s="158" t="s">
        <v>34</v>
      </c>
      <c r="C7" s="170" t="s">
        <v>448</v>
      </c>
      <c r="D7" s="158">
        <v>203</v>
      </c>
      <c r="E7" s="158"/>
      <c r="F7" s="158">
        <v>200</v>
      </c>
      <c r="G7" s="158" t="s">
        <v>168</v>
      </c>
      <c r="H7" s="158"/>
    </row>
    <row r="8" spans="1:8" ht="16.5">
      <c r="A8" s="160">
        <v>46152</v>
      </c>
      <c r="B8" s="158" t="s">
        <v>821</v>
      </c>
      <c r="C8" s="170" t="s">
        <v>41</v>
      </c>
      <c r="D8" s="158">
        <v>204</v>
      </c>
      <c r="E8" s="158">
        <v>125</v>
      </c>
      <c r="F8" s="158"/>
      <c r="G8" s="158" t="s">
        <v>168</v>
      </c>
      <c r="H8" s="158"/>
    </row>
    <row r="9" spans="1:8" ht="16.5">
      <c r="A9" s="160"/>
      <c r="B9" s="158" t="s">
        <v>822</v>
      </c>
      <c r="C9" s="170" t="s">
        <v>41</v>
      </c>
      <c r="D9" s="161">
        <v>304504</v>
      </c>
      <c r="E9" s="158">
        <v>400</v>
      </c>
      <c r="F9" s="158"/>
      <c r="G9" s="158" t="s">
        <v>441</v>
      </c>
      <c r="H9" s="158"/>
    </row>
    <row r="10" spans="1:8" ht="16.5">
      <c r="A10" s="158"/>
      <c r="B10" s="158" t="s">
        <v>823</v>
      </c>
      <c r="C10" s="170" t="s">
        <v>41</v>
      </c>
      <c r="D10" s="158"/>
      <c r="E10" s="158">
        <v>45</v>
      </c>
      <c r="F10" s="158"/>
      <c r="G10" s="158" t="s">
        <v>441</v>
      </c>
      <c r="H10" s="158"/>
    </row>
    <row r="11" spans="1:8" ht="16.5">
      <c r="A11" s="158"/>
      <c r="B11" s="158" t="s">
        <v>824</v>
      </c>
      <c r="C11" s="170" t="s">
        <v>446</v>
      </c>
      <c r="D11" s="158">
        <v>206</v>
      </c>
      <c r="E11" s="158">
        <v>70</v>
      </c>
      <c r="F11" s="158"/>
      <c r="G11" s="158" t="s">
        <v>441</v>
      </c>
      <c r="H11" s="158"/>
    </row>
    <row r="12" spans="1:8" ht="16.5">
      <c r="A12" s="160">
        <v>46153</v>
      </c>
      <c r="B12" s="158" t="s">
        <v>825</v>
      </c>
      <c r="C12" s="158" t="s">
        <v>438</v>
      </c>
      <c r="D12" s="158"/>
      <c r="E12" s="158">
        <v>119</v>
      </c>
      <c r="F12" s="158"/>
      <c r="G12" s="158" t="s">
        <v>168</v>
      </c>
      <c r="H12" s="158"/>
    </row>
    <row r="13" spans="1:8" ht="16.5">
      <c r="A13" s="160">
        <v>46154</v>
      </c>
      <c r="B13" s="158" t="s">
        <v>826</v>
      </c>
      <c r="C13" s="170" t="s">
        <v>202</v>
      </c>
      <c r="D13" s="161">
        <v>101301</v>
      </c>
      <c r="E13" s="158">
        <v>70</v>
      </c>
      <c r="F13" s="158"/>
      <c r="G13" s="158" t="s">
        <v>441</v>
      </c>
      <c r="H13" s="158"/>
    </row>
    <row r="14" spans="1:8" ht="16.5">
      <c r="A14" s="158"/>
      <c r="B14" s="158" t="s">
        <v>34</v>
      </c>
      <c r="C14" s="170" t="s">
        <v>202</v>
      </c>
      <c r="D14" s="161">
        <v>301</v>
      </c>
      <c r="E14" s="158"/>
      <c r="F14" s="158">
        <v>150</v>
      </c>
      <c r="G14" s="158" t="s">
        <v>168</v>
      </c>
      <c r="H14" s="158"/>
    </row>
    <row r="15" spans="1:8" ht="16.5">
      <c r="A15" s="160"/>
      <c r="B15" s="158" t="s">
        <v>650</v>
      </c>
      <c r="C15" s="170" t="s">
        <v>12</v>
      </c>
      <c r="D15" s="158">
        <v>302</v>
      </c>
      <c r="E15" s="158">
        <v>120</v>
      </c>
      <c r="F15" s="158"/>
      <c r="G15" s="158" t="s">
        <v>168</v>
      </c>
      <c r="H15" s="158"/>
    </row>
    <row r="16" spans="1:8" ht="16.5">
      <c r="A16" s="160">
        <v>46155</v>
      </c>
      <c r="B16" s="158" t="s">
        <v>827</v>
      </c>
      <c r="C16" s="170" t="s">
        <v>456</v>
      </c>
      <c r="D16" s="158">
        <v>101</v>
      </c>
      <c r="E16" s="158">
        <v>85</v>
      </c>
      <c r="F16" s="158"/>
      <c r="G16" s="158" t="s">
        <v>168</v>
      </c>
      <c r="H16" s="158"/>
    </row>
    <row r="17" spans="1:8" ht="16.5">
      <c r="A17" s="158"/>
      <c r="B17" s="158" t="s">
        <v>555</v>
      </c>
      <c r="C17" s="170" t="s">
        <v>80</v>
      </c>
      <c r="D17" s="158">
        <v>503</v>
      </c>
      <c r="E17" s="158">
        <v>35</v>
      </c>
      <c r="F17" s="158"/>
      <c r="G17" s="158" t="s">
        <v>168</v>
      </c>
      <c r="H17" s="158"/>
    </row>
    <row r="18" spans="1:8" ht="16.5">
      <c r="A18" s="158"/>
      <c r="B18" s="158" t="s">
        <v>828</v>
      </c>
      <c r="C18" s="158"/>
      <c r="D18" s="158"/>
      <c r="E18" s="158">
        <v>15</v>
      </c>
      <c r="F18" s="158"/>
      <c r="G18" s="158" t="s">
        <v>168</v>
      </c>
      <c r="H18" s="158"/>
    </row>
    <row r="19" spans="1:8" ht="16.5">
      <c r="A19" s="160">
        <v>46158</v>
      </c>
      <c r="B19" s="158" t="s">
        <v>829</v>
      </c>
      <c r="C19" s="170" t="s">
        <v>170</v>
      </c>
      <c r="D19" s="158">
        <v>101</v>
      </c>
      <c r="E19" s="158">
        <v>65</v>
      </c>
      <c r="F19" s="158"/>
      <c r="G19" s="158" t="s">
        <v>168</v>
      </c>
      <c r="H19" s="158"/>
    </row>
    <row r="20" spans="1:8" ht="16.5">
      <c r="A20" s="158"/>
      <c r="B20" s="158" t="s">
        <v>830</v>
      </c>
      <c r="C20" s="170" t="s">
        <v>448</v>
      </c>
      <c r="D20" s="158">
        <v>203</v>
      </c>
      <c r="E20" s="158">
        <v>40</v>
      </c>
      <c r="F20" s="158"/>
      <c r="G20" s="158" t="s">
        <v>168</v>
      </c>
      <c r="H20" s="158"/>
    </row>
    <row r="21" spans="1:8" ht="16.5">
      <c r="A21" s="158"/>
      <c r="B21" s="158" t="s">
        <v>831</v>
      </c>
      <c r="C21" s="158" t="s">
        <v>438</v>
      </c>
      <c r="D21" s="158"/>
      <c r="E21" s="158">
        <v>30</v>
      </c>
      <c r="F21" s="158"/>
      <c r="G21" s="158" t="s">
        <v>441</v>
      </c>
      <c r="H21" s="158"/>
    </row>
    <row r="22" spans="1:8" ht="16.5">
      <c r="A22" s="160">
        <v>46159</v>
      </c>
      <c r="B22" s="158" t="s">
        <v>832</v>
      </c>
      <c r="C22" s="170" t="s">
        <v>187</v>
      </c>
      <c r="D22" s="158">
        <v>101</v>
      </c>
      <c r="E22" s="158">
        <v>55</v>
      </c>
      <c r="F22" s="158"/>
      <c r="G22" s="158" t="s">
        <v>441</v>
      </c>
      <c r="H22" s="158"/>
    </row>
    <row r="23" spans="1:8" ht="16.5">
      <c r="A23" s="160"/>
      <c r="B23" s="158" t="s">
        <v>833</v>
      </c>
      <c r="C23" s="170" t="s">
        <v>76</v>
      </c>
      <c r="D23" s="158">
        <v>701</v>
      </c>
      <c r="E23" s="158">
        <v>70</v>
      </c>
      <c r="F23" s="158"/>
      <c r="G23" s="158" t="s">
        <v>441</v>
      </c>
      <c r="H23" s="158"/>
    </row>
    <row r="24" spans="1:8" ht="16.5">
      <c r="A24" s="160"/>
      <c r="B24" s="158" t="s">
        <v>834</v>
      </c>
      <c r="C24" s="170" t="s">
        <v>175</v>
      </c>
      <c r="D24" s="158">
        <v>202</v>
      </c>
      <c r="E24" s="158">
        <v>25</v>
      </c>
      <c r="F24" s="158"/>
      <c r="G24" s="158" t="s">
        <v>168</v>
      </c>
      <c r="H24" s="158"/>
    </row>
    <row r="25" spans="1:8" ht="16.5">
      <c r="A25" s="158"/>
      <c r="B25" s="158" t="s">
        <v>835</v>
      </c>
      <c r="C25" s="170" t="s">
        <v>80</v>
      </c>
      <c r="D25" s="161">
        <v>501503</v>
      </c>
      <c r="E25" s="158">
        <v>80</v>
      </c>
      <c r="F25" s="158"/>
      <c r="G25" s="158" t="s">
        <v>441</v>
      </c>
      <c r="H25" s="158"/>
    </row>
    <row r="26" spans="1:8" ht="16.5">
      <c r="A26" s="160">
        <v>46161</v>
      </c>
      <c r="B26" s="158" t="s">
        <v>836</v>
      </c>
      <c r="C26" s="170" t="s">
        <v>174</v>
      </c>
      <c r="D26" s="158"/>
      <c r="E26" s="158">
        <v>140</v>
      </c>
      <c r="F26" s="158"/>
      <c r="G26" s="158" t="s">
        <v>441</v>
      </c>
      <c r="H26" s="158"/>
    </row>
    <row r="27" spans="1:8" ht="16.5">
      <c r="A27" s="158"/>
      <c r="B27" s="158" t="s">
        <v>346</v>
      </c>
      <c r="C27" s="170" t="s">
        <v>202</v>
      </c>
      <c r="D27" s="161"/>
      <c r="E27" s="158">
        <v>80</v>
      </c>
      <c r="F27" s="158"/>
      <c r="G27" s="158" t="s">
        <v>441</v>
      </c>
      <c r="H27" s="158"/>
    </row>
    <row r="28" spans="1:8" ht="16.5">
      <c r="A28" s="160"/>
      <c r="B28" s="158" t="s">
        <v>337</v>
      </c>
      <c r="C28" s="170" t="s">
        <v>175</v>
      </c>
      <c r="D28" s="161"/>
      <c r="E28" s="158">
        <v>30</v>
      </c>
      <c r="F28" s="158"/>
      <c r="G28" s="158" t="s">
        <v>441</v>
      </c>
      <c r="H28" s="158"/>
    </row>
    <row r="29" spans="1:8" ht="16.5">
      <c r="A29" s="160">
        <v>46162</v>
      </c>
      <c r="B29" s="158" t="s">
        <v>34</v>
      </c>
      <c r="C29" s="170" t="s">
        <v>448</v>
      </c>
      <c r="D29" s="161">
        <v>503</v>
      </c>
      <c r="E29" s="158"/>
      <c r="F29" s="158">
        <v>200</v>
      </c>
      <c r="G29" s="158" t="s">
        <v>441</v>
      </c>
      <c r="H29" s="158"/>
    </row>
    <row r="30" spans="1:8" ht="16.5">
      <c r="A30" s="160">
        <v>46164</v>
      </c>
      <c r="B30" s="158" t="s">
        <v>837</v>
      </c>
      <c r="C30" s="170" t="s">
        <v>80</v>
      </c>
      <c r="D30" s="161"/>
      <c r="E30" s="158">
        <v>45</v>
      </c>
      <c r="F30" s="158"/>
      <c r="G30" s="158" t="s">
        <v>441</v>
      </c>
      <c r="H30" s="158"/>
    </row>
    <row r="31" spans="1:8" ht="16.5">
      <c r="A31" s="158"/>
      <c r="B31" s="158" t="s">
        <v>838</v>
      </c>
      <c r="C31" s="170" t="s">
        <v>76</v>
      </c>
      <c r="D31" s="161"/>
      <c r="E31" s="158">
        <v>100</v>
      </c>
      <c r="F31" s="158"/>
      <c r="G31" s="158" t="s">
        <v>441</v>
      </c>
      <c r="H31" s="158"/>
    </row>
    <row r="32" spans="1:8" ht="16.5">
      <c r="A32" s="160">
        <v>46165</v>
      </c>
      <c r="B32" s="158" t="s">
        <v>839</v>
      </c>
      <c r="C32" s="170" t="s">
        <v>76</v>
      </c>
      <c r="D32" s="161">
        <v>202</v>
      </c>
      <c r="E32" s="158">
        <v>15</v>
      </c>
      <c r="F32" s="158"/>
      <c r="G32" s="158" t="s">
        <v>441</v>
      </c>
      <c r="H32" s="158"/>
    </row>
    <row r="33" spans="1:8" ht="16.5">
      <c r="A33" s="158"/>
      <c r="B33" s="158" t="s">
        <v>453</v>
      </c>
      <c r="C33" s="170" t="s">
        <v>840</v>
      </c>
      <c r="D33" s="161"/>
      <c r="E33" s="158">
        <v>300</v>
      </c>
      <c r="F33" s="158"/>
      <c r="G33" s="158" t="s">
        <v>441</v>
      </c>
      <c r="H33" s="158"/>
    </row>
    <row r="34" spans="1:8" ht="16.5">
      <c r="A34" s="160"/>
      <c r="B34" s="158" t="s">
        <v>841</v>
      </c>
      <c r="C34" s="170" t="s">
        <v>170</v>
      </c>
      <c r="D34" s="161"/>
      <c r="E34" s="158">
        <v>362</v>
      </c>
      <c r="F34" s="158"/>
      <c r="G34" s="158" t="s">
        <v>441</v>
      </c>
      <c r="H34" s="158"/>
    </row>
    <row r="35" spans="1:8" ht="16.5">
      <c r="A35" s="160">
        <v>46168</v>
      </c>
      <c r="B35" s="158" t="s">
        <v>842</v>
      </c>
      <c r="C35" s="170" t="s">
        <v>446</v>
      </c>
      <c r="D35" s="161">
        <v>506</v>
      </c>
      <c r="E35" s="158">
        <v>60</v>
      </c>
      <c r="F35" s="158"/>
      <c r="G35" s="158" t="s">
        <v>441</v>
      </c>
      <c r="H35" s="158"/>
    </row>
    <row r="36" spans="1:8" ht="16.5">
      <c r="A36" s="160"/>
      <c r="B36" s="158" t="s">
        <v>843</v>
      </c>
      <c r="C36" s="170" t="s">
        <v>448</v>
      </c>
      <c r="D36" s="161"/>
      <c r="E36" s="158">
        <v>62</v>
      </c>
      <c r="F36" s="158">
        <v>100</v>
      </c>
      <c r="G36" s="158" t="s">
        <v>441</v>
      </c>
      <c r="H36" s="158"/>
    </row>
    <row r="37" spans="1:8" ht="16.5">
      <c r="A37" s="160"/>
      <c r="B37" s="158" t="s">
        <v>844</v>
      </c>
      <c r="C37" s="170" t="s">
        <v>80</v>
      </c>
      <c r="D37" s="161">
        <v>401</v>
      </c>
      <c r="E37" s="158">
        <v>30</v>
      </c>
      <c r="F37" s="158"/>
      <c r="G37" s="158" t="s">
        <v>441</v>
      </c>
      <c r="H37" s="158"/>
    </row>
    <row r="38" spans="1:8" ht="16.5">
      <c r="A38" s="160">
        <v>46169</v>
      </c>
      <c r="B38" s="158" t="s">
        <v>845</v>
      </c>
      <c r="C38" s="170" t="s">
        <v>187</v>
      </c>
      <c r="D38" s="161"/>
      <c r="E38" s="158">
        <v>150</v>
      </c>
      <c r="F38" s="158"/>
      <c r="G38" s="158" t="s">
        <v>441</v>
      </c>
      <c r="H38" s="158"/>
    </row>
    <row r="39" spans="1:8" ht="16.5">
      <c r="A39" s="160"/>
      <c r="B39" s="158" t="s">
        <v>453</v>
      </c>
      <c r="C39" s="170" t="s">
        <v>846</v>
      </c>
      <c r="D39" s="161"/>
      <c r="E39" s="158">
        <v>240</v>
      </c>
      <c r="F39" s="158"/>
      <c r="G39" s="158" t="s">
        <v>441</v>
      </c>
      <c r="H39" s="158"/>
    </row>
    <row r="40" spans="1:8" ht="16.5">
      <c r="A40" s="160">
        <v>46170</v>
      </c>
      <c r="B40" s="166" t="s">
        <v>847</v>
      </c>
      <c r="C40" s="170" t="s">
        <v>76</v>
      </c>
      <c r="D40" s="167">
        <v>101</v>
      </c>
      <c r="E40" s="166"/>
      <c r="F40" s="166">
        <v>500</v>
      </c>
      <c r="G40" s="158" t="s">
        <v>441</v>
      </c>
      <c r="H40" s="158" t="s">
        <v>455</v>
      </c>
    </row>
    <row r="41" spans="1:8" ht="16.5">
      <c r="A41" s="158"/>
      <c r="B41" s="166" t="s">
        <v>847</v>
      </c>
      <c r="C41" s="170" t="s">
        <v>76</v>
      </c>
      <c r="D41" s="167">
        <v>501</v>
      </c>
      <c r="E41" s="166"/>
      <c r="F41" s="166">
        <v>500</v>
      </c>
      <c r="G41" s="158" t="s">
        <v>441</v>
      </c>
      <c r="H41" s="158" t="s">
        <v>455</v>
      </c>
    </row>
    <row r="42" spans="1:8" ht="16.5">
      <c r="A42" s="158"/>
      <c r="B42" s="166" t="s">
        <v>19</v>
      </c>
      <c r="C42" s="170" t="s">
        <v>365</v>
      </c>
      <c r="D42" s="167">
        <v>101</v>
      </c>
      <c r="E42" s="166"/>
      <c r="F42" s="166">
        <v>150</v>
      </c>
      <c r="G42" s="158" t="s">
        <v>441</v>
      </c>
      <c r="H42" s="158"/>
    </row>
    <row r="43" spans="1:8" ht="16.5">
      <c r="A43" s="160">
        <v>46171</v>
      </c>
      <c r="B43" s="158" t="s">
        <v>848</v>
      </c>
      <c r="C43" s="170" t="s">
        <v>80</v>
      </c>
      <c r="D43" s="161">
        <v>401</v>
      </c>
      <c r="E43" s="158">
        <v>110</v>
      </c>
      <c r="F43" s="158"/>
      <c r="G43" s="158" t="s">
        <v>441</v>
      </c>
      <c r="H43" s="158"/>
    </row>
    <row r="44" spans="1:8" ht="16.5">
      <c r="A44" s="160"/>
      <c r="B44" s="158" t="s">
        <v>849</v>
      </c>
      <c r="C44" s="170" t="s">
        <v>80</v>
      </c>
      <c r="D44" s="161">
        <v>203</v>
      </c>
      <c r="E44" s="158">
        <v>80</v>
      </c>
      <c r="F44" s="158"/>
      <c r="G44" s="158" t="s">
        <v>441</v>
      </c>
      <c r="H44" s="158"/>
    </row>
    <row r="45" spans="1:8" ht="16.5">
      <c r="A45" s="160"/>
      <c r="B45" s="158" t="s">
        <v>850</v>
      </c>
      <c r="C45" s="170" t="s">
        <v>167</v>
      </c>
      <c r="D45" s="161">
        <v>101</v>
      </c>
      <c r="E45" s="158">
        <v>100</v>
      </c>
      <c r="F45" s="158"/>
      <c r="G45" s="158" t="s">
        <v>441</v>
      </c>
      <c r="H45" s="158"/>
    </row>
    <row r="46" spans="1:8" ht="16.5">
      <c r="A46" s="160"/>
      <c r="B46" s="158" t="s">
        <v>851</v>
      </c>
      <c r="C46" s="170" t="s">
        <v>351</v>
      </c>
      <c r="D46" s="161">
        <v>101</v>
      </c>
      <c r="E46" s="158">
        <v>110</v>
      </c>
      <c r="F46" s="158"/>
      <c r="G46" s="158" t="s">
        <v>441</v>
      </c>
      <c r="H46" s="158"/>
    </row>
    <row r="47" spans="1:8" ht="16.5">
      <c r="A47" s="160"/>
      <c r="B47" s="158" t="s">
        <v>852</v>
      </c>
      <c r="C47" s="170" t="s">
        <v>853</v>
      </c>
      <c r="D47" s="161"/>
      <c r="E47" s="158">
        <v>50</v>
      </c>
      <c r="F47" s="158"/>
      <c r="G47" s="158" t="s">
        <v>441</v>
      </c>
      <c r="H47" s="158"/>
    </row>
    <row r="48" spans="1:8" ht="16.5">
      <c r="A48" s="160"/>
      <c r="B48" s="158" t="s">
        <v>854</v>
      </c>
      <c r="C48" s="170" t="s">
        <v>351</v>
      </c>
      <c r="D48" s="161">
        <v>202</v>
      </c>
      <c r="E48" s="158">
        <v>230</v>
      </c>
      <c r="F48" s="158"/>
      <c r="G48" s="158" t="s">
        <v>441</v>
      </c>
      <c r="H48" s="158"/>
    </row>
    <row r="49" spans="1:8" ht="16.5">
      <c r="A49" s="160"/>
      <c r="B49" s="158" t="s">
        <v>855</v>
      </c>
      <c r="C49" s="170" t="s">
        <v>30</v>
      </c>
      <c r="D49" s="161"/>
      <c r="E49" s="158">
        <v>40</v>
      </c>
      <c r="F49" s="158"/>
      <c r="G49" s="158" t="s">
        <v>441</v>
      </c>
      <c r="H49" s="158"/>
    </row>
    <row r="50" spans="1:8" ht="16.5">
      <c r="A50" s="160">
        <v>46172</v>
      </c>
      <c r="B50" s="158" t="s">
        <v>844</v>
      </c>
      <c r="C50" s="170" t="s">
        <v>170</v>
      </c>
      <c r="D50" s="161">
        <v>204</v>
      </c>
      <c r="E50" s="158">
        <v>30</v>
      </c>
      <c r="F50" s="158"/>
      <c r="G50" s="158" t="s">
        <v>441</v>
      </c>
      <c r="H50" s="158"/>
    </row>
    <row r="51" spans="1:8" ht="16.5">
      <c r="A51" s="158"/>
      <c r="B51" s="166" t="s">
        <v>34</v>
      </c>
      <c r="C51" s="170" t="s">
        <v>299</v>
      </c>
      <c r="D51" s="167">
        <v>201</v>
      </c>
      <c r="E51" s="166"/>
      <c r="F51" s="166">
        <v>150</v>
      </c>
      <c r="G51" s="158" t="s">
        <v>441</v>
      </c>
      <c r="H51" s="158"/>
    </row>
    <row r="52" spans="1:8" ht="16.5">
      <c r="A52" s="158"/>
      <c r="B52" s="166" t="s">
        <v>34</v>
      </c>
      <c r="C52" s="170" t="s">
        <v>170</v>
      </c>
      <c r="D52" s="167">
        <v>203</v>
      </c>
      <c r="E52" s="166"/>
      <c r="F52" s="166">
        <v>150</v>
      </c>
      <c r="G52" s="158" t="s">
        <v>441</v>
      </c>
      <c r="H52" s="158" t="s">
        <v>455</v>
      </c>
    </row>
    <row r="53" spans="1:8" ht="16.5">
      <c r="A53" s="158"/>
      <c r="B53" s="158" t="s">
        <v>856</v>
      </c>
      <c r="C53" s="170" t="s">
        <v>808</v>
      </c>
      <c r="D53" s="161"/>
      <c r="E53" s="158">
        <v>240</v>
      </c>
      <c r="F53" s="158"/>
      <c r="G53" s="158" t="s">
        <v>441</v>
      </c>
      <c r="H53" s="158"/>
    </row>
    <row r="54" spans="1:8" ht="16.5">
      <c r="A54" s="160">
        <v>46174</v>
      </c>
      <c r="B54" s="158" t="s">
        <v>857</v>
      </c>
      <c r="C54" s="170" t="s">
        <v>858</v>
      </c>
      <c r="D54" s="161"/>
      <c r="E54" s="158">
        <v>260</v>
      </c>
      <c r="F54" s="158">
        <v>250</v>
      </c>
      <c r="G54" s="158" t="s">
        <v>441</v>
      </c>
      <c r="H54" s="158"/>
    </row>
    <row r="55" spans="1:8" ht="16.5">
      <c r="A55" s="158"/>
      <c r="B55" s="158" t="s">
        <v>859</v>
      </c>
      <c r="C55" s="170" t="s">
        <v>808</v>
      </c>
      <c r="D55" s="161"/>
      <c r="E55" s="158">
        <v>80</v>
      </c>
      <c r="F55" s="158"/>
      <c r="G55" s="158" t="s">
        <v>441</v>
      </c>
      <c r="H55" s="158"/>
    </row>
    <row r="56" spans="1:8" ht="16.5">
      <c r="A56" s="160">
        <v>46175</v>
      </c>
      <c r="B56" s="160" t="s">
        <v>860</v>
      </c>
      <c r="C56" s="170" t="s">
        <v>448</v>
      </c>
      <c r="D56" s="161">
        <v>301</v>
      </c>
      <c r="E56" s="158">
        <v>75</v>
      </c>
      <c r="F56" s="158"/>
      <c r="G56" s="158" t="s">
        <v>441</v>
      </c>
      <c r="H56" s="158"/>
    </row>
    <row r="57" spans="1:8" ht="16.5">
      <c r="A57" s="158"/>
      <c r="B57" s="158" t="s">
        <v>861</v>
      </c>
      <c r="C57" s="170" t="s">
        <v>808</v>
      </c>
      <c r="D57" s="161">
        <v>202</v>
      </c>
      <c r="E57" s="158"/>
      <c r="F57" s="158">
        <v>300</v>
      </c>
      <c r="G57" s="158" t="s">
        <v>441</v>
      </c>
      <c r="H57" s="158"/>
    </row>
    <row r="58" spans="1:8" ht="16.5">
      <c r="A58" s="158"/>
      <c r="B58" s="158" t="s">
        <v>862</v>
      </c>
      <c r="C58" s="170" t="s">
        <v>170</v>
      </c>
      <c r="D58" s="161">
        <v>101</v>
      </c>
      <c r="E58" s="158"/>
      <c r="F58" s="158">
        <v>250</v>
      </c>
      <c r="G58" s="158" t="s">
        <v>441</v>
      </c>
      <c r="H58" s="158"/>
    </row>
    <row r="59" spans="1:8" ht="16.5">
      <c r="A59" s="160">
        <v>46177</v>
      </c>
      <c r="B59" s="158" t="s">
        <v>863</v>
      </c>
      <c r="C59" s="170" t="s">
        <v>170</v>
      </c>
      <c r="D59" s="161"/>
      <c r="E59" s="158">
        <v>225</v>
      </c>
      <c r="F59" s="158"/>
      <c r="G59" s="158" t="s">
        <v>441</v>
      </c>
      <c r="H59" s="158"/>
    </row>
    <row r="60" spans="1:8" ht="16.5">
      <c r="A60" s="158"/>
      <c r="B60" s="158" t="s">
        <v>864</v>
      </c>
      <c r="C60" s="170" t="s">
        <v>865</v>
      </c>
      <c r="D60" s="161"/>
      <c r="E60" s="158">
        <v>165</v>
      </c>
      <c r="F60" s="158"/>
      <c r="G60" s="158" t="s">
        <v>441</v>
      </c>
      <c r="H60" s="158"/>
    </row>
    <row r="61" spans="1:8" ht="16.5">
      <c r="A61" s="158"/>
      <c r="B61" s="158" t="s">
        <v>866</v>
      </c>
      <c r="C61" s="170" t="s">
        <v>276</v>
      </c>
      <c r="D61" s="161">
        <v>202</v>
      </c>
      <c r="E61" s="158">
        <v>205</v>
      </c>
      <c r="F61" s="158"/>
      <c r="G61" s="158" t="s">
        <v>441</v>
      </c>
      <c r="H61" s="158" t="s">
        <v>867</v>
      </c>
    </row>
    <row r="62" spans="1:8" ht="16.5">
      <c r="A62" s="158"/>
      <c r="B62" s="158" t="s">
        <v>868</v>
      </c>
      <c r="C62" s="170" t="s">
        <v>80</v>
      </c>
      <c r="D62" s="161">
        <v>701</v>
      </c>
      <c r="E62" s="158">
        <v>55</v>
      </c>
      <c r="F62" s="158"/>
      <c r="G62" s="158" t="s">
        <v>441</v>
      </c>
      <c r="H62" s="158"/>
    </row>
    <row r="63" spans="1:8" ht="16.5">
      <c r="A63" s="160">
        <v>46178</v>
      </c>
      <c r="B63" s="158" t="s">
        <v>869</v>
      </c>
      <c r="C63" s="170" t="s">
        <v>202</v>
      </c>
      <c r="D63" s="161">
        <v>301</v>
      </c>
      <c r="E63" s="158">
        <v>50</v>
      </c>
      <c r="F63" s="158"/>
      <c r="G63" s="158" t="s">
        <v>441</v>
      </c>
      <c r="H63" s="158"/>
    </row>
    <row r="64" spans="1:8" ht="16.5">
      <c r="A64" s="158"/>
      <c r="B64" s="158" t="s">
        <v>870</v>
      </c>
      <c r="C64" s="170" t="s">
        <v>170</v>
      </c>
      <c r="D64" s="161">
        <v>101</v>
      </c>
      <c r="E64" s="158"/>
      <c r="F64" s="158">
        <v>150</v>
      </c>
      <c r="G64" s="158" t="s">
        <v>441</v>
      </c>
      <c r="H64" s="158"/>
    </row>
    <row r="65" spans="1:8" ht="16.5">
      <c r="A65" s="158"/>
      <c r="B65" s="158"/>
      <c r="C65" s="158"/>
      <c r="D65" s="158"/>
      <c r="E65" s="158"/>
      <c r="F65" s="158"/>
      <c r="G65" s="158" t="s">
        <v>168</v>
      </c>
      <c r="H65" s="158"/>
    </row>
    <row r="66" spans="1:8" ht="16.5">
      <c r="A66" s="158"/>
      <c r="B66" s="162" t="s">
        <v>196</v>
      </c>
      <c r="C66" s="162"/>
      <c r="D66" s="162"/>
      <c r="E66" s="162">
        <f>SUM(E2:E65)</f>
        <v>6468</v>
      </c>
      <c r="F66" s="162">
        <f>SUM(F2:F65)</f>
        <v>3250</v>
      </c>
      <c r="G66" s="162"/>
      <c r="H66" s="16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4E17-9325-4F8D-AFD0-BC1412860DCB}">
  <sheetPr codeName="Sheet18" filterMode="1"/>
  <dimension ref="A1:J23"/>
  <sheetViews>
    <sheetView workbookViewId="0">
      <selection activeCell="D51" sqref="D51"/>
    </sheetView>
  </sheetViews>
  <sheetFormatPr defaultRowHeight="14"/>
  <cols>
    <col min="1" max="1" width="16.90625" style="163" customWidth="1"/>
    <col min="2" max="2" width="25.08984375" style="163" customWidth="1"/>
    <col min="3" max="3" width="24.81640625" style="163" customWidth="1"/>
    <col min="4" max="7" width="8.7265625" style="163"/>
    <col min="8" max="8" width="21.81640625" style="163" customWidth="1"/>
    <col min="9" max="16384" width="8.7265625" style="163"/>
  </cols>
  <sheetData>
    <row r="1" spans="1:10">
      <c r="A1" s="163" t="s">
        <v>871</v>
      </c>
    </row>
    <row r="2" spans="1:10">
      <c r="A2" s="163" t="s">
        <v>873</v>
      </c>
      <c r="B2" s="163" t="s">
        <v>874</v>
      </c>
      <c r="C2" s="163" t="s">
        <v>875</v>
      </c>
    </row>
    <row r="3" spans="1:10" hidden="1">
      <c r="A3" s="171" t="s">
        <v>872</v>
      </c>
      <c r="B3" s="163">
        <v>1</v>
      </c>
      <c r="C3" s="163" t="s">
        <v>876</v>
      </c>
      <c r="I3" s="163" t="s">
        <v>569</v>
      </c>
      <c r="J3" s="163" t="s">
        <v>879</v>
      </c>
    </row>
    <row r="4" spans="1:10" hidden="1">
      <c r="A4" s="171" t="s">
        <v>877</v>
      </c>
      <c r="B4" s="163">
        <v>1</v>
      </c>
      <c r="C4" s="163" t="s">
        <v>889</v>
      </c>
      <c r="I4" s="163" t="s">
        <v>51</v>
      </c>
      <c r="J4" s="163" t="s">
        <v>879</v>
      </c>
    </row>
    <row r="5" spans="1:10" hidden="1">
      <c r="A5" s="171" t="s">
        <v>878</v>
      </c>
      <c r="B5" s="163">
        <v>1</v>
      </c>
      <c r="C5" s="163" t="s">
        <v>890</v>
      </c>
      <c r="I5" s="163" t="s">
        <v>35</v>
      </c>
      <c r="J5" s="163" t="s">
        <v>879</v>
      </c>
    </row>
    <row r="6" spans="1:10" hidden="1">
      <c r="A6" s="171" t="s">
        <v>880</v>
      </c>
      <c r="B6" s="163">
        <v>1</v>
      </c>
      <c r="C6" s="163" t="s">
        <v>881</v>
      </c>
      <c r="I6" s="163" t="s">
        <v>57</v>
      </c>
      <c r="J6" s="163" t="s">
        <v>879</v>
      </c>
    </row>
    <row r="7" spans="1:10" hidden="1">
      <c r="A7" s="171" t="s">
        <v>882</v>
      </c>
      <c r="B7" s="163">
        <v>1</v>
      </c>
      <c r="C7" s="163" t="s">
        <v>881</v>
      </c>
    </row>
    <row r="8" spans="1:10" hidden="1">
      <c r="A8" s="171" t="s">
        <v>883</v>
      </c>
      <c r="B8" s="163">
        <v>1</v>
      </c>
      <c r="C8" s="163" t="s">
        <v>884</v>
      </c>
    </row>
    <row r="9" spans="1:10" hidden="1">
      <c r="A9" s="163" t="s">
        <v>35</v>
      </c>
      <c r="B9" s="163">
        <v>1</v>
      </c>
      <c r="C9" s="163" t="s">
        <v>901</v>
      </c>
    </row>
    <row r="10" spans="1:10" hidden="1">
      <c r="A10" s="171" t="s">
        <v>885</v>
      </c>
      <c r="B10" s="163">
        <v>1</v>
      </c>
      <c r="C10" s="163" t="s">
        <v>886</v>
      </c>
    </row>
    <row r="11" spans="1:10" hidden="1">
      <c r="A11" s="171" t="s">
        <v>887</v>
      </c>
      <c r="B11" s="163">
        <v>2</v>
      </c>
      <c r="C11" s="163" t="s">
        <v>881</v>
      </c>
    </row>
    <row r="12" spans="1:10">
      <c r="A12" s="171" t="s">
        <v>149</v>
      </c>
      <c r="B12" s="163">
        <v>1</v>
      </c>
      <c r="C12" s="163" t="s">
        <v>894</v>
      </c>
    </row>
    <row r="13" spans="1:10" hidden="1">
      <c r="A13" s="171" t="s">
        <v>891</v>
      </c>
      <c r="B13" s="164" t="s">
        <v>892</v>
      </c>
      <c r="C13" s="163" t="s">
        <v>893</v>
      </c>
    </row>
    <row r="14" spans="1:10" hidden="1">
      <c r="A14" s="163" t="s">
        <v>808</v>
      </c>
      <c r="B14" s="163">
        <v>1</v>
      </c>
      <c r="C14" s="163" t="s">
        <v>888</v>
      </c>
    </row>
    <row r="15" spans="1:10" hidden="1">
      <c r="A15" s="171" t="s">
        <v>895</v>
      </c>
      <c r="B15" s="163">
        <v>1</v>
      </c>
      <c r="C15" s="163" t="s">
        <v>897</v>
      </c>
    </row>
    <row r="16" spans="1:10" hidden="1">
      <c r="A16" s="171" t="s">
        <v>44</v>
      </c>
      <c r="B16" s="163">
        <v>1</v>
      </c>
      <c r="C16" s="163" t="s">
        <v>896</v>
      </c>
    </row>
    <row r="17" spans="1:4" hidden="1">
      <c r="A17" s="171" t="s">
        <v>30</v>
      </c>
      <c r="B17" s="163">
        <v>1</v>
      </c>
      <c r="C17" s="163" t="s">
        <v>897</v>
      </c>
      <c r="D17" s="163" t="s">
        <v>898</v>
      </c>
    </row>
    <row r="18" spans="1:4" hidden="1">
      <c r="A18" s="171" t="s">
        <v>899</v>
      </c>
      <c r="B18" s="163">
        <v>1</v>
      </c>
      <c r="C18" s="163" t="s">
        <v>900</v>
      </c>
    </row>
    <row r="19" spans="1:4" hidden="1">
      <c r="A19" s="171" t="s">
        <v>33</v>
      </c>
      <c r="B19" s="163">
        <v>1</v>
      </c>
      <c r="C19" s="163" t="s">
        <v>902</v>
      </c>
    </row>
    <row r="20" spans="1:4" hidden="1">
      <c r="A20" s="171" t="s">
        <v>904</v>
      </c>
      <c r="B20" s="163">
        <v>1</v>
      </c>
      <c r="C20" s="163" t="s">
        <v>905</v>
      </c>
    </row>
    <row r="21" spans="1:4" hidden="1">
      <c r="A21" s="171" t="s">
        <v>78</v>
      </c>
      <c r="B21" s="163">
        <v>1</v>
      </c>
    </row>
    <row r="22" spans="1:4" hidden="1">
      <c r="A22" s="171" t="s">
        <v>37</v>
      </c>
      <c r="B22" s="163">
        <v>1</v>
      </c>
    </row>
    <row r="23" spans="1:4" hidden="1">
      <c r="C23" s="165" t="s">
        <v>903</v>
      </c>
    </row>
  </sheetData>
  <autoFilter ref="A2:J23" xr:uid="{4C1C4E17-9325-4F8D-AFD0-BC1412860DCB}">
    <filterColumn colId="0">
      <filters>
        <filter val="T42"/>
      </filters>
    </filterColumn>
    <sortState xmlns:xlrd2="http://schemas.microsoft.com/office/spreadsheetml/2017/richdata2" ref="A4:J4">
      <sortCondition ref="A2:A23"/>
    </sortState>
  </autoFilter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55A3-6897-41F2-9EB4-0B4A6AE237D4}">
  <sheetPr codeName="Sheet19"/>
  <dimension ref="A1:G193"/>
  <sheetViews>
    <sheetView workbookViewId="0">
      <selection activeCell="A2" sqref="A2:XFD2"/>
    </sheetView>
  </sheetViews>
  <sheetFormatPr defaultColWidth="8.7265625" defaultRowHeight="14"/>
  <cols>
    <col min="1" max="1" width="9.90625" style="148" customWidth="1"/>
    <col min="2" max="3" width="12.7265625" style="137" customWidth="1"/>
    <col min="4" max="4" width="70.6328125" style="139" customWidth="1"/>
    <col min="5" max="5" width="16.6328125" style="183" customWidth="1"/>
    <col min="6" max="6" width="16.6328125" style="184" customWidth="1"/>
    <col min="7" max="7" width="34.7265625" style="141" customWidth="1"/>
    <col min="8" max="16384" width="8.7265625" style="137"/>
  </cols>
  <sheetData>
    <row r="1" spans="1:7" s="131" customFormat="1" ht="24.5" customHeight="1">
      <c r="A1" s="268" t="s">
        <v>912</v>
      </c>
      <c r="B1" s="269"/>
      <c r="C1" s="269"/>
      <c r="D1" s="269"/>
      <c r="E1" s="269"/>
      <c r="F1" s="285"/>
      <c r="G1" s="270"/>
    </row>
    <row r="2" spans="1:7">
      <c r="A2" s="132" t="s">
        <v>1</v>
      </c>
      <c r="B2" s="133" t="s">
        <v>2</v>
      </c>
      <c r="C2" s="133" t="s">
        <v>3</v>
      </c>
      <c r="D2" s="134" t="s">
        <v>4</v>
      </c>
      <c r="E2" s="181" t="s">
        <v>5</v>
      </c>
      <c r="F2" s="182" t="s">
        <v>6</v>
      </c>
      <c r="G2" s="136" t="s">
        <v>7</v>
      </c>
    </row>
    <row r="3" spans="1:7">
      <c r="A3" s="185"/>
      <c r="B3" s="186"/>
      <c r="C3" s="187"/>
      <c r="D3" s="188"/>
      <c r="E3" s="189">
        <f>SUBTOTAL(109,E4:E105)</f>
        <v>10300000</v>
      </c>
      <c r="F3" s="189">
        <f>SUBTOTAL(109,F4:F105)</f>
        <v>9186000</v>
      </c>
      <c r="G3" s="190"/>
    </row>
    <row r="4" spans="1:7">
      <c r="A4" s="138" t="s">
        <v>913</v>
      </c>
      <c r="B4" s="168" t="s">
        <v>9</v>
      </c>
      <c r="C4" s="286">
        <v>201</v>
      </c>
      <c r="D4" s="139" t="s">
        <v>19</v>
      </c>
      <c r="E4" s="183">
        <v>300000</v>
      </c>
      <c r="G4" s="202" t="s">
        <v>914</v>
      </c>
    </row>
    <row r="5" spans="1:7">
      <c r="A5" s="137"/>
      <c r="B5" s="168" t="s">
        <v>9</v>
      </c>
      <c r="C5" s="272"/>
      <c r="D5" s="139" t="s">
        <v>34</v>
      </c>
      <c r="E5" s="183">
        <v>100000</v>
      </c>
    </row>
    <row r="6" spans="1:7">
      <c r="A6" s="137"/>
      <c r="B6" s="168" t="s">
        <v>9</v>
      </c>
      <c r="C6" s="273"/>
      <c r="D6" s="139" t="s">
        <v>498</v>
      </c>
      <c r="F6" s="184">
        <v>65000</v>
      </c>
    </row>
    <row r="7" spans="1:7">
      <c r="A7" s="137"/>
      <c r="B7" s="168" t="s">
        <v>261</v>
      </c>
      <c r="C7" s="137">
        <v>101</v>
      </c>
      <c r="D7" s="139" t="s">
        <v>19</v>
      </c>
      <c r="E7" s="183">
        <v>150000</v>
      </c>
      <c r="G7" s="141" t="s">
        <v>914</v>
      </c>
    </row>
    <row r="8" spans="1:7">
      <c r="A8" s="138"/>
      <c r="B8" s="168" t="s">
        <v>261</v>
      </c>
      <c r="C8" s="137">
        <v>101</v>
      </c>
      <c r="D8" s="139" t="s">
        <v>34</v>
      </c>
      <c r="E8" s="183">
        <v>100000</v>
      </c>
    </row>
    <row r="9" spans="1:7">
      <c r="A9" s="138"/>
      <c r="B9" s="169" t="s">
        <v>37</v>
      </c>
      <c r="C9" s="283" t="s">
        <v>915</v>
      </c>
      <c r="D9" s="139" t="s">
        <v>19</v>
      </c>
      <c r="E9" s="183">
        <v>200000</v>
      </c>
    </row>
    <row r="10" spans="1:7">
      <c r="A10" s="138"/>
      <c r="B10" s="169" t="s">
        <v>37</v>
      </c>
      <c r="C10" s="284"/>
      <c r="D10" s="139" t="s">
        <v>34</v>
      </c>
      <c r="E10" s="183">
        <v>100000</v>
      </c>
    </row>
    <row r="11" spans="1:7">
      <c r="A11" s="138" t="s">
        <v>916</v>
      </c>
      <c r="B11" s="169" t="s">
        <v>37</v>
      </c>
      <c r="C11" s="282"/>
      <c r="D11" s="139" t="s">
        <v>511</v>
      </c>
      <c r="F11" s="184">
        <v>120000</v>
      </c>
    </row>
    <row r="12" spans="1:7">
      <c r="A12" s="138"/>
      <c r="B12" s="169" t="s">
        <v>9</v>
      </c>
      <c r="C12" s="138" t="s">
        <v>506</v>
      </c>
      <c r="D12" s="139" t="s">
        <v>917</v>
      </c>
      <c r="F12" s="184">
        <v>25000</v>
      </c>
    </row>
    <row r="13" spans="1:7">
      <c r="A13" s="138"/>
      <c r="B13" s="169" t="s">
        <v>33</v>
      </c>
      <c r="C13" s="283" t="s">
        <v>814</v>
      </c>
      <c r="D13" s="139" t="s">
        <v>19</v>
      </c>
      <c r="E13" s="183">
        <v>200000</v>
      </c>
      <c r="G13" s="141" t="s">
        <v>918</v>
      </c>
    </row>
    <row r="14" spans="1:7">
      <c r="A14" s="138"/>
      <c r="B14" s="169" t="s">
        <v>33</v>
      </c>
      <c r="C14" s="284"/>
      <c r="D14" s="139" t="s">
        <v>34</v>
      </c>
      <c r="E14" s="183">
        <v>100000</v>
      </c>
    </row>
    <row r="15" spans="1:7">
      <c r="A15" s="138"/>
      <c r="B15" s="169" t="s">
        <v>33</v>
      </c>
      <c r="C15" s="282"/>
      <c r="D15" s="139" t="s">
        <v>919</v>
      </c>
      <c r="E15" s="183">
        <v>150000</v>
      </c>
      <c r="F15" s="184">
        <v>202000</v>
      </c>
    </row>
    <row r="16" spans="1:7">
      <c r="A16" s="138" t="s">
        <v>920</v>
      </c>
      <c r="B16" s="169" t="s">
        <v>9</v>
      </c>
      <c r="C16" s="283" t="s">
        <v>701</v>
      </c>
      <c r="D16" s="139" t="s">
        <v>921</v>
      </c>
      <c r="E16" s="183">
        <v>250000</v>
      </c>
      <c r="G16" s="202" t="s">
        <v>922</v>
      </c>
    </row>
    <row r="17" spans="1:7">
      <c r="A17" s="138"/>
      <c r="B17" s="169" t="s">
        <v>9</v>
      </c>
      <c r="C17" s="282"/>
      <c r="D17" s="139" t="s">
        <v>34</v>
      </c>
      <c r="E17" s="183">
        <v>150000</v>
      </c>
    </row>
    <row r="18" spans="1:7">
      <c r="A18" s="138"/>
      <c r="B18" s="169" t="s">
        <v>9</v>
      </c>
      <c r="C18" s="283" t="s">
        <v>690</v>
      </c>
      <c r="D18" s="139" t="s">
        <v>19</v>
      </c>
      <c r="E18" s="183">
        <v>300000</v>
      </c>
      <c r="G18" s="202" t="s">
        <v>922</v>
      </c>
    </row>
    <row r="19" spans="1:7">
      <c r="A19" s="138"/>
      <c r="B19" s="169" t="s">
        <v>9</v>
      </c>
      <c r="C19" s="282"/>
      <c r="D19" s="139" t="s">
        <v>34</v>
      </c>
      <c r="E19" s="183">
        <v>300000</v>
      </c>
    </row>
    <row r="20" spans="1:7">
      <c r="A20" s="138" t="s">
        <v>923</v>
      </c>
      <c r="B20" s="169" t="s">
        <v>27</v>
      </c>
      <c r="C20" s="281" t="s">
        <v>1015</v>
      </c>
      <c r="D20" s="139" t="s">
        <v>19</v>
      </c>
      <c r="E20" s="183">
        <v>150000</v>
      </c>
    </row>
    <row r="21" spans="1:7">
      <c r="A21" s="138"/>
      <c r="B21" s="169" t="s">
        <v>27</v>
      </c>
      <c r="C21" s="282"/>
      <c r="D21" s="139" t="s">
        <v>34</v>
      </c>
      <c r="E21" s="183">
        <v>100000</v>
      </c>
    </row>
    <row r="22" spans="1:7">
      <c r="A22" s="138"/>
      <c r="B22" s="169" t="s">
        <v>27</v>
      </c>
      <c r="C22" s="283" t="s">
        <v>692</v>
      </c>
      <c r="D22" s="139" t="s">
        <v>19</v>
      </c>
      <c r="E22" s="183">
        <v>200000</v>
      </c>
    </row>
    <row r="23" spans="1:7">
      <c r="A23" s="138"/>
      <c r="B23" s="169" t="s">
        <v>27</v>
      </c>
      <c r="C23" s="282"/>
      <c r="D23" s="139" t="s">
        <v>34</v>
      </c>
      <c r="E23" s="183">
        <v>100000</v>
      </c>
    </row>
    <row r="24" spans="1:7">
      <c r="A24" s="138"/>
      <c r="B24" s="169" t="s">
        <v>61</v>
      </c>
      <c r="C24" s="138" t="s">
        <v>924</v>
      </c>
      <c r="D24" s="139" t="s">
        <v>925</v>
      </c>
      <c r="F24" s="184">
        <v>55000</v>
      </c>
    </row>
    <row r="25" spans="1:7">
      <c r="A25" s="138" t="s">
        <v>926</v>
      </c>
      <c r="B25" s="169" t="s">
        <v>57</v>
      </c>
      <c r="C25" s="283" t="s">
        <v>915</v>
      </c>
      <c r="D25" s="139" t="s">
        <v>927</v>
      </c>
      <c r="E25" s="183">
        <v>300000</v>
      </c>
      <c r="G25" s="143"/>
    </row>
    <row r="26" spans="1:7">
      <c r="A26" s="138"/>
      <c r="B26" s="169" t="s">
        <v>57</v>
      </c>
      <c r="C26" s="284"/>
      <c r="D26" s="139" t="s">
        <v>34</v>
      </c>
      <c r="E26" s="183">
        <v>100000</v>
      </c>
      <c r="G26" s="144"/>
    </row>
    <row r="27" spans="1:7">
      <c r="A27" s="138"/>
      <c r="B27" s="169" t="s">
        <v>57</v>
      </c>
      <c r="C27" s="284"/>
      <c r="D27" s="139" t="s">
        <v>928</v>
      </c>
      <c r="F27" s="184">
        <v>10000</v>
      </c>
    </row>
    <row r="28" spans="1:7">
      <c r="A28" s="138"/>
      <c r="B28" s="169" t="s">
        <v>57</v>
      </c>
      <c r="C28" s="284"/>
      <c r="D28" s="139" t="s">
        <v>130</v>
      </c>
      <c r="F28" s="184">
        <v>45000</v>
      </c>
    </row>
    <row r="29" spans="1:7">
      <c r="A29" s="138"/>
      <c r="B29" s="169" t="s">
        <v>57</v>
      </c>
      <c r="C29" s="282"/>
      <c r="D29" s="139" t="s">
        <v>929</v>
      </c>
      <c r="F29" s="184">
        <v>60000</v>
      </c>
    </row>
    <row r="30" spans="1:7">
      <c r="A30" s="138"/>
      <c r="B30" s="138" t="s">
        <v>72</v>
      </c>
      <c r="C30" s="138"/>
      <c r="D30" s="139" t="s">
        <v>930</v>
      </c>
    </row>
    <row r="31" spans="1:7">
      <c r="A31" s="138" t="s">
        <v>931</v>
      </c>
      <c r="B31" s="169" t="s">
        <v>120</v>
      </c>
      <c r="C31" s="138" t="s">
        <v>717</v>
      </c>
      <c r="D31" s="139" t="s">
        <v>34</v>
      </c>
      <c r="E31" s="145">
        <v>100000</v>
      </c>
      <c r="F31" s="175"/>
    </row>
    <row r="32" spans="1:7">
      <c r="A32" s="138" t="s">
        <v>932</v>
      </c>
      <c r="B32" s="169" t="s">
        <v>61</v>
      </c>
      <c r="C32" s="138"/>
      <c r="D32" s="139" t="s">
        <v>933</v>
      </c>
      <c r="E32" s="145"/>
      <c r="F32" s="175">
        <f>80000+140000</f>
        <v>220000</v>
      </c>
    </row>
    <row r="33" spans="1:7">
      <c r="A33" s="138" t="s">
        <v>934</v>
      </c>
      <c r="B33" s="169" t="s">
        <v>57</v>
      </c>
      <c r="C33" s="138"/>
      <c r="D33" s="139" t="s">
        <v>935</v>
      </c>
      <c r="E33" s="145">
        <v>200000</v>
      </c>
      <c r="F33" s="175">
        <v>295000</v>
      </c>
    </row>
    <row r="34" spans="1:7">
      <c r="A34" s="138" t="s">
        <v>936</v>
      </c>
      <c r="B34" s="169" t="s">
        <v>57</v>
      </c>
      <c r="C34" s="138" t="s">
        <v>924</v>
      </c>
      <c r="D34" s="139" t="s">
        <v>937</v>
      </c>
      <c r="E34" s="145">
        <v>200000</v>
      </c>
      <c r="F34" s="175"/>
    </row>
    <row r="35" spans="1:7">
      <c r="A35" s="138"/>
      <c r="B35" s="169" t="s">
        <v>57</v>
      </c>
      <c r="C35" s="138" t="s">
        <v>924</v>
      </c>
      <c r="D35" s="139" t="s">
        <v>34</v>
      </c>
      <c r="E35" s="145">
        <v>100000</v>
      </c>
      <c r="F35" s="175"/>
    </row>
    <row r="36" spans="1:7">
      <c r="A36" s="138"/>
      <c r="B36" s="169" t="s">
        <v>226</v>
      </c>
      <c r="C36" s="138"/>
      <c r="D36" s="139" t="s">
        <v>938</v>
      </c>
      <c r="E36" s="145"/>
      <c r="F36" s="175">
        <v>150000</v>
      </c>
    </row>
    <row r="37" spans="1:7">
      <c r="A37" s="138" t="s">
        <v>939</v>
      </c>
      <c r="B37" s="169" t="s">
        <v>276</v>
      </c>
      <c r="C37" s="137">
        <v>101</v>
      </c>
      <c r="D37" s="139" t="s">
        <v>34</v>
      </c>
      <c r="E37" s="145">
        <v>100000</v>
      </c>
      <c r="F37" s="175"/>
      <c r="G37" s="146"/>
    </row>
    <row r="38" spans="1:7">
      <c r="A38" s="138" t="s">
        <v>940</v>
      </c>
      <c r="B38" s="169" t="s">
        <v>97</v>
      </c>
      <c r="D38" s="139" t="s">
        <v>941</v>
      </c>
      <c r="E38" s="145">
        <v>150000</v>
      </c>
      <c r="F38" s="175">
        <v>48000</v>
      </c>
      <c r="G38" s="147"/>
    </row>
    <row r="39" spans="1:7">
      <c r="A39" s="138" t="s">
        <v>942</v>
      </c>
      <c r="B39" s="169" t="s">
        <v>240</v>
      </c>
      <c r="C39" s="137">
        <v>202</v>
      </c>
      <c r="D39" s="139" t="s">
        <v>943</v>
      </c>
      <c r="E39" s="145"/>
      <c r="F39" s="175">
        <v>23000</v>
      </c>
    </row>
    <row r="40" spans="1:7">
      <c r="A40" s="138"/>
      <c r="B40" s="169" t="s">
        <v>97</v>
      </c>
      <c r="C40" s="137">
        <v>402</v>
      </c>
      <c r="D40" s="139" t="s">
        <v>944</v>
      </c>
      <c r="E40" s="145">
        <v>200000</v>
      </c>
      <c r="F40" s="175">
        <v>95000</v>
      </c>
    </row>
    <row r="41" spans="1:7">
      <c r="A41" s="138"/>
      <c r="B41" s="169" t="s">
        <v>97</v>
      </c>
      <c r="D41" s="139" t="s">
        <v>121</v>
      </c>
      <c r="E41" s="145">
        <v>100000</v>
      </c>
      <c r="F41" s="175">
        <v>37000</v>
      </c>
    </row>
    <row r="42" spans="1:7">
      <c r="A42" s="138" t="s">
        <v>945</v>
      </c>
      <c r="B42" s="169" t="s">
        <v>38</v>
      </c>
      <c r="D42" s="139" t="s">
        <v>946</v>
      </c>
      <c r="E42" s="145">
        <v>500000</v>
      </c>
      <c r="F42" s="175">
        <v>55000</v>
      </c>
    </row>
    <row r="43" spans="1:7">
      <c r="A43" s="138"/>
      <c r="B43" s="169" t="s">
        <v>93</v>
      </c>
      <c r="C43" s="137">
        <v>304</v>
      </c>
      <c r="D43" s="139" t="s">
        <v>947</v>
      </c>
      <c r="E43" s="145">
        <v>250000</v>
      </c>
      <c r="F43" s="175"/>
    </row>
    <row r="44" spans="1:7">
      <c r="A44" s="138" t="s">
        <v>934</v>
      </c>
      <c r="B44" s="169" t="s">
        <v>865</v>
      </c>
      <c r="C44" s="137">
        <v>301</v>
      </c>
      <c r="D44" s="139" t="s">
        <v>948</v>
      </c>
      <c r="E44" s="145"/>
      <c r="F44" s="175">
        <v>105000</v>
      </c>
    </row>
    <row r="45" spans="1:7">
      <c r="A45" s="138"/>
      <c r="B45" s="169" t="s">
        <v>865</v>
      </c>
      <c r="C45" s="137">
        <v>201</v>
      </c>
      <c r="D45" s="139" t="s">
        <v>949</v>
      </c>
      <c r="E45" s="145">
        <v>200000</v>
      </c>
      <c r="F45" s="175">
        <v>248000</v>
      </c>
    </row>
    <row r="46" spans="1:7" ht="16.75" customHeight="1">
      <c r="A46" s="138"/>
      <c r="B46" s="169" t="s">
        <v>865</v>
      </c>
      <c r="C46" s="137">
        <v>402</v>
      </c>
      <c r="D46" s="139" t="s">
        <v>949</v>
      </c>
      <c r="E46" s="145">
        <v>200000</v>
      </c>
      <c r="F46" s="175">
        <v>248000</v>
      </c>
    </row>
    <row r="47" spans="1:7">
      <c r="A47" s="138"/>
      <c r="B47" s="169" t="s">
        <v>865</v>
      </c>
      <c r="C47" s="137">
        <v>201</v>
      </c>
      <c r="D47" s="139" t="s">
        <v>950</v>
      </c>
      <c r="E47" s="145"/>
      <c r="F47" s="175">
        <v>250000</v>
      </c>
    </row>
    <row r="48" spans="1:7">
      <c r="A48" s="138" t="s">
        <v>939</v>
      </c>
      <c r="B48" s="169" t="s">
        <v>865</v>
      </c>
      <c r="C48" s="137">
        <v>205</v>
      </c>
      <c r="D48" s="139" t="s">
        <v>951</v>
      </c>
      <c r="E48" s="145">
        <v>200000</v>
      </c>
      <c r="F48" s="175">
        <v>248000</v>
      </c>
    </row>
    <row r="49" spans="1:6" s="141" customFormat="1">
      <c r="A49" s="138"/>
      <c r="B49" s="169" t="s">
        <v>865</v>
      </c>
      <c r="C49" s="137">
        <v>404</v>
      </c>
      <c r="D49" s="139" t="s">
        <v>951</v>
      </c>
      <c r="E49" s="145">
        <v>200000</v>
      </c>
      <c r="F49" s="175">
        <v>248000</v>
      </c>
    </row>
    <row r="50" spans="1:6" s="141" customFormat="1">
      <c r="A50" s="138" t="s">
        <v>940</v>
      </c>
      <c r="B50" s="169" t="s">
        <v>865</v>
      </c>
      <c r="C50" s="137">
        <v>301</v>
      </c>
      <c r="D50" s="139" t="s">
        <v>951</v>
      </c>
      <c r="E50" s="145">
        <v>200000</v>
      </c>
      <c r="F50" s="175">
        <v>248000</v>
      </c>
    </row>
    <row r="51" spans="1:6" s="141" customFormat="1">
      <c r="A51" s="138"/>
      <c r="B51" s="169" t="s">
        <v>865</v>
      </c>
      <c r="C51" s="137">
        <v>303</v>
      </c>
      <c r="D51" s="139" t="s">
        <v>951</v>
      </c>
      <c r="E51" s="145">
        <v>200000</v>
      </c>
      <c r="F51" s="175">
        <v>248000</v>
      </c>
    </row>
    <row r="52" spans="1:6" s="141" customFormat="1">
      <c r="A52" s="138" t="s">
        <v>952</v>
      </c>
      <c r="B52" s="169" t="s">
        <v>865</v>
      </c>
      <c r="C52" s="137">
        <v>404</v>
      </c>
      <c r="D52" s="139" t="s">
        <v>426</v>
      </c>
      <c r="E52" s="145"/>
      <c r="F52" s="175">
        <v>95000</v>
      </c>
    </row>
    <row r="53" spans="1:6" s="141" customFormat="1">
      <c r="A53" s="138"/>
      <c r="B53" s="169" t="s">
        <v>865</v>
      </c>
      <c r="C53" s="137">
        <v>402</v>
      </c>
      <c r="D53" s="139" t="s">
        <v>953</v>
      </c>
      <c r="E53" s="145"/>
      <c r="F53" s="175">
        <v>80000</v>
      </c>
    </row>
    <row r="54" spans="1:6" s="141" customFormat="1">
      <c r="A54" s="138"/>
      <c r="B54" s="169" t="s">
        <v>865</v>
      </c>
      <c r="C54" s="137"/>
      <c r="D54" s="139" t="s">
        <v>426</v>
      </c>
      <c r="E54" s="145"/>
      <c r="F54" s="175">
        <v>95000</v>
      </c>
    </row>
    <row r="55" spans="1:6" s="141" customFormat="1">
      <c r="A55" s="138"/>
      <c r="B55" s="169" t="s">
        <v>865</v>
      </c>
      <c r="C55" s="137"/>
      <c r="D55" s="139" t="s">
        <v>73</v>
      </c>
      <c r="E55" s="145"/>
      <c r="F55" s="175">
        <v>35000</v>
      </c>
    </row>
    <row r="56" spans="1:6" s="141" customFormat="1">
      <c r="A56" s="138"/>
      <c r="B56" s="169" t="s">
        <v>865</v>
      </c>
      <c r="C56" s="137"/>
      <c r="D56" s="139" t="s">
        <v>191</v>
      </c>
      <c r="E56" s="145"/>
      <c r="F56" s="175">
        <v>40000</v>
      </c>
    </row>
    <row r="57" spans="1:6" s="141" customFormat="1">
      <c r="A57" s="138"/>
      <c r="B57" s="169" t="s">
        <v>865</v>
      </c>
      <c r="C57" s="137">
        <v>301</v>
      </c>
      <c r="D57" s="139" t="s">
        <v>954</v>
      </c>
      <c r="E57" s="145"/>
      <c r="F57" s="175">
        <v>200000</v>
      </c>
    </row>
    <row r="58" spans="1:6" s="141" customFormat="1">
      <c r="A58" s="138"/>
      <c r="B58" s="169" t="s">
        <v>865</v>
      </c>
      <c r="C58" s="137">
        <v>201</v>
      </c>
      <c r="D58" s="139" t="s">
        <v>426</v>
      </c>
      <c r="E58" s="145"/>
      <c r="F58" s="175">
        <v>95000</v>
      </c>
    </row>
    <row r="59" spans="1:6" s="141" customFormat="1">
      <c r="A59" s="138"/>
      <c r="B59" s="169" t="s">
        <v>865</v>
      </c>
      <c r="C59" s="137"/>
      <c r="D59" s="139" t="s">
        <v>489</v>
      </c>
      <c r="E59" s="145"/>
      <c r="F59" s="175">
        <v>40000</v>
      </c>
    </row>
    <row r="60" spans="1:6" s="141" customFormat="1">
      <c r="A60" s="138"/>
      <c r="B60" s="169" t="s">
        <v>865</v>
      </c>
      <c r="C60" s="137"/>
      <c r="D60" s="139" t="s">
        <v>955</v>
      </c>
      <c r="E60" s="145"/>
      <c r="F60" s="175">
        <v>25000</v>
      </c>
    </row>
    <row r="61" spans="1:6" s="141" customFormat="1">
      <c r="A61" s="138"/>
      <c r="B61" s="169" t="s">
        <v>865</v>
      </c>
      <c r="C61" s="137"/>
      <c r="D61" s="139" t="s">
        <v>956</v>
      </c>
      <c r="E61" s="145">
        <v>100000</v>
      </c>
      <c r="F61" s="175"/>
    </row>
    <row r="62" spans="1:6" s="141" customFormat="1">
      <c r="A62" s="138"/>
      <c r="B62" s="169" t="s">
        <v>865</v>
      </c>
      <c r="C62" s="137"/>
      <c r="D62" s="139" t="s">
        <v>957</v>
      </c>
      <c r="E62" s="145"/>
      <c r="F62" s="175">
        <v>155000</v>
      </c>
    </row>
    <row r="63" spans="1:6" s="141" customFormat="1">
      <c r="A63" s="138" t="s">
        <v>945</v>
      </c>
      <c r="B63" s="169" t="s">
        <v>547</v>
      </c>
      <c r="C63" s="137">
        <v>202</v>
      </c>
      <c r="D63" s="139" t="s">
        <v>958</v>
      </c>
      <c r="E63" s="145">
        <v>350000</v>
      </c>
      <c r="F63" s="175"/>
    </row>
    <row r="64" spans="1:6" s="141" customFormat="1">
      <c r="A64" s="138"/>
      <c r="B64" s="169" t="s">
        <v>27</v>
      </c>
      <c r="C64" s="137">
        <v>601</v>
      </c>
      <c r="D64" s="139" t="s">
        <v>959</v>
      </c>
      <c r="E64" s="145"/>
      <c r="F64" s="175">
        <v>60000</v>
      </c>
    </row>
    <row r="65" spans="1:6" s="141" customFormat="1">
      <c r="A65" s="138"/>
      <c r="B65" s="169" t="s">
        <v>64</v>
      </c>
      <c r="C65" s="137">
        <v>204</v>
      </c>
      <c r="D65" s="139" t="s">
        <v>960</v>
      </c>
      <c r="E65" s="145"/>
      <c r="F65" s="175">
        <v>50000</v>
      </c>
    </row>
    <row r="66" spans="1:6" s="141" customFormat="1">
      <c r="A66" s="138"/>
      <c r="B66" s="169" t="s">
        <v>64</v>
      </c>
      <c r="C66" s="137"/>
      <c r="D66" s="139" t="s">
        <v>961</v>
      </c>
      <c r="E66" s="145">
        <v>100000</v>
      </c>
      <c r="F66" s="175">
        <v>25000</v>
      </c>
    </row>
    <row r="67" spans="1:6" s="141" customFormat="1">
      <c r="A67" s="138"/>
      <c r="B67" s="169" t="s">
        <v>64</v>
      </c>
      <c r="C67" s="137">
        <v>502</v>
      </c>
      <c r="D67" s="139" t="s">
        <v>960</v>
      </c>
      <c r="E67" s="145"/>
      <c r="F67" s="175">
        <v>50000</v>
      </c>
    </row>
    <row r="68" spans="1:6" s="141" customFormat="1">
      <c r="A68" s="138" t="s">
        <v>962</v>
      </c>
      <c r="B68" s="169" t="s">
        <v>963</v>
      </c>
      <c r="C68" s="137"/>
      <c r="D68" s="139" t="s">
        <v>964</v>
      </c>
      <c r="E68" s="145"/>
      <c r="F68" s="175">
        <v>233000</v>
      </c>
    </row>
    <row r="69" spans="1:6" s="141" customFormat="1">
      <c r="A69" s="138"/>
      <c r="B69" s="169" t="s">
        <v>80</v>
      </c>
      <c r="C69" s="137"/>
      <c r="D69" s="139" t="s">
        <v>151</v>
      </c>
      <c r="E69" s="145"/>
      <c r="F69" s="175">
        <v>1650000</v>
      </c>
    </row>
    <row r="70" spans="1:6" s="141" customFormat="1">
      <c r="A70" s="138"/>
      <c r="B70" s="169" t="s">
        <v>80</v>
      </c>
      <c r="C70" s="137"/>
      <c r="D70" s="139" t="s">
        <v>965</v>
      </c>
      <c r="E70" s="145"/>
      <c r="F70" s="175">
        <v>550000</v>
      </c>
    </row>
    <row r="71" spans="1:6" s="141" customFormat="1">
      <c r="A71" s="138" t="s">
        <v>966</v>
      </c>
      <c r="B71" s="169" t="s">
        <v>967</v>
      </c>
      <c r="C71" s="137">
        <v>501</v>
      </c>
      <c r="D71" s="139" t="s">
        <v>968</v>
      </c>
      <c r="E71" s="145">
        <v>200000</v>
      </c>
      <c r="F71" s="175"/>
    </row>
    <row r="72" spans="1:6" s="141" customFormat="1">
      <c r="A72" s="138"/>
      <c r="B72" s="169" t="s">
        <v>967</v>
      </c>
      <c r="C72" s="137"/>
      <c r="D72" s="139" t="s">
        <v>34</v>
      </c>
      <c r="E72" s="145">
        <v>100000</v>
      </c>
      <c r="F72" s="175"/>
    </row>
    <row r="73" spans="1:6" s="141" customFormat="1">
      <c r="A73" s="138"/>
      <c r="B73" s="169" t="s">
        <v>967</v>
      </c>
      <c r="C73" s="137">
        <v>502</v>
      </c>
      <c r="D73" s="139" t="s">
        <v>968</v>
      </c>
      <c r="E73" s="145">
        <v>200000</v>
      </c>
      <c r="F73" s="175"/>
    </row>
    <row r="74" spans="1:6" s="141" customFormat="1">
      <c r="A74" s="138"/>
      <c r="B74" s="169" t="s">
        <v>967</v>
      </c>
      <c r="C74" s="138"/>
      <c r="D74" s="139" t="s">
        <v>34</v>
      </c>
      <c r="E74" s="145">
        <v>100000</v>
      </c>
      <c r="F74" s="175"/>
    </row>
    <row r="75" spans="1:6" s="141" customFormat="1">
      <c r="A75" s="138"/>
      <c r="B75" s="169" t="s">
        <v>967</v>
      </c>
      <c r="C75" s="138" t="s">
        <v>687</v>
      </c>
      <c r="D75" s="139" t="s">
        <v>969</v>
      </c>
      <c r="E75" s="145"/>
      <c r="F75" s="175">
        <v>1250000</v>
      </c>
    </row>
    <row r="76" spans="1:6" s="141" customFormat="1">
      <c r="A76" s="138"/>
      <c r="B76" s="169" t="s">
        <v>967</v>
      </c>
      <c r="C76" s="137"/>
      <c r="D76" s="139" t="s">
        <v>970</v>
      </c>
      <c r="E76" s="145"/>
      <c r="F76" s="175">
        <v>60000</v>
      </c>
    </row>
    <row r="77" spans="1:6" s="141" customFormat="1">
      <c r="A77" s="138" t="s">
        <v>971</v>
      </c>
      <c r="B77" s="169" t="s">
        <v>149</v>
      </c>
      <c r="C77" s="137" t="s">
        <v>972</v>
      </c>
      <c r="D77" s="139" t="s">
        <v>973</v>
      </c>
      <c r="E77" s="145">
        <v>200000</v>
      </c>
      <c r="F77" s="175">
        <v>25000</v>
      </c>
    </row>
    <row r="78" spans="1:6" s="141" customFormat="1">
      <c r="A78" s="138" t="s">
        <v>974</v>
      </c>
      <c r="B78" s="169" t="s">
        <v>448</v>
      </c>
      <c r="C78" s="137">
        <v>201</v>
      </c>
      <c r="D78" s="139" t="s">
        <v>34</v>
      </c>
      <c r="E78" s="145">
        <v>150000</v>
      </c>
      <c r="F78" s="175"/>
    </row>
    <row r="79" spans="1:6" s="141" customFormat="1">
      <c r="A79" s="138"/>
      <c r="B79" s="169" t="s">
        <v>967</v>
      </c>
      <c r="C79" s="137">
        <v>301</v>
      </c>
      <c r="D79" s="139" t="s">
        <v>19</v>
      </c>
      <c r="E79" s="145">
        <v>300000</v>
      </c>
      <c r="F79" s="175"/>
    </row>
    <row r="80" spans="1:6" s="141" customFormat="1">
      <c r="A80" s="138"/>
      <c r="B80" s="169" t="s">
        <v>967</v>
      </c>
      <c r="C80" s="137"/>
      <c r="D80" s="139" t="s">
        <v>34</v>
      </c>
      <c r="E80" s="145">
        <v>150000</v>
      </c>
      <c r="F80" s="175"/>
    </row>
    <row r="81" spans="1:6" s="141" customFormat="1">
      <c r="A81" s="138"/>
      <c r="B81" s="169" t="s">
        <v>967</v>
      </c>
      <c r="C81" s="137">
        <v>302</v>
      </c>
      <c r="D81" s="139" t="s">
        <v>34</v>
      </c>
      <c r="E81" s="145">
        <v>150000</v>
      </c>
      <c r="F81" s="175"/>
    </row>
    <row r="82" spans="1:6" s="141" customFormat="1">
      <c r="A82" s="138"/>
      <c r="B82" s="169" t="s">
        <v>967</v>
      </c>
      <c r="C82" s="137"/>
      <c r="D82" s="139" t="s">
        <v>400</v>
      </c>
      <c r="E82" s="145"/>
      <c r="F82" s="175">
        <v>80000</v>
      </c>
    </row>
    <row r="83" spans="1:6" s="141" customFormat="1">
      <c r="A83" s="138"/>
      <c r="B83" s="169" t="s">
        <v>967</v>
      </c>
      <c r="C83" s="137"/>
      <c r="D83" s="139" t="s">
        <v>975</v>
      </c>
      <c r="E83" s="145"/>
      <c r="F83" s="175">
        <v>80000</v>
      </c>
    </row>
    <row r="84" spans="1:6" s="141" customFormat="1">
      <c r="A84" s="138"/>
      <c r="B84" s="169" t="s">
        <v>967</v>
      </c>
      <c r="C84" s="137">
        <v>501</v>
      </c>
      <c r="D84" s="139" t="s">
        <v>154</v>
      </c>
      <c r="E84" s="145"/>
      <c r="F84" s="175">
        <v>40000</v>
      </c>
    </row>
    <row r="85" spans="1:6" s="141" customFormat="1">
      <c r="A85" s="138"/>
      <c r="B85" s="169" t="s">
        <v>967</v>
      </c>
      <c r="C85" s="137">
        <v>502</v>
      </c>
      <c r="D85" s="139" t="s">
        <v>154</v>
      </c>
      <c r="E85" s="145"/>
      <c r="F85" s="175">
        <v>40000</v>
      </c>
    </row>
    <row r="86" spans="1:6" s="141" customFormat="1">
      <c r="A86" s="138" t="s">
        <v>974</v>
      </c>
      <c r="B86" s="169" t="s">
        <v>226</v>
      </c>
      <c r="C86" s="137">
        <v>304</v>
      </c>
      <c r="D86" s="139" t="s">
        <v>107</v>
      </c>
      <c r="E86" s="145"/>
      <c r="F86" s="175">
        <v>155000</v>
      </c>
    </row>
    <row r="87" spans="1:6" s="141" customFormat="1">
      <c r="A87" s="138"/>
      <c r="B87" s="169" t="s">
        <v>226</v>
      </c>
      <c r="C87" s="137">
        <v>301</v>
      </c>
      <c r="D87" s="139" t="s">
        <v>1052</v>
      </c>
      <c r="E87" s="145"/>
      <c r="F87" s="175">
        <v>218000</v>
      </c>
    </row>
    <row r="88" spans="1:6" s="141" customFormat="1">
      <c r="A88" s="138"/>
      <c r="B88" s="169" t="s">
        <v>97</v>
      </c>
      <c r="C88" s="137" t="s">
        <v>1053</v>
      </c>
      <c r="D88" s="139" t="s">
        <v>1054</v>
      </c>
      <c r="E88" s="145">
        <v>200000</v>
      </c>
      <c r="F88" s="175">
        <v>125000</v>
      </c>
    </row>
    <row r="89" spans="1:6" s="141" customFormat="1">
      <c r="A89" s="148"/>
      <c r="B89" s="168" t="s">
        <v>64</v>
      </c>
      <c r="C89" s="137"/>
      <c r="D89" s="139" t="s">
        <v>1055</v>
      </c>
      <c r="E89" s="145"/>
      <c r="F89" s="175">
        <v>35000</v>
      </c>
    </row>
    <row r="90" spans="1:6" s="141" customFormat="1">
      <c r="A90" s="148"/>
      <c r="B90" s="168" t="s">
        <v>17</v>
      </c>
      <c r="C90" s="137">
        <v>403</v>
      </c>
      <c r="D90" s="139" t="s">
        <v>1056</v>
      </c>
      <c r="E90" s="145">
        <v>300000</v>
      </c>
      <c r="F90" s="175"/>
    </row>
    <row r="91" spans="1:6" s="141" customFormat="1">
      <c r="A91" s="148"/>
      <c r="B91" s="168" t="s">
        <v>17</v>
      </c>
      <c r="C91" s="137">
        <v>403</v>
      </c>
      <c r="D91" s="139" t="s">
        <v>460</v>
      </c>
      <c r="E91" s="145"/>
      <c r="F91" s="175">
        <v>45000</v>
      </c>
    </row>
    <row r="92" spans="1:6" s="141" customFormat="1">
      <c r="A92" s="148"/>
      <c r="B92" s="168" t="s">
        <v>17</v>
      </c>
      <c r="C92" s="137">
        <v>403</v>
      </c>
      <c r="D92" s="139" t="s">
        <v>1057</v>
      </c>
      <c r="E92" s="145"/>
      <c r="F92" s="175">
        <v>25000</v>
      </c>
    </row>
    <row r="93" spans="1:6" s="141" customFormat="1">
      <c r="A93" s="148"/>
      <c r="B93" s="137" t="s">
        <v>44</v>
      </c>
      <c r="C93" s="137">
        <v>202</v>
      </c>
      <c r="D93" s="139" t="s">
        <v>1056</v>
      </c>
      <c r="E93" s="145">
        <f>200000+150000</f>
        <v>350000</v>
      </c>
      <c r="F93" s="175"/>
    </row>
    <row r="94" spans="1:6" s="141" customFormat="1">
      <c r="A94" s="148"/>
      <c r="B94" s="137" t="s">
        <v>44</v>
      </c>
      <c r="C94" s="137">
        <v>202</v>
      </c>
      <c r="D94" s="139" t="s">
        <v>415</v>
      </c>
      <c r="E94" s="145">
        <v>150000</v>
      </c>
      <c r="F94" s="175">
        <v>95000</v>
      </c>
    </row>
    <row r="95" spans="1:6" s="141" customFormat="1">
      <c r="A95" s="148"/>
      <c r="B95" s="168" t="s">
        <v>33</v>
      </c>
      <c r="C95" s="137">
        <v>102</v>
      </c>
      <c r="D95" s="139" t="s">
        <v>205</v>
      </c>
      <c r="E95" s="145">
        <v>150000</v>
      </c>
      <c r="F95" s="175"/>
    </row>
    <row r="96" spans="1:6" s="141" customFormat="1">
      <c r="A96" s="148"/>
      <c r="B96" s="168" t="s">
        <v>33</v>
      </c>
      <c r="C96" s="137"/>
      <c r="D96" s="139" t="s">
        <v>1058</v>
      </c>
      <c r="E96" s="145"/>
      <c r="F96" s="175">
        <v>32000</v>
      </c>
    </row>
    <row r="97" spans="1:6" s="141" customFormat="1">
      <c r="A97" s="148"/>
      <c r="B97" s="168" t="s">
        <v>547</v>
      </c>
      <c r="C97" s="137">
        <v>402</v>
      </c>
      <c r="D97" s="139" t="s">
        <v>1059</v>
      </c>
      <c r="E97" s="145">
        <f>200000+100000</f>
        <v>300000</v>
      </c>
      <c r="F97" s="175"/>
    </row>
    <row r="98" spans="1:6" s="141" customFormat="1">
      <c r="A98" s="148"/>
      <c r="B98" s="168" t="s">
        <v>78</v>
      </c>
      <c r="C98" s="137">
        <v>101</v>
      </c>
      <c r="D98" s="139" t="s">
        <v>1056</v>
      </c>
      <c r="E98" s="145">
        <f>200000+100000</f>
        <v>300000</v>
      </c>
      <c r="F98" s="175"/>
    </row>
    <row r="99" spans="1:6" s="141" customFormat="1">
      <c r="A99" s="148"/>
      <c r="B99" s="168" t="s">
        <v>78</v>
      </c>
      <c r="C99" s="137">
        <v>101</v>
      </c>
      <c r="D99" s="139" t="s">
        <v>1060</v>
      </c>
      <c r="E99" s="145"/>
      <c r="F99" s="175">
        <v>55000</v>
      </c>
    </row>
    <row r="100" spans="1:6" s="141" customFormat="1">
      <c r="A100" s="148"/>
      <c r="B100" s="137"/>
      <c r="C100" s="137"/>
      <c r="D100" s="139"/>
      <c r="E100" s="145"/>
      <c r="F100" s="175"/>
    </row>
    <row r="101" spans="1:6" s="141" customFormat="1">
      <c r="A101" s="148"/>
      <c r="B101" s="137"/>
      <c r="C101" s="137"/>
      <c r="D101" s="139"/>
      <c r="E101" s="145"/>
      <c r="F101" s="175"/>
    </row>
    <row r="102" spans="1:6" s="141" customFormat="1">
      <c r="A102" s="148"/>
      <c r="B102" s="137"/>
      <c r="C102" s="137"/>
      <c r="D102" s="139"/>
      <c r="E102" s="145"/>
      <c r="F102" s="175"/>
    </row>
    <row r="103" spans="1:6" s="141" customFormat="1">
      <c r="A103" s="148"/>
      <c r="B103" s="137"/>
      <c r="C103" s="137"/>
      <c r="D103" s="139"/>
      <c r="E103" s="145"/>
      <c r="F103" s="175"/>
    </row>
    <row r="104" spans="1:6" s="141" customFormat="1">
      <c r="A104" s="148"/>
      <c r="B104" s="137"/>
      <c r="C104" s="137"/>
      <c r="D104" s="139"/>
      <c r="E104" s="145"/>
      <c r="F104" s="175"/>
    </row>
    <row r="105" spans="1:6" s="141" customFormat="1">
      <c r="A105" s="148"/>
      <c r="B105" s="137"/>
      <c r="C105" s="137"/>
      <c r="D105" s="139"/>
      <c r="E105" s="145"/>
      <c r="F105" s="175"/>
    </row>
    <row r="106" spans="1:6" s="141" customFormat="1">
      <c r="A106" s="148"/>
      <c r="B106" s="137"/>
      <c r="C106" s="137"/>
      <c r="D106" s="139"/>
      <c r="E106" s="145"/>
      <c r="F106" s="175"/>
    </row>
    <row r="107" spans="1:6" s="141" customFormat="1">
      <c r="A107" s="148"/>
      <c r="B107" s="137"/>
      <c r="C107" s="137"/>
      <c r="D107" s="139"/>
      <c r="E107" s="145"/>
      <c r="F107" s="175"/>
    </row>
    <row r="108" spans="1:6" s="141" customFormat="1">
      <c r="A108" s="148"/>
      <c r="B108" s="137"/>
      <c r="C108" s="137"/>
      <c r="D108" s="139"/>
      <c r="E108" s="145"/>
      <c r="F108" s="175"/>
    </row>
    <row r="109" spans="1:6" s="141" customFormat="1">
      <c r="A109" s="148"/>
      <c r="B109" s="137"/>
      <c r="C109" s="137"/>
      <c r="D109" s="139"/>
      <c r="E109" s="145"/>
      <c r="F109" s="175"/>
    </row>
    <row r="110" spans="1:6" s="141" customFormat="1">
      <c r="A110" s="148"/>
      <c r="B110" s="137"/>
      <c r="C110" s="137"/>
      <c r="D110" s="139"/>
      <c r="E110" s="145"/>
      <c r="F110" s="175"/>
    </row>
    <row r="111" spans="1:6" s="141" customFormat="1">
      <c r="A111" s="148"/>
      <c r="B111" s="137"/>
      <c r="C111" s="137"/>
      <c r="D111" s="139"/>
      <c r="E111" s="145"/>
      <c r="F111" s="175"/>
    </row>
    <row r="112" spans="1:6" s="141" customFormat="1">
      <c r="A112" s="148"/>
      <c r="B112" s="137"/>
      <c r="C112" s="137"/>
      <c r="D112" s="139"/>
      <c r="E112" s="145"/>
      <c r="F112" s="175"/>
    </row>
    <row r="113" spans="1:6" s="141" customFormat="1">
      <c r="A113" s="148"/>
      <c r="B113" s="137"/>
      <c r="C113" s="137"/>
      <c r="D113" s="139"/>
      <c r="E113" s="145"/>
      <c r="F113" s="175"/>
    </row>
    <row r="114" spans="1:6" s="141" customFormat="1">
      <c r="A114" s="148"/>
      <c r="B114" s="137"/>
      <c r="C114" s="137"/>
      <c r="D114" s="139"/>
      <c r="E114" s="145"/>
      <c r="F114" s="175"/>
    </row>
    <row r="115" spans="1:6" s="141" customFormat="1">
      <c r="A115" s="148"/>
      <c r="B115" s="137"/>
      <c r="C115" s="137"/>
      <c r="D115" s="139"/>
      <c r="E115" s="145"/>
      <c r="F115" s="175"/>
    </row>
    <row r="116" spans="1:6" s="141" customFormat="1">
      <c r="A116" s="148"/>
      <c r="B116" s="137"/>
      <c r="C116" s="137"/>
      <c r="D116" s="139"/>
      <c r="E116" s="145"/>
      <c r="F116" s="175"/>
    </row>
    <row r="117" spans="1:6" s="141" customFormat="1">
      <c r="A117" s="148"/>
      <c r="B117" s="137"/>
      <c r="C117" s="137"/>
      <c r="D117" s="139"/>
      <c r="E117" s="145"/>
      <c r="F117" s="175"/>
    </row>
    <row r="118" spans="1:6" s="141" customFormat="1">
      <c r="A118" s="148"/>
      <c r="B118" s="137"/>
      <c r="C118" s="137"/>
      <c r="D118" s="139"/>
      <c r="E118" s="145"/>
      <c r="F118" s="175"/>
    </row>
    <row r="119" spans="1:6" s="141" customFormat="1">
      <c r="A119" s="148"/>
      <c r="B119" s="137"/>
      <c r="C119" s="137"/>
      <c r="D119" s="139"/>
      <c r="E119" s="145"/>
      <c r="F119" s="175"/>
    </row>
    <row r="120" spans="1:6" s="141" customFormat="1">
      <c r="A120" s="148"/>
      <c r="B120" s="137"/>
      <c r="C120" s="137"/>
      <c r="D120" s="139"/>
      <c r="E120" s="145"/>
      <c r="F120" s="175"/>
    </row>
    <row r="121" spans="1:6" s="141" customFormat="1">
      <c r="A121" s="148"/>
      <c r="B121" s="137"/>
      <c r="C121" s="137"/>
      <c r="D121" s="139"/>
      <c r="E121" s="145"/>
      <c r="F121" s="175"/>
    </row>
    <row r="122" spans="1:6" s="141" customFormat="1">
      <c r="A122" s="148"/>
      <c r="B122" s="137"/>
      <c r="C122" s="137"/>
      <c r="D122" s="139"/>
      <c r="E122" s="145"/>
      <c r="F122" s="175"/>
    </row>
    <row r="123" spans="1:6" s="141" customFormat="1">
      <c r="A123" s="148"/>
      <c r="B123" s="137"/>
      <c r="C123" s="137"/>
      <c r="D123" s="139"/>
      <c r="E123" s="145"/>
      <c r="F123" s="175"/>
    </row>
    <row r="124" spans="1:6" s="141" customFormat="1">
      <c r="A124" s="148"/>
      <c r="B124" s="137"/>
      <c r="C124" s="137"/>
      <c r="D124" s="139"/>
      <c r="E124" s="145"/>
      <c r="F124" s="175"/>
    </row>
    <row r="125" spans="1:6" s="141" customFormat="1">
      <c r="A125" s="148"/>
      <c r="B125" s="137"/>
      <c r="C125" s="137"/>
      <c r="D125" s="139"/>
      <c r="E125" s="145"/>
      <c r="F125" s="175"/>
    </row>
    <row r="126" spans="1:6" s="141" customFormat="1">
      <c r="A126" s="148"/>
      <c r="B126" s="137"/>
      <c r="C126" s="137"/>
      <c r="D126" s="139"/>
      <c r="E126" s="145"/>
      <c r="F126" s="175"/>
    </row>
    <row r="127" spans="1:6" s="141" customFormat="1">
      <c r="A127" s="148"/>
      <c r="B127" s="137"/>
      <c r="C127" s="137"/>
      <c r="D127" s="139"/>
      <c r="E127" s="145"/>
      <c r="F127" s="175"/>
    </row>
    <row r="128" spans="1:6" s="141" customFormat="1">
      <c r="A128" s="148"/>
      <c r="B128" s="137"/>
      <c r="C128" s="137"/>
      <c r="D128" s="139"/>
      <c r="E128" s="145"/>
      <c r="F128" s="175"/>
    </row>
    <row r="129" spans="1:6" s="141" customFormat="1">
      <c r="A129" s="148"/>
      <c r="B129" s="137"/>
      <c r="C129" s="137"/>
      <c r="D129" s="139"/>
      <c r="E129" s="145"/>
      <c r="F129" s="175"/>
    </row>
    <row r="130" spans="1:6" s="141" customFormat="1">
      <c r="A130" s="148"/>
      <c r="B130" s="137"/>
      <c r="C130" s="137"/>
      <c r="D130" s="139"/>
      <c r="E130" s="145"/>
      <c r="F130" s="175"/>
    </row>
    <row r="131" spans="1:6" s="141" customFormat="1">
      <c r="A131" s="148"/>
      <c r="B131" s="137"/>
      <c r="C131" s="137"/>
      <c r="D131" s="139"/>
      <c r="E131" s="145"/>
      <c r="F131" s="175"/>
    </row>
    <row r="132" spans="1:6" s="141" customFormat="1">
      <c r="A132" s="148"/>
      <c r="B132" s="137"/>
      <c r="C132" s="137"/>
      <c r="D132" s="139"/>
      <c r="E132" s="145"/>
      <c r="F132" s="175"/>
    </row>
    <row r="133" spans="1:6" s="141" customFormat="1">
      <c r="A133" s="148"/>
      <c r="B133" s="137"/>
      <c r="C133" s="137"/>
      <c r="D133" s="139"/>
      <c r="E133" s="145"/>
      <c r="F133" s="175"/>
    </row>
    <row r="134" spans="1:6" s="141" customFormat="1">
      <c r="A134" s="148"/>
      <c r="B134" s="137"/>
      <c r="C134" s="137"/>
      <c r="D134" s="139"/>
      <c r="E134" s="145"/>
      <c r="F134" s="175"/>
    </row>
    <row r="135" spans="1:6" s="141" customFormat="1">
      <c r="A135" s="148"/>
      <c r="B135" s="137"/>
      <c r="C135" s="137"/>
      <c r="D135" s="139"/>
      <c r="E135" s="145"/>
      <c r="F135" s="175"/>
    </row>
    <row r="136" spans="1:6" s="141" customFormat="1">
      <c r="A136" s="148"/>
      <c r="B136" s="137"/>
      <c r="C136" s="137"/>
      <c r="D136" s="139"/>
      <c r="E136" s="145"/>
      <c r="F136" s="175"/>
    </row>
    <row r="137" spans="1:6" s="141" customFormat="1">
      <c r="A137" s="148"/>
      <c r="B137" s="137"/>
      <c r="C137" s="137"/>
      <c r="D137" s="139"/>
      <c r="E137" s="145"/>
      <c r="F137" s="175"/>
    </row>
    <row r="138" spans="1:6" s="141" customFormat="1">
      <c r="A138" s="148"/>
      <c r="B138" s="137"/>
      <c r="C138" s="137"/>
      <c r="D138" s="139"/>
      <c r="E138" s="145"/>
      <c r="F138" s="175"/>
    </row>
    <row r="139" spans="1:6" s="141" customFormat="1">
      <c r="A139" s="148"/>
      <c r="B139" s="137"/>
      <c r="C139" s="137"/>
      <c r="D139" s="139"/>
      <c r="E139" s="145"/>
      <c r="F139" s="175"/>
    </row>
    <row r="140" spans="1:6" s="141" customFormat="1">
      <c r="A140" s="148"/>
      <c r="B140" s="137"/>
      <c r="C140" s="137"/>
      <c r="D140" s="139"/>
      <c r="E140" s="145"/>
      <c r="F140" s="175"/>
    </row>
    <row r="141" spans="1:6" s="141" customFormat="1">
      <c r="A141" s="148"/>
      <c r="B141" s="137"/>
      <c r="C141" s="137"/>
      <c r="D141" s="139"/>
      <c r="E141" s="145"/>
      <c r="F141" s="175"/>
    </row>
    <row r="142" spans="1:6" s="141" customFormat="1">
      <c r="A142" s="148"/>
      <c r="B142" s="137"/>
      <c r="C142" s="137"/>
      <c r="D142" s="139"/>
      <c r="E142" s="145"/>
      <c r="F142" s="175"/>
    </row>
    <row r="143" spans="1:6" s="141" customFormat="1">
      <c r="A143" s="148"/>
      <c r="B143" s="137"/>
      <c r="C143" s="137"/>
      <c r="D143" s="139"/>
      <c r="E143" s="145"/>
      <c r="F143" s="175"/>
    </row>
    <row r="144" spans="1:6" s="141" customFormat="1">
      <c r="A144" s="148"/>
      <c r="B144" s="137"/>
      <c r="C144" s="137"/>
      <c r="D144" s="139"/>
      <c r="E144" s="145"/>
      <c r="F144" s="175"/>
    </row>
    <row r="145" spans="1:6" s="141" customFormat="1">
      <c r="A145" s="148"/>
      <c r="B145" s="137"/>
      <c r="C145" s="137"/>
      <c r="D145" s="139"/>
      <c r="E145" s="145"/>
      <c r="F145" s="175"/>
    </row>
    <row r="146" spans="1:6" s="141" customFormat="1">
      <c r="A146" s="148"/>
      <c r="B146" s="137"/>
      <c r="C146" s="137"/>
      <c r="D146" s="139"/>
      <c r="E146" s="145"/>
      <c r="F146" s="175"/>
    </row>
    <row r="147" spans="1:6" s="141" customFormat="1">
      <c r="A147" s="148"/>
      <c r="B147" s="137"/>
      <c r="C147" s="137"/>
      <c r="D147" s="139"/>
      <c r="E147" s="145"/>
      <c r="F147" s="175"/>
    </row>
    <row r="148" spans="1:6" s="141" customFormat="1">
      <c r="A148" s="148"/>
      <c r="B148" s="137"/>
      <c r="C148" s="137"/>
      <c r="D148" s="139"/>
      <c r="E148" s="145"/>
      <c r="F148" s="175"/>
    </row>
    <row r="149" spans="1:6" s="141" customFormat="1">
      <c r="A149" s="148"/>
      <c r="B149" s="137"/>
      <c r="C149" s="137"/>
      <c r="D149" s="139"/>
      <c r="E149" s="145"/>
      <c r="F149" s="175"/>
    </row>
    <row r="150" spans="1:6" s="141" customFormat="1">
      <c r="A150" s="148"/>
      <c r="B150" s="137"/>
      <c r="C150" s="137"/>
      <c r="D150" s="139"/>
      <c r="E150" s="145"/>
      <c r="F150" s="175"/>
    </row>
    <row r="151" spans="1:6" s="141" customFormat="1">
      <c r="A151" s="148"/>
      <c r="B151" s="137"/>
      <c r="C151" s="137"/>
      <c r="D151" s="139"/>
      <c r="E151" s="145"/>
      <c r="F151" s="175"/>
    </row>
    <row r="152" spans="1:6" s="141" customFormat="1">
      <c r="A152" s="148"/>
      <c r="B152" s="137"/>
      <c r="C152" s="137"/>
      <c r="D152" s="139"/>
      <c r="E152" s="145"/>
      <c r="F152" s="175"/>
    </row>
    <row r="153" spans="1:6" s="141" customFormat="1">
      <c r="A153" s="148"/>
      <c r="B153" s="137"/>
      <c r="C153" s="137"/>
      <c r="D153" s="139"/>
      <c r="E153" s="145"/>
      <c r="F153" s="175"/>
    </row>
    <row r="154" spans="1:6" s="141" customFormat="1">
      <c r="A154" s="148"/>
      <c r="B154" s="137"/>
      <c r="C154" s="137"/>
      <c r="D154" s="139"/>
      <c r="E154" s="145"/>
      <c r="F154" s="175"/>
    </row>
    <row r="155" spans="1:6" s="141" customFormat="1">
      <c r="A155" s="148"/>
      <c r="B155" s="137"/>
      <c r="C155" s="137"/>
      <c r="D155" s="139"/>
      <c r="E155" s="145"/>
      <c r="F155" s="175"/>
    </row>
    <row r="156" spans="1:6" s="141" customFormat="1">
      <c r="A156" s="148"/>
      <c r="B156" s="137"/>
      <c r="C156" s="137"/>
      <c r="D156" s="139"/>
      <c r="E156" s="145"/>
      <c r="F156" s="175"/>
    </row>
    <row r="157" spans="1:6" s="141" customFormat="1">
      <c r="A157" s="148"/>
      <c r="B157" s="137"/>
      <c r="C157" s="137"/>
      <c r="D157" s="139"/>
      <c r="E157" s="145"/>
      <c r="F157" s="175"/>
    </row>
    <row r="158" spans="1:6" s="141" customFormat="1">
      <c r="A158" s="148"/>
      <c r="B158" s="137"/>
      <c r="C158" s="137"/>
      <c r="D158" s="139"/>
      <c r="E158" s="145"/>
      <c r="F158" s="175"/>
    </row>
    <row r="159" spans="1:6" s="141" customFormat="1">
      <c r="A159" s="148"/>
      <c r="B159" s="137"/>
      <c r="C159" s="137"/>
      <c r="D159" s="139"/>
      <c r="E159" s="145"/>
      <c r="F159" s="175"/>
    </row>
    <row r="160" spans="1:6" s="141" customFormat="1">
      <c r="A160" s="148"/>
      <c r="B160" s="137"/>
      <c r="C160" s="137"/>
      <c r="D160" s="139"/>
      <c r="E160" s="145"/>
      <c r="F160" s="175"/>
    </row>
    <row r="161" spans="1:6" s="141" customFormat="1">
      <c r="A161" s="148"/>
      <c r="B161" s="137"/>
      <c r="C161" s="137"/>
      <c r="D161" s="139"/>
      <c r="E161" s="145"/>
      <c r="F161" s="175"/>
    </row>
    <row r="162" spans="1:6" s="141" customFormat="1">
      <c r="A162" s="148"/>
      <c r="B162" s="137"/>
      <c r="C162" s="137"/>
      <c r="D162" s="139"/>
      <c r="E162" s="145"/>
      <c r="F162" s="175"/>
    </row>
    <row r="163" spans="1:6" s="141" customFormat="1">
      <c r="A163" s="148"/>
      <c r="B163" s="137"/>
      <c r="C163" s="137"/>
      <c r="D163" s="139"/>
      <c r="E163" s="145"/>
      <c r="F163" s="175"/>
    </row>
    <row r="164" spans="1:6" s="141" customFormat="1">
      <c r="A164" s="148"/>
      <c r="B164" s="137"/>
      <c r="C164" s="137"/>
      <c r="D164" s="139"/>
      <c r="E164" s="145"/>
      <c r="F164" s="175"/>
    </row>
    <row r="165" spans="1:6" s="141" customFormat="1">
      <c r="A165" s="148"/>
      <c r="B165" s="137"/>
      <c r="C165" s="137"/>
      <c r="D165" s="139"/>
      <c r="E165" s="145"/>
      <c r="F165" s="175"/>
    </row>
    <row r="166" spans="1:6" s="141" customFormat="1">
      <c r="A166" s="148"/>
      <c r="B166" s="137"/>
      <c r="C166" s="137"/>
      <c r="D166" s="139"/>
      <c r="E166" s="145"/>
      <c r="F166" s="175"/>
    </row>
    <row r="167" spans="1:6" s="141" customFormat="1">
      <c r="A167" s="148"/>
      <c r="B167" s="137"/>
      <c r="C167" s="137"/>
      <c r="D167" s="139"/>
      <c r="E167" s="145"/>
      <c r="F167" s="175"/>
    </row>
    <row r="168" spans="1:6" s="141" customFormat="1">
      <c r="A168" s="148"/>
      <c r="B168" s="137"/>
      <c r="C168" s="137"/>
      <c r="D168" s="139"/>
      <c r="E168" s="145"/>
      <c r="F168" s="175"/>
    </row>
    <row r="169" spans="1:6" s="141" customFormat="1">
      <c r="A169" s="148"/>
      <c r="B169" s="137"/>
      <c r="C169" s="137"/>
      <c r="D169" s="139"/>
      <c r="E169" s="145"/>
      <c r="F169" s="175"/>
    </row>
    <row r="170" spans="1:6" s="141" customFormat="1">
      <c r="A170" s="148"/>
      <c r="B170" s="137"/>
      <c r="C170" s="137"/>
      <c r="D170" s="139"/>
      <c r="E170" s="145"/>
      <c r="F170" s="175"/>
    </row>
    <row r="171" spans="1:6" s="141" customFormat="1">
      <c r="A171" s="148"/>
      <c r="B171" s="137"/>
      <c r="C171" s="137"/>
      <c r="D171" s="139"/>
      <c r="E171" s="145"/>
      <c r="F171" s="175"/>
    </row>
    <row r="172" spans="1:6" s="141" customFormat="1">
      <c r="A172" s="148"/>
      <c r="B172" s="137"/>
      <c r="C172" s="137"/>
      <c r="D172" s="139"/>
      <c r="E172" s="145"/>
      <c r="F172" s="175"/>
    </row>
    <row r="173" spans="1:6" s="141" customFormat="1">
      <c r="A173" s="148"/>
      <c r="B173" s="137"/>
      <c r="C173" s="137"/>
      <c r="D173" s="139"/>
      <c r="E173" s="145"/>
      <c r="F173" s="175"/>
    </row>
    <row r="174" spans="1:6" s="141" customFormat="1">
      <c r="A174" s="148"/>
      <c r="B174" s="137"/>
      <c r="C174" s="137"/>
      <c r="D174" s="139"/>
      <c r="E174" s="145"/>
      <c r="F174" s="175"/>
    </row>
    <row r="175" spans="1:6" s="141" customFormat="1">
      <c r="A175" s="148"/>
      <c r="B175" s="137"/>
      <c r="C175" s="137"/>
      <c r="D175" s="139"/>
      <c r="E175" s="145"/>
      <c r="F175" s="175"/>
    </row>
    <row r="176" spans="1:6" s="141" customFormat="1">
      <c r="A176" s="148"/>
      <c r="B176" s="137"/>
      <c r="C176" s="137"/>
      <c r="D176" s="139"/>
      <c r="E176" s="145"/>
      <c r="F176" s="175"/>
    </row>
    <row r="177" spans="1:6" s="141" customFormat="1">
      <c r="A177" s="148"/>
      <c r="B177" s="137"/>
      <c r="C177" s="137"/>
      <c r="D177" s="139"/>
      <c r="E177" s="145"/>
      <c r="F177" s="175"/>
    </row>
    <row r="178" spans="1:6" s="141" customFormat="1">
      <c r="A178" s="148"/>
      <c r="B178" s="137"/>
      <c r="C178" s="137"/>
      <c r="D178" s="139"/>
      <c r="E178" s="145"/>
      <c r="F178" s="175"/>
    </row>
    <row r="179" spans="1:6" s="141" customFormat="1">
      <c r="A179" s="148"/>
      <c r="B179" s="137"/>
      <c r="C179" s="137"/>
      <c r="D179" s="139"/>
      <c r="E179" s="145"/>
      <c r="F179" s="175"/>
    </row>
    <row r="180" spans="1:6" s="141" customFormat="1">
      <c r="A180" s="148"/>
      <c r="B180" s="137"/>
      <c r="C180" s="137"/>
      <c r="D180" s="139"/>
      <c r="E180" s="145"/>
      <c r="F180" s="175"/>
    </row>
    <row r="181" spans="1:6" s="141" customFormat="1">
      <c r="A181" s="148"/>
      <c r="B181" s="137"/>
      <c r="C181" s="137"/>
      <c r="D181" s="139"/>
      <c r="E181" s="145"/>
      <c r="F181" s="175"/>
    </row>
    <row r="182" spans="1:6" s="141" customFormat="1">
      <c r="A182" s="148"/>
      <c r="B182" s="137"/>
      <c r="C182" s="137"/>
      <c r="D182" s="139"/>
      <c r="E182" s="145"/>
      <c r="F182" s="175"/>
    </row>
    <row r="183" spans="1:6" s="141" customFormat="1">
      <c r="A183" s="148"/>
      <c r="B183" s="137"/>
      <c r="C183" s="137"/>
      <c r="D183" s="139"/>
      <c r="E183" s="145"/>
      <c r="F183" s="175"/>
    </row>
    <row r="184" spans="1:6" s="141" customFormat="1">
      <c r="A184" s="148"/>
      <c r="B184" s="137"/>
      <c r="C184" s="137"/>
      <c r="D184" s="139"/>
      <c r="E184" s="145"/>
      <c r="F184" s="175"/>
    </row>
    <row r="185" spans="1:6" s="141" customFormat="1">
      <c r="A185" s="148"/>
      <c r="B185" s="137"/>
      <c r="C185" s="137"/>
      <c r="D185" s="139"/>
      <c r="E185" s="145"/>
      <c r="F185" s="175"/>
    </row>
    <row r="186" spans="1:6" s="141" customFormat="1">
      <c r="A186" s="148"/>
      <c r="B186" s="137"/>
      <c r="C186" s="137"/>
      <c r="D186" s="139"/>
      <c r="E186" s="145"/>
      <c r="F186" s="175"/>
    </row>
    <row r="187" spans="1:6" s="141" customFormat="1">
      <c r="A187" s="148"/>
      <c r="B187" s="137"/>
      <c r="C187" s="137"/>
      <c r="D187" s="139"/>
      <c r="E187" s="145"/>
      <c r="F187" s="175"/>
    </row>
    <row r="188" spans="1:6" s="141" customFormat="1">
      <c r="A188" s="148"/>
      <c r="B188" s="137"/>
      <c r="C188" s="137"/>
      <c r="D188" s="139"/>
      <c r="E188" s="145"/>
      <c r="F188" s="175"/>
    </row>
    <row r="189" spans="1:6" s="141" customFormat="1">
      <c r="A189" s="148"/>
      <c r="B189" s="137"/>
      <c r="C189" s="137"/>
      <c r="D189" s="139"/>
      <c r="E189" s="145"/>
      <c r="F189" s="175"/>
    </row>
    <row r="190" spans="1:6" s="141" customFormat="1">
      <c r="A190" s="148"/>
      <c r="B190" s="137"/>
      <c r="C190" s="137"/>
      <c r="D190" s="139"/>
      <c r="E190" s="145"/>
      <c r="F190" s="175"/>
    </row>
    <row r="191" spans="1:6" s="141" customFormat="1">
      <c r="A191" s="148"/>
      <c r="B191" s="137"/>
      <c r="C191" s="137"/>
      <c r="D191" s="139"/>
      <c r="E191" s="145"/>
      <c r="F191" s="175"/>
    </row>
    <row r="192" spans="1:6" s="141" customFormat="1">
      <c r="A192" s="148"/>
      <c r="B192" s="137"/>
      <c r="C192" s="137"/>
      <c r="D192" s="139"/>
      <c r="E192" s="145"/>
      <c r="F192" s="175"/>
    </row>
    <row r="193" spans="1:6" s="141" customFormat="1">
      <c r="A193" s="148"/>
      <c r="B193" s="137"/>
      <c r="C193" s="137"/>
      <c r="D193" s="139"/>
      <c r="E193" s="145"/>
      <c r="F193" s="175"/>
    </row>
  </sheetData>
  <autoFilter ref="A2:G2" xr:uid="{F5C555A3-6897-41F2-9EB4-0B4A6AE237D4}"/>
  <mergeCells count="9">
    <mergeCell ref="C20:C21"/>
    <mergeCell ref="C22:C23"/>
    <mergeCell ref="C25:C29"/>
    <mergeCell ref="A1:G1"/>
    <mergeCell ref="C4:C6"/>
    <mergeCell ref="C9:C11"/>
    <mergeCell ref="C13:C15"/>
    <mergeCell ref="C16:C17"/>
    <mergeCell ref="C18:C19"/>
  </mergeCells>
  <phoneticPr fontId="2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7E21-4093-46F0-9141-6EC06F4EEDD0}">
  <sheetPr codeName="Sheet20"/>
  <dimension ref="A1:G87"/>
  <sheetViews>
    <sheetView workbookViewId="0">
      <selection activeCell="A2" sqref="A2:XFD2"/>
    </sheetView>
  </sheetViews>
  <sheetFormatPr defaultColWidth="8.7265625" defaultRowHeight="14"/>
  <cols>
    <col min="1" max="1" width="9.90625" style="177" customWidth="1"/>
    <col min="2" max="2" width="10.36328125" style="180" customWidth="1"/>
    <col min="3" max="3" width="12.7265625" style="137" customWidth="1"/>
    <col min="4" max="4" width="45.6328125" style="137" customWidth="1"/>
    <col min="5" max="6" width="16.6328125" style="140" customWidth="1"/>
    <col min="7" max="7" width="34.7265625" style="137" customWidth="1"/>
    <col min="8" max="16384" width="8.7265625" style="137"/>
  </cols>
  <sheetData>
    <row r="1" spans="1:7" ht="24.5" customHeight="1">
      <c r="A1" s="290" t="s">
        <v>912</v>
      </c>
      <c r="B1" s="269"/>
      <c r="C1" s="269"/>
      <c r="D1" s="269"/>
      <c r="E1" s="269"/>
      <c r="F1" s="269"/>
      <c r="G1" s="270"/>
    </row>
    <row r="2" spans="1:7">
      <c r="A2" s="176" t="s">
        <v>1</v>
      </c>
      <c r="B2" s="179" t="s">
        <v>2</v>
      </c>
      <c r="C2" s="133" t="s">
        <v>3</v>
      </c>
      <c r="D2" s="133" t="s">
        <v>4</v>
      </c>
      <c r="E2" s="135" t="s">
        <v>5</v>
      </c>
      <c r="F2" s="135" t="s">
        <v>6</v>
      </c>
      <c r="G2" s="133" t="s">
        <v>7</v>
      </c>
    </row>
    <row r="3" spans="1:7">
      <c r="A3" s="198"/>
      <c r="B3" s="199"/>
      <c r="C3" s="187"/>
      <c r="D3" s="186"/>
      <c r="E3" s="200">
        <f>SUBTOTAL(109,E4:E87)</f>
        <v>7450000</v>
      </c>
      <c r="F3" s="200">
        <f>SUBTOTAL(109,F4:F87)</f>
        <v>4265000</v>
      </c>
      <c r="G3" s="186"/>
    </row>
    <row r="4" spans="1:7">
      <c r="A4" s="177">
        <v>46174</v>
      </c>
      <c r="B4" s="197" t="s">
        <v>149</v>
      </c>
      <c r="C4" s="286">
        <v>306</v>
      </c>
      <c r="D4" s="137" t="s">
        <v>126</v>
      </c>
      <c r="E4" s="174">
        <v>200000</v>
      </c>
    </row>
    <row r="5" spans="1:7">
      <c r="B5" s="197" t="s">
        <v>149</v>
      </c>
      <c r="C5" s="273"/>
      <c r="D5" s="137" t="s">
        <v>555</v>
      </c>
      <c r="F5" s="140">
        <v>25000</v>
      </c>
    </row>
    <row r="6" spans="1:7">
      <c r="B6" s="197" t="s">
        <v>149</v>
      </c>
      <c r="C6" s="137">
        <v>308</v>
      </c>
      <c r="D6" s="137" t="s">
        <v>126</v>
      </c>
      <c r="E6" s="140">
        <v>150000</v>
      </c>
    </row>
    <row r="7" spans="1:7">
      <c r="B7" s="197" t="s">
        <v>149</v>
      </c>
      <c r="C7" s="137">
        <v>103</v>
      </c>
      <c r="D7" s="137" t="s">
        <v>976</v>
      </c>
      <c r="F7" s="140">
        <v>20000</v>
      </c>
    </row>
    <row r="8" spans="1:7">
      <c r="B8" s="203" t="s">
        <v>202</v>
      </c>
      <c r="C8" s="137">
        <v>502</v>
      </c>
      <c r="D8" s="137" t="s">
        <v>126</v>
      </c>
      <c r="E8" s="140">
        <v>200000</v>
      </c>
    </row>
    <row r="9" spans="1:7">
      <c r="B9" s="197" t="s">
        <v>202</v>
      </c>
      <c r="C9" s="137">
        <v>501</v>
      </c>
      <c r="D9" s="137" t="s">
        <v>126</v>
      </c>
      <c r="E9" s="140">
        <v>300000</v>
      </c>
      <c r="G9" s="137" t="s">
        <v>482</v>
      </c>
    </row>
    <row r="10" spans="1:7">
      <c r="A10" s="177">
        <v>46175</v>
      </c>
      <c r="B10" s="197" t="s">
        <v>615</v>
      </c>
      <c r="C10" s="178"/>
      <c r="D10" s="137" t="s">
        <v>977</v>
      </c>
      <c r="F10" s="140">
        <v>80000</v>
      </c>
    </row>
    <row r="11" spans="1:7">
      <c r="B11" s="197" t="s">
        <v>212</v>
      </c>
      <c r="C11" s="137">
        <v>402</v>
      </c>
      <c r="D11" s="137" t="s">
        <v>126</v>
      </c>
      <c r="E11" s="140">
        <v>150000</v>
      </c>
    </row>
    <row r="12" spans="1:7">
      <c r="B12" s="197" t="s">
        <v>136</v>
      </c>
      <c r="C12" s="286">
        <v>502</v>
      </c>
      <c r="D12" s="137" t="s">
        <v>19</v>
      </c>
      <c r="E12" s="140">
        <v>200000</v>
      </c>
    </row>
    <row r="13" spans="1:7">
      <c r="B13" s="197" t="s">
        <v>136</v>
      </c>
      <c r="C13" s="272"/>
      <c r="D13" s="137" t="s">
        <v>126</v>
      </c>
      <c r="E13" s="140">
        <v>150000</v>
      </c>
    </row>
    <row r="14" spans="1:7">
      <c r="B14" s="197" t="s">
        <v>136</v>
      </c>
      <c r="C14" s="273"/>
      <c r="D14" s="137" t="s">
        <v>71</v>
      </c>
      <c r="F14" s="140">
        <v>120000</v>
      </c>
    </row>
    <row r="15" spans="1:7">
      <c r="B15" s="197" t="s">
        <v>978</v>
      </c>
      <c r="C15" s="286">
        <v>301</v>
      </c>
      <c r="D15" s="137" t="s">
        <v>19</v>
      </c>
      <c r="E15" s="140">
        <v>200000</v>
      </c>
    </row>
    <row r="16" spans="1:7">
      <c r="B16" s="197" t="s">
        <v>978</v>
      </c>
      <c r="C16" s="272"/>
      <c r="D16" s="137" t="s">
        <v>126</v>
      </c>
      <c r="E16" s="140">
        <v>150000</v>
      </c>
    </row>
    <row r="17" spans="1:6">
      <c r="B17" s="197" t="s">
        <v>978</v>
      </c>
      <c r="C17" s="273"/>
      <c r="D17" s="137" t="s">
        <v>810</v>
      </c>
      <c r="F17" s="140">
        <v>80000</v>
      </c>
    </row>
    <row r="18" spans="1:6">
      <c r="B18" s="197" t="s">
        <v>199</v>
      </c>
      <c r="C18" s="286">
        <v>401</v>
      </c>
      <c r="D18" s="137" t="s">
        <v>19</v>
      </c>
      <c r="E18" s="140">
        <v>200000</v>
      </c>
    </row>
    <row r="19" spans="1:6">
      <c r="B19" s="197" t="s">
        <v>199</v>
      </c>
      <c r="C19" s="272"/>
      <c r="D19" s="137" t="s">
        <v>126</v>
      </c>
      <c r="E19" s="140">
        <v>150000</v>
      </c>
    </row>
    <row r="20" spans="1:6">
      <c r="B20" s="197" t="s">
        <v>199</v>
      </c>
      <c r="C20" s="272"/>
      <c r="D20" s="137" t="s">
        <v>979</v>
      </c>
      <c r="F20" s="140">
        <v>100000</v>
      </c>
    </row>
    <row r="21" spans="1:6">
      <c r="B21" s="197" t="s">
        <v>199</v>
      </c>
      <c r="C21" s="272"/>
      <c r="D21" s="137" t="s">
        <v>346</v>
      </c>
      <c r="F21" s="140">
        <v>120000</v>
      </c>
    </row>
    <row r="22" spans="1:6">
      <c r="B22" s="197" t="s">
        <v>199</v>
      </c>
      <c r="C22" s="272"/>
      <c r="D22" s="137" t="s">
        <v>980</v>
      </c>
      <c r="F22" s="140">
        <v>25000</v>
      </c>
    </row>
    <row r="23" spans="1:6">
      <c r="B23" s="197" t="s">
        <v>199</v>
      </c>
      <c r="C23" s="273"/>
      <c r="D23" s="137" t="s">
        <v>981</v>
      </c>
      <c r="F23" s="140">
        <v>80000</v>
      </c>
    </row>
    <row r="24" spans="1:6">
      <c r="A24" s="287">
        <v>46176</v>
      </c>
      <c r="B24" s="197" t="s">
        <v>293</v>
      </c>
      <c r="C24" s="286">
        <v>302</v>
      </c>
      <c r="D24" s="137" t="s">
        <v>982</v>
      </c>
      <c r="E24" s="140">
        <v>300000</v>
      </c>
    </row>
    <row r="25" spans="1:6">
      <c r="A25" s="288"/>
      <c r="B25" s="197" t="s">
        <v>293</v>
      </c>
      <c r="C25" s="272"/>
      <c r="D25" s="137" t="s">
        <v>338</v>
      </c>
      <c r="F25" s="140">
        <v>80000</v>
      </c>
    </row>
    <row r="26" spans="1:6">
      <c r="A26" s="288"/>
      <c r="B26" s="197" t="s">
        <v>293</v>
      </c>
      <c r="C26" s="272"/>
      <c r="D26" s="137" t="s">
        <v>511</v>
      </c>
      <c r="F26" s="140">
        <v>120000</v>
      </c>
    </row>
    <row r="27" spans="1:6">
      <c r="A27" s="288"/>
      <c r="B27" s="197" t="s">
        <v>293</v>
      </c>
      <c r="C27" s="273"/>
      <c r="D27" s="137" t="s">
        <v>983</v>
      </c>
      <c r="F27" s="140">
        <v>40000</v>
      </c>
    </row>
    <row r="28" spans="1:6">
      <c r="A28" s="288"/>
      <c r="B28" s="197" t="s">
        <v>984</v>
      </c>
      <c r="C28" s="137">
        <v>202</v>
      </c>
      <c r="D28" s="137" t="s">
        <v>810</v>
      </c>
      <c r="F28" s="140">
        <v>80000</v>
      </c>
    </row>
    <row r="29" spans="1:6">
      <c r="A29" s="288"/>
      <c r="B29" s="197" t="s">
        <v>149</v>
      </c>
      <c r="C29" s="178"/>
      <c r="D29" s="137" t="s">
        <v>604</v>
      </c>
      <c r="F29" s="140">
        <v>85000</v>
      </c>
    </row>
    <row r="30" spans="1:6">
      <c r="A30" s="288"/>
      <c r="B30" s="197" t="s">
        <v>448</v>
      </c>
      <c r="C30" s="137">
        <v>201</v>
      </c>
      <c r="D30" s="137" t="s">
        <v>126</v>
      </c>
      <c r="E30" s="140">
        <v>150000</v>
      </c>
    </row>
    <row r="31" spans="1:6">
      <c r="A31" s="288"/>
      <c r="B31" s="197" t="s">
        <v>448</v>
      </c>
      <c r="C31" s="137">
        <v>303</v>
      </c>
      <c r="D31" s="137" t="s">
        <v>126</v>
      </c>
      <c r="E31" s="140">
        <v>150000</v>
      </c>
    </row>
    <row r="32" spans="1:6">
      <c r="A32" s="289"/>
      <c r="B32" s="197" t="s">
        <v>448</v>
      </c>
      <c r="C32" s="137">
        <v>601</v>
      </c>
      <c r="D32" s="137" t="s">
        <v>126</v>
      </c>
      <c r="E32" s="140">
        <v>150000</v>
      </c>
    </row>
    <row r="33" spans="1:6">
      <c r="A33" s="287">
        <v>46177</v>
      </c>
      <c r="B33" s="197" t="s">
        <v>12</v>
      </c>
      <c r="C33" s="172">
        <v>601</v>
      </c>
      <c r="D33" s="137" t="s">
        <v>126</v>
      </c>
      <c r="E33" s="140">
        <v>150000</v>
      </c>
    </row>
    <row r="34" spans="1:6">
      <c r="A34" s="288"/>
      <c r="B34" s="197" t="s">
        <v>446</v>
      </c>
      <c r="C34" s="137">
        <v>102</v>
      </c>
      <c r="D34" s="137" t="s">
        <v>126</v>
      </c>
      <c r="E34" s="140">
        <v>150000</v>
      </c>
    </row>
    <row r="35" spans="1:6">
      <c r="A35" s="288"/>
      <c r="B35" s="197" t="s">
        <v>865</v>
      </c>
      <c r="C35" s="286"/>
      <c r="D35" s="137" t="s">
        <v>985</v>
      </c>
      <c r="F35" s="140">
        <v>300000</v>
      </c>
    </row>
    <row r="36" spans="1:6">
      <c r="A36" s="289"/>
      <c r="B36" s="197" t="s">
        <v>865</v>
      </c>
      <c r="C36" s="273"/>
      <c r="D36" s="137" t="s">
        <v>322</v>
      </c>
      <c r="F36" s="140">
        <v>120000</v>
      </c>
    </row>
    <row r="37" spans="1:6">
      <c r="A37" s="287">
        <v>46178</v>
      </c>
      <c r="B37" s="197" t="s">
        <v>365</v>
      </c>
      <c r="C37" s="286">
        <v>401</v>
      </c>
      <c r="D37" s="137" t="s">
        <v>73</v>
      </c>
      <c r="F37" s="140">
        <v>40000</v>
      </c>
    </row>
    <row r="38" spans="1:6">
      <c r="A38" s="289"/>
      <c r="B38" s="197" t="s">
        <v>365</v>
      </c>
      <c r="C38" s="273"/>
      <c r="D38" s="137" t="s">
        <v>555</v>
      </c>
      <c r="F38" s="140">
        <v>20000</v>
      </c>
    </row>
    <row r="39" spans="1:6">
      <c r="A39" s="287">
        <v>46179</v>
      </c>
      <c r="B39" s="197" t="s">
        <v>295</v>
      </c>
      <c r="C39" s="286">
        <v>104</v>
      </c>
      <c r="D39" s="137" t="s">
        <v>19</v>
      </c>
      <c r="E39" s="140">
        <v>200000</v>
      </c>
    </row>
    <row r="40" spans="1:6">
      <c r="A40" s="289"/>
      <c r="B40" s="197" t="s">
        <v>295</v>
      </c>
      <c r="C40" s="273"/>
      <c r="D40" s="137" t="s">
        <v>126</v>
      </c>
      <c r="E40" s="140">
        <v>150000</v>
      </c>
    </row>
    <row r="41" spans="1:6">
      <c r="A41" s="287">
        <v>46180</v>
      </c>
      <c r="B41" s="197" t="s">
        <v>569</v>
      </c>
      <c r="C41" s="137">
        <v>402</v>
      </c>
      <c r="D41" s="137" t="s">
        <v>126</v>
      </c>
      <c r="E41" s="140">
        <v>150000</v>
      </c>
    </row>
    <row r="42" spans="1:6">
      <c r="A42" s="288"/>
      <c r="B42" s="197" t="s">
        <v>20</v>
      </c>
      <c r="C42" s="137">
        <v>204</v>
      </c>
      <c r="D42" s="137" t="s">
        <v>986</v>
      </c>
      <c r="E42" s="140">
        <v>300000</v>
      </c>
    </row>
    <row r="43" spans="1:6">
      <c r="A43" s="289"/>
      <c r="B43" s="197" t="s">
        <v>562</v>
      </c>
      <c r="C43" s="137">
        <v>303</v>
      </c>
      <c r="D43" s="137" t="s">
        <v>152</v>
      </c>
      <c r="F43" s="140">
        <v>25000</v>
      </c>
    </row>
    <row r="44" spans="1:6">
      <c r="A44" s="287">
        <v>46181</v>
      </c>
      <c r="B44" s="197" t="s">
        <v>275</v>
      </c>
      <c r="C44" s="137">
        <v>403</v>
      </c>
      <c r="D44" s="137" t="s">
        <v>126</v>
      </c>
      <c r="E44" s="140">
        <v>150000</v>
      </c>
    </row>
    <row r="45" spans="1:6">
      <c r="A45" s="289"/>
      <c r="B45" s="197" t="s">
        <v>443</v>
      </c>
      <c r="C45" s="137">
        <v>402</v>
      </c>
      <c r="D45" s="137" t="s">
        <v>126</v>
      </c>
      <c r="E45" s="140">
        <v>150000</v>
      </c>
    </row>
    <row r="46" spans="1:6" ht="14.4" customHeight="1">
      <c r="A46" s="287">
        <v>46182</v>
      </c>
      <c r="B46" s="197" t="s">
        <v>556</v>
      </c>
      <c r="D46" s="137" t="s">
        <v>987</v>
      </c>
      <c r="F46" s="140">
        <v>20000</v>
      </c>
    </row>
    <row r="47" spans="1:6">
      <c r="A47" s="288"/>
      <c r="B47" s="197" t="s">
        <v>146</v>
      </c>
      <c r="C47" s="137">
        <v>603</v>
      </c>
      <c r="D47" s="137" t="s">
        <v>126</v>
      </c>
      <c r="E47" s="140">
        <v>200000</v>
      </c>
    </row>
    <row r="48" spans="1:6">
      <c r="A48" s="289"/>
      <c r="B48" s="197" t="s">
        <v>146</v>
      </c>
      <c r="D48" s="137" t="s">
        <v>191</v>
      </c>
      <c r="F48" s="140">
        <v>40000</v>
      </c>
    </row>
    <row r="49" spans="1:6">
      <c r="A49" s="287">
        <v>46184</v>
      </c>
      <c r="B49" s="197" t="s">
        <v>146</v>
      </c>
      <c r="C49" s="137">
        <v>303</v>
      </c>
      <c r="D49" s="137" t="s">
        <v>191</v>
      </c>
      <c r="F49" s="140">
        <v>40000</v>
      </c>
    </row>
    <row r="50" spans="1:6">
      <c r="A50" s="288"/>
      <c r="B50" s="197" t="s">
        <v>103</v>
      </c>
      <c r="C50" s="137">
        <v>102</v>
      </c>
      <c r="D50" s="137" t="s">
        <v>153</v>
      </c>
      <c r="F50" s="140">
        <v>50000</v>
      </c>
    </row>
    <row r="51" spans="1:6">
      <c r="A51" s="288"/>
      <c r="B51" s="197" t="s">
        <v>103</v>
      </c>
      <c r="C51" s="137">
        <v>102</v>
      </c>
      <c r="D51" s="137" t="s">
        <v>489</v>
      </c>
      <c r="F51" s="140">
        <v>40000</v>
      </c>
    </row>
    <row r="52" spans="1:6">
      <c r="A52" s="288"/>
      <c r="B52" s="197" t="s">
        <v>209</v>
      </c>
      <c r="C52" s="137">
        <v>301</v>
      </c>
      <c r="D52" s="137" t="s">
        <v>489</v>
      </c>
      <c r="F52" s="140">
        <v>40000</v>
      </c>
    </row>
    <row r="53" spans="1:6">
      <c r="A53" s="288"/>
      <c r="B53" s="197" t="s">
        <v>187</v>
      </c>
      <c r="D53" s="137" t="s">
        <v>988</v>
      </c>
    </row>
    <row r="54" spans="1:6">
      <c r="A54" s="289"/>
      <c r="B54" s="197" t="s">
        <v>187</v>
      </c>
      <c r="D54" s="137" t="s">
        <v>989</v>
      </c>
      <c r="F54" s="140">
        <v>80000</v>
      </c>
    </row>
    <row r="55" spans="1:6">
      <c r="A55" s="287">
        <v>46185</v>
      </c>
      <c r="B55" s="197" t="s">
        <v>209</v>
      </c>
      <c r="D55" s="137" t="s">
        <v>990</v>
      </c>
      <c r="E55" s="140">
        <v>1000000</v>
      </c>
    </row>
    <row r="56" spans="1:6">
      <c r="A56" s="288"/>
      <c r="B56" s="197" t="s">
        <v>209</v>
      </c>
      <c r="D56" s="137" t="s">
        <v>991</v>
      </c>
    </row>
    <row r="57" spans="1:6">
      <c r="A57" s="289"/>
      <c r="B57" s="197" t="s">
        <v>209</v>
      </c>
      <c r="D57" s="137" t="s">
        <v>992</v>
      </c>
      <c r="F57" s="140">
        <v>600000</v>
      </c>
    </row>
    <row r="58" spans="1:6">
      <c r="A58" s="287">
        <v>46187</v>
      </c>
      <c r="B58" s="197" t="s">
        <v>12</v>
      </c>
      <c r="C58" s="137">
        <v>401</v>
      </c>
      <c r="D58" s="137" t="s">
        <v>993</v>
      </c>
      <c r="E58" s="140">
        <v>200000</v>
      </c>
    </row>
    <row r="59" spans="1:6">
      <c r="A59" s="288"/>
      <c r="B59" s="197" t="s">
        <v>12</v>
      </c>
      <c r="C59" s="137">
        <v>402</v>
      </c>
      <c r="D59" s="137" t="s">
        <v>994</v>
      </c>
      <c r="E59" s="140">
        <v>200000</v>
      </c>
    </row>
    <row r="60" spans="1:6">
      <c r="A60" s="288"/>
      <c r="B60" s="197" t="s">
        <v>615</v>
      </c>
      <c r="C60" s="137">
        <v>403</v>
      </c>
      <c r="D60" s="137" t="s">
        <v>995</v>
      </c>
      <c r="F60" s="140">
        <v>80000</v>
      </c>
    </row>
    <row r="61" spans="1:6">
      <c r="A61" s="288"/>
      <c r="B61" s="197" t="s">
        <v>615</v>
      </c>
      <c r="C61" s="137">
        <v>403</v>
      </c>
      <c r="D61" s="137" t="s">
        <v>326</v>
      </c>
      <c r="F61" s="140">
        <v>45000</v>
      </c>
    </row>
    <row r="62" spans="1:6">
      <c r="A62" s="288"/>
      <c r="B62" s="197" t="s">
        <v>568</v>
      </c>
      <c r="C62" s="137">
        <v>401</v>
      </c>
      <c r="D62" s="137" t="s">
        <v>810</v>
      </c>
      <c r="F62" s="140">
        <v>80000</v>
      </c>
    </row>
    <row r="63" spans="1:6">
      <c r="A63" s="289"/>
      <c r="B63" s="197" t="s">
        <v>615</v>
      </c>
      <c r="D63" s="137" t="s">
        <v>996</v>
      </c>
      <c r="F63" s="140">
        <v>40000</v>
      </c>
    </row>
    <row r="64" spans="1:6">
      <c r="A64" s="177">
        <v>46189</v>
      </c>
      <c r="B64" s="197" t="s">
        <v>349</v>
      </c>
      <c r="C64" s="137">
        <v>101</v>
      </c>
      <c r="D64" s="137" t="s">
        <v>997</v>
      </c>
      <c r="F64" s="140">
        <v>80000</v>
      </c>
    </row>
    <row r="65" spans="1:6">
      <c r="A65" s="287">
        <v>46190</v>
      </c>
      <c r="B65" s="197" t="s">
        <v>351</v>
      </c>
      <c r="D65" s="137" t="s">
        <v>998</v>
      </c>
      <c r="E65" s="140">
        <v>700000</v>
      </c>
    </row>
    <row r="66" spans="1:6">
      <c r="A66" s="288"/>
      <c r="B66" s="197" t="s">
        <v>351</v>
      </c>
      <c r="D66" s="137" t="s">
        <v>999</v>
      </c>
      <c r="F66" s="140">
        <v>70000</v>
      </c>
    </row>
    <row r="67" spans="1:6">
      <c r="A67" s="288"/>
      <c r="B67" s="197" t="s">
        <v>149</v>
      </c>
      <c r="C67" s="137">
        <v>108</v>
      </c>
      <c r="D67" s="137" t="s">
        <v>19</v>
      </c>
      <c r="E67" s="140">
        <v>200000</v>
      </c>
    </row>
    <row r="68" spans="1:6">
      <c r="A68" s="289"/>
      <c r="B68" s="197" t="s">
        <v>280</v>
      </c>
      <c r="C68" s="137">
        <v>301</v>
      </c>
      <c r="D68" s="137" t="s">
        <v>19</v>
      </c>
      <c r="E68" s="140">
        <v>200000</v>
      </c>
    </row>
    <row r="69" spans="1:6">
      <c r="A69" s="177">
        <v>46192</v>
      </c>
      <c r="B69" s="197" t="s">
        <v>149</v>
      </c>
      <c r="C69" s="137">
        <v>406</v>
      </c>
      <c r="D69" s="137" t="s">
        <v>1000</v>
      </c>
      <c r="F69" s="140">
        <v>120000</v>
      </c>
    </row>
    <row r="70" spans="1:6">
      <c r="A70" s="287">
        <v>46196</v>
      </c>
      <c r="B70" s="197" t="s">
        <v>446</v>
      </c>
      <c r="D70" s="137" t="s">
        <v>1001</v>
      </c>
      <c r="F70" s="140">
        <v>60000</v>
      </c>
    </row>
    <row r="71" spans="1:6">
      <c r="A71" s="288"/>
      <c r="B71" s="197" t="s">
        <v>293</v>
      </c>
      <c r="C71" s="286">
        <v>302</v>
      </c>
      <c r="D71" s="137" t="s">
        <v>1002</v>
      </c>
      <c r="F71" s="140">
        <v>20000</v>
      </c>
    </row>
    <row r="72" spans="1:6">
      <c r="A72" s="288"/>
      <c r="B72" s="197" t="s">
        <v>293</v>
      </c>
      <c r="C72" s="272"/>
      <c r="D72" s="137" t="s">
        <v>1003</v>
      </c>
      <c r="F72" s="140">
        <v>20000</v>
      </c>
    </row>
    <row r="73" spans="1:6">
      <c r="A73" s="288"/>
      <c r="B73" s="197" t="s">
        <v>293</v>
      </c>
      <c r="C73" s="272"/>
      <c r="D73" s="137" t="s">
        <v>1004</v>
      </c>
      <c r="F73" s="140">
        <v>50000</v>
      </c>
    </row>
    <row r="74" spans="1:6">
      <c r="A74" s="288"/>
      <c r="B74" s="197" t="s">
        <v>293</v>
      </c>
      <c r="C74" s="272"/>
      <c r="D74" s="137" t="s">
        <v>338</v>
      </c>
      <c r="F74" s="140">
        <v>80000</v>
      </c>
    </row>
    <row r="75" spans="1:6">
      <c r="A75" s="289"/>
      <c r="B75" s="197" t="s">
        <v>293</v>
      </c>
      <c r="C75" s="273"/>
      <c r="D75" s="137" t="s">
        <v>1005</v>
      </c>
      <c r="F75" s="140">
        <v>45000</v>
      </c>
    </row>
    <row r="76" spans="1:6">
      <c r="A76" s="177">
        <v>46197</v>
      </c>
      <c r="B76" s="197" t="s">
        <v>149</v>
      </c>
      <c r="C76" s="137">
        <v>108</v>
      </c>
      <c r="D76" s="137" t="s">
        <v>1006</v>
      </c>
      <c r="F76" s="140">
        <v>120000</v>
      </c>
    </row>
    <row r="77" spans="1:6">
      <c r="B77" s="197" t="s">
        <v>568</v>
      </c>
      <c r="C77" s="137">
        <v>201</v>
      </c>
      <c r="D77" s="137" t="s">
        <v>489</v>
      </c>
      <c r="F77" s="140">
        <v>40000</v>
      </c>
    </row>
    <row r="78" spans="1:6">
      <c r="B78" s="197" t="s">
        <v>149</v>
      </c>
      <c r="C78" s="137">
        <v>108</v>
      </c>
      <c r="D78" s="137" t="s">
        <v>1007</v>
      </c>
      <c r="F78" s="140">
        <v>230000</v>
      </c>
    </row>
    <row r="79" spans="1:6">
      <c r="A79" s="177">
        <v>46200</v>
      </c>
      <c r="B79" s="197" t="s">
        <v>562</v>
      </c>
      <c r="C79" s="137">
        <v>201</v>
      </c>
      <c r="D79" s="137" t="s">
        <v>1008</v>
      </c>
      <c r="F79" s="140">
        <v>200000</v>
      </c>
    </row>
    <row r="80" spans="1:6">
      <c r="A80" s="177">
        <v>46201</v>
      </c>
      <c r="B80" s="197" t="s">
        <v>209</v>
      </c>
      <c r="C80" s="137">
        <v>301</v>
      </c>
      <c r="D80" s="137" t="s">
        <v>1009</v>
      </c>
      <c r="F80" s="140">
        <v>100000</v>
      </c>
    </row>
    <row r="81" spans="1:7">
      <c r="B81" s="197" t="s">
        <v>209</v>
      </c>
      <c r="C81" s="137">
        <v>401</v>
      </c>
      <c r="D81" s="137" t="s">
        <v>1010</v>
      </c>
      <c r="F81" s="140">
        <v>230000</v>
      </c>
    </row>
    <row r="82" spans="1:7">
      <c r="A82" s="177">
        <v>46202</v>
      </c>
      <c r="B82" s="197" t="s">
        <v>1011</v>
      </c>
      <c r="C82" s="137">
        <v>202</v>
      </c>
      <c r="D82" s="137" t="s">
        <v>1012</v>
      </c>
      <c r="F82" s="140">
        <v>85000</v>
      </c>
    </row>
    <row r="83" spans="1:7">
      <c r="B83" s="197" t="s">
        <v>978</v>
      </c>
      <c r="C83" s="137">
        <v>401</v>
      </c>
      <c r="D83" s="137" t="s">
        <v>19</v>
      </c>
      <c r="E83" s="140">
        <v>200000</v>
      </c>
    </row>
    <row r="84" spans="1:7">
      <c r="A84" s="177">
        <v>46203</v>
      </c>
      <c r="B84" s="197" t="s">
        <v>20</v>
      </c>
      <c r="C84" s="137">
        <v>204</v>
      </c>
      <c r="D84" s="137" t="s">
        <v>34</v>
      </c>
      <c r="E84" s="140">
        <v>150000</v>
      </c>
    </row>
    <row r="85" spans="1:7">
      <c r="A85" s="177">
        <v>46202</v>
      </c>
      <c r="B85" s="197" t="s">
        <v>978</v>
      </c>
      <c r="C85" s="137">
        <v>401</v>
      </c>
      <c r="D85" s="137" t="s">
        <v>34</v>
      </c>
      <c r="E85" s="140">
        <v>200000</v>
      </c>
      <c r="G85" s="137" t="s">
        <v>482</v>
      </c>
    </row>
    <row r="86" spans="1:7">
      <c r="B86" s="180" t="s">
        <v>569</v>
      </c>
      <c r="D86" s="137" t="s">
        <v>1013</v>
      </c>
    </row>
    <row r="87" spans="1:7">
      <c r="B87" s="180" t="s">
        <v>149</v>
      </c>
      <c r="D87" s="137" t="s">
        <v>1014</v>
      </c>
    </row>
  </sheetData>
  <autoFilter ref="A2:G2" xr:uid="{D3907E21-4093-46F0-9141-6EC06F4EEDD0}"/>
  <mergeCells count="22">
    <mergeCell ref="C15:C17"/>
    <mergeCell ref="C18:C23"/>
    <mergeCell ref="A24:A32"/>
    <mergeCell ref="C24:C27"/>
    <mergeCell ref="A1:G1"/>
    <mergeCell ref="C4:C5"/>
    <mergeCell ref="C12:C14"/>
    <mergeCell ref="C71:C75"/>
    <mergeCell ref="A33:A36"/>
    <mergeCell ref="A49:A54"/>
    <mergeCell ref="A55:A57"/>
    <mergeCell ref="A58:A63"/>
    <mergeCell ref="A65:A68"/>
    <mergeCell ref="A70:A75"/>
    <mergeCell ref="A39:A40"/>
    <mergeCell ref="C39:C40"/>
    <mergeCell ref="A41:A43"/>
    <mergeCell ref="A44:A45"/>
    <mergeCell ref="A46:A48"/>
    <mergeCell ref="C35:C36"/>
    <mergeCell ref="A37:A38"/>
    <mergeCell ref="C37:C38"/>
  </mergeCells>
  <phoneticPr fontId="2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CB46-4C19-42C8-A1C4-693695520E96}">
  <sheetPr codeName="Sheet21"/>
  <dimension ref="A1:H66"/>
  <sheetViews>
    <sheetView topLeftCell="A19" zoomScale="69" workbookViewId="0">
      <selection activeCell="C14" sqref="C14"/>
    </sheetView>
  </sheetViews>
  <sheetFormatPr defaultRowHeight="14.5"/>
  <cols>
    <col min="1" max="1" width="12.453125" style="193" customWidth="1"/>
    <col min="2" max="2" width="70.81640625" style="193" customWidth="1"/>
    <col min="3" max="3" width="11.1796875" style="193" customWidth="1"/>
    <col min="4" max="4" width="13.54296875" style="193" customWidth="1"/>
    <col min="5" max="5" width="15.453125" style="193" bestFit="1" customWidth="1"/>
    <col min="6" max="6" width="13.54296875" style="193" bestFit="1" customWidth="1"/>
    <col min="7" max="7" width="13.54296875" style="193" customWidth="1"/>
    <col min="8" max="8" width="25.26953125" style="193" customWidth="1"/>
    <col min="9" max="16384" width="8.7265625" style="193"/>
  </cols>
  <sheetData>
    <row r="1" spans="1:8" s="191" customFormat="1" ht="16.5">
      <c r="A1" s="191" t="s">
        <v>157</v>
      </c>
      <c r="B1" s="191" t="s">
        <v>158</v>
      </c>
      <c r="C1" s="191" t="s">
        <v>159</v>
      </c>
      <c r="D1" s="191" t="s">
        <v>160</v>
      </c>
      <c r="E1" s="191" t="s">
        <v>161</v>
      </c>
      <c r="F1" s="191" t="s">
        <v>162</v>
      </c>
      <c r="G1" s="191" t="s">
        <v>163</v>
      </c>
      <c r="H1" s="191" t="s">
        <v>164</v>
      </c>
    </row>
    <row r="2" spans="1:8" ht="16.5">
      <c r="A2" s="192" t="s">
        <v>1016</v>
      </c>
      <c r="B2" s="192"/>
      <c r="C2" s="192"/>
      <c r="D2" s="192"/>
      <c r="E2" s="192"/>
      <c r="F2" s="192"/>
      <c r="G2" s="192" t="s">
        <v>441</v>
      </c>
      <c r="H2" s="192"/>
    </row>
    <row r="3" spans="1:8" ht="16.5">
      <c r="A3" s="194">
        <v>46181</v>
      </c>
      <c r="B3" s="192" t="s">
        <v>1017</v>
      </c>
      <c r="C3" s="201" t="s">
        <v>170</v>
      </c>
      <c r="D3" s="192">
        <v>204</v>
      </c>
      <c r="E3" s="192">
        <v>65</v>
      </c>
      <c r="F3" s="192"/>
      <c r="G3" s="192" t="s">
        <v>441</v>
      </c>
      <c r="H3" s="192" t="s">
        <v>1018</v>
      </c>
    </row>
    <row r="4" spans="1:8" ht="16.5">
      <c r="A4" s="194"/>
      <c r="B4" s="192" t="s">
        <v>1019</v>
      </c>
      <c r="C4" s="201" t="s">
        <v>1020</v>
      </c>
      <c r="D4" s="192">
        <v>102</v>
      </c>
      <c r="E4" s="192">
        <v>90</v>
      </c>
      <c r="F4" s="192"/>
      <c r="G4" s="192" t="s">
        <v>441</v>
      </c>
      <c r="H4" s="192"/>
    </row>
    <row r="5" spans="1:8" ht="16.5">
      <c r="A5" s="192"/>
      <c r="B5" s="192" t="s">
        <v>1021</v>
      </c>
      <c r="C5" s="201" t="s">
        <v>1022</v>
      </c>
      <c r="D5" s="192"/>
      <c r="E5" s="192">
        <v>150</v>
      </c>
      <c r="F5" s="192"/>
      <c r="G5" s="192" t="s">
        <v>168</v>
      </c>
      <c r="H5" s="192"/>
    </row>
    <row r="6" spans="1:8" ht="16.5">
      <c r="A6" s="194">
        <v>46182</v>
      </c>
      <c r="B6" s="192" t="s">
        <v>1023</v>
      </c>
      <c r="C6" s="201" t="s">
        <v>1024</v>
      </c>
      <c r="D6" s="192">
        <v>101</v>
      </c>
      <c r="E6" s="192">
        <v>80</v>
      </c>
      <c r="F6" s="192"/>
      <c r="G6" s="192" t="s">
        <v>168</v>
      </c>
      <c r="H6" s="192"/>
    </row>
    <row r="7" spans="1:8" ht="16.5">
      <c r="A7" s="194">
        <v>46186</v>
      </c>
      <c r="B7" s="192" t="s">
        <v>1025</v>
      </c>
      <c r="C7" s="201" t="s">
        <v>76</v>
      </c>
      <c r="D7" s="192"/>
      <c r="E7" s="192">
        <v>65</v>
      </c>
      <c r="F7" s="192"/>
      <c r="G7" s="192" t="s">
        <v>168</v>
      </c>
      <c r="H7" s="192"/>
    </row>
    <row r="8" spans="1:8" ht="16.5">
      <c r="A8" s="194"/>
      <c r="B8" s="192" t="s">
        <v>1026</v>
      </c>
      <c r="C8" s="201" t="s">
        <v>1020</v>
      </c>
      <c r="D8" s="192">
        <v>501</v>
      </c>
      <c r="E8" s="192">
        <v>30</v>
      </c>
      <c r="F8" s="192"/>
      <c r="G8" s="192" t="s">
        <v>168</v>
      </c>
      <c r="H8" s="192"/>
    </row>
    <row r="9" spans="1:8" ht="16.5">
      <c r="A9" s="194"/>
      <c r="B9" s="192" t="s">
        <v>1027</v>
      </c>
      <c r="C9" s="201" t="s">
        <v>76</v>
      </c>
      <c r="D9" s="195">
        <v>701</v>
      </c>
      <c r="E9" s="192">
        <v>50</v>
      </c>
      <c r="F9" s="192"/>
      <c r="G9" s="192" t="s">
        <v>441</v>
      </c>
      <c r="H9" s="192"/>
    </row>
    <row r="10" spans="1:8" ht="16.5">
      <c r="A10" s="194">
        <v>46188</v>
      </c>
      <c r="B10" s="192" t="s">
        <v>1028</v>
      </c>
      <c r="C10" s="201" t="s">
        <v>174</v>
      </c>
      <c r="D10" s="192">
        <v>201</v>
      </c>
      <c r="E10" s="192">
        <v>150</v>
      </c>
      <c r="F10" s="192"/>
      <c r="G10" s="192" t="s">
        <v>441</v>
      </c>
      <c r="H10" s="192"/>
    </row>
    <row r="11" spans="1:8" ht="16.5">
      <c r="A11" s="192"/>
      <c r="B11" s="192" t="s">
        <v>1029</v>
      </c>
      <c r="C11" s="201" t="s">
        <v>299</v>
      </c>
      <c r="D11" s="192">
        <v>201</v>
      </c>
      <c r="E11" s="192">
        <v>150</v>
      </c>
      <c r="F11" s="192"/>
      <c r="G11" s="192" t="s">
        <v>441</v>
      </c>
      <c r="H11" s="192"/>
    </row>
    <row r="12" spans="1:8" ht="16.5">
      <c r="A12" s="194"/>
      <c r="B12" s="192" t="s">
        <v>1030</v>
      </c>
      <c r="C12" s="201" t="s">
        <v>187</v>
      </c>
      <c r="D12" s="192"/>
      <c r="E12" s="192">
        <v>20</v>
      </c>
      <c r="F12" s="192"/>
      <c r="G12" s="192" t="s">
        <v>168</v>
      </c>
      <c r="H12" s="192"/>
    </row>
    <row r="13" spans="1:8" ht="16.5">
      <c r="A13" s="194"/>
      <c r="B13" s="192" t="s">
        <v>1031</v>
      </c>
      <c r="C13" s="201" t="s">
        <v>299</v>
      </c>
      <c r="D13" s="195">
        <v>101</v>
      </c>
      <c r="E13" s="192">
        <v>80</v>
      </c>
      <c r="F13" s="192"/>
      <c r="G13" s="192" t="s">
        <v>441</v>
      </c>
      <c r="H13" s="192"/>
    </row>
    <row r="14" spans="1:8" ht="16.5">
      <c r="A14" s="194">
        <v>46190</v>
      </c>
      <c r="B14" s="192" t="s">
        <v>1032</v>
      </c>
      <c r="C14" s="201" t="s">
        <v>808</v>
      </c>
      <c r="D14" s="195">
        <v>302</v>
      </c>
      <c r="E14" s="192">
        <v>40</v>
      </c>
      <c r="F14" s="192"/>
      <c r="G14" s="192" t="s">
        <v>168</v>
      </c>
      <c r="H14" s="192"/>
    </row>
    <row r="15" spans="1:8" ht="16.5">
      <c r="A15" s="194"/>
      <c r="B15" s="192" t="s">
        <v>1033</v>
      </c>
      <c r="C15" s="201" t="s">
        <v>1034</v>
      </c>
      <c r="D15" s="192">
        <v>202</v>
      </c>
      <c r="E15" s="192">
        <v>40</v>
      </c>
      <c r="F15" s="192"/>
      <c r="G15" s="192" t="s">
        <v>168</v>
      </c>
      <c r="H15" s="192"/>
    </row>
    <row r="16" spans="1:8" ht="16.5">
      <c r="A16" s="194">
        <v>46191</v>
      </c>
      <c r="B16" s="192" t="s">
        <v>1035</v>
      </c>
      <c r="C16" s="201" t="s">
        <v>452</v>
      </c>
      <c r="D16" s="192" t="s">
        <v>1036</v>
      </c>
      <c r="E16" s="192">
        <v>80</v>
      </c>
      <c r="F16" s="192"/>
      <c r="G16" s="192" t="s">
        <v>168</v>
      </c>
      <c r="H16" s="192"/>
    </row>
    <row r="17" spans="1:8" ht="16.5">
      <c r="A17" s="192"/>
      <c r="B17" s="192" t="s">
        <v>1037</v>
      </c>
      <c r="C17" s="201" t="s">
        <v>202</v>
      </c>
      <c r="D17" s="192"/>
      <c r="E17" s="192">
        <v>70</v>
      </c>
      <c r="F17" s="192"/>
      <c r="G17" s="192" t="s">
        <v>168</v>
      </c>
      <c r="H17" s="192"/>
    </row>
    <row r="18" spans="1:8" ht="16.5">
      <c r="A18" s="192"/>
      <c r="B18" s="192" t="s">
        <v>1038</v>
      </c>
      <c r="C18" s="201" t="s">
        <v>300</v>
      </c>
      <c r="D18" s="192">
        <v>202</v>
      </c>
      <c r="E18" s="192">
        <v>70</v>
      </c>
      <c r="F18" s="192"/>
      <c r="G18" s="192" t="s">
        <v>168</v>
      </c>
      <c r="H18" s="192"/>
    </row>
    <row r="19" spans="1:8" ht="16.5">
      <c r="A19" s="194">
        <v>46192</v>
      </c>
      <c r="B19" s="192" t="s">
        <v>107</v>
      </c>
      <c r="C19" s="201" t="s">
        <v>365</v>
      </c>
      <c r="D19" s="192">
        <v>402</v>
      </c>
      <c r="E19" s="192">
        <v>175</v>
      </c>
      <c r="F19" s="192"/>
      <c r="G19" s="192" t="s">
        <v>168</v>
      </c>
      <c r="H19" s="192"/>
    </row>
    <row r="20" spans="1:8" ht="16.5">
      <c r="A20" s="192"/>
      <c r="B20" s="192" t="s">
        <v>1039</v>
      </c>
      <c r="C20" s="201" t="s">
        <v>568</v>
      </c>
      <c r="D20" s="192">
        <v>402</v>
      </c>
      <c r="E20" s="192">
        <v>85</v>
      </c>
      <c r="F20" s="192"/>
      <c r="G20" s="192" t="s">
        <v>168</v>
      </c>
      <c r="H20" s="192"/>
    </row>
    <row r="21" spans="1:8" ht="16.5">
      <c r="A21" s="192"/>
      <c r="B21" s="192" t="s">
        <v>1040</v>
      </c>
      <c r="C21" s="201" t="s">
        <v>452</v>
      </c>
      <c r="D21" s="192"/>
      <c r="E21" s="192">
        <v>350</v>
      </c>
      <c r="F21" s="192"/>
      <c r="G21" s="192" t="s">
        <v>441</v>
      </c>
      <c r="H21" s="192"/>
    </row>
    <row r="22" spans="1:8" ht="16.5">
      <c r="A22" s="194"/>
      <c r="B22" s="192" t="s">
        <v>1041</v>
      </c>
      <c r="C22" s="201" t="s">
        <v>452</v>
      </c>
      <c r="D22" s="192"/>
      <c r="E22" s="192">
        <v>67</v>
      </c>
      <c r="F22" s="192"/>
      <c r="G22" s="192" t="s">
        <v>441</v>
      </c>
      <c r="H22" s="192"/>
    </row>
    <row r="23" spans="1:8" ht="16.5">
      <c r="A23" s="194">
        <v>46198</v>
      </c>
      <c r="B23" s="192" t="s">
        <v>1042</v>
      </c>
      <c r="C23" s="201" t="s">
        <v>967</v>
      </c>
      <c r="D23" s="192"/>
      <c r="E23" s="192"/>
      <c r="F23" s="192">
        <v>500</v>
      </c>
      <c r="G23" s="192" t="s">
        <v>441</v>
      </c>
      <c r="H23" s="192"/>
    </row>
    <row r="24" spans="1:8" ht="16.5">
      <c r="A24" s="194"/>
      <c r="B24" s="192" t="s">
        <v>1043</v>
      </c>
      <c r="C24" s="201" t="s">
        <v>967</v>
      </c>
      <c r="D24" s="195">
        <v>302401</v>
      </c>
      <c r="E24" s="192"/>
      <c r="F24" s="192">
        <v>400</v>
      </c>
      <c r="G24" s="192" t="s">
        <v>168</v>
      </c>
      <c r="H24" s="192"/>
    </row>
    <row r="25" spans="1:8" ht="16.5">
      <c r="A25" s="194">
        <v>46199</v>
      </c>
      <c r="B25" s="192" t="s">
        <v>1044</v>
      </c>
      <c r="C25" s="201" t="s">
        <v>443</v>
      </c>
      <c r="D25" s="195"/>
      <c r="E25" s="192">
        <v>120</v>
      </c>
      <c r="F25" s="192"/>
      <c r="G25" s="192" t="s">
        <v>441</v>
      </c>
      <c r="H25" s="192"/>
    </row>
    <row r="26" spans="1:8" ht="16.5">
      <c r="A26" s="194"/>
      <c r="B26" s="192" t="s">
        <v>1045</v>
      </c>
      <c r="C26" s="201" t="s">
        <v>967</v>
      </c>
      <c r="D26" s="192">
        <v>401</v>
      </c>
      <c r="E26" s="192">
        <v>400</v>
      </c>
      <c r="F26" s="192"/>
      <c r="G26" s="192" t="s">
        <v>441</v>
      </c>
      <c r="H26" s="192" t="s">
        <v>1046</v>
      </c>
    </row>
    <row r="27" spans="1:8" ht="16.5">
      <c r="A27" s="194">
        <v>46205</v>
      </c>
      <c r="B27" s="192" t="s">
        <v>1047</v>
      </c>
      <c r="C27" s="192" t="s">
        <v>1048</v>
      </c>
      <c r="D27" s="195"/>
      <c r="E27" s="192">
        <v>165</v>
      </c>
      <c r="F27" s="192"/>
      <c r="G27" s="192" t="s">
        <v>441</v>
      </c>
      <c r="H27" s="192"/>
    </row>
    <row r="28" spans="1:8" ht="16.5">
      <c r="A28" s="194"/>
      <c r="B28" s="192" t="s">
        <v>1049</v>
      </c>
      <c r="C28" s="201" t="s">
        <v>967</v>
      </c>
      <c r="D28" s="195">
        <v>401</v>
      </c>
      <c r="E28" s="192">
        <v>120</v>
      </c>
      <c r="F28" s="192"/>
      <c r="G28" s="192" t="s">
        <v>441</v>
      </c>
      <c r="H28" s="192"/>
    </row>
    <row r="29" spans="1:8" ht="16.5">
      <c r="A29" s="194"/>
      <c r="B29" s="192" t="s">
        <v>1050</v>
      </c>
      <c r="C29" s="192" t="s">
        <v>1048</v>
      </c>
      <c r="D29" s="195"/>
      <c r="E29" s="192"/>
      <c r="F29" s="192">
        <v>400</v>
      </c>
      <c r="G29" s="192" t="s">
        <v>441</v>
      </c>
      <c r="H29" s="192"/>
    </row>
    <row r="30" spans="1:8" ht="16.5">
      <c r="A30" s="194"/>
      <c r="B30" s="192" t="s">
        <v>1051</v>
      </c>
      <c r="C30" s="201" t="s">
        <v>299</v>
      </c>
      <c r="D30" s="195">
        <v>201</v>
      </c>
      <c r="E30" s="192">
        <v>70</v>
      </c>
      <c r="F30" s="192"/>
      <c r="G30" s="192" t="s">
        <v>441</v>
      </c>
      <c r="H30" s="192"/>
    </row>
    <row r="31" spans="1:8" ht="16.5">
      <c r="A31" s="192"/>
      <c r="B31" s="192"/>
      <c r="C31" s="192"/>
      <c r="D31" s="195"/>
      <c r="E31" s="192"/>
      <c r="F31" s="192"/>
      <c r="G31" s="192" t="s">
        <v>441</v>
      </c>
      <c r="H31" s="192"/>
    </row>
    <row r="32" spans="1:8" ht="16.5">
      <c r="A32" s="194"/>
      <c r="B32" s="192"/>
      <c r="C32" s="192"/>
      <c r="D32" s="195"/>
      <c r="E32" s="192"/>
      <c r="F32" s="192"/>
      <c r="G32" s="192" t="s">
        <v>441</v>
      </c>
      <c r="H32" s="192"/>
    </row>
    <row r="33" spans="1:8" ht="16.5">
      <c r="A33" s="192"/>
      <c r="B33" s="192"/>
      <c r="C33" s="192"/>
      <c r="D33" s="195"/>
      <c r="E33" s="192"/>
      <c r="F33" s="192"/>
      <c r="G33" s="192" t="s">
        <v>441</v>
      </c>
      <c r="H33" s="192"/>
    </row>
    <row r="34" spans="1:8" ht="16.5">
      <c r="A34" s="194"/>
      <c r="B34" s="192"/>
      <c r="C34" s="192"/>
      <c r="D34" s="195"/>
      <c r="E34" s="192"/>
      <c r="F34" s="192"/>
      <c r="G34" s="192" t="s">
        <v>441</v>
      </c>
      <c r="H34" s="192"/>
    </row>
    <row r="35" spans="1:8" ht="16.5">
      <c r="A35" s="194"/>
      <c r="B35" s="192"/>
      <c r="C35" s="192"/>
      <c r="D35" s="195"/>
      <c r="E35" s="192"/>
      <c r="F35" s="192"/>
      <c r="G35" s="192" t="s">
        <v>441</v>
      </c>
      <c r="H35" s="192"/>
    </row>
    <row r="36" spans="1:8" ht="16.5">
      <c r="A36" s="194"/>
      <c r="B36" s="192"/>
      <c r="C36" s="192"/>
      <c r="D36" s="195"/>
      <c r="E36" s="192"/>
      <c r="F36" s="192"/>
      <c r="G36" s="192" t="s">
        <v>441</v>
      </c>
      <c r="H36" s="192"/>
    </row>
    <row r="37" spans="1:8" ht="16.5">
      <c r="A37" s="194"/>
      <c r="B37" s="192"/>
      <c r="C37" s="192"/>
      <c r="D37" s="195"/>
      <c r="E37" s="192"/>
      <c r="F37" s="192"/>
      <c r="G37" s="192" t="s">
        <v>441</v>
      </c>
      <c r="H37" s="192"/>
    </row>
    <row r="38" spans="1:8" ht="16.5">
      <c r="A38" s="194"/>
      <c r="B38" s="192"/>
      <c r="C38" s="192"/>
      <c r="D38" s="195"/>
      <c r="E38" s="192"/>
      <c r="F38" s="192"/>
      <c r="G38" s="192" t="s">
        <v>441</v>
      </c>
      <c r="H38" s="192"/>
    </row>
    <row r="39" spans="1:8" ht="16.5">
      <c r="A39" s="194"/>
      <c r="B39" s="192"/>
      <c r="C39" s="192"/>
      <c r="D39" s="195"/>
      <c r="E39" s="192"/>
      <c r="F39" s="192"/>
      <c r="G39" s="192" t="s">
        <v>441</v>
      </c>
      <c r="H39" s="192"/>
    </row>
    <row r="40" spans="1:8" ht="16.5">
      <c r="A40" s="194"/>
      <c r="B40" s="192"/>
      <c r="C40" s="192"/>
      <c r="D40" s="195"/>
      <c r="E40" s="192"/>
      <c r="F40" s="192"/>
      <c r="G40" s="192" t="s">
        <v>441</v>
      </c>
      <c r="H40" s="192"/>
    </row>
    <row r="41" spans="1:8" ht="16.5">
      <c r="A41" s="192"/>
      <c r="B41" s="192"/>
      <c r="C41" s="192"/>
      <c r="D41" s="195"/>
      <c r="E41" s="192"/>
      <c r="F41" s="192"/>
      <c r="G41" s="192" t="s">
        <v>441</v>
      </c>
      <c r="H41" s="192"/>
    </row>
    <row r="42" spans="1:8" ht="16.5">
      <c r="A42" s="192"/>
      <c r="B42" s="192"/>
      <c r="C42" s="192"/>
      <c r="D42" s="195"/>
      <c r="E42" s="192"/>
      <c r="F42" s="192"/>
      <c r="G42" s="192" t="s">
        <v>441</v>
      </c>
      <c r="H42" s="192"/>
    </row>
    <row r="43" spans="1:8" ht="16.5">
      <c r="A43" s="194"/>
      <c r="B43" s="192"/>
      <c r="C43" s="192"/>
      <c r="D43" s="195"/>
      <c r="E43" s="192"/>
      <c r="F43" s="192"/>
      <c r="G43" s="192" t="s">
        <v>441</v>
      </c>
      <c r="H43" s="192"/>
    </row>
    <row r="44" spans="1:8" ht="16.5">
      <c r="A44" s="194"/>
      <c r="B44" s="192"/>
      <c r="C44" s="192"/>
      <c r="D44" s="195"/>
      <c r="E44" s="192"/>
      <c r="F44" s="192"/>
      <c r="G44" s="192" t="s">
        <v>441</v>
      </c>
      <c r="H44" s="192"/>
    </row>
    <row r="45" spans="1:8" ht="16.5">
      <c r="A45" s="194"/>
      <c r="B45" s="192"/>
      <c r="C45" s="192"/>
      <c r="D45" s="195"/>
      <c r="E45" s="192"/>
      <c r="F45" s="192"/>
      <c r="G45" s="192" t="s">
        <v>441</v>
      </c>
      <c r="H45" s="192"/>
    </row>
    <row r="46" spans="1:8" ht="16.5">
      <c r="A46" s="194"/>
      <c r="B46" s="192"/>
      <c r="C46" s="192"/>
      <c r="D46" s="195"/>
      <c r="E46" s="192"/>
      <c r="F46" s="192"/>
      <c r="G46" s="192" t="s">
        <v>441</v>
      </c>
      <c r="H46" s="192"/>
    </row>
    <row r="47" spans="1:8" ht="16.5">
      <c r="A47" s="194"/>
      <c r="B47" s="192"/>
      <c r="C47" s="192"/>
      <c r="D47" s="195"/>
      <c r="E47" s="192"/>
      <c r="F47" s="192"/>
      <c r="G47" s="192" t="s">
        <v>441</v>
      </c>
      <c r="H47" s="192"/>
    </row>
    <row r="48" spans="1:8" ht="16.5">
      <c r="A48" s="194"/>
      <c r="B48" s="192"/>
      <c r="C48" s="192"/>
      <c r="D48" s="195"/>
      <c r="E48" s="192"/>
      <c r="F48" s="192"/>
      <c r="G48" s="192" t="s">
        <v>441</v>
      </c>
      <c r="H48" s="192"/>
    </row>
    <row r="49" spans="1:8" ht="16.5">
      <c r="A49" s="194"/>
      <c r="B49" s="192"/>
      <c r="C49" s="192"/>
      <c r="D49" s="195"/>
      <c r="E49" s="192"/>
      <c r="F49" s="192"/>
      <c r="G49" s="192" t="s">
        <v>441</v>
      </c>
      <c r="H49" s="192"/>
    </row>
    <row r="50" spans="1:8" ht="16.5">
      <c r="A50" s="194"/>
      <c r="B50" s="192"/>
      <c r="C50" s="192"/>
      <c r="D50" s="195"/>
      <c r="E50" s="192"/>
      <c r="F50" s="192"/>
      <c r="G50" s="192" t="s">
        <v>441</v>
      </c>
      <c r="H50" s="192"/>
    </row>
    <row r="51" spans="1:8" ht="16.5">
      <c r="A51" s="192"/>
      <c r="B51" s="192"/>
      <c r="C51" s="192"/>
      <c r="D51" s="195"/>
      <c r="E51" s="192"/>
      <c r="F51" s="192"/>
      <c r="G51" s="192" t="s">
        <v>441</v>
      </c>
      <c r="H51" s="192"/>
    </row>
    <row r="52" spans="1:8" ht="16.5">
      <c r="A52" s="192"/>
      <c r="B52" s="192"/>
      <c r="C52" s="192"/>
      <c r="D52" s="195"/>
      <c r="E52" s="192"/>
      <c r="F52" s="192"/>
      <c r="G52" s="192" t="s">
        <v>441</v>
      </c>
      <c r="H52" s="192"/>
    </row>
    <row r="53" spans="1:8" ht="16.5">
      <c r="A53" s="192"/>
      <c r="B53" s="192"/>
      <c r="C53" s="192"/>
      <c r="D53" s="195"/>
      <c r="E53" s="192"/>
      <c r="F53" s="192"/>
      <c r="G53" s="192" t="s">
        <v>441</v>
      </c>
      <c r="H53" s="192"/>
    </row>
    <row r="54" spans="1:8" ht="16.5">
      <c r="A54" s="194"/>
      <c r="B54" s="192"/>
      <c r="C54" s="192"/>
      <c r="D54" s="195"/>
      <c r="E54" s="192"/>
      <c r="F54" s="192"/>
      <c r="G54" s="192" t="s">
        <v>441</v>
      </c>
      <c r="H54" s="192"/>
    </row>
    <row r="55" spans="1:8" ht="16.5">
      <c r="A55" s="192"/>
      <c r="B55" s="192"/>
      <c r="C55" s="192"/>
      <c r="D55" s="195"/>
      <c r="E55" s="192"/>
      <c r="F55" s="192"/>
      <c r="G55" s="192" t="s">
        <v>441</v>
      </c>
      <c r="H55" s="192"/>
    </row>
    <row r="56" spans="1:8" ht="16.5">
      <c r="A56" s="194"/>
      <c r="B56" s="194"/>
      <c r="C56" s="192"/>
      <c r="D56" s="195"/>
      <c r="E56" s="192"/>
      <c r="F56" s="192"/>
      <c r="G56" s="192" t="s">
        <v>441</v>
      </c>
      <c r="H56" s="192"/>
    </row>
    <row r="57" spans="1:8" ht="16.5">
      <c r="A57" s="192"/>
      <c r="B57" s="192"/>
      <c r="C57" s="192"/>
      <c r="D57" s="195"/>
      <c r="E57" s="192"/>
      <c r="F57" s="192"/>
      <c r="G57" s="192" t="s">
        <v>441</v>
      </c>
      <c r="H57" s="192"/>
    </row>
    <row r="58" spans="1:8" ht="16.5">
      <c r="A58" s="192"/>
      <c r="B58" s="192"/>
      <c r="C58" s="192"/>
      <c r="D58" s="195"/>
      <c r="E58" s="192"/>
      <c r="F58" s="192"/>
      <c r="G58" s="192" t="s">
        <v>441</v>
      </c>
      <c r="H58" s="192"/>
    </row>
    <row r="59" spans="1:8" ht="16.5">
      <c r="A59" s="194"/>
      <c r="B59" s="192"/>
      <c r="C59" s="192"/>
      <c r="D59" s="195"/>
      <c r="E59" s="192"/>
      <c r="F59" s="192"/>
      <c r="G59" s="192" t="s">
        <v>441</v>
      </c>
      <c r="H59" s="192"/>
    </row>
    <row r="60" spans="1:8" ht="16.5">
      <c r="A60" s="192"/>
      <c r="B60" s="192"/>
      <c r="C60" s="192"/>
      <c r="D60" s="195"/>
      <c r="E60" s="192"/>
      <c r="F60" s="192"/>
      <c r="G60" s="192" t="s">
        <v>441</v>
      </c>
      <c r="H60" s="192"/>
    </row>
    <row r="61" spans="1:8" ht="16.5">
      <c r="A61" s="192"/>
      <c r="B61" s="192"/>
      <c r="C61" s="192"/>
      <c r="D61" s="195"/>
      <c r="E61" s="192"/>
      <c r="F61" s="192"/>
      <c r="G61" s="192" t="s">
        <v>441</v>
      </c>
      <c r="H61" s="192"/>
    </row>
    <row r="62" spans="1:8" ht="16.5">
      <c r="A62" s="192"/>
      <c r="B62" s="192"/>
      <c r="C62" s="192"/>
      <c r="D62" s="195"/>
      <c r="E62" s="192"/>
      <c r="F62" s="192"/>
      <c r="G62" s="192" t="s">
        <v>441</v>
      </c>
      <c r="H62" s="192"/>
    </row>
    <row r="63" spans="1:8" ht="16.5">
      <c r="A63" s="194"/>
      <c r="B63" s="192"/>
      <c r="C63" s="192"/>
      <c r="D63" s="195"/>
      <c r="E63" s="192"/>
      <c r="F63" s="192"/>
      <c r="G63" s="192" t="s">
        <v>441</v>
      </c>
      <c r="H63" s="192"/>
    </row>
    <row r="64" spans="1:8" ht="16.5">
      <c r="A64" s="192"/>
      <c r="B64" s="192"/>
      <c r="C64" s="192"/>
      <c r="D64" s="195"/>
      <c r="E64" s="192"/>
      <c r="F64" s="192"/>
      <c r="G64" s="192" t="s">
        <v>441</v>
      </c>
      <c r="H64" s="192"/>
    </row>
    <row r="65" spans="1:8" ht="16.5">
      <c r="A65" s="192"/>
      <c r="B65" s="192"/>
      <c r="C65" s="192"/>
      <c r="D65" s="192"/>
      <c r="E65" s="192"/>
      <c r="F65" s="192"/>
      <c r="G65" s="192" t="s">
        <v>168</v>
      </c>
      <c r="H65" s="192"/>
    </row>
    <row r="66" spans="1:8" ht="16.5">
      <c r="A66" s="192"/>
      <c r="B66" s="196" t="s">
        <v>196</v>
      </c>
      <c r="C66" s="196"/>
      <c r="D66" s="196"/>
      <c r="E66" s="196">
        <f>SUM(E2:E65)</f>
        <v>2782</v>
      </c>
      <c r="F66" s="196">
        <f>SUM(F2:F65)</f>
        <v>1300</v>
      </c>
      <c r="G66" s="196"/>
      <c r="H66" s="19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C558-3F4F-48AF-AA97-9113821AD234}">
  <sheetPr codeName="Sheet24" filterMode="1"/>
  <dimension ref="A1:G193"/>
  <sheetViews>
    <sheetView workbookViewId="0">
      <selection activeCell="E73" sqref="E73:F97"/>
    </sheetView>
  </sheetViews>
  <sheetFormatPr defaultColWidth="8.7265625" defaultRowHeight="14"/>
  <cols>
    <col min="1" max="1" width="9.90625" style="177" customWidth="1"/>
    <col min="2" max="2" width="12.7265625" style="137" customWidth="1"/>
    <col min="3" max="3" width="15.7265625" style="137" customWidth="1"/>
    <col min="4" max="4" width="70.6328125" style="139" customWidth="1"/>
    <col min="5" max="6" width="16.6328125" style="140" customWidth="1"/>
    <col min="7" max="7" width="34.7265625" style="141" customWidth="1"/>
    <col min="8" max="16384" width="8.7265625" style="137"/>
  </cols>
  <sheetData>
    <row r="1" spans="1:7" s="131" customFormat="1" ht="24.5" customHeight="1">
      <c r="A1" s="290" t="s">
        <v>1064</v>
      </c>
      <c r="B1" s="269"/>
      <c r="C1" s="269"/>
      <c r="D1" s="269"/>
      <c r="E1" s="269"/>
      <c r="F1" s="269"/>
      <c r="G1" s="270"/>
    </row>
    <row r="2" spans="1:7">
      <c r="A2" s="176" t="s">
        <v>1</v>
      </c>
      <c r="B2" s="133" t="s">
        <v>2</v>
      </c>
      <c r="C2" s="133" t="s">
        <v>3</v>
      </c>
      <c r="D2" s="134" t="s">
        <v>4</v>
      </c>
      <c r="E2" s="135" t="s">
        <v>5</v>
      </c>
      <c r="F2" s="135" t="s">
        <v>6</v>
      </c>
      <c r="G2" s="136" t="s">
        <v>7</v>
      </c>
    </row>
    <row r="3" spans="1:7" hidden="1">
      <c r="A3" s="205"/>
      <c r="B3" s="133"/>
      <c r="C3" s="186"/>
      <c r="D3" s="188"/>
      <c r="E3" s="200">
        <f>SUM(E4:E98)</f>
        <v>10000000</v>
      </c>
      <c r="F3" s="200">
        <f>SUM(F4:F98)</f>
        <v>6278000</v>
      </c>
      <c r="G3" s="190"/>
    </row>
    <row r="4" spans="1:7" hidden="1">
      <c r="A4" s="204" t="s">
        <v>1065</v>
      </c>
      <c r="B4" s="168" t="s">
        <v>271</v>
      </c>
      <c r="D4" s="139" t="s">
        <v>1066</v>
      </c>
      <c r="E4" s="140">
        <v>300000</v>
      </c>
      <c r="F4" s="140">
        <v>595000</v>
      </c>
      <c r="G4" s="141" t="s">
        <v>1067</v>
      </c>
    </row>
    <row r="5" spans="1:7" hidden="1">
      <c r="A5" s="177">
        <v>46202</v>
      </c>
      <c r="B5" s="168" t="s">
        <v>967</v>
      </c>
      <c r="C5" s="137">
        <v>202</v>
      </c>
      <c r="D5" s="139" t="s">
        <v>19</v>
      </c>
      <c r="E5" s="140">
        <v>300000</v>
      </c>
    </row>
    <row r="6" spans="1:7" hidden="1">
      <c r="A6" s="177">
        <v>46202</v>
      </c>
      <c r="B6" s="168" t="s">
        <v>967</v>
      </c>
      <c r="C6" s="137">
        <v>202</v>
      </c>
      <c r="D6" s="139" t="s">
        <v>34</v>
      </c>
      <c r="E6" s="140">
        <v>100000</v>
      </c>
    </row>
    <row r="7" spans="1:7" hidden="1">
      <c r="A7" s="177">
        <v>46202</v>
      </c>
      <c r="B7" s="168" t="s">
        <v>967</v>
      </c>
      <c r="C7" s="137">
        <v>202</v>
      </c>
      <c r="D7" s="139" t="s">
        <v>154</v>
      </c>
      <c r="F7" s="140">
        <v>40000</v>
      </c>
    </row>
    <row r="8" spans="1:7" hidden="1">
      <c r="A8" s="177">
        <v>46202</v>
      </c>
      <c r="B8" s="168" t="s">
        <v>967</v>
      </c>
      <c r="C8" s="137">
        <v>202</v>
      </c>
      <c r="D8" s="139" t="s">
        <v>191</v>
      </c>
      <c r="F8" s="140">
        <v>40000</v>
      </c>
    </row>
    <row r="9" spans="1:7" hidden="1">
      <c r="A9" s="204">
        <v>46203</v>
      </c>
      <c r="B9" s="169" t="s">
        <v>967</v>
      </c>
      <c r="C9" s="138" t="s">
        <v>699</v>
      </c>
      <c r="D9" s="139" t="s">
        <v>19</v>
      </c>
      <c r="E9" s="140">
        <v>300000</v>
      </c>
    </row>
    <row r="10" spans="1:7" hidden="1">
      <c r="A10" s="204">
        <v>46203</v>
      </c>
      <c r="B10" s="169" t="s">
        <v>967</v>
      </c>
      <c r="C10" s="138" t="s">
        <v>699</v>
      </c>
      <c r="D10" s="139" t="s">
        <v>34</v>
      </c>
      <c r="E10" s="140">
        <v>100000</v>
      </c>
    </row>
    <row r="11" spans="1:7" hidden="1">
      <c r="A11" s="204">
        <v>46203</v>
      </c>
      <c r="B11" s="169" t="s">
        <v>967</v>
      </c>
      <c r="C11" s="138" t="s">
        <v>699</v>
      </c>
      <c r="D11" s="139" t="s">
        <v>73</v>
      </c>
      <c r="F11" s="140">
        <v>35000</v>
      </c>
    </row>
    <row r="12" spans="1:7" hidden="1">
      <c r="A12" s="204">
        <v>46203</v>
      </c>
      <c r="B12" s="169" t="s">
        <v>44</v>
      </c>
      <c r="C12" s="138" t="s">
        <v>687</v>
      </c>
      <c r="D12" s="139" t="s">
        <v>1068</v>
      </c>
      <c r="E12" s="140">
        <v>500000</v>
      </c>
      <c r="G12" s="202" t="s">
        <v>1069</v>
      </c>
    </row>
    <row r="13" spans="1:7" hidden="1">
      <c r="A13" s="204">
        <v>46203</v>
      </c>
      <c r="B13" s="169" t="s">
        <v>44</v>
      </c>
      <c r="C13" s="138" t="s">
        <v>687</v>
      </c>
      <c r="D13" s="139" t="s">
        <v>1070</v>
      </c>
      <c r="E13" s="140">
        <v>150000</v>
      </c>
      <c r="F13" s="140">
        <v>295000</v>
      </c>
    </row>
    <row r="14" spans="1:7" hidden="1">
      <c r="A14" s="204">
        <v>46203</v>
      </c>
      <c r="B14" s="169" t="s">
        <v>353</v>
      </c>
      <c r="C14" s="138" t="s">
        <v>692</v>
      </c>
      <c r="D14" s="139" t="s">
        <v>1071</v>
      </c>
      <c r="F14" s="140">
        <v>80000</v>
      </c>
      <c r="G14" s="141" t="s">
        <v>1072</v>
      </c>
    </row>
    <row r="15" spans="1:7" hidden="1">
      <c r="A15" s="204">
        <v>46204</v>
      </c>
      <c r="B15" s="169" t="s">
        <v>33</v>
      </c>
      <c r="C15" s="138" t="s">
        <v>690</v>
      </c>
      <c r="D15" s="139" t="s">
        <v>19</v>
      </c>
      <c r="E15" s="140">
        <v>300000</v>
      </c>
    </row>
    <row r="16" spans="1:7" hidden="1">
      <c r="A16" s="204">
        <v>46204</v>
      </c>
      <c r="B16" s="169" t="s">
        <v>33</v>
      </c>
      <c r="C16" s="138" t="s">
        <v>690</v>
      </c>
      <c r="D16" s="139" t="s">
        <v>34</v>
      </c>
      <c r="E16" s="140">
        <v>200000</v>
      </c>
      <c r="G16" s="141" t="s">
        <v>1073</v>
      </c>
    </row>
    <row r="17" spans="1:7" hidden="1">
      <c r="A17" s="204">
        <v>46204</v>
      </c>
      <c r="B17" s="169" t="s">
        <v>33</v>
      </c>
      <c r="C17" s="138" t="s">
        <v>690</v>
      </c>
      <c r="D17" s="139" t="s">
        <v>1074</v>
      </c>
      <c r="E17" s="140">
        <v>150000</v>
      </c>
      <c r="F17" s="140">
        <v>202000</v>
      </c>
      <c r="G17" s="141" t="s">
        <v>1075</v>
      </c>
    </row>
    <row r="18" spans="1:7" hidden="1">
      <c r="A18" s="204">
        <v>46204</v>
      </c>
      <c r="B18" s="169" t="s">
        <v>55</v>
      </c>
      <c r="C18" s="138" t="s">
        <v>1076</v>
      </c>
      <c r="D18" s="139" t="s">
        <v>1077</v>
      </c>
      <c r="E18" s="140">
        <v>350000</v>
      </c>
      <c r="G18" s="141" t="s">
        <v>494</v>
      </c>
    </row>
    <row r="19" spans="1:7" hidden="1">
      <c r="A19" s="204">
        <v>46204</v>
      </c>
      <c r="B19" s="169" t="s">
        <v>55</v>
      </c>
      <c r="C19" s="138" t="s">
        <v>1076</v>
      </c>
      <c r="D19" s="139" t="s">
        <v>427</v>
      </c>
      <c r="E19" s="140">
        <v>200000</v>
      </c>
    </row>
    <row r="20" spans="1:7" hidden="1">
      <c r="A20" s="204">
        <v>46204</v>
      </c>
      <c r="B20" s="169" t="s">
        <v>55</v>
      </c>
      <c r="C20" s="138" t="s">
        <v>1076</v>
      </c>
      <c r="D20" s="139" t="s">
        <v>373</v>
      </c>
      <c r="F20" s="140">
        <v>115000</v>
      </c>
    </row>
    <row r="21" spans="1:7" hidden="1">
      <c r="A21" s="204">
        <v>46205</v>
      </c>
      <c r="B21" s="169" t="s">
        <v>120</v>
      </c>
      <c r="C21" s="138" t="s">
        <v>690</v>
      </c>
      <c r="D21" s="139" t="s">
        <v>1078</v>
      </c>
      <c r="E21" s="140">
        <v>300000</v>
      </c>
    </row>
    <row r="22" spans="1:7" hidden="1">
      <c r="A22" s="204">
        <v>46205</v>
      </c>
      <c r="B22" s="169" t="s">
        <v>120</v>
      </c>
      <c r="C22" s="138" t="s">
        <v>690</v>
      </c>
      <c r="D22" s="139" t="s">
        <v>1079</v>
      </c>
      <c r="F22" s="140">
        <v>35000</v>
      </c>
    </row>
    <row r="23" spans="1:7" hidden="1">
      <c r="A23" s="204">
        <v>46205</v>
      </c>
      <c r="B23" s="169" t="s">
        <v>61</v>
      </c>
      <c r="C23" s="138" t="s">
        <v>1015</v>
      </c>
      <c r="D23" s="139" t="s">
        <v>1078</v>
      </c>
      <c r="E23" s="140">
        <v>350000</v>
      </c>
      <c r="G23" s="202" t="s">
        <v>1080</v>
      </c>
    </row>
    <row r="24" spans="1:7" hidden="1">
      <c r="A24" s="204">
        <v>46205</v>
      </c>
      <c r="B24" s="169" t="s">
        <v>64</v>
      </c>
      <c r="C24" s="138" t="s">
        <v>682</v>
      </c>
      <c r="D24" s="139" t="s">
        <v>1078</v>
      </c>
      <c r="E24" s="140">
        <v>350000</v>
      </c>
    </row>
    <row r="25" spans="1:7" hidden="1">
      <c r="A25" s="204">
        <v>46205</v>
      </c>
      <c r="B25" s="169" t="s">
        <v>64</v>
      </c>
      <c r="C25" s="138" t="s">
        <v>682</v>
      </c>
      <c r="D25" s="139" t="s">
        <v>1081</v>
      </c>
      <c r="F25" s="140">
        <v>50000</v>
      </c>
      <c r="G25" s="142"/>
    </row>
    <row r="26" spans="1:7" hidden="1">
      <c r="A26" s="204">
        <v>46205</v>
      </c>
      <c r="B26" s="169" t="s">
        <v>64</v>
      </c>
      <c r="C26" s="138" t="s">
        <v>682</v>
      </c>
      <c r="D26" s="139" t="s">
        <v>130</v>
      </c>
      <c r="F26" s="140">
        <v>45000</v>
      </c>
      <c r="G26" s="143"/>
    </row>
    <row r="27" spans="1:7" hidden="1">
      <c r="A27" s="204">
        <v>46205</v>
      </c>
      <c r="B27" s="169" t="s">
        <v>64</v>
      </c>
      <c r="C27" s="138" t="s">
        <v>682</v>
      </c>
      <c r="D27" s="139" t="s">
        <v>1082</v>
      </c>
      <c r="F27" s="140">
        <v>80000</v>
      </c>
      <c r="G27" s="144"/>
    </row>
    <row r="28" spans="1:7" hidden="1">
      <c r="A28" s="204">
        <v>46205</v>
      </c>
      <c r="B28" s="169" t="s">
        <v>64</v>
      </c>
      <c r="C28" s="138"/>
      <c r="D28" s="139" t="s">
        <v>1083</v>
      </c>
      <c r="F28" s="140">
        <v>110000</v>
      </c>
    </row>
    <row r="29" spans="1:7" hidden="1">
      <c r="A29" s="204">
        <v>46206</v>
      </c>
      <c r="B29" s="169" t="s">
        <v>808</v>
      </c>
      <c r="C29" s="138" t="s">
        <v>687</v>
      </c>
      <c r="D29" s="139" t="s">
        <v>1084</v>
      </c>
      <c r="E29" s="140">
        <v>350000</v>
      </c>
    </row>
    <row r="30" spans="1:7" hidden="1">
      <c r="A30" s="204">
        <v>46206</v>
      </c>
      <c r="B30" s="169" t="s">
        <v>808</v>
      </c>
      <c r="C30" s="138" t="s">
        <v>687</v>
      </c>
      <c r="D30" s="139" t="s">
        <v>130</v>
      </c>
      <c r="F30" s="140">
        <v>45000</v>
      </c>
    </row>
    <row r="31" spans="1:7" hidden="1">
      <c r="A31" s="204">
        <v>46206</v>
      </c>
      <c r="B31" s="169" t="s">
        <v>27</v>
      </c>
      <c r="C31" s="138" t="s">
        <v>1015</v>
      </c>
      <c r="D31" s="139" t="s">
        <v>34</v>
      </c>
      <c r="E31" s="140">
        <v>100000</v>
      </c>
    </row>
    <row r="32" spans="1:7" hidden="1">
      <c r="A32" s="204">
        <v>46206</v>
      </c>
      <c r="B32" s="169" t="s">
        <v>111</v>
      </c>
      <c r="C32" s="138" t="s">
        <v>1085</v>
      </c>
      <c r="D32" s="139" t="s">
        <v>34</v>
      </c>
      <c r="E32" s="145">
        <v>150000</v>
      </c>
      <c r="F32" s="137"/>
    </row>
    <row r="33" spans="1:7" hidden="1">
      <c r="A33" s="204">
        <v>46206</v>
      </c>
      <c r="B33" s="169" t="s">
        <v>448</v>
      </c>
      <c r="C33" s="138" t="s">
        <v>692</v>
      </c>
      <c r="D33" s="139" t="s">
        <v>1086</v>
      </c>
      <c r="E33" s="137"/>
      <c r="F33" s="145">
        <v>25000</v>
      </c>
    </row>
    <row r="34" spans="1:7" hidden="1">
      <c r="A34" s="204">
        <v>46206</v>
      </c>
      <c r="B34" s="169" t="s">
        <v>448</v>
      </c>
      <c r="C34" s="138"/>
      <c r="D34" s="139" t="s">
        <v>1087</v>
      </c>
      <c r="E34" s="145"/>
      <c r="F34" s="137">
        <v>65000</v>
      </c>
    </row>
    <row r="35" spans="1:7" hidden="1">
      <c r="A35" s="204">
        <v>46207</v>
      </c>
      <c r="B35" s="169" t="s">
        <v>41</v>
      </c>
      <c r="C35" s="138" t="s">
        <v>1088</v>
      </c>
      <c r="D35" s="139" t="s">
        <v>917</v>
      </c>
      <c r="E35" s="145"/>
      <c r="F35" s="137">
        <v>25000</v>
      </c>
    </row>
    <row r="36" spans="1:7" hidden="1">
      <c r="A36" s="204">
        <v>46207</v>
      </c>
      <c r="B36" s="169" t="s">
        <v>55</v>
      </c>
      <c r="C36" s="138" t="s">
        <v>1089</v>
      </c>
      <c r="D36" s="139" t="s">
        <v>1078</v>
      </c>
      <c r="E36" s="145">
        <v>350000</v>
      </c>
      <c r="F36" s="137"/>
    </row>
    <row r="37" spans="1:7" hidden="1">
      <c r="A37" s="204">
        <v>46207</v>
      </c>
      <c r="B37" s="169" t="s">
        <v>57</v>
      </c>
      <c r="C37" s="138" t="s">
        <v>1090</v>
      </c>
      <c r="D37" s="139" t="s">
        <v>1091</v>
      </c>
      <c r="E37" s="145">
        <v>350000</v>
      </c>
      <c r="F37" s="145"/>
    </row>
    <row r="38" spans="1:7" hidden="1">
      <c r="A38" s="204">
        <v>46207</v>
      </c>
      <c r="B38" s="169" t="s">
        <v>14</v>
      </c>
      <c r="C38" s="137">
        <v>502</v>
      </c>
      <c r="D38" s="139" t="s">
        <v>1078</v>
      </c>
      <c r="E38" s="145">
        <v>350000</v>
      </c>
      <c r="F38" s="145"/>
      <c r="G38" s="147"/>
    </row>
    <row r="39" spans="1:7" hidden="1">
      <c r="A39" s="204">
        <v>46208</v>
      </c>
      <c r="B39" s="169" t="s">
        <v>97</v>
      </c>
      <c r="C39" s="137">
        <v>402</v>
      </c>
      <c r="D39" s="139" t="s">
        <v>19</v>
      </c>
      <c r="E39" s="145">
        <v>200000</v>
      </c>
      <c r="F39" s="145"/>
    </row>
    <row r="40" spans="1:7" hidden="1">
      <c r="A40" s="204">
        <v>46208</v>
      </c>
      <c r="B40" s="169" t="s">
        <v>30</v>
      </c>
      <c r="C40" s="137">
        <v>402</v>
      </c>
      <c r="D40" s="139" t="s">
        <v>34</v>
      </c>
      <c r="E40" s="145">
        <v>100000</v>
      </c>
      <c r="F40" s="145"/>
    </row>
    <row r="41" spans="1:7" hidden="1">
      <c r="A41" s="204">
        <v>46208</v>
      </c>
      <c r="B41" s="169" t="s">
        <v>61</v>
      </c>
      <c r="C41" s="137">
        <v>202</v>
      </c>
      <c r="D41" s="139" t="s">
        <v>1092</v>
      </c>
      <c r="E41" s="145"/>
      <c r="F41" s="145">
        <v>25000</v>
      </c>
    </row>
    <row r="42" spans="1:7" hidden="1">
      <c r="A42" s="204">
        <v>46209</v>
      </c>
      <c r="B42" s="169" t="s">
        <v>9</v>
      </c>
      <c r="C42" s="137">
        <v>404</v>
      </c>
      <c r="D42" s="139" t="s">
        <v>1093</v>
      </c>
      <c r="E42" s="145">
        <v>150000</v>
      </c>
      <c r="F42" s="145"/>
    </row>
    <row r="43" spans="1:7" hidden="1">
      <c r="A43" s="204">
        <v>46209</v>
      </c>
      <c r="B43" s="169" t="s">
        <v>9</v>
      </c>
      <c r="C43" s="137">
        <v>404</v>
      </c>
      <c r="D43" s="139" t="s">
        <v>1094</v>
      </c>
      <c r="E43" s="137"/>
      <c r="F43" s="145">
        <v>50000</v>
      </c>
    </row>
    <row r="44" spans="1:7" hidden="1">
      <c r="A44" s="204">
        <v>46209</v>
      </c>
      <c r="B44" s="169" t="s">
        <v>47</v>
      </c>
      <c r="C44" s="137">
        <v>202</v>
      </c>
      <c r="D44" s="139" t="s">
        <v>1095</v>
      </c>
      <c r="E44" s="145">
        <v>350000</v>
      </c>
      <c r="F44" s="145"/>
    </row>
    <row r="45" spans="1:7" hidden="1">
      <c r="A45" s="204">
        <v>46209</v>
      </c>
      <c r="B45" s="138" t="s">
        <v>268</v>
      </c>
      <c r="C45" s="137">
        <v>401</v>
      </c>
      <c r="D45" s="139" t="s">
        <v>34</v>
      </c>
      <c r="E45" s="145">
        <v>100000</v>
      </c>
      <c r="F45" s="145"/>
    </row>
    <row r="46" spans="1:7" ht="16.75" hidden="1" customHeight="1">
      <c r="A46" s="204">
        <v>46209</v>
      </c>
      <c r="B46" s="138" t="s">
        <v>268</v>
      </c>
      <c r="C46" s="137">
        <v>401</v>
      </c>
      <c r="D46" s="139" t="s">
        <v>1096</v>
      </c>
      <c r="E46" s="137"/>
      <c r="F46" s="145">
        <v>50000</v>
      </c>
    </row>
    <row r="47" spans="1:7" hidden="1">
      <c r="A47" s="204">
        <v>46210</v>
      </c>
      <c r="B47" s="169" t="s">
        <v>111</v>
      </c>
      <c r="C47" s="137">
        <v>203</v>
      </c>
      <c r="D47" s="139" t="s">
        <v>34</v>
      </c>
      <c r="E47" s="145">
        <v>150000</v>
      </c>
      <c r="F47" s="145"/>
    </row>
    <row r="48" spans="1:7" hidden="1">
      <c r="A48" s="204">
        <v>46210</v>
      </c>
      <c r="B48" s="169" t="s">
        <v>366</v>
      </c>
      <c r="C48" s="137">
        <v>201</v>
      </c>
      <c r="D48" s="139" t="s">
        <v>34</v>
      </c>
      <c r="E48" s="145">
        <v>150000</v>
      </c>
      <c r="F48" s="145"/>
    </row>
    <row r="49" spans="1:6" s="141" customFormat="1" hidden="1">
      <c r="A49" s="204">
        <v>46210</v>
      </c>
      <c r="B49" s="169" t="s">
        <v>366</v>
      </c>
      <c r="C49" s="137">
        <v>201</v>
      </c>
      <c r="D49" s="139" t="s">
        <v>1097</v>
      </c>
      <c r="E49" s="137"/>
      <c r="F49" s="145">
        <v>40000</v>
      </c>
    </row>
    <row r="50" spans="1:6" s="141" customFormat="1" hidden="1">
      <c r="A50" s="204">
        <v>46210</v>
      </c>
      <c r="B50" s="169" t="s">
        <v>366</v>
      </c>
      <c r="C50" s="137">
        <v>201</v>
      </c>
      <c r="D50" s="139" t="s">
        <v>1098</v>
      </c>
      <c r="E50" s="137"/>
      <c r="F50" s="145">
        <v>35000</v>
      </c>
    </row>
    <row r="51" spans="1:6" s="141" customFormat="1" hidden="1">
      <c r="A51" s="204">
        <v>46210</v>
      </c>
      <c r="B51" s="169" t="s">
        <v>865</v>
      </c>
      <c r="C51" s="137">
        <v>403</v>
      </c>
      <c r="D51" s="139" t="s">
        <v>521</v>
      </c>
      <c r="E51" s="137"/>
      <c r="F51" s="145">
        <v>95000</v>
      </c>
    </row>
    <row r="52" spans="1:6" s="141" customFormat="1" hidden="1">
      <c r="A52" s="204">
        <v>46210</v>
      </c>
      <c r="B52" s="169" t="s">
        <v>499</v>
      </c>
      <c r="C52" s="137">
        <v>502</v>
      </c>
      <c r="D52" s="139" t="s">
        <v>34</v>
      </c>
      <c r="E52" s="145">
        <v>150000</v>
      </c>
      <c r="F52" s="145"/>
    </row>
    <row r="53" spans="1:6" s="141" customFormat="1" hidden="1">
      <c r="A53" s="204">
        <v>46210</v>
      </c>
      <c r="B53" s="169" t="s">
        <v>865</v>
      </c>
      <c r="C53" s="137">
        <v>201</v>
      </c>
      <c r="D53" s="139" t="s">
        <v>1099</v>
      </c>
      <c r="E53" s="145"/>
      <c r="F53" s="145">
        <v>50000</v>
      </c>
    </row>
    <row r="54" spans="1:6" s="141" customFormat="1" hidden="1">
      <c r="A54" s="204">
        <v>46210</v>
      </c>
      <c r="B54" s="169" t="s">
        <v>865</v>
      </c>
      <c r="C54" s="137" t="s">
        <v>1100</v>
      </c>
      <c r="D54" s="139" t="s">
        <v>1101</v>
      </c>
      <c r="E54" s="145">
        <v>100000</v>
      </c>
      <c r="F54" s="145">
        <v>155000</v>
      </c>
    </row>
    <row r="55" spans="1:6" s="141" customFormat="1" hidden="1">
      <c r="A55" s="204">
        <v>46211</v>
      </c>
      <c r="B55" s="169" t="s">
        <v>547</v>
      </c>
      <c r="C55" s="137">
        <v>402</v>
      </c>
      <c r="D55" s="139" t="s">
        <v>1102</v>
      </c>
      <c r="E55" s="145"/>
      <c r="F55" s="145">
        <v>60000</v>
      </c>
    </row>
    <row r="56" spans="1:6" s="141" customFormat="1" hidden="1">
      <c r="A56" s="204">
        <v>46211</v>
      </c>
      <c r="B56" s="169" t="s">
        <v>33</v>
      </c>
      <c r="C56" s="137"/>
      <c r="D56" s="139" t="s">
        <v>1103</v>
      </c>
      <c r="E56" s="145"/>
      <c r="F56" s="145">
        <v>40000</v>
      </c>
    </row>
    <row r="57" spans="1:6" s="141" customFormat="1" hidden="1">
      <c r="A57" s="204">
        <v>46211</v>
      </c>
      <c r="B57" s="169" t="s">
        <v>33</v>
      </c>
      <c r="C57" s="137">
        <v>102</v>
      </c>
      <c r="D57" s="139" t="s">
        <v>1104</v>
      </c>
      <c r="E57" s="145"/>
      <c r="F57" s="145">
        <v>42000</v>
      </c>
    </row>
    <row r="58" spans="1:6" s="141" customFormat="1" hidden="1">
      <c r="A58" s="204">
        <v>46211</v>
      </c>
      <c r="B58" s="169" t="s">
        <v>33</v>
      </c>
      <c r="C58" s="137">
        <v>102</v>
      </c>
      <c r="D58" s="139" t="s">
        <v>71</v>
      </c>
      <c r="E58" s="145"/>
      <c r="F58" s="145">
        <v>120000</v>
      </c>
    </row>
    <row r="59" spans="1:6" s="141" customFormat="1" hidden="1">
      <c r="A59" s="204">
        <v>46211</v>
      </c>
      <c r="B59" s="169" t="s">
        <v>120</v>
      </c>
      <c r="C59" s="137" t="s">
        <v>1105</v>
      </c>
      <c r="D59" s="139" t="s">
        <v>1106</v>
      </c>
      <c r="E59" s="145"/>
      <c r="F59" s="145">
        <v>80000</v>
      </c>
    </row>
    <row r="60" spans="1:6" s="141" customFormat="1" hidden="1">
      <c r="A60" s="204">
        <v>46211</v>
      </c>
      <c r="B60" s="169" t="s">
        <v>865</v>
      </c>
      <c r="C60" s="137">
        <v>205</v>
      </c>
      <c r="D60" s="139" t="s">
        <v>326</v>
      </c>
      <c r="E60" s="145"/>
      <c r="F60" s="145">
        <v>35000</v>
      </c>
    </row>
    <row r="61" spans="1:6" s="141" customFormat="1" hidden="1">
      <c r="A61" s="204">
        <v>46215</v>
      </c>
      <c r="B61" s="173" t="s">
        <v>170</v>
      </c>
      <c r="C61" s="137">
        <v>303</v>
      </c>
      <c r="D61" s="139" t="s">
        <v>1107</v>
      </c>
      <c r="E61" s="145">
        <v>350000</v>
      </c>
      <c r="F61" s="145"/>
    </row>
    <row r="62" spans="1:6" s="141" customFormat="1" hidden="1">
      <c r="A62" s="204">
        <v>46215</v>
      </c>
      <c r="B62" s="173" t="s">
        <v>170</v>
      </c>
      <c r="C62" s="137">
        <v>303</v>
      </c>
      <c r="D62" s="139" t="s">
        <v>34</v>
      </c>
      <c r="E62" s="145">
        <v>200000</v>
      </c>
      <c r="F62" s="145"/>
    </row>
    <row r="63" spans="1:6" s="141" customFormat="1" hidden="1">
      <c r="A63" s="204">
        <v>46216</v>
      </c>
      <c r="B63" s="169" t="s">
        <v>865</v>
      </c>
      <c r="C63" s="137">
        <v>101</v>
      </c>
      <c r="D63" s="139" t="s">
        <v>1108</v>
      </c>
      <c r="E63" s="145">
        <v>200000</v>
      </c>
      <c r="F63" s="145">
        <v>248000</v>
      </c>
    </row>
    <row r="64" spans="1:6" s="141" customFormat="1" hidden="1">
      <c r="A64" s="204">
        <v>46216</v>
      </c>
      <c r="B64" s="169" t="s">
        <v>865</v>
      </c>
      <c r="C64" s="137">
        <v>101</v>
      </c>
      <c r="D64" s="139" t="s">
        <v>73</v>
      </c>
      <c r="E64" s="137"/>
      <c r="F64" s="145">
        <v>35000</v>
      </c>
    </row>
    <row r="65" spans="1:6" s="141" customFormat="1" hidden="1">
      <c r="A65" s="204">
        <v>46216</v>
      </c>
      <c r="B65" s="169" t="s">
        <v>865</v>
      </c>
      <c r="C65" s="137">
        <v>104</v>
      </c>
      <c r="D65" s="139" t="s">
        <v>1108</v>
      </c>
      <c r="E65" s="145">
        <v>200000</v>
      </c>
      <c r="F65" s="145">
        <v>248000</v>
      </c>
    </row>
    <row r="66" spans="1:6" s="141" customFormat="1" hidden="1">
      <c r="A66" s="204">
        <v>46216</v>
      </c>
      <c r="B66" s="169" t="s">
        <v>865</v>
      </c>
      <c r="C66" s="137">
        <v>302</v>
      </c>
      <c r="D66" s="139" t="s">
        <v>1108</v>
      </c>
      <c r="E66" s="145">
        <v>200000</v>
      </c>
      <c r="F66" s="145">
        <v>248000</v>
      </c>
    </row>
    <row r="67" spans="1:6" s="141" customFormat="1" hidden="1">
      <c r="A67" s="204">
        <v>46216</v>
      </c>
      <c r="B67" s="169" t="s">
        <v>865</v>
      </c>
      <c r="C67" s="137">
        <v>302</v>
      </c>
      <c r="D67" s="139" t="s">
        <v>948</v>
      </c>
      <c r="E67" s="137"/>
      <c r="F67" s="145">
        <v>95000</v>
      </c>
    </row>
    <row r="68" spans="1:6" s="141" customFormat="1" hidden="1">
      <c r="A68" s="204">
        <v>46216</v>
      </c>
      <c r="B68" s="169" t="s">
        <v>865</v>
      </c>
      <c r="C68" s="137">
        <v>302</v>
      </c>
      <c r="D68" s="139" t="s">
        <v>1109</v>
      </c>
      <c r="E68" s="145"/>
      <c r="F68" s="145">
        <v>25000</v>
      </c>
    </row>
    <row r="69" spans="1:6" s="141" customFormat="1" hidden="1">
      <c r="A69" s="204">
        <v>46216</v>
      </c>
      <c r="B69" s="169" t="s">
        <v>865</v>
      </c>
      <c r="C69" s="137">
        <v>403</v>
      </c>
      <c r="D69" s="139" t="s">
        <v>1108</v>
      </c>
      <c r="E69" s="145">
        <v>200000</v>
      </c>
      <c r="F69" s="145">
        <v>248000</v>
      </c>
    </row>
    <row r="70" spans="1:6" s="141" customFormat="1" hidden="1">
      <c r="A70" s="204">
        <v>46217</v>
      </c>
      <c r="B70" s="169" t="s">
        <v>57</v>
      </c>
      <c r="C70" s="137">
        <v>504</v>
      </c>
      <c r="D70" s="139" t="s">
        <v>1110</v>
      </c>
      <c r="E70" s="137"/>
      <c r="F70" s="145">
        <v>55000</v>
      </c>
    </row>
    <row r="71" spans="1:6" s="141" customFormat="1" hidden="1">
      <c r="A71" s="204">
        <v>46218</v>
      </c>
      <c r="B71" s="169" t="s">
        <v>170</v>
      </c>
      <c r="C71" s="137"/>
      <c r="D71" s="139" t="s">
        <v>1111</v>
      </c>
      <c r="E71" s="137"/>
      <c r="F71" s="145">
        <v>10000</v>
      </c>
    </row>
    <row r="72" spans="1:6" s="141" customFormat="1" hidden="1">
      <c r="A72" s="204">
        <v>46218</v>
      </c>
      <c r="B72" s="169" t="s">
        <v>276</v>
      </c>
      <c r="C72" s="137"/>
      <c r="D72" s="139" t="s">
        <v>71</v>
      </c>
      <c r="E72" s="137"/>
      <c r="F72" s="145">
        <v>120000</v>
      </c>
    </row>
    <row r="73" spans="1:6" s="141" customFormat="1">
      <c r="A73" s="204">
        <v>46222</v>
      </c>
      <c r="B73" s="169" t="s">
        <v>1112</v>
      </c>
      <c r="C73" s="137"/>
      <c r="D73" s="139" t="s">
        <v>1113</v>
      </c>
      <c r="E73" s="145">
        <v>200000</v>
      </c>
      <c r="F73" s="145">
        <v>64000</v>
      </c>
    </row>
    <row r="74" spans="1:6" s="141" customFormat="1">
      <c r="A74" s="204">
        <v>46222</v>
      </c>
      <c r="B74" s="169" t="s">
        <v>1112</v>
      </c>
      <c r="C74" s="138"/>
      <c r="D74" s="139" t="s">
        <v>1114</v>
      </c>
      <c r="E74" s="145">
        <v>300000</v>
      </c>
      <c r="F74" s="145">
        <v>188000</v>
      </c>
    </row>
    <row r="75" spans="1:6" s="141" customFormat="1">
      <c r="A75" s="204">
        <v>46222</v>
      </c>
      <c r="B75" s="169" t="s">
        <v>1112</v>
      </c>
      <c r="C75" s="138"/>
      <c r="D75" s="139" t="s">
        <v>1115</v>
      </c>
      <c r="E75" s="137"/>
      <c r="F75" s="145">
        <v>110000</v>
      </c>
    </row>
    <row r="76" spans="1:6" s="141" customFormat="1" hidden="1">
      <c r="A76" s="204">
        <v>46223</v>
      </c>
      <c r="B76" s="169" t="s">
        <v>64</v>
      </c>
      <c r="C76" s="137">
        <v>402</v>
      </c>
      <c r="D76" s="139" t="s">
        <v>1116</v>
      </c>
      <c r="E76" s="137"/>
      <c r="F76" s="145">
        <v>25000</v>
      </c>
    </row>
    <row r="77" spans="1:6" s="141" customFormat="1" hidden="1">
      <c r="A77" s="204">
        <v>46223</v>
      </c>
      <c r="B77" s="169" t="s">
        <v>64</v>
      </c>
      <c r="C77" s="137"/>
      <c r="D77" s="139" t="s">
        <v>1117</v>
      </c>
      <c r="E77" s="145"/>
      <c r="F77" s="145">
        <v>45000</v>
      </c>
    </row>
    <row r="78" spans="1:6" s="141" customFormat="1" hidden="1">
      <c r="A78" s="204">
        <v>46223</v>
      </c>
      <c r="B78" s="169" t="s">
        <v>64</v>
      </c>
      <c r="C78" s="137">
        <v>402</v>
      </c>
      <c r="D78" s="139" t="s">
        <v>451</v>
      </c>
      <c r="E78" s="145"/>
      <c r="F78" s="145">
        <v>130000</v>
      </c>
    </row>
    <row r="79" spans="1:6" s="141" customFormat="1" hidden="1">
      <c r="A79" s="204">
        <v>46223</v>
      </c>
      <c r="B79" s="169" t="s">
        <v>64</v>
      </c>
      <c r="C79" s="137">
        <v>401</v>
      </c>
      <c r="D79" s="139" t="s">
        <v>451</v>
      </c>
      <c r="E79" s="137"/>
      <c r="F79" s="145">
        <v>130000</v>
      </c>
    </row>
    <row r="80" spans="1:6" s="141" customFormat="1" hidden="1">
      <c r="A80" s="204">
        <v>46223</v>
      </c>
      <c r="B80" s="169" t="s">
        <v>64</v>
      </c>
      <c r="C80" s="137">
        <v>303</v>
      </c>
      <c r="D80" s="139" t="s">
        <v>451</v>
      </c>
      <c r="E80" s="137"/>
      <c r="F80" s="145">
        <v>130000</v>
      </c>
    </row>
    <row r="81" spans="1:7" s="141" customFormat="1" hidden="1">
      <c r="A81" s="204">
        <v>46223</v>
      </c>
      <c r="B81" s="169" t="s">
        <v>64</v>
      </c>
      <c r="C81" s="137">
        <v>501</v>
      </c>
      <c r="D81" s="139" t="s">
        <v>451</v>
      </c>
      <c r="E81" s="137"/>
      <c r="F81" s="145">
        <v>130000</v>
      </c>
    </row>
    <row r="82" spans="1:7" s="141" customFormat="1" hidden="1">
      <c r="A82" s="204">
        <v>46224</v>
      </c>
      <c r="B82" s="169" t="s">
        <v>865</v>
      </c>
      <c r="C82" s="137">
        <v>101</v>
      </c>
      <c r="D82" s="139" t="s">
        <v>1118</v>
      </c>
      <c r="E82" s="137"/>
      <c r="F82" s="145">
        <v>100000</v>
      </c>
    </row>
    <row r="83" spans="1:7" s="141" customFormat="1" hidden="1">
      <c r="A83" s="204">
        <v>46224</v>
      </c>
      <c r="B83" s="169" t="s">
        <v>865</v>
      </c>
      <c r="C83" s="137">
        <v>403</v>
      </c>
      <c r="D83" s="139" t="s">
        <v>1118</v>
      </c>
      <c r="E83" s="137"/>
      <c r="F83" s="145">
        <v>100000</v>
      </c>
    </row>
    <row r="84" spans="1:7" s="141" customFormat="1" hidden="1">
      <c r="A84" s="204">
        <v>46224</v>
      </c>
      <c r="B84" s="169" t="s">
        <v>865</v>
      </c>
      <c r="C84" s="137">
        <v>101</v>
      </c>
      <c r="D84" s="139" t="s">
        <v>1119</v>
      </c>
      <c r="E84" s="137"/>
      <c r="F84" s="145">
        <v>35000</v>
      </c>
    </row>
    <row r="85" spans="1:7" s="141" customFormat="1" hidden="1">
      <c r="A85" s="204">
        <v>46224</v>
      </c>
      <c r="B85" s="169" t="s">
        <v>865</v>
      </c>
      <c r="C85" s="137" t="s">
        <v>1120</v>
      </c>
      <c r="D85" s="139" t="s">
        <v>1121</v>
      </c>
      <c r="E85" s="137"/>
      <c r="F85" s="145">
        <v>65000</v>
      </c>
    </row>
    <row r="86" spans="1:7" s="141" customFormat="1" hidden="1">
      <c r="A86" s="204">
        <v>46225</v>
      </c>
      <c r="B86" s="169" t="s">
        <v>120</v>
      </c>
      <c r="C86" s="137">
        <v>103</v>
      </c>
      <c r="D86" s="139" t="s">
        <v>34</v>
      </c>
      <c r="E86" s="145">
        <v>300000</v>
      </c>
      <c r="F86" s="137"/>
      <c r="G86" s="141" t="s">
        <v>364</v>
      </c>
    </row>
    <row r="87" spans="1:7" s="141" customFormat="1" hidden="1">
      <c r="A87" s="204">
        <v>46225</v>
      </c>
      <c r="B87" s="169" t="s">
        <v>120</v>
      </c>
      <c r="C87" s="137">
        <v>103</v>
      </c>
      <c r="D87" s="139" t="s">
        <v>1122</v>
      </c>
      <c r="E87" s="137"/>
      <c r="F87" s="145">
        <v>50000</v>
      </c>
      <c r="G87" s="141" t="s">
        <v>364</v>
      </c>
    </row>
    <row r="88" spans="1:7" s="141" customFormat="1" hidden="1">
      <c r="A88" s="204">
        <v>46225</v>
      </c>
      <c r="B88" s="169" t="s">
        <v>120</v>
      </c>
      <c r="C88" s="137">
        <v>103</v>
      </c>
      <c r="D88" s="139" t="s">
        <v>1107</v>
      </c>
      <c r="E88" s="145">
        <v>400000</v>
      </c>
      <c r="F88" s="137"/>
    </row>
    <row r="89" spans="1:7" s="141" customFormat="1" hidden="1">
      <c r="A89" s="204">
        <v>46225</v>
      </c>
      <c r="B89" s="169" t="s">
        <v>120</v>
      </c>
      <c r="C89" s="137">
        <v>103</v>
      </c>
      <c r="D89" s="139" t="s">
        <v>1123</v>
      </c>
      <c r="E89" s="145">
        <v>100000</v>
      </c>
      <c r="F89" s="145">
        <v>115000</v>
      </c>
    </row>
    <row r="90" spans="1:7" s="141" customFormat="1" hidden="1">
      <c r="A90" s="177">
        <v>46226</v>
      </c>
      <c r="B90" s="168" t="s">
        <v>80</v>
      </c>
      <c r="C90" s="137"/>
      <c r="D90" s="139" t="s">
        <v>1124</v>
      </c>
      <c r="E90" s="137"/>
      <c r="F90" s="145">
        <v>240000</v>
      </c>
    </row>
    <row r="91" spans="1:7" s="141" customFormat="1" hidden="1">
      <c r="A91" s="177">
        <v>46226</v>
      </c>
      <c r="B91" s="137" t="s">
        <v>268</v>
      </c>
      <c r="C91" s="137">
        <v>502</v>
      </c>
      <c r="D91" s="139" t="s">
        <v>34</v>
      </c>
      <c r="E91" s="145">
        <v>150000</v>
      </c>
      <c r="F91" s="137"/>
    </row>
    <row r="92" spans="1:7" s="141" customFormat="1" hidden="1">
      <c r="A92" s="177">
        <v>46226</v>
      </c>
      <c r="B92" s="137" t="s">
        <v>268</v>
      </c>
      <c r="C92" s="137">
        <v>502</v>
      </c>
      <c r="D92" s="139" t="s">
        <v>1125</v>
      </c>
      <c r="E92" s="137"/>
      <c r="F92" s="145">
        <v>60000</v>
      </c>
    </row>
    <row r="93" spans="1:7" s="141" customFormat="1" hidden="1">
      <c r="A93" s="177">
        <v>46227</v>
      </c>
      <c r="B93" s="168" t="s">
        <v>64</v>
      </c>
      <c r="C93" s="137"/>
      <c r="D93" s="139" t="s">
        <v>1126</v>
      </c>
      <c r="E93" s="137"/>
      <c r="F93" s="145">
        <v>65000</v>
      </c>
    </row>
    <row r="94" spans="1:7" s="141" customFormat="1" hidden="1">
      <c r="A94" s="177">
        <v>46227</v>
      </c>
      <c r="B94" s="168" t="s">
        <v>187</v>
      </c>
      <c r="C94" s="137">
        <v>101</v>
      </c>
      <c r="D94" s="139" t="s">
        <v>1127</v>
      </c>
      <c r="E94" s="137"/>
      <c r="F94" s="145">
        <v>30000</v>
      </c>
    </row>
    <row r="95" spans="1:7" s="141" customFormat="1" hidden="1">
      <c r="A95" s="177">
        <v>46227</v>
      </c>
      <c r="B95" s="168" t="s">
        <v>187</v>
      </c>
      <c r="C95" s="137">
        <v>101</v>
      </c>
      <c r="D95" s="139" t="s">
        <v>1128</v>
      </c>
      <c r="E95" s="137"/>
      <c r="F95" s="145">
        <v>10000</v>
      </c>
    </row>
    <row r="96" spans="1:7" s="141" customFormat="1" hidden="1">
      <c r="A96" s="177">
        <v>46227</v>
      </c>
      <c r="B96" s="168" t="s">
        <v>187</v>
      </c>
      <c r="C96" s="137">
        <v>101</v>
      </c>
      <c r="D96" s="139" t="s">
        <v>1129</v>
      </c>
      <c r="E96" s="137"/>
      <c r="F96" s="145">
        <v>50000</v>
      </c>
    </row>
    <row r="97" spans="1:6" s="141" customFormat="1">
      <c r="A97" s="177">
        <v>46227</v>
      </c>
      <c r="B97" s="168" t="s">
        <v>1112</v>
      </c>
      <c r="C97" s="137"/>
      <c r="D97" s="139" t="s">
        <v>1130</v>
      </c>
      <c r="E97" s="137"/>
      <c r="F97" s="145">
        <v>315000</v>
      </c>
    </row>
    <row r="98" spans="1:6" s="141" customFormat="1" hidden="1">
      <c r="A98" s="177">
        <v>46227</v>
      </c>
      <c r="B98" s="168" t="s">
        <v>61</v>
      </c>
      <c r="C98" s="137">
        <v>101</v>
      </c>
      <c r="D98" s="139" t="s">
        <v>34</v>
      </c>
      <c r="E98" s="145">
        <v>150000</v>
      </c>
      <c r="F98" s="137"/>
    </row>
    <row r="99" spans="1:6" s="141" customFormat="1">
      <c r="A99" s="177"/>
      <c r="B99" s="137"/>
      <c r="C99" s="137"/>
      <c r="D99" s="139"/>
      <c r="E99" s="137"/>
      <c r="F99" s="137"/>
    </row>
    <row r="100" spans="1:6" s="141" customFormat="1">
      <c r="A100" s="177"/>
      <c r="B100" s="137"/>
      <c r="C100" s="137"/>
      <c r="D100" s="139"/>
      <c r="E100" s="137"/>
      <c r="F100" s="137"/>
    </row>
    <row r="101" spans="1:6" s="141" customFormat="1">
      <c r="A101" s="177"/>
      <c r="B101" s="137"/>
      <c r="C101" s="137"/>
      <c r="D101" s="139"/>
      <c r="E101" s="137"/>
      <c r="F101" s="137"/>
    </row>
    <row r="102" spans="1:6" s="141" customFormat="1">
      <c r="A102" s="177"/>
      <c r="B102" s="137"/>
      <c r="C102" s="137"/>
      <c r="D102" s="139"/>
      <c r="E102" s="137"/>
      <c r="F102" s="137"/>
    </row>
    <row r="103" spans="1:6" s="141" customFormat="1">
      <c r="A103" s="177"/>
      <c r="B103" s="137"/>
      <c r="C103" s="137"/>
      <c r="D103" s="139"/>
      <c r="E103" s="137"/>
      <c r="F103" s="137"/>
    </row>
    <row r="104" spans="1:6" s="141" customFormat="1">
      <c r="A104" s="177"/>
      <c r="B104" s="137"/>
      <c r="C104" s="137"/>
      <c r="D104" s="139"/>
      <c r="E104" s="137"/>
      <c r="F104" s="137"/>
    </row>
    <row r="105" spans="1:6" s="141" customFormat="1">
      <c r="A105" s="177"/>
      <c r="B105" s="137"/>
      <c r="C105" s="137"/>
      <c r="D105" s="139"/>
      <c r="E105" s="137"/>
      <c r="F105" s="137"/>
    </row>
    <row r="106" spans="1:6" s="141" customFormat="1">
      <c r="A106" s="177"/>
      <c r="B106" s="137"/>
      <c r="C106" s="137"/>
      <c r="D106" s="139"/>
      <c r="E106" s="137"/>
      <c r="F106" s="137"/>
    </row>
    <row r="107" spans="1:6" s="141" customFormat="1">
      <c r="A107" s="177"/>
      <c r="B107" s="137"/>
      <c r="C107" s="137"/>
      <c r="D107" s="139"/>
      <c r="E107" s="137"/>
      <c r="F107" s="137"/>
    </row>
    <row r="108" spans="1:6" s="141" customFormat="1">
      <c r="A108" s="177"/>
      <c r="B108" s="137"/>
      <c r="C108" s="137"/>
      <c r="D108" s="139"/>
      <c r="E108" s="137"/>
      <c r="F108" s="137"/>
    </row>
    <row r="109" spans="1:6" s="141" customFormat="1">
      <c r="A109" s="177"/>
      <c r="B109" s="137"/>
      <c r="C109" s="137"/>
      <c r="D109" s="139"/>
      <c r="E109" s="137"/>
      <c r="F109" s="137"/>
    </row>
    <row r="110" spans="1:6" s="141" customFormat="1">
      <c r="A110" s="177"/>
      <c r="B110" s="137"/>
      <c r="C110" s="137"/>
      <c r="D110" s="139"/>
      <c r="E110" s="137"/>
      <c r="F110" s="137"/>
    </row>
    <row r="111" spans="1:6" s="141" customFormat="1">
      <c r="A111" s="177"/>
      <c r="B111" s="137"/>
      <c r="C111" s="137"/>
      <c r="D111" s="139"/>
      <c r="E111" s="137"/>
      <c r="F111" s="137"/>
    </row>
    <row r="112" spans="1:6" s="141" customFormat="1">
      <c r="A112" s="177"/>
      <c r="B112" s="137"/>
      <c r="C112" s="137"/>
      <c r="D112" s="139"/>
      <c r="E112" s="137"/>
      <c r="F112" s="137"/>
    </row>
    <row r="113" spans="1:6" s="141" customFormat="1">
      <c r="A113" s="177"/>
      <c r="B113" s="137"/>
      <c r="C113" s="137"/>
      <c r="D113" s="139"/>
      <c r="E113" s="137"/>
      <c r="F113" s="137"/>
    </row>
    <row r="114" spans="1:6" s="141" customFormat="1">
      <c r="A114" s="177"/>
      <c r="B114" s="137"/>
      <c r="C114" s="137"/>
      <c r="D114" s="139"/>
      <c r="E114" s="137"/>
      <c r="F114" s="137"/>
    </row>
    <row r="115" spans="1:6" s="141" customFormat="1">
      <c r="A115" s="177"/>
      <c r="B115" s="137"/>
      <c r="C115" s="137"/>
      <c r="D115" s="139"/>
      <c r="E115" s="137"/>
      <c r="F115" s="137"/>
    </row>
    <row r="116" spans="1:6" s="141" customFormat="1">
      <c r="A116" s="177"/>
      <c r="B116" s="137"/>
      <c r="C116" s="137"/>
      <c r="D116" s="139"/>
      <c r="E116" s="137"/>
      <c r="F116" s="137"/>
    </row>
    <row r="117" spans="1:6" s="141" customFormat="1">
      <c r="A117" s="177"/>
      <c r="B117" s="137"/>
      <c r="C117" s="137"/>
      <c r="D117" s="139"/>
      <c r="E117" s="137"/>
      <c r="F117" s="137"/>
    </row>
    <row r="118" spans="1:6" s="141" customFormat="1">
      <c r="A118" s="177"/>
      <c r="B118" s="137"/>
      <c r="C118" s="137"/>
      <c r="D118" s="139"/>
      <c r="E118" s="137"/>
      <c r="F118" s="137"/>
    </row>
    <row r="119" spans="1:6" s="141" customFormat="1">
      <c r="A119" s="177"/>
      <c r="B119" s="137"/>
      <c r="C119" s="137"/>
      <c r="D119" s="139"/>
      <c r="E119" s="137"/>
      <c r="F119" s="137"/>
    </row>
    <row r="120" spans="1:6" s="141" customFormat="1">
      <c r="A120" s="177"/>
      <c r="B120" s="137"/>
      <c r="C120" s="137"/>
      <c r="D120" s="139"/>
      <c r="E120" s="137"/>
      <c r="F120" s="137"/>
    </row>
    <row r="121" spans="1:6" s="141" customFormat="1">
      <c r="A121" s="177"/>
      <c r="B121" s="137"/>
      <c r="C121" s="137"/>
      <c r="D121" s="139"/>
      <c r="E121" s="137"/>
      <c r="F121" s="137"/>
    </row>
    <row r="122" spans="1:6" s="141" customFormat="1">
      <c r="A122" s="177"/>
      <c r="B122" s="137"/>
      <c r="C122" s="137"/>
      <c r="D122" s="139"/>
      <c r="E122" s="137"/>
      <c r="F122" s="137"/>
    </row>
    <row r="123" spans="1:6" s="141" customFormat="1">
      <c r="A123" s="177"/>
      <c r="B123" s="137"/>
      <c r="C123" s="137"/>
      <c r="D123" s="139"/>
      <c r="E123" s="137"/>
      <c r="F123" s="137"/>
    </row>
    <row r="124" spans="1:6" s="141" customFormat="1">
      <c r="A124" s="177"/>
      <c r="B124" s="137"/>
      <c r="C124" s="137"/>
      <c r="D124" s="139"/>
      <c r="E124" s="137"/>
      <c r="F124" s="137"/>
    </row>
    <row r="125" spans="1:6" s="141" customFormat="1">
      <c r="A125" s="177"/>
      <c r="B125" s="137"/>
      <c r="C125" s="137"/>
      <c r="D125" s="139"/>
      <c r="E125" s="137"/>
      <c r="F125" s="137"/>
    </row>
    <row r="126" spans="1:6" s="141" customFormat="1">
      <c r="A126" s="177"/>
      <c r="B126" s="137"/>
      <c r="C126" s="137"/>
      <c r="D126" s="139"/>
      <c r="E126" s="137"/>
      <c r="F126" s="137"/>
    </row>
    <row r="127" spans="1:6" s="141" customFormat="1">
      <c r="A127" s="177"/>
      <c r="B127" s="137"/>
      <c r="C127" s="137"/>
      <c r="D127" s="139"/>
      <c r="E127" s="137"/>
      <c r="F127" s="137"/>
    </row>
    <row r="128" spans="1:6" s="141" customFormat="1">
      <c r="A128" s="177"/>
      <c r="B128" s="137"/>
      <c r="C128" s="137"/>
      <c r="D128" s="139"/>
      <c r="E128" s="137"/>
      <c r="F128" s="137"/>
    </row>
    <row r="129" spans="1:6" s="141" customFormat="1">
      <c r="A129" s="177"/>
      <c r="B129" s="137"/>
      <c r="C129" s="137"/>
      <c r="D129" s="139"/>
      <c r="E129" s="137"/>
      <c r="F129" s="137"/>
    </row>
    <row r="130" spans="1:6" s="141" customFormat="1">
      <c r="A130" s="177"/>
      <c r="B130" s="137"/>
      <c r="C130" s="137"/>
      <c r="D130" s="139"/>
      <c r="E130" s="137"/>
      <c r="F130" s="137"/>
    </row>
    <row r="131" spans="1:6" s="141" customFormat="1">
      <c r="A131" s="177"/>
      <c r="B131" s="137"/>
      <c r="C131" s="137"/>
      <c r="D131" s="139"/>
      <c r="E131" s="137"/>
      <c r="F131" s="137"/>
    </row>
    <row r="132" spans="1:6" s="141" customFormat="1">
      <c r="A132" s="177"/>
      <c r="B132" s="137"/>
      <c r="C132" s="137"/>
      <c r="D132" s="139"/>
      <c r="E132" s="137"/>
      <c r="F132" s="137"/>
    </row>
    <row r="133" spans="1:6" s="141" customFormat="1">
      <c r="A133" s="177"/>
      <c r="B133" s="137"/>
      <c r="C133" s="137"/>
      <c r="D133" s="139"/>
      <c r="E133" s="137"/>
      <c r="F133" s="137"/>
    </row>
    <row r="134" spans="1:6" s="141" customFormat="1">
      <c r="A134" s="177"/>
      <c r="B134" s="137"/>
      <c r="C134" s="137"/>
      <c r="D134" s="139"/>
      <c r="E134" s="137"/>
      <c r="F134" s="137"/>
    </row>
    <row r="135" spans="1:6" s="141" customFormat="1">
      <c r="A135" s="177"/>
      <c r="B135" s="137"/>
      <c r="C135" s="137"/>
      <c r="D135" s="139"/>
      <c r="E135" s="137"/>
      <c r="F135" s="137"/>
    </row>
    <row r="136" spans="1:6" s="141" customFormat="1">
      <c r="A136" s="177"/>
      <c r="B136" s="137"/>
      <c r="C136" s="137"/>
      <c r="D136" s="139"/>
      <c r="E136" s="137"/>
      <c r="F136" s="137"/>
    </row>
    <row r="137" spans="1:6" s="141" customFormat="1">
      <c r="A137" s="177"/>
      <c r="B137" s="137"/>
      <c r="C137" s="137"/>
      <c r="D137" s="139"/>
      <c r="E137" s="137"/>
      <c r="F137" s="137"/>
    </row>
    <row r="138" spans="1:6" s="141" customFormat="1">
      <c r="A138" s="177"/>
      <c r="B138" s="137"/>
      <c r="C138" s="137"/>
      <c r="D138" s="139"/>
      <c r="E138" s="137"/>
      <c r="F138" s="137"/>
    </row>
    <row r="139" spans="1:6" s="141" customFormat="1">
      <c r="A139" s="177"/>
      <c r="B139" s="137"/>
      <c r="C139" s="137"/>
      <c r="D139" s="139"/>
      <c r="E139" s="137"/>
      <c r="F139" s="137"/>
    </row>
    <row r="140" spans="1:6" s="141" customFormat="1">
      <c r="A140" s="177"/>
      <c r="B140" s="137"/>
      <c r="C140" s="137"/>
      <c r="D140" s="139"/>
      <c r="E140" s="137"/>
      <c r="F140" s="137"/>
    </row>
    <row r="141" spans="1:6" s="141" customFormat="1">
      <c r="A141" s="177"/>
      <c r="B141" s="137"/>
      <c r="C141" s="137"/>
      <c r="D141" s="139"/>
      <c r="E141" s="137"/>
      <c r="F141" s="137"/>
    </row>
    <row r="142" spans="1:6" s="141" customFormat="1">
      <c r="A142" s="177"/>
      <c r="B142" s="137"/>
      <c r="C142" s="137"/>
      <c r="D142" s="139"/>
      <c r="E142" s="137"/>
      <c r="F142" s="137"/>
    </row>
    <row r="143" spans="1:6" s="141" customFormat="1">
      <c r="A143" s="177"/>
      <c r="B143" s="137"/>
      <c r="C143" s="137"/>
      <c r="D143" s="139"/>
      <c r="E143" s="137"/>
      <c r="F143" s="137"/>
    </row>
    <row r="144" spans="1:6" s="141" customFormat="1">
      <c r="A144" s="177"/>
      <c r="B144" s="137"/>
      <c r="C144" s="137"/>
      <c r="D144" s="139"/>
      <c r="E144" s="137"/>
      <c r="F144" s="137"/>
    </row>
    <row r="145" spans="1:6" s="141" customFormat="1">
      <c r="A145" s="177"/>
      <c r="B145" s="137"/>
      <c r="C145" s="137"/>
      <c r="D145" s="139"/>
      <c r="E145" s="137"/>
      <c r="F145" s="137"/>
    </row>
    <row r="146" spans="1:6" s="141" customFormat="1">
      <c r="A146" s="177"/>
      <c r="B146" s="137"/>
      <c r="C146" s="137"/>
      <c r="D146" s="139"/>
      <c r="E146" s="137"/>
      <c r="F146" s="137"/>
    </row>
    <row r="147" spans="1:6" s="141" customFormat="1">
      <c r="A147" s="177"/>
      <c r="B147" s="137"/>
      <c r="C147" s="137"/>
      <c r="D147" s="139"/>
      <c r="E147" s="137"/>
      <c r="F147" s="137"/>
    </row>
    <row r="148" spans="1:6" s="141" customFormat="1">
      <c r="A148" s="177"/>
      <c r="B148" s="137"/>
      <c r="C148" s="137"/>
      <c r="D148" s="139"/>
      <c r="E148" s="137"/>
      <c r="F148" s="137"/>
    </row>
    <row r="149" spans="1:6" s="141" customFormat="1">
      <c r="A149" s="177"/>
      <c r="B149" s="137"/>
      <c r="C149" s="137"/>
      <c r="D149" s="139"/>
      <c r="E149" s="137"/>
      <c r="F149" s="137"/>
    </row>
    <row r="150" spans="1:6" s="141" customFormat="1">
      <c r="A150" s="177"/>
      <c r="B150" s="137"/>
      <c r="C150" s="137"/>
      <c r="D150" s="139"/>
      <c r="E150" s="137"/>
      <c r="F150" s="137"/>
    </row>
    <row r="151" spans="1:6" s="141" customFormat="1">
      <c r="A151" s="177"/>
      <c r="B151" s="137"/>
      <c r="C151" s="137"/>
      <c r="D151" s="139"/>
      <c r="E151" s="137"/>
      <c r="F151" s="137"/>
    </row>
    <row r="152" spans="1:6" s="141" customFormat="1">
      <c r="A152" s="177"/>
      <c r="B152" s="137"/>
      <c r="C152" s="137"/>
      <c r="D152" s="139"/>
      <c r="E152" s="137"/>
      <c r="F152" s="137"/>
    </row>
    <row r="153" spans="1:6" s="141" customFormat="1">
      <c r="A153" s="177"/>
      <c r="B153" s="137"/>
      <c r="C153" s="137"/>
      <c r="D153" s="139"/>
      <c r="E153" s="137"/>
      <c r="F153" s="137"/>
    </row>
    <row r="154" spans="1:6" s="141" customFormat="1">
      <c r="A154" s="177"/>
      <c r="B154" s="137"/>
      <c r="C154" s="137"/>
      <c r="D154" s="139"/>
      <c r="E154" s="137"/>
      <c r="F154" s="137"/>
    </row>
    <row r="155" spans="1:6" s="141" customFormat="1">
      <c r="A155" s="177"/>
      <c r="B155" s="137"/>
      <c r="C155" s="137"/>
      <c r="D155" s="139"/>
      <c r="E155" s="137"/>
      <c r="F155" s="137"/>
    </row>
    <row r="156" spans="1:6" s="141" customFormat="1">
      <c r="A156" s="177"/>
      <c r="B156" s="137"/>
      <c r="C156" s="137"/>
      <c r="D156" s="139"/>
      <c r="E156" s="137"/>
      <c r="F156" s="137"/>
    </row>
    <row r="157" spans="1:6" s="141" customFormat="1">
      <c r="A157" s="177"/>
      <c r="B157" s="137"/>
      <c r="C157" s="137"/>
      <c r="D157" s="139"/>
      <c r="E157" s="137"/>
      <c r="F157" s="137"/>
    </row>
    <row r="158" spans="1:6" s="141" customFormat="1">
      <c r="A158" s="177"/>
      <c r="B158" s="137"/>
      <c r="C158" s="137"/>
      <c r="D158" s="139"/>
      <c r="E158" s="137"/>
      <c r="F158" s="137"/>
    </row>
    <row r="159" spans="1:6" s="141" customFormat="1">
      <c r="A159" s="177"/>
      <c r="B159" s="137"/>
      <c r="C159" s="137"/>
      <c r="D159" s="139"/>
      <c r="E159" s="137"/>
      <c r="F159" s="137"/>
    </row>
    <row r="160" spans="1:6" s="141" customFormat="1">
      <c r="A160" s="177"/>
      <c r="B160" s="137"/>
      <c r="C160" s="137"/>
      <c r="D160" s="139"/>
      <c r="E160" s="137"/>
      <c r="F160" s="137"/>
    </row>
    <row r="161" spans="1:6" s="141" customFormat="1">
      <c r="A161" s="177"/>
      <c r="B161" s="137"/>
      <c r="C161" s="137"/>
      <c r="D161" s="139"/>
      <c r="E161" s="137"/>
      <c r="F161" s="137"/>
    </row>
    <row r="162" spans="1:6" s="141" customFormat="1">
      <c r="A162" s="177"/>
      <c r="B162" s="137"/>
      <c r="C162" s="137"/>
      <c r="D162" s="139"/>
      <c r="E162" s="137"/>
      <c r="F162" s="137"/>
    </row>
    <row r="163" spans="1:6" s="141" customFormat="1">
      <c r="A163" s="177"/>
      <c r="B163" s="137"/>
      <c r="C163" s="137"/>
      <c r="D163" s="139"/>
      <c r="E163" s="137"/>
      <c r="F163" s="137"/>
    </row>
    <row r="164" spans="1:6" s="141" customFormat="1">
      <c r="A164" s="177"/>
      <c r="B164" s="137"/>
      <c r="C164" s="137"/>
      <c r="D164" s="139"/>
      <c r="E164" s="137"/>
      <c r="F164" s="137"/>
    </row>
    <row r="165" spans="1:6" s="141" customFormat="1">
      <c r="A165" s="177"/>
      <c r="B165" s="137"/>
      <c r="C165" s="137"/>
      <c r="D165" s="139"/>
      <c r="E165" s="137"/>
      <c r="F165" s="137"/>
    </row>
    <row r="166" spans="1:6" s="141" customFormat="1">
      <c r="A166" s="177"/>
      <c r="B166" s="137"/>
      <c r="C166" s="137"/>
      <c r="D166" s="139"/>
      <c r="E166" s="137"/>
      <c r="F166" s="137"/>
    </row>
    <row r="167" spans="1:6" s="141" customFormat="1">
      <c r="A167" s="177"/>
      <c r="B167" s="137"/>
      <c r="C167" s="137"/>
      <c r="D167" s="139"/>
      <c r="E167" s="137"/>
      <c r="F167" s="137"/>
    </row>
    <row r="168" spans="1:6" s="141" customFormat="1">
      <c r="A168" s="177"/>
      <c r="B168" s="137"/>
      <c r="C168" s="137"/>
      <c r="D168" s="139"/>
      <c r="E168" s="137"/>
      <c r="F168" s="137"/>
    </row>
    <row r="169" spans="1:6" s="141" customFormat="1">
      <c r="A169" s="177"/>
      <c r="B169" s="137"/>
      <c r="C169" s="137"/>
      <c r="D169" s="139"/>
      <c r="E169" s="137"/>
      <c r="F169" s="137"/>
    </row>
    <row r="170" spans="1:6" s="141" customFormat="1">
      <c r="A170" s="177"/>
      <c r="B170" s="137"/>
      <c r="C170" s="137"/>
      <c r="D170" s="139"/>
      <c r="E170" s="137"/>
      <c r="F170" s="137"/>
    </row>
    <row r="171" spans="1:6" s="141" customFormat="1">
      <c r="A171" s="177"/>
      <c r="B171" s="137"/>
      <c r="C171" s="137"/>
      <c r="D171" s="139"/>
      <c r="E171" s="137"/>
      <c r="F171" s="137"/>
    </row>
    <row r="172" spans="1:6" s="141" customFormat="1">
      <c r="A172" s="177"/>
      <c r="B172" s="137"/>
      <c r="C172" s="137"/>
      <c r="D172" s="139"/>
      <c r="E172" s="137"/>
      <c r="F172" s="137"/>
    </row>
    <row r="173" spans="1:6" s="141" customFormat="1">
      <c r="A173" s="177"/>
      <c r="B173" s="137"/>
      <c r="C173" s="137"/>
      <c r="D173" s="139"/>
      <c r="E173" s="137"/>
      <c r="F173" s="137"/>
    </row>
    <row r="174" spans="1:6" s="141" customFormat="1">
      <c r="A174" s="177"/>
      <c r="B174" s="137"/>
      <c r="C174" s="137"/>
      <c r="D174" s="139"/>
      <c r="E174" s="137"/>
      <c r="F174" s="137"/>
    </row>
    <row r="175" spans="1:6" s="141" customFormat="1">
      <c r="A175" s="177"/>
      <c r="B175" s="137"/>
      <c r="C175" s="137"/>
      <c r="D175" s="139"/>
      <c r="E175" s="137"/>
      <c r="F175" s="137"/>
    </row>
    <row r="176" spans="1:6" s="141" customFormat="1">
      <c r="A176" s="177"/>
      <c r="B176" s="137"/>
      <c r="C176" s="137"/>
      <c r="D176" s="139"/>
      <c r="E176" s="137"/>
      <c r="F176" s="137"/>
    </row>
    <row r="177" spans="1:6" s="141" customFormat="1">
      <c r="A177" s="177"/>
      <c r="B177" s="137"/>
      <c r="C177" s="137"/>
      <c r="D177" s="139"/>
      <c r="E177" s="137"/>
      <c r="F177" s="137"/>
    </row>
    <row r="178" spans="1:6" s="141" customFormat="1">
      <c r="A178" s="177"/>
      <c r="B178" s="137"/>
      <c r="C178" s="137"/>
      <c r="D178" s="139"/>
      <c r="E178" s="137"/>
      <c r="F178" s="137"/>
    </row>
    <row r="179" spans="1:6" s="141" customFormat="1">
      <c r="A179" s="177"/>
      <c r="B179" s="137"/>
      <c r="C179" s="137"/>
      <c r="D179" s="139"/>
      <c r="E179" s="137"/>
      <c r="F179" s="137"/>
    </row>
    <row r="180" spans="1:6" s="141" customFormat="1">
      <c r="A180" s="177"/>
      <c r="B180" s="137"/>
      <c r="C180" s="137"/>
      <c r="D180" s="139"/>
      <c r="E180" s="137"/>
      <c r="F180" s="137"/>
    </row>
    <row r="181" spans="1:6" s="141" customFormat="1">
      <c r="A181" s="177"/>
      <c r="B181" s="137"/>
      <c r="C181" s="137"/>
      <c r="D181" s="139"/>
      <c r="E181" s="137"/>
      <c r="F181" s="137"/>
    </row>
    <row r="182" spans="1:6" s="141" customFormat="1">
      <c r="A182" s="177"/>
      <c r="B182" s="137"/>
      <c r="C182" s="137"/>
      <c r="D182" s="139"/>
      <c r="E182" s="137"/>
      <c r="F182" s="137"/>
    </row>
    <row r="183" spans="1:6" s="141" customFormat="1">
      <c r="A183" s="177"/>
      <c r="B183" s="137"/>
      <c r="C183" s="137"/>
      <c r="D183" s="139"/>
      <c r="E183" s="137"/>
      <c r="F183" s="137"/>
    </row>
    <row r="184" spans="1:6" s="141" customFormat="1">
      <c r="A184" s="177"/>
      <c r="B184" s="137"/>
      <c r="C184" s="137"/>
      <c r="D184" s="139"/>
      <c r="E184" s="137"/>
      <c r="F184" s="137"/>
    </row>
    <row r="185" spans="1:6" s="141" customFormat="1">
      <c r="A185" s="177"/>
      <c r="B185" s="137"/>
      <c r="C185" s="137"/>
      <c r="D185" s="139"/>
      <c r="E185" s="137"/>
      <c r="F185" s="137"/>
    </row>
    <row r="186" spans="1:6" s="141" customFormat="1">
      <c r="A186" s="177"/>
      <c r="B186" s="137"/>
      <c r="C186" s="137"/>
      <c r="D186" s="139"/>
      <c r="E186" s="137"/>
      <c r="F186" s="137"/>
    </row>
    <row r="187" spans="1:6" s="141" customFormat="1">
      <c r="A187" s="177"/>
      <c r="B187" s="137"/>
      <c r="C187" s="137"/>
      <c r="D187" s="139"/>
      <c r="E187" s="137"/>
      <c r="F187" s="137"/>
    </row>
    <row r="188" spans="1:6" s="141" customFormat="1">
      <c r="A188" s="177"/>
      <c r="B188" s="137"/>
      <c r="C188" s="137"/>
      <c r="D188" s="139"/>
      <c r="E188" s="137"/>
      <c r="F188" s="137"/>
    </row>
    <row r="189" spans="1:6" s="141" customFormat="1">
      <c r="A189" s="177"/>
      <c r="B189" s="137"/>
      <c r="C189" s="137"/>
      <c r="D189" s="139"/>
      <c r="E189" s="137"/>
      <c r="F189" s="137"/>
    </row>
    <row r="190" spans="1:6" s="141" customFormat="1">
      <c r="A190" s="177"/>
      <c r="B190" s="137"/>
      <c r="C190" s="137"/>
      <c r="D190" s="139"/>
      <c r="E190" s="137"/>
      <c r="F190" s="137"/>
    </row>
    <row r="191" spans="1:6" s="141" customFormat="1">
      <c r="A191" s="177"/>
      <c r="B191" s="137"/>
      <c r="C191" s="137"/>
      <c r="D191" s="139"/>
      <c r="E191" s="137"/>
      <c r="F191" s="137"/>
    </row>
    <row r="192" spans="1:6" s="141" customFormat="1">
      <c r="A192" s="177"/>
      <c r="B192" s="137"/>
      <c r="C192" s="137"/>
      <c r="D192" s="139"/>
      <c r="E192" s="137"/>
      <c r="F192" s="137"/>
    </row>
    <row r="193" spans="1:6" s="141" customFormat="1">
      <c r="A193" s="177"/>
      <c r="B193" s="137"/>
      <c r="C193" s="137"/>
      <c r="D193" s="139"/>
      <c r="E193" s="137"/>
      <c r="F193" s="137"/>
    </row>
  </sheetData>
  <autoFilter ref="A2:G98" xr:uid="{CDEEC558-3F4F-48AF-AA97-9113821AD234}">
    <filterColumn colId="1">
      <filters>
        <filter val="G12"/>
      </filters>
    </filterColumn>
    <sortState xmlns:xlrd2="http://schemas.microsoft.com/office/spreadsheetml/2017/richdata2" ref="A35:G35">
      <sortCondition ref="B2:B98"/>
    </sortState>
  </autoFilter>
  <mergeCells count="1">
    <mergeCell ref="A1:G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8209-B2EF-4765-82A7-2BC95D7D0D10}">
  <sheetPr codeName="Sheet25" filterMode="1"/>
  <dimension ref="A1:G88"/>
  <sheetViews>
    <sheetView tabSelected="1" workbookViewId="0">
      <selection activeCell="D45" sqref="D45"/>
    </sheetView>
  </sheetViews>
  <sheetFormatPr defaultColWidth="8.7265625" defaultRowHeight="14"/>
  <cols>
    <col min="1" max="1" width="12.54296875" style="177" customWidth="1"/>
    <col min="2" max="2" width="10.36328125" style="137" customWidth="1"/>
    <col min="3" max="3" width="12.7265625" style="137" customWidth="1"/>
    <col min="4" max="4" width="45.6328125" style="137" customWidth="1"/>
    <col min="5" max="6" width="16.6328125" style="140" customWidth="1"/>
    <col min="7" max="7" width="34.7265625" style="137" customWidth="1"/>
    <col min="8" max="16384" width="8.7265625" style="137"/>
  </cols>
  <sheetData>
    <row r="1" spans="1:7" ht="24.5" customHeight="1">
      <c r="A1" s="290" t="s">
        <v>1064</v>
      </c>
      <c r="B1" s="269"/>
      <c r="C1" s="269"/>
      <c r="D1" s="269"/>
      <c r="E1" s="269"/>
      <c r="F1" s="269"/>
      <c r="G1" s="270"/>
    </row>
    <row r="2" spans="1:7">
      <c r="A2" s="176" t="s">
        <v>1</v>
      </c>
      <c r="B2" s="133" t="s">
        <v>2</v>
      </c>
      <c r="C2" s="133" t="s">
        <v>3</v>
      </c>
      <c r="D2" s="133" t="s">
        <v>4</v>
      </c>
      <c r="E2" s="135" t="s">
        <v>5</v>
      </c>
      <c r="F2" s="135" t="s">
        <v>6</v>
      </c>
      <c r="G2" s="133" t="s">
        <v>7</v>
      </c>
    </row>
    <row r="3" spans="1:7" hidden="1">
      <c r="A3" s="198"/>
      <c r="B3" s="186"/>
      <c r="C3" s="186"/>
      <c r="D3" s="186"/>
      <c r="E3" s="200">
        <f>SUM(E4:E71)</f>
        <v>3850000</v>
      </c>
      <c r="F3" s="200">
        <f>SUM(F4:F71)</f>
        <v>10235000</v>
      </c>
      <c r="G3" s="186"/>
    </row>
    <row r="4" spans="1:7" hidden="1">
      <c r="A4" s="177">
        <v>46204</v>
      </c>
      <c r="B4" s="168" t="s">
        <v>138</v>
      </c>
      <c r="C4" s="137">
        <v>303</v>
      </c>
      <c r="D4" s="137" t="s">
        <v>34</v>
      </c>
      <c r="E4" s="145">
        <v>150000</v>
      </c>
      <c r="F4" s="137"/>
    </row>
    <row r="5" spans="1:7" hidden="1">
      <c r="A5" s="177">
        <v>46204</v>
      </c>
      <c r="B5" s="168" t="s">
        <v>175</v>
      </c>
      <c r="C5" s="137">
        <v>701</v>
      </c>
      <c r="D5" s="137" t="s">
        <v>1131</v>
      </c>
      <c r="E5" s="137"/>
      <c r="F5" s="145">
        <v>85000</v>
      </c>
    </row>
    <row r="6" spans="1:7" hidden="1">
      <c r="A6" s="177">
        <v>46205</v>
      </c>
      <c r="B6" s="168" t="s">
        <v>202</v>
      </c>
      <c r="C6" s="137">
        <v>601</v>
      </c>
      <c r="D6" s="137" t="s">
        <v>1132</v>
      </c>
      <c r="E6" s="137"/>
      <c r="F6" s="145">
        <v>350000</v>
      </c>
    </row>
    <row r="7" spans="1:7" hidden="1">
      <c r="A7" s="177">
        <v>46205</v>
      </c>
      <c r="B7" s="168" t="s">
        <v>281</v>
      </c>
      <c r="C7" s="137">
        <v>403</v>
      </c>
      <c r="D7" s="137" t="s">
        <v>34</v>
      </c>
      <c r="E7" s="145">
        <v>150000</v>
      </c>
      <c r="F7" s="137"/>
    </row>
    <row r="8" spans="1:7" hidden="1">
      <c r="A8" s="177">
        <v>46205</v>
      </c>
      <c r="B8" s="168" t="s">
        <v>237</v>
      </c>
      <c r="C8" s="137">
        <v>202</v>
      </c>
      <c r="D8" s="137" t="s">
        <v>1133</v>
      </c>
      <c r="E8" s="145">
        <v>200000</v>
      </c>
      <c r="F8" s="137"/>
    </row>
    <row r="9" spans="1:7" hidden="1">
      <c r="A9" s="177">
        <v>46205</v>
      </c>
      <c r="B9" s="168" t="s">
        <v>237</v>
      </c>
      <c r="C9" s="137">
        <v>202</v>
      </c>
      <c r="D9" s="137" t="s">
        <v>1134</v>
      </c>
      <c r="E9" s="137"/>
      <c r="F9" s="145">
        <v>55000</v>
      </c>
    </row>
    <row r="10" spans="1:7" hidden="1">
      <c r="A10" s="177">
        <v>46206</v>
      </c>
      <c r="B10" s="168" t="s">
        <v>184</v>
      </c>
      <c r="C10" s="137">
        <v>401</v>
      </c>
      <c r="D10" s="137" t="s">
        <v>34</v>
      </c>
      <c r="E10" s="145">
        <v>150000</v>
      </c>
      <c r="F10" s="137"/>
    </row>
    <row r="11" spans="1:7" hidden="1">
      <c r="A11" s="177">
        <v>46206</v>
      </c>
      <c r="B11" s="168" t="s">
        <v>615</v>
      </c>
      <c r="C11" s="137">
        <v>303</v>
      </c>
      <c r="D11" s="137" t="s">
        <v>34</v>
      </c>
      <c r="E11" s="145">
        <v>200000</v>
      </c>
      <c r="F11" s="137"/>
    </row>
    <row r="12" spans="1:7" hidden="1">
      <c r="A12" s="177">
        <v>46206</v>
      </c>
      <c r="B12" s="168" t="s">
        <v>202</v>
      </c>
      <c r="C12" s="137">
        <v>102</v>
      </c>
      <c r="D12" s="137" t="s">
        <v>1135</v>
      </c>
      <c r="E12" s="137"/>
      <c r="F12" s="145">
        <v>50000</v>
      </c>
    </row>
    <row r="13" spans="1:7" hidden="1">
      <c r="A13" s="177">
        <v>46206</v>
      </c>
      <c r="B13" s="168" t="s">
        <v>20</v>
      </c>
      <c r="C13" s="137">
        <v>204</v>
      </c>
      <c r="D13" s="137" t="s">
        <v>34</v>
      </c>
      <c r="E13" s="145">
        <v>150000</v>
      </c>
      <c r="F13" s="137"/>
    </row>
    <row r="14" spans="1:7" hidden="1">
      <c r="A14" s="177">
        <v>46206</v>
      </c>
      <c r="B14" s="168" t="s">
        <v>146</v>
      </c>
      <c r="C14" s="137">
        <v>202</v>
      </c>
      <c r="D14" s="137" t="s">
        <v>34</v>
      </c>
      <c r="E14" s="145">
        <v>150000</v>
      </c>
      <c r="F14" s="137"/>
    </row>
    <row r="15" spans="1:7" hidden="1">
      <c r="A15" s="177">
        <v>46207</v>
      </c>
      <c r="B15" s="168" t="s">
        <v>146</v>
      </c>
      <c r="C15" s="137">
        <v>603</v>
      </c>
      <c r="D15" s="137" t="s">
        <v>34</v>
      </c>
      <c r="E15" s="145">
        <v>150000</v>
      </c>
      <c r="F15" s="137"/>
    </row>
    <row r="16" spans="1:7" hidden="1">
      <c r="A16" s="177">
        <v>46207</v>
      </c>
      <c r="B16" s="168" t="s">
        <v>146</v>
      </c>
      <c r="C16" s="137">
        <v>501</v>
      </c>
      <c r="D16" s="137" t="s">
        <v>34</v>
      </c>
      <c r="E16" s="145">
        <v>200000</v>
      </c>
      <c r="F16" s="137"/>
    </row>
    <row r="17" spans="1:7" hidden="1">
      <c r="A17" s="177">
        <v>46207</v>
      </c>
      <c r="B17" s="168" t="s">
        <v>146</v>
      </c>
      <c r="C17" s="137">
        <v>501</v>
      </c>
      <c r="D17" s="137" t="s">
        <v>19</v>
      </c>
      <c r="E17" s="145">
        <v>200000</v>
      </c>
      <c r="F17" s="137"/>
      <c r="G17" s="137" t="s">
        <v>1136</v>
      </c>
    </row>
    <row r="18" spans="1:7" hidden="1">
      <c r="A18" s="177">
        <v>46207</v>
      </c>
      <c r="B18" s="168" t="s">
        <v>146</v>
      </c>
      <c r="C18" s="137">
        <v>501</v>
      </c>
      <c r="D18" s="137" t="s">
        <v>489</v>
      </c>
      <c r="E18" s="137"/>
      <c r="F18" s="145">
        <v>40000</v>
      </c>
    </row>
    <row r="19" spans="1:7" hidden="1">
      <c r="A19" s="177">
        <v>46208</v>
      </c>
      <c r="B19" s="168" t="s">
        <v>569</v>
      </c>
      <c r="C19" s="137">
        <v>102</v>
      </c>
      <c r="D19" s="137" t="s">
        <v>34</v>
      </c>
      <c r="E19" s="145">
        <v>150000</v>
      </c>
      <c r="F19" s="137"/>
    </row>
    <row r="20" spans="1:7" hidden="1">
      <c r="A20" s="177">
        <v>46208</v>
      </c>
      <c r="B20" s="168" t="s">
        <v>569</v>
      </c>
      <c r="C20" s="137">
        <v>102</v>
      </c>
      <c r="D20" s="137" t="s">
        <v>73</v>
      </c>
      <c r="E20" s="137"/>
      <c r="F20" s="145">
        <v>45000</v>
      </c>
    </row>
    <row r="21" spans="1:7" hidden="1">
      <c r="A21" s="177">
        <v>46208</v>
      </c>
      <c r="B21" s="168" t="s">
        <v>569</v>
      </c>
      <c r="C21" s="137">
        <v>202</v>
      </c>
      <c r="D21" s="137" t="s">
        <v>34</v>
      </c>
      <c r="E21" s="145">
        <v>150000</v>
      </c>
      <c r="F21" s="137"/>
    </row>
    <row r="22" spans="1:7" hidden="1">
      <c r="A22" s="177">
        <v>46208</v>
      </c>
      <c r="B22" s="168" t="s">
        <v>569</v>
      </c>
      <c r="C22" s="137">
        <v>202</v>
      </c>
      <c r="D22" s="137" t="s">
        <v>489</v>
      </c>
      <c r="E22" s="137"/>
      <c r="F22" s="145">
        <v>40000</v>
      </c>
    </row>
    <row r="23" spans="1:7" hidden="1">
      <c r="A23" s="177">
        <v>46208</v>
      </c>
      <c r="B23" s="168" t="s">
        <v>569</v>
      </c>
      <c r="C23" s="137">
        <v>103</v>
      </c>
      <c r="D23" s="137" t="s">
        <v>34</v>
      </c>
      <c r="E23" s="145">
        <v>150000</v>
      </c>
      <c r="F23" s="137"/>
    </row>
    <row r="24" spans="1:7" hidden="1">
      <c r="A24" s="177">
        <v>46208</v>
      </c>
      <c r="B24" s="168" t="s">
        <v>569</v>
      </c>
      <c r="C24" s="137">
        <v>103</v>
      </c>
      <c r="D24" s="137" t="s">
        <v>489</v>
      </c>
      <c r="E24" s="137"/>
      <c r="F24" s="145">
        <v>40000</v>
      </c>
    </row>
    <row r="25" spans="1:7" hidden="1">
      <c r="A25" s="177">
        <v>46208</v>
      </c>
      <c r="B25" s="168" t="s">
        <v>569</v>
      </c>
      <c r="C25" s="137">
        <v>203</v>
      </c>
      <c r="D25" s="137" t="s">
        <v>34</v>
      </c>
      <c r="E25" s="145">
        <v>200000</v>
      </c>
      <c r="F25" s="137"/>
    </row>
    <row r="26" spans="1:7" hidden="1">
      <c r="A26" s="177">
        <v>46208</v>
      </c>
      <c r="B26" s="168" t="s">
        <v>569</v>
      </c>
      <c r="C26" s="137">
        <v>203</v>
      </c>
      <c r="D26" s="137" t="s">
        <v>1137</v>
      </c>
      <c r="E26" s="137"/>
      <c r="F26" s="145">
        <v>80000</v>
      </c>
    </row>
    <row r="27" spans="1:7" hidden="1">
      <c r="A27" s="177">
        <v>46208</v>
      </c>
      <c r="B27" s="168" t="s">
        <v>569</v>
      </c>
      <c r="C27" s="137">
        <v>203</v>
      </c>
      <c r="D27" s="137" t="s">
        <v>489</v>
      </c>
      <c r="E27" s="137"/>
      <c r="F27" s="145">
        <v>40000</v>
      </c>
      <c r="G27" s="137" t="s">
        <v>482</v>
      </c>
    </row>
    <row r="28" spans="1:7" hidden="1">
      <c r="A28" s="177">
        <v>46208</v>
      </c>
      <c r="B28" s="168" t="s">
        <v>569</v>
      </c>
      <c r="C28" s="137">
        <v>203</v>
      </c>
      <c r="D28" s="137" t="s">
        <v>1138</v>
      </c>
      <c r="E28" s="145">
        <v>100000</v>
      </c>
      <c r="F28" s="137"/>
    </row>
    <row r="29" spans="1:7" hidden="1">
      <c r="A29" s="177">
        <v>46209</v>
      </c>
      <c r="B29" s="168" t="s">
        <v>562</v>
      </c>
      <c r="D29" s="137" t="s">
        <v>1139</v>
      </c>
      <c r="E29" s="137"/>
      <c r="F29" s="145">
        <v>176000</v>
      </c>
    </row>
    <row r="30" spans="1:7" hidden="1">
      <c r="A30" s="177">
        <v>46209</v>
      </c>
      <c r="B30" s="168" t="s">
        <v>146</v>
      </c>
      <c r="D30" s="137" t="s">
        <v>1140</v>
      </c>
      <c r="E30" s="137"/>
      <c r="F30" s="145">
        <v>44000</v>
      </c>
    </row>
    <row r="31" spans="1:7" hidden="1">
      <c r="A31" s="177">
        <v>46209</v>
      </c>
      <c r="B31" s="168" t="s">
        <v>103</v>
      </c>
      <c r="C31" s="137">
        <v>402</v>
      </c>
      <c r="D31" s="137" t="s">
        <v>153</v>
      </c>
      <c r="E31" s="137"/>
      <c r="F31" s="145">
        <v>25000</v>
      </c>
    </row>
    <row r="32" spans="1:7" hidden="1">
      <c r="A32" s="177">
        <v>46207</v>
      </c>
      <c r="B32" s="168" t="s">
        <v>438</v>
      </c>
      <c r="D32" s="137" t="s">
        <v>1141</v>
      </c>
      <c r="E32" s="137"/>
      <c r="F32" s="145">
        <v>480000</v>
      </c>
    </row>
    <row r="33" spans="1:6" hidden="1">
      <c r="A33" s="177">
        <v>46207</v>
      </c>
      <c r="B33" s="168" t="s">
        <v>438</v>
      </c>
      <c r="D33" s="137" t="s">
        <v>1142</v>
      </c>
      <c r="E33" s="137"/>
      <c r="F33" s="137"/>
    </row>
    <row r="34" spans="1:6" hidden="1">
      <c r="A34" s="177">
        <v>46215</v>
      </c>
      <c r="B34" s="168" t="s">
        <v>293</v>
      </c>
      <c r="D34" s="137" t="s">
        <v>337</v>
      </c>
      <c r="E34" s="137"/>
      <c r="F34" s="145">
        <v>35000</v>
      </c>
    </row>
    <row r="35" spans="1:6" hidden="1">
      <c r="A35" s="177">
        <v>46216</v>
      </c>
      <c r="B35" s="168" t="s">
        <v>569</v>
      </c>
      <c r="C35" s="137">
        <v>102</v>
      </c>
      <c r="D35" s="137" t="s">
        <v>153</v>
      </c>
      <c r="E35" s="137"/>
      <c r="F35" s="145">
        <v>35000</v>
      </c>
    </row>
    <row r="36" spans="1:6" hidden="1">
      <c r="A36" s="177">
        <v>46217</v>
      </c>
      <c r="B36" s="168" t="s">
        <v>139</v>
      </c>
      <c r="D36" s="137" t="s">
        <v>1143</v>
      </c>
      <c r="E36" s="145">
        <v>200000</v>
      </c>
      <c r="F36" s="137"/>
    </row>
    <row r="37" spans="1:6" hidden="1">
      <c r="A37" s="177">
        <v>46218</v>
      </c>
      <c r="B37" s="168" t="s">
        <v>139</v>
      </c>
      <c r="D37" s="137" t="s">
        <v>1144</v>
      </c>
      <c r="E37" s="137"/>
      <c r="F37" s="145">
        <v>200000</v>
      </c>
    </row>
    <row r="38" spans="1:6" hidden="1">
      <c r="A38" s="177">
        <v>46218</v>
      </c>
      <c r="B38" s="168" t="s">
        <v>238</v>
      </c>
      <c r="D38" s="137" t="s">
        <v>1145</v>
      </c>
      <c r="E38" s="137"/>
      <c r="F38" s="145">
        <v>30000</v>
      </c>
    </row>
    <row r="39" spans="1:6">
      <c r="A39" s="177">
        <v>46218</v>
      </c>
      <c r="B39" s="168" t="s">
        <v>1048</v>
      </c>
      <c r="D39" s="137" t="s">
        <v>1146</v>
      </c>
      <c r="E39" s="137"/>
      <c r="F39" s="137"/>
    </row>
    <row r="40" spans="1:6">
      <c r="A40" s="177">
        <v>46218</v>
      </c>
      <c r="B40" s="168" t="s">
        <v>1048</v>
      </c>
      <c r="D40" s="137" t="s">
        <v>1147</v>
      </c>
      <c r="E40" s="137"/>
      <c r="F40" s="145">
        <v>950000</v>
      </c>
    </row>
    <row r="41" spans="1:6">
      <c r="A41" s="177">
        <v>46218</v>
      </c>
      <c r="B41" s="168" t="s">
        <v>1048</v>
      </c>
      <c r="D41" s="137" t="s">
        <v>1148</v>
      </c>
      <c r="E41" s="137"/>
      <c r="F41" s="145">
        <v>600000</v>
      </c>
    </row>
    <row r="42" spans="1:6">
      <c r="A42" s="177">
        <v>46218</v>
      </c>
      <c r="B42" s="168" t="s">
        <v>1048</v>
      </c>
      <c r="D42" s="137" t="s">
        <v>323</v>
      </c>
      <c r="E42" s="137"/>
      <c r="F42" s="145">
        <v>125000</v>
      </c>
    </row>
    <row r="43" spans="1:6">
      <c r="A43" s="177">
        <v>46218</v>
      </c>
      <c r="B43" s="168" t="s">
        <v>1048</v>
      </c>
      <c r="D43" s="137" t="s">
        <v>1149</v>
      </c>
      <c r="E43" s="137"/>
      <c r="F43" s="145">
        <v>75000</v>
      </c>
    </row>
    <row r="44" spans="1:6">
      <c r="A44" s="177">
        <v>46218</v>
      </c>
      <c r="B44" s="168" t="s">
        <v>1048</v>
      </c>
      <c r="D44" s="137" t="s">
        <v>1150</v>
      </c>
      <c r="E44" s="137"/>
      <c r="F44" s="145">
        <v>20000</v>
      </c>
    </row>
    <row r="45" spans="1:6">
      <c r="A45" s="177">
        <v>46218</v>
      </c>
      <c r="B45" s="168" t="s">
        <v>1048</v>
      </c>
      <c r="D45" s="137" t="s">
        <v>1151</v>
      </c>
      <c r="E45" s="137"/>
      <c r="F45" s="145">
        <v>1200000</v>
      </c>
    </row>
    <row r="46" spans="1:6">
      <c r="A46" s="177">
        <v>46218</v>
      </c>
      <c r="B46" s="168" t="s">
        <v>1048</v>
      </c>
      <c r="D46" s="137" t="s">
        <v>1152</v>
      </c>
      <c r="E46" s="137"/>
      <c r="F46" s="145">
        <v>1100000</v>
      </c>
    </row>
    <row r="47" spans="1:6">
      <c r="A47" s="177">
        <v>46218</v>
      </c>
      <c r="B47" s="168" t="s">
        <v>1048</v>
      </c>
      <c r="D47" s="137" t="s">
        <v>323</v>
      </c>
      <c r="E47" s="137"/>
      <c r="F47" s="145">
        <v>100000</v>
      </c>
    </row>
    <row r="48" spans="1:6" ht="14.4" customHeight="1">
      <c r="A48" s="177">
        <v>46218</v>
      </c>
      <c r="B48" s="168" t="s">
        <v>1048</v>
      </c>
      <c r="D48" s="137" t="s">
        <v>1153</v>
      </c>
      <c r="E48" s="137"/>
      <c r="F48" s="145">
        <v>160000</v>
      </c>
    </row>
    <row r="49" spans="1:6">
      <c r="A49" s="177">
        <v>46218</v>
      </c>
      <c r="B49" s="168" t="s">
        <v>1048</v>
      </c>
      <c r="D49" s="137" t="s">
        <v>1154</v>
      </c>
      <c r="E49" s="137"/>
      <c r="F49" s="145">
        <v>260000</v>
      </c>
    </row>
    <row r="50" spans="1:6">
      <c r="A50" s="177">
        <v>46218</v>
      </c>
      <c r="B50" s="168" t="s">
        <v>1048</v>
      </c>
      <c r="D50" s="137" t="s">
        <v>1155</v>
      </c>
      <c r="E50" s="137"/>
      <c r="F50" s="145">
        <v>350000</v>
      </c>
    </row>
    <row r="51" spans="1:6" hidden="1">
      <c r="A51" s="177">
        <v>46219</v>
      </c>
      <c r="B51" s="168" t="s">
        <v>967</v>
      </c>
      <c r="D51" s="137" t="s">
        <v>1156</v>
      </c>
      <c r="E51" s="137"/>
      <c r="F51" s="137"/>
    </row>
    <row r="52" spans="1:6" hidden="1">
      <c r="A52" s="177">
        <v>46219</v>
      </c>
      <c r="B52" s="168" t="s">
        <v>967</v>
      </c>
      <c r="D52" s="137" t="s">
        <v>1157</v>
      </c>
      <c r="E52" s="137"/>
      <c r="F52" s="137"/>
    </row>
    <row r="53" spans="1:6" hidden="1">
      <c r="A53" s="177">
        <v>46219</v>
      </c>
      <c r="B53" s="168" t="s">
        <v>967</v>
      </c>
      <c r="D53" s="137" t="s">
        <v>1158</v>
      </c>
      <c r="E53" s="145">
        <v>1000000</v>
      </c>
      <c r="F53" s="137"/>
    </row>
    <row r="54" spans="1:6" hidden="1">
      <c r="B54" s="168" t="s">
        <v>967</v>
      </c>
      <c r="D54" s="137" t="s">
        <v>1159</v>
      </c>
      <c r="E54" s="137"/>
      <c r="F54" s="145">
        <v>30000</v>
      </c>
    </row>
    <row r="55" spans="1:6" hidden="1">
      <c r="B55" s="168" t="s">
        <v>967</v>
      </c>
      <c r="D55" s="137" t="s">
        <v>333</v>
      </c>
      <c r="E55" s="137"/>
      <c r="F55" s="145">
        <v>80000</v>
      </c>
    </row>
    <row r="56" spans="1:6" hidden="1">
      <c r="B56" s="168" t="s">
        <v>967</v>
      </c>
      <c r="D56" s="137" t="s">
        <v>1160</v>
      </c>
      <c r="E56" s="137"/>
      <c r="F56" s="145">
        <v>65000</v>
      </c>
    </row>
    <row r="57" spans="1:6" hidden="1">
      <c r="B57" s="168" t="s">
        <v>967</v>
      </c>
      <c r="D57" s="137" t="s">
        <v>492</v>
      </c>
      <c r="E57" s="137"/>
      <c r="F57" s="145">
        <v>80000</v>
      </c>
    </row>
    <row r="58" spans="1:6" hidden="1">
      <c r="B58" s="168" t="s">
        <v>967</v>
      </c>
      <c r="D58" s="137" t="s">
        <v>151</v>
      </c>
      <c r="E58" s="137"/>
      <c r="F58" s="145">
        <v>1600000</v>
      </c>
    </row>
    <row r="59" spans="1:6" hidden="1">
      <c r="B59" s="168" t="s">
        <v>967</v>
      </c>
      <c r="D59" s="137" t="s">
        <v>1161</v>
      </c>
      <c r="E59" s="137"/>
      <c r="F59" s="145">
        <v>550000</v>
      </c>
    </row>
    <row r="60" spans="1:6" hidden="1">
      <c r="B60" s="168" t="s">
        <v>967</v>
      </c>
      <c r="D60" s="137" t="s">
        <v>346</v>
      </c>
      <c r="E60" s="137"/>
      <c r="F60" s="145">
        <v>120000</v>
      </c>
    </row>
    <row r="61" spans="1:6" hidden="1">
      <c r="B61" s="168" t="s">
        <v>967</v>
      </c>
      <c r="D61" s="137" t="s">
        <v>1162</v>
      </c>
      <c r="E61" s="137"/>
      <c r="F61" s="145">
        <v>160000</v>
      </c>
    </row>
    <row r="62" spans="1:6" hidden="1">
      <c r="B62" s="168" t="s">
        <v>967</v>
      </c>
      <c r="D62" s="137" t="s">
        <v>432</v>
      </c>
      <c r="E62" s="137"/>
      <c r="F62" s="145">
        <v>50000</v>
      </c>
    </row>
    <row r="63" spans="1:6" hidden="1">
      <c r="B63" s="168" t="s">
        <v>967</v>
      </c>
      <c r="D63" s="137" t="s">
        <v>107</v>
      </c>
      <c r="E63" s="137"/>
      <c r="F63" s="145">
        <v>160000</v>
      </c>
    </row>
    <row r="64" spans="1:6" hidden="1">
      <c r="B64" s="168" t="s">
        <v>967</v>
      </c>
      <c r="D64" s="137" t="s">
        <v>241</v>
      </c>
      <c r="E64" s="145">
        <v>200000</v>
      </c>
      <c r="F64" s="137"/>
    </row>
    <row r="65" spans="2:7" hidden="1">
      <c r="B65" s="168" t="s">
        <v>967</v>
      </c>
      <c r="D65" s="137" t="s">
        <v>1163</v>
      </c>
      <c r="E65" s="137"/>
      <c r="F65" s="145">
        <v>150000</v>
      </c>
    </row>
    <row r="66" spans="2:7" hidden="1">
      <c r="B66" s="168" t="s">
        <v>967</v>
      </c>
      <c r="D66" s="137" t="s">
        <v>357</v>
      </c>
      <c r="E66" s="137"/>
      <c r="F66" s="145">
        <v>40000</v>
      </c>
    </row>
    <row r="67" spans="2:7" hidden="1">
      <c r="B67" s="168" t="s">
        <v>967</v>
      </c>
      <c r="D67" s="137" t="s">
        <v>1164</v>
      </c>
      <c r="E67" s="137"/>
      <c r="F67" s="145">
        <v>10000</v>
      </c>
    </row>
    <row r="68" spans="2:7" hidden="1">
      <c r="B68" s="168" t="s">
        <v>967</v>
      </c>
      <c r="D68" s="137" t="s">
        <v>107</v>
      </c>
      <c r="E68" s="137"/>
      <c r="F68" s="145">
        <v>150000</v>
      </c>
    </row>
    <row r="69" spans="2:7" hidden="1">
      <c r="B69" s="168" t="s">
        <v>967</v>
      </c>
      <c r="D69" s="137" t="s">
        <v>19</v>
      </c>
      <c r="E69" s="137"/>
      <c r="F69" s="145">
        <v>200000</v>
      </c>
      <c r="G69" s="168" t="s">
        <v>1165</v>
      </c>
    </row>
    <row r="70" spans="2:7" hidden="1">
      <c r="B70" s="168" t="s">
        <v>967</v>
      </c>
      <c r="D70" s="137" t="s">
        <v>1166</v>
      </c>
      <c r="E70" s="137"/>
      <c r="F70" s="137"/>
    </row>
    <row r="71" spans="2:7" hidden="1">
      <c r="B71" s="168" t="s">
        <v>967</v>
      </c>
      <c r="D71" s="137" t="s">
        <v>1167</v>
      </c>
      <c r="E71" s="137"/>
      <c r="F71" s="137"/>
    </row>
    <row r="72" spans="2:7">
      <c r="E72" s="137"/>
      <c r="F72" s="137"/>
    </row>
    <row r="73" spans="2:7">
      <c r="E73" s="137"/>
      <c r="F73" s="137"/>
    </row>
    <row r="74" spans="2:7">
      <c r="E74" s="137"/>
      <c r="F74" s="137"/>
    </row>
    <row r="75" spans="2:7">
      <c r="E75" s="137"/>
      <c r="F75" s="137"/>
    </row>
    <row r="76" spans="2:7">
      <c r="E76" s="137"/>
      <c r="F76" s="137"/>
    </row>
    <row r="77" spans="2:7">
      <c r="E77" s="137"/>
      <c r="F77" s="137"/>
    </row>
    <row r="78" spans="2:7">
      <c r="E78" s="137"/>
      <c r="F78" s="137"/>
    </row>
    <row r="79" spans="2:7">
      <c r="E79" s="137"/>
      <c r="F79" s="137"/>
    </row>
    <row r="80" spans="2:7">
      <c r="E80" s="137"/>
      <c r="F80" s="137"/>
    </row>
    <row r="81" spans="5:6">
      <c r="E81" s="137"/>
      <c r="F81" s="137"/>
    </row>
    <row r="82" spans="5:6">
      <c r="E82" s="137"/>
      <c r="F82" s="137"/>
    </row>
    <row r="83" spans="5:6">
      <c r="E83" s="137"/>
      <c r="F83" s="137"/>
    </row>
    <row r="84" spans="5:6">
      <c r="E84" s="137"/>
      <c r="F84" s="137"/>
    </row>
    <row r="85" spans="5:6">
      <c r="E85" s="137"/>
      <c r="F85" s="137"/>
    </row>
    <row r="86" spans="5:6">
      <c r="E86" s="137"/>
      <c r="F86" s="137"/>
    </row>
    <row r="87" spans="5:6">
      <c r="E87" s="137"/>
      <c r="F87" s="137"/>
    </row>
    <row r="88" spans="5:6">
      <c r="E88" s="137"/>
      <c r="F88" s="137"/>
    </row>
  </sheetData>
  <autoFilter ref="A2:G71" xr:uid="{AC488209-B2EF-4765-82A7-2BC95D7D0D10}">
    <filterColumn colId="1">
      <filters>
        <filter val="G13"/>
      </filters>
    </filterColumn>
  </autoFilter>
  <mergeCells count="1">
    <mergeCell ref="A1:G1"/>
  </mergeCells>
  <phoneticPr fontId="2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5932-51E7-4BA4-B480-962ED35FBD8B}">
  <sheetPr codeName="Sheet22"/>
  <dimension ref="A1:L47"/>
  <sheetViews>
    <sheetView topLeftCell="A12" workbookViewId="0">
      <selection activeCell="A34" sqref="A34:D47"/>
    </sheetView>
  </sheetViews>
  <sheetFormatPr defaultColWidth="8.81640625" defaultRowHeight="14.5"/>
  <cols>
    <col min="1" max="1" width="45.1796875" style="29" customWidth="1"/>
    <col min="2" max="2" width="17.1796875" style="29" customWidth="1"/>
    <col min="3" max="3" width="15.90625" style="29" customWidth="1"/>
    <col min="4" max="4" width="13.1796875" style="29" customWidth="1"/>
    <col min="5" max="8" width="8.81640625" style="29"/>
    <col min="9" max="9" width="38" style="29" customWidth="1"/>
    <col min="10" max="10" width="20.90625" style="29" customWidth="1"/>
    <col min="11" max="12" width="15.453125" style="29" customWidth="1"/>
    <col min="13" max="16384" width="8.81640625" style="29"/>
  </cols>
  <sheetData>
    <row r="1" spans="1:12">
      <c r="D1" s="30"/>
      <c r="I1" s="31"/>
      <c r="J1" s="32"/>
      <c r="K1" s="33"/>
      <c r="L1" s="33"/>
    </row>
    <row r="2" spans="1:12">
      <c r="D2" s="30"/>
      <c r="L2" s="33"/>
    </row>
    <row r="3" spans="1:12">
      <c r="D3" s="30"/>
      <c r="I3" s="31"/>
      <c r="J3" s="34"/>
      <c r="K3" s="33"/>
      <c r="L3" s="33"/>
    </row>
    <row r="4" spans="1:12">
      <c r="D4" s="30"/>
      <c r="L4" s="33"/>
    </row>
    <row r="5" spans="1:12">
      <c r="A5" s="35"/>
      <c r="B5" s="36"/>
      <c r="C5" s="30"/>
      <c r="D5" s="30"/>
      <c r="L5" s="33"/>
    </row>
    <row r="6" spans="1:12">
      <c r="A6" s="35"/>
      <c r="B6" s="36"/>
      <c r="C6" s="30"/>
      <c r="D6" s="30"/>
      <c r="I6" s="31"/>
      <c r="J6" s="34"/>
      <c r="K6" s="33"/>
      <c r="L6" s="33"/>
    </row>
    <row r="7" spans="1:12">
      <c r="A7" s="35"/>
      <c r="B7" s="36"/>
      <c r="C7" s="30"/>
      <c r="D7" s="30"/>
      <c r="I7" s="31"/>
      <c r="J7" s="34"/>
      <c r="K7" s="33"/>
      <c r="L7" s="33"/>
    </row>
    <row r="8" spans="1:12">
      <c r="A8" s="35"/>
      <c r="B8" s="36"/>
      <c r="C8" s="30"/>
      <c r="D8" s="30"/>
      <c r="I8" s="31"/>
      <c r="J8" s="34"/>
      <c r="K8" s="33"/>
      <c r="L8" s="33"/>
    </row>
    <row r="9" spans="1:12">
      <c r="A9" s="35"/>
      <c r="B9" s="36"/>
      <c r="C9" s="30"/>
      <c r="D9" s="30"/>
      <c r="I9" s="31"/>
      <c r="J9" s="34"/>
      <c r="K9" s="33"/>
      <c r="L9" s="33"/>
    </row>
    <row r="10" spans="1:12">
      <c r="I10" s="31"/>
      <c r="J10" s="34"/>
      <c r="K10" s="33"/>
      <c r="L10" s="33"/>
    </row>
    <row r="12" spans="1:12">
      <c r="A12" s="265" t="s">
        <v>906</v>
      </c>
      <c r="B12" s="249"/>
      <c r="C12" s="249"/>
      <c r="D12" s="249"/>
    </row>
    <row r="13" spans="1:12">
      <c r="A13" s="37" t="s">
        <v>214</v>
      </c>
      <c r="B13" s="37" t="s">
        <v>215</v>
      </c>
      <c r="C13" s="37" t="s">
        <v>216</v>
      </c>
      <c r="D13" s="38" t="s">
        <v>217</v>
      </c>
      <c r="I13" s="266" t="s">
        <v>908</v>
      </c>
      <c r="J13" s="251"/>
      <c r="K13" s="251"/>
      <c r="L13" s="252"/>
    </row>
    <row r="14" spans="1:12" ht="22.5" customHeight="1">
      <c r="A14" s="39" t="s">
        <v>218</v>
      </c>
      <c r="B14" s="40">
        <v>7000000</v>
      </c>
      <c r="C14" s="31">
        <v>1</v>
      </c>
      <c r="D14" s="40">
        <f t="shared" ref="D14:D20" si="0">B14*C14</f>
        <v>7000000</v>
      </c>
      <c r="I14" s="37" t="s">
        <v>214</v>
      </c>
      <c r="J14" s="37" t="s">
        <v>215</v>
      </c>
      <c r="K14" s="37" t="s">
        <v>216</v>
      </c>
      <c r="L14" s="38" t="s">
        <v>217</v>
      </c>
    </row>
    <row r="15" spans="1:12" ht="20" customHeight="1">
      <c r="A15" s="41" t="s">
        <v>219</v>
      </c>
      <c r="B15" s="40">
        <v>2000000</v>
      </c>
      <c r="C15" s="31">
        <v>1</v>
      </c>
      <c r="D15" s="40">
        <f t="shared" si="0"/>
        <v>2000000</v>
      </c>
      <c r="I15" s="39" t="s">
        <v>218</v>
      </c>
      <c r="J15" s="40">
        <v>7000000</v>
      </c>
      <c r="K15" s="31">
        <v>1</v>
      </c>
      <c r="L15" s="40">
        <f>J15*K15</f>
        <v>7000000</v>
      </c>
    </row>
    <row r="16" spans="1:12" ht="28.5" customHeight="1">
      <c r="A16" s="41" t="s">
        <v>220</v>
      </c>
      <c r="B16" s="40">
        <f>'A Điệp 5.26'!E3</f>
        <v>7150000</v>
      </c>
      <c r="C16" s="31">
        <v>1</v>
      </c>
      <c r="D16" s="40">
        <f t="shared" si="0"/>
        <v>7150000</v>
      </c>
      <c r="I16" s="39" t="s">
        <v>219</v>
      </c>
      <c r="J16" s="40">
        <v>2000000</v>
      </c>
      <c r="K16" s="31">
        <v>1</v>
      </c>
      <c r="L16" s="40">
        <f t="shared" ref="L16:L22" si="1">J16*K16</f>
        <v>2000000</v>
      </c>
    </row>
    <row r="17" spans="1:12">
      <c r="A17" s="41" t="s">
        <v>221</v>
      </c>
      <c r="B17" s="40">
        <v>700000</v>
      </c>
      <c r="C17" s="31">
        <v>1</v>
      </c>
      <c r="D17" s="40">
        <f t="shared" si="0"/>
        <v>700000</v>
      </c>
      <c r="I17" s="41" t="s">
        <v>220</v>
      </c>
      <c r="J17" s="40">
        <f>'A Ước 5.26 '!E3</f>
        <v>7400000</v>
      </c>
      <c r="K17" s="31">
        <v>1</v>
      </c>
      <c r="L17" s="40">
        <f t="shared" si="1"/>
        <v>7400000</v>
      </c>
    </row>
    <row r="18" spans="1:12">
      <c r="A18" s="41"/>
      <c r="B18" s="40"/>
      <c r="C18" s="31"/>
      <c r="D18" s="40">
        <f t="shared" si="0"/>
        <v>0</v>
      </c>
      <c r="I18" s="41" t="s">
        <v>221</v>
      </c>
      <c r="J18" s="40">
        <v>700000</v>
      </c>
      <c r="K18" s="31">
        <v>1</v>
      </c>
      <c r="L18" s="40">
        <f t="shared" si="1"/>
        <v>700000</v>
      </c>
    </row>
    <row r="19" spans="1:12">
      <c r="A19" s="39"/>
      <c r="B19" s="40"/>
      <c r="C19" s="31"/>
      <c r="D19" s="40">
        <f t="shared" si="0"/>
        <v>0</v>
      </c>
      <c r="I19" s="41"/>
      <c r="J19" s="40"/>
      <c r="K19" s="31"/>
      <c r="L19" s="40"/>
    </row>
    <row r="20" spans="1:12">
      <c r="A20" s="39"/>
      <c r="B20" s="40"/>
      <c r="C20" s="31"/>
      <c r="D20" s="40">
        <f t="shared" si="0"/>
        <v>0</v>
      </c>
      <c r="I20" s="39"/>
      <c r="J20" s="40"/>
      <c r="K20" s="31"/>
      <c r="L20" s="40"/>
    </row>
    <row r="21" spans="1:12">
      <c r="A21" s="42" t="s">
        <v>217</v>
      </c>
      <c r="B21" s="43"/>
      <c r="C21" s="43"/>
      <c r="D21" s="44">
        <f>SUM(D14:D20)</f>
        <v>16850000</v>
      </c>
      <c r="I21" s="39"/>
      <c r="J21" s="40"/>
      <c r="K21" s="31"/>
      <c r="L21" s="40"/>
    </row>
    <row r="22" spans="1:12">
      <c r="I22" s="39"/>
      <c r="J22" s="40"/>
      <c r="K22" s="31"/>
      <c r="L22" s="40">
        <f t="shared" si="1"/>
        <v>0</v>
      </c>
    </row>
    <row r="23" spans="1:12">
      <c r="I23" s="42" t="s">
        <v>217</v>
      </c>
      <c r="J23" s="43"/>
      <c r="K23" s="43"/>
      <c r="L23" s="44">
        <f>SUM(L15:L22)</f>
        <v>17100000</v>
      </c>
    </row>
    <row r="24" spans="1:12">
      <c r="A24" s="264" t="s">
        <v>907</v>
      </c>
      <c r="B24" s="248"/>
    </row>
    <row r="25" spans="1:12">
      <c r="A25" s="34" t="s">
        <v>222</v>
      </c>
      <c r="B25" s="33">
        <v>8000000</v>
      </c>
    </row>
    <row r="26" spans="1:12">
      <c r="A26" s="34" t="s">
        <v>223</v>
      </c>
      <c r="B26" s="33">
        <f>'A Điệp 5.26'!F3</f>
        <v>8003000</v>
      </c>
      <c r="I26" s="267" t="s">
        <v>909</v>
      </c>
      <c r="J26" s="254"/>
    </row>
    <row r="27" spans="1:12">
      <c r="A27" s="45" t="s">
        <v>224</v>
      </c>
      <c r="B27" s="46">
        <f>B26-B25</f>
        <v>3000</v>
      </c>
      <c r="D27" s="47"/>
      <c r="I27" s="34" t="s">
        <v>222</v>
      </c>
      <c r="J27" s="33">
        <v>5000000</v>
      </c>
    </row>
    <row r="28" spans="1:12">
      <c r="I28" s="34" t="s">
        <v>223</v>
      </c>
      <c r="J28" s="33">
        <f>'A Ước 5.26 '!F3</f>
        <v>3248000</v>
      </c>
    </row>
    <row r="29" spans="1:12">
      <c r="I29" s="45" t="s">
        <v>224</v>
      </c>
      <c r="J29" s="46">
        <f>J28-J27</f>
        <v>-1752000</v>
      </c>
    </row>
    <row r="34" spans="1:4">
      <c r="A34" s="265" t="s">
        <v>910</v>
      </c>
      <c r="B34" s="249"/>
      <c r="C34" s="249"/>
      <c r="D34" s="249"/>
    </row>
    <row r="35" spans="1:4">
      <c r="A35" s="37" t="s">
        <v>214</v>
      </c>
      <c r="B35" s="37" t="s">
        <v>215</v>
      </c>
      <c r="C35" s="37" t="s">
        <v>216</v>
      </c>
      <c r="D35" s="38" t="s">
        <v>217</v>
      </c>
    </row>
    <row r="36" spans="1:4">
      <c r="A36" s="39" t="s">
        <v>218</v>
      </c>
      <c r="B36" s="40">
        <v>4000000</v>
      </c>
      <c r="C36" s="31">
        <v>1</v>
      </c>
      <c r="D36" s="40">
        <f>B36*C36</f>
        <v>4000000</v>
      </c>
    </row>
    <row r="37" spans="1:4">
      <c r="A37" s="41" t="s">
        <v>220</v>
      </c>
      <c r="B37" s="40">
        <v>3400000</v>
      </c>
      <c r="C37" s="31">
        <v>1</v>
      </c>
      <c r="D37" s="40">
        <f>B37*C37</f>
        <v>3400000</v>
      </c>
    </row>
    <row r="38" spans="1:4">
      <c r="A38" s="41"/>
      <c r="B38" s="40"/>
      <c r="C38" s="31"/>
      <c r="D38" s="40"/>
    </row>
    <row r="39" spans="1:4">
      <c r="A39" s="39"/>
      <c r="B39" s="40"/>
      <c r="C39" s="31"/>
      <c r="D39" s="40">
        <f>B39*C39</f>
        <v>0</v>
      </c>
    </row>
    <row r="40" spans="1:4">
      <c r="A40" s="39"/>
      <c r="B40" s="40"/>
      <c r="C40" s="31"/>
      <c r="D40" s="40"/>
    </row>
    <row r="41" spans="1:4">
      <c r="A41" s="42" t="s">
        <v>217</v>
      </c>
      <c r="B41" s="43"/>
      <c r="C41" s="43"/>
      <c r="D41" s="44">
        <f>SUM(D36:D40)</f>
        <v>7400000</v>
      </c>
    </row>
    <row r="44" spans="1:4">
      <c r="A44" s="264" t="s">
        <v>911</v>
      </c>
      <c r="B44" s="248"/>
    </row>
    <row r="45" spans="1:4">
      <c r="A45" s="34" t="s">
        <v>222</v>
      </c>
      <c r="B45" s="33">
        <v>3000000</v>
      </c>
    </row>
    <row r="46" spans="1:4">
      <c r="A46" s="34" t="s">
        <v>223</v>
      </c>
      <c r="B46" s="33">
        <v>6468000</v>
      </c>
    </row>
    <row r="47" spans="1:4">
      <c r="A47" s="45" t="s">
        <v>224</v>
      </c>
      <c r="B47" s="46">
        <f>B46-B45</f>
        <v>3468000</v>
      </c>
    </row>
  </sheetData>
  <mergeCells count="6">
    <mergeCell ref="A44:B44"/>
    <mergeCell ref="A12:D12"/>
    <mergeCell ref="I13:L13"/>
    <mergeCell ref="A24:B24"/>
    <mergeCell ref="I26:J26"/>
    <mergeCell ref="A34:D34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BC32-8A0C-4498-B17C-132E59773F09}">
  <sheetPr codeName="Sheet23"/>
  <dimension ref="A1:L47"/>
  <sheetViews>
    <sheetView topLeftCell="A13" workbookViewId="0">
      <selection activeCell="B16" sqref="B16"/>
    </sheetView>
  </sheetViews>
  <sheetFormatPr defaultColWidth="8.81640625" defaultRowHeight="14.5"/>
  <cols>
    <col min="1" max="1" width="45.1796875" style="29" customWidth="1"/>
    <col min="2" max="2" width="17.1796875" style="29" customWidth="1"/>
    <col min="3" max="3" width="15.90625" style="29" customWidth="1"/>
    <col min="4" max="4" width="13.1796875" style="29" customWidth="1"/>
    <col min="5" max="8" width="8.81640625" style="29"/>
    <col min="9" max="9" width="38" style="29" customWidth="1"/>
    <col min="10" max="10" width="20.90625" style="29" customWidth="1"/>
    <col min="11" max="12" width="15.453125" style="29" customWidth="1"/>
    <col min="13" max="16384" width="8.81640625" style="29"/>
  </cols>
  <sheetData>
    <row r="1" spans="1:12">
      <c r="D1" s="30"/>
      <c r="I1" s="31"/>
      <c r="J1" s="32"/>
      <c r="K1" s="33"/>
      <c r="L1" s="33"/>
    </row>
    <row r="2" spans="1:12">
      <c r="D2" s="30"/>
      <c r="L2" s="33"/>
    </row>
    <row r="3" spans="1:12">
      <c r="D3" s="30"/>
      <c r="I3" s="31"/>
      <c r="J3" s="34"/>
      <c r="K3" s="33"/>
      <c r="L3" s="33"/>
    </row>
    <row r="4" spans="1:12">
      <c r="D4" s="30"/>
      <c r="L4" s="33"/>
    </row>
    <row r="5" spans="1:12">
      <c r="A5" s="35"/>
      <c r="B5" s="36"/>
      <c r="C5" s="30"/>
      <c r="D5" s="30"/>
      <c r="L5" s="33"/>
    </row>
    <row r="6" spans="1:12">
      <c r="A6" s="35"/>
      <c r="B6" s="36"/>
      <c r="C6" s="30"/>
      <c r="D6" s="30"/>
      <c r="I6" s="31"/>
      <c r="J6" s="34"/>
      <c r="K6" s="33"/>
      <c r="L6" s="33"/>
    </row>
    <row r="7" spans="1:12">
      <c r="A7" s="35"/>
      <c r="B7" s="36"/>
      <c r="C7" s="30"/>
      <c r="D7" s="30"/>
      <c r="I7" s="31"/>
      <c r="J7" s="34"/>
      <c r="K7" s="33"/>
      <c r="L7" s="33"/>
    </row>
    <row r="8" spans="1:12">
      <c r="A8" s="35"/>
      <c r="B8" s="36"/>
      <c r="C8" s="30"/>
      <c r="D8" s="30"/>
      <c r="I8" s="31"/>
      <c r="J8" s="34"/>
      <c r="K8" s="33"/>
      <c r="L8" s="33"/>
    </row>
    <row r="9" spans="1:12">
      <c r="A9" s="35"/>
      <c r="B9" s="36"/>
      <c r="C9" s="30"/>
      <c r="D9" s="30"/>
      <c r="I9" s="31"/>
      <c r="J9" s="34"/>
      <c r="K9" s="33"/>
      <c r="L9" s="33"/>
    </row>
    <row r="10" spans="1:12">
      <c r="I10" s="31"/>
      <c r="J10" s="34"/>
      <c r="K10" s="33"/>
      <c r="L10" s="33"/>
    </row>
    <row r="12" spans="1:12">
      <c r="A12" s="265" t="s">
        <v>1168</v>
      </c>
      <c r="B12" s="249"/>
      <c r="C12" s="249"/>
      <c r="D12" s="249"/>
    </row>
    <row r="13" spans="1:12">
      <c r="A13" s="37" t="s">
        <v>214</v>
      </c>
      <c r="B13" s="37" t="s">
        <v>215</v>
      </c>
      <c r="C13" s="37" t="s">
        <v>216</v>
      </c>
      <c r="D13" s="38" t="s">
        <v>217</v>
      </c>
      <c r="I13" s="266" t="s">
        <v>1062</v>
      </c>
      <c r="J13" s="251"/>
      <c r="K13" s="251"/>
      <c r="L13" s="252"/>
    </row>
    <row r="14" spans="1:12" ht="22.5" customHeight="1">
      <c r="A14" s="39" t="s">
        <v>218</v>
      </c>
      <c r="B14" s="40">
        <v>7000000</v>
      </c>
      <c r="C14" s="31">
        <v>1</v>
      </c>
      <c r="D14" s="40">
        <f t="shared" ref="D14:D20" si="0">B14*C14</f>
        <v>7000000</v>
      </c>
      <c r="I14" s="37" t="s">
        <v>214</v>
      </c>
      <c r="J14" s="37" t="s">
        <v>215</v>
      </c>
      <c r="K14" s="37" t="s">
        <v>216</v>
      </c>
      <c r="L14" s="38" t="s">
        <v>217</v>
      </c>
    </row>
    <row r="15" spans="1:12" ht="20" customHeight="1">
      <c r="A15" s="41" t="s">
        <v>219</v>
      </c>
      <c r="B15" s="40">
        <v>2000000</v>
      </c>
      <c r="C15" s="31">
        <v>1</v>
      </c>
      <c r="D15" s="40">
        <f t="shared" si="0"/>
        <v>2000000</v>
      </c>
      <c r="I15" s="39" t="s">
        <v>218</v>
      </c>
      <c r="J15" s="40">
        <v>7000000</v>
      </c>
      <c r="K15" s="31">
        <v>1</v>
      </c>
      <c r="L15" s="40">
        <f>J15*K15</f>
        <v>7000000</v>
      </c>
    </row>
    <row r="16" spans="1:12" ht="28.5" customHeight="1">
      <c r="A16" s="41" t="s">
        <v>220</v>
      </c>
      <c r="B16" s="40">
        <f>'A Điệp 6.26'!E3</f>
        <v>10300000</v>
      </c>
      <c r="C16" s="31">
        <v>1</v>
      </c>
      <c r="D16" s="40">
        <f t="shared" si="0"/>
        <v>10300000</v>
      </c>
      <c r="I16" s="39" t="s">
        <v>219</v>
      </c>
      <c r="J16" s="40">
        <v>2000000</v>
      </c>
      <c r="K16" s="31">
        <v>1</v>
      </c>
      <c r="L16" s="40">
        <f t="shared" ref="L16:L22" si="1">J16*K16</f>
        <v>2000000</v>
      </c>
    </row>
    <row r="17" spans="1:12">
      <c r="A17" s="41" t="s">
        <v>221</v>
      </c>
      <c r="B17" s="40">
        <v>700000</v>
      </c>
      <c r="C17" s="31">
        <v>1</v>
      </c>
      <c r="D17" s="40">
        <f t="shared" si="0"/>
        <v>700000</v>
      </c>
      <c r="I17" s="41" t="s">
        <v>220</v>
      </c>
      <c r="J17" s="40">
        <f>'A Ước 6.26'!E3</f>
        <v>7450000</v>
      </c>
      <c r="K17" s="31">
        <v>1</v>
      </c>
      <c r="L17" s="40">
        <f t="shared" si="1"/>
        <v>7450000</v>
      </c>
    </row>
    <row r="18" spans="1:12">
      <c r="A18" s="41"/>
      <c r="B18" s="40"/>
      <c r="C18" s="31"/>
      <c r="D18" s="40">
        <f t="shared" si="0"/>
        <v>0</v>
      </c>
      <c r="I18" s="41" t="s">
        <v>221</v>
      </c>
      <c r="J18" s="40">
        <v>700000</v>
      </c>
      <c r="K18" s="31">
        <v>1</v>
      </c>
      <c r="L18" s="40">
        <f t="shared" si="1"/>
        <v>700000</v>
      </c>
    </row>
    <row r="19" spans="1:12">
      <c r="A19" s="39"/>
      <c r="B19" s="40"/>
      <c r="C19" s="31"/>
      <c r="D19" s="40">
        <f t="shared" si="0"/>
        <v>0</v>
      </c>
      <c r="I19" s="41"/>
      <c r="J19" s="40"/>
      <c r="K19" s="31"/>
      <c r="L19" s="40"/>
    </row>
    <row r="20" spans="1:12">
      <c r="A20" s="39"/>
      <c r="B20" s="40"/>
      <c r="C20" s="31"/>
      <c r="D20" s="40">
        <f t="shared" si="0"/>
        <v>0</v>
      </c>
      <c r="I20" s="39"/>
      <c r="J20" s="40"/>
      <c r="K20" s="31"/>
      <c r="L20" s="40"/>
    </row>
    <row r="21" spans="1:12">
      <c r="A21" s="42" t="s">
        <v>217</v>
      </c>
      <c r="B21" s="43"/>
      <c r="C21" s="43"/>
      <c r="D21" s="44">
        <f>SUM(D14:D20)</f>
        <v>20000000</v>
      </c>
      <c r="I21" s="39"/>
      <c r="J21" s="40"/>
      <c r="K21" s="31"/>
      <c r="L21" s="40"/>
    </row>
    <row r="22" spans="1:12">
      <c r="I22" s="39"/>
      <c r="J22" s="40"/>
      <c r="K22" s="31"/>
      <c r="L22" s="40">
        <f t="shared" si="1"/>
        <v>0</v>
      </c>
    </row>
    <row r="23" spans="1:12">
      <c r="I23" s="42" t="s">
        <v>217</v>
      </c>
      <c r="J23" s="43"/>
      <c r="K23" s="43"/>
      <c r="L23" s="44">
        <f>SUM(L15:L22)</f>
        <v>17150000</v>
      </c>
    </row>
    <row r="24" spans="1:12">
      <c r="A24" s="264" t="s">
        <v>1061</v>
      </c>
      <c r="B24" s="248"/>
    </row>
    <row r="25" spans="1:12">
      <c r="A25" s="34" t="s">
        <v>222</v>
      </c>
      <c r="B25" s="33">
        <v>8000000</v>
      </c>
    </row>
    <row r="26" spans="1:12">
      <c r="A26" s="34" t="s">
        <v>223</v>
      </c>
      <c r="B26" s="33">
        <v>9186000</v>
      </c>
      <c r="I26" s="267" t="s">
        <v>1063</v>
      </c>
      <c r="J26" s="254"/>
    </row>
    <row r="27" spans="1:12">
      <c r="A27" s="45" t="s">
        <v>224</v>
      </c>
      <c r="B27" s="46">
        <f>B26-B25</f>
        <v>1186000</v>
      </c>
      <c r="D27" s="47"/>
      <c r="I27" s="34" t="s">
        <v>222</v>
      </c>
      <c r="J27" s="33">
        <v>5000000</v>
      </c>
    </row>
    <row r="28" spans="1:12">
      <c r="I28" s="34" t="s">
        <v>223</v>
      </c>
      <c r="J28" s="33">
        <f>'A Ước 6.26'!F3</f>
        <v>4265000</v>
      </c>
    </row>
    <row r="29" spans="1:12">
      <c r="I29" s="45" t="s">
        <v>224</v>
      </c>
      <c r="J29" s="46">
        <f>J28-J27</f>
        <v>-735000</v>
      </c>
    </row>
    <row r="34" spans="1:4">
      <c r="A34" s="265" t="s">
        <v>910</v>
      </c>
      <c r="B34" s="249"/>
      <c r="C34" s="249"/>
      <c r="D34" s="249"/>
    </row>
    <row r="35" spans="1:4">
      <c r="A35" s="37" t="s">
        <v>214</v>
      </c>
      <c r="B35" s="37" t="s">
        <v>215</v>
      </c>
      <c r="C35" s="37" t="s">
        <v>216</v>
      </c>
      <c r="D35" s="38" t="s">
        <v>217</v>
      </c>
    </row>
    <row r="36" spans="1:4">
      <c r="A36" s="39" t="s">
        <v>218</v>
      </c>
      <c r="B36" s="40">
        <v>4000000</v>
      </c>
      <c r="C36" s="31">
        <v>1</v>
      </c>
      <c r="D36" s="40">
        <f>B36*C36</f>
        <v>4000000</v>
      </c>
    </row>
    <row r="37" spans="1:4">
      <c r="A37" s="41" t="s">
        <v>220</v>
      </c>
      <c r="B37" s="40">
        <v>1300000</v>
      </c>
      <c r="C37" s="31">
        <v>1</v>
      </c>
      <c r="D37" s="40">
        <f>B37*C37</f>
        <v>1300000</v>
      </c>
    </row>
    <row r="38" spans="1:4">
      <c r="A38" s="41"/>
      <c r="B38" s="40"/>
      <c r="C38" s="31"/>
      <c r="D38" s="40"/>
    </row>
    <row r="39" spans="1:4">
      <c r="A39" s="39"/>
      <c r="B39" s="40"/>
      <c r="C39" s="31"/>
      <c r="D39" s="40">
        <f>B39*C39</f>
        <v>0</v>
      </c>
    </row>
    <row r="40" spans="1:4">
      <c r="A40" s="39"/>
      <c r="B40" s="40"/>
      <c r="C40" s="31"/>
      <c r="D40" s="40"/>
    </row>
    <row r="41" spans="1:4">
      <c r="A41" s="42" t="s">
        <v>217</v>
      </c>
      <c r="B41" s="43"/>
      <c r="C41" s="43"/>
      <c r="D41" s="44">
        <f>SUM(D36:D40)</f>
        <v>5300000</v>
      </c>
    </row>
    <row r="44" spans="1:4">
      <c r="A44" s="264" t="s">
        <v>911</v>
      </c>
      <c r="B44" s="248"/>
    </row>
    <row r="45" spans="1:4">
      <c r="A45" s="34" t="s">
        <v>222</v>
      </c>
      <c r="B45" s="33">
        <v>3000000</v>
      </c>
    </row>
    <row r="46" spans="1:4">
      <c r="A46" s="34" t="s">
        <v>223</v>
      </c>
      <c r="B46" s="33">
        <v>2782000</v>
      </c>
    </row>
    <row r="47" spans="1:4">
      <c r="A47" s="45" t="s">
        <v>224</v>
      </c>
      <c r="B47" s="46">
        <f>B46-B45</f>
        <v>-218000</v>
      </c>
    </row>
  </sheetData>
  <mergeCells count="6">
    <mergeCell ref="A44:B44"/>
    <mergeCell ref="A12:D12"/>
    <mergeCell ref="I13:L13"/>
    <mergeCell ref="A24:B24"/>
    <mergeCell ref="I26:J26"/>
    <mergeCell ref="A34:D34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3222-7794-4F08-AA14-73D7E1AA6D42}">
  <sheetPr codeName="Sheet26"/>
  <dimension ref="A1:L47"/>
  <sheetViews>
    <sheetView topLeftCell="A30" workbookViewId="0">
      <selection activeCell="D46" sqref="D46"/>
    </sheetView>
  </sheetViews>
  <sheetFormatPr defaultColWidth="8.81640625" defaultRowHeight="14.5"/>
  <cols>
    <col min="1" max="1" width="45.1796875" style="29" customWidth="1"/>
    <col min="2" max="2" width="17.1796875" style="29" customWidth="1"/>
    <col min="3" max="3" width="15.90625" style="29" customWidth="1"/>
    <col min="4" max="4" width="13.1796875" style="29" customWidth="1"/>
    <col min="5" max="8" width="8.81640625" style="29"/>
    <col min="9" max="9" width="38" style="29" customWidth="1"/>
    <col min="10" max="10" width="20.90625" style="29" customWidth="1"/>
    <col min="11" max="12" width="15.453125" style="29" customWidth="1"/>
    <col min="13" max="16384" width="8.81640625" style="29"/>
  </cols>
  <sheetData>
    <row r="1" spans="1:12">
      <c r="D1" s="30"/>
      <c r="I1" s="31"/>
      <c r="J1" s="32"/>
      <c r="K1" s="33"/>
      <c r="L1" s="33"/>
    </row>
    <row r="2" spans="1:12">
      <c r="D2" s="30"/>
      <c r="L2" s="33"/>
    </row>
    <row r="3" spans="1:12">
      <c r="D3" s="30"/>
      <c r="I3" s="31"/>
      <c r="J3" s="34"/>
      <c r="K3" s="33"/>
      <c r="L3" s="33"/>
    </row>
    <row r="4" spans="1:12">
      <c r="D4" s="30"/>
      <c r="L4" s="33"/>
    </row>
    <row r="5" spans="1:12">
      <c r="A5" s="35"/>
      <c r="B5" s="36"/>
      <c r="C5" s="30"/>
      <c r="D5" s="30"/>
      <c r="L5" s="33"/>
    </row>
    <row r="6" spans="1:12">
      <c r="A6" s="35"/>
      <c r="B6" s="36"/>
      <c r="C6" s="30"/>
      <c r="D6" s="30"/>
      <c r="I6" s="31"/>
      <c r="J6" s="34"/>
      <c r="K6" s="33"/>
      <c r="L6" s="33"/>
    </row>
    <row r="7" spans="1:12">
      <c r="A7" s="35"/>
      <c r="B7" s="36"/>
      <c r="C7" s="30"/>
      <c r="D7" s="30"/>
      <c r="I7" s="31"/>
      <c r="J7" s="34"/>
      <c r="K7" s="33"/>
      <c r="L7" s="33"/>
    </row>
    <row r="8" spans="1:12">
      <c r="A8" s="35"/>
      <c r="B8" s="36"/>
      <c r="C8" s="30"/>
      <c r="D8" s="30"/>
      <c r="I8" s="31"/>
      <c r="J8" s="34"/>
      <c r="K8" s="33"/>
      <c r="L8" s="33"/>
    </row>
    <row r="9" spans="1:12">
      <c r="A9" s="35"/>
      <c r="B9" s="36"/>
      <c r="C9" s="30"/>
      <c r="D9" s="30"/>
      <c r="I9" s="31"/>
      <c r="J9" s="34"/>
      <c r="K9" s="33"/>
      <c r="L9" s="33"/>
    </row>
    <row r="10" spans="1:12">
      <c r="I10" s="31"/>
      <c r="J10" s="34"/>
      <c r="K10" s="33"/>
      <c r="L10" s="33"/>
    </row>
    <row r="12" spans="1:12">
      <c r="A12" s="265" t="s">
        <v>1168</v>
      </c>
      <c r="B12" s="249"/>
      <c r="C12" s="249"/>
      <c r="D12" s="249"/>
    </row>
    <row r="13" spans="1:12">
      <c r="A13" s="37" t="s">
        <v>214</v>
      </c>
      <c r="B13" s="37" t="s">
        <v>215</v>
      </c>
      <c r="C13" s="37" t="s">
        <v>216</v>
      </c>
      <c r="D13" s="38" t="s">
        <v>217</v>
      </c>
      <c r="I13" s="266" t="s">
        <v>1169</v>
      </c>
      <c r="J13" s="251"/>
      <c r="K13" s="251"/>
      <c r="L13" s="252"/>
    </row>
    <row r="14" spans="1:12" ht="22.5" customHeight="1">
      <c r="A14" s="39" t="s">
        <v>218</v>
      </c>
      <c r="B14" s="40">
        <v>7500000</v>
      </c>
      <c r="C14" s="31">
        <v>1</v>
      </c>
      <c r="D14" s="40">
        <f t="shared" ref="D14:D20" si="0">B14*C14</f>
        <v>7500000</v>
      </c>
      <c r="I14" s="37" t="s">
        <v>214</v>
      </c>
      <c r="J14" s="37" t="s">
        <v>215</v>
      </c>
      <c r="K14" s="37" t="s">
        <v>216</v>
      </c>
      <c r="L14" s="38" t="s">
        <v>217</v>
      </c>
    </row>
    <row r="15" spans="1:12" ht="20" customHeight="1">
      <c r="A15" s="41" t="s">
        <v>219</v>
      </c>
      <c r="B15" s="40">
        <v>3000000</v>
      </c>
      <c r="C15" s="31">
        <v>1</v>
      </c>
      <c r="D15" s="40">
        <f t="shared" si="0"/>
        <v>3000000</v>
      </c>
      <c r="I15" s="39" t="s">
        <v>218</v>
      </c>
      <c r="J15" s="40">
        <v>7500000</v>
      </c>
      <c r="K15" s="31">
        <v>1</v>
      </c>
      <c r="L15" s="40">
        <f>J15*K15</f>
        <v>7500000</v>
      </c>
    </row>
    <row r="16" spans="1:12" ht="28.5" customHeight="1">
      <c r="A16" s="41" t="s">
        <v>220</v>
      </c>
      <c r="B16" s="40">
        <f>'A Điệp 7.26'!E3</f>
        <v>10000000</v>
      </c>
      <c r="C16" s="31">
        <v>1</v>
      </c>
      <c r="D16" s="40">
        <f t="shared" si="0"/>
        <v>10000000</v>
      </c>
      <c r="I16" s="39" t="s">
        <v>219</v>
      </c>
      <c r="J16" s="40">
        <v>3000000</v>
      </c>
      <c r="K16" s="31">
        <v>1</v>
      </c>
      <c r="L16" s="40">
        <f t="shared" ref="L16:L22" si="1">J16*K16</f>
        <v>3000000</v>
      </c>
    </row>
    <row r="17" spans="1:12">
      <c r="A17" s="41" t="s">
        <v>221</v>
      </c>
      <c r="B17" s="40">
        <v>700000</v>
      </c>
      <c r="C17" s="31">
        <v>1</v>
      </c>
      <c r="D17" s="40">
        <f t="shared" si="0"/>
        <v>700000</v>
      </c>
      <c r="I17" s="41" t="s">
        <v>220</v>
      </c>
      <c r="J17" s="40">
        <f>'A Ước 7.26'!E3</f>
        <v>3850000</v>
      </c>
      <c r="K17" s="31">
        <v>1</v>
      </c>
      <c r="L17" s="40">
        <f t="shared" si="1"/>
        <v>3850000</v>
      </c>
    </row>
    <row r="18" spans="1:12">
      <c r="A18" s="41"/>
      <c r="B18" s="40"/>
      <c r="C18" s="31"/>
      <c r="D18" s="40">
        <f t="shared" si="0"/>
        <v>0</v>
      </c>
      <c r="I18" s="41" t="s">
        <v>221</v>
      </c>
      <c r="J18" s="40">
        <v>700000</v>
      </c>
      <c r="K18" s="31">
        <v>1</v>
      </c>
      <c r="L18" s="40">
        <f t="shared" si="1"/>
        <v>700000</v>
      </c>
    </row>
    <row r="19" spans="1:12">
      <c r="A19" s="39"/>
      <c r="B19" s="40"/>
      <c r="C19" s="31"/>
      <c r="D19" s="40">
        <f t="shared" si="0"/>
        <v>0</v>
      </c>
      <c r="I19" s="41"/>
      <c r="J19" s="40"/>
      <c r="K19" s="31"/>
      <c r="L19" s="40"/>
    </row>
    <row r="20" spans="1:12">
      <c r="A20" s="39"/>
      <c r="B20" s="40"/>
      <c r="C20" s="31"/>
      <c r="D20" s="40">
        <f t="shared" si="0"/>
        <v>0</v>
      </c>
      <c r="I20" s="39"/>
      <c r="J20" s="40"/>
      <c r="K20" s="31"/>
      <c r="L20" s="40"/>
    </row>
    <row r="21" spans="1:12">
      <c r="A21" s="42" t="s">
        <v>217</v>
      </c>
      <c r="B21" s="43"/>
      <c r="C21" s="43"/>
      <c r="D21" s="44">
        <f>SUM(D14:D20)</f>
        <v>21200000</v>
      </c>
      <c r="I21" s="39"/>
      <c r="J21" s="40"/>
      <c r="K21" s="31"/>
      <c r="L21" s="40"/>
    </row>
    <row r="22" spans="1:12">
      <c r="I22" s="39"/>
      <c r="J22" s="40"/>
      <c r="K22" s="31"/>
      <c r="L22" s="40">
        <f t="shared" si="1"/>
        <v>0</v>
      </c>
    </row>
    <row r="23" spans="1:12">
      <c r="I23" s="42" t="s">
        <v>217</v>
      </c>
      <c r="J23" s="43"/>
      <c r="K23" s="43"/>
      <c r="L23" s="44">
        <f>SUM(L15:L22)</f>
        <v>15050000</v>
      </c>
    </row>
    <row r="24" spans="1:12">
      <c r="A24" s="264" t="s">
        <v>1170</v>
      </c>
      <c r="B24" s="248"/>
    </row>
    <row r="25" spans="1:12">
      <c r="A25" s="34" t="s">
        <v>222</v>
      </c>
      <c r="B25" s="33">
        <v>8000000</v>
      </c>
    </row>
    <row r="26" spans="1:12">
      <c r="A26" s="34" t="s">
        <v>223</v>
      </c>
      <c r="B26" s="33">
        <f>'A Điệp 7.26'!F3</f>
        <v>6278000</v>
      </c>
      <c r="I26" s="267" t="s">
        <v>1171</v>
      </c>
      <c r="J26" s="254"/>
    </row>
    <row r="27" spans="1:12">
      <c r="A27" s="45" t="s">
        <v>224</v>
      </c>
      <c r="B27" s="46">
        <f>B26-B25</f>
        <v>-1722000</v>
      </c>
      <c r="D27" s="47"/>
      <c r="I27" s="34" t="s">
        <v>222</v>
      </c>
      <c r="J27" s="33">
        <v>10000000</v>
      </c>
    </row>
    <row r="28" spans="1:12">
      <c r="I28" s="34" t="s">
        <v>223</v>
      </c>
      <c r="J28" s="33">
        <f>'A Ước 7.26'!F3</f>
        <v>10235000</v>
      </c>
    </row>
    <row r="29" spans="1:12">
      <c r="I29" s="45" t="s">
        <v>224</v>
      </c>
      <c r="J29" s="46">
        <f>J28-J27</f>
        <v>235000</v>
      </c>
    </row>
    <row r="34" spans="1:4">
      <c r="A34" s="265" t="s">
        <v>910</v>
      </c>
      <c r="B34" s="249"/>
      <c r="C34" s="249"/>
      <c r="D34" s="249"/>
    </row>
    <row r="35" spans="1:4">
      <c r="A35" s="37" t="s">
        <v>214</v>
      </c>
      <c r="B35" s="37" t="s">
        <v>215</v>
      </c>
      <c r="C35" s="37" t="s">
        <v>216</v>
      </c>
      <c r="D35" s="38" t="s">
        <v>217</v>
      </c>
    </row>
    <row r="36" spans="1:4">
      <c r="A36" s="39" t="s">
        <v>218</v>
      </c>
      <c r="B36" s="40">
        <v>4000000</v>
      </c>
      <c r="C36" s="31">
        <v>1</v>
      </c>
      <c r="D36" s="40">
        <f>B36*C36</f>
        <v>4000000</v>
      </c>
    </row>
    <row r="37" spans="1:4">
      <c r="A37" s="41" t="s">
        <v>220</v>
      </c>
      <c r="B37" s="40">
        <v>1300000</v>
      </c>
      <c r="C37" s="31">
        <v>1</v>
      </c>
      <c r="D37" s="40">
        <f>B37*C37</f>
        <v>1300000</v>
      </c>
    </row>
    <row r="38" spans="1:4">
      <c r="A38" s="41"/>
      <c r="B38" s="40"/>
      <c r="C38" s="31"/>
      <c r="D38" s="40"/>
    </row>
    <row r="39" spans="1:4">
      <c r="A39" s="39"/>
      <c r="B39" s="40"/>
      <c r="C39" s="31"/>
      <c r="D39" s="40">
        <f>B39*C39</f>
        <v>0</v>
      </c>
    </row>
    <row r="40" spans="1:4">
      <c r="A40" s="39"/>
      <c r="B40" s="40"/>
      <c r="C40" s="31"/>
      <c r="D40" s="40"/>
    </row>
    <row r="41" spans="1:4">
      <c r="A41" s="42" t="s">
        <v>217</v>
      </c>
      <c r="B41" s="43"/>
      <c r="C41" s="43"/>
      <c r="D41" s="44">
        <f>SUM(D36:D40)</f>
        <v>5300000</v>
      </c>
    </row>
    <row r="44" spans="1:4">
      <c r="A44" s="264" t="s">
        <v>911</v>
      </c>
      <c r="B44" s="248"/>
    </row>
    <row r="45" spans="1:4">
      <c r="A45" s="34" t="s">
        <v>222</v>
      </c>
      <c r="B45" s="33">
        <v>3000000</v>
      </c>
    </row>
    <row r="46" spans="1:4">
      <c r="A46" s="34" t="s">
        <v>223</v>
      </c>
      <c r="B46" s="33">
        <v>2782000</v>
      </c>
    </row>
    <row r="47" spans="1:4">
      <c r="A47" s="45" t="s">
        <v>224</v>
      </c>
      <c r="B47" s="46">
        <f>B46-B45</f>
        <v>-218000</v>
      </c>
    </row>
  </sheetData>
  <mergeCells count="6">
    <mergeCell ref="A44:B44"/>
    <mergeCell ref="A12:D12"/>
    <mergeCell ref="I13:L13"/>
    <mergeCell ref="A24:B24"/>
    <mergeCell ref="I26:J26"/>
    <mergeCell ref="A34:D34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5CD9-389B-419E-8309-EDA77FCB37C0}">
  <sheetPr codeName="Sheet27" filterMode="1"/>
  <dimension ref="A1:I180"/>
  <sheetViews>
    <sheetView workbookViewId="0">
      <selection activeCell="D110" sqref="D110"/>
    </sheetView>
  </sheetViews>
  <sheetFormatPr defaultColWidth="8.7265625" defaultRowHeight="14"/>
  <cols>
    <col min="1" max="1" width="9.90625" style="219" customWidth="1"/>
    <col min="2" max="2" width="12.7265625" style="213" customWidth="1"/>
    <col min="3" max="3" width="14.08984375" style="213" customWidth="1"/>
    <col min="4" max="4" width="70.6328125" style="215" customWidth="1"/>
    <col min="5" max="5" width="16.6328125" style="216" customWidth="1"/>
    <col min="6" max="6" width="16.6328125" style="217" customWidth="1"/>
    <col min="7" max="7" width="28" style="217" customWidth="1"/>
    <col min="8" max="8" width="34.7265625" style="218" customWidth="1"/>
    <col min="9" max="9" width="15.36328125" style="213" customWidth="1"/>
    <col min="10" max="16384" width="8.7265625" style="213"/>
  </cols>
  <sheetData>
    <row r="1" spans="1:9" s="206" customFormat="1" ht="24.5" customHeight="1">
      <c r="A1" s="241" t="s">
        <v>1172</v>
      </c>
      <c r="B1" s="242"/>
      <c r="C1" s="242"/>
      <c r="D1" s="242"/>
      <c r="E1" s="291"/>
      <c r="F1" s="242"/>
      <c r="G1" s="242"/>
      <c r="H1" s="244"/>
    </row>
    <row r="2" spans="1:9">
      <c r="A2" s="207" t="s">
        <v>1</v>
      </c>
      <c r="B2" s="208" t="s">
        <v>2</v>
      </c>
      <c r="C2" s="208" t="s">
        <v>3</v>
      </c>
      <c r="D2" s="209" t="s">
        <v>4</v>
      </c>
      <c r="E2" s="210" t="s">
        <v>5</v>
      </c>
      <c r="F2" s="211" t="s">
        <v>6</v>
      </c>
      <c r="G2" s="211" t="s">
        <v>1330</v>
      </c>
      <c r="H2" s="212" t="s">
        <v>7</v>
      </c>
    </row>
    <row r="3" spans="1:9" hidden="1">
      <c r="A3" s="234"/>
      <c r="B3" s="208"/>
      <c r="C3" s="208"/>
      <c r="D3" s="209"/>
      <c r="E3" s="210">
        <f>SUM(E4:E101)</f>
        <v>13300000</v>
      </c>
      <c r="F3" s="210">
        <f>SUM(F4:F101)</f>
        <v>8231000</v>
      </c>
      <c r="G3" s="211"/>
      <c r="H3" s="212"/>
    </row>
    <row r="4" spans="1:9" hidden="1">
      <c r="A4" s="219">
        <v>46229</v>
      </c>
      <c r="B4" s="238" t="s">
        <v>80</v>
      </c>
      <c r="C4" s="213">
        <v>203</v>
      </c>
      <c r="D4" s="215" t="s">
        <v>1173</v>
      </c>
      <c r="E4" s="216">
        <v>150000</v>
      </c>
      <c r="F4" s="217">
        <v>115000</v>
      </c>
    </row>
    <row r="5" spans="1:9" hidden="1">
      <c r="A5" s="219">
        <v>46229</v>
      </c>
      <c r="B5" s="238" t="s">
        <v>33</v>
      </c>
      <c r="C5" s="213">
        <v>102</v>
      </c>
      <c r="D5" s="215" t="s">
        <v>489</v>
      </c>
      <c r="F5" s="217">
        <v>40000</v>
      </c>
      <c r="I5" s="213" t="s">
        <v>1298</v>
      </c>
    </row>
    <row r="6" spans="1:9" hidden="1">
      <c r="A6" s="219">
        <v>46230</v>
      </c>
      <c r="B6" s="238" t="s">
        <v>9</v>
      </c>
      <c r="C6" s="213">
        <v>404</v>
      </c>
      <c r="D6" s="215" t="s">
        <v>1174</v>
      </c>
      <c r="F6" s="217">
        <v>15000</v>
      </c>
    </row>
    <row r="7" spans="1:9" hidden="1">
      <c r="A7" s="219">
        <v>46231</v>
      </c>
      <c r="B7" s="238" t="s">
        <v>64</v>
      </c>
      <c r="C7" s="213">
        <v>303</v>
      </c>
      <c r="D7" s="215" t="s">
        <v>511</v>
      </c>
      <c r="F7" s="217">
        <v>150000</v>
      </c>
      <c r="H7" s="217" t="s">
        <v>1319</v>
      </c>
    </row>
    <row r="8" spans="1:9" hidden="1">
      <c r="A8" s="214">
        <v>46231</v>
      </c>
      <c r="B8" s="239" t="s">
        <v>9</v>
      </c>
      <c r="C8" s="220"/>
      <c r="D8" s="215" t="s">
        <v>1175</v>
      </c>
      <c r="E8" s="216">
        <v>100000</v>
      </c>
    </row>
    <row r="9" spans="1:9" hidden="1">
      <c r="A9" s="214">
        <v>46232</v>
      </c>
      <c r="B9" s="239" t="s">
        <v>120</v>
      </c>
      <c r="C9" s="220" t="s">
        <v>1176</v>
      </c>
      <c r="D9" s="215" t="s">
        <v>793</v>
      </c>
      <c r="E9" s="216">
        <v>250000</v>
      </c>
      <c r="G9" s="217" t="s">
        <v>1333</v>
      </c>
      <c r="H9" s="218" t="s">
        <v>482</v>
      </c>
    </row>
    <row r="10" spans="1:9" ht="28" hidden="1">
      <c r="A10" s="214">
        <v>46232</v>
      </c>
      <c r="B10" s="239" t="s">
        <v>187</v>
      </c>
      <c r="C10" s="220" t="s">
        <v>712</v>
      </c>
      <c r="D10" s="215" t="s">
        <v>1177</v>
      </c>
      <c r="E10" s="216">
        <v>300000</v>
      </c>
      <c r="G10" s="295" t="s">
        <v>1326</v>
      </c>
      <c r="H10" s="217" t="s">
        <v>1323</v>
      </c>
      <c r="I10" s="217"/>
    </row>
    <row r="11" spans="1:9" hidden="1">
      <c r="A11" s="214">
        <v>46233</v>
      </c>
      <c r="B11" s="239" t="s">
        <v>170</v>
      </c>
      <c r="C11" s="220" t="s">
        <v>705</v>
      </c>
      <c r="D11" s="226" t="s">
        <v>19</v>
      </c>
      <c r="E11" s="216">
        <v>300000</v>
      </c>
      <c r="G11" s="217" t="s">
        <v>1328</v>
      </c>
      <c r="H11" s="218" t="s">
        <v>482</v>
      </c>
    </row>
    <row r="12" spans="1:9" hidden="1">
      <c r="A12" s="214">
        <v>46233</v>
      </c>
      <c r="B12" s="220" t="s">
        <v>170</v>
      </c>
      <c r="C12" s="220" t="s">
        <v>705</v>
      </c>
      <c r="D12" s="226" t="s">
        <v>34</v>
      </c>
      <c r="E12" s="216">
        <v>200000</v>
      </c>
    </row>
    <row r="13" spans="1:9" hidden="1">
      <c r="A13" s="214">
        <v>46233</v>
      </c>
      <c r="B13" s="239" t="s">
        <v>170</v>
      </c>
      <c r="C13" s="220" t="s">
        <v>814</v>
      </c>
      <c r="D13" s="215" t="s">
        <v>417</v>
      </c>
      <c r="F13" s="217">
        <v>250000</v>
      </c>
    </row>
    <row r="14" spans="1:9" hidden="1">
      <c r="A14" s="214">
        <v>46234</v>
      </c>
      <c r="B14" s="239" t="s">
        <v>27</v>
      </c>
      <c r="C14" s="220" t="s">
        <v>692</v>
      </c>
      <c r="D14" s="215" t="s">
        <v>1178</v>
      </c>
      <c r="F14" s="217">
        <v>15000</v>
      </c>
      <c r="H14" s="217" t="s">
        <v>1313</v>
      </c>
    </row>
    <row r="15" spans="1:9" hidden="1">
      <c r="A15" s="214">
        <v>46234</v>
      </c>
      <c r="B15" s="239" t="s">
        <v>27</v>
      </c>
      <c r="C15" s="220" t="s">
        <v>692</v>
      </c>
      <c r="D15" s="215" t="s">
        <v>1137</v>
      </c>
      <c r="F15" s="217">
        <v>100000</v>
      </c>
      <c r="H15" s="217" t="s">
        <v>1313</v>
      </c>
    </row>
    <row r="16" spans="1:9" ht="28" hidden="1">
      <c r="A16" s="214">
        <v>46235</v>
      </c>
      <c r="B16" s="239" t="s">
        <v>299</v>
      </c>
      <c r="C16" s="220" t="s">
        <v>915</v>
      </c>
      <c r="D16" s="215" t="s">
        <v>1179</v>
      </c>
      <c r="E16" s="216">
        <v>300000</v>
      </c>
      <c r="G16" s="295" t="s">
        <v>1327</v>
      </c>
    </row>
    <row r="17" spans="1:9" hidden="1">
      <c r="A17" s="214">
        <v>46235</v>
      </c>
      <c r="B17" s="239" t="s">
        <v>299</v>
      </c>
      <c r="C17" s="220" t="s">
        <v>915</v>
      </c>
      <c r="D17" s="215" t="s">
        <v>1180</v>
      </c>
      <c r="F17" s="217">
        <v>100000</v>
      </c>
      <c r="H17" s="218" t="s">
        <v>364</v>
      </c>
    </row>
    <row r="18" spans="1:9" hidden="1">
      <c r="A18" s="214">
        <v>46235</v>
      </c>
      <c r="B18" s="239" t="s">
        <v>299</v>
      </c>
      <c r="C18" s="220" t="s">
        <v>915</v>
      </c>
      <c r="D18" s="215" t="s">
        <v>130</v>
      </c>
      <c r="F18" s="217">
        <v>100000</v>
      </c>
    </row>
    <row r="19" spans="1:9" hidden="1">
      <c r="A19" s="214">
        <v>46235</v>
      </c>
      <c r="B19" s="239" t="s">
        <v>76</v>
      </c>
      <c r="C19" s="220" t="s">
        <v>1015</v>
      </c>
      <c r="D19" s="215" t="s">
        <v>1179</v>
      </c>
      <c r="E19" s="216">
        <v>300000</v>
      </c>
      <c r="G19" s="296" t="s">
        <v>1305</v>
      </c>
      <c r="I19" s="262" t="s">
        <v>1298</v>
      </c>
    </row>
    <row r="20" spans="1:9" hidden="1">
      <c r="A20" s="214">
        <v>46235</v>
      </c>
      <c r="B20" s="239" t="s">
        <v>76</v>
      </c>
      <c r="C20" s="220" t="s">
        <v>1015</v>
      </c>
      <c r="D20" s="215" t="s">
        <v>34</v>
      </c>
      <c r="E20" s="216">
        <v>150000</v>
      </c>
      <c r="I20" s="292"/>
    </row>
    <row r="21" spans="1:9" hidden="1">
      <c r="A21" s="214">
        <v>46235</v>
      </c>
      <c r="B21" s="239" t="s">
        <v>76</v>
      </c>
      <c r="C21" s="220" t="s">
        <v>1015</v>
      </c>
      <c r="D21" s="215" t="s">
        <v>1181</v>
      </c>
      <c r="F21" s="217">
        <v>10000</v>
      </c>
      <c r="I21" s="292"/>
    </row>
    <row r="22" spans="1:9" hidden="1">
      <c r="A22" s="214">
        <v>46235</v>
      </c>
      <c r="B22" s="239" t="s">
        <v>76</v>
      </c>
      <c r="C22" s="220" t="s">
        <v>1015</v>
      </c>
      <c r="D22" s="215" t="s">
        <v>1182</v>
      </c>
      <c r="F22" s="217">
        <v>125000</v>
      </c>
      <c r="I22" s="263"/>
    </row>
    <row r="23" spans="1:9" hidden="1">
      <c r="A23" s="214">
        <v>46235</v>
      </c>
      <c r="B23" s="239" t="s">
        <v>76</v>
      </c>
      <c r="C23" s="220" t="s">
        <v>1183</v>
      </c>
      <c r="D23" s="215" t="s">
        <v>793</v>
      </c>
      <c r="E23" s="216">
        <v>350000</v>
      </c>
      <c r="G23" s="297" t="s">
        <v>1334</v>
      </c>
      <c r="I23" s="7" t="s">
        <v>1298</v>
      </c>
    </row>
    <row r="24" spans="1:9" hidden="1">
      <c r="A24" s="214">
        <v>46235</v>
      </c>
      <c r="B24" s="239" t="s">
        <v>402</v>
      </c>
      <c r="C24" s="220"/>
      <c r="D24" s="215" t="s">
        <v>1184</v>
      </c>
      <c r="F24" s="217">
        <v>55000</v>
      </c>
      <c r="H24" s="218" t="s">
        <v>1185</v>
      </c>
    </row>
    <row r="25" spans="1:9" hidden="1">
      <c r="A25" s="214">
        <v>46235</v>
      </c>
      <c r="B25" s="239" t="s">
        <v>9</v>
      </c>
      <c r="C25" s="220"/>
      <c r="D25" s="215" t="s">
        <v>1186</v>
      </c>
      <c r="F25" s="217">
        <v>115000</v>
      </c>
    </row>
    <row r="26" spans="1:9" hidden="1">
      <c r="A26" s="214">
        <v>46236</v>
      </c>
      <c r="B26" s="239" t="s">
        <v>41</v>
      </c>
      <c r="C26" s="220" t="s">
        <v>1187</v>
      </c>
      <c r="D26" s="215" t="s">
        <v>34</v>
      </c>
      <c r="E26" s="216">
        <v>300000</v>
      </c>
      <c r="H26" s="218" t="s">
        <v>364</v>
      </c>
    </row>
    <row r="27" spans="1:9" hidden="1">
      <c r="A27" s="214">
        <v>46236</v>
      </c>
      <c r="B27" s="239" t="s">
        <v>41</v>
      </c>
      <c r="C27" s="220" t="s">
        <v>1187</v>
      </c>
      <c r="D27" s="215" t="s">
        <v>130</v>
      </c>
      <c r="E27" s="216">
        <v>100000</v>
      </c>
      <c r="H27" s="218" t="s">
        <v>364</v>
      </c>
    </row>
    <row r="28" spans="1:9" hidden="1">
      <c r="A28" s="214">
        <v>46236</v>
      </c>
      <c r="B28" s="239" t="s">
        <v>41</v>
      </c>
      <c r="C28" s="220" t="s">
        <v>1187</v>
      </c>
      <c r="D28" s="215" t="s">
        <v>1188</v>
      </c>
      <c r="F28" s="217">
        <v>25000</v>
      </c>
    </row>
    <row r="29" spans="1:9" hidden="1">
      <c r="A29" s="214">
        <v>46236</v>
      </c>
      <c r="B29" s="239" t="s">
        <v>27</v>
      </c>
      <c r="C29" s="220" t="s">
        <v>705</v>
      </c>
      <c r="D29" s="215" t="s">
        <v>19</v>
      </c>
      <c r="E29" s="216">
        <v>300000</v>
      </c>
      <c r="G29" s="297" t="s">
        <v>1334</v>
      </c>
      <c r="H29" s="218" t="s">
        <v>482</v>
      </c>
    </row>
    <row r="30" spans="1:9" hidden="1">
      <c r="A30" s="214">
        <v>46236</v>
      </c>
      <c r="B30" s="239" t="s">
        <v>27</v>
      </c>
      <c r="C30" s="220" t="s">
        <v>705</v>
      </c>
      <c r="D30" s="215" t="s">
        <v>34</v>
      </c>
      <c r="E30" s="216">
        <v>400000</v>
      </c>
      <c r="H30" s="218" t="s">
        <v>482</v>
      </c>
    </row>
    <row r="31" spans="1:9" hidden="1">
      <c r="A31" s="214">
        <v>46236</v>
      </c>
      <c r="B31" s="239" t="s">
        <v>27</v>
      </c>
      <c r="C31" s="220" t="s">
        <v>705</v>
      </c>
      <c r="D31" s="215" t="s">
        <v>1137</v>
      </c>
      <c r="E31" s="221">
        <v>200000</v>
      </c>
      <c r="F31" s="213"/>
      <c r="G31" s="213"/>
      <c r="H31" s="218" t="s">
        <v>482</v>
      </c>
    </row>
    <row r="32" spans="1:9" hidden="1">
      <c r="A32" s="214">
        <v>46236</v>
      </c>
      <c r="B32" s="239" t="s">
        <v>27</v>
      </c>
      <c r="C32" s="220" t="s">
        <v>705</v>
      </c>
      <c r="D32" s="215" t="s">
        <v>375</v>
      </c>
      <c r="E32" s="221">
        <v>200000</v>
      </c>
      <c r="F32" s="222"/>
      <c r="G32" s="222"/>
      <c r="H32" s="218" t="s">
        <v>482</v>
      </c>
    </row>
    <row r="33" spans="1:8" hidden="1">
      <c r="A33" s="214">
        <v>46237</v>
      </c>
      <c r="B33" s="239" t="s">
        <v>175</v>
      </c>
      <c r="C33" s="220" t="s">
        <v>1315</v>
      </c>
      <c r="D33" s="215" t="s">
        <v>34</v>
      </c>
      <c r="E33" s="221">
        <v>150000</v>
      </c>
      <c r="F33" s="213"/>
      <c r="G33" s="213"/>
    </row>
    <row r="34" spans="1:8" hidden="1">
      <c r="A34" s="214">
        <v>46237</v>
      </c>
      <c r="B34" s="239" t="s">
        <v>300</v>
      </c>
      <c r="C34" s="220" t="s">
        <v>687</v>
      </c>
      <c r="D34" s="215" t="s">
        <v>34</v>
      </c>
      <c r="E34" s="221">
        <v>150000</v>
      </c>
      <c r="F34" s="213"/>
      <c r="G34" s="213"/>
      <c r="H34" s="16" t="s">
        <v>1299</v>
      </c>
    </row>
    <row r="35" spans="1:8" hidden="1">
      <c r="A35" s="214">
        <v>46237</v>
      </c>
      <c r="B35" s="239" t="s">
        <v>300</v>
      </c>
      <c r="C35" s="220" t="s">
        <v>687</v>
      </c>
      <c r="D35" s="215" t="s">
        <v>19</v>
      </c>
      <c r="E35" s="221">
        <v>100000</v>
      </c>
      <c r="F35" s="213"/>
      <c r="G35" s="238" t="s">
        <v>1335</v>
      </c>
      <c r="H35" s="16" t="s">
        <v>1299</v>
      </c>
    </row>
    <row r="36" spans="1:8" hidden="1">
      <c r="A36" s="214">
        <v>46237</v>
      </c>
      <c r="B36" s="239" t="s">
        <v>300</v>
      </c>
      <c r="C36" s="220" t="s">
        <v>687</v>
      </c>
      <c r="D36" s="215" t="s">
        <v>1189</v>
      </c>
      <c r="E36" s="221"/>
      <c r="F36" s="222">
        <v>100000</v>
      </c>
      <c r="G36" s="222"/>
      <c r="H36" s="16" t="s">
        <v>1299</v>
      </c>
    </row>
    <row r="37" spans="1:8" hidden="1">
      <c r="A37" s="214">
        <v>46238</v>
      </c>
      <c r="B37" s="239" t="s">
        <v>35</v>
      </c>
      <c r="C37" s="213">
        <v>603</v>
      </c>
      <c r="D37" s="215" t="s">
        <v>793</v>
      </c>
      <c r="E37" s="221">
        <v>450000</v>
      </c>
      <c r="F37" s="222"/>
      <c r="G37" s="298" t="s">
        <v>1306</v>
      </c>
      <c r="H37" s="16" t="s">
        <v>1299</v>
      </c>
    </row>
    <row r="38" spans="1:8" hidden="1">
      <c r="A38" s="214">
        <v>46238</v>
      </c>
      <c r="B38" s="239" t="s">
        <v>35</v>
      </c>
      <c r="C38" s="213">
        <v>603</v>
      </c>
      <c r="D38" s="215" t="s">
        <v>764</v>
      </c>
      <c r="E38" s="221"/>
      <c r="F38" s="222">
        <v>25000</v>
      </c>
      <c r="G38" s="222"/>
      <c r="H38" s="16" t="s">
        <v>1299</v>
      </c>
    </row>
    <row r="39" spans="1:8" hidden="1">
      <c r="A39" s="214">
        <v>46238</v>
      </c>
      <c r="B39" s="239" t="s">
        <v>35</v>
      </c>
      <c r="C39" s="213">
        <v>502</v>
      </c>
      <c r="D39" s="215" t="s">
        <v>1190</v>
      </c>
      <c r="E39" s="221">
        <v>150000</v>
      </c>
      <c r="F39" s="222"/>
      <c r="G39" s="222"/>
      <c r="H39" s="16" t="s">
        <v>1299</v>
      </c>
    </row>
    <row r="40" spans="1:8" hidden="1">
      <c r="A40" s="214">
        <v>46238</v>
      </c>
      <c r="B40" s="239" t="s">
        <v>35</v>
      </c>
      <c r="C40" s="213">
        <v>502</v>
      </c>
      <c r="D40" s="215" t="s">
        <v>1191</v>
      </c>
      <c r="E40" s="221">
        <v>50000</v>
      </c>
      <c r="F40" s="222">
        <v>80000</v>
      </c>
      <c r="G40" s="222"/>
      <c r="H40" s="16" t="s">
        <v>1299</v>
      </c>
    </row>
    <row r="41" spans="1:8" hidden="1">
      <c r="A41" s="214">
        <v>46238</v>
      </c>
      <c r="B41" s="239" t="s">
        <v>35</v>
      </c>
      <c r="C41" s="213">
        <v>303</v>
      </c>
      <c r="D41" s="215" t="s">
        <v>34</v>
      </c>
      <c r="E41" s="221">
        <v>200000</v>
      </c>
      <c r="F41" s="222"/>
      <c r="G41" s="222"/>
      <c r="H41" s="16" t="s">
        <v>1299</v>
      </c>
    </row>
    <row r="42" spans="1:8" hidden="1">
      <c r="A42" s="214">
        <v>46238</v>
      </c>
      <c r="B42" s="239" t="s">
        <v>35</v>
      </c>
      <c r="C42" s="213">
        <v>303</v>
      </c>
      <c r="D42" s="215" t="s">
        <v>19</v>
      </c>
      <c r="E42" s="221">
        <v>300000</v>
      </c>
      <c r="F42" s="222"/>
      <c r="G42" s="298" t="s">
        <v>1306</v>
      </c>
      <c r="H42" s="16" t="s">
        <v>1299</v>
      </c>
    </row>
    <row r="43" spans="1:8" hidden="1">
      <c r="A43" s="214">
        <v>46238</v>
      </c>
      <c r="B43" s="239" t="s">
        <v>35</v>
      </c>
      <c r="C43" s="213">
        <v>303</v>
      </c>
      <c r="D43" s="215" t="s">
        <v>375</v>
      </c>
      <c r="E43" s="221"/>
      <c r="F43" s="222">
        <v>80000</v>
      </c>
      <c r="G43" s="222"/>
      <c r="H43" s="16" t="s">
        <v>1299</v>
      </c>
    </row>
    <row r="44" spans="1:8" hidden="1">
      <c r="A44" s="214">
        <v>46238</v>
      </c>
      <c r="B44" s="239" t="s">
        <v>35</v>
      </c>
      <c r="C44" s="213">
        <v>303</v>
      </c>
      <c r="D44" s="215" t="s">
        <v>1192</v>
      </c>
      <c r="E44" s="221"/>
      <c r="F44" s="222">
        <v>25000</v>
      </c>
      <c r="G44" s="222"/>
      <c r="H44" s="16" t="s">
        <v>1299</v>
      </c>
    </row>
    <row r="45" spans="1:8" ht="16.75" hidden="1" customHeight="1">
      <c r="A45" s="214">
        <v>46238</v>
      </c>
      <c r="B45" s="239" t="s">
        <v>556</v>
      </c>
      <c r="D45" s="215" t="s">
        <v>1193</v>
      </c>
      <c r="E45" s="223"/>
      <c r="F45" s="222">
        <v>160000</v>
      </c>
      <c r="G45" s="222"/>
    </row>
    <row r="46" spans="1:8" hidden="1">
      <c r="A46" s="214">
        <v>46238</v>
      </c>
      <c r="B46" s="239" t="s">
        <v>55</v>
      </c>
      <c r="C46" s="213">
        <v>401</v>
      </c>
      <c r="D46" s="215" t="s">
        <v>793</v>
      </c>
      <c r="E46" s="221">
        <v>300000</v>
      </c>
      <c r="F46" s="222"/>
      <c r="G46" s="240" t="s">
        <v>1336</v>
      </c>
      <c r="H46" s="16" t="s">
        <v>1299</v>
      </c>
    </row>
    <row r="47" spans="1:8" hidden="1">
      <c r="A47" s="214">
        <v>46239</v>
      </c>
      <c r="B47" s="239" t="s">
        <v>865</v>
      </c>
      <c r="D47" s="215" t="s">
        <v>1194</v>
      </c>
      <c r="E47" s="221">
        <v>1500000</v>
      </c>
      <c r="F47" s="222">
        <v>867000</v>
      </c>
      <c r="G47" s="222"/>
    </row>
    <row r="48" spans="1:8" hidden="1">
      <c r="A48" s="214">
        <v>46241</v>
      </c>
      <c r="B48" s="239" t="s">
        <v>865</v>
      </c>
      <c r="C48" s="213">
        <v>103</v>
      </c>
      <c r="D48" s="215" t="s">
        <v>1195</v>
      </c>
      <c r="E48" s="221">
        <v>200000</v>
      </c>
      <c r="F48" s="222">
        <v>248000</v>
      </c>
      <c r="G48" s="222"/>
    </row>
    <row r="49" spans="1:8" hidden="1">
      <c r="A49" s="214">
        <v>46241</v>
      </c>
      <c r="B49" s="239" t="s">
        <v>865</v>
      </c>
      <c r="C49" s="213">
        <v>405</v>
      </c>
      <c r="D49" s="215" t="s">
        <v>1195</v>
      </c>
      <c r="E49" s="221">
        <v>200000</v>
      </c>
      <c r="F49" s="222">
        <v>248000</v>
      </c>
      <c r="G49" s="222"/>
    </row>
    <row r="50" spans="1:8" hidden="1">
      <c r="A50" s="214">
        <v>46241</v>
      </c>
      <c r="B50" s="239" t="s">
        <v>865</v>
      </c>
      <c r="C50" s="213">
        <v>401</v>
      </c>
      <c r="D50" s="215" t="s">
        <v>1196</v>
      </c>
      <c r="E50" s="221">
        <v>400000</v>
      </c>
      <c r="F50" s="222"/>
      <c r="G50" s="240" t="s">
        <v>1337</v>
      </c>
    </row>
    <row r="51" spans="1:8" hidden="1">
      <c r="A51" s="214">
        <v>46242</v>
      </c>
      <c r="B51" s="239" t="s">
        <v>808</v>
      </c>
      <c r="C51" s="213">
        <v>101</v>
      </c>
      <c r="D51" s="215" t="s">
        <v>1197</v>
      </c>
      <c r="E51" s="221">
        <v>150000</v>
      </c>
      <c r="F51" s="222">
        <v>70000</v>
      </c>
      <c r="G51" s="222"/>
    </row>
    <row r="52" spans="1:8" hidden="1">
      <c r="A52" s="214">
        <v>46243</v>
      </c>
      <c r="B52" s="239" t="s">
        <v>808</v>
      </c>
      <c r="D52" s="215" t="s">
        <v>1198</v>
      </c>
      <c r="E52" s="221">
        <v>400000</v>
      </c>
      <c r="F52" s="222">
        <v>840000</v>
      </c>
      <c r="G52" s="222"/>
    </row>
    <row r="53" spans="1:8" hidden="1">
      <c r="A53" s="214">
        <v>46243</v>
      </c>
      <c r="B53" s="239" t="s">
        <v>27</v>
      </c>
      <c r="C53" s="213">
        <v>403</v>
      </c>
      <c r="D53" s="215" t="s">
        <v>34</v>
      </c>
      <c r="E53" s="221">
        <v>200000</v>
      </c>
      <c r="F53" s="222"/>
      <c r="G53" s="222"/>
      <c r="H53" s="16" t="s">
        <v>1299</v>
      </c>
    </row>
    <row r="54" spans="1:8" hidden="1">
      <c r="A54" s="214">
        <v>46243</v>
      </c>
      <c r="B54" s="239" t="s">
        <v>27</v>
      </c>
      <c r="C54" s="213">
        <v>403</v>
      </c>
      <c r="D54" s="215" t="s">
        <v>19</v>
      </c>
      <c r="E54" s="221">
        <v>300000</v>
      </c>
      <c r="F54" s="222"/>
      <c r="G54" s="298" t="s">
        <v>1307</v>
      </c>
      <c r="H54" s="16" t="s">
        <v>1299</v>
      </c>
    </row>
    <row r="55" spans="1:8" hidden="1">
      <c r="A55" s="214">
        <v>46243</v>
      </c>
      <c r="B55" s="239" t="s">
        <v>27</v>
      </c>
      <c r="C55" s="213">
        <v>403</v>
      </c>
      <c r="D55" s="215" t="s">
        <v>1199</v>
      </c>
      <c r="E55" s="221"/>
      <c r="F55" s="222">
        <v>120000</v>
      </c>
      <c r="G55" s="222"/>
      <c r="H55" s="16" t="s">
        <v>1299</v>
      </c>
    </row>
    <row r="56" spans="1:8" hidden="1">
      <c r="A56" s="214">
        <v>46243</v>
      </c>
      <c r="B56" s="239" t="s">
        <v>27</v>
      </c>
      <c r="C56" s="213">
        <v>403</v>
      </c>
      <c r="D56" s="215" t="s">
        <v>1200</v>
      </c>
      <c r="E56" s="221"/>
      <c r="F56" s="222">
        <v>50000</v>
      </c>
      <c r="G56" s="222"/>
      <c r="H56" s="16" t="s">
        <v>1299</v>
      </c>
    </row>
    <row r="57" spans="1:8" hidden="1">
      <c r="A57" s="214">
        <v>46243</v>
      </c>
      <c r="B57" s="239" t="s">
        <v>27</v>
      </c>
      <c r="C57" s="213">
        <v>403</v>
      </c>
      <c r="D57" s="215" t="s">
        <v>1201</v>
      </c>
      <c r="E57" s="221"/>
      <c r="F57" s="222">
        <v>30000</v>
      </c>
      <c r="G57" s="222"/>
      <c r="H57" s="16" t="s">
        <v>1299</v>
      </c>
    </row>
    <row r="58" spans="1:8" hidden="1">
      <c r="A58" s="214">
        <v>46243</v>
      </c>
      <c r="B58" s="239" t="s">
        <v>448</v>
      </c>
      <c r="C58" s="227">
        <v>103</v>
      </c>
      <c r="D58" s="226" t="s">
        <v>1202</v>
      </c>
      <c r="E58" s="221"/>
      <c r="F58" s="222">
        <v>90000</v>
      </c>
      <c r="G58" s="222"/>
    </row>
    <row r="59" spans="1:8" hidden="1">
      <c r="A59" s="214">
        <v>46243</v>
      </c>
      <c r="B59" s="300" t="s">
        <v>448</v>
      </c>
      <c r="C59" s="213">
        <v>502</v>
      </c>
      <c r="D59" s="215" t="s">
        <v>34</v>
      </c>
      <c r="E59" s="221">
        <v>200000</v>
      </c>
      <c r="F59" s="222"/>
      <c r="G59" s="222"/>
      <c r="H59" s="16" t="s">
        <v>1299</v>
      </c>
    </row>
    <row r="60" spans="1:8" hidden="1">
      <c r="A60" s="214">
        <v>46243</v>
      </c>
      <c r="B60" s="300" t="s">
        <v>448</v>
      </c>
      <c r="C60" s="213">
        <v>504</v>
      </c>
      <c r="D60" s="215" t="s">
        <v>34</v>
      </c>
      <c r="E60" s="221">
        <v>300000</v>
      </c>
      <c r="F60" s="222"/>
      <c r="G60" s="222"/>
      <c r="H60" s="16" t="s">
        <v>1299</v>
      </c>
    </row>
    <row r="61" spans="1:8" hidden="1">
      <c r="A61" s="214">
        <v>46243</v>
      </c>
      <c r="B61" s="239" t="s">
        <v>64</v>
      </c>
      <c r="D61" s="215" t="s">
        <v>1203</v>
      </c>
      <c r="E61" s="221"/>
      <c r="F61" s="222">
        <v>25000</v>
      </c>
      <c r="G61" s="222"/>
    </row>
    <row r="62" spans="1:8" hidden="1">
      <c r="A62" s="214">
        <v>46243</v>
      </c>
      <c r="B62" s="239" t="s">
        <v>64</v>
      </c>
      <c r="D62" s="215" t="s">
        <v>1204</v>
      </c>
      <c r="E62" s="223"/>
      <c r="F62" s="222">
        <v>75000</v>
      </c>
      <c r="G62" s="222"/>
    </row>
    <row r="63" spans="1:8" hidden="1">
      <c r="A63" s="214">
        <v>46244</v>
      </c>
      <c r="B63" s="239" t="s">
        <v>47</v>
      </c>
      <c r="C63" s="213">
        <v>402</v>
      </c>
      <c r="D63" s="215" t="s">
        <v>19</v>
      </c>
      <c r="E63" s="221">
        <v>300000</v>
      </c>
      <c r="F63" s="222"/>
      <c r="G63" s="218" t="s">
        <v>1329</v>
      </c>
      <c r="H63" s="218" t="s">
        <v>1316</v>
      </c>
    </row>
    <row r="64" spans="1:8" s="218" customFormat="1" hidden="1">
      <c r="A64" s="214">
        <v>46244</v>
      </c>
      <c r="B64" s="239" t="s">
        <v>226</v>
      </c>
      <c r="C64" s="213"/>
      <c r="D64" s="215" t="s">
        <v>1205</v>
      </c>
      <c r="E64" s="221"/>
      <c r="F64" s="222">
        <v>35000</v>
      </c>
      <c r="G64" s="222"/>
    </row>
    <row r="65" spans="1:8" s="218" customFormat="1" hidden="1">
      <c r="A65" s="214">
        <v>46244</v>
      </c>
      <c r="B65" s="239" t="s">
        <v>27</v>
      </c>
      <c r="C65" s="213"/>
      <c r="D65" s="215" t="s">
        <v>1206</v>
      </c>
      <c r="E65" s="223"/>
      <c r="F65" s="222">
        <v>33000</v>
      </c>
      <c r="G65" s="222"/>
    </row>
    <row r="66" spans="1:8" s="218" customFormat="1" hidden="1">
      <c r="A66" s="214">
        <v>46244</v>
      </c>
      <c r="B66" s="239" t="s">
        <v>27</v>
      </c>
      <c r="C66" s="213"/>
      <c r="D66" s="215" t="s">
        <v>1207</v>
      </c>
      <c r="E66" s="221"/>
      <c r="F66" s="222">
        <v>55000</v>
      </c>
      <c r="G66" s="222"/>
    </row>
    <row r="67" spans="1:8" s="218" customFormat="1" hidden="1">
      <c r="A67" s="214">
        <v>46245</v>
      </c>
      <c r="B67" s="239" t="s">
        <v>170</v>
      </c>
      <c r="C67" s="213">
        <v>303</v>
      </c>
      <c r="D67" s="215" t="s">
        <v>1208</v>
      </c>
      <c r="E67" s="221">
        <v>200000</v>
      </c>
      <c r="F67" s="222">
        <v>950000</v>
      </c>
      <c r="G67" s="17" t="s">
        <v>1331</v>
      </c>
      <c r="H67" s="17" t="s">
        <v>263</v>
      </c>
    </row>
    <row r="68" spans="1:8" s="218" customFormat="1" hidden="1">
      <c r="A68" s="214">
        <v>46245</v>
      </c>
      <c r="B68" s="239" t="s">
        <v>55</v>
      </c>
      <c r="C68" s="213">
        <v>203</v>
      </c>
      <c r="D68" s="215" t="s">
        <v>1209</v>
      </c>
      <c r="E68" s="223"/>
      <c r="F68" s="222">
        <v>215000</v>
      </c>
      <c r="G68" s="222"/>
    </row>
    <row r="69" spans="1:8" s="218" customFormat="1" hidden="1">
      <c r="A69" s="214">
        <v>46245</v>
      </c>
      <c r="B69" s="239" t="s">
        <v>55</v>
      </c>
      <c r="C69" s="213">
        <v>203</v>
      </c>
      <c r="D69" s="215" t="s">
        <v>1210</v>
      </c>
      <c r="E69" s="221">
        <v>300000</v>
      </c>
      <c r="F69" s="222">
        <v>225000</v>
      </c>
      <c r="G69" s="222"/>
    </row>
    <row r="70" spans="1:8" s="218" customFormat="1" hidden="1">
      <c r="A70" s="214">
        <v>46246</v>
      </c>
      <c r="B70" s="239" t="s">
        <v>111</v>
      </c>
      <c r="C70" s="213"/>
      <c r="D70" s="215" t="s">
        <v>1211</v>
      </c>
      <c r="E70" s="223"/>
      <c r="F70" s="222">
        <v>600000</v>
      </c>
      <c r="G70" s="222"/>
    </row>
    <row r="71" spans="1:8" s="218" customFormat="1" hidden="1">
      <c r="A71" s="214">
        <v>46247</v>
      </c>
      <c r="B71" s="239" t="s">
        <v>25</v>
      </c>
      <c r="C71" s="213">
        <v>601</v>
      </c>
      <c r="D71" s="215" t="s">
        <v>495</v>
      </c>
      <c r="E71" s="221"/>
      <c r="F71" s="222">
        <v>95000</v>
      </c>
      <c r="G71" s="222"/>
    </row>
    <row r="72" spans="1:8" s="218" customFormat="1" hidden="1">
      <c r="A72" s="214">
        <v>46247</v>
      </c>
      <c r="B72" s="239" t="s">
        <v>276</v>
      </c>
      <c r="C72" s="213">
        <v>304</v>
      </c>
      <c r="D72" s="215" t="s">
        <v>1212</v>
      </c>
      <c r="E72" s="223"/>
      <c r="F72" s="222">
        <v>120000</v>
      </c>
      <c r="G72" s="222"/>
      <c r="H72" s="16" t="s">
        <v>1299</v>
      </c>
    </row>
    <row r="73" spans="1:8" s="218" customFormat="1" hidden="1">
      <c r="A73" s="214">
        <v>46247</v>
      </c>
      <c r="B73" s="239" t="s">
        <v>276</v>
      </c>
      <c r="C73" s="213">
        <v>304</v>
      </c>
      <c r="D73" s="215" t="s">
        <v>1158</v>
      </c>
      <c r="E73" s="221"/>
      <c r="F73" s="222">
        <v>395000</v>
      </c>
      <c r="G73" s="222"/>
      <c r="H73" s="16" t="s">
        <v>1299</v>
      </c>
    </row>
    <row r="74" spans="1:8" s="218" customFormat="1" hidden="1">
      <c r="A74" s="214">
        <v>46247</v>
      </c>
      <c r="B74" s="239" t="s">
        <v>276</v>
      </c>
      <c r="C74" s="213">
        <v>304</v>
      </c>
      <c r="D74" s="215" t="s">
        <v>1213</v>
      </c>
      <c r="E74" s="221">
        <v>200000</v>
      </c>
      <c r="F74" s="222">
        <v>100000</v>
      </c>
      <c r="G74" s="222"/>
      <c r="H74" s="16" t="s">
        <v>1299</v>
      </c>
    </row>
    <row r="75" spans="1:8" s="218" customFormat="1" hidden="1">
      <c r="A75" s="214">
        <v>46247</v>
      </c>
      <c r="B75" s="239" t="s">
        <v>276</v>
      </c>
      <c r="C75" s="213">
        <v>304</v>
      </c>
      <c r="D75" s="215" t="s">
        <v>948</v>
      </c>
      <c r="E75" s="221"/>
      <c r="F75" s="222">
        <v>95000</v>
      </c>
      <c r="G75" s="222"/>
      <c r="H75" s="16" t="s">
        <v>1299</v>
      </c>
    </row>
    <row r="76" spans="1:8" s="218" customFormat="1" hidden="1">
      <c r="A76" s="214">
        <v>46247</v>
      </c>
      <c r="B76" s="239" t="s">
        <v>276</v>
      </c>
      <c r="C76" s="213">
        <v>304</v>
      </c>
      <c r="D76" s="215" t="s">
        <v>1214</v>
      </c>
      <c r="E76" s="223"/>
      <c r="F76" s="222">
        <v>50000</v>
      </c>
      <c r="G76" s="222"/>
      <c r="H76" s="16" t="s">
        <v>1299</v>
      </c>
    </row>
    <row r="77" spans="1:8" s="218" customFormat="1" hidden="1">
      <c r="A77" s="214">
        <v>46248</v>
      </c>
      <c r="B77" s="239" t="s">
        <v>61</v>
      </c>
      <c r="C77" s="213"/>
      <c r="D77" s="215" t="s">
        <v>81</v>
      </c>
      <c r="E77" s="223"/>
      <c r="F77" s="222">
        <v>80000</v>
      </c>
      <c r="G77" s="222"/>
    </row>
    <row r="78" spans="1:8" s="218" customFormat="1" hidden="1">
      <c r="A78" s="214">
        <v>46248</v>
      </c>
      <c r="B78" s="239" t="s">
        <v>51</v>
      </c>
      <c r="C78" s="213">
        <v>404</v>
      </c>
      <c r="D78" s="215" t="s">
        <v>1215</v>
      </c>
      <c r="E78" s="223"/>
      <c r="F78" s="222"/>
      <c r="G78" s="222"/>
      <c r="H78" s="16" t="s">
        <v>1299</v>
      </c>
    </row>
    <row r="79" spans="1:8" s="218" customFormat="1" hidden="1">
      <c r="A79" s="214">
        <v>46248</v>
      </c>
      <c r="B79" s="239" t="s">
        <v>51</v>
      </c>
      <c r="C79" s="213">
        <v>404</v>
      </c>
      <c r="D79" s="215" t="s">
        <v>1216</v>
      </c>
      <c r="E79" s="221">
        <v>200000</v>
      </c>
      <c r="F79" s="222">
        <v>65000</v>
      </c>
      <c r="G79" s="222"/>
      <c r="H79" s="16" t="s">
        <v>1299</v>
      </c>
    </row>
    <row r="80" spans="1:8" s="218" customFormat="1" hidden="1">
      <c r="A80" s="214">
        <v>46249</v>
      </c>
      <c r="B80" s="239" t="s">
        <v>61</v>
      </c>
      <c r="C80" s="213">
        <v>101</v>
      </c>
      <c r="D80" s="215" t="s">
        <v>1217</v>
      </c>
      <c r="E80" s="223"/>
      <c r="F80" s="222">
        <v>70000</v>
      </c>
      <c r="G80" s="222"/>
    </row>
    <row r="81" spans="1:9" s="218" customFormat="1" hidden="1">
      <c r="A81" s="214">
        <v>46249</v>
      </c>
      <c r="B81" s="239" t="s">
        <v>61</v>
      </c>
      <c r="C81" s="213"/>
      <c r="D81" s="215" t="s">
        <v>1218</v>
      </c>
      <c r="E81" s="221"/>
      <c r="F81" s="222">
        <v>150000</v>
      </c>
      <c r="G81" s="222"/>
    </row>
    <row r="82" spans="1:9" s="218" customFormat="1">
      <c r="A82" s="214">
        <v>46252</v>
      </c>
      <c r="B82" s="239" t="s">
        <v>1112</v>
      </c>
      <c r="C82" s="213">
        <v>102</v>
      </c>
      <c r="D82" s="215" t="s">
        <v>681</v>
      </c>
      <c r="E82" s="221"/>
      <c r="F82" s="222">
        <v>55000</v>
      </c>
      <c r="G82" s="293"/>
      <c r="H82" s="293" t="s">
        <v>1317</v>
      </c>
    </row>
    <row r="83" spans="1:9" s="218" customFormat="1">
      <c r="A83" s="214">
        <v>46252</v>
      </c>
      <c r="B83" s="302" t="s">
        <v>1112</v>
      </c>
      <c r="C83" s="213"/>
      <c r="D83" s="215" t="s">
        <v>1219</v>
      </c>
      <c r="E83" s="223"/>
      <c r="F83" s="222">
        <v>50000</v>
      </c>
      <c r="G83" s="294"/>
      <c r="H83" s="294"/>
    </row>
    <row r="84" spans="1:9" s="218" customFormat="1" hidden="1">
      <c r="A84" s="214">
        <v>46252</v>
      </c>
      <c r="B84" s="239" t="s">
        <v>64</v>
      </c>
      <c r="C84" s="213">
        <v>203</v>
      </c>
      <c r="D84" s="215" t="s">
        <v>1220</v>
      </c>
      <c r="E84" s="221"/>
      <c r="F84" s="222">
        <v>125000</v>
      </c>
      <c r="G84" s="222"/>
      <c r="H84" s="16" t="s">
        <v>1299</v>
      </c>
    </row>
    <row r="85" spans="1:9" s="218" customFormat="1" hidden="1">
      <c r="A85" s="214">
        <v>46252</v>
      </c>
      <c r="B85" s="239" t="s">
        <v>170</v>
      </c>
      <c r="C85" s="213">
        <v>304</v>
      </c>
      <c r="D85" s="215" t="s">
        <v>1221</v>
      </c>
      <c r="E85" s="221">
        <v>100000</v>
      </c>
      <c r="F85" s="222">
        <v>115000</v>
      </c>
      <c r="G85" s="222"/>
    </row>
    <row r="86" spans="1:9" s="218" customFormat="1" hidden="1">
      <c r="A86" s="219">
        <v>46253</v>
      </c>
      <c r="B86" s="238" t="s">
        <v>80</v>
      </c>
      <c r="C86" s="213">
        <v>301</v>
      </c>
      <c r="D86" s="215" t="s">
        <v>34</v>
      </c>
      <c r="E86" s="221">
        <v>200000</v>
      </c>
      <c r="F86" s="222"/>
      <c r="G86" s="222"/>
      <c r="H86" s="218" t="s">
        <v>482</v>
      </c>
    </row>
    <row r="87" spans="1:9" s="218" customFormat="1" hidden="1">
      <c r="A87" s="219">
        <v>46253</v>
      </c>
      <c r="B87" s="238" t="s">
        <v>80</v>
      </c>
      <c r="C87" s="213">
        <v>301</v>
      </c>
      <c r="D87" s="215" t="s">
        <v>19</v>
      </c>
      <c r="E87" s="221">
        <v>200000</v>
      </c>
      <c r="F87" s="213"/>
      <c r="G87" s="238" t="s">
        <v>1338</v>
      </c>
      <c r="H87" s="218" t="s">
        <v>482</v>
      </c>
      <c r="I87" s="16" t="s">
        <v>1300</v>
      </c>
    </row>
    <row r="88" spans="1:9" s="218" customFormat="1" hidden="1">
      <c r="A88" s="219">
        <v>46253</v>
      </c>
      <c r="B88" s="238" t="s">
        <v>80</v>
      </c>
      <c r="C88" s="213">
        <v>301</v>
      </c>
      <c r="D88" s="215" t="s">
        <v>1222</v>
      </c>
      <c r="E88" s="221">
        <v>50000</v>
      </c>
      <c r="F88" s="222"/>
      <c r="G88" s="222"/>
      <c r="H88" s="218" t="s">
        <v>482</v>
      </c>
    </row>
    <row r="89" spans="1:9" s="218" customFormat="1" hidden="1">
      <c r="A89" s="219">
        <v>46253</v>
      </c>
      <c r="B89" s="238" t="s">
        <v>80</v>
      </c>
      <c r="C89" s="213">
        <v>201</v>
      </c>
      <c r="D89" s="215" t="s">
        <v>1223</v>
      </c>
      <c r="E89" s="223"/>
      <c r="F89" s="222">
        <v>10000</v>
      </c>
      <c r="G89" s="222"/>
    </row>
    <row r="90" spans="1:9" s="218" customFormat="1" hidden="1">
      <c r="A90" s="219">
        <v>46254</v>
      </c>
      <c r="B90" s="238" t="s">
        <v>55</v>
      </c>
      <c r="C90" s="213">
        <v>504</v>
      </c>
      <c r="D90" s="215" t="s">
        <v>34</v>
      </c>
      <c r="E90" s="221">
        <v>200000</v>
      </c>
      <c r="F90" s="222"/>
      <c r="G90" s="222"/>
      <c r="H90" s="218" t="s">
        <v>482</v>
      </c>
    </row>
    <row r="91" spans="1:9" s="218" customFormat="1" hidden="1">
      <c r="A91" s="219">
        <v>46255</v>
      </c>
      <c r="B91" s="238" t="s">
        <v>57</v>
      </c>
      <c r="C91" s="213">
        <v>403</v>
      </c>
      <c r="D91" s="215" t="s">
        <v>1224</v>
      </c>
      <c r="E91" s="221">
        <v>350000</v>
      </c>
      <c r="F91" s="222"/>
      <c r="G91" s="240" t="s">
        <v>1334</v>
      </c>
      <c r="H91" s="16" t="s">
        <v>1301</v>
      </c>
    </row>
    <row r="92" spans="1:9" s="218" customFormat="1" hidden="1">
      <c r="A92" s="219">
        <v>46257</v>
      </c>
      <c r="B92" s="238" t="s">
        <v>615</v>
      </c>
      <c r="C92" s="213">
        <v>201</v>
      </c>
      <c r="D92" s="215" t="s">
        <v>1225</v>
      </c>
      <c r="E92" s="221"/>
      <c r="F92" s="222">
        <v>70000</v>
      </c>
      <c r="G92" s="222"/>
      <c r="H92" s="16" t="s">
        <v>1299</v>
      </c>
    </row>
    <row r="93" spans="1:9" s="218" customFormat="1" hidden="1">
      <c r="A93" s="219">
        <v>46257</v>
      </c>
      <c r="B93" s="213" t="s">
        <v>275</v>
      </c>
      <c r="C93" s="213">
        <v>404</v>
      </c>
      <c r="D93" s="215" t="s">
        <v>34</v>
      </c>
      <c r="E93" s="221">
        <v>300000</v>
      </c>
      <c r="F93" s="213"/>
      <c r="G93" s="213"/>
      <c r="H93" s="16" t="s">
        <v>1342</v>
      </c>
    </row>
    <row r="94" spans="1:9" s="218" customFormat="1" hidden="1">
      <c r="A94" s="219">
        <v>46258</v>
      </c>
      <c r="B94" s="238" t="s">
        <v>93</v>
      </c>
      <c r="C94" s="213">
        <v>601</v>
      </c>
      <c r="D94" s="215" t="s">
        <v>19</v>
      </c>
      <c r="E94" s="221">
        <v>300000</v>
      </c>
      <c r="F94" s="213"/>
      <c r="G94" s="295" t="s">
        <v>1329</v>
      </c>
      <c r="H94" s="218" t="s">
        <v>1300</v>
      </c>
    </row>
    <row r="95" spans="1:9" s="218" customFormat="1" hidden="1">
      <c r="A95" s="219">
        <v>46258</v>
      </c>
      <c r="B95" s="238" t="s">
        <v>64</v>
      </c>
      <c r="C95" s="213">
        <v>203</v>
      </c>
      <c r="D95" s="215" t="s">
        <v>492</v>
      </c>
      <c r="E95" s="223"/>
      <c r="F95" s="222">
        <v>55000</v>
      </c>
      <c r="G95" s="222"/>
      <c r="H95" s="16" t="s">
        <v>1299</v>
      </c>
    </row>
    <row r="96" spans="1:9" s="218" customFormat="1" hidden="1">
      <c r="A96" s="219">
        <v>46259</v>
      </c>
      <c r="B96" s="238" t="s">
        <v>261</v>
      </c>
      <c r="C96" s="213">
        <v>401</v>
      </c>
      <c r="D96" s="215" t="s">
        <v>298</v>
      </c>
      <c r="E96" s="223"/>
      <c r="F96" s="222">
        <v>15000</v>
      </c>
      <c r="G96" s="222"/>
    </row>
    <row r="97" spans="1:9" s="218" customFormat="1" hidden="1">
      <c r="A97" s="219">
        <v>46259</v>
      </c>
      <c r="B97" s="238" t="s">
        <v>397</v>
      </c>
      <c r="C97" s="213">
        <v>403</v>
      </c>
      <c r="D97" s="215" t="s">
        <v>1227</v>
      </c>
      <c r="E97" s="223"/>
      <c r="F97" s="222">
        <v>55000</v>
      </c>
      <c r="G97" s="222"/>
      <c r="H97" s="16" t="s">
        <v>1299</v>
      </c>
    </row>
    <row r="98" spans="1:9" s="218" customFormat="1" ht="28" hidden="1">
      <c r="A98" s="219">
        <v>46259</v>
      </c>
      <c r="B98" s="238" t="s">
        <v>25</v>
      </c>
      <c r="C98" s="213">
        <v>202</v>
      </c>
      <c r="D98" s="215" t="s">
        <v>19</v>
      </c>
      <c r="E98" s="221">
        <v>300000</v>
      </c>
      <c r="F98" s="213"/>
      <c r="G98" s="295" t="s">
        <v>1329</v>
      </c>
      <c r="H98" s="218" t="s">
        <v>1228</v>
      </c>
      <c r="I98" s="218" t="s">
        <v>1318</v>
      </c>
    </row>
    <row r="99" spans="1:9" s="218" customFormat="1" hidden="1">
      <c r="A99" s="219">
        <v>46259</v>
      </c>
      <c r="B99" s="238" t="s">
        <v>25</v>
      </c>
      <c r="C99" s="213">
        <v>202</v>
      </c>
      <c r="D99" s="215" t="s">
        <v>34</v>
      </c>
      <c r="E99" s="221">
        <v>200000</v>
      </c>
      <c r="F99" s="213"/>
      <c r="G99" s="213"/>
      <c r="H99" s="218" t="s">
        <v>1228</v>
      </c>
    </row>
    <row r="100" spans="1:9" s="218" customFormat="1" hidden="1">
      <c r="A100" s="219">
        <v>46259</v>
      </c>
      <c r="B100" s="238" t="s">
        <v>25</v>
      </c>
      <c r="C100" s="213">
        <v>202</v>
      </c>
      <c r="D100" s="215" t="s">
        <v>1226</v>
      </c>
      <c r="E100" s="221">
        <v>100000</v>
      </c>
      <c r="F100" s="213"/>
      <c r="G100" s="213"/>
      <c r="H100" s="218" t="s">
        <v>1228</v>
      </c>
    </row>
    <row r="101" spans="1:9" s="218" customFormat="1" hidden="1">
      <c r="A101" s="219">
        <v>46259</v>
      </c>
      <c r="B101" s="238" t="s">
        <v>25</v>
      </c>
      <c r="C101" s="213">
        <v>202</v>
      </c>
      <c r="D101" s="215" t="s">
        <v>511</v>
      </c>
      <c r="E101" s="221">
        <v>200000</v>
      </c>
      <c r="F101" s="213"/>
      <c r="G101" s="213"/>
      <c r="H101" s="218" t="s">
        <v>1228</v>
      </c>
    </row>
    <row r="102" spans="1:9" s="218" customFormat="1">
      <c r="A102" s="219"/>
      <c r="B102" s="299"/>
      <c r="C102" s="213"/>
      <c r="D102" s="215"/>
      <c r="E102" s="223"/>
      <c r="F102" s="213"/>
      <c r="G102" s="213"/>
    </row>
    <row r="103" spans="1:9" s="218" customFormat="1">
      <c r="A103" s="219"/>
      <c r="B103" s="213"/>
      <c r="C103" s="213"/>
      <c r="D103" s="215"/>
      <c r="E103" s="223"/>
      <c r="F103" s="213"/>
      <c r="G103" s="213"/>
    </row>
    <row r="104" spans="1:9" s="218" customFormat="1">
      <c r="A104" s="219"/>
      <c r="B104" s="213"/>
      <c r="C104" s="213"/>
      <c r="D104" s="215"/>
      <c r="E104" s="223"/>
      <c r="F104" s="213"/>
      <c r="G104" s="213"/>
    </row>
    <row r="105" spans="1:9" s="218" customFormat="1">
      <c r="A105" s="219"/>
      <c r="B105" s="213"/>
      <c r="C105" s="213"/>
      <c r="D105" s="215"/>
      <c r="E105" s="223"/>
      <c r="F105" s="213"/>
      <c r="G105" s="213"/>
    </row>
    <row r="106" spans="1:9" s="218" customFormat="1">
      <c r="A106" s="219"/>
      <c r="B106" s="213"/>
      <c r="C106" s="213"/>
      <c r="D106" s="215"/>
      <c r="E106" s="223"/>
      <c r="F106" s="213"/>
      <c r="G106" s="213"/>
    </row>
    <row r="107" spans="1:9" s="218" customFormat="1">
      <c r="A107" s="219"/>
      <c r="B107" s="213"/>
      <c r="C107" s="213"/>
      <c r="D107" s="215"/>
      <c r="E107" s="223"/>
      <c r="F107" s="213"/>
      <c r="G107" s="213"/>
    </row>
    <row r="108" spans="1:9" s="218" customFormat="1">
      <c r="A108" s="219"/>
      <c r="B108" s="213"/>
      <c r="C108" s="213"/>
      <c r="D108" s="215"/>
      <c r="E108" s="223"/>
      <c r="F108" s="213"/>
      <c r="G108" s="213"/>
    </row>
    <row r="109" spans="1:9" s="218" customFormat="1">
      <c r="A109" s="219"/>
      <c r="B109" s="213"/>
      <c r="C109" s="213"/>
      <c r="D109" s="215"/>
      <c r="E109" s="223"/>
      <c r="F109" s="213"/>
      <c r="G109" s="213"/>
    </row>
    <row r="110" spans="1:9" s="218" customFormat="1">
      <c r="A110" s="219"/>
      <c r="B110" s="213"/>
      <c r="C110" s="213"/>
      <c r="D110" s="215"/>
      <c r="E110" s="223"/>
      <c r="F110" s="213"/>
      <c r="G110" s="213"/>
    </row>
    <row r="111" spans="1:9" s="218" customFormat="1">
      <c r="A111" s="219"/>
      <c r="B111" s="213"/>
      <c r="C111" s="213"/>
      <c r="D111" s="215"/>
      <c r="E111" s="223"/>
      <c r="F111" s="213"/>
      <c r="G111" s="213"/>
    </row>
    <row r="112" spans="1:9" s="218" customFormat="1">
      <c r="A112" s="219"/>
      <c r="B112" s="213"/>
      <c r="C112" s="213"/>
      <c r="D112" s="215"/>
      <c r="E112" s="223"/>
      <c r="F112" s="213"/>
      <c r="G112" s="213"/>
    </row>
    <row r="113" spans="1:7" s="218" customFormat="1">
      <c r="A113" s="219"/>
      <c r="B113" s="213"/>
      <c r="C113" s="213"/>
      <c r="D113" s="215"/>
      <c r="E113" s="223"/>
      <c r="F113" s="213"/>
      <c r="G113" s="213"/>
    </row>
    <row r="114" spans="1:7" s="218" customFormat="1">
      <c r="A114" s="219"/>
      <c r="B114" s="213"/>
      <c r="C114" s="213"/>
      <c r="D114" s="215"/>
      <c r="E114" s="223"/>
      <c r="F114" s="213"/>
      <c r="G114" s="213"/>
    </row>
    <row r="115" spans="1:7" s="218" customFormat="1">
      <c r="A115" s="219"/>
      <c r="B115" s="213"/>
      <c r="C115" s="213"/>
      <c r="D115" s="215"/>
      <c r="E115" s="223"/>
      <c r="F115" s="213"/>
      <c r="G115" s="213"/>
    </row>
    <row r="116" spans="1:7" s="218" customFormat="1">
      <c r="A116" s="219"/>
      <c r="B116" s="213"/>
      <c r="C116" s="213"/>
      <c r="D116" s="215"/>
      <c r="E116" s="223"/>
      <c r="F116" s="213"/>
      <c r="G116" s="213"/>
    </row>
    <row r="117" spans="1:7" s="218" customFormat="1">
      <c r="A117" s="219"/>
      <c r="B117" s="213"/>
      <c r="C117" s="213"/>
      <c r="D117" s="215"/>
      <c r="E117" s="223"/>
      <c r="F117" s="213"/>
      <c r="G117" s="213"/>
    </row>
    <row r="118" spans="1:7" s="218" customFormat="1">
      <c r="A118" s="219"/>
      <c r="B118" s="213"/>
      <c r="C118" s="213"/>
      <c r="D118" s="215"/>
      <c r="E118" s="223"/>
      <c r="F118" s="213"/>
      <c r="G118" s="213"/>
    </row>
    <row r="119" spans="1:7" s="218" customFormat="1">
      <c r="A119" s="219"/>
      <c r="B119" s="213"/>
      <c r="C119" s="213"/>
      <c r="D119" s="215"/>
      <c r="E119" s="223"/>
      <c r="F119" s="213"/>
      <c r="G119" s="213"/>
    </row>
    <row r="120" spans="1:7" s="218" customFormat="1">
      <c r="A120" s="219"/>
      <c r="B120" s="213"/>
      <c r="C120" s="213"/>
      <c r="D120" s="215"/>
      <c r="E120" s="223"/>
      <c r="F120" s="213"/>
      <c r="G120" s="213"/>
    </row>
    <row r="121" spans="1:7" s="218" customFormat="1">
      <c r="A121" s="219"/>
      <c r="B121" s="213"/>
      <c r="C121" s="213"/>
      <c r="D121" s="215"/>
      <c r="E121" s="223"/>
      <c r="F121" s="213"/>
      <c r="G121" s="213"/>
    </row>
    <row r="122" spans="1:7" s="218" customFormat="1">
      <c r="A122" s="219"/>
      <c r="B122" s="213"/>
      <c r="C122" s="213"/>
      <c r="D122" s="215"/>
      <c r="E122" s="223"/>
      <c r="F122" s="213"/>
      <c r="G122" s="213"/>
    </row>
    <row r="123" spans="1:7" s="218" customFormat="1">
      <c r="A123" s="219"/>
      <c r="B123" s="213"/>
      <c r="C123" s="213"/>
      <c r="D123" s="215"/>
      <c r="E123" s="223"/>
      <c r="F123" s="213"/>
      <c r="G123" s="213"/>
    </row>
    <row r="124" spans="1:7" s="218" customFormat="1">
      <c r="A124" s="219"/>
      <c r="B124" s="213"/>
      <c r="C124" s="213"/>
      <c r="D124" s="215"/>
      <c r="E124" s="223"/>
      <c r="F124" s="213"/>
      <c r="G124" s="213"/>
    </row>
    <row r="125" spans="1:7" s="218" customFormat="1">
      <c r="A125" s="219"/>
      <c r="B125" s="213"/>
      <c r="C125" s="213"/>
      <c r="D125" s="215"/>
      <c r="E125" s="223"/>
      <c r="F125" s="213"/>
      <c r="G125" s="213"/>
    </row>
    <row r="126" spans="1:7" s="218" customFormat="1">
      <c r="A126" s="219"/>
      <c r="B126" s="213"/>
      <c r="C126" s="213"/>
      <c r="D126" s="215"/>
      <c r="E126" s="223"/>
      <c r="F126" s="213"/>
      <c r="G126" s="213"/>
    </row>
    <row r="127" spans="1:7" s="218" customFormat="1">
      <c r="A127" s="219"/>
      <c r="B127" s="213"/>
      <c r="C127" s="213"/>
      <c r="D127" s="215"/>
      <c r="E127" s="223"/>
      <c r="F127" s="213"/>
      <c r="G127" s="213"/>
    </row>
    <row r="128" spans="1:7" s="218" customFormat="1">
      <c r="A128" s="219"/>
      <c r="B128" s="213"/>
      <c r="C128" s="213"/>
      <c r="D128" s="215"/>
      <c r="E128" s="223"/>
      <c r="F128" s="213"/>
      <c r="G128" s="213"/>
    </row>
    <row r="129" spans="1:7" s="218" customFormat="1">
      <c r="A129" s="219"/>
      <c r="B129" s="213"/>
      <c r="C129" s="213"/>
      <c r="D129" s="215"/>
      <c r="E129" s="223"/>
      <c r="F129" s="213"/>
      <c r="G129" s="213"/>
    </row>
    <row r="130" spans="1:7" s="218" customFormat="1">
      <c r="A130" s="219"/>
      <c r="B130" s="213"/>
      <c r="C130" s="213"/>
      <c r="D130" s="215"/>
      <c r="E130" s="223"/>
      <c r="F130" s="213"/>
      <c r="G130" s="213"/>
    </row>
    <row r="131" spans="1:7" s="218" customFormat="1">
      <c r="A131" s="219"/>
      <c r="B131" s="213"/>
      <c r="C131" s="213"/>
      <c r="D131" s="215"/>
      <c r="E131" s="223"/>
      <c r="F131" s="213"/>
      <c r="G131" s="213"/>
    </row>
    <row r="132" spans="1:7" s="218" customFormat="1">
      <c r="A132" s="219"/>
      <c r="B132" s="213"/>
      <c r="C132" s="213"/>
      <c r="D132" s="215"/>
      <c r="E132" s="223"/>
      <c r="F132" s="213"/>
      <c r="G132" s="213"/>
    </row>
    <row r="133" spans="1:7" s="218" customFormat="1">
      <c r="A133" s="219"/>
      <c r="B133" s="213"/>
      <c r="C133" s="213"/>
      <c r="D133" s="215"/>
      <c r="E133" s="223"/>
      <c r="F133" s="213"/>
      <c r="G133" s="213"/>
    </row>
    <row r="134" spans="1:7" s="218" customFormat="1">
      <c r="A134" s="219"/>
      <c r="B134" s="213"/>
      <c r="C134" s="213"/>
      <c r="D134" s="215"/>
      <c r="E134" s="223"/>
      <c r="F134" s="213"/>
      <c r="G134" s="213"/>
    </row>
    <row r="135" spans="1:7" s="218" customFormat="1">
      <c r="A135" s="219"/>
      <c r="B135" s="213"/>
      <c r="C135" s="213"/>
      <c r="D135" s="215"/>
      <c r="E135" s="223"/>
      <c r="F135" s="213"/>
      <c r="G135" s="213"/>
    </row>
    <row r="136" spans="1:7" s="218" customFormat="1">
      <c r="A136" s="219"/>
      <c r="B136" s="213"/>
      <c r="C136" s="213"/>
      <c r="D136" s="215"/>
      <c r="E136" s="223"/>
      <c r="F136" s="213"/>
      <c r="G136" s="213"/>
    </row>
    <row r="137" spans="1:7" s="218" customFormat="1">
      <c r="A137" s="219"/>
      <c r="B137" s="213"/>
      <c r="C137" s="213"/>
      <c r="D137" s="215"/>
      <c r="E137" s="223"/>
      <c r="F137" s="213"/>
      <c r="G137" s="213"/>
    </row>
    <row r="138" spans="1:7" s="218" customFormat="1">
      <c r="A138" s="219"/>
      <c r="B138" s="213"/>
      <c r="C138" s="213"/>
      <c r="D138" s="215"/>
      <c r="E138" s="223"/>
      <c r="F138" s="213"/>
      <c r="G138" s="213"/>
    </row>
    <row r="139" spans="1:7" s="218" customFormat="1">
      <c r="A139" s="219"/>
      <c r="B139" s="213"/>
      <c r="C139" s="213"/>
      <c r="D139" s="215"/>
      <c r="E139" s="223"/>
      <c r="F139" s="213"/>
      <c r="G139" s="213"/>
    </row>
    <row r="140" spans="1:7" s="218" customFormat="1">
      <c r="A140" s="219"/>
      <c r="B140" s="213"/>
      <c r="C140" s="213"/>
      <c r="D140" s="215"/>
      <c r="E140" s="223"/>
      <c r="F140" s="213"/>
      <c r="G140" s="213"/>
    </row>
    <row r="141" spans="1:7" s="218" customFormat="1">
      <c r="A141" s="219"/>
      <c r="B141" s="213"/>
      <c r="C141" s="213"/>
      <c r="D141" s="215"/>
      <c r="E141" s="223"/>
      <c r="F141" s="213"/>
      <c r="G141" s="213"/>
    </row>
    <row r="142" spans="1:7" s="218" customFormat="1">
      <c r="A142" s="219"/>
      <c r="B142" s="213"/>
      <c r="C142" s="213"/>
      <c r="D142" s="215"/>
      <c r="E142" s="223"/>
      <c r="F142" s="213"/>
      <c r="G142" s="213"/>
    </row>
    <row r="143" spans="1:7" s="218" customFormat="1">
      <c r="A143" s="219"/>
      <c r="B143" s="213"/>
      <c r="C143" s="213"/>
      <c r="D143" s="215"/>
      <c r="E143" s="223"/>
      <c r="F143" s="213"/>
      <c r="G143" s="213"/>
    </row>
    <row r="144" spans="1:7" s="218" customFormat="1">
      <c r="A144" s="219"/>
      <c r="B144" s="213"/>
      <c r="C144" s="213"/>
      <c r="D144" s="215"/>
      <c r="E144" s="223"/>
      <c r="F144" s="213"/>
      <c r="G144" s="213"/>
    </row>
    <row r="145" spans="1:7" s="218" customFormat="1">
      <c r="A145" s="219"/>
      <c r="B145" s="213"/>
      <c r="C145" s="213"/>
      <c r="D145" s="215"/>
      <c r="E145" s="223"/>
      <c r="F145" s="213"/>
      <c r="G145" s="213"/>
    </row>
    <row r="146" spans="1:7" s="218" customFormat="1">
      <c r="A146" s="219"/>
      <c r="B146" s="213"/>
      <c r="C146" s="213"/>
      <c r="D146" s="215"/>
      <c r="E146" s="223"/>
      <c r="F146" s="213"/>
      <c r="G146" s="213"/>
    </row>
    <row r="147" spans="1:7" s="218" customFormat="1">
      <c r="A147" s="219"/>
      <c r="B147" s="213"/>
      <c r="C147" s="213"/>
      <c r="D147" s="215"/>
      <c r="E147" s="223"/>
      <c r="F147" s="213"/>
      <c r="G147" s="213"/>
    </row>
    <row r="148" spans="1:7" s="218" customFormat="1">
      <c r="A148" s="219"/>
      <c r="B148" s="213"/>
      <c r="C148" s="213"/>
      <c r="D148" s="215"/>
      <c r="E148" s="223"/>
      <c r="F148" s="213"/>
      <c r="G148" s="213"/>
    </row>
    <row r="149" spans="1:7" s="218" customFormat="1">
      <c r="A149" s="219"/>
      <c r="B149" s="213"/>
      <c r="C149" s="213"/>
      <c r="D149" s="215"/>
      <c r="E149" s="223"/>
      <c r="F149" s="213"/>
      <c r="G149" s="213"/>
    </row>
    <row r="150" spans="1:7" s="218" customFormat="1">
      <c r="A150" s="219"/>
      <c r="B150" s="213"/>
      <c r="C150" s="213"/>
      <c r="D150" s="215"/>
      <c r="E150" s="223"/>
      <c r="F150" s="213"/>
      <c r="G150" s="213"/>
    </row>
    <row r="151" spans="1:7" s="218" customFormat="1">
      <c r="A151" s="219"/>
      <c r="B151" s="213"/>
      <c r="C151" s="213"/>
      <c r="D151" s="215"/>
      <c r="E151" s="223"/>
      <c r="F151" s="213"/>
      <c r="G151" s="213"/>
    </row>
    <row r="152" spans="1:7" s="218" customFormat="1">
      <c r="A152" s="219"/>
      <c r="B152" s="213"/>
      <c r="C152" s="213"/>
      <c r="D152" s="215"/>
      <c r="E152" s="223"/>
      <c r="F152" s="213"/>
      <c r="G152" s="213"/>
    </row>
    <row r="153" spans="1:7" s="218" customFormat="1">
      <c r="A153" s="219"/>
      <c r="B153" s="213"/>
      <c r="C153" s="213"/>
      <c r="D153" s="215"/>
      <c r="E153" s="223"/>
      <c r="F153" s="213"/>
      <c r="G153" s="213"/>
    </row>
    <row r="154" spans="1:7" s="218" customFormat="1">
      <c r="A154" s="219"/>
      <c r="B154" s="213"/>
      <c r="C154" s="213"/>
      <c r="D154" s="215"/>
      <c r="E154" s="223"/>
      <c r="F154" s="213"/>
      <c r="G154" s="213"/>
    </row>
    <row r="155" spans="1:7" s="218" customFormat="1">
      <c r="A155" s="219"/>
      <c r="B155" s="213"/>
      <c r="C155" s="213"/>
      <c r="D155" s="215"/>
      <c r="E155" s="223"/>
      <c r="F155" s="213"/>
      <c r="G155" s="213"/>
    </row>
    <row r="156" spans="1:7" s="218" customFormat="1">
      <c r="A156" s="219"/>
      <c r="B156" s="213"/>
      <c r="C156" s="213"/>
      <c r="D156" s="215"/>
      <c r="E156" s="223"/>
      <c r="F156" s="213"/>
      <c r="G156" s="213"/>
    </row>
    <row r="157" spans="1:7" s="218" customFormat="1">
      <c r="A157" s="219"/>
      <c r="B157" s="213"/>
      <c r="C157" s="213"/>
      <c r="D157" s="215"/>
      <c r="E157" s="223"/>
      <c r="F157" s="213"/>
      <c r="G157" s="213"/>
    </row>
    <row r="158" spans="1:7" s="218" customFormat="1">
      <c r="A158" s="219"/>
      <c r="B158" s="213"/>
      <c r="C158" s="213"/>
      <c r="D158" s="215"/>
      <c r="E158" s="223"/>
      <c r="F158" s="213"/>
      <c r="G158" s="213"/>
    </row>
    <row r="159" spans="1:7" s="218" customFormat="1">
      <c r="A159" s="219"/>
      <c r="B159" s="213"/>
      <c r="C159" s="213"/>
      <c r="D159" s="215"/>
      <c r="E159" s="223"/>
      <c r="F159" s="213"/>
      <c r="G159" s="213"/>
    </row>
    <row r="160" spans="1:7" s="218" customFormat="1">
      <c r="A160" s="219"/>
      <c r="B160" s="213"/>
      <c r="C160" s="213"/>
      <c r="D160" s="215"/>
      <c r="E160" s="223"/>
      <c r="F160" s="213"/>
      <c r="G160" s="213"/>
    </row>
    <row r="161" spans="1:7" s="218" customFormat="1">
      <c r="A161" s="219"/>
      <c r="B161" s="213"/>
      <c r="C161" s="213"/>
      <c r="D161" s="215"/>
      <c r="E161" s="223"/>
      <c r="F161" s="213"/>
      <c r="G161" s="213"/>
    </row>
    <row r="162" spans="1:7" s="218" customFormat="1">
      <c r="A162" s="219"/>
      <c r="B162" s="213"/>
      <c r="C162" s="213"/>
      <c r="D162" s="215"/>
      <c r="E162" s="223"/>
      <c r="F162" s="213"/>
      <c r="G162" s="213"/>
    </row>
    <row r="163" spans="1:7" s="218" customFormat="1">
      <c r="A163" s="219"/>
      <c r="B163" s="213"/>
      <c r="C163" s="213"/>
      <c r="D163" s="215"/>
      <c r="E163" s="223"/>
      <c r="F163" s="213"/>
      <c r="G163" s="213"/>
    </row>
    <row r="164" spans="1:7" s="218" customFormat="1">
      <c r="A164" s="219"/>
      <c r="B164" s="213"/>
      <c r="C164" s="213"/>
      <c r="D164" s="215"/>
      <c r="E164" s="223"/>
      <c r="F164" s="213"/>
      <c r="G164" s="213"/>
    </row>
    <row r="165" spans="1:7" s="218" customFormat="1">
      <c r="A165" s="219"/>
      <c r="B165" s="213"/>
      <c r="C165" s="213"/>
      <c r="D165" s="215"/>
      <c r="E165" s="223"/>
      <c r="F165" s="213"/>
      <c r="G165" s="213"/>
    </row>
    <row r="166" spans="1:7" s="218" customFormat="1">
      <c r="A166" s="219"/>
      <c r="B166" s="213"/>
      <c r="C166" s="213"/>
      <c r="D166" s="215"/>
      <c r="E166" s="223"/>
      <c r="F166" s="213"/>
      <c r="G166" s="213"/>
    </row>
    <row r="167" spans="1:7" s="218" customFormat="1">
      <c r="A167" s="219"/>
      <c r="B167" s="213"/>
      <c r="C167" s="213"/>
      <c r="D167" s="215"/>
      <c r="E167" s="223"/>
      <c r="F167" s="213"/>
      <c r="G167" s="213"/>
    </row>
    <row r="168" spans="1:7" s="218" customFormat="1">
      <c r="A168" s="219"/>
      <c r="B168" s="213"/>
      <c r="C168" s="213"/>
      <c r="D168" s="215"/>
      <c r="E168" s="223"/>
      <c r="F168" s="213"/>
      <c r="G168" s="213"/>
    </row>
    <row r="169" spans="1:7" s="218" customFormat="1">
      <c r="A169" s="219"/>
      <c r="B169" s="213"/>
      <c r="C169" s="213"/>
      <c r="D169" s="215"/>
      <c r="E169" s="223"/>
      <c r="F169" s="213"/>
      <c r="G169" s="213"/>
    </row>
    <row r="170" spans="1:7" s="218" customFormat="1">
      <c r="A170" s="219"/>
      <c r="B170" s="213"/>
      <c r="C170" s="213"/>
      <c r="D170" s="215"/>
      <c r="E170" s="223"/>
      <c r="F170" s="213"/>
      <c r="G170" s="213"/>
    </row>
    <row r="171" spans="1:7" s="218" customFormat="1">
      <c r="A171" s="219"/>
      <c r="B171" s="213"/>
      <c r="C171" s="213"/>
      <c r="D171" s="215"/>
      <c r="E171" s="223"/>
      <c r="F171" s="213"/>
      <c r="G171" s="213"/>
    </row>
    <row r="172" spans="1:7" s="218" customFormat="1">
      <c r="A172" s="219"/>
      <c r="B172" s="213"/>
      <c r="C172" s="213"/>
      <c r="D172" s="215"/>
      <c r="E172" s="223"/>
      <c r="F172" s="213"/>
      <c r="G172" s="213"/>
    </row>
    <row r="173" spans="1:7" s="218" customFormat="1">
      <c r="A173" s="219"/>
      <c r="B173" s="213"/>
      <c r="C173" s="213"/>
      <c r="D173" s="215"/>
      <c r="E173" s="223"/>
      <c r="F173" s="213"/>
      <c r="G173" s="213"/>
    </row>
    <row r="174" spans="1:7" s="218" customFormat="1">
      <c r="A174" s="219"/>
      <c r="B174" s="213"/>
      <c r="C174" s="213"/>
      <c r="D174" s="215"/>
      <c r="E174" s="223"/>
      <c r="F174" s="213"/>
      <c r="G174" s="213"/>
    </row>
    <row r="175" spans="1:7" s="218" customFormat="1">
      <c r="A175" s="219"/>
      <c r="B175" s="213"/>
      <c r="C175" s="213"/>
      <c r="D175" s="215"/>
      <c r="E175" s="223"/>
      <c r="F175" s="213"/>
      <c r="G175" s="213"/>
    </row>
    <row r="176" spans="1:7" s="218" customFormat="1">
      <c r="A176" s="219"/>
      <c r="B176" s="213"/>
      <c r="C176" s="213"/>
      <c r="D176" s="215"/>
      <c r="E176" s="223"/>
      <c r="F176" s="213"/>
      <c r="G176" s="213"/>
    </row>
    <row r="177" spans="1:7" s="218" customFormat="1">
      <c r="A177" s="219"/>
      <c r="B177" s="213"/>
      <c r="C177" s="213"/>
      <c r="D177" s="215"/>
      <c r="E177" s="223"/>
      <c r="F177" s="213"/>
      <c r="G177" s="213"/>
    </row>
    <row r="178" spans="1:7" s="218" customFormat="1">
      <c r="A178" s="219"/>
      <c r="B178" s="213"/>
      <c r="C178" s="213"/>
      <c r="D178" s="215"/>
      <c r="E178" s="223"/>
      <c r="F178" s="213"/>
      <c r="G178" s="213"/>
    </row>
    <row r="179" spans="1:7" s="218" customFormat="1">
      <c r="A179" s="219"/>
      <c r="B179" s="213"/>
      <c r="C179" s="213"/>
      <c r="D179" s="215"/>
      <c r="E179" s="223"/>
      <c r="F179" s="213"/>
      <c r="G179" s="213"/>
    </row>
    <row r="180" spans="1:7" s="218" customFormat="1">
      <c r="A180" s="219"/>
      <c r="B180" s="213"/>
      <c r="C180" s="213"/>
      <c r="D180" s="215"/>
      <c r="E180" s="223"/>
      <c r="F180" s="213"/>
      <c r="G180" s="213"/>
    </row>
  </sheetData>
  <autoFilter ref="A2:I101" xr:uid="{9B345CD9-389B-419E-8309-EDA77FCB37C0}">
    <filterColumn colId="1">
      <filters>
        <filter val="G12"/>
      </filters>
    </filterColumn>
  </autoFilter>
  <mergeCells count="4">
    <mergeCell ref="A1:H1"/>
    <mergeCell ref="I19:I22"/>
    <mergeCell ref="G82:G83"/>
    <mergeCell ref="H82:H8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A922-9DEF-4EF0-AD63-11262B7932D6}">
  <sheetPr codeName="Sheet28"/>
  <dimension ref="A1:I138"/>
  <sheetViews>
    <sheetView topLeftCell="A133" workbookViewId="0">
      <selection activeCell="E147" sqref="E147"/>
    </sheetView>
  </sheetViews>
  <sheetFormatPr defaultColWidth="8.7265625" defaultRowHeight="14"/>
  <cols>
    <col min="1" max="1" width="9.90625" style="219" customWidth="1"/>
    <col min="2" max="2" width="10.36328125" style="213" customWidth="1"/>
    <col min="3" max="3" width="12.7265625" style="225" customWidth="1"/>
    <col min="4" max="4" width="45.6328125" style="213" customWidth="1"/>
    <col min="5" max="6" width="16.6328125" style="217" customWidth="1"/>
    <col min="7" max="7" width="22.1796875" style="217" customWidth="1"/>
    <col min="8" max="8" width="34.7265625" style="213" customWidth="1"/>
    <col min="9" max="16384" width="8.7265625" style="213"/>
  </cols>
  <sheetData>
    <row r="1" spans="1:8" ht="24.5" customHeight="1">
      <c r="A1" s="241" t="s">
        <v>1172</v>
      </c>
      <c r="B1" s="242"/>
      <c r="C1" s="243"/>
      <c r="D1" s="242"/>
      <c r="E1" s="242"/>
      <c r="F1" s="242"/>
      <c r="G1" s="242"/>
      <c r="H1" s="244"/>
    </row>
    <row r="2" spans="1:8">
      <c r="A2" s="207" t="s">
        <v>1</v>
      </c>
      <c r="B2" s="208" t="s">
        <v>2</v>
      </c>
      <c r="C2" s="224" t="s">
        <v>3</v>
      </c>
      <c r="D2" s="208" t="s">
        <v>4</v>
      </c>
      <c r="E2" s="211" t="s">
        <v>5</v>
      </c>
      <c r="F2" s="211" t="s">
        <v>6</v>
      </c>
      <c r="G2" s="211" t="s">
        <v>1330</v>
      </c>
      <c r="H2" s="208" t="s">
        <v>7</v>
      </c>
    </row>
    <row r="3" spans="1:8">
      <c r="A3" s="207"/>
      <c r="B3" s="208"/>
      <c r="C3" s="224"/>
      <c r="D3" s="208"/>
      <c r="E3" s="211">
        <f>SUM(E4:E141)</f>
        <v>10050000</v>
      </c>
      <c r="F3" s="211">
        <f>SUM(F4:F141)</f>
        <v>13750000</v>
      </c>
      <c r="G3" s="211"/>
      <c r="H3" s="208"/>
    </row>
    <row r="4" spans="1:8">
      <c r="A4" s="219">
        <v>46219</v>
      </c>
      <c r="B4" s="238" t="s">
        <v>300</v>
      </c>
      <c r="D4" s="213" t="s">
        <v>333</v>
      </c>
      <c r="E4" s="213"/>
      <c r="F4" s="222">
        <v>80000</v>
      </c>
      <c r="G4" s="222"/>
    </row>
    <row r="5" spans="1:8">
      <c r="A5" s="219">
        <v>46219</v>
      </c>
      <c r="B5" s="238" t="s">
        <v>448</v>
      </c>
      <c r="C5" s="231">
        <v>501</v>
      </c>
      <c r="D5" s="213" t="s">
        <v>1160</v>
      </c>
      <c r="E5" s="213"/>
      <c r="F5" s="222">
        <v>65000</v>
      </c>
      <c r="G5" s="222"/>
      <c r="H5" s="213" t="s">
        <v>1320</v>
      </c>
    </row>
    <row r="6" spans="1:8">
      <c r="A6" s="219">
        <v>46223</v>
      </c>
      <c r="B6" s="238" t="s">
        <v>280</v>
      </c>
      <c r="C6" s="231">
        <v>401</v>
      </c>
      <c r="D6" s="213" t="s">
        <v>492</v>
      </c>
      <c r="E6" s="222"/>
      <c r="F6" s="222">
        <v>80000</v>
      </c>
      <c r="G6" s="222"/>
    </row>
    <row r="7" spans="1:8">
      <c r="A7" s="219">
        <v>46225</v>
      </c>
      <c r="B7" s="238" t="s">
        <v>300</v>
      </c>
      <c r="D7" s="213" t="s">
        <v>151</v>
      </c>
      <c r="E7" s="222"/>
      <c r="F7" s="222">
        <v>1600000</v>
      </c>
      <c r="G7" s="222"/>
    </row>
    <row r="8" spans="1:8">
      <c r="A8" s="219">
        <v>46225</v>
      </c>
      <c r="B8" s="238" t="s">
        <v>300</v>
      </c>
      <c r="D8" s="213" t="s">
        <v>1229</v>
      </c>
      <c r="E8" s="213"/>
      <c r="F8" s="222">
        <v>550000</v>
      </c>
      <c r="G8" s="222"/>
    </row>
    <row r="9" spans="1:8">
      <c r="A9" s="219">
        <v>46225</v>
      </c>
      <c r="B9" s="238" t="s">
        <v>149</v>
      </c>
      <c r="C9" s="231">
        <v>102</v>
      </c>
      <c r="D9" s="213" t="s">
        <v>346</v>
      </c>
      <c r="E9" s="222"/>
      <c r="F9" s="222">
        <v>120000</v>
      </c>
      <c r="G9" s="222"/>
      <c r="H9" s="213" t="s">
        <v>1314</v>
      </c>
    </row>
    <row r="10" spans="1:8">
      <c r="A10" s="219">
        <v>46225</v>
      </c>
      <c r="B10" s="238" t="s">
        <v>456</v>
      </c>
      <c r="C10" s="225">
        <v>301</v>
      </c>
      <c r="D10" s="213" t="s">
        <v>1230</v>
      </c>
      <c r="E10" s="222"/>
      <c r="F10" s="222">
        <v>160000</v>
      </c>
      <c r="G10" s="222"/>
    </row>
    <row r="11" spans="1:8">
      <c r="A11" s="219">
        <v>46225</v>
      </c>
      <c r="B11" s="238" t="s">
        <v>175</v>
      </c>
      <c r="C11" s="231">
        <v>701</v>
      </c>
      <c r="D11" s="213" t="s">
        <v>432</v>
      </c>
      <c r="E11" s="213"/>
      <c r="F11" s="222">
        <v>50000</v>
      </c>
      <c r="G11" s="222"/>
    </row>
    <row r="12" spans="1:8">
      <c r="A12" s="219">
        <v>46225</v>
      </c>
      <c r="B12" s="238" t="s">
        <v>141</v>
      </c>
      <c r="C12" s="225">
        <v>301</v>
      </c>
      <c r="D12" s="213" t="s">
        <v>1231</v>
      </c>
      <c r="E12" s="222"/>
      <c r="F12" s="222">
        <v>160000</v>
      </c>
      <c r="G12" s="222"/>
    </row>
    <row r="13" spans="1:8">
      <c r="A13" s="219">
        <v>46226</v>
      </c>
      <c r="B13" s="238" t="s">
        <v>204</v>
      </c>
      <c r="C13" s="225">
        <v>502</v>
      </c>
      <c r="D13" s="213" t="s">
        <v>126</v>
      </c>
      <c r="E13" s="222">
        <v>200000</v>
      </c>
      <c r="F13" s="213"/>
      <c r="G13" s="213"/>
      <c r="H13" s="213" t="s">
        <v>1299</v>
      </c>
    </row>
    <row r="14" spans="1:8">
      <c r="A14" s="219">
        <v>46228</v>
      </c>
      <c r="B14" s="238" t="s">
        <v>109</v>
      </c>
      <c r="C14" s="225">
        <v>101</v>
      </c>
      <c r="D14" s="213" t="s">
        <v>1232</v>
      </c>
      <c r="E14" s="222"/>
      <c r="F14" s="222">
        <v>150000</v>
      </c>
      <c r="G14" s="222"/>
    </row>
    <row r="15" spans="1:8">
      <c r="A15" s="219">
        <v>46228</v>
      </c>
      <c r="B15" s="238" t="s">
        <v>109</v>
      </c>
      <c r="C15" s="225">
        <v>101</v>
      </c>
      <c r="D15" s="213" t="s">
        <v>357</v>
      </c>
      <c r="E15" s="222"/>
      <c r="F15" s="222">
        <v>40000</v>
      </c>
      <c r="G15" s="222"/>
    </row>
    <row r="16" spans="1:8">
      <c r="A16" s="219">
        <v>46229</v>
      </c>
      <c r="B16" s="238" t="s">
        <v>149</v>
      </c>
      <c r="C16" s="225">
        <v>207</v>
      </c>
      <c r="D16" s="213" t="s">
        <v>1164</v>
      </c>
      <c r="E16" s="222"/>
      <c r="F16" s="222">
        <v>10000</v>
      </c>
      <c r="G16" s="222"/>
    </row>
    <row r="17" spans="1:9">
      <c r="A17" s="219">
        <v>46229</v>
      </c>
      <c r="B17" s="238" t="s">
        <v>349</v>
      </c>
      <c r="C17" s="225">
        <v>302</v>
      </c>
      <c r="D17" s="213" t="s">
        <v>1231</v>
      </c>
      <c r="E17" s="213"/>
      <c r="F17" s="222">
        <v>150000</v>
      </c>
      <c r="G17" s="222"/>
    </row>
    <row r="18" spans="1:9">
      <c r="A18" s="219">
        <v>46229</v>
      </c>
      <c r="B18" s="238" t="s">
        <v>615</v>
      </c>
      <c r="C18" s="225">
        <v>201</v>
      </c>
      <c r="D18" s="213" t="s">
        <v>19</v>
      </c>
      <c r="E18" s="222"/>
      <c r="F18" s="222">
        <v>200000</v>
      </c>
      <c r="G18" s="238" t="s">
        <v>292</v>
      </c>
      <c r="I18" s="213" t="s">
        <v>1299</v>
      </c>
    </row>
    <row r="19" spans="1:9">
      <c r="A19" s="219">
        <v>46235</v>
      </c>
      <c r="B19" s="238" t="s">
        <v>149</v>
      </c>
      <c r="C19" s="225">
        <v>606</v>
      </c>
      <c r="D19" s="213" t="s">
        <v>19</v>
      </c>
      <c r="E19" s="222">
        <v>300000</v>
      </c>
      <c r="F19" s="222"/>
      <c r="G19" s="240" t="s">
        <v>1302</v>
      </c>
    </row>
    <row r="20" spans="1:9">
      <c r="A20" s="219">
        <v>46235</v>
      </c>
      <c r="B20" s="238" t="s">
        <v>149</v>
      </c>
      <c r="C20" s="225">
        <v>606</v>
      </c>
      <c r="D20" s="213" t="s">
        <v>126</v>
      </c>
      <c r="E20" s="222">
        <v>200000</v>
      </c>
      <c r="F20" s="213"/>
      <c r="G20" s="213"/>
      <c r="H20" s="213" t="s">
        <v>172</v>
      </c>
    </row>
    <row r="21" spans="1:9">
      <c r="A21" s="219">
        <v>46235</v>
      </c>
      <c r="B21" s="238" t="s">
        <v>149</v>
      </c>
      <c r="C21" s="225">
        <v>606</v>
      </c>
      <c r="D21" s="213" t="s">
        <v>1233</v>
      </c>
      <c r="E21" s="222">
        <v>100000</v>
      </c>
      <c r="F21" s="222"/>
      <c r="G21" s="222"/>
    </row>
    <row r="22" spans="1:9">
      <c r="A22" s="219">
        <v>46235</v>
      </c>
      <c r="B22" s="238" t="s">
        <v>149</v>
      </c>
      <c r="C22" s="231">
        <v>104</v>
      </c>
      <c r="D22" s="213" t="s">
        <v>1234</v>
      </c>
      <c r="E22" s="222">
        <v>200000</v>
      </c>
      <c r="F22" s="213"/>
      <c r="G22" s="213"/>
      <c r="H22" s="213" t="s">
        <v>1321</v>
      </c>
    </row>
    <row r="23" spans="1:9">
      <c r="A23" s="219">
        <v>46235</v>
      </c>
      <c r="B23" s="238" t="s">
        <v>136</v>
      </c>
      <c r="D23" s="213" t="s">
        <v>1235</v>
      </c>
      <c r="E23" s="222">
        <v>200000</v>
      </c>
      <c r="F23" s="222"/>
      <c r="G23" s="222"/>
    </row>
    <row r="24" spans="1:9">
      <c r="A24" s="219">
        <v>46236</v>
      </c>
      <c r="B24" s="238" t="s">
        <v>149</v>
      </c>
      <c r="C24" s="231" t="s">
        <v>1236</v>
      </c>
      <c r="D24" s="213" t="s">
        <v>1237</v>
      </c>
      <c r="E24" s="213"/>
      <c r="F24" s="222"/>
      <c r="G24" s="28" t="s">
        <v>1302</v>
      </c>
      <c r="H24" s="7"/>
    </row>
    <row r="25" spans="1:9">
      <c r="A25" s="219">
        <v>46237</v>
      </c>
      <c r="B25" s="238" t="s">
        <v>167</v>
      </c>
      <c r="C25" s="225">
        <v>401</v>
      </c>
      <c r="D25" s="213" t="s">
        <v>19</v>
      </c>
      <c r="E25" s="222">
        <v>200000</v>
      </c>
      <c r="F25" s="222"/>
      <c r="G25" s="28" t="s">
        <v>1302</v>
      </c>
      <c r="H25" s="7"/>
      <c r="I25" s="213" t="s">
        <v>1308</v>
      </c>
    </row>
    <row r="26" spans="1:9">
      <c r="A26" s="219">
        <v>46237</v>
      </c>
      <c r="B26" s="238" t="s">
        <v>167</v>
      </c>
      <c r="C26" s="225">
        <v>401</v>
      </c>
      <c r="D26" s="213" t="s">
        <v>126</v>
      </c>
      <c r="E26" s="222">
        <v>200000</v>
      </c>
      <c r="F26" s="213"/>
      <c r="G26" s="213"/>
    </row>
    <row r="27" spans="1:9">
      <c r="A27" s="219">
        <v>46237</v>
      </c>
      <c r="B27" s="238" t="s">
        <v>125</v>
      </c>
      <c r="C27" s="225">
        <v>401</v>
      </c>
      <c r="D27" s="213" t="s">
        <v>19</v>
      </c>
      <c r="E27" s="222">
        <v>200000</v>
      </c>
      <c r="F27" s="222"/>
      <c r="G27" s="28" t="s">
        <v>1302</v>
      </c>
      <c r="H27" s="7"/>
    </row>
    <row r="28" spans="1:9">
      <c r="A28" s="219">
        <v>46237</v>
      </c>
      <c r="B28" s="238" t="s">
        <v>300</v>
      </c>
      <c r="C28" s="225">
        <v>501</v>
      </c>
      <c r="D28" s="213" t="s">
        <v>810</v>
      </c>
      <c r="E28" s="213"/>
      <c r="F28" s="222">
        <v>100000</v>
      </c>
      <c r="G28" s="222"/>
      <c r="H28" s="213" t="s">
        <v>1299</v>
      </c>
    </row>
    <row r="29" spans="1:9">
      <c r="A29" s="219">
        <v>46238</v>
      </c>
      <c r="B29" s="238" t="s">
        <v>149</v>
      </c>
      <c r="D29" s="213" t="s">
        <v>996</v>
      </c>
      <c r="E29" s="213"/>
      <c r="F29" s="222">
        <v>20000</v>
      </c>
      <c r="G29" s="222"/>
    </row>
    <row r="30" spans="1:9">
      <c r="A30" s="219">
        <v>46238</v>
      </c>
      <c r="B30" s="238" t="s">
        <v>103</v>
      </c>
      <c r="C30" s="225">
        <v>603</v>
      </c>
      <c r="D30" s="213" t="s">
        <v>1238</v>
      </c>
      <c r="E30" s="222">
        <v>50000</v>
      </c>
      <c r="F30" s="222">
        <v>65000</v>
      </c>
      <c r="G30" s="222"/>
      <c r="H30" s="213" t="s">
        <v>172</v>
      </c>
    </row>
    <row r="31" spans="1:9">
      <c r="A31" s="219">
        <v>46238</v>
      </c>
      <c r="B31" s="238" t="s">
        <v>142</v>
      </c>
      <c r="C31" s="225">
        <v>302</v>
      </c>
      <c r="D31" s="213" t="s">
        <v>1239</v>
      </c>
      <c r="E31" s="213"/>
      <c r="F31" s="222">
        <v>65000</v>
      </c>
      <c r="G31" s="222"/>
    </row>
    <row r="32" spans="1:9">
      <c r="A32" s="219">
        <v>46238</v>
      </c>
      <c r="B32" s="238" t="s">
        <v>142</v>
      </c>
      <c r="C32" s="225">
        <v>302</v>
      </c>
      <c r="D32" s="213" t="s">
        <v>1240</v>
      </c>
      <c r="E32" s="222">
        <v>200000</v>
      </c>
      <c r="F32" s="222"/>
      <c r="G32" s="222"/>
      <c r="H32" s="213" t="s">
        <v>172</v>
      </c>
    </row>
    <row r="33" spans="1:8">
      <c r="A33" s="219">
        <v>46238</v>
      </c>
      <c r="B33" s="238" t="s">
        <v>142</v>
      </c>
      <c r="C33" s="225">
        <v>302</v>
      </c>
      <c r="D33" s="213" t="s">
        <v>1241</v>
      </c>
      <c r="E33" s="213"/>
      <c r="F33" s="222"/>
      <c r="G33" s="222"/>
    </row>
    <row r="34" spans="1:8">
      <c r="A34" s="219">
        <v>46238</v>
      </c>
      <c r="B34" s="238" t="s">
        <v>138</v>
      </c>
      <c r="C34" s="225">
        <v>403</v>
      </c>
      <c r="D34" s="213" t="s">
        <v>19</v>
      </c>
      <c r="E34" s="222">
        <v>200000</v>
      </c>
      <c r="F34" s="213"/>
      <c r="G34" s="28" t="s">
        <v>1303</v>
      </c>
      <c r="H34" s="7"/>
    </row>
    <row r="35" spans="1:8">
      <c r="A35" s="219">
        <v>46238</v>
      </c>
      <c r="B35" s="238" t="s">
        <v>138</v>
      </c>
      <c r="C35" s="225">
        <v>403</v>
      </c>
      <c r="D35" s="213" t="s">
        <v>126</v>
      </c>
      <c r="E35" s="222">
        <v>400000</v>
      </c>
      <c r="F35" s="222"/>
      <c r="G35" s="222"/>
    </row>
    <row r="36" spans="1:8">
      <c r="A36" s="219">
        <v>46239</v>
      </c>
      <c r="B36" s="238" t="s">
        <v>149</v>
      </c>
      <c r="C36" s="225">
        <v>201</v>
      </c>
      <c r="D36" s="213" t="s">
        <v>126</v>
      </c>
      <c r="E36" s="222">
        <v>200000</v>
      </c>
      <c r="F36" s="222"/>
      <c r="G36" s="222"/>
      <c r="H36" s="213" t="s">
        <v>1299</v>
      </c>
    </row>
    <row r="37" spans="1:8">
      <c r="A37" s="230">
        <v>46239</v>
      </c>
      <c r="B37" s="238" t="s">
        <v>365</v>
      </c>
      <c r="C37" s="229">
        <v>202</v>
      </c>
      <c r="D37" s="227" t="s">
        <v>19</v>
      </c>
      <c r="E37" s="228">
        <v>250000</v>
      </c>
      <c r="F37" s="213"/>
      <c r="G37" s="28" t="s">
        <v>1303</v>
      </c>
      <c r="H37" s="7"/>
    </row>
    <row r="38" spans="1:8">
      <c r="A38" s="230">
        <v>46239</v>
      </c>
      <c r="B38" s="238" t="s">
        <v>365</v>
      </c>
      <c r="C38" s="229">
        <v>202</v>
      </c>
      <c r="D38" s="227" t="s">
        <v>126</v>
      </c>
      <c r="E38" s="228">
        <v>400000</v>
      </c>
      <c r="F38" s="222"/>
      <c r="G38" s="222"/>
    </row>
    <row r="39" spans="1:8">
      <c r="A39" s="219">
        <v>46239</v>
      </c>
      <c r="B39" s="238" t="s">
        <v>280</v>
      </c>
      <c r="C39" s="225" t="s">
        <v>1242</v>
      </c>
      <c r="D39" s="213" t="s">
        <v>1243</v>
      </c>
      <c r="E39" s="213"/>
      <c r="F39" s="222">
        <v>200000</v>
      </c>
      <c r="G39" s="222"/>
    </row>
    <row r="40" spans="1:8">
      <c r="A40" s="219">
        <v>46241</v>
      </c>
      <c r="B40" s="238" t="s">
        <v>20</v>
      </c>
      <c r="C40" s="225">
        <v>506</v>
      </c>
      <c r="D40" s="213" t="s">
        <v>1244</v>
      </c>
      <c r="E40" s="222">
        <v>150000</v>
      </c>
      <c r="F40" s="222"/>
      <c r="G40" s="222"/>
      <c r="H40" s="213" t="s">
        <v>172</v>
      </c>
    </row>
    <row r="41" spans="1:8">
      <c r="A41" s="219">
        <v>46241</v>
      </c>
      <c r="B41" s="238" t="s">
        <v>282</v>
      </c>
      <c r="C41" s="225">
        <v>403</v>
      </c>
      <c r="D41" s="213" t="s">
        <v>1245</v>
      </c>
      <c r="E41" s="222">
        <v>200000</v>
      </c>
      <c r="F41" s="222"/>
      <c r="G41" s="222"/>
      <c r="H41" s="213" t="s">
        <v>1299</v>
      </c>
    </row>
    <row r="42" spans="1:8">
      <c r="A42" s="219">
        <v>46241</v>
      </c>
      <c r="B42" s="238" t="s">
        <v>443</v>
      </c>
      <c r="C42" s="225">
        <v>304</v>
      </c>
      <c r="D42" s="213" t="s">
        <v>126</v>
      </c>
      <c r="E42" s="222">
        <v>150000</v>
      </c>
      <c r="F42" s="222"/>
      <c r="G42" s="222"/>
      <c r="H42" s="213" t="s">
        <v>1299</v>
      </c>
    </row>
    <row r="43" spans="1:8">
      <c r="A43" s="219">
        <v>46241</v>
      </c>
      <c r="B43" s="238" t="s">
        <v>282</v>
      </c>
      <c r="C43" s="225">
        <v>403</v>
      </c>
      <c r="D43" s="213" t="s">
        <v>130</v>
      </c>
      <c r="E43" s="213"/>
      <c r="F43" s="222">
        <v>80000</v>
      </c>
      <c r="G43" s="222"/>
      <c r="H43" s="213" t="s">
        <v>1299</v>
      </c>
    </row>
    <row r="44" spans="1:8">
      <c r="A44" s="219">
        <v>46241</v>
      </c>
      <c r="B44" s="238" t="s">
        <v>282</v>
      </c>
      <c r="C44" s="225">
        <v>403</v>
      </c>
      <c r="D44" s="213" t="s">
        <v>131</v>
      </c>
      <c r="E44" s="213"/>
      <c r="F44" s="222">
        <v>30000</v>
      </c>
      <c r="G44" s="222"/>
      <c r="H44" s="213" t="s">
        <v>1299</v>
      </c>
    </row>
    <row r="45" spans="1:8">
      <c r="A45" s="219">
        <v>46241</v>
      </c>
      <c r="B45" s="238" t="s">
        <v>282</v>
      </c>
      <c r="C45" s="225">
        <v>403</v>
      </c>
      <c r="D45" s="213" t="s">
        <v>1246</v>
      </c>
      <c r="E45" s="213"/>
      <c r="F45" s="222">
        <v>50000</v>
      </c>
      <c r="G45" s="222"/>
      <c r="H45" s="213" t="s">
        <v>1299</v>
      </c>
    </row>
    <row r="46" spans="1:8" ht="14.4" customHeight="1">
      <c r="A46" s="219">
        <v>46241</v>
      </c>
      <c r="B46" s="238" t="s">
        <v>282</v>
      </c>
      <c r="C46" s="225">
        <v>403</v>
      </c>
      <c r="D46" s="213" t="s">
        <v>1247</v>
      </c>
      <c r="E46" s="213"/>
      <c r="F46" s="222">
        <v>30000</v>
      </c>
      <c r="G46" s="222"/>
      <c r="H46" s="213" t="s">
        <v>1299</v>
      </c>
    </row>
    <row r="47" spans="1:8">
      <c r="A47" s="219">
        <v>46243</v>
      </c>
      <c r="B47" s="238" t="s">
        <v>282</v>
      </c>
      <c r="C47" s="231">
        <v>301</v>
      </c>
      <c r="D47" s="213" t="s">
        <v>1248</v>
      </c>
      <c r="E47" s="213"/>
      <c r="F47" s="222">
        <v>120000</v>
      </c>
      <c r="G47" s="222"/>
    </row>
    <row r="48" spans="1:8">
      <c r="A48" s="219">
        <v>46243</v>
      </c>
      <c r="B48" s="238" t="s">
        <v>282</v>
      </c>
      <c r="C48" s="231">
        <v>301</v>
      </c>
      <c r="D48" s="213" t="s">
        <v>1249</v>
      </c>
      <c r="E48" s="213"/>
      <c r="F48" s="222">
        <v>100000</v>
      </c>
      <c r="G48" s="222"/>
    </row>
    <row r="49" spans="1:8">
      <c r="A49" s="219">
        <v>46243</v>
      </c>
      <c r="B49" s="238" t="s">
        <v>282</v>
      </c>
      <c r="C49" s="231">
        <v>301</v>
      </c>
      <c r="D49" s="213" t="s">
        <v>1250</v>
      </c>
      <c r="E49" s="213"/>
      <c r="F49" s="222">
        <v>80000</v>
      </c>
      <c r="G49" s="222"/>
    </row>
    <row r="50" spans="1:8">
      <c r="A50" s="219">
        <v>46243</v>
      </c>
      <c r="B50" s="238" t="s">
        <v>282</v>
      </c>
      <c r="C50" s="231">
        <v>301</v>
      </c>
      <c r="D50" s="213" t="s">
        <v>321</v>
      </c>
      <c r="E50" s="213"/>
      <c r="F50" s="222">
        <v>50000</v>
      </c>
      <c r="G50" s="222"/>
    </row>
    <row r="51" spans="1:8">
      <c r="A51" s="219">
        <v>46243</v>
      </c>
      <c r="B51" s="238" t="s">
        <v>282</v>
      </c>
      <c r="C51" s="231">
        <v>301</v>
      </c>
      <c r="D51" s="213" t="s">
        <v>1251</v>
      </c>
      <c r="E51" s="222"/>
      <c r="F51" s="222">
        <v>45000</v>
      </c>
      <c r="G51" s="222"/>
    </row>
    <row r="52" spans="1:8">
      <c r="A52" s="219">
        <v>46244</v>
      </c>
      <c r="B52" s="238" t="s">
        <v>282</v>
      </c>
      <c r="C52" s="225">
        <v>204</v>
      </c>
      <c r="D52" s="213" t="s">
        <v>1248</v>
      </c>
      <c r="E52" s="222"/>
      <c r="F52" s="222">
        <v>120000</v>
      </c>
      <c r="G52" s="222"/>
    </row>
    <row r="53" spans="1:8">
      <c r="A53" s="219">
        <v>46303</v>
      </c>
      <c r="B53" s="238" t="s">
        <v>282</v>
      </c>
      <c r="C53" s="225">
        <v>204</v>
      </c>
      <c r="D53" s="213" t="s">
        <v>1251</v>
      </c>
      <c r="E53" s="222"/>
      <c r="F53" s="222">
        <v>45000</v>
      </c>
      <c r="G53" s="222"/>
    </row>
    <row r="54" spans="1:8">
      <c r="A54" s="219">
        <v>46244</v>
      </c>
      <c r="B54" s="238" t="s">
        <v>282</v>
      </c>
      <c r="C54" s="225">
        <v>204</v>
      </c>
      <c r="D54" s="213" t="s">
        <v>1252</v>
      </c>
      <c r="E54" s="213"/>
      <c r="F54" s="222">
        <v>100000</v>
      </c>
      <c r="G54" s="222"/>
    </row>
    <row r="55" spans="1:8">
      <c r="A55" s="219">
        <v>46244</v>
      </c>
      <c r="B55" s="238" t="s">
        <v>443</v>
      </c>
      <c r="C55" s="231">
        <v>101</v>
      </c>
      <c r="D55" s="213" t="s">
        <v>1253</v>
      </c>
      <c r="E55" s="213"/>
      <c r="F55" s="222"/>
      <c r="G55" s="235"/>
      <c r="H55" s="245" t="s">
        <v>1309</v>
      </c>
    </row>
    <row r="56" spans="1:8">
      <c r="A56" s="219">
        <v>46244</v>
      </c>
      <c r="B56" s="238" t="s">
        <v>443</v>
      </c>
      <c r="C56" s="231">
        <v>101</v>
      </c>
      <c r="D56" s="213" t="s">
        <v>357</v>
      </c>
      <c r="E56" s="213"/>
      <c r="F56" s="222">
        <v>255000</v>
      </c>
      <c r="G56" s="237"/>
      <c r="H56" s="246"/>
    </row>
    <row r="57" spans="1:8">
      <c r="A57" s="219">
        <v>46244</v>
      </c>
      <c r="B57" s="238" t="s">
        <v>443</v>
      </c>
      <c r="C57" s="231">
        <v>101</v>
      </c>
      <c r="D57" s="213" t="s">
        <v>1254</v>
      </c>
      <c r="E57" s="213"/>
      <c r="F57" s="222">
        <v>60000</v>
      </c>
      <c r="G57" s="237"/>
      <c r="H57" s="246"/>
    </row>
    <row r="58" spans="1:8">
      <c r="A58" s="219">
        <v>46244</v>
      </c>
      <c r="B58" s="238" t="s">
        <v>443</v>
      </c>
      <c r="C58" s="231">
        <v>101</v>
      </c>
      <c r="D58" s="213" t="s">
        <v>798</v>
      </c>
      <c r="E58" s="213"/>
      <c r="F58" s="222">
        <v>75000</v>
      </c>
      <c r="G58" s="236"/>
      <c r="H58" s="247"/>
    </row>
    <row r="59" spans="1:8">
      <c r="A59" s="219">
        <v>46244</v>
      </c>
      <c r="B59" s="238" t="s">
        <v>282</v>
      </c>
      <c r="C59" s="231">
        <v>402</v>
      </c>
      <c r="D59" s="213" t="s">
        <v>1255</v>
      </c>
      <c r="E59" s="213"/>
      <c r="F59" s="222">
        <v>20000</v>
      </c>
      <c r="G59" s="222"/>
      <c r="H59" s="213" t="s">
        <v>1322</v>
      </c>
    </row>
    <row r="60" spans="1:8">
      <c r="A60" s="219">
        <v>46244</v>
      </c>
      <c r="B60" s="238" t="s">
        <v>282</v>
      </c>
      <c r="C60" s="231">
        <v>402</v>
      </c>
      <c r="D60" s="213" t="s">
        <v>153</v>
      </c>
      <c r="E60" s="213"/>
      <c r="F60" s="222">
        <v>25000</v>
      </c>
      <c r="G60" s="222"/>
    </row>
    <row r="61" spans="1:8">
      <c r="A61" s="219">
        <v>46247</v>
      </c>
      <c r="B61" s="238" t="s">
        <v>556</v>
      </c>
      <c r="C61" s="225">
        <v>101</v>
      </c>
      <c r="D61" s="213" t="s">
        <v>19</v>
      </c>
      <c r="E61" s="222">
        <v>200000</v>
      </c>
      <c r="F61" s="213"/>
      <c r="G61" s="213" t="s">
        <v>1332</v>
      </c>
      <c r="H61" s="7"/>
    </row>
    <row r="62" spans="1:8">
      <c r="A62" s="219">
        <v>46247</v>
      </c>
      <c r="B62" s="238" t="s">
        <v>556</v>
      </c>
      <c r="C62" s="225">
        <v>101</v>
      </c>
      <c r="D62" s="213" t="s">
        <v>126</v>
      </c>
      <c r="E62" s="222">
        <v>300000</v>
      </c>
      <c r="F62" s="222"/>
      <c r="G62" s="222"/>
    </row>
    <row r="63" spans="1:8">
      <c r="A63" s="219">
        <v>46247</v>
      </c>
      <c r="B63" s="238" t="s">
        <v>556</v>
      </c>
      <c r="C63" s="225">
        <v>101</v>
      </c>
      <c r="D63" s="213" t="s">
        <v>338</v>
      </c>
      <c r="E63" s="213"/>
      <c r="F63" s="222">
        <v>80000</v>
      </c>
      <c r="G63" s="222"/>
      <c r="H63" s="213" t="s">
        <v>1256</v>
      </c>
    </row>
    <row r="64" spans="1:8">
      <c r="A64" s="219">
        <v>46247</v>
      </c>
      <c r="B64" s="238" t="s">
        <v>556</v>
      </c>
      <c r="C64" s="225">
        <v>101</v>
      </c>
      <c r="D64" s="213" t="s">
        <v>1257</v>
      </c>
      <c r="E64" s="222">
        <v>100000</v>
      </c>
      <c r="F64" s="222">
        <v>40000</v>
      </c>
      <c r="G64" s="222"/>
    </row>
    <row r="65" spans="1:8">
      <c r="A65" s="219">
        <v>46247</v>
      </c>
      <c r="B65" s="238" t="s">
        <v>175</v>
      </c>
      <c r="D65" s="213" t="s">
        <v>333</v>
      </c>
      <c r="E65" s="213"/>
      <c r="F65" s="222">
        <v>120000</v>
      </c>
      <c r="G65" s="222"/>
    </row>
    <row r="66" spans="1:8">
      <c r="A66" s="219">
        <v>46249</v>
      </c>
      <c r="B66" s="238" t="s">
        <v>278</v>
      </c>
      <c r="D66" s="213" t="s">
        <v>333</v>
      </c>
      <c r="E66" s="213"/>
      <c r="F66" s="222">
        <v>120000</v>
      </c>
      <c r="G66" s="222"/>
    </row>
    <row r="67" spans="1:8">
      <c r="A67" s="219">
        <v>46249</v>
      </c>
      <c r="B67" s="238" t="s">
        <v>146</v>
      </c>
      <c r="C67" s="225">
        <v>501</v>
      </c>
      <c r="D67" s="213" t="s">
        <v>778</v>
      </c>
      <c r="E67" s="213"/>
      <c r="F67" s="222">
        <v>800000</v>
      </c>
      <c r="G67" s="222"/>
      <c r="H67" s="213" t="s">
        <v>1310</v>
      </c>
    </row>
    <row r="68" spans="1:8">
      <c r="A68" s="219">
        <v>46249</v>
      </c>
      <c r="B68" s="238" t="s">
        <v>149</v>
      </c>
      <c r="D68" s="213" t="s">
        <v>1258</v>
      </c>
      <c r="E68" s="213"/>
      <c r="F68" s="222">
        <v>500000</v>
      </c>
      <c r="G68" s="222"/>
    </row>
    <row r="69" spans="1:8">
      <c r="A69" s="219">
        <v>46249</v>
      </c>
      <c r="B69" s="238" t="s">
        <v>792</v>
      </c>
      <c r="C69" s="225">
        <v>101</v>
      </c>
      <c r="D69" s="213" t="s">
        <v>554</v>
      </c>
      <c r="E69" s="213"/>
      <c r="F69" s="222">
        <v>160000</v>
      </c>
      <c r="G69" s="235"/>
      <c r="H69" s="245" t="s">
        <v>1311</v>
      </c>
    </row>
    <row r="70" spans="1:8">
      <c r="A70" s="219">
        <v>46249</v>
      </c>
      <c r="B70" s="238" t="s">
        <v>792</v>
      </c>
      <c r="C70" s="225">
        <v>101</v>
      </c>
      <c r="D70" s="213" t="s">
        <v>153</v>
      </c>
      <c r="E70" s="213"/>
      <c r="F70" s="222">
        <v>30000</v>
      </c>
      <c r="G70" s="236"/>
      <c r="H70" s="247"/>
    </row>
    <row r="71" spans="1:8">
      <c r="A71" s="219">
        <v>46250</v>
      </c>
      <c r="B71" s="238" t="s">
        <v>175</v>
      </c>
      <c r="D71" s="213" t="s">
        <v>604</v>
      </c>
      <c r="E71" s="213"/>
      <c r="F71" s="222">
        <v>160000</v>
      </c>
      <c r="G71" s="222"/>
    </row>
    <row r="72" spans="1:8">
      <c r="A72" s="219">
        <v>46250</v>
      </c>
      <c r="B72" s="238" t="s">
        <v>25</v>
      </c>
      <c r="D72" s="213" t="s">
        <v>1259</v>
      </c>
      <c r="E72" s="213"/>
      <c r="F72" s="222">
        <v>120000</v>
      </c>
      <c r="G72" s="222"/>
    </row>
    <row r="73" spans="1:8">
      <c r="A73" s="219">
        <v>46250</v>
      </c>
      <c r="B73" s="238" t="s">
        <v>792</v>
      </c>
      <c r="D73" s="213" t="s">
        <v>151</v>
      </c>
      <c r="E73" s="213"/>
      <c r="F73" s="222">
        <v>1250000</v>
      </c>
      <c r="G73" s="222"/>
    </row>
    <row r="74" spans="1:8">
      <c r="A74" s="219">
        <v>46250</v>
      </c>
      <c r="B74" s="238" t="s">
        <v>792</v>
      </c>
      <c r="D74" s="213" t="s">
        <v>1260</v>
      </c>
      <c r="E74" s="213"/>
      <c r="F74" s="222">
        <v>326000</v>
      </c>
      <c r="G74" s="222"/>
    </row>
    <row r="75" spans="1:8">
      <c r="A75" s="219">
        <v>46250</v>
      </c>
      <c r="B75" s="238" t="s">
        <v>792</v>
      </c>
      <c r="D75" s="213" t="s">
        <v>1261</v>
      </c>
      <c r="E75" s="213"/>
      <c r="F75" s="222">
        <v>40000</v>
      </c>
      <c r="G75" s="222"/>
    </row>
    <row r="76" spans="1:8">
      <c r="A76" s="219">
        <v>46250</v>
      </c>
      <c r="B76" s="238" t="s">
        <v>792</v>
      </c>
      <c r="D76" s="213" t="s">
        <v>1262</v>
      </c>
      <c r="E76" s="213"/>
      <c r="F76" s="222">
        <v>21000</v>
      </c>
      <c r="G76" s="222"/>
    </row>
    <row r="77" spans="1:8">
      <c r="A77" s="219">
        <v>46250</v>
      </c>
      <c r="B77" s="238" t="s">
        <v>792</v>
      </c>
      <c r="D77" s="213" t="s">
        <v>1263</v>
      </c>
      <c r="E77" s="213"/>
      <c r="F77" s="222">
        <v>15000</v>
      </c>
      <c r="G77" s="222"/>
    </row>
    <row r="78" spans="1:8">
      <c r="A78" s="219">
        <v>46250</v>
      </c>
      <c r="B78" s="238" t="s">
        <v>792</v>
      </c>
      <c r="D78" s="213" t="s">
        <v>1264</v>
      </c>
      <c r="E78" s="213"/>
      <c r="F78" s="222">
        <v>33000</v>
      </c>
      <c r="G78" s="222"/>
    </row>
    <row r="79" spans="1:8">
      <c r="A79" s="219">
        <v>46250</v>
      </c>
      <c r="B79" s="238" t="s">
        <v>792</v>
      </c>
      <c r="D79" s="213" t="s">
        <v>1265</v>
      </c>
      <c r="E79" s="213"/>
      <c r="F79" s="222">
        <v>10000</v>
      </c>
      <c r="G79" s="222"/>
    </row>
    <row r="80" spans="1:8">
      <c r="A80" s="219">
        <v>46250</v>
      </c>
      <c r="B80" s="238" t="s">
        <v>792</v>
      </c>
      <c r="D80" s="213" t="s">
        <v>1266</v>
      </c>
      <c r="E80" s="213"/>
      <c r="F80" s="222">
        <v>60000</v>
      </c>
      <c r="G80" s="222"/>
    </row>
    <row r="81" spans="1:9">
      <c r="A81" s="219">
        <v>46251</v>
      </c>
      <c r="B81" s="238" t="s">
        <v>61</v>
      </c>
      <c r="C81" s="225">
        <v>301</v>
      </c>
      <c r="D81" s="213" t="s">
        <v>1267</v>
      </c>
      <c r="E81" s="213"/>
      <c r="F81" s="222">
        <v>135000</v>
      </c>
      <c r="G81" s="222"/>
    </row>
    <row r="82" spans="1:9">
      <c r="A82" s="219">
        <v>46252</v>
      </c>
      <c r="B82" s="238" t="s">
        <v>25</v>
      </c>
      <c r="C82" s="225" t="s">
        <v>21</v>
      </c>
      <c r="D82" s="213" t="s">
        <v>1268</v>
      </c>
      <c r="E82" s="213"/>
      <c r="F82" s="222">
        <v>80000</v>
      </c>
      <c r="G82" s="222"/>
    </row>
    <row r="83" spans="1:9">
      <c r="A83" s="219">
        <v>46252</v>
      </c>
      <c r="B83" s="238" t="s">
        <v>978</v>
      </c>
      <c r="C83" s="225">
        <v>201</v>
      </c>
      <c r="D83" s="213" t="s">
        <v>19</v>
      </c>
      <c r="E83" s="222">
        <v>250000</v>
      </c>
      <c r="F83" s="213"/>
      <c r="G83" s="28" t="s">
        <v>1304</v>
      </c>
      <c r="H83" s="7"/>
    </row>
    <row r="84" spans="1:9">
      <c r="A84" s="219">
        <v>46252</v>
      </c>
      <c r="B84" s="238" t="s">
        <v>978</v>
      </c>
      <c r="C84" s="225">
        <v>201</v>
      </c>
      <c r="D84" s="213" t="s">
        <v>34</v>
      </c>
      <c r="E84" s="222">
        <v>300000</v>
      </c>
      <c r="F84" s="213"/>
      <c r="G84" s="213"/>
    </row>
    <row r="85" spans="1:9">
      <c r="A85" s="219">
        <v>46254</v>
      </c>
      <c r="B85" s="238" t="s">
        <v>212</v>
      </c>
      <c r="D85" s="213" t="s">
        <v>333</v>
      </c>
      <c r="F85" s="217">
        <v>80000</v>
      </c>
    </row>
    <row r="86" spans="1:9">
      <c r="A86" s="219">
        <v>46254</v>
      </c>
      <c r="B86" s="238" t="s">
        <v>136</v>
      </c>
      <c r="C86" s="225">
        <v>504</v>
      </c>
      <c r="D86" s="213" t="s">
        <v>851</v>
      </c>
      <c r="F86" s="217">
        <v>120000</v>
      </c>
      <c r="H86" s="213" t="s">
        <v>1312</v>
      </c>
    </row>
    <row r="87" spans="1:9">
      <c r="A87" s="219">
        <v>46254</v>
      </c>
      <c r="B87" s="238" t="s">
        <v>136</v>
      </c>
      <c r="C87" s="225">
        <v>504</v>
      </c>
      <c r="D87" s="213" t="s">
        <v>492</v>
      </c>
      <c r="F87" s="217">
        <v>40000</v>
      </c>
      <c r="H87" s="213" t="s">
        <v>1299</v>
      </c>
    </row>
    <row r="88" spans="1:9">
      <c r="A88" s="219">
        <v>46254</v>
      </c>
      <c r="B88" s="238" t="s">
        <v>136</v>
      </c>
      <c r="C88" s="225">
        <v>504</v>
      </c>
      <c r="D88" s="213" t="s">
        <v>1269</v>
      </c>
      <c r="F88" s="217">
        <v>20000</v>
      </c>
      <c r="H88" s="213" t="s">
        <v>1299</v>
      </c>
    </row>
    <row r="89" spans="1:9">
      <c r="A89" s="219">
        <v>46254</v>
      </c>
      <c r="B89" s="238" t="s">
        <v>199</v>
      </c>
      <c r="C89" s="225">
        <v>401</v>
      </c>
      <c r="D89" s="213" t="s">
        <v>1005</v>
      </c>
      <c r="F89" s="217">
        <v>45000</v>
      </c>
    </row>
    <row r="90" spans="1:9">
      <c r="A90" s="219">
        <v>46256</v>
      </c>
      <c r="B90" s="238" t="s">
        <v>125</v>
      </c>
      <c r="C90" s="231"/>
      <c r="D90" s="213" t="s">
        <v>34</v>
      </c>
      <c r="E90" s="233">
        <v>200000</v>
      </c>
      <c r="F90" s="233"/>
      <c r="G90" s="233"/>
    </row>
    <row r="91" spans="1:9">
      <c r="A91" s="219">
        <v>46256</v>
      </c>
      <c r="B91" s="238" t="s">
        <v>125</v>
      </c>
      <c r="C91" s="231"/>
      <c r="D91" s="213" t="s">
        <v>338</v>
      </c>
      <c r="E91" s="233"/>
      <c r="F91" s="233">
        <v>80000</v>
      </c>
      <c r="G91" s="233"/>
    </row>
    <row r="92" spans="1:9">
      <c r="A92" s="219">
        <v>46256</v>
      </c>
      <c r="B92" s="238" t="s">
        <v>125</v>
      </c>
      <c r="C92" s="231"/>
      <c r="D92" s="213" t="s">
        <v>1270</v>
      </c>
      <c r="E92" s="233">
        <v>100000</v>
      </c>
      <c r="F92" s="233"/>
      <c r="G92" s="233"/>
    </row>
    <row r="93" spans="1:9">
      <c r="A93" s="219">
        <v>46256</v>
      </c>
      <c r="B93" s="238" t="s">
        <v>282</v>
      </c>
      <c r="C93" s="225">
        <v>301</v>
      </c>
      <c r="D93" s="213" t="s">
        <v>1271</v>
      </c>
      <c r="F93" s="217">
        <v>20000</v>
      </c>
    </row>
    <row r="94" spans="1:9">
      <c r="A94" s="219">
        <v>46256</v>
      </c>
      <c r="B94" s="238" t="s">
        <v>351</v>
      </c>
      <c r="C94" s="225">
        <v>202</v>
      </c>
      <c r="D94" s="213" t="s">
        <v>1272</v>
      </c>
      <c r="E94" s="217">
        <v>200000</v>
      </c>
    </row>
    <row r="95" spans="1:9">
      <c r="A95" s="219">
        <v>46257</v>
      </c>
      <c r="B95" s="301" t="s">
        <v>562</v>
      </c>
      <c r="C95" s="231">
        <v>101</v>
      </c>
      <c r="D95" s="213" t="s">
        <v>1273</v>
      </c>
      <c r="E95" s="233"/>
      <c r="F95" s="233">
        <v>230000</v>
      </c>
      <c r="G95" s="233"/>
      <c r="I95" s="213" t="s">
        <v>1339</v>
      </c>
    </row>
    <row r="96" spans="1:9">
      <c r="A96" s="219">
        <v>46257</v>
      </c>
      <c r="B96" s="238" t="s">
        <v>300</v>
      </c>
      <c r="C96" s="225">
        <v>402</v>
      </c>
      <c r="D96" s="213" t="s">
        <v>1274</v>
      </c>
      <c r="F96" s="217">
        <v>140000</v>
      </c>
    </row>
    <row r="97" spans="1:9">
      <c r="A97" s="219">
        <v>46257</v>
      </c>
      <c r="B97" s="238" t="s">
        <v>300</v>
      </c>
      <c r="C97" s="225">
        <v>402</v>
      </c>
      <c r="D97" s="213" t="s">
        <v>1275</v>
      </c>
      <c r="F97" s="217">
        <v>100000</v>
      </c>
    </row>
    <row r="98" spans="1:9">
      <c r="A98" s="219">
        <v>46258</v>
      </c>
      <c r="B98" s="238" t="s">
        <v>12</v>
      </c>
      <c r="C98" s="225">
        <v>304</v>
      </c>
      <c r="D98" s="213" t="s">
        <v>1276</v>
      </c>
      <c r="E98" s="217">
        <v>100000</v>
      </c>
      <c r="H98" s="213" t="s">
        <v>364</v>
      </c>
    </row>
    <row r="99" spans="1:9">
      <c r="A99" s="219">
        <v>46260</v>
      </c>
      <c r="B99" s="238" t="s">
        <v>139</v>
      </c>
      <c r="D99" s="213" t="s">
        <v>1277</v>
      </c>
      <c r="F99" s="217">
        <v>100000</v>
      </c>
    </row>
    <row r="100" spans="1:9">
      <c r="A100" s="219">
        <v>46261</v>
      </c>
      <c r="B100" s="238" t="s">
        <v>967</v>
      </c>
      <c r="C100" s="225">
        <v>501</v>
      </c>
      <c r="D100" s="213" t="s">
        <v>1278</v>
      </c>
      <c r="F100" s="217">
        <v>190000</v>
      </c>
    </row>
    <row r="101" spans="1:9">
      <c r="A101" s="219">
        <v>46261</v>
      </c>
      <c r="B101" s="238" t="s">
        <v>967</v>
      </c>
      <c r="C101" s="225">
        <v>501</v>
      </c>
      <c r="D101" s="213" t="s">
        <v>322</v>
      </c>
      <c r="F101" s="217">
        <v>160000</v>
      </c>
    </row>
    <row r="102" spans="1:9">
      <c r="A102" s="219">
        <v>46261</v>
      </c>
      <c r="B102" s="238" t="s">
        <v>967</v>
      </c>
      <c r="C102" s="225">
        <v>501</v>
      </c>
      <c r="D102" s="213" t="s">
        <v>1279</v>
      </c>
      <c r="F102" s="217">
        <v>60000</v>
      </c>
    </row>
    <row r="103" spans="1:9">
      <c r="A103" s="219">
        <v>46261</v>
      </c>
      <c r="B103" s="238" t="s">
        <v>967</v>
      </c>
      <c r="C103" s="225">
        <v>501</v>
      </c>
      <c r="D103" s="213" t="s">
        <v>1280</v>
      </c>
      <c r="F103" s="217">
        <v>55000</v>
      </c>
    </row>
    <row r="104" spans="1:9">
      <c r="A104" s="219">
        <v>46261</v>
      </c>
      <c r="B104" s="238" t="s">
        <v>967</v>
      </c>
      <c r="C104" s="225">
        <v>101</v>
      </c>
      <c r="D104" s="213" t="s">
        <v>1281</v>
      </c>
      <c r="E104" s="217">
        <v>200000</v>
      </c>
    </row>
    <row r="105" spans="1:9">
      <c r="A105" s="219">
        <v>46261</v>
      </c>
      <c r="B105" s="238" t="s">
        <v>967</v>
      </c>
      <c r="C105" s="225">
        <v>101</v>
      </c>
      <c r="D105" s="213" t="s">
        <v>322</v>
      </c>
      <c r="F105" s="217">
        <v>160000</v>
      </c>
    </row>
    <row r="106" spans="1:9">
      <c r="A106" s="219">
        <v>46261</v>
      </c>
      <c r="B106" s="238" t="s">
        <v>967</v>
      </c>
      <c r="C106" s="225">
        <v>101</v>
      </c>
      <c r="D106" s="213" t="s">
        <v>1282</v>
      </c>
      <c r="F106" s="217">
        <v>80000</v>
      </c>
    </row>
    <row r="107" spans="1:9">
      <c r="A107" s="219">
        <v>46261</v>
      </c>
      <c r="B107" s="238" t="s">
        <v>967</v>
      </c>
      <c r="C107" s="225">
        <v>101</v>
      </c>
      <c r="D107" s="213" t="s">
        <v>1283</v>
      </c>
      <c r="F107" s="217">
        <v>35000</v>
      </c>
    </row>
    <row r="108" spans="1:9">
      <c r="A108" s="219">
        <v>46261</v>
      </c>
      <c r="B108" s="238" t="s">
        <v>967</v>
      </c>
      <c r="C108" s="225">
        <v>101</v>
      </c>
      <c r="D108" s="213" t="s">
        <v>1284</v>
      </c>
      <c r="F108" s="217">
        <v>20000</v>
      </c>
    </row>
    <row r="109" spans="1:9">
      <c r="A109" s="219">
        <v>46261</v>
      </c>
      <c r="B109" s="238" t="s">
        <v>967</v>
      </c>
      <c r="C109" s="225">
        <v>101</v>
      </c>
      <c r="D109" s="213" t="s">
        <v>323</v>
      </c>
      <c r="F109" s="217">
        <v>100000</v>
      </c>
    </row>
    <row r="110" spans="1:9">
      <c r="A110" s="219">
        <v>46261</v>
      </c>
      <c r="B110" s="238" t="s">
        <v>967</v>
      </c>
      <c r="C110" s="225">
        <v>101</v>
      </c>
      <c r="D110" s="213" t="s">
        <v>1285</v>
      </c>
      <c r="F110" s="217">
        <v>90000</v>
      </c>
    </row>
    <row r="111" spans="1:9">
      <c r="A111" s="219">
        <v>46261</v>
      </c>
      <c r="B111" s="238" t="s">
        <v>967</v>
      </c>
      <c r="C111" s="225">
        <v>101</v>
      </c>
      <c r="D111" s="213" t="s">
        <v>1280</v>
      </c>
      <c r="F111" s="217">
        <v>10000</v>
      </c>
    </row>
    <row r="112" spans="1:9">
      <c r="A112" s="219">
        <v>46262</v>
      </c>
      <c r="B112" s="301" t="s">
        <v>149</v>
      </c>
      <c r="C112" s="225">
        <v>403</v>
      </c>
      <c r="D112" s="213" t="s">
        <v>34</v>
      </c>
      <c r="E112" s="217">
        <v>300000</v>
      </c>
      <c r="I112" s="7" t="s">
        <v>1342</v>
      </c>
    </row>
    <row r="113" spans="1:9">
      <c r="A113" s="219">
        <v>46262</v>
      </c>
      <c r="B113" s="301" t="s">
        <v>149</v>
      </c>
      <c r="C113" s="225">
        <v>403</v>
      </c>
      <c r="D113" s="213" t="s">
        <v>1286</v>
      </c>
      <c r="F113" s="217">
        <v>50000</v>
      </c>
      <c r="H113" s="213" t="s">
        <v>364</v>
      </c>
      <c r="I113" s="7" t="s">
        <v>1342</v>
      </c>
    </row>
    <row r="114" spans="1:9">
      <c r="A114" s="219">
        <v>46262</v>
      </c>
      <c r="B114" s="301" t="s">
        <v>149</v>
      </c>
      <c r="C114" s="225">
        <v>403</v>
      </c>
      <c r="D114" s="213" t="s">
        <v>810</v>
      </c>
      <c r="F114" s="217">
        <v>80000</v>
      </c>
      <c r="I114" s="7" t="s">
        <v>1342</v>
      </c>
    </row>
    <row r="115" spans="1:9">
      <c r="A115" s="219">
        <v>46262</v>
      </c>
      <c r="B115" s="301" t="s">
        <v>149</v>
      </c>
      <c r="C115" s="225">
        <v>403</v>
      </c>
      <c r="D115" s="213" t="s">
        <v>338</v>
      </c>
      <c r="E115" s="217">
        <v>100000</v>
      </c>
      <c r="F115" s="217">
        <v>80000</v>
      </c>
      <c r="I115" s="7" t="s">
        <v>1342</v>
      </c>
    </row>
    <row r="116" spans="1:9">
      <c r="A116" s="219">
        <v>46262</v>
      </c>
      <c r="B116" s="301" t="s">
        <v>149</v>
      </c>
      <c r="C116" s="225">
        <v>403</v>
      </c>
      <c r="D116" s="213" t="s">
        <v>1287</v>
      </c>
      <c r="I116" s="7" t="s">
        <v>1342</v>
      </c>
    </row>
    <row r="117" spans="1:9">
      <c r="A117" s="219">
        <v>46262</v>
      </c>
      <c r="B117" s="238" t="s">
        <v>175</v>
      </c>
      <c r="C117" s="225">
        <v>701</v>
      </c>
      <c r="D117" s="213" t="s">
        <v>781</v>
      </c>
      <c r="F117" s="217">
        <v>25000</v>
      </c>
    </row>
    <row r="118" spans="1:9">
      <c r="A118" s="230">
        <v>46262</v>
      </c>
      <c r="B118" s="301" t="s">
        <v>149</v>
      </c>
      <c r="C118" s="229">
        <v>405</v>
      </c>
      <c r="D118" s="227" t="s">
        <v>19</v>
      </c>
      <c r="E118" s="232">
        <v>200000</v>
      </c>
      <c r="F118" s="232"/>
      <c r="G118" s="217" t="s">
        <v>1302</v>
      </c>
      <c r="I118" s="7" t="s">
        <v>1342</v>
      </c>
    </row>
    <row r="119" spans="1:9">
      <c r="A119" s="230">
        <v>46262</v>
      </c>
      <c r="B119" s="301" t="s">
        <v>149</v>
      </c>
      <c r="C119" s="229">
        <v>405</v>
      </c>
      <c r="D119" s="227" t="s">
        <v>34</v>
      </c>
      <c r="E119" s="232">
        <v>150000</v>
      </c>
      <c r="F119" s="232"/>
      <c r="G119" s="232"/>
      <c r="I119" s="7" t="s">
        <v>1342</v>
      </c>
    </row>
    <row r="120" spans="1:9">
      <c r="A120" s="230">
        <v>46262</v>
      </c>
      <c r="B120" s="301" t="s">
        <v>149</v>
      </c>
      <c r="C120" s="229">
        <v>405</v>
      </c>
      <c r="D120" s="227" t="s">
        <v>338</v>
      </c>
      <c r="E120" s="232"/>
      <c r="F120" s="232">
        <v>80000</v>
      </c>
      <c r="G120" s="232"/>
      <c r="I120" s="7" t="s">
        <v>1342</v>
      </c>
    </row>
    <row r="121" spans="1:9">
      <c r="A121" s="219">
        <v>46263</v>
      </c>
      <c r="B121" s="238" t="s">
        <v>1048</v>
      </c>
      <c r="D121" s="213" t="s">
        <v>1288</v>
      </c>
      <c r="F121" s="217">
        <v>1750000</v>
      </c>
    </row>
    <row r="122" spans="1:9">
      <c r="A122" s="219">
        <v>46264</v>
      </c>
      <c r="B122" s="238" t="s">
        <v>300</v>
      </c>
      <c r="C122" s="225">
        <v>202</v>
      </c>
      <c r="D122" s="213" t="s">
        <v>1289</v>
      </c>
      <c r="E122" s="217">
        <v>200000</v>
      </c>
      <c r="H122" s="213" t="s">
        <v>1290</v>
      </c>
    </row>
    <row r="123" spans="1:9">
      <c r="A123" s="219">
        <v>46264</v>
      </c>
      <c r="B123" s="238" t="s">
        <v>300</v>
      </c>
      <c r="C123" s="225">
        <v>202</v>
      </c>
      <c r="D123" s="213" t="s">
        <v>489</v>
      </c>
      <c r="F123" s="217">
        <v>80000</v>
      </c>
    </row>
    <row r="124" spans="1:9">
      <c r="A124" s="219">
        <v>46264</v>
      </c>
      <c r="B124" s="238" t="s">
        <v>300</v>
      </c>
      <c r="C124" s="225">
        <v>202</v>
      </c>
      <c r="D124" s="213" t="s">
        <v>1291</v>
      </c>
      <c r="F124" s="217">
        <v>50000</v>
      </c>
    </row>
    <row r="125" spans="1:9">
      <c r="A125" s="219">
        <v>46264</v>
      </c>
      <c r="B125" s="238" t="s">
        <v>300</v>
      </c>
      <c r="C125" s="225">
        <v>301</v>
      </c>
      <c r="D125" s="213" t="s">
        <v>1292</v>
      </c>
      <c r="E125" s="217">
        <v>200000</v>
      </c>
      <c r="H125" s="213" t="s">
        <v>364</v>
      </c>
    </row>
    <row r="126" spans="1:9">
      <c r="A126" s="219">
        <v>46264</v>
      </c>
      <c r="B126" s="238" t="s">
        <v>202</v>
      </c>
      <c r="C126" s="225">
        <v>401</v>
      </c>
      <c r="D126" s="213" t="s">
        <v>1293</v>
      </c>
      <c r="E126" s="217">
        <v>400000</v>
      </c>
      <c r="H126" s="213" t="s">
        <v>364</v>
      </c>
    </row>
    <row r="127" spans="1:9">
      <c r="A127" s="219">
        <v>46264</v>
      </c>
      <c r="B127" s="301" t="s">
        <v>149</v>
      </c>
      <c r="D127" s="213" t="s">
        <v>1294</v>
      </c>
      <c r="F127" s="217">
        <v>60000</v>
      </c>
      <c r="I127" s="7" t="s">
        <v>1342</v>
      </c>
    </row>
    <row r="128" spans="1:9">
      <c r="A128" s="219">
        <v>46264</v>
      </c>
      <c r="B128" s="301" t="s">
        <v>562</v>
      </c>
      <c r="C128" s="231">
        <v>501</v>
      </c>
      <c r="D128" s="213" t="s">
        <v>34</v>
      </c>
      <c r="E128" s="233">
        <v>200000</v>
      </c>
      <c r="F128" s="233"/>
      <c r="G128" s="233"/>
      <c r="I128" s="213" t="s">
        <v>1339</v>
      </c>
    </row>
    <row r="129" spans="1:9">
      <c r="A129" s="219">
        <v>46264</v>
      </c>
      <c r="B129" s="301" t="s">
        <v>562</v>
      </c>
      <c r="C129" s="231">
        <v>501</v>
      </c>
      <c r="D129" s="213" t="s">
        <v>1295</v>
      </c>
      <c r="E129" s="233"/>
      <c r="F129" s="233">
        <v>80000</v>
      </c>
      <c r="G129" s="233"/>
      <c r="I129" s="213" t="s">
        <v>1339</v>
      </c>
    </row>
    <row r="130" spans="1:9">
      <c r="A130" s="219">
        <v>46264</v>
      </c>
      <c r="B130" s="301" t="s">
        <v>562</v>
      </c>
      <c r="C130" s="231">
        <v>501</v>
      </c>
      <c r="D130" s="213" t="s">
        <v>1296</v>
      </c>
      <c r="E130" s="233">
        <v>300000</v>
      </c>
      <c r="F130" s="233"/>
      <c r="G130" s="233"/>
      <c r="I130" s="213" t="s">
        <v>1339</v>
      </c>
    </row>
    <row r="131" spans="1:9">
      <c r="A131" s="219">
        <v>46265</v>
      </c>
      <c r="B131" s="301" t="s">
        <v>562</v>
      </c>
      <c r="C131" s="225">
        <v>103</v>
      </c>
      <c r="D131" s="213" t="s">
        <v>19</v>
      </c>
      <c r="E131" s="217">
        <v>250000</v>
      </c>
      <c r="G131" s="217" t="s">
        <v>1302</v>
      </c>
      <c r="I131" s="213" t="s">
        <v>1339</v>
      </c>
    </row>
    <row r="132" spans="1:9">
      <c r="A132" s="219">
        <v>46265</v>
      </c>
      <c r="B132" s="301" t="s">
        <v>562</v>
      </c>
      <c r="C132" s="225">
        <v>103</v>
      </c>
      <c r="D132" s="213" t="s">
        <v>34</v>
      </c>
      <c r="E132" s="217">
        <v>150000</v>
      </c>
      <c r="I132" s="213" t="s">
        <v>1339</v>
      </c>
    </row>
    <row r="133" spans="1:9">
      <c r="A133" s="219">
        <v>46265</v>
      </c>
      <c r="B133" s="301" t="s">
        <v>562</v>
      </c>
      <c r="C133" s="225">
        <v>104</v>
      </c>
      <c r="D133" s="213" t="s">
        <v>19</v>
      </c>
      <c r="E133" s="217">
        <v>250000</v>
      </c>
      <c r="G133" s="217" t="s">
        <v>1302</v>
      </c>
      <c r="I133" s="213" t="s">
        <v>1339</v>
      </c>
    </row>
    <row r="134" spans="1:9">
      <c r="A134" s="219">
        <v>46265</v>
      </c>
      <c r="B134" s="301" t="s">
        <v>562</v>
      </c>
      <c r="C134" s="225">
        <v>104</v>
      </c>
      <c r="D134" s="213" t="s">
        <v>1293</v>
      </c>
      <c r="E134" s="217">
        <v>300000</v>
      </c>
      <c r="I134" s="7" t="s">
        <v>1339</v>
      </c>
    </row>
    <row r="135" spans="1:9">
      <c r="A135" s="219">
        <v>46265</v>
      </c>
      <c r="B135" s="301" t="s">
        <v>149</v>
      </c>
      <c r="C135" s="225">
        <v>408</v>
      </c>
      <c r="D135" s="213" t="s">
        <v>19</v>
      </c>
      <c r="E135" s="217">
        <v>200000</v>
      </c>
      <c r="G135" s="217" t="s">
        <v>1302</v>
      </c>
      <c r="I135" s="7" t="s">
        <v>1342</v>
      </c>
    </row>
    <row r="136" spans="1:9">
      <c r="A136" s="219">
        <v>46265</v>
      </c>
      <c r="B136" s="301" t="s">
        <v>149</v>
      </c>
      <c r="C136" s="225">
        <v>408</v>
      </c>
      <c r="D136" s="213" t="s">
        <v>126</v>
      </c>
      <c r="E136" s="217">
        <v>700000</v>
      </c>
      <c r="I136" s="7" t="s">
        <v>1342</v>
      </c>
    </row>
    <row r="137" spans="1:9">
      <c r="A137" s="219">
        <v>46265</v>
      </c>
      <c r="B137" s="238" t="s">
        <v>300</v>
      </c>
      <c r="C137" s="225">
        <v>602</v>
      </c>
      <c r="D137" s="213" t="s">
        <v>1297</v>
      </c>
      <c r="E137" s="217">
        <v>200000</v>
      </c>
      <c r="H137" s="213" t="s">
        <v>364</v>
      </c>
    </row>
    <row r="138" spans="1:9">
      <c r="A138" s="219">
        <v>46265</v>
      </c>
      <c r="B138" s="238" t="s">
        <v>125</v>
      </c>
      <c r="C138" s="225">
        <v>401</v>
      </c>
      <c r="D138" s="213" t="s">
        <v>1007</v>
      </c>
      <c r="F138" s="217">
        <v>230000</v>
      </c>
      <c r="H138" s="213" t="s">
        <v>1299</v>
      </c>
    </row>
  </sheetData>
  <autoFilter ref="A2:I138" xr:uid="{3B46A922-9DEF-4EF0-AD63-11262B7932D6}"/>
  <mergeCells count="3">
    <mergeCell ref="A1:H1"/>
    <mergeCell ref="H55:H58"/>
    <mergeCell ref="H69:H7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1478-4835-441A-B705-B0FE213A8165}">
  <sheetPr codeName="Sheet29"/>
  <dimension ref="A1:L47"/>
  <sheetViews>
    <sheetView workbookViewId="0">
      <selection activeCell="A12" sqref="A12:D27"/>
    </sheetView>
  </sheetViews>
  <sheetFormatPr defaultColWidth="8.81640625" defaultRowHeight="14.5"/>
  <cols>
    <col min="1" max="1" width="45.1796875" style="29" customWidth="1"/>
    <col min="2" max="2" width="17.1796875" style="29" customWidth="1"/>
    <col min="3" max="3" width="15.90625" style="29" customWidth="1"/>
    <col min="4" max="4" width="13.1796875" style="29" customWidth="1"/>
    <col min="5" max="8" width="8.81640625" style="29"/>
    <col min="9" max="9" width="38" style="29" customWidth="1"/>
    <col min="10" max="10" width="20.90625" style="29" customWidth="1"/>
    <col min="11" max="12" width="15.453125" style="29" customWidth="1"/>
    <col min="13" max="16384" width="8.81640625" style="29"/>
  </cols>
  <sheetData>
    <row r="1" spans="1:12">
      <c r="D1" s="30"/>
      <c r="I1" s="31"/>
      <c r="J1" s="32"/>
      <c r="K1" s="33"/>
      <c r="L1" s="33"/>
    </row>
    <row r="2" spans="1:12">
      <c r="D2" s="30"/>
      <c r="L2" s="33"/>
    </row>
    <row r="3" spans="1:12">
      <c r="D3" s="30"/>
      <c r="I3" s="31"/>
      <c r="J3" s="34"/>
      <c r="K3" s="33"/>
      <c r="L3" s="33"/>
    </row>
    <row r="4" spans="1:12">
      <c r="D4" s="30"/>
      <c r="L4" s="33"/>
    </row>
    <row r="5" spans="1:12">
      <c r="A5" s="35"/>
      <c r="B5" s="36"/>
      <c r="C5" s="30"/>
      <c r="D5" s="30"/>
      <c r="L5" s="33"/>
    </row>
    <row r="6" spans="1:12">
      <c r="A6" s="35"/>
      <c r="B6" s="36"/>
      <c r="C6" s="30"/>
      <c r="D6" s="30"/>
      <c r="I6" s="31"/>
      <c r="J6" s="34"/>
      <c r="K6" s="33"/>
      <c r="L6" s="33"/>
    </row>
    <row r="7" spans="1:12">
      <c r="A7" s="35"/>
      <c r="B7" s="36"/>
      <c r="C7" s="30"/>
      <c r="D7" s="30"/>
      <c r="I7" s="31"/>
      <c r="J7" s="34"/>
      <c r="K7" s="33"/>
      <c r="L7" s="33"/>
    </row>
    <row r="8" spans="1:12">
      <c r="A8" s="35"/>
      <c r="B8" s="36"/>
      <c r="C8" s="30"/>
      <c r="D8" s="30"/>
      <c r="I8" s="31"/>
      <c r="J8" s="34"/>
      <c r="K8" s="33"/>
      <c r="L8" s="33"/>
    </row>
    <row r="9" spans="1:12">
      <c r="A9" s="35"/>
      <c r="B9" s="36"/>
      <c r="C9" s="30"/>
      <c r="D9" s="30"/>
      <c r="I9" s="31"/>
      <c r="J9" s="34"/>
      <c r="K9" s="33"/>
      <c r="L9" s="33"/>
    </row>
    <row r="10" spans="1:12">
      <c r="I10" s="31"/>
      <c r="J10" s="34"/>
      <c r="K10" s="33"/>
      <c r="L10" s="33"/>
    </row>
    <row r="12" spans="1:12">
      <c r="A12" s="265" t="s">
        <v>1340</v>
      </c>
      <c r="B12" s="249"/>
      <c r="C12" s="249"/>
      <c r="D12" s="249"/>
    </row>
    <row r="13" spans="1:12">
      <c r="A13" s="37" t="s">
        <v>214</v>
      </c>
      <c r="B13" s="37" t="s">
        <v>215</v>
      </c>
      <c r="C13" s="37" t="s">
        <v>216</v>
      </c>
      <c r="D13" s="38" t="s">
        <v>217</v>
      </c>
      <c r="I13" s="266" t="s">
        <v>1324</v>
      </c>
      <c r="J13" s="251"/>
      <c r="K13" s="251"/>
      <c r="L13" s="252"/>
    </row>
    <row r="14" spans="1:12" ht="22.5" customHeight="1">
      <c r="A14" s="39" t="s">
        <v>218</v>
      </c>
      <c r="B14" s="40">
        <v>7500000</v>
      </c>
      <c r="C14" s="31">
        <v>1</v>
      </c>
      <c r="D14" s="40">
        <f t="shared" ref="D14:D20" si="0">B14*C14</f>
        <v>7500000</v>
      </c>
      <c r="I14" s="37" t="s">
        <v>214</v>
      </c>
      <c r="J14" s="37" t="s">
        <v>215</v>
      </c>
      <c r="K14" s="37" t="s">
        <v>216</v>
      </c>
      <c r="L14" s="38" t="s">
        <v>217</v>
      </c>
    </row>
    <row r="15" spans="1:12" ht="20" customHeight="1">
      <c r="A15" s="41" t="s">
        <v>219</v>
      </c>
      <c r="B15" s="40">
        <v>3000000</v>
      </c>
      <c r="C15" s="31">
        <v>1</v>
      </c>
      <c r="D15" s="40">
        <f t="shared" si="0"/>
        <v>3000000</v>
      </c>
      <c r="I15" s="39" t="s">
        <v>218</v>
      </c>
      <c r="J15" s="40">
        <v>7500000</v>
      </c>
      <c r="K15" s="31">
        <v>1</v>
      </c>
      <c r="L15" s="40">
        <f>J15*K15</f>
        <v>7500000</v>
      </c>
    </row>
    <row r="16" spans="1:12" ht="28.5" customHeight="1">
      <c r="A16" s="41" t="s">
        <v>220</v>
      </c>
      <c r="B16" s="40">
        <f>'A Điệp 8.26'!E3</f>
        <v>13300000</v>
      </c>
      <c r="C16" s="31">
        <v>1</v>
      </c>
      <c r="D16" s="40">
        <f t="shared" si="0"/>
        <v>13300000</v>
      </c>
      <c r="I16" s="39" t="s">
        <v>219</v>
      </c>
      <c r="J16" s="40">
        <v>3000000</v>
      </c>
      <c r="K16" s="31">
        <v>1</v>
      </c>
      <c r="L16" s="40">
        <f t="shared" ref="L16:L22" si="1">J16*K16</f>
        <v>3000000</v>
      </c>
    </row>
    <row r="17" spans="1:12">
      <c r="A17" s="41" t="s">
        <v>221</v>
      </c>
      <c r="B17" s="40">
        <v>700000</v>
      </c>
      <c r="C17" s="31">
        <v>1</v>
      </c>
      <c r="D17" s="40">
        <f t="shared" si="0"/>
        <v>700000</v>
      </c>
      <c r="I17" s="41" t="s">
        <v>220</v>
      </c>
      <c r="J17" s="40">
        <f>'A Ước 8.26'!E3</f>
        <v>10050000</v>
      </c>
      <c r="K17" s="31">
        <v>1</v>
      </c>
      <c r="L17" s="40">
        <f t="shared" si="1"/>
        <v>10050000</v>
      </c>
    </row>
    <row r="18" spans="1:12">
      <c r="A18" s="41"/>
      <c r="B18" s="40"/>
      <c r="C18" s="31"/>
      <c r="D18" s="40">
        <f t="shared" si="0"/>
        <v>0</v>
      </c>
      <c r="I18" s="41" t="s">
        <v>221</v>
      </c>
      <c r="J18" s="40">
        <v>700000</v>
      </c>
      <c r="K18" s="31">
        <v>1</v>
      </c>
      <c r="L18" s="40">
        <f t="shared" si="1"/>
        <v>700000</v>
      </c>
    </row>
    <row r="19" spans="1:12">
      <c r="A19" s="39"/>
      <c r="B19" s="40"/>
      <c r="C19" s="31"/>
      <c r="D19" s="40">
        <f t="shared" si="0"/>
        <v>0</v>
      </c>
      <c r="I19" s="41"/>
      <c r="J19" s="40"/>
      <c r="K19" s="31"/>
      <c r="L19" s="40"/>
    </row>
    <row r="20" spans="1:12">
      <c r="A20" s="39"/>
      <c r="B20" s="40"/>
      <c r="C20" s="31"/>
      <c r="D20" s="40">
        <f t="shared" si="0"/>
        <v>0</v>
      </c>
      <c r="I20" s="39"/>
      <c r="J20" s="40"/>
      <c r="K20" s="31"/>
      <c r="L20" s="40"/>
    </row>
    <row r="21" spans="1:12">
      <c r="A21" s="42" t="s">
        <v>217</v>
      </c>
      <c r="B21" s="43"/>
      <c r="C21" s="43"/>
      <c r="D21" s="44">
        <f>SUM(D14:D20)</f>
        <v>24500000</v>
      </c>
      <c r="I21" s="39"/>
      <c r="J21" s="40"/>
      <c r="K21" s="31"/>
      <c r="L21" s="40"/>
    </row>
    <row r="22" spans="1:12">
      <c r="I22" s="39"/>
      <c r="J22" s="40"/>
      <c r="K22" s="31"/>
      <c r="L22" s="40">
        <f t="shared" si="1"/>
        <v>0</v>
      </c>
    </row>
    <row r="23" spans="1:12">
      <c r="I23" s="42" t="s">
        <v>217</v>
      </c>
      <c r="J23" s="43"/>
      <c r="K23" s="43"/>
      <c r="L23" s="44">
        <f>SUM(L15:L22)</f>
        <v>21250000</v>
      </c>
    </row>
    <row r="24" spans="1:12">
      <c r="A24" s="264" t="s">
        <v>1341</v>
      </c>
      <c r="B24" s="248"/>
    </row>
    <row r="25" spans="1:12">
      <c r="A25" s="34" t="s">
        <v>222</v>
      </c>
      <c r="B25" s="33">
        <v>10000000</v>
      </c>
    </row>
    <row r="26" spans="1:12">
      <c r="A26" s="34" t="s">
        <v>223</v>
      </c>
      <c r="B26" s="33">
        <f>'A Điệp 8.26'!F3</f>
        <v>8231000</v>
      </c>
      <c r="I26" s="267" t="s">
        <v>1325</v>
      </c>
      <c r="J26" s="254"/>
    </row>
    <row r="27" spans="1:12">
      <c r="A27" s="45" t="s">
        <v>224</v>
      </c>
      <c r="B27" s="46">
        <f>B26-B25</f>
        <v>-1769000</v>
      </c>
      <c r="D27" s="47"/>
      <c r="I27" s="34" t="s">
        <v>222</v>
      </c>
      <c r="J27" s="33">
        <f>5000000+3000000+2000000</f>
        <v>10000000</v>
      </c>
    </row>
    <row r="28" spans="1:12">
      <c r="I28" s="34" t="s">
        <v>223</v>
      </c>
      <c r="J28" s="33">
        <f>'A Ước 8.26'!F3</f>
        <v>13750000</v>
      </c>
    </row>
    <row r="29" spans="1:12">
      <c r="I29" s="45" t="s">
        <v>224</v>
      </c>
      <c r="J29" s="46">
        <f>J28-J27</f>
        <v>3750000</v>
      </c>
    </row>
    <row r="34" spans="1:4">
      <c r="A34" s="265" t="s">
        <v>910</v>
      </c>
      <c r="B34" s="249"/>
      <c r="C34" s="249"/>
      <c r="D34" s="249"/>
    </row>
    <row r="35" spans="1:4">
      <c r="A35" s="37" t="s">
        <v>214</v>
      </c>
      <c r="B35" s="37" t="s">
        <v>215</v>
      </c>
      <c r="C35" s="37" t="s">
        <v>216</v>
      </c>
      <c r="D35" s="38" t="s">
        <v>217</v>
      </c>
    </row>
    <row r="36" spans="1:4">
      <c r="A36" s="39" t="s">
        <v>218</v>
      </c>
      <c r="B36" s="40">
        <v>4000000</v>
      </c>
      <c r="C36" s="31">
        <v>1</v>
      </c>
      <c r="D36" s="40">
        <f>B36*C36</f>
        <v>4000000</v>
      </c>
    </row>
    <row r="37" spans="1:4">
      <c r="A37" s="41" t="s">
        <v>220</v>
      </c>
      <c r="B37" s="40">
        <v>1300000</v>
      </c>
      <c r="C37" s="31">
        <v>1</v>
      </c>
      <c r="D37" s="40">
        <f>B37*C37</f>
        <v>1300000</v>
      </c>
    </row>
    <row r="38" spans="1:4">
      <c r="A38" s="41"/>
      <c r="B38" s="40"/>
      <c r="C38" s="31"/>
      <c r="D38" s="40"/>
    </row>
    <row r="39" spans="1:4">
      <c r="A39" s="39"/>
      <c r="B39" s="40"/>
      <c r="C39" s="31"/>
      <c r="D39" s="40">
        <f>B39*C39</f>
        <v>0</v>
      </c>
    </row>
    <row r="40" spans="1:4">
      <c r="A40" s="39"/>
      <c r="B40" s="40"/>
      <c r="C40" s="31"/>
      <c r="D40" s="40"/>
    </row>
    <row r="41" spans="1:4">
      <c r="A41" s="42" t="s">
        <v>217</v>
      </c>
      <c r="B41" s="43"/>
      <c r="C41" s="43"/>
      <c r="D41" s="44">
        <f>SUM(D36:D40)</f>
        <v>5300000</v>
      </c>
    </row>
    <row r="44" spans="1:4">
      <c r="A44" s="264" t="s">
        <v>911</v>
      </c>
      <c r="B44" s="248"/>
    </row>
    <row r="45" spans="1:4">
      <c r="A45" s="34" t="s">
        <v>222</v>
      </c>
      <c r="B45" s="33">
        <v>3000000</v>
      </c>
    </row>
    <row r="46" spans="1:4">
      <c r="A46" s="34" t="s">
        <v>223</v>
      </c>
      <c r="B46" s="33">
        <v>2782000</v>
      </c>
    </row>
    <row r="47" spans="1:4">
      <c r="A47" s="45" t="s">
        <v>224</v>
      </c>
      <c r="B47" s="46">
        <f>B46-B45</f>
        <v>-218000</v>
      </c>
    </row>
  </sheetData>
  <mergeCells count="6">
    <mergeCell ref="A44:B44"/>
    <mergeCell ref="A12:D12"/>
    <mergeCell ref="I13:L13"/>
    <mergeCell ref="A24:B24"/>
    <mergeCell ref="I26:J26"/>
    <mergeCell ref="A34:D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LƯƠNG THÁNG 2</vt:lpstr>
      <vt:lpstr>A Điệp T1.26</vt:lpstr>
      <vt:lpstr>A Ước T1.26</vt:lpstr>
      <vt:lpstr>Trường</vt:lpstr>
      <vt:lpstr>a Điệp T2.26</vt:lpstr>
      <vt:lpstr>A Ước T2.26</vt:lpstr>
      <vt:lpstr>trường.2.26</vt:lpstr>
      <vt:lpstr>trường tháng 3</vt:lpstr>
      <vt:lpstr>A Điệp T3.26</vt:lpstr>
      <vt:lpstr>A Ước T3.26</vt:lpstr>
      <vt:lpstr>LƯƠNG THÁNG 3 </vt:lpstr>
      <vt:lpstr>Trường T4.26</vt:lpstr>
      <vt:lpstr>A Điệp T4.26</vt:lpstr>
      <vt:lpstr>A Ước T4.26</vt:lpstr>
      <vt:lpstr>A Điệp 5.26</vt:lpstr>
      <vt:lpstr>A Ước 5.26 </vt:lpstr>
      <vt:lpstr>trường t5.2026</vt:lpstr>
      <vt:lpstr>Sheet4</vt:lpstr>
      <vt:lpstr>A Điệp 6.26</vt:lpstr>
      <vt:lpstr>A Ước 6.26</vt:lpstr>
      <vt:lpstr>Trường 6.2026</vt:lpstr>
      <vt:lpstr>A Điệp 7.26</vt:lpstr>
      <vt:lpstr>A Ước 7.26</vt:lpstr>
      <vt:lpstr>LƯƠNG THÁNG 5</vt:lpstr>
      <vt:lpstr>LƯƠNG THÁNG 6</vt:lpstr>
      <vt:lpstr>LƯƠNG THÁNG 7</vt:lpstr>
      <vt:lpstr>A Điệp 8.26</vt:lpstr>
      <vt:lpstr>A Ước 8.26</vt:lpstr>
      <vt:lpstr>LƯƠNG THÁNG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2026-02-07T02:29:22Z</dcterms:created>
  <dcterms:modified xsi:type="dcterms:W3CDTF">2026-09-13T11:06:13Z</dcterms:modified>
</cp:coreProperties>
</file>
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13_ncr:1_{5C70DA3B-BCEE-4994-9A7A-4DA95F893771}" xr6:coauthVersionLast="47" xr6:coauthVersionMax="47" xr10:uidLastSave="{00000000-0000-0000-0000-000000000000}"/>
  <bookViews>
    <workbookView xWindow="-110" yWindow="-110" windowWidth="19420" windowHeight="11500" firstSheet="34" activeTab="35" xr2:uid="{CCA6DE3F-D27B-4CFC-A8BB-45EB3BFF9DA5}"/>
  </bookViews>
  <sheets>
    <sheet name="BÁO CÁO TỔNG THÁNG 1  " sheetId="1" state="hidden" r:id="rId1"/>
    <sheet name="BC DT THÁNG 1 NHÀ T " sheetId="2" state="hidden" r:id="rId2"/>
    <sheet name="BCDT THÁNG 2 NHÀ S " sheetId="4" state="hidden" r:id="rId3"/>
    <sheet name="BC DT THÁNG 2 NHÀ G" sheetId="6" state="hidden" r:id="rId4"/>
    <sheet name="BC DT THÁNG 2 NHÀ T " sheetId="5" state="hidden" r:id="rId5"/>
    <sheet name="BÁO CÁO TỔNG THÁNG 2" sheetId="7" state="hidden" r:id="rId6"/>
    <sheet name="BÁO CÁO KINH DOANH THÁNG 2 " sheetId="8" state="hidden" r:id="rId7"/>
    <sheet name="BCDT THÁNG 3 NHÀ S " sheetId="9" state="hidden" r:id="rId8"/>
    <sheet name="BC DT THÁNG 3 NHÀ T " sheetId="10" state="hidden" r:id="rId9"/>
    <sheet name="BC DT THÁNG 4 NHÀ T  " sheetId="16" state="hidden" r:id="rId10"/>
    <sheet name="BC DT THÁNG 3 NHÀ G " sheetId="11" state="hidden" r:id="rId11"/>
    <sheet name="BÁO CÁO TỔNG THÁNG 3" sheetId="12" state="hidden" r:id="rId12"/>
    <sheet name="BÁO CÁO  KINH DOANH THÁNG 3 " sheetId="14" state="hidden" r:id="rId13"/>
    <sheet name="BCDT THÁNG 4 NHÀ S " sheetId="15" state="hidden" r:id="rId14"/>
    <sheet name="BC DT THÁNG 4 NHÀ G " sheetId="17" state="hidden" r:id="rId15"/>
    <sheet name="BÁO CÁO TỔNG THÁNG 4 " sheetId="18" state="hidden" r:id="rId16"/>
    <sheet name="BÁO CÁO KINH DOANH THÁNG 4" sheetId="19" state="hidden" r:id="rId17"/>
    <sheet name="BCDT THÁNG 5 NHÀ S  " sheetId="20" state="hidden" r:id="rId18"/>
    <sheet name="BC DT THÁNG 5 NHÀ G  " sheetId="21" state="hidden" r:id="rId19"/>
    <sheet name="BC DT THÁNG 5 NHÀ T  " sheetId="22" state="hidden" r:id="rId20"/>
    <sheet name="BÁO CÁO TỔNG THÁNG 5" sheetId="23" state="hidden" r:id="rId21"/>
    <sheet name="BÁO CÁO KINH DOANH THÁNG 5" sheetId="24" state="hidden" r:id="rId22"/>
    <sheet name="BCDT THÁNG 6 NHÀ S   " sheetId="25" state="hidden" r:id="rId23"/>
    <sheet name="BC DT THÁNG 6 NHÀ T  " sheetId="26" state="hidden" r:id="rId24"/>
    <sheet name="BC DT THÁNG 6 NHÀ G  " sheetId="27" state="hidden" r:id="rId25"/>
    <sheet name="BÁO CÁO TỔNG THÁNG 6" sheetId="28" state="hidden" r:id="rId26"/>
    <sheet name="BÁO CÁO KINH DOANH THÁNG 6 " sheetId="32" state="hidden" r:id="rId27"/>
    <sheet name="BC DT THÁNG 7 NHÀ G  " sheetId="33" state="hidden" r:id="rId28"/>
    <sheet name="BC DT THÁNG 8 NHÀ G  " sheetId="38" r:id="rId29"/>
    <sheet name="BCDT THÁNG 7 NHÀ S  " sheetId="34" state="hidden" r:id="rId30"/>
    <sheet name="BCDT THÁNG 8 NHÀ S  " sheetId="39" r:id="rId31"/>
    <sheet name="BC DT THÁNG 7 NHÀ T  " sheetId="35" state="hidden" r:id="rId32"/>
    <sheet name="BC DT THÁNG 8 NHÀ T  " sheetId="40" r:id="rId33"/>
    <sheet name="BÁO CÁO TỔNG THÁNG 7" sheetId="36" state="hidden" r:id="rId34"/>
    <sheet name="BÁO CÁO TỔNG THÁNG 8" sheetId="41" r:id="rId35"/>
    <sheet name="BÁO CÁO KINH DOANH THÁNG 8" sheetId="42" r:id="rId36"/>
    <sheet name="BÁO CÁO KINH DOANH THÁNG 7 " sheetId="37" state="hidden" r:id="rId37"/>
    <sheet name="BCDT THÁNG 1 NHÀ S " sheetId="3" state="hidden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_FilterDatabase" localSheetId="2" hidden="1">'BCDT THÁNG 2 NHÀ S '!$A$21:$BD$59</definedName>
    <definedName name="_xlnm._FilterDatabase" localSheetId="7" hidden="1">'BCDT THÁNG 3 NHÀ S '!$A$21:$BC$59</definedName>
    <definedName name="_xlnm._FilterDatabase" localSheetId="13" hidden="1">'BCDT THÁNG 4 NHÀ S '!$A$21:$BC$59</definedName>
    <definedName name="_xlnm._FilterDatabase" localSheetId="17" hidden="1">'BCDT THÁNG 5 NHÀ S  '!$A$21:$BC$59</definedName>
    <definedName name="_xlnm._FilterDatabase" localSheetId="22" hidden="1">'BCDT THÁNG 6 NHÀ S   '!$A$21:$BC$59</definedName>
    <definedName name="_xlnm._FilterDatabase" localSheetId="29" hidden="1">'BCDT THÁNG 7 NHÀ S  '!$A$21:$BC$59</definedName>
    <definedName name="_xlnm._FilterDatabase" localSheetId="30" hidden="1">'BCDT THÁNG 8 NHÀ S  '!$A$21:$BC$61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42" l="1"/>
  <c r="E60" i="42"/>
  <c r="F60" i="42"/>
  <c r="C60" i="42"/>
  <c r="D60" i="41"/>
  <c r="E60" i="41"/>
  <c r="F60" i="41"/>
  <c r="C60" i="41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W58" i="40"/>
  <c r="X58" i="40"/>
  <c r="Y58" i="40"/>
  <c r="Z58" i="40"/>
  <c r="AA58" i="40"/>
  <c r="AB58" i="40"/>
  <c r="AC58" i="40"/>
  <c r="AD58" i="40"/>
  <c r="AE58" i="40"/>
  <c r="AF58" i="40"/>
  <c r="AG58" i="40"/>
  <c r="AH58" i="40"/>
  <c r="AI58" i="40"/>
  <c r="AJ58" i="40"/>
  <c r="AK58" i="40"/>
  <c r="AL58" i="40"/>
  <c r="D59" i="40"/>
  <c r="E59" i="40"/>
  <c r="F59" i="40"/>
  <c r="G59" i="40"/>
  <c r="H59" i="40"/>
  <c r="I59" i="40"/>
  <c r="J59" i="40"/>
  <c r="K59" i="40"/>
  <c r="L59" i="40"/>
  <c r="M59" i="40"/>
  <c r="N59" i="40"/>
  <c r="O59" i="40"/>
  <c r="P59" i="40"/>
  <c r="Q59" i="40"/>
  <c r="R59" i="40"/>
  <c r="S59" i="40"/>
  <c r="T59" i="40"/>
  <c r="U59" i="40"/>
  <c r="V59" i="40"/>
  <c r="W59" i="40"/>
  <c r="X59" i="40"/>
  <c r="Y59" i="40"/>
  <c r="Z59" i="40"/>
  <c r="AA59" i="40"/>
  <c r="AB59" i="40"/>
  <c r="AC59" i="40"/>
  <c r="AD59" i="40"/>
  <c r="AE59" i="40"/>
  <c r="AF59" i="40"/>
  <c r="AG59" i="40"/>
  <c r="AH59" i="40"/>
  <c r="AI59" i="40"/>
  <c r="AJ59" i="40"/>
  <c r="AK59" i="40"/>
  <c r="AL59" i="40"/>
  <c r="C58" i="40"/>
  <c r="C59" i="40"/>
  <c r="D58" i="39"/>
  <c r="E58" i="39"/>
  <c r="F58" i="39"/>
  <c r="G58" i="39"/>
  <c r="H58" i="39"/>
  <c r="I58" i="39"/>
  <c r="J58" i="39"/>
  <c r="K58" i="39"/>
  <c r="L58" i="39"/>
  <c r="M58" i="39"/>
  <c r="N58" i="39"/>
  <c r="O58" i="39"/>
  <c r="P58" i="39"/>
  <c r="Q58" i="39"/>
  <c r="R58" i="39"/>
  <c r="S58" i="39"/>
  <c r="T58" i="39"/>
  <c r="U58" i="39"/>
  <c r="V58" i="39"/>
  <c r="W58" i="39"/>
  <c r="X58" i="39"/>
  <c r="Y58" i="39"/>
  <c r="Z58" i="39"/>
  <c r="AA58" i="39"/>
  <c r="AB58" i="39"/>
  <c r="AC58" i="39"/>
  <c r="AD58" i="39"/>
  <c r="AE58" i="39"/>
  <c r="AF58" i="39"/>
  <c r="AG58" i="39"/>
  <c r="AH58" i="39"/>
  <c r="AI58" i="39"/>
  <c r="AJ58" i="39"/>
  <c r="AK58" i="39"/>
  <c r="AL58" i="39"/>
  <c r="AM58" i="39"/>
  <c r="AN58" i="39"/>
  <c r="AO58" i="39"/>
  <c r="AP58" i="39"/>
  <c r="AQ58" i="39"/>
  <c r="AR58" i="39"/>
  <c r="AS58" i="39"/>
  <c r="AT58" i="39"/>
  <c r="AU58" i="39"/>
  <c r="AV58" i="39"/>
  <c r="AW58" i="39"/>
  <c r="AX58" i="39"/>
  <c r="AY58" i="39"/>
  <c r="AZ58" i="39"/>
  <c r="BA58" i="39"/>
  <c r="BB58" i="39"/>
  <c r="BC58" i="39"/>
  <c r="D59" i="39"/>
  <c r="E59" i="39"/>
  <c r="F59" i="39"/>
  <c r="G59" i="39"/>
  <c r="H59" i="39"/>
  <c r="I59" i="39"/>
  <c r="J59" i="39"/>
  <c r="K59" i="39"/>
  <c r="L59" i="39"/>
  <c r="M59" i="39"/>
  <c r="N59" i="39"/>
  <c r="O59" i="39"/>
  <c r="P59" i="39"/>
  <c r="Q59" i="39"/>
  <c r="R59" i="39"/>
  <c r="S59" i="39"/>
  <c r="T59" i="39"/>
  <c r="U59" i="39"/>
  <c r="V59" i="39"/>
  <c r="W59" i="39"/>
  <c r="X59" i="39"/>
  <c r="Y59" i="39"/>
  <c r="Z59" i="39"/>
  <c r="AA59" i="39"/>
  <c r="AB59" i="39"/>
  <c r="AC59" i="39"/>
  <c r="AD59" i="39"/>
  <c r="AE59" i="39"/>
  <c r="AF59" i="39"/>
  <c r="AG59" i="39"/>
  <c r="AH59" i="39"/>
  <c r="AI59" i="39"/>
  <c r="AJ59" i="39"/>
  <c r="AK59" i="39"/>
  <c r="AL59" i="39"/>
  <c r="AM59" i="39"/>
  <c r="AN59" i="39"/>
  <c r="AO59" i="39"/>
  <c r="AP59" i="39"/>
  <c r="AQ59" i="39"/>
  <c r="AR59" i="39"/>
  <c r="AS59" i="39"/>
  <c r="AT59" i="39"/>
  <c r="AU59" i="39"/>
  <c r="AV59" i="39"/>
  <c r="AW59" i="39"/>
  <c r="AX59" i="39"/>
  <c r="AY59" i="39"/>
  <c r="AZ59" i="39"/>
  <c r="BA59" i="39"/>
  <c r="BB59" i="39"/>
  <c r="BC59" i="39"/>
  <c r="C59" i="39"/>
  <c r="C58" i="39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AL59" i="38"/>
  <c r="AM59" i="38"/>
  <c r="AN59" i="38"/>
  <c r="AO59" i="38"/>
  <c r="AP59" i="38"/>
  <c r="AQ59" i="38"/>
  <c r="C59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C58" i="38"/>
  <c r="E56" i="42"/>
  <c r="F3" i="42"/>
  <c r="E3" i="42"/>
  <c r="D3" i="42"/>
  <c r="D54" i="42" s="1"/>
  <c r="D58" i="42"/>
  <c r="F43" i="42"/>
  <c r="F57" i="42" s="1"/>
  <c r="E43" i="42"/>
  <c r="E57" i="42" s="1"/>
  <c r="D43" i="42"/>
  <c r="D57" i="42" s="1"/>
  <c r="C42" i="42"/>
  <c r="C41" i="42"/>
  <c r="Z40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F28" i="42"/>
  <c r="F47" i="42" s="1"/>
  <c r="E28" i="42"/>
  <c r="E47" i="42" s="1"/>
  <c r="D28" i="42"/>
  <c r="C27" i="42"/>
  <c r="C26" i="42"/>
  <c r="C25" i="42"/>
  <c r="C24" i="42"/>
  <c r="C23" i="42"/>
  <c r="C22" i="42"/>
  <c r="C21" i="42"/>
  <c r="C20" i="42"/>
  <c r="F18" i="42"/>
  <c r="F59" i="42" s="1"/>
  <c r="E18" i="42"/>
  <c r="E59" i="42" s="1"/>
  <c r="D18" i="42"/>
  <c r="D59" i="42" s="1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37" i="41"/>
  <c r="C36" i="41"/>
  <c r="C35" i="41"/>
  <c r="C31" i="41"/>
  <c r="C30" i="41"/>
  <c r="C29" i="41"/>
  <c r="C23" i="41"/>
  <c r="C22" i="41"/>
  <c r="C21" i="41"/>
  <c r="F28" i="41"/>
  <c r="F47" i="41" s="1"/>
  <c r="F18" i="41"/>
  <c r="F59" i="41" s="1"/>
  <c r="C10" i="41"/>
  <c r="C5" i="41"/>
  <c r="C4" i="41"/>
  <c r="C3" i="41"/>
  <c r="C38" i="41"/>
  <c r="E28" i="41"/>
  <c r="E47" i="41" s="1"/>
  <c r="E53" i="41" s="1"/>
  <c r="C6" i="41"/>
  <c r="C40" i="41"/>
  <c r="C39" i="41"/>
  <c r="C32" i="41"/>
  <c r="D28" i="41"/>
  <c r="D47" i="41" s="1"/>
  <c r="D53" i="41" s="1"/>
  <c r="D18" i="41"/>
  <c r="D59" i="41" s="1"/>
  <c r="C42" i="41"/>
  <c r="C41" i="41"/>
  <c r="Z40" i="41"/>
  <c r="C34" i="41"/>
  <c r="C33" i="41"/>
  <c r="C27" i="41"/>
  <c r="C26" i="41"/>
  <c r="C25" i="41"/>
  <c r="C24" i="41"/>
  <c r="E18" i="41"/>
  <c r="E59" i="41" s="1"/>
  <c r="C17" i="41"/>
  <c r="C16" i="41"/>
  <c r="C15" i="41"/>
  <c r="C14" i="41"/>
  <c r="C13" i="41"/>
  <c r="C12" i="41"/>
  <c r="C9" i="41"/>
  <c r="C8" i="41"/>
  <c r="C7" i="41"/>
  <c r="E53" i="42" l="1"/>
  <c r="D45" i="42"/>
  <c r="D49" i="42" s="1"/>
  <c r="D56" i="42"/>
  <c r="E58" i="42"/>
  <c r="D44" i="42"/>
  <c r="D55" i="42" s="1"/>
  <c r="F58" i="42"/>
  <c r="C43" i="42"/>
  <c r="C54" i="42" s="1"/>
  <c r="E44" i="42"/>
  <c r="E46" i="42" s="1"/>
  <c r="E54" i="42"/>
  <c r="C18" i="42"/>
  <c r="C59" i="42" s="1"/>
  <c r="F54" i="42"/>
  <c r="F53" i="42"/>
  <c r="F56" i="42"/>
  <c r="F44" i="42"/>
  <c r="F55" i="42" s="1"/>
  <c r="C28" i="42"/>
  <c r="C47" i="42" s="1"/>
  <c r="C53" i="42" s="1"/>
  <c r="C57" i="42"/>
  <c r="C58" i="42"/>
  <c r="D47" i="42"/>
  <c r="D53" i="42" s="1"/>
  <c r="E45" i="42"/>
  <c r="E49" i="42" s="1"/>
  <c r="F45" i="42"/>
  <c r="F49" i="42" s="1"/>
  <c r="F43" i="41"/>
  <c r="F57" i="41" s="1"/>
  <c r="F53" i="41"/>
  <c r="C11" i="41"/>
  <c r="C18" i="41" s="1"/>
  <c r="C59" i="41" s="1"/>
  <c r="E43" i="41"/>
  <c r="E57" i="41" s="1"/>
  <c r="D43" i="41"/>
  <c r="D57" i="41" s="1"/>
  <c r="C20" i="41"/>
  <c r="C28" i="41" s="1"/>
  <c r="C45" i="41" s="1"/>
  <c r="C49" i="41" s="1"/>
  <c r="E56" i="41"/>
  <c r="C43" i="41"/>
  <c r="C54" i="41" s="1"/>
  <c r="F58" i="41"/>
  <c r="F44" i="41"/>
  <c r="F55" i="41" s="1"/>
  <c r="D45" i="41"/>
  <c r="D49" i="41" s="1"/>
  <c r="E45" i="41"/>
  <c r="E49" i="41" s="1"/>
  <c r="F45" i="41"/>
  <c r="F49" i="41" s="1"/>
  <c r="E55" i="42" l="1"/>
  <c r="D52" i="42"/>
  <c r="C56" i="42"/>
  <c r="F56" i="41"/>
  <c r="C44" i="42"/>
  <c r="C52" i="42" s="1"/>
  <c r="F46" i="42"/>
  <c r="F50" i="42" s="1"/>
  <c r="C45" i="42"/>
  <c r="C49" i="42" s="1"/>
  <c r="D46" i="42"/>
  <c r="D51" i="42" s="1"/>
  <c r="E58" i="41"/>
  <c r="E44" i="41"/>
  <c r="E55" i="41" s="1"/>
  <c r="F52" i="42"/>
  <c r="C46" i="42"/>
  <c r="C55" i="42"/>
  <c r="F61" i="42"/>
  <c r="F51" i="42"/>
  <c r="E48" i="42"/>
  <c r="E61" i="42"/>
  <c r="E51" i="42"/>
  <c r="E50" i="42"/>
  <c r="E52" i="42"/>
  <c r="F54" i="41"/>
  <c r="F46" i="41"/>
  <c r="F50" i="41" s="1"/>
  <c r="E54" i="41"/>
  <c r="D44" i="41"/>
  <c r="D52" i="41" s="1"/>
  <c r="C56" i="41"/>
  <c r="D58" i="41"/>
  <c r="D54" i="41"/>
  <c r="D56" i="41"/>
  <c r="C58" i="41"/>
  <c r="C47" i="41"/>
  <c r="C53" i="41" s="1"/>
  <c r="C57" i="41"/>
  <c r="C44" i="41"/>
  <c r="C46" i="41" s="1"/>
  <c r="F52" i="41"/>
  <c r="D61" i="42" l="1"/>
  <c r="D48" i="42"/>
  <c r="F48" i="42"/>
  <c r="E52" i="41"/>
  <c r="E46" i="41"/>
  <c r="E61" i="41" s="1"/>
  <c r="D50" i="42"/>
  <c r="F51" i="41"/>
  <c r="F61" i="41"/>
  <c r="C61" i="42"/>
  <c r="C50" i="42"/>
  <c r="C48" i="42"/>
  <c r="C51" i="42"/>
  <c r="F48" i="41"/>
  <c r="C55" i="41"/>
  <c r="E50" i="41"/>
  <c r="E48" i="41"/>
  <c r="E51" i="41"/>
  <c r="D55" i="41"/>
  <c r="D46" i="41"/>
  <c r="C52" i="41"/>
  <c r="C48" i="41"/>
  <c r="C61" i="41"/>
  <c r="C51" i="41"/>
  <c r="C50" i="41"/>
  <c r="D48" i="41" l="1"/>
  <c r="D50" i="41"/>
  <c r="D61" i="41"/>
  <c r="D51" i="41"/>
  <c r="Q19" i="40" l="1"/>
  <c r="C40" i="40" l="1"/>
  <c r="C38" i="40"/>
  <c r="D44" i="40"/>
  <c r="D61" i="40" s="1"/>
  <c r="C17" i="40"/>
  <c r="C14" i="40"/>
  <c r="C4" i="40"/>
  <c r="AL44" i="40"/>
  <c r="AL60" i="40" s="1"/>
  <c r="AK44" i="40"/>
  <c r="AK61" i="40" s="1"/>
  <c r="AJ44" i="40"/>
  <c r="AJ61" i="40" s="1"/>
  <c r="AI44" i="40"/>
  <c r="AH44" i="40"/>
  <c r="AH60" i="40" s="1"/>
  <c r="AG44" i="40"/>
  <c r="AG60" i="40" s="1"/>
  <c r="AF44" i="40"/>
  <c r="AF60" i="40" s="1"/>
  <c r="AE44" i="40"/>
  <c r="AE60" i="40" s="1"/>
  <c r="AD44" i="40"/>
  <c r="AD60" i="40" s="1"/>
  <c r="AC44" i="40"/>
  <c r="AC61" i="40" s="1"/>
  <c r="AB44" i="40"/>
  <c r="AB61" i="40" s="1"/>
  <c r="AA44" i="40"/>
  <c r="Z44" i="40"/>
  <c r="Z60" i="40" s="1"/>
  <c r="Y44" i="40"/>
  <c r="Y60" i="40" s="1"/>
  <c r="X44" i="40"/>
  <c r="X60" i="40" s="1"/>
  <c r="W44" i="40"/>
  <c r="W60" i="40" s="1"/>
  <c r="V44" i="40"/>
  <c r="V60" i="40" s="1"/>
  <c r="U44" i="40"/>
  <c r="U61" i="40" s="1"/>
  <c r="T44" i="40"/>
  <c r="T61" i="40" s="1"/>
  <c r="S44" i="40"/>
  <c r="R44" i="40"/>
  <c r="R60" i="40" s="1"/>
  <c r="Q44" i="40"/>
  <c r="Q60" i="40" s="1"/>
  <c r="P44" i="40"/>
  <c r="P60" i="40" s="1"/>
  <c r="O44" i="40"/>
  <c r="O60" i="40" s="1"/>
  <c r="N44" i="40"/>
  <c r="N60" i="40" s="1"/>
  <c r="M44" i="40"/>
  <c r="M61" i="40" s="1"/>
  <c r="L44" i="40"/>
  <c r="L61" i="40" s="1"/>
  <c r="K44" i="40"/>
  <c r="J44" i="40"/>
  <c r="J60" i="40" s="1"/>
  <c r="I44" i="40"/>
  <c r="I60" i="40" s="1"/>
  <c r="H44" i="40"/>
  <c r="H60" i="40" s="1"/>
  <c r="G44" i="40"/>
  <c r="G60" i="40" s="1"/>
  <c r="F44" i="40"/>
  <c r="F60" i="40" s="1"/>
  <c r="E44" i="40"/>
  <c r="E61" i="40" s="1"/>
  <c r="C43" i="40"/>
  <c r="C42" i="40"/>
  <c r="C41" i="40"/>
  <c r="C39" i="40"/>
  <c r="C37" i="40"/>
  <c r="C36" i="40"/>
  <c r="C35" i="40"/>
  <c r="C34" i="40"/>
  <c r="C33" i="40"/>
  <c r="C32" i="40"/>
  <c r="C31" i="40"/>
  <c r="C30" i="40"/>
  <c r="AL29" i="40"/>
  <c r="AL48" i="40" s="1"/>
  <c r="AL54" i="40" s="1"/>
  <c r="AK29" i="40"/>
  <c r="AJ29" i="40"/>
  <c r="AI29" i="40"/>
  <c r="AI48" i="40" s="1"/>
  <c r="AI54" i="40" s="1"/>
  <c r="AH29" i="40"/>
  <c r="AH46" i="40" s="1"/>
  <c r="AH50" i="40" s="1"/>
  <c r="AG29" i="40"/>
  <c r="AG48" i="40" s="1"/>
  <c r="AG54" i="40" s="1"/>
  <c r="AF29" i="40"/>
  <c r="AE29" i="40"/>
  <c r="AE48" i="40" s="1"/>
  <c r="AE54" i="40" s="1"/>
  <c r="AD29" i="40"/>
  <c r="AD46" i="40" s="1"/>
  <c r="AD50" i="40" s="1"/>
  <c r="AC29" i="40"/>
  <c r="AB29" i="40"/>
  <c r="AA29" i="40"/>
  <c r="AA46" i="40" s="1"/>
  <c r="AA50" i="40" s="1"/>
  <c r="Z29" i="40"/>
  <c r="Z48" i="40" s="1"/>
  <c r="Z54" i="40" s="1"/>
  <c r="Y29" i="40"/>
  <c r="Y48" i="40" s="1"/>
  <c r="Y54" i="40" s="1"/>
  <c r="X29" i="40"/>
  <c r="W29" i="40"/>
  <c r="W48" i="40" s="1"/>
  <c r="W54" i="40" s="1"/>
  <c r="V29" i="40"/>
  <c r="V48" i="40" s="1"/>
  <c r="V54" i="40" s="1"/>
  <c r="U29" i="40"/>
  <c r="T29" i="40"/>
  <c r="S29" i="40"/>
  <c r="S48" i="40" s="1"/>
  <c r="S54" i="40" s="1"/>
  <c r="R29" i="40"/>
  <c r="R48" i="40" s="1"/>
  <c r="R54" i="40" s="1"/>
  <c r="Q29" i="40"/>
  <c r="Q48" i="40" s="1"/>
  <c r="Q54" i="40" s="1"/>
  <c r="P29" i="40"/>
  <c r="O29" i="40"/>
  <c r="O48" i="40" s="1"/>
  <c r="O54" i="40" s="1"/>
  <c r="N29" i="40"/>
  <c r="N48" i="40" s="1"/>
  <c r="N54" i="40" s="1"/>
  <c r="M29" i="40"/>
  <c r="L29" i="40"/>
  <c r="K29" i="40"/>
  <c r="K46" i="40" s="1"/>
  <c r="K50" i="40" s="1"/>
  <c r="J29" i="40"/>
  <c r="J46" i="40" s="1"/>
  <c r="J50" i="40" s="1"/>
  <c r="I29" i="40"/>
  <c r="I48" i="40" s="1"/>
  <c r="I54" i="40" s="1"/>
  <c r="H29" i="40"/>
  <c r="G29" i="40"/>
  <c r="G48" i="40" s="1"/>
  <c r="G54" i="40" s="1"/>
  <c r="F29" i="40"/>
  <c r="F46" i="40" s="1"/>
  <c r="F50" i="40" s="1"/>
  <c r="E29" i="40"/>
  <c r="D29" i="40"/>
  <c r="C28" i="40"/>
  <c r="C27" i="40"/>
  <c r="C26" i="40"/>
  <c r="C25" i="40"/>
  <c r="C24" i="40"/>
  <c r="C23" i="40"/>
  <c r="C22" i="40"/>
  <c r="C21" i="40"/>
  <c r="AP19" i="40"/>
  <c r="AO19" i="40"/>
  <c r="AN19" i="40"/>
  <c r="AM19" i="40"/>
  <c r="AL19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8" i="40"/>
  <c r="C16" i="40"/>
  <c r="C15" i="40"/>
  <c r="C13" i="40"/>
  <c r="C12" i="40"/>
  <c r="C11" i="40"/>
  <c r="C10" i="40"/>
  <c r="C9" i="40"/>
  <c r="C8" i="40"/>
  <c r="C7" i="40"/>
  <c r="C6" i="40"/>
  <c r="C5" i="40"/>
  <c r="AL57" i="40" l="1"/>
  <c r="AL55" i="40"/>
  <c r="AL45" i="40"/>
  <c r="AL56" i="40" s="1"/>
  <c r="AL46" i="40"/>
  <c r="AL50" i="40" s="1"/>
  <c r="AI46" i="40"/>
  <c r="AI50" i="40" s="1"/>
  <c r="AE55" i="40"/>
  <c r="AE57" i="40"/>
  <c r="AD57" i="40"/>
  <c r="AD61" i="40"/>
  <c r="AD48" i="40"/>
  <c r="AD54" i="40" s="1"/>
  <c r="AA48" i="40"/>
  <c r="AA54" i="40" s="1"/>
  <c r="Z46" i="40"/>
  <c r="Z50" i="40" s="1"/>
  <c r="W61" i="40"/>
  <c r="W55" i="40"/>
  <c r="R46" i="40"/>
  <c r="R50" i="40" s="1"/>
  <c r="N46" i="40"/>
  <c r="N50" i="40" s="1"/>
  <c r="J48" i="40"/>
  <c r="J54" i="40" s="1"/>
  <c r="F57" i="40"/>
  <c r="F48" i="40"/>
  <c r="F54" i="40" s="1"/>
  <c r="F55" i="40"/>
  <c r="G57" i="40"/>
  <c r="C44" i="40"/>
  <c r="C60" i="40" s="1"/>
  <c r="G45" i="40"/>
  <c r="G56" i="40" s="1"/>
  <c r="O57" i="40"/>
  <c r="G61" i="40"/>
  <c r="G55" i="40"/>
  <c r="V45" i="40"/>
  <c r="V56" i="40" s="1"/>
  <c r="O55" i="40"/>
  <c r="V57" i="40"/>
  <c r="N61" i="40"/>
  <c r="R45" i="40"/>
  <c r="R53" i="40" s="1"/>
  <c r="W45" i="40"/>
  <c r="W56" i="40" s="1"/>
  <c r="V55" i="40"/>
  <c r="W57" i="40"/>
  <c r="O61" i="40"/>
  <c r="AE61" i="40"/>
  <c r="AD45" i="40"/>
  <c r="AD53" i="40" s="1"/>
  <c r="S46" i="40"/>
  <c r="S50" i="40" s="1"/>
  <c r="K48" i="40"/>
  <c r="K54" i="40" s="1"/>
  <c r="AH48" i="40"/>
  <c r="AH54" i="40" s="1"/>
  <c r="AE45" i="40"/>
  <c r="V46" i="40"/>
  <c r="V50" i="40" s="1"/>
  <c r="J45" i="40"/>
  <c r="O45" i="40"/>
  <c r="O56" i="40" s="1"/>
  <c r="Z45" i="40"/>
  <c r="Z47" i="40" s="1"/>
  <c r="Z56" i="40"/>
  <c r="M45" i="40"/>
  <c r="M48" i="40"/>
  <c r="M54" i="40" s="1"/>
  <c r="M46" i="40"/>
  <c r="M50" i="40" s="1"/>
  <c r="S61" i="40"/>
  <c r="S57" i="40"/>
  <c r="S55" i="40"/>
  <c r="S60" i="40"/>
  <c r="H48" i="40"/>
  <c r="H54" i="40" s="1"/>
  <c r="H46" i="40"/>
  <c r="H50" i="40" s="1"/>
  <c r="H45" i="40"/>
  <c r="P48" i="40"/>
  <c r="P54" i="40" s="1"/>
  <c r="P46" i="40"/>
  <c r="P50" i="40" s="1"/>
  <c r="P45" i="40"/>
  <c r="X48" i="40"/>
  <c r="X54" i="40" s="1"/>
  <c r="X46" i="40"/>
  <c r="X50" i="40" s="1"/>
  <c r="X45" i="40"/>
  <c r="AF48" i="40"/>
  <c r="AF54" i="40" s="1"/>
  <c r="AF46" i="40"/>
  <c r="AF50" i="40" s="1"/>
  <c r="AF45" i="40"/>
  <c r="AD55" i="40"/>
  <c r="V61" i="40"/>
  <c r="U45" i="40"/>
  <c r="U48" i="40"/>
  <c r="U54" i="40" s="1"/>
  <c r="U46" i="40"/>
  <c r="U50" i="40" s="1"/>
  <c r="AK45" i="40"/>
  <c r="AK48" i="40"/>
  <c r="AK54" i="40" s="1"/>
  <c r="AK46" i="40"/>
  <c r="AK50" i="40" s="1"/>
  <c r="K61" i="40"/>
  <c r="K57" i="40"/>
  <c r="K55" i="40"/>
  <c r="K60" i="40"/>
  <c r="AI61" i="40"/>
  <c r="AI57" i="40"/>
  <c r="AI55" i="40"/>
  <c r="AI60" i="40"/>
  <c r="C19" i="40"/>
  <c r="F45" i="40"/>
  <c r="N57" i="40"/>
  <c r="E45" i="40"/>
  <c r="E48" i="40"/>
  <c r="E54" i="40" s="1"/>
  <c r="E46" i="40"/>
  <c r="E50" i="40" s="1"/>
  <c r="AC45" i="40"/>
  <c r="AC48" i="40"/>
  <c r="AC54" i="40" s="1"/>
  <c r="AC46" i="40"/>
  <c r="AC50" i="40" s="1"/>
  <c r="AA61" i="40"/>
  <c r="AA57" i="40"/>
  <c r="AA55" i="40"/>
  <c r="AA60" i="40"/>
  <c r="K45" i="40"/>
  <c r="S45" i="40"/>
  <c r="AA45" i="40"/>
  <c r="AI45" i="40"/>
  <c r="C29" i="40"/>
  <c r="C46" i="40" s="1"/>
  <c r="C50" i="40" s="1"/>
  <c r="D45" i="40"/>
  <c r="D48" i="40"/>
  <c r="D54" i="40" s="1"/>
  <c r="D46" i="40"/>
  <c r="D50" i="40" s="1"/>
  <c r="L45" i="40"/>
  <c r="L48" i="40"/>
  <c r="L54" i="40" s="1"/>
  <c r="L46" i="40"/>
  <c r="L50" i="40" s="1"/>
  <c r="T45" i="40"/>
  <c r="T48" i="40"/>
  <c r="T54" i="40" s="1"/>
  <c r="T46" i="40"/>
  <c r="T50" i="40" s="1"/>
  <c r="AB45" i="40"/>
  <c r="AB48" i="40"/>
  <c r="AB54" i="40" s="1"/>
  <c r="AB46" i="40"/>
  <c r="AB50" i="40" s="1"/>
  <c r="AJ45" i="40"/>
  <c r="AJ48" i="40"/>
  <c r="AJ54" i="40" s="1"/>
  <c r="AJ46" i="40"/>
  <c r="AJ50" i="40" s="1"/>
  <c r="J55" i="40"/>
  <c r="J61" i="40"/>
  <c r="J57" i="40"/>
  <c r="R61" i="40"/>
  <c r="R57" i="40"/>
  <c r="R55" i="40"/>
  <c r="Z57" i="40"/>
  <c r="Z55" i="40"/>
  <c r="Z61" i="40"/>
  <c r="AH61" i="40"/>
  <c r="AH57" i="40"/>
  <c r="AH55" i="40"/>
  <c r="N45" i="40"/>
  <c r="AH45" i="40"/>
  <c r="N55" i="40"/>
  <c r="F61" i="40"/>
  <c r="AL61" i="40"/>
  <c r="H55" i="40"/>
  <c r="P55" i="40"/>
  <c r="X55" i="40"/>
  <c r="AF55" i="40"/>
  <c r="H57" i="40"/>
  <c r="P57" i="40"/>
  <c r="X57" i="40"/>
  <c r="AF57" i="40"/>
  <c r="D60" i="40"/>
  <c r="L60" i="40"/>
  <c r="T60" i="40"/>
  <c r="AB60" i="40"/>
  <c r="AJ60" i="40"/>
  <c r="H61" i="40"/>
  <c r="P61" i="40"/>
  <c r="X61" i="40"/>
  <c r="AF61" i="40"/>
  <c r="I45" i="40"/>
  <c r="Q45" i="40"/>
  <c r="Y45" i="40"/>
  <c r="AG45" i="40"/>
  <c r="I55" i="40"/>
  <c r="Q55" i="40"/>
  <c r="Y55" i="40"/>
  <c r="AG55" i="40"/>
  <c r="I57" i="40"/>
  <c r="Q57" i="40"/>
  <c r="Y57" i="40"/>
  <c r="AG57" i="40"/>
  <c r="E60" i="40"/>
  <c r="M60" i="40"/>
  <c r="U60" i="40"/>
  <c r="AC60" i="40"/>
  <c r="AK60" i="40"/>
  <c r="I61" i="40"/>
  <c r="Q61" i="40"/>
  <c r="Y61" i="40"/>
  <c r="AG61" i="40"/>
  <c r="G46" i="40"/>
  <c r="G50" i="40" s="1"/>
  <c r="O46" i="40"/>
  <c r="O50" i="40" s="1"/>
  <c r="W46" i="40"/>
  <c r="AE46" i="40"/>
  <c r="AE50" i="40" s="1"/>
  <c r="D55" i="40"/>
  <c r="L55" i="40"/>
  <c r="T55" i="40"/>
  <c r="AB55" i="40"/>
  <c r="AJ55" i="40"/>
  <c r="D57" i="40"/>
  <c r="L57" i="40"/>
  <c r="T57" i="40"/>
  <c r="AB57" i="40"/>
  <c r="AJ57" i="40"/>
  <c r="I46" i="40"/>
  <c r="I50" i="40" s="1"/>
  <c r="Q46" i="40"/>
  <c r="Q50" i="40" s="1"/>
  <c r="Y46" i="40"/>
  <c r="Y50" i="40" s="1"/>
  <c r="AG46" i="40"/>
  <c r="AG50" i="40" s="1"/>
  <c r="E55" i="40"/>
  <c r="M55" i="40"/>
  <c r="U55" i="40"/>
  <c r="AC55" i="40"/>
  <c r="AK55" i="40"/>
  <c r="E57" i="40"/>
  <c r="M57" i="40"/>
  <c r="U57" i="40"/>
  <c r="AC57" i="40"/>
  <c r="AK57" i="40"/>
  <c r="AL47" i="40" l="1"/>
  <c r="AL53" i="40"/>
  <c r="Z53" i="40"/>
  <c r="W47" i="40"/>
  <c r="W49" i="40" s="1"/>
  <c r="R47" i="40"/>
  <c r="R51" i="40" s="1"/>
  <c r="R56" i="40"/>
  <c r="O47" i="40"/>
  <c r="O52" i="40" s="1"/>
  <c r="G47" i="40"/>
  <c r="G49" i="40" s="1"/>
  <c r="C55" i="40"/>
  <c r="C61" i="40"/>
  <c r="C57" i="40"/>
  <c r="V53" i="40"/>
  <c r="V47" i="40"/>
  <c r="V52" i="40" s="1"/>
  <c r="J53" i="40"/>
  <c r="J47" i="40"/>
  <c r="AE56" i="40"/>
  <c r="AE47" i="40"/>
  <c r="AE52" i="40" s="1"/>
  <c r="J56" i="40"/>
  <c r="AD56" i="40"/>
  <c r="AD47" i="40"/>
  <c r="AE53" i="40"/>
  <c r="I56" i="40"/>
  <c r="I53" i="40"/>
  <c r="I47" i="40"/>
  <c r="AH53" i="40"/>
  <c r="AH47" i="40"/>
  <c r="AH56" i="40"/>
  <c r="O53" i="40"/>
  <c r="F56" i="40"/>
  <c r="F47" i="40"/>
  <c r="F53" i="40"/>
  <c r="M53" i="40"/>
  <c r="M47" i="40"/>
  <c r="M56" i="40"/>
  <c r="N56" i="40"/>
  <c r="N53" i="40"/>
  <c r="N47" i="40"/>
  <c r="L53" i="40"/>
  <c r="L47" i="40"/>
  <c r="L56" i="40"/>
  <c r="E53" i="40"/>
  <c r="E47" i="40"/>
  <c r="E56" i="40"/>
  <c r="H56" i="40"/>
  <c r="H53" i="40"/>
  <c r="H47" i="40"/>
  <c r="AL52" i="40"/>
  <c r="AL49" i="40"/>
  <c r="AL51" i="40"/>
  <c r="AI53" i="40"/>
  <c r="AI47" i="40"/>
  <c r="AI56" i="40"/>
  <c r="AF56" i="40"/>
  <c r="AF53" i="40"/>
  <c r="AF47" i="40"/>
  <c r="AB53" i="40"/>
  <c r="AB47" i="40"/>
  <c r="AB56" i="40"/>
  <c r="AA53" i="40"/>
  <c r="AA47" i="40"/>
  <c r="AA56" i="40"/>
  <c r="G53" i="40"/>
  <c r="X56" i="40"/>
  <c r="X53" i="40"/>
  <c r="X47" i="40"/>
  <c r="P56" i="40"/>
  <c r="P53" i="40"/>
  <c r="P47" i="40"/>
  <c r="AG56" i="40"/>
  <c r="AG53" i="40"/>
  <c r="AG47" i="40"/>
  <c r="D53" i="40"/>
  <c r="D47" i="40"/>
  <c r="D56" i="40"/>
  <c r="S53" i="40"/>
  <c r="S47" i="40"/>
  <c r="S56" i="40"/>
  <c r="Z51" i="40"/>
  <c r="Z52" i="40"/>
  <c r="Z49" i="40"/>
  <c r="Q56" i="40"/>
  <c r="Q53" i="40"/>
  <c r="Q47" i="40"/>
  <c r="T53" i="40"/>
  <c r="T47" i="40"/>
  <c r="T56" i="40"/>
  <c r="AC53" i="40"/>
  <c r="AC47" i="40"/>
  <c r="AC56" i="40"/>
  <c r="W50" i="40"/>
  <c r="W53" i="40"/>
  <c r="AJ53" i="40"/>
  <c r="AJ47" i="40"/>
  <c r="AJ56" i="40"/>
  <c r="U53" i="40"/>
  <c r="U47" i="40"/>
  <c r="U56" i="40"/>
  <c r="Y56" i="40"/>
  <c r="Y53" i="40"/>
  <c r="Y47" i="40"/>
  <c r="C45" i="40"/>
  <c r="C48" i="40"/>
  <c r="C54" i="40" s="1"/>
  <c r="K53" i="40"/>
  <c r="K47" i="40"/>
  <c r="K56" i="40"/>
  <c r="AK53" i="40"/>
  <c r="AK47" i="40"/>
  <c r="AK56" i="40"/>
  <c r="W52" i="40" l="1"/>
  <c r="W51" i="40"/>
  <c r="R49" i="40"/>
  <c r="R52" i="40"/>
  <c r="O51" i="40"/>
  <c r="O49" i="40"/>
  <c r="G52" i="40"/>
  <c r="G51" i="40"/>
  <c r="V49" i="40"/>
  <c r="V51" i="40"/>
  <c r="AD52" i="40"/>
  <c r="AD49" i="40"/>
  <c r="AD51" i="40"/>
  <c r="AE51" i="40"/>
  <c r="AE49" i="40"/>
  <c r="J51" i="40"/>
  <c r="J52" i="40"/>
  <c r="J49" i="40"/>
  <c r="L51" i="40"/>
  <c r="L49" i="40"/>
  <c r="L52" i="40"/>
  <c r="C53" i="40"/>
  <c r="C56" i="40"/>
  <c r="C47" i="40"/>
  <c r="AJ51" i="40"/>
  <c r="AJ49" i="40"/>
  <c r="AJ52" i="40"/>
  <c r="T51" i="40"/>
  <c r="T49" i="40"/>
  <c r="T52" i="40"/>
  <c r="H52" i="40"/>
  <c r="H51" i="40"/>
  <c r="H49" i="40"/>
  <c r="M51" i="40"/>
  <c r="M49" i="40"/>
  <c r="M52" i="40"/>
  <c r="P52" i="40"/>
  <c r="P51" i="40"/>
  <c r="P49" i="40"/>
  <c r="N52" i="40"/>
  <c r="N49" i="40"/>
  <c r="N51" i="40"/>
  <c r="AK51" i="40"/>
  <c r="AK49" i="40"/>
  <c r="AK52" i="40"/>
  <c r="Q52" i="40"/>
  <c r="Q51" i="40"/>
  <c r="Q49" i="40"/>
  <c r="AH51" i="40"/>
  <c r="AH49" i="40"/>
  <c r="AH52" i="40"/>
  <c r="S51" i="40"/>
  <c r="S49" i="40"/>
  <c r="S52" i="40"/>
  <c r="AI51" i="40"/>
  <c r="AI49" i="40"/>
  <c r="AI52" i="40"/>
  <c r="Y52" i="40"/>
  <c r="Y51" i="40"/>
  <c r="Y49" i="40"/>
  <c r="AA51" i="40"/>
  <c r="AA49" i="40"/>
  <c r="AA52" i="40"/>
  <c r="D51" i="40"/>
  <c r="D49" i="40"/>
  <c r="D52" i="40"/>
  <c r="X52" i="40"/>
  <c r="X51" i="40"/>
  <c r="X49" i="40"/>
  <c r="AB51" i="40"/>
  <c r="AB49" i="40"/>
  <c r="AB52" i="40"/>
  <c r="E51" i="40"/>
  <c r="E49" i="40"/>
  <c r="E52" i="40"/>
  <c r="I52" i="40"/>
  <c r="I51" i="40"/>
  <c r="I49" i="40"/>
  <c r="K51" i="40"/>
  <c r="K49" i="40"/>
  <c r="K52" i="40"/>
  <c r="U51" i="40"/>
  <c r="U49" i="40"/>
  <c r="U52" i="40"/>
  <c r="AC51" i="40"/>
  <c r="AC49" i="40"/>
  <c r="AC52" i="40"/>
  <c r="AG52" i="40"/>
  <c r="AG51" i="40"/>
  <c r="AG49" i="40"/>
  <c r="AF52" i="40"/>
  <c r="AF51" i="40"/>
  <c r="AF49" i="40"/>
  <c r="F52" i="40"/>
  <c r="F51" i="40"/>
  <c r="F49" i="40"/>
  <c r="C51" i="40" l="1"/>
  <c r="C49" i="40"/>
  <c r="C52" i="40"/>
  <c r="AV19" i="39" l="1"/>
  <c r="AH29" i="39" l="1"/>
  <c r="AA29" i="39" l="1"/>
  <c r="C38" i="39" l="1"/>
  <c r="D44" i="39"/>
  <c r="D57" i="39" s="1"/>
  <c r="D29" i="39"/>
  <c r="D48" i="39" s="1"/>
  <c r="C4" i="39"/>
  <c r="BC44" i="39"/>
  <c r="BB44" i="39"/>
  <c r="BB55" i="39" s="1"/>
  <c r="BA44" i="39"/>
  <c r="BA55" i="39" s="1"/>
  <c r="AZ44" i="39"/>
  <c r="AZ57" i="39" s="1"/>
  <c r="AY44" i="39"/>
  <c r="AY57" i="39" s="1"/>
  <c r="AX44" i="39"/>
  <c r="AX57" i="39" s="1"/>
  <c r="AW44" i="39"/>
  <c r="AV44" i="39"/>
  <c r="AV61" i="39" s="1"/>
  <c r="AU44" i="39"/>
  <c r="AU60" i="39" s="1"/>
  <c r="AT44" i="39"/>
  <c r="AT60" i="39" s="1"/>
  <c r="AS44" i="39"/>
  <c r="AS55" i="39" s="1"/>
  <c r="AR44" i="39"/>
  <c r="AR57" i="39" s="1"/>
  <c r="AQ44" i="39"/>
  <c r="AQ57" i="39" s="1"/>
  <c r="AP44" i="39"/>
  <c r="AP57" i="39" s="1"/>
  <c r="AO44" i="39"/>
  <c r="AN44" i="39"/>
  <c r="AN61" i="39" s="1"/>
  <c r="AM44" i="39"/>
  <c r="AM60" i="39" s="1"/>
  <c r="AL44" i="39"/>
  <c r="AK44" i="39"/>
  <c r="AK55" i="39" s="1"/>
  <c r="AJ44" i="39"/>
  <c r="AJ57" i="39" s="1"/>
  <c r="AI44" i="39"/>
  <c r="AI57" i="39" s="1"/>
  <c r="AH44" i="39"/>
  <c r="AH61" i="39" s="1"/>
  <c r="AG44" i="39"/>
  <c r="AF44" i="39"/>
  <c r="AE44" i="39"/>
  <c r="AD44" i="39"/>
  <c r="AC44" i="39"/>
  <c r="AC60" i="39" s="1"/>
  <c r="AB44" i="39"/>
  <c r="AB57" i="39" s="1"/>
  <c r="AA44" i="39"/>
  <c r="AA57" i="39" s="1"/>
  <c r="Z44" i="39"/>
  <c r="Z57" i="39" s="1"/>
  <c r="Y44" i="39"/>
  <c r="X44" i="39"/>
  <c r="X61" i="39" s="1"/>
  <c r="W44" i="39"/>
  <c r="W60" i="39" s="1"/>
  <c r="V44" i="39"/>
  <c r="U44" i="39"/>
  <c r="T44" i="39"/>
  <c r="T57" i="39" s="1"/>
  <c r="S44" i="39"/>
  <c r="S57" i="39" s="1"/>
  <c r="R44" i="39"/>
  <c r="R61" i="39" s="1"/>
  <c r="Q44" i="39"/>
  <c r="P44" i="39"/>
  <c r="P61" i="39" s="1"/>
  <c r="O44" i="39"/>
  <c r="N44" i="39"/>
  <c r="N55" i="39" s="1"/>
  <c r="M44" i="39"/>
  <c r="M60" i="39" s="1"/>
  <c r="L44" i="39"/>
  <c r="L55" i="39" s="1"/>
  <c r="K44" i="39"/>
  <c r="J44" i="39"/>
  <c r="I44" i="39"/>
  <c r="I61" i="39" s="1"/>
  <c r="H44" i="39"/>
  <c r="G44" i="39"/>
  <c r="G60" i="39" s="1"/>
  <c r="F44" i="39"/>
  <c r="F55" i="39" s="1"/>
  <c r="E44" i="39"/>
  <c r="E55" i="39" s="1"/>
  <c r="C43" i="39"/>
  <c r="C42" i="39"/>
  <c r="C41" i="39"/>
  <c r="C40" i="39"/>
  <c r="C39" i="39"/>
  <c r="C37" i="39"/>
  <c r="C36" i="39"/>
  <c r="C35" i="39"/>
  <c r="C34" i="39"/>
  <c r="C33" i="39"/>
  <c r="C32" i="39"/>
  <c r="C31" i="39"/>
  <c r="C30" i="39"/>
  <c r="BC29" i="39"/>
  <c r="BB29" i="39"/>
  <c r="BB48" i="39" s="1"/>
  <c r="BB54" i="39" s="1"/>
  <c r="BA29" i="39"/>
  <c r="BA48" i="39" s="1"/>
  <c r="BA54" i="39" s="1"/>
  <c r="AZ29" i="39"/>
  <c r="AZ48" i="39" s="1"/>
  <c r="AZ54" i="39" s="1"/>
  <c r="AY29" i="39"/>
  <c r="AY45" i="39" s="1"/>
  <c r="AX29" i="39"/>
  <c r="AX48" i="39" s="1"/>
  <c r="AX54" i="39" s="1"/>
  <c r="AW29" i="39"/>
  <c r="AW46" i="39" s="1"/>
  <c r="AW50" i="39" s="1"/>
  <c r="AV29" i="39"/>
  <c r="AV46" i="39" s="1"/>
  <c r="AV50" i="39" s="1"/>
  <c r="AU29" i="39"/>
  <c r="AT29" i="39"/>
  <c r="AT48" i="39" s="1"/>
  <c r="AT54" i="39" s="1"/>
  <c r="AS29" i="39"/>
  <c r="AS48" i="39" s="1"/>
  <c r="AS54" i="39" s="1"/>
  <c r="AR29" i="39"/>
  <c r="AR48" i="39" s="1"/>
  <c r="AR54" i="39" s="1"/>
  <c r="AQ29" i="39"/>
  <c r="AP29" i="39"/>
  <c r="AP48" i="39" s="1"/>
  <c r="AP54" i="39" s="1"/>
  <c r="AO29" i="39"/>
  <c r="AO46" i="39" s="1"/>
  <c r="AO50" i="39" s="1"/>
  <c r="AN29" i="39"/>
  <c r="AN48" i="39" s="1"/>
  <c r="AN54" i="39" s="1"/>
  <c r="AM29" i="39"/>
  <c r="AL29" i="39"/>
  <c r="AL48" i="39" s="1"/>
  <c r="AL54" i="39" s="1"/>
  <c r="AK29" i="39"/>
  <c r="AK48" i="39" s="1"/>
  <c r="AK54" i="39" s="1"/>
  <c r="AJ29" i="39"/>
  <c r="AJ48" i="39" s="1"/>
  <c r="AJ54" i="39" s="1"/>
  <c r="AI29" i="39"/>
  <c r="AI45" i="39" s="1"/>
  <c r="AH48" i="39"/>
  <c r="AH54" i="39" s="1"/>
  <c r="AG29" i="39"/>
  <c r="AG46" i="39" s="1"/>
  <c r="AG50" i="39" s="1"/>
  <c r="AF29" i="39"/>
  <c r="AF46" i="39" s="1"/>
  <c r="AF50" i="39" s="1"/>
  <c r="AE29" i="39"/>
  <c r="AD29" i="39"/>
  <c r="AD48" i="39" s="1"/>
  <c r="AD54" i="39" s="1"/>
  <c r="AC29" i="39"/>
  <c r="AC48" i="39" s="1"/>
  <c r="AC54" i="39" s="1"/>
  <c r="AB29" i="39"/>
  <c r="AB48" i="39" s="1"/>
  <c r="AB54" i="39" s="1"/>
  <c r="Z29" i="39"/>
  <c r="Z48" i="39" s="1"/>
  <c r="Z54" i="39" s="1"/>
  <c r="Y29" i="39"/>
  <c r="Y46" i="39" s="1"/>
  <c r="Y50" i="39" s="1"/>
  <c r="X29" i="39"/>
  <c r="X48" i="39" s="1"/>
  <c r="X54" i="39" s="1"/>
  <c r="W29" i="39"/>
  <c r="V29" i="39"/>
  <c r="V48" i="39" s="1"/>
  <c r="V54" i="39" s="1"/>
  <c r="U29" i="39"/>
  <c r="U48" i="39" s="1"/>
  <c r="U54" i="39" s="1"/>
  <c r="T29" i="39"/>
  <c r="T48" i="39" s="1"/>
  <c r="T54" i="39" s="1"/>
  <c r="S29" i="39"/>
  <c r="R29" i="39"/>
  <c r="R48" i="39" s="1"/>
  <c r="R54" i="39" s="1"/>
  <c r="Q29" i="39"/>
  <c r="Q46" i="39" s="1"/>
  <c r="Q50" i="39" s="1"/>
  <c r="P29" i="39"/>
  <c r="P46" i="39" s="1"/>
  <c r="P50" i="39" s="1"/>
  <c r="O29" i="39"/>
  <c r="N29" i="39"/>
  <c r="N48" i="39" s="1"/>
  <c r="N54" i="39" s="1"/>
  <c r="M29" i="39"/>
  <c r="M48" i="39" s="1"/>
  <c r="M54" i="39" s="1"/>
  <c r="L29" i="39"/>
  <c r="L48" i="39" s="1"/>
  <c r="L54" i="39" s="1"/>
  <c r="K29" i="39"/>
  <c r="J29" i="39"/>
  <c r="J48" i="39" s="1"/>
  <c r="J54" i="39" s="1"/>
  <c r="I29" i="39"/>
  <c r="I46" i="39" s="1"/>
  <c r="I50" i="39" s="1"/>
  <c r="H29" i="39"/>
  <c r="H48" i="39" s="1"/>
  <c r="H54" i="39" s="1"/>
  <c r="G29" i="39"/>
  <c r="F29" i="39"/>
  <c r="F48" i="39" s="1"/>
  <c r="F54" i="39" s="1"/>
  <c r="E29" i="39"/>
  <c r="E48" i="39" s="1"/>
  <c r="E54" i="39" s="1"/>
  <c r="C28" i="39"/>
  <c r="C27" i="39"/>
  <c r="C26" i="39"/>
  <c r="C25" i="39"/>
  <c r="C24" i="39"/>
  <c r="C23" i="39"/>
  <c r="C22" i="39"/>
  <c r="C21" i="39"/>
  <c r="BC19" i="39"/>
  <c r="BB19" i="39"/>
  <c r="BA19" i="39"/>
  <c r="AZ19" i="39"/>
  <c r="AY19" i="39"/>
  <c r="AX19" i="39"/>
  <c r="AW19" i="39"/>
  <c r="AU19" i="39"/>
  <c r="AT19" i="39"/>
  <c r="AS19" i="39"/>
  <c r="AR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AY46" i="39" l="1"/>
  <c r="AY50" i="39" s="1"/>
  <c r="AQ45" i="39"/>
  <c r="AO48" i="39"/>
  <c r="AO54" i="39" s="1"/>
  <c r="AA45" i="39"/>
  <c r="S45" i="39"/>
  <c r="S47" i="39" s="1"/>
  <c r="S46" i="39"/>
  <c r="S50" i="39" s="1"/>
  <c r="K45" i="39"/>
  <c r="K56" i="39" s="1"/>
  <c r="I48" i="39"/>
  <c r="I54" i="39" s="1"/>
  <c r="D54" i="39"/>
  <c r="G45" i="39"/>
  <c r="G56" i="39" s="1"/>
  <c r="O45" i="39"/>
  <c r="O47" i="39" s="1"/>
  <c r="W45" i="39"/>
  <c r="W47" i="39" s="1"/>
  <c r="AE45" i="39"/>
  <c r="AE47" i="39" s="1"/>
  <c r="AM45" i="39"/>
  <c r="AM56" i="39" s="1"/>
  <c r="AU45" i="39"/>
  <c r="AU47" i="39" s="1"/>
  <c r="BC45" i="39"/>
  <c r="BC47" i="39" s="1"/>
  <c r="C44" i="39"/>
  <c r="C55" i="39" s="1"/>
  <c r="R57" i="39"/>
  <c r="F60" i="39"/>
  <c r="AA46" i="39"/>
  <c r="AA50" i="39" s="1"/>
  <c r="AH46" i="39"/>
  <c r="AH50" i="39" s="1"/>
  <c r="Y48" i="39"/>
  <c r="Y54" i="39" s="1"/>
  <c r="Z46" i="39"/>
  <c r="Z50" i="39" s="1"/>
  <c r="S48" i="39"/>
  <c r="S54" i="39" s="1"/>
  <c r="AI46" i="39"/>
  <c r="AI50" i="39" s="1"/>
  <c r="AI48" i="39"/>
  <c r="AI54" i="39" s="1"/>
  <c r="J46" i="39"/>
  <c r="J50" i="39" s="1"/>
  <c r="AP46" i="39"/>
  <c r="AP50" i="39" s="1"/>
  <c r="K46" i="39"/>
  <c r="K50" i="39" s="1"/>
  <c r="AQ46" i="39"/>
  <c r="AQ50" i="39" s="1"/>
  <c r="AY48" i="39"/>
  <c r="AY54" i="39" s="1"/>
  <c r="C29" i="39"/>
  <c r="C46" i="39" s="1"/>
  <c r="C50" i="39" s="1"/>
  <c r="R46" i="39"/>
  <c r="R50" i="39" s="1"/>
  <c r="AX46" i="39"/>
  <c r="AX50" i="39" s="1"/>
  <c r="C19" i="39"/>
  <c r="S56" i="39"/>
  <c r="AA47" i="39"/>
  <c r="AA56" i="39"/>
  <c r="AI47" i="39"/>
  <c r="AI56" i="39"/>
  <c r="AQ47" i="39"/>
  <c r="AQ53" i="39"/>
  <c r="AQ56" i="39"/>
  <c r="AY47" i="39"/>
  <c r="AY53" i="39"/>
  <c r="AY56" i="39"/>
  <c r="U61" i="39"/>
  <c r="U57" i="39"/>
  <c r="P45" i="39"/>
  <c r="F61" i="39"/>
  <c r="F57" i="39"/>
  <c r="N61" i="39"/>
  <c r="N57" i="39"/>
  <c r="V61" i="39"/>
  <c r="V57" i="39"/>
  <c r="AD61" i="39"/>
  <c r="AD57" i="39"/>
  <c r="AL61" i="39"/>
  <c r="AL57" i="39"/>
  <c r="AT61" i="39"/>
  <c r="AT57" i="39"/>
  <c r="BB61" i="39"/>
  <c r="BB57" i="39"/>
  <c r="I45" i="39"/>
  <c r="Q45" i="39"/>
  <c r="Y45" i="39"/>
  <c r="AG45" i="39"/>
  <c r="AO45" i="39"/>
  <c r="AW45" i="39"/>
  <c r="D46" i="39"/>
  <c r="D50" i="39" s="1"/>
  <c r="L46" i="39"/>
  <c r="L50" i="39" s="1"/>
  <c r="T46" i="39"/>
  <c r="T50" i="39" s="1"/>
  <c r="AB46" i="39"/>
  <c r="AB50" i="39" s="1"/>
  <c r="AJ46" i="39"/>
  <c r="AJ50" i="39" s="1"/>
  <c r="AR46" i="39"/>
  <c r="AR50" i="39" s="1"/>
  <c r="AZ46" i="39"/>
  <c r="AZ50" i="39" s="1"/>
  <c r="K48" i="39"/>
  <c r="K54" i="39" s="1"/>
  <c r="AA48" i="39"/>
  <c r="AA54" i="39" s="1"/>
  <c r="AQ48" i="39"/>
  <c r="AQ54" i="39" s="1"/>
  <c r="T55" i="39"/>
  <c r="AL55" i="39"/>
  <c r="AD60" i="39"/>
  <c r="BA60" i="39"/>
  <c r="G61" i="39"/>
  <c r="G57" i="39"/>
  <c r="G55" i="39"/>
  <c r="O61" i="39"/>
  <c r="O57" i="39"/>
  <c r="O55" i="39"/>
  <c r="W61" i="39"/>
  <c r="W57" i="39"/>
  <c r="W55" i="39"/>
  <c r="AE61" i="39"/>
  <c r="AE57" i="39"/>
  <c r="AE55" i="39"/>
  <c r="AM61" i="39"/>
  <c r="AM57" i="39"/>
  <c r="AM55" i="39"/>
  <c r="AU61" i="39"/>
  <c r="AU57" i="39"/>
  <c r="AU55" i="39"/>
  <c r="BC61" i="39"/>
  <c r="BC57" i="39"/>
  <c r="BC55" i="39"/>
  <c r="J45" i="39"/>
  <c r="R45" i="39"/>
  <c r="Z45" i="39"/>
  <c r="AH45" i="39"/>
  <c r="AP45" i="39"/>
  <c r="AX45" i="39"/>
  <c r="E46" i="39"/>
  <c r="E50" i="39" s="1"/>
  <c r="M46" i="39"/>
  <c r="M50" i="39" s="1"/>
  <c r="U46" i="39"/>
  <c r="U50" i="39" s="1"/>
  <c r="AC46" i="39"/>
  <c r="AC50" i="39" s="1"/>
  <c r="AK46" i="39"/>
  <c r="AK50" i="39" s="1"/>
  <c r="AS46" i="39"/>
  <c r="AS50" i="39" s="1"/>
  <c r="BA46" i="39"/>
  <c r="BA50" i="39" s="1"/>
  <c r="O48" i="39"/>
  <c r="O54" i="39" s="1"/>
  <c r="AE48" i="39"/>
  <c r="AE54" i="39" s="1"/>
  <c r="AU48" i="39"/>
  <c r="AU54" i="39" s="1"/>
  <c r="U55" i="39"/>
  <c r="AR55" i="39"/>
  <c r="AE60" i="39"/>
  <c r="BB60" i="39"/>
  <c r="Z61" i="39"/>
  <c r="AK61" i="39"/>
  <c r="AK57" i="39"/>
  <c r="X45" i="39"/>
  <c r="H57" i="39"/>
  <c r="H55" i="39"/>
  <c r="H60" i="39"/>
  <c r="P57" i="39"/>
  <c r="P55" i="39"/>
  <c r="P60" i="39"/>
  <c r="X57" i="39"/>
  <c r="X55" i="39"/>
  <c r="X60" i="39"/>
  <c r="AF57" i="39"/>
  <c r="AF55" i="39"/>
  <c r="AF60" i="39"/>
  <c r="AN57" i="39"/>
  <c r="AN55" i="39"/>
  <c r="AN60" i="39"/>
  <c r="AV57" i="39"/>
  <c r="AV55" i="39"/>
  <c r="AV60" i="39"/>
  <c r="F46" i="39"/>
  <c r="F50" i="39" s="1"/>
  <c r="N46" i="39"/>
  <c r="N50" i="39" s="1"/>
  <c r="V46" i="39"/>
  <c r="V50" i="39" s="1"/>
  <c r="AD46" i="39"/>
  <c r="AD50" i="39" s="1"/>
  <c r="AL46" i="39"/>
  <c r="AL50" i="39" s="1"/>
  <c r="AT46" i="39"/>
  <c r="AT50" i="39" s="1"/>
  <c r="BB46" i="39"/>
  <c r="BB50" i="39" s="1"/>
  <c r="P48" i="39"/>
  <c r="P54" i="39" s="1"/>
  <c r="AF48" i="39"/>
  <c r="AF54" i="39" s="1"/>
  <c r="AV48" i="39"/>
  <c r="AV54" i="39" s="1"/>
  <c r="D55" i="39"/>
  <c r="V55" i="39"/>
  <c r="N60" i="39"/>
  <c r="AK60" i="39"/>
  <c r="BC60" i="39"/>
  <c r="AF61" i="39"/>
  <c r="AC61" i="39"/>
  <c r="AC57" i="39"/>
  <c r="H45" i="39"/>
  <c r="AV45" i="39"/>
  <c r="I57" i="39"/>
  <c r="I55" i="39"/>
  <c r="I60" i="39"/>
  <c r="Q57" i="39"/>
  <c r="Q55" i="39"/>
  <c r="Q60" i="39"/>
  <c r="Q61" i="39"/>
  <c r="Y57" i="39"/>
  <c r="Y55" i="39"/>
  <c r="Y60" i="39"/>
  <c r="Y61" i="39"/>
  <c r="AG57" i="39"/>
  <c r="AG55" i="39"/>
  <c r="AG60" i="39"/>
  <c r="AG61" i="39"/>
  <c r="AO57" i="39"/>
  <c r="AO55" i="39"/>
  <c r="AO60" i="39"/>
  <c r="AO61" i="39"/>
  <c r="AW57" i="39"/>
  <c r="AW55" i="39"/>
  <c r="AW60" i="39"/>
  <c r="AW61" i="39"/>
  <c r="D45" i="39"/>
  <c r="L45" i="39"/>
  <c r="T45" i="39"/>
  <c r="AB45" i="39"/>
  <c r="AJ45" i="39"/>
  <c r="AR45" i="39"/>
  <c r="AZ45" i="39"/>
  <c r="G46" i="39"/>
  <c r="G50" i="39" s="1"/>
  <c r="O46" i="39"/>
  <c r="O50" i="39" s="1"/>
  <c r="W46" i="39"/>
  <c r="W50" i="39" s="1"/>
  <c r="AE46" i="39"/>
  <c r="AE50" i="39" s="1"/>
  <c r="AM46" i="39"/>
  <c r="AM50" i="39" s="1"/>
  <c r="AU46" i="39"/>
  <c r="AU50" i="39" s="1"/>
  <c r="BC46" i="39"/>
  <c r="BC50" i="39" s="1"/>
  <c r="Q48" i="39"/>
  <c r="Q54" i="39" s="1"/>
  <c r="AG48" i="39"/>
  <c r="AG54" i="39" s="1"/>
  <c r="AW48" i="39"/>
  <c r="AW54" i="39" s="1"/>
  <c r="AB55" i="39"/>
  <c r="AT55" i="39"/>
  <c r="O60" i="39"/>
  <c r="AL60" i="39"/>
  <c r="H61" i="39"/>
  <c r="M61" i="39"/>
  <c r="M57" i="39"/>
  <c r="AF45" i="39"/>
  <c r="J55" i="39"/>
  <c r="J60" i="39"/>
  <c r="R55" i="39"/>
  <c r="R60" i="39"/>
  <c r="Z55" i="39"/>
  <c r="Z60" i="39"/>
  <c r="AH55" i="39"/>
  <c r="AH60" i="39"/>
  <c r="AP55" i="39"/>
  <c r="AP60" i="39"/>
  <c r="AX55" i="39"/>
  <c r="AX60" i="39"/>
  <c r="AX61" i="39"/>
  <c r="E45" i="39"/>
  <c r="M45" i="39"/>
  <c r="U45" i="39"/>
  <c r="AC45" i="39"/>
  <c r="AK45" i="39"/>
  <c r="AS45" i="39"/>
  <c r="BA45" i="39"/>
  <c r="H46" i="39"/>
  <c r="H50" i="39" s="1"/>
  <c r="X46" i="39"/>
  <c r="X50" i="39" s="1"/>
  <c r="AN46" i="39"/>
  <c r="AN50" i="39" s="1"/>
  <c r="AC55" i="39"/>
  <c r="AZ55" i="39"/>
  <c r="J57" i="39"/>
  <c r="U60" i="39"/>
  <c r="E61" i="39"/>
  <c r="E57" i="39"/>
  <c r="AS61" i="39"/>
  <c r="AS57" i="39"/>
  <c r="AN45" i="39"/>
  <c r="K55" i="39"/>
  <c r="K60" i="39"/>
  <c r="K61" i="39"/>
  <c r="S55" i="39"/>
  <c r="S60" i="39"/>
  <c r="S61" i="39"/>
  <c r="AA55" i="39"/>
  <c r="AA60" i="39"/>
  <c r="AA61" i="39"/>
  <c r="AI55" i="39"/>
  <c r="AI60" i="39"/>
  <c r="AI61" i="39"/>
  <c r="AQ55" i="39"/>
  <c r="AQ60" i="39"/>
  <c r="AQ61" i="39"/>
  <c r="AY55" i="39"/>
  <c r="AY60" i="39"/>
  <c r="AY61" i="39"/>
  <c r="F45" i="39"/>
  <c r="N45" i="39"/>
  <c r="V45" i="39"/>
  <c r="AD45" i="39"/>
  <c r="AL45" i="39"/>
  <c r="AT45" i="39"/>
  <c r="BB45" i="39"/>
  <c r="G48" i="39"/>
  <c r="G54" i="39" s="1"/>
  <c r="W48" i="39"/>
  <c r="W54" i="39" s="1"/>
  <c r="AM48" i="39"/>
  <c r="AM54" i="39" s="1"/>
  <c r="BC48" i="39"/>
  <c r="BC54" i="39" s="1"/>
  <c r="AD55" i="39"/>
  <c r="K57" i="39"/>
  <c r="AH57" i="39"/>
  <c r="V60" i="39"/>
  <c r="AS60" i="39"/>
  <c r="J61" i="39"/>
  <c r="AP61" i="39"/>
  <c r="BA61" i="39"/>
  <c r="BA57" i="39"/>
  <c r="D60" i="39"/>
  <c r="D61" i="39"/>
  <c r="L60" i="39"/>
  <c r="L61" i="39"/>
  <c r="T60" i="39"/>
  <c r="T61" i="39"/>
  <c r="AB60" i="39"/>
  <c r="AB61" i="39"/>
  <c r="AJ60" i="39"/>
  <c r="AJ61" i="39"/>
  <c r="AR60" i="39"/>
  <c r="AR61" i="39"/>
  <c r="AZ60" i="39"/>
  <c r="AZ61" i="39"/>
  <c r="M55" i="39"/>
  <c r="AJ55" i="39"/>
  <c r="L57" i="39"/>
  <c r="E60" i="39"/>
  <c r="K47" i="39" l="1"/>
  <c r="BC56" i="39"/>
  <c r="AU56" i="39"/>
  <c r="AM47" i="39"/>
  <c r="AM51" i="39" s="1"/>
  <c r="AA53" i="39"/>
  <c r="W56" i="39"/>
  <c r="S53" i="39"/>
  <c r="G47" i="39"/>
  <c r="G49" i="39" s="1"/>
  <c r="C60" i="39"/>
  <c r="C48" i="39"/>
  <c r="C54" i="39" s="1"/>
  <c r="AE56" i="39"/>
  <c r="O56" i="39"/>
  <c r="C61" i="39"/>
  <c r="C45" i="39"/>
  <c r="C47" i="39" s="1"/>
  <c r="C52" i="39" s="1"/>
  <c r="C57" i="39"/>
  <c r="BC53" i="39"/>
  <c r="AI53" i="39"/>
  <c r="K53" i="39"/>
  <c r="Q47" i="39"/>
  <c r="Q53" i="39"/>
  <c r="Q56" i="39"/>
  <c r="P56" i="39"/>
  <c r="P53" i="39"/>
  <c r="P47" i="39"/>
  <c r="AY51" i="39"/>
  <c r="AY49" i="39"/>
  <c r="AY52" i="39"/>
  <c r="AT56" i="39"/>
  <c r="AT47" i="39"/>
  <c r="AT53" i="39"/>
  <c r="AN56" i="39"/>
  <c r="AN47" i="39"/>
  <c r="AN53" i="39"/>
  <c r="U53" i="39"/>
  <c r="U56" i="39"/>
  <c r="U47" i="39"/>
  <c r="L53" i="39"/>
  <c r="L56" i="39"/>
  <c r="L47" i="39"/>
  <c r="X56" i="39"/>
  <c r="X47" i="39"/>
  <c r="X53" i="39"/>
  <c r="I53" i="39"/>
  <c r="I47" i="39"/>
  <c r="I56" i="39"/>
  <c r="AA51" i="39"/>
  <c r="AA49" i="39"/>
  <c r="AA52" i="39"/>
  <c r="W51" i="39"/>
  <c r="W49" i="39"/>
  <c r="W52" i="39"/>
  <c r="AU51" i="39"/>
  <c r="AU49" i="39"/>
  <c r="AU52" i="39"/>
  <c r="AF53" i="39"/>
  <c r="AF56" i="39"/>
  <c r="AF47" i="39"/>
  <c r="BB56" i="39"/>
  <c r="BB53" i="39"/>
  <c r="BB47" i="39"/>
  <c r="AD56" i="39"/>
  <c r="AD53" i="39"/>
  <c r="AD47" i="39"/>
  <c r="E53" i="39"/>
  <c r="E56" i="39"/>
  <c r="E47" i="39"/>
  <c r="H53" i="39"/>
  <c r="H47" i="39"/>
  <c r="H56" i="39"/>
  <c r="AX47" i="39"/>
  <c r="AX53" i="39"/>
  <c r="AX56" i="39"/>
  <c r="AQ51" i="39"/>
  <c r="AQ52" i="39"/>
  <c r="AQ49" i="39"/>
  <c r="BC51" i="39"/>
  <c r="BC49" i="39"/>
  <c r="BC52" i="39"/>
  <c r="AE53" i="39"/>
  <c r="T53" i="39"/>
  <c r="T56" i="39"/>
  <c r="T47" i="39"/>
  <c r="AL56" i="39"/>
  <c r="AL47" i="39"/>
  <c r="AL53" i="39"/>
  <c r="V56" i="39"/>
  <c r="V47" i="39"/>
  <c r="V53" i="39"/>
  <c r="AZ53" i="39"/>
  <c r="AZ56" i="39"/>
  <c r="AZ47" i="39"/>
  <c r="AP47" i="39"/>
  <c r="AP53" i="39"/>
  <c r="AP56" i="39"/>
  <c r="AW47" i="39"/>
  <c r="AW53" i="39"/>
  <c r="AW56" i="39"/>
  <c r="S51" i="39"/>
  <c r="S49" i="39"/>
  <c r="S52" i="39"/>
  <c r="AM53" i="39"/>
  <c r="G53" i="39"/>
  <c r="AE51" i="39"/>
  <c r="AE49" i="39"/>
  <c r="AE52" i="39"/>
  <c r="AC53" i="39"/>
  <c r="AC56" i="39"/>
  <c r="AC47" i="39"/>
  <c r="N56" i="39"/>
  <c r="N53" i="39"/>
  <c r="N47" i="39"/>
  <c r="BA53" i="39"/>
  <c r="BA56" i="39"/>
  <c r="BA47" i="39"/>
  <c r="AR53" i="39"/>
  <c r="AR56" i="39"/>
  <c r="AR47" i="39"/>
  <c r="AH47" i="39"/>
  <c r="AH53" i="39"/>
  <c r="AH56" i="39"/>
  <c r="AO47" i="39"/>
  <c r="AO53" i="39"/>
  <c r="AO56" i="39"/>
  <c r="K51" i="39"/>
  <c r="K49" i="39"/>
  <c r="K52" i="39"/>
  <c r="O53" i="39"/>
  <c r="D53" i="39"/>
  <c r="D56" i="39"/>
  <c r="D47" i="39"/>
  <c r="F56" i="39"/>
  <c r="F53" i="39"/>
  <c r="F47" i="39"/>
  <c r="AS53" i="39"/>
  <c r="AS56" i="39"/>
  <c r="AS47" i="39"/>
  <c r="AJ53" i="39"/>
  <c r="AJ56" i="39"/>
  <c r="AJ47" i="39"/>
  <c r="Z47" i="39"/>
  <c r="Z53" i="39"/>
  <c r="Z56" i="39"/>
  <c r="AG47" i="39"/>
  <c r="AG53" i="39"/>
  <c r="AG56" i="39"/>
  <c r="AI51" i="39"/>
  <c r="AI49" i="39"/>
  <c r="AI52" i="39"/>
  <c r="AM52" i="39"/>
  <c r="J53" i="39"/>
  <c r="J56" i="39"/>
  <c r="J47" i="39"/>
  <c r="M53" i="39"/>
  <c r="M56" i="39"/>
  <c r="M47" i="39"/>
  <c r="AV53" i="39"/>
  <c r="AV56" i="39"/>
  <c r="AV47" i="39"/>
  <c r="AK53" i="39"/>
  <c r="AK56" i="39"/>
  <c r="AK47" i="39"/>
  <c r="AB53" i="39"/>
  <c r="AB56" i="39"/>
  <c r="AB47" i="39"/>
  <c r="R47" i="39"/>
  <c r="R53" i="39"/>
  <c r="R56" i="39"/>
  <c r="Y47" i="39"/>
  <c r="Y53" i="39"/>
  <c r="Y56" i="39"/>
  <c r="W53" i="39"/>
  <c r="AU53" i="39"/>
  <c r="O51" i="39"/>
  <c r="O49" i="39"/>
  <c r="O52" i="39"/>
  <c r="AM49" i="39" l="1"/>
  <c r="G52" i="39"/>
  <c r="G51" i="39"/>
  <c r="C56" i="39"/>
  <c r="C53" i="39"/>
  <c r="C49" i="39"/>
  <c r="C51" i="39"/>
  <c r="AS51" i="39"/>
  <c r="AS49" i="39"/>
  <c r="AS52" i="39"/>
  <c r="Y49" i="39"/>
  <c r="Y52" i="39"/>
  <c r="Y51" i="39"/>
  <c r="J52" i="39"/>
  <c r="J51" i="39"/>
  <c r="J49" i="39"/>
  <c r="D51" i="39"/>
  <c r="D49" i="39"/>
  <c r="D52" i="39"/>
  <c r="BA51" i="39"/>
  <c r="BA49" i="39"/>
  <c r="BA52" i="39"/>
  <c r="AP52" i="39"/>
  <c r="AP51" i="39"/>
  <c r="AP49" i="39"/>
  <c r="AL51" i="39"/>
  <c r="AL52" i="39"/>
  <c r="AL49" i="39"/>
  <c r="H49" i="39"/>
  <c r="H52" i="39"/>
  <c r="H51" i="39"/>
  <c r="BB51" i="39"/>
  <c r="BB52" i="39"/>
  <c r="BB49" i="39"/>
  <c r="L51" i="39"/>
  <c r="L49" i="39"/>
  <c r="L52" i="39"/>
  <c r="AO49" i="39"/>
  <c r="AO52" i="39"/>
  <c r="AO51" i="39"/>
  <c r="AZ51" i="39"/>
  <c r="AZ52" i="39"/>
  <c r="AZ49" i="39"/>
  <c r="E51" i="39"/>
  <c r="E49" i="39"/>
  <c r="E52" i="39"/>
  <c r="P49" i="39"/>
  <c r="P52" i="39"/>
  <c r="P51" i="39"/>
  <c r="R52" i="39"/>
  <c r="R49" i="39"/>
  <c r="R51" i="39"/>
  <c r="U51" i="39"/>
  <c r="U49" i="39"/>
  <c r="U52" i="39"/>
  <c r="AB51" i="39"/>
  <c r="AB49" i="39"/>
  <c r="AB52" i="39"/>
  <c r="AH52" i="39"/>
  <c r="AH49" i="39"/>
  <c r="AH51" i="39"/>
  <c r="AT51" i="39"/>
  <c r="AT52" i="39"/>
  <c r="AT49" i="39"/>
  <c r="AG49" i="39"/>
  <c r="AG52" i="39"/>
  <c r="AG51" i="39"/>
  <c r="N51" i="39"/>
  <c r="N52" i="39"/>
  <c r="N49" i="39"/>
  <c r="I49" i="39"/>
  <c r="I52" i="39"/>
  <c r="I51" i="39"/>
  <c r="M51" i="39"/>
  <c r="M49" i="39"/>
  <c r="M52" i="39"/>
  <c r="F51" i="39"/>
  <c r="F52" i="39"/>
  <c r="F49" i="39"/>
  <c r="AR51" i="39"/>
  <c r="AR52" i="39"/>
  <c r="AR49" i="39"/>
  <c r="AW49" i="39"/>
  <c r="AW52" i="39"/>
  <c r="AW51" i="39"/>
  <c r="V51" i="39"/>
  <c r="V52" i="39"/>
  <c r="V49" i="39"/>
  <c r="AD51" i="39"/>
  <c r="AD52" i="39"/>
  <c r="AD49" i="39"/>
  <c r="AV49" i="39"/>
  <c r="AV52" i="39"/>
  <c r="AV51" i="39"/>
  <c r="T51" i="39"/>
  <c r="T52" i="39"/>
  <c r="T49" i="39"/>
  <c r="Z52" i="39"/>
  <c r="Z51" i="39"/>
  <c r="Z49" i="39"/>
  <c r="AC51" i="39"/>
  <c r="AC49" i="39"/>
  <c r="AC52" i="39"/>
  <c r="AX52" i="39"/>
  <c r="AX51" i="39"/>
  <c r="AX49" i="39"/>
  <c r="AF49" i="39"/>
  <c r="AF52" i="39"/>
  <c r="AF51" i="39"/>
  <c r="X49" i="39"/>
  <c r="X52" i="39"/>
  <c r="X51" i="39"/>
  <c r="AK51" i="39"/>
  <c r="AK49" i="39"/>
  <c r="AK52" i="39"/>
  <c r="AJ51" i="39"/>
  <c r="AJ52" i="39"/>
  <c r="AJ49" i="39"/>
  <c r="AN49" i="39"/>
  <c r="AN52" i="39"/>
  <c r="AN51" i="39"/>
  <c r="Q49" i="39"/>
  <c r="Q52" i="39"/>
  <c r="Q51" i="39"/>
  <c r="K44" i="38" l="1"/>
  <c r="K55" i="38" s="1"/>
  <c r="K29" i="38"/>
  <c r="K46" i="38" s="1"/>
  <c r="K50" i="38" s="1"/>
  <c r="J19" i="38"/>
  <c r="K19" i="38"/>
  <c r="K48" i="38" l="1"/>
  <c r="K54" i="38" s="1"/>
  <c r="K45" i="38"/>
  <c r="K47" i="38" s="1"/>
  <c r="K49" i="38" s="1"/>
  <c r="K52" i="38"/>
  <c r="K61" i="38"/>
  <c r="K60" i="38"/>
  <c r="K57" i="38"/>
  <c r="K56" i="38" l="1"/>
  <c r="K53" i="38"/>
  <c r="K51" i="38"/>
  <c r="J44" i="38"/>
  <c r="J61" i="38" s="1"/>
  <c r="J29" i="38"/>
  <c r="J46" i="38" s="1"/>
  <c r="J50" i="38" s="1"/>
  <c r="J48" i="38" l="1"/>
  <c r="J54" i="38" s="1"/>
  <c r="J45" i="38"/>
  <c r="J53" i="38"/>
  <c r="J47" i="38"/>
  <c r="J56" i="38"/>
  <c r="J60" i="38"/>
  <c r="J57" i="38"/>
  <c r="J55" i="38"/>
  <c r="J52" i="38" l="1"/>
  <c r="J49" i="38"/>
  <c r="J51" i="38"/>
  <c r="H29" i="38" l="1"/>
  <c r="C31" i="38" l="1"/>
  <c r="C15" i="38"/>
  <c r="C14" i="38"/>
  <c r="C13" i="38"/>
  <c r="C12" i="38"/>
  <c r="C11" i="38"/>
  <c r="C4" i="38"/>
  <c r="AQ44" i="38"/>
  <c r="AQ61" i="38" s="1"/>
  <c r="AP44" i="38"/>
  <c r="AO44" i="38"/>
  <c r="AN44" i="38"/>
  <c r="AM44" i="38"/>
  <c r="AL44" i="38"/>
  <c r="AK44" i="38"/>
  <c r="AJ44" i="38"/>
  <c r="AJ60" i="38" s="1"/>
  <c r="AI44" i="38"/>
  <c r="AI61" i="38" s="1"/>
  <c r="AH44" i="38"/>
  <c r="AH55" i="38" s="1"/>
  <c r="AG44" i="38"/>
  <c r="AG55" i="38" s="1"/>
  <c r="AF44" i="38"/>
  <c r="AE44" i="38"/>
  <c r="AE55" i="38" s="1"/>
  <c r="AD44" i="38"/>
  <c r="AD60" i="38" s="1"/>
  <c r="AC44" i="38"/>
  <c r="AB44" i="38"/>
  <c r="AB61" i="38" s="1"/>
  <c r="AA44" i="38"/>
  <c r="AA61" i="38" s="1"/>
  <c r="Z44" i="38"/>
  <c r="Z57" i="38" s="1"/>
  <c r="Y44" i="38"/>
  <c r="X44" i="38"/>
  <c r="W44" i="38"/>
  <c r="V44" i="38"/>
  <c r="V55" i="38" s="1"/>
  <c r="U44" i="38"/>
  <c r="U57" i="38" s="1"/>
  <c r="T44" i="38"/>
  <c r="T60" i="38" s="1"/>
  <c r="S44" i="38"/>
  <c r="S61" i="38" s="1"/>
  <c r="R44" i="38"/>
  <c r="R55" i="38" s="1"/>
  <c r="Q44" i="38"/>
  <c r="P44" i="38"/>
  <c r="O44" i="38"/>
  <c r="N44" i="38"/>
  <c r="N57" i="38" s="1"/>
  <c r="M44" i="38"/>
  <c r="L44" i="38"/>
  <c r="L61" i="38" s="1"/>
  <c r="I44" i="38"/>
  <c r="I61" i="38" s="1"/>
  <c r="H44" i="38"/>
  <c r="G44" i="38"/>
  <c r="F44" i="38"/>
  <c r="F61" i="38" s="1"/>
  <c r="E44" i="38"/>
  <c r="E55" i="38" s="1"/>
  <c r="C43" i="38"/>
  <c r="C42" i="38"/>
  <c r="C41" i="38"/>
  <c r="C40" i="38"/>
  <c r="C39" i="38"/>
  <c r="C38" i="38"/>
  <c r="C37" i="38"/>
  <c r="C36" i="38"/>
  <c r="C35" i="38"/>
  <c r="C34" i="38"/>
  <c r="C33" i="38"/>
  <c r="C32" i="38"/>
  <c r="C30" i="38"/>
  <c r="AQ29" i="38"/>
  <c r="AQ46" i="38" s="1"/>
  <c r="AQ50" i="38" s="1"/>
  <c r="AP29" i="38"/>
  <c r="AO29" i="38"/>
  <c r="AO46" i="38" s="1"/>
  <c r="AO50" i="38" s="1"/>
  <c r="AN29" i="38"/>
  <c r="AN48" i="38" s="1"/>
  <c r="AN54" i="38" s="1"/>
  <c r="AM29" i="38"/>
  <c r="AM48" i="38" s="1"/>
  <c r="AM54" i="38" s="1"/>
  <c r="AL29" i="38"/>
  <c r="AL48" i="38" s="1"/>
  <c r="AL54" i="38" s="1"/>
  <c r="AK29" i="38"/>
  <c r="AJ29" i="38"/>
  <c r="AI29" i="38"/>
  <c r="AH29" i="38"/>
  <c r="AH46" i="38" s="1"/>
  <c r="AH50" i="38" s="1"/>
  <c r="AG29" i="38"/>
  <c r="AG48" i="38" s="1"/>
  <c r="AG54" i="38" s="1"/>
  <c r="AF29" i="38"/>
  <c r="AF48" i="38" s="1"/>
  <c r="AF54" i="38" s="1"/>
  <c r="AE29" i="38"/>
  <c r="AD29" i="38"/>
  <c r="AD46" i="38" s="1"/>
  <c r="AD50" i="38" s="1"/>
  <c r="AC29" i="38"/>
  <c r="AC48" i="38" s="1"/>
  <c r="AC54" i="38" s="1"/>
  <c r="AB29" i="38"/>
  <c r="AA29" i="38"/>
  <c r="AA48" i="38" s="1"/>
  <c r="AA54" i="38" s="1"/>
  <c r="Z29" i="38"/>
  <c r="Y29" i="38"/>
  <c r="Y48" i="38" s="1"/>
  <c r="Y54" i="38" s="1"/>
  <c r="X29" i="38"/>
  <c r="X48" i="38" s="1"/>
  <c r="X54" i="38" s="1"/>
  <c r="W29" i="38"/>
  <c r="W48" i="38" s="1"/>
  <c r="W54" i="38" s="1"/>
  <c r="V29" i="38"/>
  <c r="V46" i="38" s="1"/>
  <c r="V50" i="38" s="1"/>
  <c r="U29" i="38"/>
  <c r="U48" i="38" s="1"/>
  <c r="U54" i="38" s="1"/>
  <c r="T29" i="38"/>
  <c r="T48" i="38" s="1"/>
  <c r="T54" i="38" s="1"/>
  <c r="S29" i="38"/>
  <c r="S46" i="38" s="1"/>
  <c r="S50" i="38" s="1"/>
  <c r="R29" i="38"/>
  <c r="Q29" i="38"/>
  <c r="Q46" i="38" s="1"/>
  <c r="Q50" i="38" s="1"/>
  <c r="P29" i="38"/>
  <c r="P48" i="38" s="1"/>
  <c r="P54" i="38" s="1"/>
  <c r="O29" i="38"/>
  <c r="O48" i="38" s="1"/>
  <c r="O54" i="38" s="1"/>
  <c r="N29" i="38"/>
  <c r="N46" i="38" s="1"/>
  <c r="N50" i="38" s="1"/>
  <c r="M29" i="38"/>
  <c r="L29" i="38"/>
  <c r="I29" i="38"/>
  <c r="I48" i="38" s="1"/>
  <c r="I54" i="38" s="1"/>
  <c r="G29" i="38"/>
  <c r="G48" i="38" s="1"/>
  <c r="G54" i="38" s="1"/>
  <c r="F29" i="38"/>
  <c r="F48" i="38" s="1"/>
  <c r="F54" i="38" s="1"/>
  <c r="E29" i="38"/>
  <c r="E48" i="38" s="1"/>
  <c r="E54" i="38" s="1"/>
  <c r="D29" i="38"/>
  <c r="D48" i="38" s="1"/>
  <c r="C28" i="38"/>
  <c r="C27" i="38"/>
  <c r="C26" i="38"/>
  <c r="C25" i="38"/>
  <c r="C24" i="38"/>
  <c r="C23" i="38"/>
  <c r="C22" i="38"/>
  <c r="C21" i="38"/>
  <c r="AU19" i="38"/>
  <c r="AT19" i="38"/>
  <c r="AS19" i="38"/>
  <c r="AR19" i="38"/>
  <c r="AQ19" i="38"/>
  <c r="AP19" i="38"/>
  <c r="AO19" i="38"/>
  <c r="AN19" i="38"/>
  <c r="AM19" i="38"/>
  <c r="AL19" i="38"/>
  <c r="AK19" i="38"/>
  <c r="AJ19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I19" i="38"/>
  <c r="H19" i="38"/>
  <c r="G19" i="38"/>
  <c r="F19" i="38"/>
  <c r="E19" i="38"/>
  <c r="C18" i="38"/>
  <c r="C17" i="38"/>
  <c r="C16" i="38"/>
  <c r="C10" i="38"/>
  <c r="C9" i="38"/>
  <c r="C8" i="38"/>
  <c r="C7" i="38"/>
  <c r="C6" i="38"/>
  <c r="C5" i="38"/>
  <c r="F3" i="37"/>
  <c r="E3" i="37"/>
  <c r="D3" i="37"/>
  <c r="D54" i="37" s="1"/>
  <c r="F58" i="37"/>
  <c r="E58" i="37"/>
  <c r="D58" i="37"/>
  <c r="F56" i="37"/>
  <c r="E56" i="37"/>
  <c r="D56" i="37"/>
  <c r="F54" i="37"/>
  <c r="E54" i="37"/>
  <c r="F44" i="37"/>
  <c r="F55" i="37" s="1"/>
  <c r="E44" i="37"/>
  <c r="E55" i="37" s="1"/>
  <c r="D44" i="37"/>
  <c r="D55" i="37" s="1"/>
  <c r="F43" i="37"/>
  <c r="F57" i="37" s="1"/>
  <c r="E43" i="37"/>
  <c r="E57" i="37" s="1"/>
  <c r="D43" i="37"/>
  <c r="D57" i="37" s="1"/>
  <c r="C42" i="37"/>
  <c r="C41" i="37"/>
  <c r="Z40" i="37"/>
  <c r="C40" i="37"/>
  <c r="C39" i="37"/>
  <c r="C38" i="37"/>
  <c r="C37" i="37"/>
  <c r="C36" i="37"/>
  <c r="C35" i="37"/>
  <c r="C34" i="37"/>
  <c r="C33" i="37"/>
  <c r="C32" i="37"/>
  <c r="C43" i="37" s="1"/>
  <c r="C31" i="37"/>
  <c r="C30" i="37"/>
  <c r="C29" i="37"/>
  <c r="F28" i="37"/>
  <c r="F47" i="37" s="1"/>
  <c r="F53" i="37" s="1"/>
  <c r="E28" i="37"/>
  <c r="E47" i="37" s="1"/>
  <c r="E53" i="37" s="1"/>
  <c r="D28" i="37"/>
  <c r="D47" i="37" s="1"/>
  <c r="D53" i="37" s="1"/>
  <c r="C27" i="37"/>
  <c r="C26" i="37"/>
  <c r="C25" i="37"/>
  <c r="C24" i="37"/>
  <c r="C23" i="37"/>
  <c r="C22" i="37"/>
  <c r="C21" i="37"/>
  <c r="C20" i="37"/>
  <c r="F18" i="37"/>
  <c r="E18" i="37"/>
  <c r="D18" i="37"/>
  <c r="C17" i="37"/>
  <c r="C16" i="37"/>
  <c r="C15" i="37"/>
  <c r="C14" i="37"/>
  <c r="C13" i="37"/>
  <c r="C18" i="37" s="1"/>
  <c r="C12" i="37"/>
  <c r="C11" i="37"/>
  <c r="C10" i="37"/>
  <c r="C9" i="37"/>
  <c r="C8" i="37"/>
  <c r="C7" i="37"/>
  <c r="C6" i="37"/>
  <c r="C5" i="37"/>
  <c r="C4" i="37"/>
  <c r="C3" i="37"/>
  <c r="C40" i="36"/>
  <c r="C39" i="36"/>
  <c r="C38" i="36"/>
  <c r="C37" i="36"/>
  <c r="C36" i="36"/>
  <c r="C35" i="36"/>
  <c r="F43" i="36"/>
  <c r="C23" i="36"/>
  <c r="C22" i="36"/>
  <c r="C21" i="36"/>
  <c r="F28" i="36"/>
  <c r="F47" i="36" s="1"/>
  <c r="F53" i="36" s="1"/>
  <c r="C17" i="36"/>
  <c r="F18" i="36"/>
  <c r="C9" i="36"/>
  <c r="C6" i="36"/>
  <c r="C5" i="36"/>
  <c r="C4" i="36"/>
  <c r="C42" i="36"/>
  <c r="E56" i="36"/>
  <c r="E28" i="36"/>
  <c r="E47" i="36" s="1"/>
  <c r="E53" i="36" s="1"/>
  <c r="C12" i="36"/>
  <c r="E18" i="36"/>
  <c r="C10" i="36"/>
  <c r="D43" i="36"/>
  <c r="D57" i="36" s="1"/>
  <c r="C31" i="36"/>
  <c r="C30" i="36"/>
  <c r="C29" i="36"/>
  <c r="C24" i="36"/>
  <c r="D28" i="36"/>
  <c r="D47" i="36" s="1"/>
  <c r="D53" i="36" s="1"/>
  <c r="C16" i="36"/>
  <c r="C8" i="36"/>
  <c r="E43" i="36"/>
  <c r="E57" i="36" s="1"/>
  <c r="C41" i="36"/>
  <c r="Z40" i="36"/>
  <c r="C33" i="36"/>
  <c r="C32" i="36"/>
  <c r="C27" i="36"/>
  <c r="C26" i="36"/>
  <c r="C25" i="36"/>
  <c r="C15" i="36"/>
  <c r="C14" i="36"/>
  <c r="C13" i="36"/>
  <c r="C7" i="36"/>
  <c r="C44" i="35"/>
  <c r="AB55" i="38" l="1"/>
  <c r="AI45" i="38"/>
  <c r="AI56" i="38" s="1"/>
  <c r="AB45" i="38"/>
  <c r="AB56" i="38" s="1"/>
  <c r="AQ45" i="38"/>
  <c r="AQ47" i="38" s="1"/>
  <c r="AQ52" i="38" s="1"/>
  <c r="AI55" i="38"/>
  <c r="W46" i="38"/>
  <c r="W50" i="38" s="1"/>
  <c r="AA46" i="38"/>
  <c r="AA50" i="38" s="1"/>
  <c r="T57" i="38"/>
  <c r="S57" i="38"/>
  <c r="W45" i="38"/>
  <c r="W56" i="38" s="1"/>
  <c r="AM45" i="38"/>
  <c r="AM47" i="38" s="1"/>
  <c r="AJ57" i="38"/>
  <c r="AQ57" i="38"/>
  <c r="AI60" i="38"/>
  <c r="AA55" i="38"/>
  <c r="AJ61" i="38"/>
  <c r="AO48" i="38"/>
  <c r="AO54" i="38" s="1"/>
  <c r="AP45" i="38"/>
  <c r="AP47" i="38" s="1"/>
  <c r="AN45" i="38"/>
  <c r="AN56" i="38" s="1"/>
  <c r="X46" i="38"/>
  <c r="X50" i="38" s="1"/>
  <c r="Q48" i="38"/>
  <c r="Q54" i="38" s="1"/>
  <c r="V57" i="38"/>
  <c r="AA60" i="38"/>
  <c r="Q45" i="38"/>
  <c r="Q56" i="38" s="1"/>
  <c r="AO45" i="38"/>
  <c r="AO56" i="38" s="1"/>
  <c r="Y46" i="38"/>
  <c r="Y50" i="38" s="1"/>
  <c r="W57" i="38"/>
  <c r="AB60" i="38"/>
  <c r="AB46" i="38"/>
  <c r="AB50" i="38" s="1"/>
  <c r="V48" i="38"/>
  <c r="V54" i="38" s="1"/>
  <c r="AJ55" i="38"/>
  <c r="AA57" i="38"/>
  <c r="AF45" i="38"/>
  <c r="AF56" i="38" s="1"/>
  <c r="AF46" i="38"/>
  <c r="AF50" i="38" s="1"/>
  <c r="AQ55" i="38"/>
  <c r="AB57" i="38"/>
  <c r="AQ60" i="38"/>
  <c r="AG45" i="38"/>
  <c r="AG47" i="38" s="1"/>
  <c r="AG46" i="38"/>
  <c r="AG50" i="38" s="1"/>
  <c r="L55" i="38"/>
  <c r="L57" i="38"/>
  <c r="AI57" i="38"/>
  <c r="AN46" i="38"/>
  <c r="AN50" i="38" s="1"/>
  <c r="I55" i="38"/>
  <c r="G46" i="38"/>
  <c r="G50" i="38" s="1"/>
  <c r="F46" i="38"/>
  <c r="F50" i="38" s="1"/>
  <c r="E46" i="38"/>
  <c r="E50" i="38" s="1"/>
  <c r="D44" i="38"/>
  <c r="D60" i="38" s="1"/>
  <c r="C19" i="38"/>
  <c r="D19" i="38"/>
  <c r="D54" i="38"/>
  <c r="S45" i="38"/>
  <c r="S53" i="38" s="1"/>
  <c r="Q55" i="38"/>
  <c r="I60" i="38"/>
  <c r="G45" i="38"/>
  <c r="G47" i="38" s="1"/>
  <c r="L60" i="38"/>
  <c r="H45" i="38"/>
  <c r="H47" i="38" s="1"/>
  <c r="R45" i="38"/>
  <c r="R47" i="38" s="1"/>
  <c r="C44" i="38"/>
  <c r="C57" i="38" s="1"/>
  <c r="S55" i="38"/>
  <c r="S60" i="38"/>
  <c r="T61" i="38"/>
  <c r="T55" i="38"/>
  <c r="E57" i="38"/>
  <c r="L45" i="38"/>
  <c r="L47" i="38" s="1"/>
  <c r="T45" i="38"/>
  <c r="I57" i="38"/>
  <c r="C29" i="38"/>
  <c r="C48" i="38" s="1"/>
  <c r="C54" i="38" s="1"/>
  <c r="F45" i="38"/>
  <c r="F56" i="38" s="1"/>
  <c r="P46" i="38"/>
  <c r="P50" i="38" s="1"/>
  <c r="M61" i="38"/>
  <c r="M60" i="38"/>
  <c r="U61" i="38"/>
  <c r="V61" i="38"/>
  <c r="M45" i="38"/>
  <c r="M46" i="38"/>
  <c r="M50" i="38" s="1"/>
  <c r="AK45" i="38"/>
  <c r="AK46" i="38"/>
  <c r="AK50" i="38" s="1"/>
  <c r="AK48" i="38"/>
  <c r="AK54" i="38" s="1"/>
  <c r="X60" i="38"/>
  <c r="X57" i="38"/>
  <c r="X61" i="38"/>
  <c r="I45" i="38"/>
  <c r="AL46" i="38"/>
  <c r="AL50" i="38" s="1"/>
  <c r="AL45" i="38"/>
  <c r="G57" i="38"/>
  <c r="G61" i="38"/>
  <c r="G60" i="38"/>
  <c r="G55" i="38"/>
  <c r="Y57" i="38"/>
  <c r="Y61" i="38"/>
  <c r="Y60" i="38"/>
  <c r="N45" i="38"/>
  <c r="H46" i="38"/>
  <c r="H50" i="38" s="1"/>
  <c r="AB48" i="38"/>
  <c r="AB54" i="38" s="1"/>
  <c r="AD61" i="38"/>
  <c r="H60" i="38"/>
  <c r="H61" i="38"/>
  <c r="H57" i="38"/>
  <c r="H55" i="38"/>
  <c r="R60" i="38"/>
  <c r="R61" i="38"/>
  <c r="R57" i="38"/>
  <c r="Z60" i="38"/>
  <c r="Z61" i="38"/>
  <c r="AH60" i="38"/>
  <c r="AH61" i="38"/>
  <c r="AP60" i="38"/>
  <c r="AP61" i="38"/>
  <c r="AP57" i="38"/>
  <c r="AP55" i="38"/>
  <c r="O45" i="38"/>
  <c r="AA45" i="38"/>
  <c r="I46" i="38"/>
  <c r="I50" i="38" s="1"/>
  <c r="AI46" i="38"/>
  <c r="AI50" i="38" s="1"/>
  <c r="AQ48" i="38"/>
  <c r="AQ54" i="38" s="1"/>
  <c r="X55" i="38"/>
  <c r="AE57" i="38"/>
  <c r="AE61" i="38"/>
  <c r="AK61" i="38"/>
  <c r="AK60" i="38"/>
  <c r="AK57" i="38"/>
  <c r="AH48" i="38"/>
  <c r="AH54" i="38" s="1"/>
  <c r="AD55" i="38"/>
  <c r="AD57" i="38"/>
  <c r="U60" i="38"/>
  <c r="AJ45" i="38"/>
  <c r="AJ48" i="38"/>
  <c r="AJ54" i="38" s="1"/>
  <c r="O55" i="38"/>
  <c r="O61" i="38"/>
  <c r="O60" i="38"/>
  <c r="O57" i="38"/>
  <c r="AM55" i="38"/>
  <c r="AM57" i="38"/>
  <c r="AM61" i="38"/>
  <c r="AM60" i="38"/>
  <c r="AH45" i="38"/>
  <c r="AP46" i="38"/>
  <c r="AP50" i="38" s="1"/>
  <c r="V60" i="38"/>
  <c r="U45" i="38"/>
  <c r="U46" i="38"/>
  <c r="U50" i="38" s="1"/>
  <c r="F60" i="38"/>
  <c r="F57" i="38"/>
  <c r="AF60" i="38"/>
  <c r="AF57" i="38"/>
  <c r="AF55" i="38"/>
  <c r="X45" i="38"/>
  <c r="T46" i="38"/>
  <c r="T50" i="38" s="1"/>
  <c r="M48" i="38"/>
  <c r="M54" i="38" s="1"/>
  <c r="F55" i="38"/>
  <c r="AG57" i="38"/>
  <c r="AG61" i="38"/>
  <c r="AG60" i="38"/>
  <c r="Y45" i="38"/>
  <c r="N48" i="38"/>
  <c r="N54" i="38" s="1"/>
  <c r="AE48" i="38"/>
  <c r="AE54" i="38" s="1"/>
  <c r="AE46" i="38"/>
  <c r="AE50" i="38" s="1"/>
  <c r="AD45" i="38"/>
  <c r="L46" i="38"/>
  <c r="L50" i="38" s="1"/>
  <c r="AJ46" i="38"/>
  <c r="AJ50" i="38" s="1"/>
  <c r="R48" i="38"/>
  <c r="R54" i="38" s="1"/>
  <c r="AD48" i="38"/>
  <c r="AD54" i="38" s="1"/>
  <c r="M55" i="38"/>
  <c r="Y55" i="38"/>
  <c r="AK55" i="38"/>
  <c r="AH57" i="38"/>
  <c r="AE60" i="38"/>
  <c r="AF61" i="38"/>
  <c r="Z45" i="38"/>
  <c r="Z48" i="38"/>
  <c r="Z54" i="38" s="1"/>
  <c r="AC61" i="38"/>
  <c r="AC60" i="38"/>
  <c r="AC57" i="38"/>
  <c r="AC55" i="38"/>
  <c r="H48" i="38"/>
  <c r="H54" i="38" s="1"/>
  <c r="N55" i="38"/>
  <c r="N61" i="38"/>
  <c r="N60" i="38"/>
  <c r="AL55" i="38"/>
  <c r="AL61" i="38"/>
  <c r="AL60" i="38"/>
  <c r="AL57" i="38"/>
  <c r="V45" i="38"/>
  <c r="AI48" i="38"/>
  <c r="AI54" i="38" s="1"/>
  <c r="W55" i="38"/>
  <c r="W61" i="38"/>
  <c r="W60" i="38"/>
  <c r="R46" i="38"/>
  <c r="R50" i="38" s="1"/>
  <c r="L48" i="38"/>
  <c r="L54" i="38" s="1"/>
  <c r="AC45" i="38"/>
  <c r="AC46" i="38"/>
  <c r="AC50" i="38" s="1"/>
  <c r="P60" i="38"/>
  <c r="P57" i="38"/>
  <c r="P45" i="38"/>
  <c r="AN60" i="38"/>
  <c r="AN57" i="38"/>
  <c r="AN61" i="38"/>
  <c r="M57" i="38"/>
  <c r="D46" i="38"/>
  <c r="D50" i="38" s="1"/>
  <c r="Q57" i="38"/>
  <c r="Q61" i="38"/>
  <c r="Q60" i="38"/>
  <c r="AO57" i="38"/>
  <c r="AO61" i="38"/>
  <c r="AO60" i="38"/>
  <c r="AO55" i="38"/>
  <c r="AP48" i="38"/>
  <c r="AP54" i="38" s="1"/>
  <c r="U55" i="38"/>
  <c r="E60" i="38"/>
  <c r="E61" i="38"/>
  <c r="E45" i="38"/>
  <c r="AE45" i="38"/>
  <c r="O46" i="38"/>
  <c r="O50" i="38" s="1"/>
  <c r="Z46" i="38"/>
  <c r="Z50" i="38" s="1"/>
  <c r="AM46" i="38"/>
  <c r="AM50" i="38" s="1"/>
  <c r="S48" i="38"/>
  <c r="S54" i="38" s="1"/>
  <c r="P55" i="38"/>
  <c r="Z55" i="38"/>
  <c r="AN55" i="38"/>
  <c r="P61" i="38"/>
  <c r="C28" i="37"/>
  <c r="C45" i="37" s="1"/>
  <c r="C49" i="37" s="1"/>
  <c r="C47" i="37"/>
  <c r="C53" i="37" s="1"/>
  <c r="C57" i="37"/>
  <c r="C58" i="37"/>
  <c r="C56" i="37"/>
  <c r="C54" i="37"/>
  <c r="D46" i="37"/>
  <c r="E46" i="37"/>
  <c r="F46" i="37"/>
  <c r="D45" i="37"/>
  <c r="D49" i="37" s="1"/>
  <c r="E45" i="37"/>
  <c r="E49" i="37" s="1"/>
  <c r="F45" i="37"/>
  <c r="F49" i="37" s="1"/>
  <c r="F57" i="36"/>
  <c r="F54" i="36"/>
  <c r="C11" i="36"/>
  <c r="E54" i="36"/>
  <c r="C3" i="36"/>
  <c r="C34" i="36"/>
  <c r="C43" i="36" s="1"/>
  <c r="C54" i="36" s="1"/>
  <c r="C20" i="36"/>
  <c r="D18" i="36"/>
  <c r="F56" i="36"/>
  <c r="D56" i="36"/>
  <c r="D44" i="36"/>
  <c r="D55" i="36" s="1"/>
  <c r="D58" i="36"/>
  <c r="E44" i="36"/>
  <c r="E46" i="36" s="1"/>
  <c r="E48" i="36" s="1"/>
  <c r="E58" i="36"/>
  <c r="D54" i="36"/>
  <c r="F58" i="36"/>
  <c r="F44" i="36"/>
  <c r="F55" i="36" s="1"/>
  <c r="C28" i="36"/>
  <c r="C45" i="36" s="1"/>
  <c r="C49" i="36" s="1"/>
  <c r="C18" i="36"/>
  <c r="D45" i="36"/>
  <c r="D49" i="36" s="1"/>
  <c r="E45" i="36"/>
  <c r="E49" i="36" s="1"/>
  <c r="E59" i="36"/>
  <c r="F45" i="36"/>
  <c r="F49" i="36" s="1"/>
  <c r="AD29" i="35"/>
  <c r="AB47" i="38" l="1"/>
  <c r="AB53" i="38"/>
  <c r="AG56" i="38"/>
  <c r="C61" i="38"/>
  <c r="W47" i="38"/>
  <c r="W51" i="38" s="1"/>
  <c r="AI47" i="38"/>
  <c r="AI51" i="38" s="1"/>
  <c r="AO47" i="38"/>
  <c r="AO49" i="38" s="1"/>
  <c r="AO53" i="38"/>
  <c r="W53" i="38"/>
  <c r="AF47" i="38"/>
  <c r="AF53" i="38"/>
  <c r="S56" i="38"/>
  <c r="AN47" i="38"/>
  <c r="AN49" i="38" s="1"/>
  <c r="AQ53" i="38"/>
  <c r="AQ49" i="38"/>
  <c r="AP56" i="38"/>
  <c r="S47" i="38"/>
  <c r="S52" i="38" s="1"/>
  <c r="AM56" i="38"/>
  <c r="AG53" i="38"/>
  <c r="AN53" i="38"/>
  <c r="AQ56" i="38"/>
  <c r="G52" i="38"/>
  <c r="Q47" i="38"/>
  <c r="Q51" i="38" s="1"/>
  <c r="Q53" i="38"/>
  <c r="G56" i="38"/>
  <c r="AP53" i="38"/>
  <c r="T53" i="38"/>
  <c r="G53" i="38"/>
  <c r="G49" i="38"/>
  <c r="F53" i="38"/>
  <c r="D57" i="38"/>
  <c r="D55" i="38"/>
  <c r="D45" i="38"/>
  <c r="D47" i="38" s="1"/>
  <c r="D61" i="38"/>
  <c r="C60" i="38"/>
  <c r="C46" i="38"/>
  <c r="C50" i="38" s="1"/>
  <c r="C55" i="38"/>
  <c r="C45" i="38"/>
  <c r="C47" i="38" s="1"/>
  <c r="C51" i="38" s="1"/>
  <c r="T47" i="38"/>
  <c r="T49" i="38" s="1"/>
  <c r="T56" i="38"/>
  <c r="R56" i="38"/>
  <c r="L56" i="38"/>
  <c r="H56" i="38"/>
  <c r="G51" i="38"/>
  <c r="F47" i="38"/>
  <c r="F52" i="38" s="1"/>
  <c r="R53" i="38"/>
  <c r="M53" i="38"/>
  <c r="M56" i="38"/>
  <c r="M47" i="38"/>
  <c r="AM53" i="38"/>
  <c r="AL47" i="38"/>
  <c r="AL53" i="38"/>
  <c r="AL56" i="38"/>
  <c r="AP51" i="38"/>
  <c r="AP49" i="38"/>
  <c r="AP52" i="38"/>
  <c r="E47" i="38"/>
  <c r="E56" i="38"/>
  <c r="E53" i="38"/>
  <c r="V47" i="38"/>
  <c r="V56" i="38"/>
  <c r="V53" i="38"/>
  <c r="Z53" i="38"/>
  <c r="Z47" i="38"/>
  <c r="Z56" i="38"/>
  <c r="X56" i="38"/>
  <c r="X53" i="38"/>
  <c r="X47" i="38"/>
  <c r="AJ53" i="38"/>
  <c r="AJ56" i="38"/>
  <c r="AJ47" i="38"/>
  <c r="H51" i="38"/>
  <c r="H49" i="38"/>
  <c r="H52" i="38"/>
  <c r="AD47" i="38"/>
  <c r="AD56" i="38"/>
  <c r="AD53" i="38"/>
  <c r="AF49" i="38"/>
  <c r="AF51" i="38"/>
  <c r="AF52" i="38"/>
  <c r="L52" i="38"/>
  <c r="L49" i="38"/>
  <c r="L51" i="38"/>
  <c r="AC53" i="38"/>
  <c r="AC56" i="38"/>
  <c r="AC47" i="38"/>
  <c r="L53" i="38"/>
  <c r="N47" i="38"/>
  <c r="N53" i="38"/>
  <c r="N56" i="38"/>
  <c r="AG49" i="38"/>
  <c r="AG52" i="38"/>
  <c r="AG51" i="38"/>
  <c r="Y56" i="38"/>
  <c r="Y47" i="38"/>
  <c r="Y53" i="38"/>
  <c r="AK53" i="38"/>
  <c r="AK47" i="38"/>
  <c r="AK56" i="38"/>
  <c r="R51" i="38"/>
  <c r="R52" i="38"/>
  <c r="R49" i="38"/>
  <c r="P56" i="38"/>
  <c r="P47" i="38"/>
  <c r="P53" i="38"/>
  <c r="O47" i="38"/>
  <c r="O56" i="38"/>
  <c r="O53" i="38"/>
  <c r="I53" i="38"/>
  <c r="I56" i="38"/>
  <c r="I47" i="38"/>
  <c r="AM49" i="38"/>
  <c r="AM52" i="38"/>
  <c r="AM51" i="38"/>
  <c r="AE47" i="38"/>
  <c r="AE56" i="38"/>
  <c r="AE53" i="38"/>
  <c r="U53" i="38"/>
  <c r="U47" i="38"/>
  <c r="U56" i="38"/>
  <c r="AH53" i="38"/>
  <c r="AH47" i="38"/>
  <c r="AH56" i="38"/>
  <c r="AA56" i="38"/>
  <c r="AA53" i="38"/>
  <c r="AA47" i="38"/>
  <c r="AB52" i="38"/>
  <c r="AB51" i="38"/>
  <c r="AB49" i="38"/>
  <c r="AI53" i="38"/>
  <c r="H53" i="38"/>
  <c r="AQ51" i="38"/>
  <c r="C44" i="37"/>
  <c r="D59" i="37"/>
  <c r="D51" i="37"/>
  <c r="D50" i="37"/>
  <c r="D48" i="37"/>
  <c r="F52" i="37"/>
  <c r="F59" i="37"/>
  <c r="F51" i="37"/>
  <c r="F50" i="37"/>
  <c r="F48" i="37"/>
  <c r="E52" i="37"/>
  <c r="E59" i="37"/>
  <c r="E51" i="37"/>
  <c r="E50" i="37"/>
  <c r="E48" i="37"/>
  <c r="C55" i="37"/>
  <c r="C52" i="37"/>
  <c r="C46" i="37"/>
  <c r="D52" i="37"/>
  <c r="F46" i="36"/>
  <c r="F59" i="36" s="1"/>
  <c r="E55" i="36"/>
  <c r="C58" i="36"/>
  <c r="C57" i="36"/>
  <c r="C56" i="36"/>
  <c r="D46" i="36"/>
  <c r="D48" i="36" s="1"/>
  <c r="C44" i="36"/>
  <c r="C55" i="36" s="1"/>
  <c r="D52" i="36"/>
  <c r="E50" i="36"/>
  <c r="C47" i="36"/>
  <c r="C53" i="36" s="1"/>
  <c r="E51" i="36"/>
  <c r="F52" i="36"/>
  <c r="E52" i="36"/>
  <c r="W48" i="35"/>
  <c r="W54" i="35" s="1"/>
  <c r="AB46" i="35"/>
  <c r="AB50" i="35" s="1"/>
  <c r="AL44" i="35"/>
  <c r="AL58" i="35" s="1"/>
  <c r="AK44" i="35"/>
  <c r="AJ44" i="35"/>
  <c r="W44" i="35"/>
  <c r="W59" i="35" s="1"/>
  <c r="V44" i="35"/>
  <c r="O44" i="35"/>
  <c r="O55" i="35" s="1"/>
  <c r="N44" i="35"/>
  <c r="N58" i="35" s="1"/>
  <c r="M44" i="35"/>
  <c r="M58" i="35" s="1"/>
  <c r="G44" i="35"/>
  <c r="F44" i="35"/>
  <c r="C43" i="35"/>
  <c r="C42" i="35"/>
  <c r="C41" i="35"/>
  <c r="C40" i="35"/>
  <c r="C39" i="35"/>
  <c r="C38" i="35"/>
  <c r="C37" i="35"/>
  <c r="C36" i="35"/>
  <c r="C35" i="35"/>
  <c r="AI44" i="35"/>
  <c r="AB44" i="35"/>
  <c r="AA44" i="35"/>
  <c r="T44" i="35"/>
  <c r="S44" i="35"/>
  <c r="L44" i="35"/>
  <c r="K44" i="35"/>
  <c r="K55" i="35" s="1"/>
  <c r="D44" i="35"/>
  <c r="C34" i="35"/>
  <c r="C33" i="35"/>
  <c r="AG44" i="35"/>
  <c r="AF44" i="35"/>
  <c r="AE44" i="35"/>
  <c r="AE59" i="35" s="1"/>
  <c r="AD44" i="35"/>
  <c r="AC44" i="35"/>
  <c r="Y44" i="35"/>
  <c r="Y57" i="35" s="1"/>
  <c r="X44" i="35"/>
  <c r="U44" i="35"/>
  <c r="Q44" i="35"/>
  <c r="Q55" i="35" s="1"/>
  <c r="P44" i="35"/>
  <c r="I44" i="35"/>
  <c r="H44" i="35"/>
  <c r="E44" i="35"/>
  <c r="C31" i="35"/>
  <c r="C30" i="35"/>
  <c r="AL29" i="35"/>
  <c r="AK29" i="35"/>
  <c r="AJ29" i="35"/>
  <c r="AJ46" i="35" s="1"/>
  <c r="AJ50" i="35" s="1"/>
  <c r="AI29" i="35"/>
  <c r="AI46" i="35" s="1"/>
  <c r="AI50" i="35" s="1"/>
  <c r="AH29" i="35"/>
  <c r="AH48" i="35" s="1"/>
  <c r="AH54" i="35" s="1"/>
  <c r="AG29" i="35"/>
  <c r="AG48" i="35" s="1"/>
  <c r="AG54" i="35" s="1"/>
  <c r="AF29" i="35"/>
  <c r="AF46" i="35" s="1"/>
  <c r="AF50" i="35" s="1"/>
  <c r="AE29" i="35"/>
  <c r="AE48" i="35" s="1"/>
  <c r="AE54" i="35" s="1"/>
  <c r="AC29" i="35"/>
  <c r="AB29" i="35"/>
  <c r="AB48" i="35" s="1"/>
  <c r="AB54" i="35" s="1"/>
  <c r="AA29" i="35"/>
  <c r="AA46" i="35" s="1"/>
  <c r="AA50" i="35" s="1"/>
  <c r="Z29" i="35"/>
  <c r="Z48" i="35" s="1"/>
  <c r="Z54" i="35" s="1"/>
  <c r="Y29" i="35"/>
  <c r="Y48" i="35" s="1"/>
  <c r="Y54" i="35" s="1"/>
  <c r="X29" i="35"/>
  <c r="X48" i="35" s="1"/>
  <c r="X54" i="35" s="1"/>
  <c r="W29" i="35"/>
  <c r="W46" i="35" s="1"/>
  <c r="W50" i="35" s="1"/>
  <c r="V29" i="35"/>
  <c r="V48" i="35" s="1"/>
  <c r="V54" i="35" s="1"/>
  <c r="U29" i="35"/>
  <c r="T29" i="35"/>
  <c r="T46" i="35" s="1"/>
  <c r="T50" i="35" s="1"/>
  <c r="S29" i="35"/>
  <c r="S48" i="35" s="1"/>
  <c r="S54" i="35" s="1"/>
  <c r="R29" i="35"/>
  <c r="R48" i="35" s="1"/>
  <c r="R54" i="35" s="1"/>
  <c r="Q29" i="35"/>
  <c r="Q48" i="35" s="1"/>
  <c r="Q54" i="35" s="1"/>
  <c r="P29" i="35"/>
  <c r="P46" i="35" s="1"/>
  <c r="P50" i="35" s="1"/>
  <c r="O29" i="35"/>
  <c r="O48" i="35" s="1"/>
  <c r="O54" i="35" s="1"/>
  <c r="N29" i="35"/>
  <c r="M29" i="35"/>
  <c r="L29" i="35"/>
  <c r="L46" i="35" s="1"/>
  <c r="L50" i="35" s="1"/>
  <c r="K29" i="35"/>
  <c r="K46" i="35" s="1"/>
  <c r="K50" i="35" s="1"/>
  <c r="J29" i="35"/>
  <c r="J48" i="35" s="1"/>
  <c r="J54" i="35" s="1"/>
  <c r="I29" i="35"/>
  <c r="I48" i="35" s="1"/>
  <c r="I54" i="35" s="1"/>
  <c r="H29" i="35"/>
  <c r="H46" i="35" s="1"/>
  <c r="H50" i="35" s="1"/>
  <c r="G29" i="35"/>
  <c r="G48" i="35" s="1"/>
  <c r="G54" i="35" s="1"/>
  <c r="F29" i="35"/>
  <c r="F46" i="35" s="1"/>
  <c r="F50" i="35" s="1"/>
  <c r="E29" i="35"/>
  <c r="D29" i="35"/>
  <c r="D46" i="35" s="1"/>
  <c r="D50" i="35" s="1"/>
  <c r="C28" i="35"/>
  <c r="C27" i="35"/>
  <c r="C26" i="35"/>
  <c r="C25" i="35"/>
  <c r="C24" i="35"/>
  <c r="C23" i="35"/>
  <c r="C22" i="35"/>
  <c r="C21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W49" i="38" l="1"/>
  <c r="W52" i="38"/>
  <c r="AI49" i="38"/>
  <c r="S51" i="38"/>
  <c r="AI52" i="38"/>
  <c r="AO52" i="38"/>
  <c r="AO51" i="38"/>
  <c r="Q49" i="38"/>
  <c r="AN52" i="38"/>
  <c r="S49" i="38"/>
  <c r="Q52" i="38"/>
  <c r="T52" i="38"/>
  <c r="AN51" i="38"/>
  <c r="F51" i="38"/>
  <c r="F49" i="38"/>
  <c r="D53" i="38"/>
  <c r="D56" i="38"/>
  <c r="C49" i="38"/>
  <c r="C53" i="38"/>
  <c r="C52" i="38"/>
  <c r="C56" i="38"/>
  <c r="T51" i="38"/>
  <c r="I51" i="38"/>
  <c r="I52" i="38"/>
  <c r="I49" i="38"/>
  <c r="E49" i="38"/>
  <c r="E51" i="38"/>
  <c r="E52" i="38"/>
  <c r="AK51" i="38"/>
  <c r="AK52" i="38"/>
  <c r="AK49" i="38"/>
  <c r="Z51" i="38"/>
  <c r="Z49" i="38"/>
  <c r="Z52" i="38"/>
  <c r="O51" i="38"/>
  <c r="O52" i="38"/>
  <c r="O49" i="38"/>
  <c r="N51" i="38"/>
  <c r="N52" i="38"/>
  <c r="N49" i="38"/>
  <c r="AD49" i="38"/>
  <c r="AD52" i="38"/>
  <c r="AD51" i="38"/>
  <c r="M51" i="38"/>
  <c r="M52" i="38"/>
  <c r="M49" i="38"/>
  <c r="U52" i="38"/>
  <c r="U51" i="38"/>
  <c r="U49" i="38"/>
  <c r="AL51" i="38"/>
  <c r="AL52" i="38"/>
  <c r="AL49" i="38"/>
  <c r="AA51" i="38"/>
  <c r="AA52" i="38"/>
  <c r="AA49" i="38"/>
  <c r="Y49" i="38"/>
  <c r="Y51" i="38"/>
  <c r="Y52" i="38"/>
  <c r="D51" i="38"/>
  <c r="D49" i="38"/>
  <c r="D52" i="38"/>
  <c r="AJ52" i="38"/>
  <c r="AJ49" i="38"/>
  <c r="AJ51" i="38"/>
  <c r="AE52" i="38"/>
  <c r="AE49" i="38"/>
  <c r="AE51" i="38"/>
  <c r="AH51" i="38"/>
  <c r="AH52" i="38"/>
  <c r="AH49" i="38"/>
  <c r="P49" i="38"/>
  <c r="P51" i="38"/>
  <c r="P52" i="38"/>
  <c r="AC49" i="38"/>
  <c r="AC51" i="38"/>
  <c r="AC52" i="38"/>
  <c r="X49" i="38"/>
  <c r="X52" i="38"/>
  <c r="X51" i="38"/>
  <c r="V49" i="38"/>
  <c r="V51" i="38"/>
  <c r="V52" i="38"/>
  <c r="C59" i="37"/>
  <c r="C51" i="37"/>
  <c r="C50" i="37"/>
  <c r="C48" i="37"/>
  <c r="F48" i="36"/>
  <c r="F50" i="36"/>
  <c r="F51" i="36"/>
  <c r="D51" i="36"/>
  <c r="D50" i="36"/>
  <c r="D59" i="36"/>
  <c r="C46" i="36"/>
  <c r="C50" i="36" s="1"/>
  <c r="C52" i="36"/>
  <c r="AE46" i="35"/>
  <c r="AE50" i="35" s="1"/>
  <c r="U45" i="35"/>
  <c r="U56" i="35" s="1"/>
  <c r="T48" i="35"/>
  <c r="T54" i="35" s="1"/>
  <c r="O57" i="35"/>
  <c r="O45" i="35"/>
  <c r="O46" i="35"/>
  <c r="O50" i="35" s="1"/>
  <c r="G46" i="35"/>
  <c r="G50" i="35" s="1"/>
  <c r="F48" i="35"/>
  <c r="F54" i="35" s="1"/>
  <c r="AE55" i="35"/>
  <c r="AE45" i="35"/>
  <c r="AE47" i="35" s="1"/>
  <c r="AE49" i="35" s="1"/>
  <c r="AD45" i="35"/>
  <c r="AD56" i="35" s="1"/>
  <c r="AL45" i="35"/>
  <c r="AL56" i="35" s="1"/>
  <c r="K45" i="35"/>
  <c r="K53" i="35" s="1"/>
  <c r="O58" i="35"/>
  <c r="AE52" i="35"/>
  <c r="H48" i="35"/>
  <c r="H54" i="35" s="1"/>
  <c r="AF48" i="35"/>
  <c r="AF54" i="35" s="1"/>
  <c r="P48" i="35"/>
  <c r="P54" i="35" s="1"/>
  <c r="C29" i="35"/>
  <c r="C48" i="35" s="1"/>
  <c r="C54" i="35" s="1"/>
  <c r="AG45" i="35"/>
  <c r="AG56" i="35" s="1"/>
  <c r="X46" i="35"/>
  <c r="X50" i="35" s="1"/>
  <c r="K48" i="35"/>
  <c r="K54" i="35" s="1"/>
  <c r="AI48" i="35"/>
  <c r="AI54" i="35" s="1"/>
  <c r="L48" i="35"/>
  <c r="L54" i="35" s="1"/>
  <c r="C19" i="35"/>
  <c r="X58" i="35"/>
  <c r="X59" i="35"/>
  <c r="X55" i="35"/>
  <c r="X57" i="35"/>
  <c r="X45" i="35"/>
  <c r="AA57" i="35"/>
  <c r="AA59" i="35"/>
  <c r="AA55" i="35"/>
  <c r="AA58" i="35"/>
  <c r="P58" i="35"/>
  <c r="P57" i="35"/>
  <c r="P55" i="35"/>
  <c r="P59" i="35"/>
  <c r="AF58" i="35"/>
  <c r="AF57" i="35"/>
  <c r="AF59" i="35"/>
  <c r="AF45" i="35"/>
  <c r="AF55" i="35"/>
  <c r="S59" i="35"/>
  <c r="S58" i="35"/>
  <c r="S57" i="35"/>
  <c r="S45" i="35"/>
  <c r="S55" i="35"/>
  <c r="AI59" i="35"/>
  <c r="AI58" i="35"/>
  <c r="AI55" i="35"/>
  <c r="AI45" i="35"/>
  <c r="AI57" i="35"/>
  <c r="D59" i="35"/>
  <c r="D57" i="35"/>
  <c r="D55" i="35"/>
  <c r="D58" i="35"/>
  <c r="L59" i="35"/>
  <c r="L55" i="35"/>
  <c r="L57" i="35"/>
  <c r="L45" i="35"/>
  <c r="L58" i="35"/>
  <c r="AB59" i="35"/>
  <c r="AB55" i="35"/>
  <c r="AB57" i="35"/>
  <c r="AB58" i="35"/>
  <c r="AB45" i="35"/>
  <c r="E59" i="35"/>
  <c r="E57" i="35"/>
  <c r="E55" i="35"/>
  <c r="E58" i="35"/>
  <c r="AC59" i="35"/>
  <c r="AC57" i="35"/>
  <c r="AC55" i="35"/>
  <c r="AC58" i="35"/>
  <c r="M45" i="35"/>
  <c r="M46" i="35"/>
  <c r="M50" i="35" s="1"/>
  <c r="AC45" i="35"/>
  <c r="AK45" i="35"/>
  <c r="AK48" i="35"/>
  <c r="AK54" i="35" s="1"/>
  <c r="AJ57" i="35"/>
  <c r="AJ59" i="35"/>
  <c r="AJ55" i="35"/>
  <c r="N45" i="35"/>
  <c r="N48" i="35"/>
  <c r="N54" i="35" s="1"/>
  <c r="I58" i="35"/>
  <c r="I59" i="35"/>
  <c r="Y58" i="35"/>
  <c r="Y55" i="35"/>
  <c r="T59" i="35"/>
  <c r="T57" i="35"/>
  <c r="T55" i="35"/>
  <c r="T58" i="35"/>
  <c r="G58" i="35"/>
  <c r="G57" i="35"/>
  <c r="G45" i="35"/>
  <c r="AK59" i="35"/>
  <c r="AK57" i="35"/>
  <c r="AK55" i="35"/>
  <c r="O56" i="35"/>
  <c r="AK46" i="35"/>
  <c r="AK50" i="35" s="1"/>
  <c r="O47" i="35"/>
  <c r="U48" i="35"/>
  <c r="U54" i="35" s="1"/>
  <c r="AJ58" i="35"/>
  <c r="AL46" i="35"/>
  <c r="AL50" i="35" s="1"/>
  <c r="P45" i="35"/>
  <c r="K57" i="35"/>
  <c r="C32" i="35"/>
  <c r="T45" i="35"/>
  <c r="U59" i="35"/>
  <c r="U57" i="35"/>
  <c r="U55" i="35"/>
  <c r="U58" i="35"/>
  <c r="AC48" i="35"/>
  <c r="AC54" i="35" s="1"/>
  <c r="G59" i="35"/>
  <c r="AD59" i="35"/>
  <c r="AD57" i="35"/>
  <c r="AD55" i="35"/>
  <c r="AD58" i="35"/>
  <c r="AD46" i="35"/>
  <c r="AD50" i="35" s="1"/>
  <c r="AD48" i="35"/>
  <c r="AD54" i="35" s="1"/>
  <c r="AE51" i="35"/>
  <c r="I55" i="35"/>
  <c r="W57" i="35"/>
  <c r="K59" i="35"/>
  <c r="E45" i="35"/>
  <c r="E48" i="35"/>
  <c r="E54" i="35" s="1"/>
  <c r="U47" i="35"/>
  <c r="H58" i="35"/>
  <c r="H59" i="35"/>
  <c r="F59" i="35"/>
  <c r="F57" i="35"/>
  <c r="F55" i="35"/>
  <c r="F58" i="35"/>
  <c r="V59" i="35"/>
  <c r="V57" i="35"/>
  <c r="V55" i="35"/>
  <c r="H57" i="35"/>
  <c r="F45" i="35"/>
  <c r="V45" i="35"/>
  <c r="V46" i="35"/>
  <c r="V50" i="35" s="1"/>
  <c r="AL47" i="35"/>
  <c r="Q58" i="35"/>
  <c r="Q45" i="35"/>
  <c r="Q57" i="35"/>
  <c r="AG58" i="35"/>
  <c r="AG59" i="35"/>
  <c r="U46" i="35"/>
  <c r="U50" i="35" s="1"/>
  <c r="I57" i="35"/>
  <c r="Q59" i="35"/>
  <c r="AL59" i="35"/>
  <c r="AL57" i="35"/>
  <c r="AL55" i="35"/>
  <c r="AL48" i="35"/>
  <c r="AL54" i="35" s="1"/>
  <c r="AG57" i="35"/>
  <c r="AK58" i="35"/>
  <c r="M59" i="35"/>
  <c r="M57" i="35"/>
  <c r="M55" i="35"/>
  <c r="W55" i="35"/>
  <c r="Y59" i="35"/>
  <c r="N59" i="35"/>
  <c r="N57" i="35"/>
  <c r="N55" i="35"/>
  <c r="H45" i="35"/>
  <c r="N46" i="35"/>
  <c r="N50" i="35" s="1"/>
  <c r="G55" i="35"/>
  <c r="V58" i="35"/>
  <c r="I45" i="35"/>
  <c r="W45" i="35"/>
  <c r="AC46" i="35"/>
  <c r="AC50" i="35" s="1"/>
  <c r="M48" i="35"/>
  <c r="M54" i="35" s="1"/>
  <c r="H55" i="35"/>
  <c r="W58" i="35"/>
  <c r="AA48" i="35"/>
  <c r="AA54" i="35" s="1"/>
  <c r="AA45" i="35"/>
  <c r="D48" i="35"/>
  <c r="D54" i="35" s="1"/>
  <c r="D45" i="35"/>
  <c r="AJ48" i="35"/>
  <c r="AJ54" i="35" s="1"/>
  <c r="AJ45" i="35"/>
  <c r="AE58" i="35"/>
  <c r="AE57" i="35"/>
  <c r="Y45" i="35"/>
  <c r="E46" i="35"/>
  <c r="E50" i="35" s="1"/>
  <c r="S46" i="35"/>
  <c r="S50" i="35" s="1"/>
  <c r="AG55" i="35"/>
  <c r="K58" i="35"/>
  <c r="O59" i="35"/>
  <c r="J44" i="35"/>
  <c r="R44" i="35"/>
  <c r="Z44" i="35"/>
  <c r="AH44" i="35"/>
  <c r="I46" i="35"/>
  <c r="I50" i="35" s="1"/>
  <c r="Q46" i="35"/>
  <c r="Q50" i="35" s="1"/>
  <c r="Y46" i="35"/>
  <c r="Y50" i="35" s="1"/>
  <c r="AG46" i="35"/>
  <c r="AG50" i="35" s="1"/>
  <c r="J46" i="35"/>
  <c r="J50" i="35" s="1"/>
  <c r="R46" i="35"/>
  <c r="R50" i="35" s="1"/>
  <c r="Z46" i="35"/>
  <c r="Z50" i="35" s="1"/>
  <c r="AH46" i="35"/>
  <c r="AH50" i="35" s="1"/>
  <c r="C35" i="34"/>
  <c r="C32" i="34"/>
  <c r="D44" i="34"/>
  <c r="C14" i="34"/>
  <c r="C13" i="34"/>
  <c r="C12" i="34"/>
  <c r="C11" i="34"/>
  <c r="AC54" i="34"/>
  <c r="Z46" i="34"/>
  <c r="Z50" i="34" s="1"/>
  <c r="O46" i="34"/>
  <c r="O50" i="34" s="1"/>
  <c r="AZ44" i="34"/>
  <c r="AW44" i="34"/>
  <c r="AW58" i="34" s="1"/>
  <c r="AQ44" i="34"/>
  <c r="AO44" i="34"/>
  <c r="AG44" i="34"/>
  <c r="AG59" i="34" s="1"/>
  <c r="Y44" i="34"/>
  <c r="Y58" i="34" s="1"/>
  <c r="W44" i="34"/>
  <c r="V44" i="34"/>
  <c r="V58" i="34" s="1"/>
  <c r="T44" i="34"/>
  <c r="P44" i="34"/>
  <c r="O44" i="34"/>
  <c r="L44" i="34"/>
  <c r="L58" i="34" s="1"/>
  <c r="K44" i="34"/>
  <c r="K55" i="34" s="1"/>
  <c r="G44" i="34"/>
  <c r="G59" i="34" s="1"/>
  <c r="C43" i="34"/>
  <c r="C42" i="34"/>
  <c r="C41" i="34"/>
  <c r="C40" i="34"/>
  <c r="C39" i="34"/>
  <c r="C38" i="34"/>
  <c r="C37" i="34"/>
  <c r="C36" i="34"/>
  <c r="BA44" i="34"/>
  <c r="BA57" i="34" s="1"/>
  <c r="AN44" i="34"/>
  <c r="AM44" i="34"/>
  <c r="AF44" i="34"/>
  <c r="AE44" i="34"/>
  <c r="AD44" i="34"/>
  <c r="Z44" i="34"/>
  <c r="X44" i="34"/>
  <c r="S44" i="34"/>
  <c r="R44" i="34"/>
  <c r="Q44" i="34"/>
  <c r="Q59" i="34" s="1"/>
  <c r="N44" i="34"/>
  <c r="M44" i="34"/>
  <c r="M55" i="34" s="1"/>
  <c r="J44" i="34"/>
  <c r="I44" i="34"/>
  <c r="H44" i="34"/>
  <c r="F44" i="34"/>
  <c r="E44" i="34"/>
  <c r="E59" i="34" s="1"/>
  <c r="C33" i="34"/>
  <c r="BB44" i="34"/>
  <c r="AY44" i="34"/>
  <c r="AX44" i="34"/>
  <c r="AT44" i="34"/>
  <c r="AT58" i="34" s="1"/>
  <c r="AL44" i="34"/>
  <c r="AL57" i="34" s="1"/>
  <c r="AI44" i="34"/>
  <c r="AH44" i="34"/>
  <c r="AA44" i="34"/>
  <c r="C31" i="34"/>
  <c r="BC29" i="34"/>
  <c r="BC46" i="34" s="1"/>
  <c r="BC50" i="34" s="1"/>
  <c r="BB29" i="34"/>
  <c r="BB46" i="34" s="1"/>
  <c r="BB50" i="34" s="1"/>
  <c r="BA29" i="34"/>
  <c r="BA48" i="34" s="1"/>
  <c r="BA54" i="34" s="1"/>
  <c r="AZ29" i="34"/>
  <c r="AZ46" i="34" s="1"/>
  <c r="AZ50" i="34" s="1"/>
  <c r="AY29" i="34"/>
  <c r="AX29" i="34"/>
  <c r="AW29" i="34"/>
  <c r="AV29" i="34"/>
  <c r="AU29" i="34"/>
  <c r="AU48" i="34" s="1"/>
  <c r="AU54" i="34" s="1"/>
  <c r="AT29" i="34"/>
  <c r="AT48" i="34" s="1"/>
  <c r="AT54" i="34" s="1"/>
  <c r="AS29" i="34"/>
  <c r="AS48" i="34" s="1"/>
  <c r="AS54" i="34" s="1"/>
  <c r="AR29" i="34"/>
  <c r="AR46" i="34" s="1"/>
  <c r="AR50" i="34" s="1"/>
  <c r="AQ29" i="34"/>
  <c r="AQ46" i="34" s="1"/>
  <c r="AQ50" i="34" s="1"/>
  <c r="AP29" i="34"/>
  <c r="AP46" i="34" s="1"/>
  <c r="AP50" i="34" s="1"/>
  <c r="AO29" i="34"/>
  <c r="AN29" i="34"/>
  <c r="AN48" i="34" s="1"/>
  <c r="AN54" i="34" s="1"/>
  <c r="AM29" i="34"/>
  <c r="AM48" i="34" s="1"/>
  <c r="AM54" i="34" s="1"/>
  <c r="AL29" i="34"/>
  <c r="AL48" i="34" s="1"/>
  <c r="AL54" i="34" s="1"/>
  <c r="AK29" i="34"/>
  <c r="AK48" i="34" s="1"/>
  <c r="AK54" i="34" s="1"/>
  <c r="AJ29" i="34"/>
  <c r="AJ48" i="34" s="1"/>
  <c r="AJ54" i="34" s="1"/>
  <c r="AI29" i="34"/>
  <c r="AH29" i="34"/>
  <c r="AH48" i="34" s="1"/>
  <c r="AH54" i="34" s="1"/>
  <c r="AG29" i="34"/>
  <c r="AF29" i="34"/>
  <c r="AE29" i="34"/>
  <c r="AE46" i="34" s="1"/>
  <c r="AE50" i="34" s="1"/>
  <c r="AD29" i="34"/>
  <c r="AD48" i="34" s="1"/>
  <c r="AD54" i="34" s="1"/>
  <c r="AC29" i="34"/>
  <c r="AC48" i="34" s="1"/>
  <c r="AB29" i="34"/>
  <c r="AB48" i="34" s="1"/>
  <c r="AB54" i="34" s="1"/>
  <c r="AA29" i="34"/>
  <c r="Z29" i="34"/>
  <c r="Z48" i="34" s="1"/>
  <c r="Z54" i="34" s="1"/>
  <c r="Y29" i="34"/>
  <c r="Y48" i="34" s="1"/>
  <c r="Y54" i="34" s="1"/>
  <c r="X29" i="34"/>
  <c r="W29" i="34"/>
  <c r="W46" i="34" s="1"/>
  <c r="W50" i="34" s="1"/>
  <c r="V29" i="34"/>
  <c r="V46" i="34" s="1"/>
  <c r="V50" i="34" s="1"/>
  <c r="U29" i="34"/>
  <c r="U48" i="34" s="1"/>
  <c r="U54" i="34" s="1"/>
  <c r="T29" i="34"/>
  <c r="T45" i="34" s="1"/>
  <c r="T56" i="34" s="1"/>
  <c r="S29" i="34"/>
  <c r="S48" i="34" s="1"/>
  <c r="S54" i="34" s="1"/>
  <c r="R29" i="34"/>
  <c r="R46" i="34" s="1"/>
  <c r="R50" i="34" s="1"/>
  <c r="Q29" i="34"/>
  <c r="Q48" i="34" s="1"/>
  <c r="Q54" i="34" s="1"/>
  <c r="P29" i="34"/>
  <c r="P48" i="34" s="1"/>
  <c r="P54" i="34" s="1"/>
  <c r="O29" i="34"/>
  <c r="O48" i="34" s="1"/>
  <c r="O54" i="34" s="1"/>
  <c r="N29" i="34"/>
  <c r="N46" i="34" s="1"/>
  <c r="N50" i="34" s="1"/>
  <c r="M29" i="34"/>
  <c r="M48" i="34" s="1"/>
  <c r="M54" i="34" s="1"/>
  <c r="L29" i="34"/>
  <c r="K29" i="34"/>
  <c r="J29" i="34"/>
  <c r="J46" i="34" s="1"/>
  <c r="J50" i="34" s="1"/>
  <c r="I29" i="34"/>
  <c r="I48" i="34" s="1"/>
  <c r="I54" i="34" s="1"/>
  <c r="H29" i="34"/>
  <c r="G29" i="34"/>
  <c r="G46" i="34" s="1"/>
  <c r="G50" i="34" s="1"/>
  <c r="F29" i="34"/>
  <c r="F46" i="34" s="1"/>
  <c r="F50" i="34" s="1"/>
  <c r="E29" i="34"/>
  <c r="E48" i="34" s="1"/>
  <c r="E54" i="34" s="1"/>
  <c r="D29" i="34"/>
  <c r="C28" i="34"/>
  <c r="C27" i="34"/>
  <c r="C26" i="34"/>
  <c r="C25" i="34"/>
  <c r="C24" i="34"/>
  <c r="C23" i="34"/>
  <c r="C22" i="34"/>
  <c r="C21" i="34"/>
  <c r="BC19" i="34"/>
  <c r="BB19" i="34"/>
  <c r="BA19" i="34"/>
  <c r="AZ19" i="34"/>
  <c r="AY19" i="34"/>
  <c r="AX19" i="34"/>
  <c r="AW19" i="34"/>
  <c r="AV19" i="34"/>
  <c r="AU19" i="34"/>
  <c r="AT19" i="34"/>
  <c r="AS19" i="34"/>
  <c r="AR19" i="34"/>
  <c r="AQ19" i="34"/>
  <c r="AP19" i="34"/>
  <c r="AO19" i="34"/>
  <c r="AN19" i="34"/>
  <c r="AM19" i="34"/>
  <c r="AL19" i="34"/>
  <c r="AK19" i="34"/>
  <c r="AJ19" i="34"/>
  <c r="AI19" i="34"/>
  <c r="AH19" i="34"/>
  <c r="AG19" i="34"/>
  <c r="AF19" i="34"/>
  <c r="AE19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C18" i="34"/>
  <c r="C17" i="34"/>
  <c r="C16" i="34"/>
  <c r="C15" i="34"/>
  <c r="C10" i="34"/>
  <c r="C9" i="34"/>
  <c r="C8" i="34"/>
  <c r="C7" i="34"/>
  <c r="C6" i="34"/>
  <c r="C5" i="34"/>
  <c r="C4" i="34"/>
  <c r="C51" i="36" l="1"/>
  <c r="C59" i="36"/>
  <c r="C48" i="36"/>
  <c r="AE53" i="35"/>
  <c r="AE56" i="35"/>
  <c r="AD47" i="35"/>
  <c r="AD51" i="35" s="1"/>
  <c r="AD53" i="35"/>
  <c r="O53" i="35"/>
  <c r="K56" i="35"/>
  <c r="C46" i="35"/>
  <c r="C50" i="35" s="1"/>
  <c r="K47" i="35"/>
  <c r="AG47" i="35"/>
  <c r="AG52" i="35" s="1"/>
  <c r="U53" i="35"/>
  <c r="R58" i="35"/>
  <c r="R57" i="35"/>
  <c r="R59" i="35"/>
  <c r="R45" i="35"/>
  <c r="R55" i="35"/>
  <c r="AA53" i="35"/>
  <c r="AA56" i="35"/>
  <c r="AA47" i="35"/>
  <c r="O51" i="35"/>
  <c r="O49" i="35"/>
  <c r="O52" i="35"/>
  <c r="J58" i="35"/>
  <c r="J59" i="35"/>
  <c r="J55" i="35"/>
  <c r="J45" i="35"/>
  <c r="J57" i="35"/>
  <c r="T56" i="35"/>
  <c r="T53" i="35"/>
  <c r="T47" i="35"/>
  <c r="F53" i="35"/>
  <c r="F47" i="35"/>
  <c r="F56" i="35"/>
  <c r="AI53" i="35"/>
  <c r="AI56" i="35"/>
  <c r="AI47" i="35"/>
  <c r="Q56" i="35"/>
  <c r="Q53" i="35"/>
  <c r="Q47" i="35"/>
  <c r="X56" i="35"/>
  <c r="X53" i="35"/>
  <c r="X47" i="35"/>
  <c r="AF56" i="35"/>
  <c r="AF53" i="35"/>
  <c r="AF47" i="35"/>
  <c r="M53" i="35"/>
  <c r="M47" i="35"/>
  <c r="M56" i="35"/>
  <c r="K52" i="35"/>
  <c r="K49" i="35"/>
  <c r="K51" i="35"/>
  <c r="AH58" i="35"/>
  <c r="AH59" i="35"/>
  <c r="AH45" i="35"/>
  <c r="AH55" i="35"/>
  <c r="AH57" i="35"/>
  <c r="W47" i="35"/>
  <c r="W53" i="35"/>
  <c r="W56" i="35"/>
  <c r="AL51" i="35"/>
  <c r="AL49" i="35"/>
  <c r="AL52" i="35"/>
  <c r="AB56" i="35"/>
  <c r="AB47" i="35"/>
  <c r="AB53" i="35"/>
  <c r="Y56" i="35"/>
  <c r="Y53" i="35"/>
  <c r="Y47" i="35"/>
  <c r="E53" i="35"/>
  <c r="E47" i="35"/>
  <c r="E56" i="35"/>
  <c r="V53" i="35"/>
  <c r="V47" i="35"/>
  <c r="V56" i="35"/>
  <c r="C57" i="35"/>
  <c r="C58" i="35"/>
  <c r="C59" i="35"/>
  <c r="C55" i="35"/>
  <c r="AK53" i="35"/>
  <c r="AK47" i="35"/>
  <c r="AK56" i="35"/>
  <c r="AJ53" i="35"/>
  <c r="AJ56" i="35"/>
  <c r="AJ47" i="35"/>
  <c r="AC53" i="35"/>
  <c r="AC47" i="35"/>
  <c r="AC56" i="35"/>
  <c r="H56" i="35"/>
  <c r="H47" i="35"/>
  <c r="H53" i="35"/>
  <c r="P56" i="35"/>
  <c r="P53" i="35"/>
  <c r="P47" i="35"/>
  <c r="L56" i="35"/>
  <c r="L47" i="35"/>
  <c r="L53" i="35"/>
  <c r="D56" i="35"/>
  <c r="D53" i="35"/>
  <c r="D47" i="35"/>
  <c r="U51" i="35"/>
  <c r="U49" i="35"/>
  <c r="U52" i="35"/>
  <c r="N53" i="35"/>
  <c r="N47" i="35"/>
  <c r="N56" i="35"/>
  <c r="AG53" i="35"/>
  <c r="Z58" i="35"/>
  <c r="Z55" i="35"/>
  <c r="Z45" i="35"/>
  <c r="Z59" i="35"/>
  <c r="Z57" i="35"/>
  <c r="I56" i="35"/>
  <c r="I47" i="35"/>
  <c r="I53" i="35"/>
  <c r="AL53" i="35"/>
  <c r="G53" i="35"/>
  <c r="G47" i="35"/>
  <c r="G56" i="35"/>
  <c r="C45" i="35"/>
  <c r="C47" i="35" s="1"/>
  <c r="S47" i="35"/>
  <c r="S53" i="35"/>
  <c r="S56" i="35"/>
  <c r="AU46" i="34"/>
  <c r="AU50" i="34" s="1"/>
  <c r="AT46" i="34"/>
  <c r="AT50" i="34" s="1"/>
  <c r="AS46" i="34"/>
  <c r="AS50" i="34" s="1"/>
  <c r="AP48" i="34"/>
  <c r="AP54" i="34" s="1"/>
  <c r="AL46" i="34"/>
  <c r="AL50" i="34" s="1"/>
  <c r="AG45" i="34"/>
  <c r="AG56" i="34" s="1"/>
  <c r="Y55" i="34"/>
  <c r="R45" i="34"/>
  <c r="R53" i="34" s="1"/>
  <c r="R48" i="34"/>
  <c r="R54" i="34" s="1"/>
  <c r="Q46" i="34"/>
  <c r="Q50" i="34" s="1"/>
  <c r="N48" i="34"/>
  <c r="N54" i="34" s="1"/>
  <c r="L55" i="34"/>
  <c r="G48" i="34"/>
  <c r="G54" i="34" s="1"/>
  <c r="F48" i="34"/>
  <c r="F54" i="34" s="1"/>
  <c r="C30" i="34"/>
  <c r="D19" i="34"/>
  <c r="H45" i="34"/>
  <c r="H56" i="34" s="1"/>
  <c r="P45" i="34"/>
  <c r="P56" i="34" s="1"/>
  <c r="AR48" i="34"/>
  <c r="AR54" i="34" s="1"/>
  <c r="AC46" i="34"/>
  <c r="AC50" i="34" s="1"/>
  <c r="C29" i="34"/>
  <c r="C46" i="34" s="1"/>
  <c r="C50" i="34" s="1"/>
  <c r="BB48" i="34"/>
  <c r="BB54" i="34" s="1"/>
  <c r="BB45" i="34"/>
  <c r="BB47" i="34" s="1"/>
  <c r="BA46" i="34"/>
  <c r="BA50" i="34" s="1"/>
  <c r="BC48" i="34"/>
  <c r="BC54" i="34" s="1"/>
  <c r="AJ46" i="34"/>
  <c r="AJ50" i="34" s="1"/>
  <c r="O45" i="34"/>
  <c r="O47" i="34" s="1"/>
  <c r="I46" i="34"/>
  <c r="I50" i="34" s="1"/>
  <c r="AK46" i="34"/>
  <c r="AK50" i="34" s="1"/>
  <c r="AG47" i="34"/>
  <c r="AG49" i="34" s="1"/>
  <c r="AE48" i="34"/>
  <c r="AE54" i="34" s="1"/>
  <c r="AM58" i="34"/>
  <c r="AM57" i="34"/>
  <c r="AM55" i="34"/>
  <c r="AM59" i="34"/>
  <c r="AH55" i="34"/>
  <c r="AH59" i="34"/>
  <c r="AH57" i="34"/>
  <c r="AH58" i="34"/>
  <c r="AH45" i="34"/>
  <c r="F59" i="34"/>
  <c r="F55" i="34"/>
  <c r="F58" i="34"/>
  <c r="F57" i="34"/>
  <c r="F45" i="34"/>
  <c r="N59" i="34"/>
  <c r="N55" i="34"/>
  <c r="N58" i="34"/>
  <c r="N45" i="34"/>
  <c r="N57" i="34"/>
  <c r="AF57" i="34"/>
  <c r="AF58" i="34"/>
  <c r="AF55" i="34"/>
  <c r="AF59" i="34"/>
  <c r="AE58" i="34"/>
  <c r="AE45" i="34"/>
  <c r="AE55" i="34"/>
  <c r="AE57" i="34"/>
  <c r="AE59" i="34"/>
  <c r="X57" i="34"/>
  <c r="X59" i="34"/>
  <c r="X55" i="34"/>
  <c r="X58" i="34"/>
  <c r="AN57" i="34"/>
  <c r="AN59" i="34"/>
  <c r="AN58" i="34"/>
  <c r="AN55" i="34"/>
  <c r="AY58" i="34"/>
  <c r="AY59" i="34"/>
  <c r="AY57" i="34"/>
  <c r="AY55" i="34"/>
  <c r="AX55" i="34"/>
  <c r="AX59" i="34"/>
  <c r="AX58" i="34"/>
  <c r="AX57" i="34"/>
  <c r="AD59" i="34"/>
  <c r="AD55" i="34"/>
  <c r="AD58" i="34"/>
  <c r="AD57" i="34"/>
  <c r="K46" i="34"/>
  <c r="K50" i="34" s="1"/>
  <c r="K48" i="34"/>
  <c r="K54" i="34" s="1"/>
  <c r="K45" i="34"/>
  <c r="W58" i="34"/>
  <c r="W57" i="34"/>
  <c r="AZ57" i="34"/>
  <c r="AZ59" i="34"/>
  <c r="AZ55" i="34"/>
  <c r="AZ58" i="34"/>
  <c r="D48" i="34"/>
  <c r="D54" i="34" s="1"/>
  <c r="D45" i="34"/>
  <c r="D46" i="34"/>
  <c r="D50" i="34" s="1"/>
  <c r="L48" i="34"/>
  <c r="L54" i="34" s="1"/>
  <c r="L45" i="34"/>
  <c r="L46" i="34"/>
  <c r="L50" i="34" s="1"/>
  <c r="AA58" i="34"/>
  <c r="AA59" i="34"/>
  <c r="AA55" i="34"/>
  <c r="AI58" i="34"/>
  <c r="AI57" i="34"/>
  <c r="AI59" i="34"/>
  <c r="K58" i="34"/>
  <c r="K57" i="34"/>
  <c r="K59" i="34"/>
  <c r="E45" i="34"/>
  <c r="W45" i="34"/>
  <c r="M58" i="34"/>
  <c r="W59" i="34"/>
  <c r="AB44" i="34"/>
  <c r="AB45" i="34" s="1"/>
  <c r="AJ44" i="34"/>
  <c r="AR44" i="34"/>
  <c r="L57" i="34"/>
  <c r="L59" i="34"/>
  <c r="Y57" i="34"/>
  <c r="Y59" i="34"/>
  <c r="AO59" i="34"/>
  <c r="AO58" i="34"/>
  <c r="AO55" i="34"/>
  <c r="Y45" i="34"/>
  <c r="AQ45" i="34"/>
  <c r="T46" i="34"/>
  <c r="T50" i="34" s="1"/>
  <c r="E57" i="34"/>
  <c r="AO57" i="34"/>
  <c r="AD45" i="34"/>
  <c r="BB59" i="34"/>
  <c r="BB55" i="34"/>
  <c r="BB58" i="34"/>
  <c r="H57" i="34"/>
  <c r="H59" i="34"/>
  <c r="H58" i="34"/>
  <c r="H55" i="34"/>
  <c r="Z55" i="34"/>
  <c r="Z59" i="34"/>
  <c r="Z58" i="34"/>
  <c r="AP44" i="34"/>
  <c r="G45" i="34"/>
  <c r="Z45" i="34"/>
  <c r="H46" i="34"/>
  <c r="H50" i="34" s="1"/>
  <c r="Y46" i="34"/>
  <c r="Y50" i="34" s="1"/>
  <c r="T48" i="34"/>
  <c r="T54" i="34" s="1"/>
  <c r="AQ48" i="34"/>
  <c r="AQ54" i="34" s="1"/>
  <c r="W55" i="34"/>
  <c r="AA46" i="34"/>
  <c r="AA50" i="34" s="1"/>
  <c r="AA48" i="34"/>
  <c r="AA54" i="34" s="1"/>
  <c r="S46" i="34"/>
  <c r="S50" i="34" s="1"/>
  <c r="S45" i="34"/>
  <c r="AY46" i="34"/>
  <c r="AY50" i="34" s="1"/>
  <c r="AY48" i="34"/>
  <c r="AY54" i="34" s="1"/>
  <c r="M57" i="34"/>
  <c r="M45" i="34"/>
  <c r="M59" i="34"/>
  <c r="R47" i="34"/>
  <c r="R56" i="34"/>
  <c r="AL59" i="34"/>
  <c r="AL55" i="34"/>
  <c r="AL58" i="34"/>
  <c r="I58" i="34"/>
  <c r="I55" i="34"/>
  <c r="I57" i="34"/>
  <c r="I45" i="34"/>
  <c r="AF45" i="34"/>
  <c r="AF46" i="34"/>
  <c r="AF50" i="34" s="1"/>
  <c r="J55" i="34"/>
  <c r="J59" i="34"/>
  <c r="J57" i="34"/>
  <c r="AB46" i="34"/>
  <c r="AB50" i="34" s="1"/>
  <c r="I59" i="34"/>
  <c r="AW48" i="34"/>
  <c r="AW54" i="34" s="1"/>
  <c r="AW45" i="34"/>
  <c r="AW46" i="34"/>
  <c r="AW50" i="34" s="1"/>
  <c r="C34" i="34"/>
  <c r="BA59" i="34"/>
  <c r="BA58" i="34"/>
  <c r="BA55" i="34"/>
  <c r="D57" i="34"/>
  <c r="D59" i="34"/>
  <c r="D58" i="34"/>
  <c r="D55" i="34"/>
  <c r="T57" i="34"/>
  <c r="T58" i="34"/>
  <c r="T55" i="34"/>
  <c r="AG58" i="34"/>
  <c r="AG55" i="34"/>
  <c r="AG57" i="34"/>
  <c r="AZ45" i="34"/>
  <c r="H48" i="34"/>
  <c r="H54" i="34" s="1"/>
  <c r="AI55" i="34"/>
  <c r="Z57" i="34"/>
  <c r="BB57" i="34"/>
  <c r="AI46" i="34"/>
  <c r="AI50" i="34" s="1"/>
  <c r="AI48" i="34"/>
  <c r="AI54" i="34" s="1"/>
  <c r="E58" i="34"/>
  <c r="E55" i="34"/>
  <c r="G58" i="34"/>
  <c r="G57" i="34"/>
  <c r="G55" i="34"/>
  <c r="AM45" i="34"/>
  <c r="BC45" i="34"/>
  <c r="AT59" i="34"/>
  <c r="AT55" i="34"/>
  <c r="AT57" i="34"/>
  <c r="BC44" i="34"/>
  <c r="Q55" i="34"/>
  <c r="Q58" i="34"/>
  <c r="O58" i="34"/>
  <c r="O59" i="34"/>
  <c r="O55" i="34"/>
  <c r="AQ58" i="34"/>
  <c r="AQ55" i="34"/>
  <c r="AQ57" i="34"/>
  <c r="AA45" i="34"/>
  <c r="O57" i="34"/>
  <c r="C19" i="34"/>
  <c r="X45" i="34"/>
  <c r="X46" i="34"/>
  <c r="X50" i="34" s="1"/>
  <c r="X48" i="34"/>
  <c r="X54" i="34" s="1"/>
  <c r="AN45" i="34"/>
  <c r="AN46" i="34"/>
  <c r="AN50" i="34" s="1"/>
  <c r="AV48" i="34"/>
  <c r="AV54" i="34" s="1"/>
  <c r="AV46" i="34"/>
  <c r="AV50" i="34" s="1"/>
  <c r="AU44" i="34"/>
  <c r="AU45" i="34" s="1"/>
  <c r="R55" i="34"/>
  <c r="R59" i="34"/>
  <c r="R58" i="34"/>
  <c r="R57" i="34"/>
  <c r="P57" i="34"/>
  <c r="P59" i="34"/>
  <c r="P58" i="34"/>
  <c r="P55" i="34"/>
  <c r="AW55" i="34"/>
  <c r="AW57" i="34"/>
  <c r="AW59" i="34"/>
  <c r="AY45" i="34"/>
  <c r="AZ48" i="34"/>
  <c r="AZ54" i="34" s="1"/>
  <c r="Q57" i="34"/>
  <c r="AQ59" i="34"/>
  <c r="AG48" i="34"/>
  <c r="AG54" i="34" s="1"/>
  <c r="AG46" i="34"/>
  <c r="AG50" i="34" s="1"/>
  <c r="AO48" i="34"/>
  <c r="AO54" i="34" s="1"/>
  <c r="AO45" i="34"/>
  <c r="AO46" i="34"/>
  <c r="AO50" i="34" s="1"/>
  <c r="AV44" i="34"/>
  <c r="AV45" i="34" s="1"/>
  <c r="S58" i="34"/>
  <c r="S59" i="34"/>
  <c r="S55" i="34"/>
  <c r="S57" i="34"/>
  <c r="J48" i="34"/>
  <c r="J54" i="34" s="1"/>
  <c r="J45" i="34"/>
  <c r="AX45" i="34"/>
  <c r="AX48" i="34"/>
  <c r="AX54" i="34" s="1"/>
  <c r="AX46" i="34"/>
  <c r="AX50" i="34" s="1"/>
  <c r="U44" i="34"/>
  <c r="U45" i="34" s="1"/>
  <c r="V59" i="34"/>
  <c r="V55" i="34"/>
  <c r="V45" i="34"/>
  <c r="V57" i="34"/>
  <c r="Q45" i="34"/>
  <c r="AI45" i="34"/>
  <c r="BA45" i="34"/>
  <c r="P46" i="34"/>
  <c r="P50" i="34" s="1"/>
  <c r="AH46" i="34"/>
  <c r="AH50" i="34" s="1"/>
  <c r="T47" i="34"/>
  <c r="AF48" i="34"/>
  <c r="AF54" i="34" s="1"/>
  <c r="AA57" i="34"/>
  <c r="J58" i="34"/>
  <c r="T59" i="34"/>
  <c r="AT45" i="34"/>
  <c r="U46" i="34"/>
  <c r="U50" i="34" s="1"/>
  <c r="AD46" i="34"/>
  <c r="AD50" i="34" s="1"/>
  <c r="AM46" i="34"/>
  <c r="AM50" i="34" s="1"/>
  <c r="V48" i="34"/>
  <c r="V54" i="34" s="1"/>
  <c r="AC44" i="34"/>
  <c r="AC45" i="34" s="1"/>
  <c r="AK44" i="34"/>
  <c r="AK45" i="34" s="1"/>
  <c r="AS44" i="34"/>
  <c r="AL45" i="34"/>
  <c r="M46" i="34"/>
  <c r="M50" i="34" s="1"/>
  <c r="W48" i="34"/>
  <c r="W54" i="34" s="1"/>
  <c r="E46" i="34"/>
  <c r="E50" i="34" s="1"/>
  <c r="AD52" i="35" l="1"/>
  <c r="AD49" i="35"/>
  <c r="AG51" i="35"/>
  <c r="AG49" i="35"/>
  <c r="AC51" i="35"/>
  <c r="AC49" i="35"/>
  <c r="AC52" i="35"/>
  <c r="E51" i="35"/>
  <c r="E49" i="35"/>
  <c r="E52" i="35"/>
  <c r="AH56" i="35"/>
  <c r="AH47" i="35"/>
  <c r="AH53" i="35"/>
  <c r="G52" i="35"/>
  <c r="G49" i="35"/>
  <c r="G51" i="35"/>
  <c r="Z56" i="35"/>
  <c r="Z53" i="35"/>
  <c r="Z47" i="35"/>
  <c r="P52" i="35"/>
  <c r="P51" i="35"/>
  <c r="P49" i="35"/>
  <c r="AF49" i="35"/>
  <c r="AF52" i="35"/>
  <c r="AF51" i="35"/>
  <c r="AA52" i="35"/>
  <c r="AA51" i="35"/>
  <c r="AA49" i="35"/>
  <c r="AJ51" i="35"/>
  <c r="AJ49" i="35"/>
  <c r="AJ52" i="35"/>
  <c r="Y52" i="35"/>
  <c r="Y51" i="35"/>
  <c r="Y49" i="35"/>
  <c r="Q52" i="35"/>
  <c r="Q51" i="35"/>
  <c r="Q49" i="35"/>
  <c r="J56" i="35"/>
  <c r="J53" i="35"/>
  <c r="J47" i="35"/>
  <c r="D49" i="35"/>
  <c r="D52" i="35"/>
  <c r="D51" i="35"/>
  <c r="F51" i="35"/>
  <c r="F49" i="35"/>
  <c r="F52" i="35"/>
  <c r="I52" i="35"/>
  <c r="I49" i="35"/>
  <c r="I51" i="35"/>
  <c r="H52" i="35"/>
  <c r="H49" i="35"/>
  <c r="H51" i="35"/>
  <c r="V51" i="35"/>
  <c r="V49" i="35"/>
  <c r="V52" i="35"/>
  <c r="W49" i="35"/>
  <c r="W51" i="35"/>
  <c r="W52" i="35"/>
  <c r="AI51" i="35"/>
  <c r="AI49" i="35"/>
  <c r="AI52" i="35"/>
  <c r="R56" i="35"/>
  <c r="R47" i="35"/>
  <c r="R53" i="35"/>
  <c r="S52" i="35"/>
  <c r="S49" i="35"/>
  <c r="S51" i="35"/>
  <c r="N51" i="35"/>
  <c r="N49" i="35"/>
  <c r="N52" i="35"/>
  <c r="AK51" i="35"/>
  <c r="AK49" i="35"/>
  <c r="AK52" i="35"/>
  <c r="AB49" i="35"/>
  <c r="AB52" i="35"/>
  <c r="AB51" i="35"/>
  <c r="T52" i="35"/>
  <c r="T49" i="35"/>
  <c r="T51" i="35"/>
  <c r="C56" i="35"/>
  <c r="C53" i="35"/>
  <c r="L51" i="35"/>
  <c r="L52" i="35"/>
  <c r="L49" i="35"/>
  <c r="M51" i="35"/>
  <c r="M49" i="35"/>
  <c r="M52" i="35"/>
  <c r="X51" i="35"/>
  <c r="X52" i="35"/>
  <c r="X49" i="35"/>
  <c r="AG53" i="34"/>
  <c r="H47" i="34"/>
  <c r="C44" i="34"/>
  <c r="C59" i="34" s="1"/>
  <c r="C48" i="34"/>
  <c r="C54" i="34" s="1"/>
  <c r="AG51" i="34"/>
  <c r="O53" i="34"/>
  <c r="P47" i="34"/>
  <c r="P49" i="34" s="1"/>
  <c r="O56" i="34"/>
  <c r="BB53" i="34"/>
  <c r="BB56" i="34"/>
  <c r="P53" i="34"/>
  <c r="T53" i="34"/>
  <c r="AK56" i="34"/>
  <c r="AK53" i="34"/>
  <c r="AK47" i="34"/>
  <c r="AC56" i="34"/>
  <c r="AC53" i="34"/>
  <c r="AC47" i="34"/>
  <c r="V47" i="34"/>
  <c r="V53" i="34"/>
  <c r="V56" i="34"/>
  <c r="AQ47" i="34"/>
  <c r="AQ56" i="34"/>
  <c r="AQ53" i="34"/>
  <c r="O49" i="34"/>
  <c r="O51" i="34"/>
  <c r="O52" i="34"/>
  <c r="BC47" i="34"/>
  <c r="BC53" i="34"/>
  <c r="BC56" i="34"/>
  <c r="AR57" i="34"/>
  <c r="AR58" i="34"/>
  <c r="AR55" i="34"/>
  <c r="AR59" i="34"/>
  <c r="AF53" i="34"/>
  <c r="AF56" i="34"/>
  <c r="AF47" i="34"/>
  <c r="AJ57" i="34"/>
  <c r="AJ59" i="34"/>
  <c r="AJ55" i="34"/>
  <c r="AJ45" i="34"/>
  <c r="AJ58" i="34"/>
  <c r="AE47" i="34"/>
  <c r="AE53" i="34"/>
  <c r="AE56" i="34"/>
  <c r="AT47" i="34"/>
  <c r="AT56" i="34"/>
  <c r="AT53" i="34"/>
  <c r="U58" i="34"/>
  <c r="U55" i="34"/>
  <c r="U57" i="34"/>
  <c r="U59" i="34"/>
  <c r="AU58" i="34"/>
  <c r="AU57" i="34"/>
  <c r="AU59" i="34"/>
  <c r="AU55" i="34"/>
  <c r="X53" i="34"/>
  <c r="X56" i="34"/>
  <c r="X47" i="34"/>
  <c r="AG52" i="34"/>
  <c r="H49" i="34"/>
  <c r="H52" i="34"/>
  <c r="H51" i="34"/>
  <c r="AB57" i="34"/>
  <c r="AB55" i="34"/>
  <c r="AB59" i="34"/>
  <c r="AB58" i="34"/>
  <c r="AU47" i="34"/>
  <c r="AU56" i="34"/>
  <c r="AU53" i="34"/>
  <c r="AN53" i="34"/>
  <c r="AN56" i="34"/>
  <c r="AN47" i="34"/>
  <c r="G56" i="34"/>
  <c r="G47" i="34"/>
  <c r="G53" i="34"/>
  <c r="AL47" i="34"/>
  <c r="AL53" i="34"/>
  <c r="AL56" i="34"/>
  <c r="M56" i="34"/>
  <c r="M53" i="34"/>
  <c r="M47" i="34"/>
  <c r="AM56" i="34"/>
  <c r="AM53" i="34"/>
  <c r="AM47" i="34"/>
  <c r="AZ53" i="34"/>
  <c r="AZ56" i="34"/>
  <c r="AZ47" i="34"/>
  <c r="AW56" i="34"/>
  <c r="AW53" i="34"/>
  <c r="AW47" i="34"/>
  <c r="F53" i="34"/>
  <c r="F47" i="34"/>
  <c r="F56" i="34"/>
  <c r="U56" i="34"/>
  <c r="U53" i="34"/>
  <c r="U47" i="34"/>
  <c r="AS58" i="34"/>
  <c r="AS55" i="34"/>
  <c r="AS57" i="34"/>
  <c r="AS59" i="34"/>
  <c r="AS45" i="34"/>
  <c r="BA56" i="34"/>
  <c r="BA53" i="34"/>
  <c r="BA47" i="34"/>
  <c r="AA53" i="34"/>
  <c r="AA56" i="34"/>
  <c r="AA47" i="34"/>
  <c r="H53" i="34"/>
  <c r="AD47" i="34"/>
  <c r="AD56" i="34"/>
  <c r="AD53" i="34"/>
  <c r="L53" i="34"/>
  <c r="L56" i="34"/>
  <c r="L47" i="34"/>
  <c r="T49" i="34"/>
  <c r="T52" i="34"/>
  <c r="T51" i="34"/>
  <c r="AP55" i="34"/>
  <c r="AP59" i="34"/>
  <c r="AP58" i="34"/>
  <c r="AP57" i="34"/>
  <c r="AP45" i="34"/>
  <c r="Y56" i="34"/>
  <c r="Y47" i="34"/>
  <c r="Y53" i="34"/>
  <c r="AB53" i="34"/>
  <c r="AB56" i="34"/>
  <c r="AB47" i="34"/>
  <c r="AK57" i="34"/>
  <c r="AK59" i="34"/>
  <c r="AK55" i="34"/>
  <c r="AK58" i="34"/>
  <c r="AI56" i="34"/>
  <c r="AI47" i="34"/>
  <c r="AI53" i="34"/>
  <c r="AV57" i="34"/>
  <c r="AV59" i="34"/>
  <c r="AV55" i="34"/>
  <c r="AV58" i="34"/>
  <c r="BC58" i="34"/>
  <c r="BC55" i="34"/>
  <c r="BC57" i="34"/>
  <c r="BC59" i="34"/>
  <c r="BB51" i="34"/>
  <c r="BB52" i="34"/>
  <c r="BB49" i="34"/>
  <c r="I56" i="34"/>
  <c r="I53" i="34"/>
  <c r="I47" i="34"/>
  <c r="S47" i="34"/>
  <c r="S56" i="34"/>
  <c r="S53" i="34"/>
  <c r="AC59" i="34"/>
  <c r="AC58" i="34"/>
  <c r="AC57" i="34"/>
  <c r="AC55" i="34"/>
  <c r="Q56" i="34"/>
  <c r="Q53" i="34"/>
  <c r="Q47" i="34"/>
  <c r="AX47" i="34"/>
  <c r="AX56" i="34"/>
  <c r="AX53" i="34"/>
  <c r="AV53" i="34"/>
  <c r="AV56" i="34"/>
  <c r="AV47" i="34"/>
  <c r="AR45" i="34"/>
  <c r="W56" i="34"/>
  <c r="W53" i="34"/>
  <c r="W47" i="34"/>
  <c r="N47" i="34"/>
  <c r="N56" i="34"/>
  <c r="N53" i="34"/>
  <c r="J53" i="34"/>
  <c r="J56" i="34"/>
  <c r="J47" i="34"/>
  <c r="AO56" i="34"/>
  <c r="AO53" i="34"/>
  <c r="AO47" i="34"/>
  <c r="AY56" i="34"/>
  <c r="AY53" i="34"/>
  <c r="AY47" i="34"/>
  <c r="R51" i="34"/>
  <c r="R52" i="34"/>
  <c r="R49" i="34"/>
  <c r="Z47" i="34"/>
  <c r="Z56" i="34"/>
  <c r="Z53" i="34"/>
  <c r="E56" i="34"/>
  <c r="E53" i="34"/>
  <c r="E47" i="34"/>
  <c r="D53" i="34"/>
  <c r="D56" i="34"/>
  <c r="D47" i="34"/>
  <c r="K56" i="34"/>
  <c r="K47" i="34"/>
  <c r="K53" i="34"/>
  <c r="AH47" i="34"/>
  <c r="AH53" i="34"/>
  <c r="AH56" i="34"/>
  <c r="AH52" i="35" l="1"/>
  <c r="AH51" i="35"/>
  <c r="AH49" i="35"/>
  <c r="Z52" i="35"/>
  <c r="Z51" i="35"/>
  <c r="Z49" i="35"/>
  <c r="C51" i="35"/>
  <c r="C49" i="35"/>
  <c r="C52" i="35"/>
  <c r="J52" i="35"/>
  <c r="J49" i="35"/>
  <c r="J51" i="35"/>
  <c r="R52" i="35"/>
  <c r="R49" i="35"/>
  <c r="R51" i="35"/>
  <c r="P51" i="34"/>
  <c r="P52" i="34"/>
  <c r="C55" i="34"/>
  <c r="C58" i="34"/>
  <c r="C57" i="34"/>
  <c r="C45" i="34"/>
  <c r="C56" i="34" s="1"/>
  <c r="AA52" i="34"/>
  <c r="AA51" i="34"/>
  <c r="AA49" i="34"/>
  <c r="AO52" i="34"/>
  <c r="AO49" i="34"/>
  <c r="AO51" i="34"/>
  <c r="N51" i="34"/>
  <c r="N52" i="34"/>
  <c r="N49" i="34"/>
  <c r="AP47" i="34"/>
  <c r="AP56" i="34"/>
  <c r="AP53" i="34"/>
  <c r="L49" i="34"/>
  <c r="L51" i="34"/>
  <c r="L52" i="34"/>
  <c r="AS56" i="34"/>
  <c r="AS47" i="34"/>
  <c r="AS53" i="34"/>
  <c r="AT51" i="34"/>
  <c r="AT52" i="34"/>
  <c r="AT49" i="34"/>
  <c r="AQ52" i="34"/>
  <c r="AQ49" i="34"/>
  <c r="AQ51" i="34"/>
  <c r="D49" i="34"/>
  <c r="D52" i="34"/>
  <c r="D51" i="34"/>
  <c r="Z51" i="34"/>
  <c r="Z49" i="34"/>
  <c r="Z52" i="34"/>
  <c r="W51" i="34"/>
  <c r="W49" i="34"/>
  <c r="W52" i="34"/>
  <c r="F51" i="34"/>
  <c r="F52" i="34"/>
  <c r="F49" i="34"/>
  <c r="AM51" i="34"/>
  <c r="AM52" i="34"/>
  <c r="AM49" i="34"/>
  <c r="AL51" i="34"/>
  <c r="AL52" i="34"/>
  <c r="AL49" i="34"/>
  <c r="AF49" i="34"/>
  <c r="AF52" i="34"/>
  <c r="AF51" i="34"/>
  <c r="AC52" i="34"/>
  <c r="AC51" i="34"/>
  <c r="AC49" i="34"/>
  <c r="AU49" i="34"/>
  <c r="AU51" i="34"/>
  <c r="AU52" i="34"/>
  <c r="AW52" i="34"/>
  <c r="AW51" i="34"/>
  <c r="AW49" i="34"/>
  <c r="G52" i="34"/>
  <c r="G49" i="34"/>
  <c r="G51" i="34"/>
  <c r="E52" i="34"/>
  <c r="E51" i="34"/>
  <c r="E49" i="34"/>
  <c r="AR53" i="34"/>
  <c r="AR47" i="34"/>
  <c r="AR56" i="34"/>
  <c r="S52" i="34"/>
  <c r="S49" i="34"/>
  <c r="S51" i="34"/>
  <c r="AI51" i="34"/>
  <c r="AI52" i="34"/>
  <c r="AI49" i="34"/>
  <c r="M52" i="34"/>
  <c r="M51" i="34"/>
  <c r="M49" i="34"/>
  <c r="AK52" i="34"/>
  <c r="AK51" i="34"/>
  <c r="AK49" i="34"/>
  <c r="K51" i="34"/>
  <c r="K52" i="34"/>
  <c r="K49" i="34"/>
  <c r="AX51" i="34"/>
  <c r="AX49" i="34"/>
  <c r="AX52" i="34"/>
  <c r="AB49" i="34"/>
  <c r="AB52" i="34"/>
  <c r="AB51" i="34"/>
  <c r="BC52" i="34"/>
  <c r="BC49" i="34"/>
  <c r="BC51" i="34"/>
  <c r="J51" i="34"/>
  <c r="J52" i="34"/>
  <c r="J49" i="34"/>
  <c r="Q52" i="34"/>
  <c r="Q49" i="34"/>
  <c r="Q51" i="34"/>
  <c r="X49" i="34"/>
  <c r="X51" i="34"/>
  <c r="X52" i="34"/>
  <c r="AE52" i="34"/>
  <c r="AE49" i="34"/>
  <c r="AE51" i="34"/>
  <c r="V51" i="34"/>
  <c r="V52" i="34"/>
  <c r="V49" i="34"/>
  <c r="AH51" i="34"/>
  <c r="AH52" i="34"/>
  <c r="AH49" i="34"/>
  <c r="AY51" i="34"/>
  <c r="AY49" i="34"/>
  <c r="AY52" i="34"/>
  <c r="AV49" i="34"/>
  <c r="AV52" i="34"/>
  <c r="AV51" i="34"/>
  <c r="I52" i="34"/>
  <c r="I49" i="34"/>
  <c r="I51" i="34"/>
  <c r="AD51" i="34"/>
  <c r="AD52" i="34"/>
  <c r="AD49" i="34"/>
  <c r="BA52" i="34"/>
  <c r="BA51" i="34"/>
  <c r="BA49" i="34"/>
  <c r="U52" i="34"/>
  <c r="U49" i="34"/>
  <c r="U51" i="34"/>
  <c r="AN49" i="34"/>
  <c r="AN51" i="34"/>
  <c r="AN52" i="34"/>
  <c r="AJ53" i="34"/>
  <c r="AJ47" i="34"/>
  <c r="AJ56" i="34"/>
  <c r="Y52" i="34"/>
  <c r="Y51" i="34"/>
  <c r="Y49" i="34"/>
  <c r="AZ49" i="34"/>
  <c r="AZ52" i="34"/>
  <c r="AZ51" i="34"/>
  <c r="C47" i="34" l="1"/>
  <c r="C52" i="34" s="1"/>
  <c r="C53" i="34"/>
  <c r="AJ49" i="34"/>
  <c r="AJ51" i="34"/>
  <c r="AJ52" i="34"/>
  <c r="AR49" i="34"/>
  <c r="AR52" i="34"/>
  <c r="AR51" i="34"/>
  <c r="AS52" i="34"/>
  <c r="AS49" i="34"/>
  <c r="AS51" i="34"/>
  <c r="AP51" i="34"/>
  <c r="AP52" i="34"/>
  <c r="AP49" i="34"/>
  <c r="C51" i="34" l="1"/>
  <c r="C49" i="34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AO59" i="33"/>
  <c r="AL59" i="33"/>
  <c r="AI59" i="33"/>
  <c r="AG59" i="33"/>
  <c r="AD59" i="33"/>
  <c r="AA59" i="33"/>
  <c r="Y59" i="33"/>
  <c r="V59" i="33"/>
  <c r="N59" i="33"/>
  <c r="AN58" i="33"/>
  <c r="AK58" i="33"/>
  <c r="AF58" i="33"/>
  <c r="AC58" i="33"/>
  <c r="X58" i="33"/>
  <c r="M58" i="33"/>
  <c r="AO57" i="33"/>
  <c r="AG57" i="33"/>
  <c r="Y57" i="33"/>
  <c r="V56" i="33"/>
  <c r="AK55" i="33"/>
  <c r="AC55" i="33"/>
  <c r="U55" i="33"/>
  <c r="M55" i="33"/>
  <c r="AN50" i="33"/>
  <c r="AF50" i="33"/>
  <c r="AN48" i="33"/>
  <c r="AN54" i="33" s="1"/>
  <c r="AL48" i="33"/>
  <c r="AL54" i="33" s="1"/>
  <c r="AI48" i="33"/>
  <c r="AI54" i="33" s="1"/>
  <c r="AF48" i="33"/>
  <c r="AF54" i="33" s="1"/>
  <c r="AD48" i="33"/>
  <c r="AD54" i="33" s="1"/>
  <c r="AA48" i="33"/>
  <c r="AA54" i="33" s="1"/>
  <c r="X48" i="33"/>
  <c r="X54" i="33" s="1"/>
  <c r="V48" i="33"/>
  <c r="V54" i="33" s="1"/>
  <c r="N48" i="33"/>
  <c r="N54" i="33" s="1"/>
  <c r="AK47" i="33"/>
  <c r="AO46" i="33"/>
  <c r="AO50" i="33" s="1"/>
  <c r="AL46" i="33"/>
  <c r="AL50" i="33" s="1"/>
  <c r="AJ46" i="33"/>
  <c r="AJ50" i="33" s="1"/>
  <c r="AG46" i="33"/>
  <c r="AG50" i="33" s="1"/>
  <c r="AD46" i="33"/>
  <c r="AD50" i="33" s="1"/>
  <c r="Y46" i="33"/>
  <c r="Y50" i="33" s="1"/>
  <c r="V46" i="33"/>
  <c r="V50" i="33" s="1"/>
  <c r="Q46" i="33"/>
  <c r="Q50" i="33" s="1"/>
  <c r="AN45" i="33"/>
  <c r="AN53" i="33" s="1"/>
  <c r="AK45" i="33"/>
  <c r="AK56" i="33" s="1"/>
  <c r="AI45" i="33"/>
  <c r="AF45" i="33"/>
  <c r="AF53" i="33" s="1"/>
  <c r="AC45" i="33"/>
  <c r="AC56" i="33" s="1"/>
  <c r="AA45" i="33"/>
  <c r="X45" i="33"/>
  <c r="X53" i="33" s="1"/>
  <c r="U45" i="33"/>
  <c r="U56" i="33" s="1"/>
  <c r="AO44" i="33"/>
  <c r="AO55" i="33" s="1"/>
  <c r="AN44" i="33"/>
  <c r="AN59" i="33" s="1"/>
  <c r="AM44" i="33"/>
  <c r="AL44" i="33"/>
  <c r="AL57" i="33" s="1"/>
  <c r="AK44" i="33"/>
  <c r="AK57" i="33" s="1"/>
  <c r="AJ44" i="33"/>
  <c r="AI44" i="33"/>
  <c r="AI55" i="33" s="1"/>
  <c r="AH44" i="33"/>
  <c r="AG44" i="33"/>
  <c r="AG55" i="33" s="1"/>
  <c r="AF44" i="33"/>
  <c r="AF59" i="33" s="1"/>
  <c r="AE44" i="33"/>
  <c r="AD44" i="33"/>
  <c r="AD57" i="33" s="1"/>
  <c r="AC44" i="33"/>
  <c r="AC57" i="33" s="1"/>
  <c r="AB44" i="33"/>
  <c r="AA44" i="33"/>
  <c r="AA55" i="33" s="1"/>
  <c r="Z44" i="33"/>
  <c r="Y44" i="33"/>
  <c r="Y55" i="33" s="1"/>
  <c r="X44" i="33"/>
  <c r="X59" i="33" s="1"/>
  <c r="W44" i="33"/>
  <c r="V44" i="33"/>
  <c r="V57" i="33" s="1"/>
  <c r="U44" i="33"/>
  <c r="U57" i="33" s="1"/>
  <c r="T44" i="33"/>
  <c r="S44" i="33"/>
  <c r="S55" i="33" s="1"/>
  <c r="R44" i="33"/>
  <c r="Q44" i="33"/>
  <c r="Q55" i="33" s="1"/>
  <c r="P44" i="33"/>
  <c r="P59" i="33" s="1"/>
  <c r="O44" i="33"/>
  <c r="N44" i="33"/>
  <c r="N57" i="33" s="1"/>
  <c r="M44" i="33"/>
  <c r="M57" i="33" s="1"/>
  <c r="L44" i="33"/>
  <c r="K44" i="33"/>
  <c r="K55" i="33" s="1"/>
  <c r="J44" i="33"/>
  <c r="D44" i="33"/>
  <c r="C43" i="33"/>
  <c r="C42" i="33"/>
  <c r="C41" i="33"/>
  <c r="C40" i="33"/>
  <c r="C39" i="33"/>
  <c r="C38" i="33"/>
  <c r="C37" i="33"/>
  <c r="C36" i="33"/>
  <c r="C35" i="33"/>
  <c r="I44" i="33"/>
  <c r="H44" i="33"/>
  <c r="F44" i="33"/>
  <c r="E44" i="33"/>
  <c r="E55" i="33" s="1"/>
  <c r="C33" i="33"/>
  <c r="C32" i="33"/>
  <c r="C31" i="33"/>
  <c r="C30" i="33"/>
  <c r="AO29" i="33"/>
  <c r="AO45" i="33" s="1"/>
  <c r="AN29" i="33"/>
  <c r="AN46" i="33" s="1"/>
  <c r="AM29" i="33"/>
  <c r="AL29" i="33"/>
  <c r="AL45" i="33" s="1"/>
  <c r="AK29" i="33"/>
  <c r="AK48" i="33" s="1"/>
  <c r="AK54" i="33" s="1"/>
  <c r="AJ29" i="33"/>
  <c r="AI29" i="33"/>
  <c r="AI46" i="33" s="1"/>
  <c r="AI50" i="33" s="1"/>
  <c r="AH29" i="33"/>
  <c r="AG29" i="33"/>
  <c r="AG45" i="33" s="1"/>
  <c r="AF29" i="33"/>
  <c r="AF46" i="33" s="1"/>
  <c r="AE29" i="33"/>
  <c r="AD29" i="33"/>
  <c r="AD45" i="33" s="1"/>
  <c r="AD56" i="33" s="1"/>
  <c r="AC29" i="33"/>
  <c r="AC48" i="33" s="1"/>
  <c r="AC54" i="33" s="1"/>
  <c r="AB29" i="33"/>
  <c r="AA29" i="33"/>
  <c r="AA46" i="33" s="1"/>
  <c r="AA50" i="33" s="1"/>
  <c r="Z29" i="33"/>
  <c r="Y29" i="33"/>
  <c r="Y45" i="33" s="1"/>
  <c r="X29" i="33"/>
  <c r="X46" i="33" s="1"/>
  <c r="X50" i="33" s="1"/>
  <c r="W29" i="33"/>
  <c r="V29" i="33"/>
  <c r="V45" i="33" s="1"/>
  <c r="U29" i="33"/>
  <c r="U48" i="33" s="1"/>
  <c r="U54" i="33" s="1"/>
  <c r="T29" i="33"/>
  <c r="S29" i="33"/>
  <c r="S46" i="33" s="1"/>
  <c r="S50" i="33" s="1"/>
  <c r="R29" i="33"/>
  <c r="Q29" i="33"/>
  <c r="P29" i="33"/>
  <c r="P46" i="33" s="1"/>
  <c r="P50" i="33" s="1"/>
  <c r="O29" i="33"/>
  <c r="N29" i="33"/>
  <c r="N45" i="33" s="1"/>
  <c r="M29" i="33"/>
  <c r="M48" i="33" s="1"/>
  <c r="M54" i="33" s="1"/>
  <c r="L29" i="33"/>
  <c r="L46" i="33" s="1"/>
  <c r="L50" i="33" s="1"/>
  <c r="K29" i="33"/>
  <c r="K46" i="33" s="1"/>
  <c r="K50" i="33" s="1"/>
  <c r="J29" i="33"/>
  <c r="I29" i="33"/>
  <c r="I46" i="33" s="1"/>
  <c r="I50" i="33" s="1"/>
  <c r="H29" i="33"/>
  <c r="H46" i="33" s="1"/>
  <c r="H50" i="33" s="1"/>
  <c r="G29" i="33"/>
  <c r="F29" i="33"/>
  <c r="E29" i="33"/>
  <c r="E48" i="33" s="1"/>
  <c r="E54" i="33" s="1"/>
  <c r="D29" i="33"/>
  <c r="C28" i="33"/>
  <c r="C27" i="33"/>
  <c r="C26" i="33"/>
  <c r="C25" i="33"/>
  <c r="C24" i="33"/>
  <c r="C23" i="33"/>
  <c r="C22" i="33"/>
  <c r="C21" i="33"/>
  <c r="AS19" i="33"/>
  <c r="AR19" i="33"/>
  <c r="AQ19" i="33"/>
  <c r="AP19" i="33"/>
  <c r="AO19" i="33"/>
  <c r="AN19" i="33"/>
  <c r="AM19" i="33"/>
  <c r="AL19" i="33"/>
  <c r="AK19" i="33"/>
  <c r="AJ19" i="33"/>
  <c r="AI19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F3" i="32"/>
  <c r="E3" i="32"/>
  <c r="D3" i="32"/>
  <c r="F58" i="32"/>
  <c r="E58" i="32"/>
  <c r="D58" i="32"/>
  <c r="F56" i="32"/>
  <c r="E56" i="32"/>
  <c r="D56" i="32"/>
  <c r="F54" i="32"/>
  <c r="E54" i="32"/>
  <c r="D54" i="32"/>
  <c r="F44" i="32"/>
  <c r="F55" i="32" s="1"/>
  <c r="D44" i="32"/>
  <c r="D55" i="32" s="1"/>
  <c r="F43" i="32"/>
  <c r="F57" i="32" s="1"/>
  <c r="E43" i="32"/>
  <c r="E57" i="32" s="1"/>
  <c r="D43" i="32"/>
  <c r="D57" i="32" s="1"/>
  <c r="C42" i="32"/>
  <c r="C41" i="32"/>
  <c r="Z40" i="32"/>
  <c r="C40" i="32"/>
  <c r="C39" i="32"/>
  <c r="C38" i="32"/>
  <c r="C37" i="32"/>
  <c r="C36" i="32"/>
  <c r="C35" i="32"/>
  <c r="C34" i="32"/>
  <c r="C33" i="32"/>
  <c r="C32" i="32"/>
  <c r="C43" i="32" s="1"/>
  <c r="C31" i="32"/>
  <c r="C30" i="32"/>
  <c r="C29" i="32"/>
  <c r="F28" i="32"/>
  <c r="F47" i="32" s="1"/>
  <c r="F53" i="32" s="1"/>
  <c r="E28" i="32"/>
  <c r="E47" i="32" s="1"/>
  <c r="E53" i="32" s="1"/>
  <c r="D28" i="32"/>
  <c r="D47" i="32" s="1"/>
  <c r="D53" i="32" s="1"/>
  <c r="C27" i="32"/>
  <c r="C26" i="32"/>
  <c r="C25" i="32"/>
  <c r="C24" i="32"/>
  <c r="C23" i="32"/>
  <c r="C22" i="32"/>
  <c r="C21" i="32"/>
  <c r="C20" i="32"/>
  <c r="C28" i="32" s="1"/>
  <c r="F18" i="32"/>
  <c r="E18" i="32"/>
  <c r="D18" i="32"/>
  <c r="C17" i="32"/>
  <c r="C16" i="32"/>
  <c r="C15" i="32"/>
  <c r="C14" i="32"/>
  <c r="C13" i="32"/>
  <c r="C18" i="32" s="1"/>
  <c r="C12" i="32"/>
  <c r="C11" i="32"/>
  <c r="C10" i="32"/>
  <c r="C9" i="32"/>
  <c r="C8" i="32"/>
  <c r="C7" i="32"/>
  <c r="C6" i="32"/>
  <c r="C5" i="32"/>
  <c r="C4" i="32"/>
  <c r="C3" i="32"/>
  <c r="F45" i="33" l="1"/>
  <c r="F56" i="33" s="1"/>
  <c r="F46" i="33"/>
  <c r="F50" i="33" s="1"/>
  <c r="K59" i="33"/>
  <c r="U47" i="33"/>
  <c r="P58" i="33"/>
  <c r="U58" i="33"/>
  <c r="S59" i="33"/>
  <c r="Q59" i="33"/>
  <c r="Q45" i="33"/>
  <c r="Q57" i="33"/>
  <c r="K48" i="33"/>
  <c r="K54" i="33" s="1"/>
  <c r="P48" i="33"/>
  <c r="P54" i="33" s="1"/>
  <c r="H45" i="33"/>
  <c r="H53" i="33" s="1"/>
  <c r="N46" i="33"/>
  <c r="N50" i="33" s="1"/>
  <c r="S48" i="33"/>
  <c r="S54" i="33" s="1"/>
  <c r="K45" i="33"/>
  <c r="K53" i="33" s="1"/>
  <c r="P45" i="33"/>
  <c r="P53" i="33" s="1"/>
  <c r="F48" i="33"/>
  <c r="F54" i="33" s="1"/>
  <c r="M45" i="33"/>
  <c r="M56" i="33" s="1"/>
  <c r="S45" i="33"/>
  <c r="S53" i="33" s="1"/>
  <c r="H48" i="33"/>
  <c r="H54" i="33" s="1"/>
  <c r="C19" i="33"/>
  <c r="J45" i="33"/>
  <c r="J46" i="33"/>
  <c r="J50" i="33" s="1"/>
  <c r="J48" i="33"/>
  <c r="J54" i="33" s="1"/>
  <c r="R45" i="33"/>
  <c r="R46" i="33"/>
  <c r="R50" i="33" s="1"/>
  <c r="R48" i="33"/>
  <c r="R54" i="33" s="1"/>
  <c r="Z45" i="33"/>
  <c r="Z46" i="33"/>
  <c r="Z50" i="33" s="1"/>
  <c r="Z48" i="33"/>
  <c r="Z54" i="33" s="1"/>
  <c r="AH45" i="33"/>
  <c r="AH46" i="33"/>
  <c r="AH50" i="33" s="1"/>
  <c r="AH48" i="33"/>
  <c r="AH54" i="33" s="1"/>
  <c r="L55" i="33"/>
  <c r="L57" i="33"/>
  <c r="L58" i="33"/>
  <c r="L59" i="33"/>
  <c r="H59" i="33"/>
  <c r="H55" i="33"/>
  <c r="H57" i="33"/>
  <c r="H58" i="33"/>
  <c r="C29" i="33"/>
  <c r="C46" i="33" s="1"/>
  <c r="C50" i="33" s="1"/>
  <c r="D48" i="33"/>
  <c r="D54" i="33" s="1"/>
  <c r="D45" i="33"/>
  <c r="L48" i="33"/>
  <c r="L54" i="33" s="1"/>
  <c r="L45" i="33"/>
  <c r="T48" i="33"/>
  <c r="T54" i="33" s="1"/>
  <c r="T45" i="33"/>
  <c r="AB48" i="33"/>
  <c r="AB54" i="33" s="1"/>
  <c r="AB45" i="33"/>
  <c r="AJ48" i="33"/>
  <c r="AJ54" i="33" s="1"/>
  <c r="AJ45" i="33"/>
  <c r="I55" i="33"/>
  <c r="I57" i="33"/>
  <c r="I58" i="33"/>
  <c r="I59" i="33"/>
  <c r="AI56" i="33"/>
  <c r="AI47" i="33"/>
  <c r="U49" i="33"/>
  <c r="U51" i="33"/>
  <c r="O58" i="33"/>
  <c r="O59" i="33"/>
  <c r="O55" i="33"/>
  <c r="O57" i="33"/>
  <c r="W58" i="33"/>
  <c r="W59" i="33"/>
  <c r="W55" i="33"/>
  <c r="W57" i="33"/>
  <c r="AE58" i="33"/>
  <c r="AE59" i="33"/>
  <c r="AE55" i="33"/>
  <c r="AE57" i="33"/>
  <c r="AM58" i="33"/>
  <c r="AM59" i="33"/>
  <c r="AM55" i="33"/>
  <c r="AM57" i="33"/>
  <c r="P47" i="33"/>
  <c r="T46" i="33"/>
  <c r="T50" i="33" s="1"/>
  <c r="T55" i="33"/>
  <c r="T57" i="33"/>
  <c r="T58" i="33"/>
  <c r="T59" i="33"/>
  <c r="AB55" i="33"/>
  <c r="AB57" i="33"/>
  <c r="AB58" i="33"/>
  <c r="AB59" i="33"/>
  <c r="AK49" i="33"/>
  <c r="AK51" i="33"/>
  <c r="N53" i="33"/>
  <c r="N47" i="33"/>
  <c r="C34" i="33"/>
  <c r="C44" i="33" s="1"/>
  <c r="C58" i="33" s="1"/>
  <c r="S47" i="33"/>
  <c r="AN47" i="33"/>
  <c r="AN56" i="33"/>
  <c r="W45" i="33"/>
  <c r="W46" i="33"/>
  <c r="W50" i="33" s="1"/>
  <c r="W48" i="33"/>
  <c r="W54" i="33" s="1"/>
  <c r="AM45" i="33"/>
  <c r="AM46" i="33"/>
  <c r="AM50" i="33" s="1"/>
  <c r="AM48" i="33"/>
  <c r="AM54" i="33" s="1"/>
  <c r="AC47" i="33"/>
  <c r="R55" i="33"/>
  <c r="R58" i="33"/>
  <c r="R57" i="33"/>
  <c r="R59" i="33"/>
  <c r="AJ55" i="33"/>
  <c r="AJ57" i="33"/>
  <c r="AJ58" i="33"/>
  <c r="AJ59" i="33"/>
  <c r="AF56" i="33"/>
  <c r="AF47" i="33"/>
  <c r="F47" i="33"/>
  <c r="V53" i="33"/>
  <c r="V47" i="33"/>
  <c r="AD53" i="33"/>
  <c r="AD47" i="33"/>
  <c r="AL53" i="33"/>
  <c r="AL47" i="33"/>
  <c r="AL56" i="33"/>
  <c r="D55" i="33"/>
  <c r="D57" i="33"/>
  <c r="D58" i="33"/>
  <c r="D59" i="33"/>
  <c r="AA53" i="33"/>
  <c r="G46" i="33"/>
  <c r="G50" i="33" s="1"/>
  <c r="G48" i="33"/>
  <c r="G54" i="33" s="1"/>
  <c r="O45" i="33"/>
  <c r="O46" i="33"/>
  <c r="O50" i="33" s="1"/>
  <c r="O48" i="33"/>
  <c r="O54" i="33" s="1"/>
  <c r="AE45" i="33"/>
  <c r="AE46" i="33"/>
  <c r="AE50" i="33" s="1"/>
  <c r="AE48" i="33"/>
  <c r="AE54" i="33" s="1"/>
  <c r="G44" i="33"/>
  <c r="G45" i="33" s="1"/>
  <c r="D46" i="33"/>
  <c r="D50" i="33" s="1"/>
  <c r="AC53" i="33"/>
  <c r="E58" i="33"/>
  <c r="E57" i="33"/>
  <c r="E59" i="33"/>
  <c r="J55" i="33"/>
  <c r="J57" i="33"/>
  <c r="J58" i="33"/>
  <c r="J59" i="33"/>
  <c r="Z55" i="33"/>
  <c r="Z57" i="33"/>
  <c r="Z58" i="33"/>
  <c r="Z59" i="33"/>
  <c r="AH55" i="33"/>
  <c r="AH58" i="33"/>
  <c r="AH57" i="33"/>
  <c r="AH59" i="33"/>
  <c r="X56" i="33"/>
  <c r="X47" i="33"/>
  <c r="AB46" i="33"/>
  <c r="AB50" i="33" s="1"/>
  <c r="I45" i="33"/>
  <c r="Q53" i="33"/>
  <c r="Q47" i="33"/>
  <c r="Q56" i="33"/>
  <c r="Y53" i="33"/>
  <c r="Y47" i="33"/>
  <c r="Y56" i="33"/>
  <c r="AG53" i="33"/>
  <c r="AG47" i="33"/>
  <c r="AG56" i="33"/>
  <c r="AO53" i="33"/>
  <c r="AO47" i="33"/>
  <c r="AO56" i="33"/>
  <c r="F57" i="33"/>
  <c r="F58" i="33"/>
  <c r="F59" i="33"/>
  <c r="F55" i="33"/>
  <c r="E45" i="33"/>
  <c r="AA47" i="33"/>
  <c r="AA56" i="33"/>
  <c r="M47" i="33"/>
  <c r="AI53" i="33"/>
  <c r="N56" i="33"/>
  <c r="E46" i="33"/>
  <c r="E50" i="33" s="1"/>
  <c r="M46" i="33"/>
  <c r="M50" i="33" s="1"/>
  <c r="U46" i="33"/>
  <c r="U50" i="33" s="1"/>
  <c r="AC46" i="33"/>
  <c r="AC50" i="33" s="1"/>
  <c r="AK46" i="33"/>
  <c r="N55" i="33"/>
  <c r="V55" i="33"/>
  <c r="AD55" i="33"/>
  <c r="AL55" i="33"/>
  <c r="P57" i="33"/>
  <c r="X57" i="33"/>
  <c r="AF57" i="33"/>
  <c r="AN57" i="33"/>
  <c r="Q58" i="33"/>
  <c r="Y58" i="33"/>
  <c r="AG58" i="33"/>
  <c r="AO58" i="33"/>
  <c r="I48" i="33"/>
  <c r="I54" i="33" s="1"/>
  <c r="Q48" i="33"/>
  <c r="Q54" i="33" s="1"/>
  <c r="Y48" i="33"/>
  <c r="Y54" i="33" s="1"/>
  <c r="AG48" i="33"/>
  <c r="AG54" i="33" s="1"/>
  <c r="AO48" i="33"/>
  <c r="AO54" i="33" s="1"/>
  <c r="P55" i="33"/>
  <c r="X55" i="33"/>
  <c r="AF55" i="33"/>
  <c r="AN55" i="33"/>
  <c r="K58" i="33"/>
  <c r="S58" i="33"/>
  <c r="AA58" i="33"/>
  <c r="AI58" i="33"/>
  <c r="K57" i="33"/>
  <c r="S57" i="33"/>
  <c r="AA57" i="33"/>
  <c r="AI57" i="33"/>
  <c r="M59" i="33"/>
  <c r="U59" i="33"/>
  <c r="AC59" i="33"/>
  <c r="AK59" i="33"/>
  <c r="N58" i="33"/>
  <c r="V58" i="33"/>
  <c r="AD58" i="33"/>
  <c r="AL58" i="33"/>
  <c r="C47" i="32"/>
  <c r="C53" i="32" s="1"/>
  <c r="C45" i="32"/>
  <c r="C49" i="32" s="1"/>
  <c r="C44" i="32"/>
  <c r="C54" i="32"/>
  <c r="C58" i="32"/>
  <c r="C56" i="32"/>
  <c r="C57" i="32"/>
  <c r="D46" i="32"/>
  <c r="E44" i="32"/>
  <c r="D45" i="32"/>
  <c r="D49" i="32" s="1"/>
  <c r="F46" i="32"/>
  <c r="E45" i="32"/>
  <c r="E49" i="32" s="1"/>
  <c r="F45" i="32"/>
  <c r="F49" i="32" s="1"/>
  <c r="BC34" i="25"/>
  <c r="H47" i="33" l="1"/>
  <c r="H49" i="33" s="1"/>
  <c r="H56" i="33"/>
  <c r="F53" i="33"/>
  <c r="S56" i="33"/>
  <c r="K56" i="33"/>
  <c r="P56" i="33"/>
  <c r="K47" i="33"/>
  <c r="M53" i="33"/>
  <c r="Y52" i="33"/>
  <c r="Y51" i="33"/>
  <c r="Y49" i="33"/>
  <c r="AA49" i="33"/>
  <c r="AA52" i="33"/>
  <c r="AA51" i="33"/>
  <c r="Q52" i="33"/>
  <c r="Q49" i="33"/>
  <c r="Q51" i="33"/>
  <c r="G58" i="33"/>
  <c r="G59" i="33"/>
  <c r="G55" i="33"/>
  <c r="G57" i="33"/>
  <c r="AL49" i="33"/>
  <c r="AL52" i="33"/>
  <c r="AL51" i="33"/>
  <c r="AF51" i="33"/>
  <c r="AF52" i="33"/>
  <c r="AF49" i="33"/>
  <c r="AI49" i="33"/>
  <c r="AI52" i="33"/>
  <c r="AI51" i="33"/>
  <c r="AB47" i="33"/>
  <c r="AB56" i="33"/>
  <c r="AB53" i="33"/>
  <c r="C45" i="33"/>
  <c r="C48" i="33"/>
  <c r="C54" i="33" s="1"/>
  <c r="Z53" i="33"/>
  <c r="Z56" i="33"/>
  <c r="Z47" i="33"/>
  <c r="AK50" i="33"/>
  <c r="AK53" i="33"/>
  <c r="AO52" i="33"/>
  <c r="AO49" i="33"/>
  <c r="AO51" i="33"/>
  <c r="N49" i="33"/>
  <c r="N52" i="33"/>
  <c r="N51" i="33"/>
  <c r="E56" i="33"/>
  <c r="E53" i="33"/>
  <c r="E47" i="33"/>
  <c r="G53" i="33"/>
  <c r="G56" i="33"/>
  <c r="G47" i="33"/>
  <c r="W53" i="33"/>
  <c r="W56" i="33"/>
  <c r="W47" i="33"/>
  <c r="AG52" i="33"/>
  <c r="AG49" i="33"/>
  <c r="AG51" i="33"/>
  <c r="I53" i="33"/>
  <c r="I47" i="33"/>
  <c r="I56" i="33"/>
  <c r="AD49" i="33"/>
  <c r="AD52" i="33"/>
  <c r="AD51" i="33"/>
  <c r="K49" i="33"/>
  <c r="K52" i="33"/>
  <c r="K51" i="33"/>
  <c r="P51" i="33"/>
  <c r="P52" i="33"/>
  <c r="P49" i="33"/>
  <c r="T47" i="33"/>
  <c r="T56" i="33"/>
  <c r="T53" i="33"/>
  <c r="AE53" i="33"/>
  <c r="AE56" i="33"/>
  <c r="AE47" i="33"/>
  <c r="AC49" i="33"/>
  <c r="AC51" i="33"/>
  <c r="AC52" i="33"/>
  <c r="AN51" i="33"/>
  <c r="AN52" i="33"/>
  <c r="AN49" i="33"/>
  <c r="C55" i="33"/>
  <c r="C57" i="33"/>
  <c r="C59" i="33"/>
  <c r="R53" i="33"/>
  <c r="R56" i="33"/>
  <c r="R47" i="33"/>
  <c r="X51" i="33"/>
  <c r="X52" i="33"/>
  <c r="X49" i="33"/>
  <c r="V49" i="33"/>
  <c r="V52" i="33"/>
  <c r="V51" i="33"/>
  <c r="S49" i="33"/>
  <c r="S52" i="33"/>
  <c r="S51" i="33"/>
  <c r="AK52" i="33"/>
  <c r="U53" i="33"/>
  <c r="L47" i="33"/>
  <c r="L56" i="33"/>
  <c r="L53" i="33"/>
  <c r="U52" i="33"/>
  <c r="H52" i="33"/>
  <c r="AH53" i="33"/>
  <c r="AH56" i="33"/>
  <c r="AH47" i="33"/>
  <c r="M49" i="33"/>
  <c r="M51" i="33"/>
  <c r="M52" i="33"/>
  <c r="O53" i="33"/>
  <c r="O56" i="33"/>
  <c r="O47" i="33"/>
  <c r="F49" i="33"/>
  <c r="F52" i="33"/>
  <c r="F51" i="33"/>
  <c r="AM53" i="33"/>
  <c r="AM56" i="33"/>
  <c r="AM47" i="33"/>
  <c r="AJ47" i="33"/>
  <c r="AJ56" i="33"/>
  <c r="AJ53" i="33"/>
  <c r="D47" i="33"/>
  <c r="D56" i="33"/>
  <c r="D53" i="33"/>
  <c r="J53" i="33"/>
  <c r="J56" i="33"/>
  <c r="J47" i="33"/>
  <c r="F52" i="32"/>
  <c r="D59" i="32"/>
  <c r="D51" i="32"/>
  <c r="D50" i="32"/>
  <c r="D48" i="32"/>
  <c r="F59" i="32"/>
  <c r="F51" i="32"/>
  <c r="F48" i="32"/>
  <c r="F50" i="32"/>
  <c r="C52" i="32"/>
  <c r="C46" i="32"/>
  <c r="C55" i="32"/>
  <c r="E55" i="32"/>
  <c r="E52" i="32"/>
  <c r="E46" i="32"/>
  <c r="D52" i="32"/>
  <c r="AS34" i="25"/>
  <c r="AS32" i="25"/>
  <c r="H51" i="33" l="1"/>
  <c r="Z49" i="33"/>
  <c r="Z51" i="33"/>
  <c r="Z52" i="33"/>
  <c r="T51" i="33"/>
  <c r="T49" i="33"/>
  <c r="T52" i="33"/>
  <c r="W51" i="33"/>
  <c r="W52" i="33"/>
  <c r="W49" i="33"/>
  <c r="AB51" i="33"/>
  <c r="AB52" i="33"/>
  <c r="AB49" i="33"/>
  <c r="D51" i="33"/>
  <c r="D52" i="33"/>
  <c r="D49" i="33"/>
  <c r="AH49" i="33"/>
  <c r="AH51" i="33"/>
  <c r="AH52" i="33"/>
  <c r="R49" i="33"/>
  <c r="R51" i="33"/>
  <c r="R52" i="33"/>
  <c r="L51" i="33"/>
  <c r="L49" i="33"/>
  <c r="L52" i="33"/>
  <c r="AE51" i="33"/>
  <c r="AE52" i="33"/>
  <c r="AE49" i="33"/>
  <c r="I52" i="33"/>
  <c r="I51" i="33"/>
  <c r="I49" i="33"/>
  <c r="G51" i="33"/>
  <c r="G52" i="33"/>
  <c r="G49" i="33"/>
  <c r="O51" i="33"/>
  <c r="O49" i="33"/>
  <c r="O52" i="33"/>
  <c r="J49" i="33"/>
  <c r="J51" i="33"/>
  <c r="J52" i="33"/>
  <c r="AJ51" i="33"/>
  <c r="AJ49" i="33"/>
  <c r="AJ52" i="33"/>
  <c r="C56" i="33"/>
  <c r="C53" i="33"/>
  <c r="C47" i="33"/>
  <c r="AM51" i="33"/>
  <c r="AM49" i="33"/>
  <c r="AM52" i="33"/>
  <c r="E49" i="33"/>
  <c r="E51" i="33"/>
  <c r="E52" i="33"/>
  <c r="C48" i="32"/>
  <c r="C50" i="32"/>
  <c r="C59" i="32"/>
  <c r="C51" i="32"/>
  <c r="E59" i="32"/>
  <c r="E51" i="32"/>
  <c r="E50" i="32"/>
  <c r="E48" i="32"/>
  <c r="C10" i="25"/>
  <c r="C9" i="28"/>
  <c r="I34" i="27"/>
  <c r="H34" i="27"/>
  <c r="G34" i="27"/>
  <c r="F34" i="27"/>
  <c r="E34" i="27"/>
  <c r="D34" i="27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T34" i="26"/>
  <c r="D34" i="26"/>
  <c r="BB34" i="25"/>
  <c r="AZ34" i="25"/>
  <c r="AY34" i="25"/>
  <c r="AX34" i="25"/>
  <c r="AW34" i="25"/>
  <c r="AV34" i="25"/>
  <c r="AU34" i="25"/>
  <c r="AT34" i="25"/>
  <c r="AR34" i="25"/>
  <c r="AQ34" i="25"/>
  <c r="AP34" i="25"/>
  <c r="AO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AN34" i="25"/>
  <c r="BA34" i="25"/>
  <c r="C29" i="25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T32" i="26"/>
  <c r="C49" i="33" l="1"/>
  <c r="C52" i="33"/>
  <c r="C51" i="33"/>
  <c r="D32" i="26"/>
  <c r="AZ32" i="25"/>
  <c r="BC32" i="25"/>
  <c r="BB32" i="25"/>
  <c r="AX32" i="25"/>
  <c r="AW32" i="25"/>
  <c r="AV32" i="25"/>
  <c r="AU32" i="25"/>
  <c r="AT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 l="1"/>
  <c r="AC32" i="25" l="1"/>
  <c r="AB32" i="25"/>
  <c r="AY32" i="25"/>
  <c r="AA32" i="25"/>
  <c r="S19" i="25" l="1"/>
  <c r="C42" i="28" l="1"/>
  <c r="C41" i="28"/>
  <c r="C38" i="28"/>
  <c r="C35" i="28"/>
  <c r="C34" i="28"/>
  <c r="C33" i="28"/>
  <c r="C27" i="28"/>
  <c r="C23" i="28"/>
  <c r="C22" i="28"/>
  <c r="C21" i="28"/>
  <c r="F28" i="28"/>
  <c r="F47" i="28" s="1"/>
  <c r="F53" i="28" s="1"/>
  <c r="F18" i="28"/>
  <c r="C10" i="28"/>
  <c r="C7" i="28"/>
  <c r="C5" i="28"/>
  <c r="C39" i="28"/>
  <c r="C36" i="28"/>
  <c r="E43" i="28"/>
  <c r="C24" i="28"/>
  <c r="E28" i="28"/>
  <c r="E47" i="28" s="1"/>
  <c r="E18" i="28"/>
  <c r="C6" i="28"/>
  <c r="C4" i="28"/>
  <c r="D43" i="28"/>
  <c r="D57" i="28" s="1"/>
  <c r="C25" i="28"/>
  <c r="D28" i="28"/>
  <c r="D47" i="28" s="1"/>
  <c r="C17" i="28"/>
  <c r="Z40" i="28"/>
  <c r="C40" i="28"/>
  <c r="C37" i="28"/>
  <c r="C32" i="28"/>
  <c r="C31" i="28"/>
  <c r="C30" i="28"/>
  <c r="C29" i="28"/>
  <c r="C26" i="28"/>
  <c r="C16" i="28"/>
  <c r="C15" i="28"/>
  <c r="C14" i="28"/>
  <c r="C12" i="28"/>
  <c r="C11" i="28"/>
  <c r="C8" i="28"/>
  <c r="F43" i="28" l="1"/>
  <c r="C13" i="28"/>
  <c r="C18" i="28" s="1"/>
  <c r="E57" i="28"/>
  <c r="E54" i="28"/>
  <c r="C3" i="28"/>
  <c r="E53" i="28"/>
  <c r="C20" i="28"/>
  <c r="C28" i="28" s="1"/>
  <c r="D18" i="28"/>
  <c r="D53" i="28"/>
  <c r="D56" i="28"/>
  <c r="E56" i="28"/>
  <c r="C43" i="28"/>
  <c r="D44" i="28"/>
  <c r="D55" i="28" s="1"/>
  <c r="D58" i="28"/>
  <c r="E58" i="28"/>
  <c r="D54" i="28"/>
  <c r="E44" i="28"/>
  <c r="E55" i="28" s="1"/>
  <c r="D45" i="28"/>
  <c r="D49" i="28" s="1"/>
  <c r="E45" i="28"/>
  <c r="E49" i="28" s="1"/>
  <c r="F45" i="28"/>
  <c r="F49" i="28" s="1"/>
  <c r="F57" i="28" l="1"/>
  <c r="F54" i="28"/>
  <c r="F44" i="28"/>
  <c r="F55" i="28" s="1"/>
  <c r="F56" i="28"/>
  <c r="F58" i="28"/>
  <c r="E46" i="28"/>
  <c r="E59" i="28" s="1"/>
  <c r="C54" i="28"/>
  <c r="C44" i="28"/>
  <c r="C55" i="28" s="1"/>
  <c r="C56" i="28"/>
  <c r="C58" i="28"/>
  <c r="C45" i="28"/>
  <c r="C49" i="28" s="1"/>
  <c r="C47" i="28"/>
  <c r="C53" i="28" s="1"/>
  <c r="D46" i="28"/>
  <c r="D48" i="28" s="1"/>
  <c r="C57" i="28"/>
  <c r="E52" i="28"/>
  <c r="D52" i="28"/>
  <c r="F46" i="28" l="1"/>
  <c r="F59" i="28" s="1"/>
  <c r="D50" i="28"/>
  <c r="C46" i="28"/>
  <c r="C48" i="28" s="1"/>
  <c r="F52" i="28"/>
  <c r="E48" i="28"/>
  <c r="E50" i="28"/>
  <c r="E51" i="28"/>
  <c r="C52" i="28"/>
  <c r="D51" i="28"/>
  <c r="D59" i="28"/>
  <c r="U40" i="25"/>
  <c r="U38" i="25"/>
  <c r="U37" i="25"/>
  <c r="U35" i="25"/>
  <c r="U31" i="25"/>
  <c r="F50" i="28" l="1"/>
  <c r="F48" i="28"/>
  <c r="F51" i="28"/>
  <c r="C50" i="28"/>
  <c r="C59" i="28"/>
  <c r="C51" i="28"/>
  <c r="BC19" i="25" l="1"/>
  <c r="AX19" i="25" l="1"/>
  <c r="AR19" i="25" l="1"/>
  <c r="R44" i="25" l="1"/>
  <c r="R19" i="25"/>
  <c r="BB19" i="25" l="1"/>
  <c r="AS19" i="25" l="1"/>
  <c r="AG19" i="25" l="1"/>
  <c r="AE19" i="25" l="1"/>
  <c r="F19" i="26" l="1"/>
  <c r="G40" i="27" l="1"/>
  <c r="C40" i="27" s="1"/>
  <c r="G38" i="27"/>
  <c r="C38" i="27" s="1"/>
  <c r="G37" i="27"/>
  <c r="C37" i="27" s="1"/>
  <c r="G35" i="27"/>
  <c r="C35" i="27" s="1"/>
  <c r="G31" i="27"/>
  <c r="G19" i="27"/>
  <c r="C11" i="27"/>
  <c r="AH59" i="27"/>
  <c r="AC59" i="27"/>
  <c r="AB59" i="27"/>
  <c r="AA59" i="27"/>
  <c r="Z59" i="27"/>
  <c r="M59" i="27"/>
  <c r="L59" i="27"/>
  <c r="AO58" i="27"/>
  <c r="AH58" i="27"/>
  <c r="AG58" i="27"/>
  <c r="Z58" i="27"/>
  <c r="Y58" i="27"/>
  <c r="R58" i="27"/>
  <c r="AO57" i="27"/>
  <c r="AN57" i="27"/>
  <c r="AH57" i="27"/>
  <c r="AG57" i="27"/>
  <c r="AF57" i="27"/>
  <c r="Z57" i="27"/>
  <c r="Y57" i="27"/>
  <c r="X57" i="27"/>
  <c r="AG56" i="27"/>
  <c r="AE56" i="27"/>
  <c r="AO55" i="27"/>
  <c r="AN55" i="27"/>
  <c r="AM55" i="27"/>
  <c r="AL55" i="27"/>
  <c r="AH55" i="27"/>
  <c r="AG55" i="27"/>
  <c r="AF55" i="27"/>
  <c r="AE55" i="27"/>
  <c r="AD55" i="27"/>
  <c r="Z55" i="27"/>
  <c r="Y55" i="27"/>
  <c r="X55" i="27"/>
  <c r="R55" i="27"/>
  <c r="N55" i="27"/>
  <c r="AK54" i="27"/>
  <c r="AC54" i="27"/>
  <c r="W54" i="27"/>
  <c r="U54" i="27"/>
  <c r="M54" i="27"/>
  <c r="AE53" i="27"/>
  <c r="AD53" i="27"/>
  <c r="AK50" i="27"/>
  <c r="Y50" i="27"/>
  <c r="AO48" i="27"/>
  <c r="AO54" i="27" s="1"/>
  <c r="AN48" i="27"/>
  <c r="AN54" i="27" s="1"/>
  <c r="AM48" i="27"/>
  <c r="AM54" i="27" s="1"/>
  <c r="AE48" i="27"/>
  <c r="AE54" i="27" s="1"/>
  <c r="AA48" i="27"/>
  <c r="AA54" i="27" s="1"/>
  <c r="Z48" i="27"/>
  <c r="Z54" i="27" s="1"/>
  <c r="Y48" i="27"/>
  <c r="Y54" i="27" s="1"/>
  <c r="W48" i="27"/>
  <c r="O48" i="27"/>
  <c r="O54" i="27" s="1"/>
  <c r="K48" i="27"/>
  <c r="K54" i="27" s="1"/>
  <c r="AO47" i="27"/>
  <c r="AO49" i="27" s="1"/>
  <c r="Y47" i="27"/>
  <c r="Y49" i="27" s="1"/>
  <c r="AO46" i="27"/>
  <c r="AO50" i="27" s="1"/>
  <c r="AN46" i="27"/>
  <c r="AN50" i="27" s="1"/>
  <c r="AM46" i="27"/>
  <c r="AM50" i="27" s="1"/>
  <c r="AL46" i="27"/>
  <c r="AL50" i="27" s="1"/>
  <c r="AK46" i="27"/>
  <c r="AE46" i="27"/>
  <c r="AE50" i="27" s="1"/>
  <c r="AD46" i="27"/>
  <c r="AD50" i="27" s="1"/>
  <c r="AC46" i="27"/>
  <c r="AC50" i="27" s="1"/>
  <c r="Y46" i="27"/>
  <c r="W46" i="27"/>
  <c r="W50" i="27" s="1"/>
  <c r="V46" i="27"/>
  <c r="V50" i="27" s="1"/>
  <c r="U46" i="27"/>
  <c r="U50" i="27" s="1"/>
  <c r="AN45" i="27"/>
  <c r="AM45" i="27"/>
  <c r="AE45" i="27"/>
  <c r="AE47" i="27" s="1"/>
  <c r="AD45" i="27"/>
  <c r="AD56" i="27" s="1"/>
  <c r="AC45" i="27"/>
  <c r="AC53" i="27" s="1"/>
  <c r="AB45" i="27"/>
  <c r="N45" i="27"/>
  <c r="N56" i="27" s="1"/>
  <c r="AO44" i="27"/>
  <c r="AO59" i="27" s="1"/>
  <c r="AN44" i="27"/>
  <c r="AN58" i="27" s="1"/>
  <c r="AM44" i="27"/>
  <c r="AL44" i="27"/>
  <c r="AK44" i="27"/>
  <c r="AK45" i="27" s="1"/>
  <c r="AJ44" i="27"/>
  <c r="AJ59" i="27" s="1"/>
  <c r="AI44" i="27"/>
  <c r="AI55" i="27" s="1"/>
  <c r="AH44" i="27"/>
  <c r="AG44" i="27"/>
  <c r="AG59" i="27" s="1"/>
  <c r="AF44" i="27"/>
  <c r="AF58" i="27" s="1"/>
  <c r="AE44" i="27"/>
  <c r="AD44" i="27"/>
  <c r="AC44" i="27"/>
  <c r="AB44" i="27"/>
  <c r="AA44" i="27"/>
  <c r="AA55" i="27" s="1"/>
  <c r="Z44" i="27"/>
  <c r="Y44" i="27"/>
  <c r="Y59" i="27" s="1"/>
  <c r="X44" i="27"/>
  <c r="X58" i="27" s="1"/>
  <c r="W44" i="27"/>
  <c r="V44" i="27"/>
  <c r="U44" i="27"/>
  <c r="T44" i="27"/>
  <c r="T59" i="27" s="1"/>
  <c r="S44" i="27"/>
  <c r="S55" i="27" s="1"/>
  <c r="R44" i="27"/>
  <c r="R57" i="27" s="1"/>
  <c r="Q44" i="27"/>
  <c r="Q59" i="27" s="1"/>
  <c r="P44" i="27"/>
  <c r="P58" i="27" s="1"/>
  <c r="O44" i="27"/>
  <c r="O55" i="27" s="1"/>
  <c r="N44" i="27"/>
  <c r="M44" i="27"/>
  <c r="L44" i="27"/>
  <c r="K44" i="27"/>
  <c r="K55" i="27" s="1"/>
  <c r="J44" i="27"/>
  <c r="J55" i="27" s="1"/>
  <c r="I44" i="27"/>
  <c r="I59" i="27" s="1"/>
  <c r="H44" i="27"/>
  <c r="H58" i="27" s="1"/>
  <c r="F44" i="27"/>
  <c r="F55" i="27" s="1"/>
  <c r="E44" i="27"/>
  <c r="D44" i="27"/>
  <c r="D59" i="27" s="1"/>
  <c r="C43" i="27"/>
  <c r="C42" i="27"/>
  <c r="C41" i="27"/>
  <c r="C39" i="27"/>
  <c r="C36" i="27"/>
  <c r="C34" i="27"/>
  <c r="C33" i="27"/>
  <c r="C32" i="27"/>
  <c r="C31" i="27"/>
  <c r="C30" i="27"/>
  <c r="AO29" i="27"/>
  <c r="AO45" i="27" s="1"/>
  <c r="AO56" i="27" s="1"/>
  <c r="AN29" i="27"/>
  <c r="AM29" i="27"/>
  <c r="AL29" i="27"/>
  <c r="AL48" i="27" s="1"/>
  <c r="AL54" i="27" s="1"/>
  <c r="AK29" i="27"/>
  <c r="AK48" i="27" s="1"/>
  <c r="AJ29" i="27"/>
  <c r="AJ45" i="27" s="1"/>
  <c r="AI29" i="27"/>
  <c r="AH29" i="27"/>
  <c r="AH48" i="27" s="1"/>
  <c r="AH54" i="27" s="1"/>
  <c r="AG29" i="27"/>
  <c r="AG45" i="27" s="1"/>
  <c r="AG47" i="27" s="1"/>
  <c r="AF29" i="27"/>
  <c r="AF45" i="27" s="1"/>
  <c r="AE29" i="27"/>
  <c r="AD29" i="27"/>
  <c r="AD48" i="27" s="1"/>
  <c r="AD54" i="27" s="1"/>
  <c r="AC29" i="27"/>
  <c r="AC48" i="27" s="1"/>
  <c r="AB29" i="27"/>
  <c r="AA29" i="27"/>
  <c r="Z29" i="27"/>
  <c r="Y29" i="27"/>
  <c r="Y45" i="27" s="1"/>
  <c r="Y56" i="27" s="1"/>
  <c r="X29" i="27"/>
  <c r="X48" i="27" s="1"/>
  <c r="X54" i="27" s="1"/>
  <c r="W29" i="27"/>
  <c r="V29" i="27"/>
  <c r="V48" i="27" s="1"/>
  <c r="V54" i="27" s="1"/>
  <c r="U29" i="27"/>
  <c r="U48" i="27" s="1"/>
  <c r="T29" i="27"/>
  <c r="S29" i="27"/>
  <c r="R29" i="27"/>
  <c r="Q29" i="27"/>
  <c r="P29" i="27"/>
  <c r="P48" i="27" s="1"/>
  <c r="P54" i="27" s="1"/>
  <c r="O29" i="27"/>
  <c r="O46" i="27" s="1"/>
  <c r="O50" i="27" s="1"/>
  <c r="N29" i="27"/>
  <c r="N48" i="27" s="1"/>
  <c r="N54" i="27" s="1"/>
  <c r="M29" i="27"/>
  <c r="M48" i="27" s="1"/>
  <c r="L29" i="27"/>
  <c r="K29" i="27"/>
  <c r="J29" i="27"/>
  <c r="I29" i="27"/>
  <c r="H29" i="27"/>
  <c r="H48" i="27" s="1"/>
  <c r="H54" i="27" s="1"/>
  <c r="G29" i="27"/>
  <c r="G48" i="27" s="1"/>
  <c r="G54" i="27" s="1"/>
  <c r="F29" i="27"/>
  <c r="F48" i="27" s="1"/>
  <c r="F54" i="27" s="1"/>
  <c r="E29" i="27"/>
  <c r="E48" i="27" s="1"/>
  <c r="E54" i="27" s="1"/>
  <c r="D29" i="27"/>
  <c r="C28" i="27"/>
  <c r="C27" i="27"/>
  <c r="C26" i="27"/>
  <c r="C25" i="27"/>
  <c r="C24" i="27"/>
  <c r="C23" i="27"/>
  <c r="C22" i="27"/>
  <c r="C21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F19" i="27"/>
  <c r="E19" i="27"/>
  <c r="D19" i="27"/>
  <c r="C18" i="27"/>
  <c r="C17" i="27"/>
  <c r="C16" i="27"/>
  <c r="C15" i="27"/>
  <c r="C14" i="27"/>
  <c r="C13" i="27"/>
  <c r="C12" i="27"/>
  <c r="C10" i="27"/>
  <c r="C9" i="27"/>
  <c r="C8" i="27"/>
  <c r="C7" i="27"/>
  <c r="C6" i="27"/>
  <c r="C5" i="27"/>
  <c r="C4" i="27"/>
  <c r="G44" i="27" l="1"/>
  <c r="G55" i="27" s="1"/>
  <c r="I57" i="27"/>
  <c r="J57" i="27"/>
  <c r="D45" i="27"/>
  <c r="D56" i="27" s="1"/>
  <c r="E46" i="27"/>
  <c r="E50" i="27" s="1"/>
  <c r="F45" i="27"/>
  <c r="F56" i="27" s="1"/>
  <c r="F46" i="27"/>
  <c r="F50" i="27" s="1"/>
  <c r="G46" i="27"/>
  <c r="G50" i="27" s="1"/>
  <c r="C19" i="27"/>
  <c r="I55" i="27"/>
  <c r="R59" i="27"/>
  <c r="Q57" i="27"/>
  <c r="I45" i="27"/>
  <c r="I56" i="27" s="1"/>
  <c r="Q45" i="27"/>
  <c r="Q56" i="27" s="1"/>
  <c r="O45" i="27"/>
  <c r="O47" i="27" s="1"/>
  <c r="O52" i="27" s="1"/>
  <c r="I58" i="27"/>
  <c r="P55" i="27"/>
  <c r="J58" i="27"/>
  <c r="J59" i="27"/>
  <c r="H55" i="27"/>
  <c r="P57" i="27"/>
  <c r="C44" i="27"/>
  <c r="C57" i="27" s="1"/>
  <c r="Q55" i="27"/>
  <c r="H57" i="27"/>
  <c r="Q58" i="27"/>
  <c r="K59" i="27"/>
  <c r="M46" i="27"/>
  <c r="M50" i="27" s="1"/>
  <c r="C29" i="27"/>
  <c r="C46" i="27" s="1"/>
  <c r="C50" i="27" s="1"/>
  <c r="N46" i="27"/>
  <c r="N50" i="27" s="1"/>
  <c r="E45" i="27"/>
  <c r="E56" i="27" s="1"/>
  <c r="O49" i="27"/>
  <c r="O51" i="27"/>
  <c r="AM53" i="27"/>
  <c r="AM56" i="27"/>
  <c r="AM47" i="27"/>
  <c r="AN53" i="27"/>
  <c r="AN56" i="27"/>
  <c r="AN47" i="27"/>
  <c r="Y51" i="27"/>
  <c r="Y52" i="27"/>
  <c r="AF47" i="27"/>
  <c r="AF56" i="27"/>
  <c r="O53" i="27"/>
  <c r="AC47" i="27"/>
  <c r="AC56" i="27"/>
  <c r="AE49" i="27"/>
  <c r="AE51" i="27"/>
  <c r="AE52" i="27"/>
  <c r="AG51" i="27"/>
  <c r="AG49" i="27"/>
  <c r="AK47" i="27"/>
  <c r="AK56" i="27"/>
  <c r="AK53" i="27"/>
  <c r="AJ47" i="27"/>
  <c r="AJ56" i="27"/>
  <c r="AB47" i="27"/>
  <c r="AB56" i="27"/>
  <c r="N47" i="27"/>
  <c r="AI58" i="27"/>
  <c r="M55" i="27"/>
  <c r="M57" i="27"/>
  <c r="M58" i="27"/>
  <c r="K45" i="27"/>
  <c r="K46" i="27"/>
  <c r="K50" i="27" s="1"/>
  <c r="S45" i="27"/>
  <c r="S46" i="27"/>
  <c r="S50" i="27" s="1"/>
  <c r="AA45" i="27"/>
  <c r="AA46" i="27"/>
  <c r="AA50" i="27" s="1"/>
  <c r="AI45" i="27"/>
  <c r="AI46" i="27"/>
  <c r="AI50" i="27" s="1"/>
  <c r="F57" i="27"/>
  <c r="F58" i="27"/>
  <c r="F59" i="27"/>
  <c r="N57" i="27"/>
  <c r="N59" i="27"/>
  <c r="N58" i="27"/>
  <c r="V59" i="27"/>
  <c r="V57" i="27"/>
  <c r="V58" i="27"/>
  <c r="AD57" i="27"/>
  <c r="AD59" i="27"/>
  <c r="AD58" i="27"/>
  <c r="AL57" i="27"/>
  <c r="AL58" i="27"/>
  <c r="AL59" i="27"/>
  <c r="H45" i="27"/>
  <c r="V45" i="27"/>
  <c r="H46" i="27"/>
  <c r="H50" i="27" s="1"/>
  <c r="AG46" i="27"/>
  <c r="AG50" i="27" s="1"/>
  <c r="S48" i="27"/>
  <c r="S54" i="27" s="1"/>
  <c r="AG48" i="27"/>
  <c r="AG54" i="27" s="1"/>
  <c r="F53" i="27"/>
  <c r="S59" i="27"/>
  <c r="AI59" i="27"/>
  <c r="P45" i="27"/>
  <c r="P46" i="27"/>
  <c r="P50" i="27" s="1"/>
  <c r="AD47" i="27"/>
  <c r="L55" i="27"/>
  <c r="L57" i="27"/>
  <c r="AB55" i="27"/>
  <c r="AB57" i="27"/>
  <c r="Q46" i="27"/>
  <c r="Q50" i="27" s="1"/>
  <c r="Q48" i="27"/>
  <c r="Q54" i="27" s="1"/>
  <c r="K57" i="27"/>
  <c r="D58" i="27"/>
  <c r="T58" i="27"/>
  <c r="J45" i="27"/>
  <c r="J46" i="27"/>
  <c r="J50" i="27" s="1"/>
  <c r="Z45" i="27"/>
  <c r="Z46" i="27"/>
  <c r="Z50" i="27" s="1"/>
  <c r="E55" i="27"/>
  <c r="E58" i="27"/>
  <c r="E57" i="27"/>
  <c r="AC55" i="27"/>
  <c r="AC57" i="27"/>
  <c r="AC58" i="27"/>
  <c r="AF46" i="27"/>
  <c r="AF50" i="27" s="1"/>
  <c r="AF48" i="27"/>
  <c r="AF54" i="27" s="1"/>
  <c r="D46" i="27"/>
  <c r="D50" i="27" s="1"/>
  <c r="D48" i="27"/>
  <c r="D54" i="27" s="1"/>
  <c r="L46" i="27"/>
  <c r="L50" i="27" s="1"/>
  <c r="L48" i="27"/>
  <c r="L54" i="27" s="1"/>
  <c r="T46" i="27"/>
  <c r="T50" i="27" s="1"/>
  <c r="T48" i="27"/>
  <c r="T54" i="27" s="1"/>
  <c r="AB46" i="27"/>
  <c r="AB50" i="27" s="1"/>
  <c r="AB48" i="27"/>
  <c r="AB54" i="27" s="1"/>
  <c r="AJ46" i="27"/>
  <c r="AJ50" i="27" s="1"/>
  <c r="AJ48" i="27"/>
  <c r="AJ54" i="27" s="1"/>
  <c r="O57" i="27"/>
  <c r="O58" i="27"/>
  <c r="O59" i="27"/>
  <c r="W57" i="27"/>
  <c r="W58" i="27"/>
  <c r="W59" i="27"/>
  <c r="AE57" i="27"/>
  <c r="AE58" i="27"/>
  <c r="AE59" i="27"/>
  <c r="AM57" i="27"/>
  <c r="AM58" i="27"/>
  <c r="AM59" i="27"/>
  <c r="L45" i="27"/>
  <c r="W45" i="27"/>
  <c r="I46" i="27"/>
  <c r="I50" i="27" s="1"/>
  <c r="I48" i="27"/>
  <c r="I54" i="27" s="1"/>
  <c r="V55" i="27"/>
  <c r="K58" i="27"/>
  <c r="AA58" i="27"/>
  <c r="AO51" i="27"/>
  <c r="AO52" i="27"/>
  <c r="S58" i="27"/>
  <c r="Y53" i="27"/>
  <c r="AO53" i="27"/>
  <c r="D55" i="27"/>
  <c r="D57" i="27"/>
  <c r="T55" i="27"/>
  <c r="T57" i="27"/>
  <c r="AJ55" i="27"/>
  <c r="AJ57" i="27"/>
  <c r="T45" i="27"/>
  <c r="AA57" i="27"/>
  <c r="AJ58" i="27"/>
  <c r="R45" i="27"/>
  <c r="R46" i="27"/>
  <c r="R50" i="27" s="1"/>
  <c r="AH45" i="27"/>
  <c r="AH46" i="27"/>
  <c r="AH50" i="27" s="1"/>
  <c r="U55" i="27"/>
  <c r="U58" i="27"/>
  <c r="U57" i="27"/>
  <c r="AK55" i="27"/>
  <c r="AK58" i="27"/>
  <c r="AK57" i="27"/>
  <c r="U45" i="27"/>
  <c r="R48" i="27"/>
  <c r="R54" i="27" s="1"/>
  <c r="M45" i="27"/>
  <c r="X45" i="27"/>
  <c r="AL45" i="27"/>
  <c r="X46" i="27"/>
  <c r="X50" i="27" s="1"/>
  <c r="J48" i="27"/>
  <c r="J54" i="27" s="1"/>
  <c r="AI48" i="27"/>
  <c r="AI54" i="27" s="1"/>
  <c r="W55" i="27"/>
  <c r="S57" i="27"/>
  <c r="AI57" i="27"/>
  <c r="L58" i="27"/>
  <c r="AB58" i="27"/>
  <c r="E59" i="27"/>
  <c r="U59" i="27"/>
  <c r="AK59" i="27"/>
  <c r="H59" i="27"/>
  <c r="P59" i="27"/>
  <c r="X59" i="27"/>
  <c r="AF59" i="27"/>
  <c r="AN59" i="27"/>
  <c r="G45" i="27" l="1"/>
  <c r="G47" i="27" s="1"/>
  <c r="G51" i="27" s="1"/>
  <c r="G59" i="27"/>
  <c r="G58" i="27"/>
  <c r="G57" i="27"/>
  <c r="F47" i="27"/>
  <c r="F49" i="27" s="1"/>
  <c r="D47" i="27"/>
  <c r="D51" i="27" s="1"/>
  <c r="D53" i="27"/>
  <c r="C55" i="27"/>
  <c r="Q47" i="27"/>
  <c r="C45" i="27"/>
  <c r="C47" i="27" s="1"/>
  <c r="C52" i="27" s="1"/>
  <c r="E53" i="27"/>
  <c r="C59" i="27"/>
  <c r="C58" i="27"/>
  <c r="O56" i="27"/>
  <c r="E47" i="27"/>
  <c r="E49" i="27" s="1"/>
  <c r="I47" i="27"/>
  <c r="I52" i="27" s="1"/>
  <c r="N53" i="27"/>
  <c r="C48" i="27"/>
  <c r="C54" i="27" s="1"/>
  <c r="Q53" i="27"/>
  <c r="I53" i="27"/>
  <c r="AJ52" i="27"/>
  <c r="AJ51" i="27"/>
  <c r="AJ49" i="27"/>
  <c r="AN51" i="27"/>
  <c r="AN52" i="27"/>
  <c r="AN49" i="27"/>
  <c r="AC49" i="27"/>
  <c r="AC51" i="27"/>
  <c r="AC52" i="27"/>
  <c r="X53" i="27"/>
  <c r="X47" i="27"/>
  <c r="X56" i="27"/>
  <c r="W56" i="27"/>
  <c r="W53" i="27"/>
  <c r="W47" i="27"/>
  <c r="AI53" i="27"/>
  <c r="AI56" i="27"/>
  <c r="AI47" i="27"/>
  <c r="AB51" i="27"/>
  <c r="AB52" i="27"/>
  <c r="AB49" i="27"/>
  <c r="AK49" i="27"/>
  <c r="AK51" i="27"/>
  <c r="AK52" i="27"/>
  <c r="AF51" i="27"/>
  <c r="AF52" i="27"/>
  <c r="AF49" i="27"/>
  <c r="U47" i="27"/>
  <c r="U56" i="27"/>
  <c r="U53" i="27"/>
  <c r="M47" i="27"/>
  <c r="M56" i="27"/>
  <c r="M53" i="27"/>
  <c r="Q51" i="27"/>
  <c r="Q52" i="27"/>
  <c r="Q49" i="27"/>
  <c r="L47" i="27"/>
  <c r="L56" i="27"/>
  <c r="L53" i="27"/>
  <c r="AJ53" i="27"/>
  <c r="AH53" i="27"/>
  <c r="AH56" i="27"/>
  <c r="AH47" i="27"/>
  <c r="AD49" i="27"/>
  <c r="AD52" i="27"/>
  <c r="AD51" i="27"/>
  <c r="S53" i="27"/>
  <c r="S56" i="27"/>
  <c r="S47" i="27"/>
  <c r="Z53" i="27"/>
  <c r="Z56" i="27"/>
  <c r="Z47" i="27"/>
  <c r="N49" i="27"/>
  <c r="N52" i="27"/>
  <c r="N51" i="27"/>
  <c r="AM49" i="27"/>
  <c r="AM52" i="27"/>
  <c r="AM51" i="27"/>
  <c r="R53" i="27"/>
  <c r="R47" i="27"/>
  <c r="R56" i="27"/>
  <c r="P53" i="27"/>
  <c r="P47" i="27"/>
  <c r="P56" i="27"/>
  <c r="V56" i="27"/>
  <c r="V53" i="27"/>
  <c r="V47" i="27"/>
  <c r="K53" i="27"/>
  <c r="K47" i="27"/>
  <c r="K56" i="27"/>
  <c r="AB53" i="27"/>
  <c r="AL56" i="27"/>
  <c r="AL47" i="27"/>
  <c r="AL53" i="27"/>
  <c r="J53" i="27"/>
  <c r="J56" i="27"/>
  <c r="J47" i="27"/>
  <c r="H53" i="27"/>
  <c r="H56" i="27"/>
  <c r="H47" i="27"/>
  <c r="T47" i="27"/>
  <c r="T56" i="27"/>
  <c r="T53" i="27"/>
  <c r="AG53" i="27"/>
  <c r="AA53" i="27"/>
  <c r="AA47" i="27"/>
  <c r="AA56" i="27"/>
  <c r="AG52" i="27"/>
  <c r="AF53" i="27"/>
  <c r="G53" i="27" l="1"/>
  <c r="G52" i="27"/>
  <c r="G56" i="27"/>
  <c r="G49" i="27"/>
  <c r="F51" i="27"/>
  <c r="F52" i="27"/>
  <c r="D52" i="27"/>
  <c r="D49" i="27"/>
  <c r="I51" i="27"/>
  <c r="C53" i="27"/>
  <c r="C49" i="27"/>
  <c r="C51" i="27"/>
  <c r="E51" i="27"/>
  <c r="I49" i="27"/>
  <c r="E52" i="27"/>
  <c r="C56" i="27"/>
  <c r="M49" i="27"/>
  <c r="M52" i="27"/>
  <c r="M51" i="27"/>
  <c r="J52" i="27"/>
  <c r="J51" i="27"/>
  <c r="J49" i="27"/>
  <c r="L51" i="27"/>
  <c r="L49" i="27"/>
  <c r="L52" i="27"/>
  <c r="X51" i="27"/>
  <c r="X52" i="27"/>
  <c r="X49" i="27"/>
  <c r="V49" i="27"/>
  <c r="V52" i="27"/>
  <c r="V51" i="27"/>
  <c r="S52" i="27"/>
  <c r="S51" i="27"/>
  <c r="S49" i="27"/>
  <c r="AH52" i="27"/>
  <c r="AH51" i="27"/>
  <c r="AH49" i="27"/>
  <c r="P51" i="27"/>
  <c r="P52" i="27"/>
  <c r="P49" i="27"/>
  <c r="U49" i="27"/>
  <c r="U52" i="27"/>
  <c r="U51" i="27"/>
  <c r="AL49" i="27"/>
  <c r="AL52" i="27"/>
  <c r="AL51" i="27"/>
  <c r="R52" i="27"/>
  <c r="R51" i="27"/>
  <c r="R49" i="27"/>
  <c r="Z52" i="27"/>
  <c r="Z51" i="27"/>
  <c r="Z49" i="27"/>
  <c r="AA51" i="27"/>
  <c r="AA52" i="27"/>
  <c r="AA49" i="27"/>
  <c r="K49" i="27"/>
  <c r="K51" i="27"/>
  <c r="K52" i="27"/>
  <c r="AI52" i="27"/>
  <c r="AI51" i="27"/>
  <c r="AI49" i="27"/>
  <c r="T52" i="27"/>
  <c r="T51" i="27"/>
  <c r="T49" i="27"/>
  <c r="H51" i="27"/>
  <c r="H52" i="27"/>
  <c r="H49" i="27"/>
  <c r="W49" i="27"/>
  <c r="W51" i="27"/>
  <c r="W52" i="27"/>
  <c r="R19" i="26" l="1"/>
  <c r="C31" i="26" l="1"/>
  <c r="C15" i="26"/>
  <c r="C14" i="26"/>
  <c r="C13" i="26"/>
  <c r="C12" i="26"/>
  <c r="C11" i="26"/>
  <c r="AL44" i="26"/>
  <c r="AK44" i="26"/>
  <c r="AK58" i="26" s="1"/>
  <c r="AJ44" i="26"/>
  <c r="AJ58" i="26" s="1"/>
  <c r="AI44" i="26"/>
  <c r="AI59" i="26" s="1"/>
  <c r="AH44" i="26"/>
  <c r="AH58" i="26" s="1"/>
  <c r="AG44" i="26"/>
  <c r="AG58" i="26" s="1"/>
  <c r="AF44" i="26"/>
  <c r="AF58" i="26" s="1"/>
  <c r="AE44" i="26"/>
  <c r="AE58" i="26" s="1"/>
  <c r="AD44" i="26"/>
  <c r="AC44" i="26"/>
  <c r="AB44" i="26"/>
  <c r="AA44" i="26"/>
  <c r="AA59" i="26" s="1"/>
  <c r="Z44" i="26"/>
  <c r="Z58" i="26" s="1"/>
  <c r="Y44" i="26"/>
  <c r="Y58" i="26" s="1"/>
  <c r="X44" i="26"/>
  <c r="X58" i="26" s="1"/>
  <c r="W44" i="26"/>
  <c r="W59" i="26" s="1"/>
  <c r="V44" i="26"/>
  <c r="U44" i="26"/>
  <c r="T44" i="26"/>
  <c r="S44" i="26"/>
  <c r="S58" i="26" s="1"/>
  <c r="R44" i="26"/>
  <c r="R58" i="26" s="1"/>
  <c r="Q44" i="26"/>
  <c r="Q58" i="26" s="1"/>
  <c r="P44" i="26"/>
  <c r="P58" i="26" s="1"/>
  <c r="O44" i="26"/>
  <c r="O55" i="26" s="1"/>
  <c r="N44" i="26"/>
  <c r="M44" i="26"/>
  <c r="K44" i="26"/>
  <c r="K55" i="26" s="1"/>
  <c r="J44" i="26"/>
  <c r="J58" i="26" s="1"/>
  <c r="I44" i="26"/>
  <c r="I58" i="26" s="1"/>
  <c r="H44" i="26"/>
  <c r="H58" i="26" s="1"/>
  <c r="G44" i="26"/>
  <c r="G58" i="26" s="1"/>
  <c r="F44" i="26"/>
  <c r="E44" i="26"/>
  <c r="D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0" i="26"/>
  <c r="AL29" i="26"/>
  <c r="AL46" i="26" s="1"/>
  <c r="AL50" i="26" s="1"/>
  <c r="AK29" i="26"/>
  <c r="AK48" i="26" s="1"/>
  <c r="AK54" i="26" s="1"/>
  <c r="AJ29" i="26"/>
  <c r="AJ48" i="26" s="1"/>
  <c r="AJ54" i="26" s="1"/>
  <c r="AI29" i="26"/>
  <c r="AH29" i="26"/>
  <c r="AG29" i="26"/>
  <c r="AF29" i="26"/>
  <c r="AE29" i="26"/>
  <c r="AE48" i="26" s="1"/>
  <c r="AE54" i="26" s="1"/>
  <c r="AD29" i="26"/>
  <c r="AC29" i="26"/>
  <c r="AC46" i="26" s="1"/>
  <c r="AC50" i="26" s="1"/>
  <c r="AB29" i="26"/>
  <c r="AB46" i="26" s="1"/>
  <c r="AB50" i="26" s="1"/>
  <c r="AA29" i="26"/>
  <c r="AA46" i="26" s="1"/>
  <c r="AA50" i="26" s="1"/>
  <c r="Z29" i="26"/>
  <c r="Y29" i="26"/>
  <c r="X29" i="26"/>
  <c r="W29" i="26"/>
  <c r="W48" i="26" s="1"/>
  <c r="W54" i="26" s="1"/>
  <c r="V29" i="26"/>
  <c r="U29" i="26"/>
  <c r="U48" i="26" s="1"/>
  <c r="U54" i="26" s="1"/>
  <c r="T29" i="26"/>
  <c r="T48" i="26" s="1"/>
  <c r="T54" i="26" s="1"/>
  <c r="S29" i="26"/>
  <c r="S48" i="26" s="1"/>
  <c r="S54" i="26" s="1"/>
  <c r="R29" i="26"/>
  <c r="Q29" i="26"/>
  <c r="P29" i="26"/>
  <c r="P46" i="26" s="1"/>
  <c r="P50" i="26" s="1"/>
  <c r="O29" i="26"/>
  <c r="N29" i="26"/>
  <c r="M29" i="26"/>
  <c r="M46" i="26" s="1"/>
  <c r="M50" i="26" s="1"/>
  <c r="L29" i="26"/>
  <c r="K29" i="26"/>
  <c r="J29" i="26"/>
  <c r="I29" i="26"/>
  <c r="H29" i="26"/>
  <c r="G29" i="26"/>
  <c r="G46" i="26" s="1"/>
  <c r="G50" i="26" s="1"/>
  <c r="F29" i="26"/>
  <c r="F46" i="26" s="1"/>
  <c r="F50" i="26" s="1"/>
  <c r="E29" i="26"/>
  <c r="E48" i="26" s="1"/>
  <c r="E54" i="26" s="1"/>
  <c r="D29" i="26"/>
  <c r="D48" i="26" s="1"/>
  <c r="D54" i="26" s="1"/>
  <c r="C28" i="26"/>
  <c r="C27" i="26"/>
  <c r="C26" i="26"/>
  <c r="C25" i="26"/>
  <c r="C24" i="26"/>
  <c r="C23" i="26"/>
  <c r="C22" i="26"/>
  <c r="C21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Q19" i="26"/>
  <c r="P19" i="26"/>
  <c r="O19" i="26"/>
  <c r="N19" i="26"/>
  <c r="M19" i="26"/>
  <c r="L19" i="26"/>
  <c r="K19" i="26"/>
  <c r="J19" i="26"/>
  <c r="I19" i="26"/>
  <c r="H19" i="26"/>
  <c r="G19" i="26"/>
  <c r="E19" i="26"/>
  <c r="D19" i="26"/>
  <c r="C18" i="26"/>
  <c r="C17" i="26"/>
  <c r="C16" i="26"/>
  <c r="C10" i="26"/>
  <c r="C9" i="26"/>
  <c r="C8" i="26"/>
  <c r="C7" i="26"/>
  <c r="C6" i="26"/>
  <c r="C5" i="26"/>
  <c r="C4" i="26"/>
  <c r="J45" i="26" l="1"/>
  <c r="J55" i="26"/>
  <c r="J57" i="26"/>
  <c r="R57" i="26"/>
  <c r="AH57" i="26"/>
  <c r="R59" i="26"/>
  <c r="W46" i="26"/>
  <c r="W50" i="26" s="1"/>
  <c r="D46" i="26"/>
  <c r="D50" i="26" s="1"/>
  <c r="AE55" i="26"/>
  <c r="AF55" i="26"/>
  <c r="AF45" i="26"/>
  <c r="AF56" i="26" s="1"/>
  <c r="J59" i="26"/>
  <c r="Z57" i="26"/>
  <c r="Z59" i="26"/>
  <c r="Y59" i="26"/>
  <c r="AD45" i="26"/>
  <c r="AD56" i="26" s="1"/>
  <c r="AD48" i="26"/>
  <c r="AD54" i="26" s="1"/>
  <c r="H45" i="26"/>
  <c r="H48" i="26"/>
  <c r="H54" i="26" s="1"/>
  <c r="H46" i="26"/>
  <c r="H50" i="26" s="1"/>
  <c r="P55" i="26"/>
  <c r="AH45" i="26"/>
  <c r="AH47" i="26" s="1"/>
  <c r="AH49" i="26" s="1"/>
  <c r="AH55" i="26"/>
  <c r="T45" i="26"/>
  <c r="T56" i="26" s="1"/>
  <c r="Q55" i="26"/>
  <c r="Q59" i="26"/>
  <c r="Q57" i="26"/>
  <c r="I59" i="26"/>
  <c r="I55" i="26"/>
  <c r="AG55" i="26"/>
  <c r="AG57" i="26"/>
  <c r="AG45" i="26"/>
  <c r="AG56" i="26" s="1"/>
  <c r="R55" i="26"/>
  <c r="L44" i="26"/>
  <c r="L45" i="26" s="1"/>
  <c r="AA55" i="26"/>
  <c r="AA58" i="26"/>
  <c r="K57" i="26"/>
  <c r="AA57" i="26"/>
  <c r="S59" i="26"/>
  <c r="S57" i="26"/>
  <c r="AI57" i="26"/>
  <c r="S55" i="26"/>
  <c r="AI55" i="26"/>
  <c r="W57" i="26"/>
  <c r="K58" i="26"/>
  <c r="K59" i="26"/>
  <c r="W45" i="26"/>
  <c r="W53" i="26" s="1"/>
  <c r="G55" i="26"/>
  <c r="Y55" i="26"/>
  <c r="H57" i="26"/>
  <c r="X57" i="26"/>
  <c r="O59" i="26"/>
  <c r="AG59" i="26"/>
  <c r="K45" i="26"/>
  <c r="K56" i="26" s="1"/>
  <c r="AI45" i="26"/>
  <c r="AI47" i="26" s="1"/>
  <c r="X45" i="26"/>
  <c r="X56" i="26" s="1"/>
  <c r="H55" i="26"/>
  <c r="Z55" i="26"/>
  <c r="I57" i="26"/>
  <c r="Y57" i="26"/>
  <c r="W58" i="26"/>
  <c r="P59" i="26"/>
  <c r="AH59" i="26"/>
  <c r="S46" i="26"/>
  <c r="S50" i="26" s="1"/>
  <c r="AI46" i="26"/>
  <c r="AA48" i="26"/>
  <c r="AA54" i="26" s="1"/>
  <c r="S45" i="26"/>
  <c r="S56" i="26" s="1"/>
  <c r="T46" i="26"/>
  <c r="T50" i="26" s="1"/>
  <c r="AJ46" i="26"/>
  <c r="AJ50" i="26" s="1"/>
  <c r="AB48" i="26"/>
  <c r="AB54" i="26" s="1"/>
  <c r="U46" i="26"/>
  <c r="U50" i="26" s="1"/>
  <c r="K48" i="26"/>
  <c r="K54" i="26" s="1"/>
  <c r="AA45" i="26"/>
  <c r="L48" i="26"/>
  <c r="L54" i="26" s="1"/>
  <c r="K46" i="26"/>
  <c r="K50" i="26" s="1"/>
  <c r="M48" i="26"/>
  <c r="M54" i="26" s="1"/>
  <c r="AI48" i="26"/>
  <c r="AI54" i="26" s="1"/>
  <c r="L46" i="26"/>
  <c r="L50" i="26" s="1"/>
  <c r="AD46" i="26"/>
  <c r="AD50" i="26" s="1"/>
  <c r="C19" i="26"/>
  <c r="D55" i="26"/>
  <c r="D59" i="26"/>
  <c r="D57" i="26"/>
  <c r="D58" i="26"/>
  <c r="D45" i="26"/>
  <c r="T57" i="26"/>
  <c r="T55" i="26"/>
  <c r="T59" i="26"/>
  <c r="T58" i="26"/>
  <c r="AB59" i="26"/>
  <c r="AB57" i="26"/>
  <c r="AB55" i="26"/>
  <c r="AB45" i="26"/>
  <c r="AB58" i="26"/>
  <c r="AJ57" i="26"/>
  <c r="AJ55" i="26"/>
  <c r="AJ59" i="26"/>
  <c r="AJ45" i="26"/>
  <c r="F45" i="26"/>
  <c r="F48" i="26"/>
  <c r="F54" i="26" s="1"/>
  <c r="N45" i="26"/>
  <c r="N46" i="26"/>
  <c r="N50" i="26" s="1"/>
  <c r="N48" i="26"/>
  <c r="N54" i="26" s="1"/>
  <c r="V45" i="26"/>
  <c r="V46" i="26"/>
  <c r="V50" i="26" s="1"/>
  <c r="V48" i="26"/>
  <c r="V54" i="26" s="1"/>
  <c r="AL45" i="26"/>
  <c r="AL48" i="26"/>
  <c r="AL54" i="26" s="1"/>
  <c r="E59" i="26"/>
  <c r="E57" i="26"/>
  <c r="E55" i="26"/>
  <c r="E58" i="26"/>
  <c r="M59" i="26"/>
  <c r="M57" i="26"/>
  <c r="M55" i="26"/>
  <c r="M58" i="26"/>
  <c r="AC59" i="26"/>
  <c r="AC57" i="26"/>
  <c r="AC55" i="26"/>
  <c r="AC58" i="26"/>
  <c r="AK59" i="26"/>
  <c r="AK57" i="26"/>
  <c r="AK55" i="26"/>
  <c r="G48" i="26"/>
  <c r="G54" i="26" s="1"/>
  <c r="G45" i="26"/>
  <c r="O46" i="26"/>
  <c r="O50" i="26" s="1"/>
  <c r="O48" i="26"/>
  <c r="O54" i="26" s="1"/>
  <c r="O45" i="26"/>
  <c r="AE45" i="26"/>
  <c r="AE46" i="26"/>
  <c r="AE50" i="26" s="1"/>
  <c r="C44" i="26"/>
  <c r="F59" i="26"/>
  <c r="F57" i="26"/>
  <c r="F55" i="26"/>
  <c r="F58" i="26"/>
  <c r="N59" i="26"/>
  <c r="N57" i="26"/>
  <c r="N55" i="26"/>
  <c r="N58" i="26"/>
  <c r="V59" i="26"/>
  <c r="V57" i="26"/>
  <c r="V55" i="26"/>
  <c r="AD59" i="26"/>
  <c r="AD57" i="26"/>
  <c r="AD55" i="26"/>
  <c r="AD58" i="26"/>
  <c r="AL59" i="26"/>
  <c r="AL57" i="26"/>
  <c r="AL55" i="26"/>
  <c r="AL58" i="26"/>
  <c r="H56" i="26"/>
  <c r="H47" i="26"/>
  <c r="P48" i="26"/>
  <c r="P54" i="26" s="1"/>
  <c r="P45" i="26"/>
  <c r="AF46" i="26"/>
  <c r="AF50" i="26" s="1"/>
  <c r="AF48" i="26"/>
  <c r="AF54" i="26" s="1"/>
  <c r="J56" i="26"/>
  <c r="J47" i="26"/>
  <c r="V58" i="26"/>
  <c r="U59" i="26"/>
  <c r="U57" i="26"/>
  <c r="U55" i="26"/>
  <c r="U58" i="26"/>
  <c r="X46" i="26"/>
  <c r="X50" i="26" s="1"/>
  <c r="X48" i="26"/>
  <c r="X54" i="26" s="1"/>
  <c r="I48" i="26"/>
  <c r="I54" i="26" s="1"/>
  <c r="I46" i="26"/>
  <c r="I50" i="26" s="1"/>
  <c r="Q48" i="26"/>
  <c r="Q54" i="26" s="1"/>
  <c r="Q46" i="26"/>
  <c r="Q50" i="26" s="1"/>
  <c r="Y48" i="26"/>
  <c r="Y54" i="26" s="1"/>
  <c r="Y46" i="26"/>
  <c r="Y50" i="26" s="1"/>
  <c r="AG48" i="26"/>
  <c r="AG54" i="26" s="1"/>
  <c r="AG46" i="26"/>
  <c r="AG50" i="26" s="1"/>
  <c r="Y45" i="26"/>
  <c r="AE59" i="26"/>
  <c r="J48" i="26"/>
  <c r="J54" i="26" s="1"/>
  <c r="J46" i="26"/>
  <c r="J50" i="26" s="1"/>
  <c r="R48" i="26"/>
  <c r="R54" i="26" s="1"/>
  <c r="R46" i="26"/>
  <c r="R50" i="26" s="1"/>
  <c r="Z48" i="26"/>
  <c r="Z54" i="26" s="1"/>
  <c r="Z46" i="26"/>
  <c r="Z50" i="26" s="1"/>
  <c r="AH48" i="26"/>
  <c r="AH54" i="26" s="1"/>
  <c r="AH46" i="26"/>
  <c r="AH50" i="26" s="1"/>
  <c r="Z45" i="26"/>
  <c r="W55" i="26"/>
  <c r="O57" i="26"/>
  <c r="O58" i="26"/>
  <c r="G59" i="26"/>
  <c r="AF59" i="26"/>
  <c r="Q45" i="26"/>
  <c r="X55" i="26"/>
  <c r="P57" i="26"/>
  <c r="H59" i="26"/>
  <c r="C29" i="26"/>
  <c r="R45" i="26"/>
  <c r="AE57" i="26"/>
  <c r="E45" i="26"/>
  <c r="M45" i="26"/>
  <c r="U45" i="26"/>
  <c r="AC45" i="26"/>
  <c r="AK45" i="26"/>
  <c r="I45" i="26"/>
  <c r="E46" i="26"/>
  <c r="E50" i="26" s="1"/>
  <c r="AK46" i="26"/>
  <c r="AK50" i="26" s="1"/>
  <c r="AC48" i="26"/>
  <c r="AC54" i="26" s="1"/>
  <c r="G57" i="26"/>
  <c r="AF57" i="26"/>
  <c r="AI58" i="26"/>
  <c r="X59" i="26"/>
  <c r="L57" i="26" l="1"/>
  <c r="L59" i="26"/>
  <c r="AD47" i="26"/>
  <c r="AD49" i="26" s="1"/>
  <c r="AH56" i="26"/>
  <c r="AF47" i="26"/>
  <c r="AF52" i="26" s="1"/>
  <c r="AD53" i="26"/>
  <c r="K47" i="26"/>
  <c r="K49" i="26" s="1"/>
  <c r="K53" i="26"/>
  <c r="H53" i="26"/>
  <c r="T47" i="26"/>
  <c r="T52" i="26" s="1"/>
  <c r="T53" i="26"/>
  <c r="AG47" i="26"/>
  <c r="AG49" i="26" s="1"/>
  <c r="L58" i="26"/>
  <c r="L55" i="26"/>
  <c r="L53" i="26"/>
  <c r="L47" i="26"/>
  <c r="L52" i="26" s="1"/>
  <c r="L56" i="26"/>
  <c r="AI52" i="26"/>
  <c r="AI49" i="26"/>
  <c r="AI51" i="26"/>
  <c r="X47" i="26"/>
  <c r="X49" i="26" s="1"/>
  <c r="W56" i="26"/>
  <c r="W47" i="26"/>
  <c r="W51" i="26" s="1"/>
  <c r="AI56" i="26"/>
  <c r="S47" i="26"/>
  <c r="S51" i="26" s="1"/>
  <c r="AA56" i="26"/>
  <c r="AA53" i="26"/>
  <c r="AA47" i="26"/>
  <c r="AI53" i="26"/>
  <c r="AI50" i="26"/>
  <c r="S53" i="26"/>
  <c r="AH51" i="26"/>
  <c r="AG53" i="26"/>
  <c r="AK53" i="26"/>
  <c r="AK47" i="26"/>
  <c r="AK56" i="26"/>
  <c r="C57" i="26"/>
  <c r="C59" i="26"/>
  <c r="C58" i="26"/>
  <c r="C55" i="26"/>
  <c r="AC53" i="26"/>
  <c r="AC47" i="26"/>
  <c r="AC56" i="26"/>
  <c r="Z56" i="26"/>
  <c r="Z53" i="26"/>
  <c r="Z47" i="26"/>
  <c r="P56" i="26"/>
  <c r="P53" i="26"/>
  <c r="P47" i="26"/>
  <c r="AH52" i="26"/>
  <c r="E53" i="26"/>
  <c r="E47" i="26"/>
  <c r="E56" i="26"/>
  <c r="AL53" i="26"/>
  <c r="AL47" i="26"/>
  <c r="AL56" i="26"/>
  <c r="J52" i="26"/>
  <c r="J49" i="26"/>
  <c r="J51" i="26"/>
  <c r="R56" i="26"/>
  <c r="R53" i="26"/>
  <c r="R47" i="26"/>
  <c r="AH53" i="26"/>
  <c r="J53" i="26"/>
  <c r="G53" i="26"/>
  <c r="G47" i="26"/>
  <c r="G56" i="26"/>
  <c r="F53" i="26"/>
  <c r="F47" i="26"/>
  <c r="F56" i="26"/>
  <c r="V53" i="26"/>
  <c r="V47" i="26"/>
  <c r="V56" i="26"/>
  <c r="U53" i="26"/>
  <c r="U47" i="26"/>
  <c r="U56" i="26"/>
  <c r="AF53" i="26"/>
  <c r="AE47" i="26"/>
  <c r="AE53" i="26"/>
  <c r="AE56" i="26"/>
  <c r="M53" i="26"/>
  <c r="M47" i="26"/>
  <c r="M56" i="26"/>
  <c r="Q56" i="26"/>
  <c r="Q53" i="26"/>
  <c r="Q47" i="26"/>
  <c r="Y56" i="26"/>
  <c r="Y47" i="26"/>
  <c r="Y53" i="26"/>
  <c r="O56" i="26"/>
  <c r="O47" i="26"/>
  <c r="O53" i="26"/>
  <c r="H52" i="26"/>
  <c r="H49" i="26"/>
  <c r="H51" i="26"/>
  <c r="N53" i="26"/>
  <c r="N47" i="26"/>
  <c r="N56" i="26"/>
  <c r="AB53" i="26"/>
  <c r="AB56" i="26"/>
  <c r="AB47" i="26"/>
  <c r="X53" i="26"/>
  <c r="AD51" i="26"/>
  <c r="I56" i="26"/>
  <c r="I53" i="26"/>
  <c r="I47" i="26"/>
  <c r="C46" i="26"/>
  <c r="C50" i="26" s="1"/>
  <c r="C48" i="26"/>
  <c r="C54" i="26" s="1"/>
  <c r="C45" i="26"/>
  <c r="AJ53" i="26"/>
  <c r="AJ56" i="26"/>
  <c r="AJ47" i="26"/>
  <c r="D53" i="26"/>
  <c r="D56" i="26"/>
  <c r="D47" i="26"/>
  <c r="AD52" i="26" l="1"/>
  <c r="T51" i="26"/>
  <c r="T49" i="26"/>
  <c r="AF51" i="26"/>
  <c r="AF49" i="26"/>
  <c r="K51" i="26"/>
  <c r="K52" i="26"/>
  <c r="AG51" i="26"/>
  <c r="W49" i="26"/>
  <c r="S49" i="26"/>
  <c r="S52" i="26"/>
  <c r="AG52" i="26"/>
  <c r="L51" i="26"/>
  <c r="L49" i="26"/>
  <c r="W52" i="26"/>
  <c r="X51" i="26"/>
  <c r="X52" i="26"/>
  <c r="AA51" i="26"/>
  <c r="AA49" i="26"/>
  <c r="AA52" i="26"/>
  <c r="N51" i="26"/>
  <c r="N49" i="26"/>
  <c r="N52" i="26"/>
  <c r="F51" i="26"/>
  <c r="F49" i="26"/>
  <c r="F52" i="26"/>
  <c r="D51" i="26"/>
  <c r="D49" i="26"/>
  <c r="D52" i="26"/>
  <c r="Y52" i="26"/>
  <c r="Y49" i="26"/>
  <c r="Y51" i="26"/>
  <c r="AL51" i="26"/>
  <c r="AL49" i="26"/>
  <c r="AL52" i="26"/>
  <c r="I52" i="26"/>
  <c r="I49" i="26"/>
  <c r="I51" i="26"/>
  <c r="V51" i="26"/>
  <c r="V49" i="26"/>
  <c r="V52" i="26"/>
  <c r="Q52" i="26"/>
  <c r="Q51" i="26"/>
  <c r="Q49" i="26"/>
  <c r="G51" i="26"/>
  <c r="G52" i="26"/>
  <c r="G49" i="26"/>
  <c r="Z52" i="26"/>
  <c r="Z51" i="26"/>
  <c r="Z49" i="26"/>
  <c r="AJ51" i="26"/>
  <c r="AJ49" i="26"/>
  <c r="AJ52" i="26"/>
  <c r="AB52" i="26"/>
  <c r="AB49" i="26"/>
  <c r="AB51" i="26"/>
  <c r="AE52" i="26"/>
  <c r="AE49" i="26"/>
  <c r="AE51" i="26"/>
  <c r="E51" i="26"/>
  <c r="E49" i="26"/>
  <c r="E52" i="26"/>
  <c r="P51" i="26"/>
  <c r="P52" i="26"/>
  <c r="P49" i="26"/>
  <c r="O49" i="26"/>
  <c r="O51" i="26"/>
  <c r="O52" i="26"/>
  <c r="AK51" i="26"/>
  <c r="AK49" i="26"/>
  <c r="AK52" i="26"/>
  <c r="C56" i="26"/>
  <c r="C53" i="26"/>
  <c r="C47" i="26"/>
  <c r="M51" i="26"/>
  <c r="M49" i="26"/>
  <c r="M52" i="26"/>
  <c r="U51" i="26"/>
  <c r="U49" i="26"/>
  <c r="U52" i="26"/>
  <c r="R52" i="26"/>
  <c r="R49" i="26"/>
  <c r="R51" i="26"/>
  <c r="AC51" i="26"/>
  <c r="AC49" i="26"/>
  <c r="AC52" i="26"/>
  <c r="C52" i="26" l="1"/>
  <c r="C49" i="26"/>
  <c r="C51" i="26"/>
  <c r="AN19" i="25" l="1"/>
  <c r="BC46" i="25" l="1"/>
  <c r="BC50" i="25" s="1"/>
  <c r="AU46" i="25"/>
  <c r="AU50" i="25" s="1"/>
  <c r="BC44" i="25"/>
  <c r="BC59" i="25" s="1"/>
  <c r="BB44" i="25"/>
  <c r="BB55" i="25" s="1"/>
  <c r="BA44" i="25"/>
  <c r="BA55" i="25" s="1"/>
  <c r="AZ44" i="25"/>
  <c r="AZ59" i="25" s="1"/>
  <c r="AY44" i="25"/>
  <c r="AY55" i="25" s="1"/>
  <c r="AX44" i="25"/>
  <c r="AX55" i="25" s="1"/>
  <c r="AW44" i="25"/>
  <c r="AV44" i="25"/>
  <c r="AU44" i="25"/>
  <c r="AU55" i="25" s="1"/>
  <c r="AT44" i="25"/>
  <c r="AT55" i="25" s="1"/>
  <c r="AS44" i="25"/>
  <c r="AS55" i="25" s="1"/>
  <c r="AR44" i="25"/>
  <c r="AR59" i="25" s="1"/>
  <c r="AQ44" i="25"/>
  <c r="AQ59" i="25" s="1"/>
  <c r="AP44" i="25"/>
  <c r="AP55" i="25" s="1"/>
  <c r="AO44" i="25"/>
  <c r="AO57" i="25" s="1"/>
  <c r="AN44" i="25"/>
  <c r="AM44" i="25"/>
  <c r="AM59" i="25" s="1"/>
  <c r="AL44" i="25"/>
  <c r="AL55" i="25" s="1"/>
  <c r="AK44" i="25"/>
  <c r="AK55" i="25" s="1"/>
  <c r="AJ44" i="25"/>
  <c r="AJ59" i="25" s="1"/>
  <c r="AI44" i="25"/>
  <c r="AH44" i="25"/>
  <c r="AH55" i="25" s="1"/>
  <c r="AG44" i="25"/>
  <c r="AF44" i="25"/>
  <c r="AE44" i="25"/>
  <c r="AE58" i="25" s="1"/>
  <c r="AD44" i="25"/>
  <c r="AD55" i="25" s="1"/>
  <c r="AC44" i="25"/>
  <c r="AC55" i="25" s="1"/>
  <c r="AB44" i="25"/>
  <c r="AB59" i="25" s="1"/>
  <c r="AA44" i="25"/>
  <c r="AA55" i="25" s="1"/>
  <c r="Z44" i="25"/>
  <c r="Z55" i="25" s="1"/>
  <c r="Y44" i="25"/>
  <c r="Y57" i="25" s="1"/>
  <c r="X44" i="25"/>
  <c r="W44" i="25"/>
  <c r="W55" i="25" s="1"/>
  <c r="V44" i="25"/>
  <c r="U44" i="25"/>
  <c r="U55" i="25" s="1"/>
  <c r="T44" i="25"/>
  <c r="T59" i="25" s="1"/>
  <c r="S44" i="25"/>
  <c r="S59" i="25" s="1"/>
  <c r="R55" i="25"/>
  <c r="Q44" i="25"/>
  <c r="P44" i="25"/>
  <c r="O44" i="25"/>
  <c r="O59" i="25" s="1"/>
  <c r="N44" i="25"/>
  <c r="N55" i="25" s="1"/>
  <c r="M44" i="25"/>
  <c r="M55" i="25" s="1"/>
  <c r="L44" i="25"/>
  <c r="L59" i="25" s="1"/>
  <c r="K44" i="25"/>
  <c r="J44" i="25"/>
  <c r="J55" i="25" s="1"/>
  <c r="I44" i="25"/>
  <c r="I57" i="25" s="1"/>
  <c r="H44" i="25"/>
  <c r="G44" i="25"/>
  <c r="G57" i="25" s="1"/>
  <c r="F44" i="25"/>
  <c r="F55" i="25" s="1"/>
  <c r="E44" i="25"/>
  <c r="E55" i="25" s="1"/>
  <c r="D44" i="25"/>
  <c r="D59" i="25" s="1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BC29" i="25"/>
  <c r="BB29" i="25"/>
  <c r="BA29" i="25"/>
  <c r="BA48" i="25" s="1"/>
  <c r="BA54" i="25" s="1"/>
  <c r="AZ29" i="25"/>
  <c r="AZ46" i="25" s="1"/>
  <c r="AZ50" i="25" s="1"/>
  <c r="AY29" i="25"/>
  <c r="AX29" i="25"/>
  <c r="AW29" i="25"/>
  <c r="AW48" i="25" s="1"/>
  <c r="AW54" i="25" s="1"/>
  <c r="AV29" i="25"/>
  <c r="AV48" i="25" s="1"/>
  <c r="AV54" i="25" s="1"/>
  <c r="AU29" i="25"/>
  <c r="AU48" i="25" s="1"/>
  <c r="AU54" i="25" s="1"/>
  <c r="AT29" i="25"/>
  <c r="AT48" i="25" s="1"/>
  <c r="AT54" i="25" s="1"/>
  <c r="AS29" i="25"/>
  <c r="AS48" i="25" s="1"/>
  <c r="AS54" i="25" s="1"/>
  <c r="AR29" i="25"/>
  <c r="AR46" i="25" s="1"/>
  <c r="AR50" i="25" s="1"/>
  <c r="AQ29" i="25"/>
  <c r="AP29" i="25"/>
  <c r="AO29" i="25"/>
  <c r="AN29" i="25"/>
  <c r="AN48" i="25" s="1"/>
  <c r="AN54" i="25" s="1"/>
  <c r="AM29" i="25"/>
  <c r="AL29" i="25"/>
  <c r="AK29" i="25"/>
  <c r="AK48" i="25" s="1"/>
  <c r="AK54" i="25" s="1"/>
  <c r="AJ29" i="25"/>
  <c r="AJ48" i="25" s="1"/>
  <c r="AJ54" i="25" s="1"/>
  <c r="AI29" i="25"/>
  <c r="AH29" i="25"/>
  <c r="AG29" i="25"/>
  <c r="AF29" i="25"/>
  <c r="AF48" i="25" s="1"/>
  <c r="AF54" i="25" s="1"/>
  <c r="AE29" i="25"/>
  <c r="AE48" i="25" s="1"/>
  <c r="AE54" i="25" s="1"/>
  <c r="AD29" i="25"/>
  <c r="AD48" i="25" s="1"/>
  <c r="AD54" i="25" s="1"/>
  <c r="AC29" i="25"/>
  <c r="AC48" i="25" s="1"/>
  <c r="AC54" i="25" s="1"/>
  <c r="AB29" i="25"/>
  <c r="AB46" i="25" s="1"/>
  <c r="AB50" i="25" s="1"/>
  <c r="AA29" i="25"/>
  <c r="Z29" i="25"/>
  <c r="Y29" i="25"/>
  <c r="X29" i="25"/>
  <c r="X48" i="25" s="1"/>
  <c r="X54" i="25" s="1"/>
  <c r="W29" i="25"/>
  <c r="W48" i="25" s="1"/>
  <c r="W54" i="25" s="1"/>
  <c r="V29" i="25"/>
  <c r="V48" i="25" s="1"/>
  <c r="V54" i="25" s="1"/>
  <c r="U29" i="25"/>
  <c r="U48" i="25" s="1"/>
  <c r="U54" i="25" s="1"/>
  <c r="T29" i="25"/>
  <c r="T46" i="25" s="1"/>
  <c r="T50" i="25" s="1"/>
  <c r="S29" i="25"/>
  <c r="R29" i="25"/>
  <c r="Q29" i="25"/>
  <c r="P29" i="25"/>
  <c r="P48" i="25" s="1"/>
  <c r="P54" i="25" s="1"/>
  <c r="O29" i="25"/>
  <c r="N29" i="25"/>
  <c r="M29" i="25"/>
  <c r="M48" i="25" s="1"/>
  <c r="M54" i="25" s="1"/>
  <c r="L29" i="25"/>
  <c r="L46" i="25" s="1"/>
  <c r="L50" i="25" s="1"/>
  <c r="K29" i="25"/>
  <c r="J29" i="25"/>
  <c r="J48" i="25" s="1"/>
  <c r="J54" i="25" s="1"/>
  <c r="I29" i="25"/>
  <c r="I48" i="25" s="1"/>
  <c r="I54" i="25" s="1"/>
  <c r="H29" i="25"/>
  <c r="H48" i="25" s="1"/>
  <c r="H54" i="25" s="1"/>
  <c r="G29" i="25"/>
  <c r="G48" i="25" s="1"/>
  <c r="G54" i="25" s="1"/>
  <c r="E29" i="25"/>
  <c r="E48" i="25" s="1"/>
  <c r="E54" i="25" s="1"/>
  <c r="D29" i="25"/>
  <c r="D46" i="25" s="1"/>
  <c r="D50" i="25" s="1"/>
  <c r="C28" i="25"/>
  <c r="C27" i="25"/>
  <c r="C26" i="25"/>
  <c r="C25" i="25"/>
  <c r="C24" i="25"/>
  <c r="C23" i="25"/>
  <c r="C22" i="25"/>
  <c r="BA19" i="25"/>
  <c r="AZ19" i="25"/>
  <c r="AY19" i="25"/>
  <c r="AW19" i="25"/>
  <c r="AV19" i="25"/>
  <c r="AU19" i="25"/>
  <c r="AT19" i="25"/>
  <c r="AQ19" i="25"/>
  <c r="AP19" i="25"/>
  <c r="AO19" i="25"/>
  <c r="AM19" i="25"/>
  <c r="AL19" i="25"/>
  <c r="AK19" i="25"/>
  <c r="AJ19" i="25"/>
  <c r="AI19" i="25"/>
  <c r="AH19" i="25"/>
  <c r="AF19" i="25"/>
  <c r="AD19" i="25"/>
  <c r="AC19" i="25"/>
  <c r="AB19" i="25"/>
  <c r="AA19" i="25"/>
  <c r="Z19" i="25"/>
  <c r="Y19" i="25"/>
  <c r="X19" i="25"/>
  <c r="W19" i="25"/>
  <c r="V19" i="25"/>
  <c r="U19" i="25"/>
  <c r="T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8" i="25"/>
  <c r="C17" i="25"/>
  <c r="C16" i="25"/>
  <c r="C15" i="25"/>
  <c r="C14" i="25"/>
  <c r="C13" i="25"/>
  <c r="C12" i="25"/>
  <c r="C11" i="25"/>
  <c r="C9" i="25"/>
  <c r="C8" i="25"/>
  <c r="C7" i="25"/>
  <c r="C6" i="25"/>
  <c r="C5" i="25"/>
  <c r="C4" i="25"/>
  <c r="BB45" i="25" l="1"/>
  <c r="AP45" i="25"/>
  <c r="AP47" i="25" s="1"/>
  <c r="S45" i="25"/>
  <c r="S47" i="25" s="1"/>
  <c r="AH45" i="25"/>
  <c r="AH56" i="25" s="1"/>
  <c r="AH57" i="25"/>
  <c r="AH58" i="25"/>
  <c r="Y55" i="25"/>
  <c r="AL45" i="25"/>
  <c r="AL56" i="25" s="1"/>
  <c r="AL48" i="25"/>
  <c r="AL54" i="25" s="1"/>
  <c r="AU58" i="25"/>
  <c r="AU57" i="25"/>
  <c r="W57" i="25"/>
  <c r="W46" i="25"/>
  <c r="W50" i="25" s="1"/>
  <c r="V46" i="25"/>
  <c r="V50" i="25" s="1"/>
  <c r="U57" i="25"/>
  <c r="G58" i="25"/>
  <c r="G59" i="25"/>
  <c r="Z45" i="25"/>
  <c r="Z47" i="25" s="1"/>
  <c r="O45" i="25"/>
  <c r="O53" i="25" s="1"/>
  <c r="O46" i="25"/>
  <c r="O50" i="25" s="1"/>
  <c r="BC45" i="25"/>
  <c r="BC56" i="25" s="1"/>
  <c r="AX45" i="25"/>
  <c r="AX47" i="25" s="1"/>
  <c r="AX48" i="25"/>
  <c r="AX54" i="25" s="1"/>
  <c r="AM45" i="25"/>
  <c r="AM53" i="25" s="1"/>
  <c r="AM48" i="25"/>
  <c r="AM54" i="25" s="1"/>
  <c r="R45" i="25"/>
  <c r="R56" i="25" s="1"/>
  <c r="R59" i="25"/>
  <c r="AY45" i="25"/>
  <c r="AY56" i="25" s="1"/>
  <c r="BB46" i="25"/>
  <c r="BB50" i="25" s="1"/>
  <c r="AE46" i="25"/>
  <c r="AE50" i="25" s="1"/>
  <c r="N45" i="25"/>
  <c r="N56" i="25" s="1"/>
  <c r="AS58" i="25"/>
  <c r="AS59" i="25"/>
  <c r="Q45" i="25"/>
  <c r="Q56" i="25" s="1"/>
  <c r="Y45" i="25"/>
  <c r="Y47" i="25" s="1"/>
  <c r="AG45" i="25"/>
  <c r="AG56" i="25" s="1"/>
  <c r="AO45" i="25"/>
  <c r="AO47" i="25" s="1"/>
  <c r="AO49" i="25" s="1"/>
  <c r="AM55" i="25"/>
  <c r="AJ57" i="25"/>
  <c r="E59" i="25"/>
  <c r="L55" i="25"/>
  <c r="T58" i="25"/>
  <c r="AZ55" i="25"/>
  <c r="J57" i="25"/>
  <c r="U58" i="25"/>
  <c r="AE59" i="25"/>
  <c r="AD46" i="25"/>
  <c r="AD50" i="25" s="1"/>
  <c r="G46" i="25"/>
  <c r="G50" i="25" s="1"/>
  <c r="AM46" i="25"/>
  <c r="AM50" i="25" s="1"/>
  <c r="Y48" i="25"/>
  <c r="Y54" i="25" s="1"/>
  <c r="L48" i="25"/>
  <c r="L54" i="25" s="1"/>
  <c r="AL46" i="25"/>
  <c r="AL50" i="25" s="1"/>
  <c r="N48" i="25"/>
  <c r="N54" i="25" s="1"/>
  <c r="N46" i="25"/>
  <c r="N50" i="25" s="1"/>
  <c r="AT46" i="25"/>
  <c r="AT50" i="25" s="1"/>
  <c r="Z48" i="25"/>
  <c r="Z54" i="25" s="1"/>
  <c r="C19" i="25"/>
  <c r="X57" i="25"/>
  <c r="X55" i="25"/>
  <c r="X59" i="25"/>
  <c r="X58" i="25"/>
  <c r="AN57" i="25"/>
  <c r="AN55" i="25"/>
  <c r="AN59" i="25"/>
  <c r="AN58" i="25"/>
  <c r="K48" i="25"/>
  <c r="K54" i="25" s="1"/>
  <c r="K46" i="25"/>
  <c r="K50" i="25" s="1"/>
  <c r="AA48" i="25"/>
  <c r="AA54" i="25" s="1"/>
  <c r="AA46" i="25"/>
  <c r="AA50" i="25" s="1"/>
  <c r="AI48" i="25"/>
  <c r="AI54" i="25" s="1"/>
  <c r="AI46" i="25"/>
  <c r="AI50" i="25" s="1"/>
  <c r="AQ48" i="25"/>
  <c r="AQ54" i="25" s="1"/>
  <c r="AQ46" i="25"/>
  <c r="AQ50" i="25" s="1"/>
  <c r="K45" i="25"/>
  <c r="AA45" i="25"/>
  <c r="R47" i="25"/>
  <c r="H57" i="25"/>
  <c r="H55" i="25"/>
  <c r="H58" i="25"/>
  <c r="H59" i="25"/>
  <c r="P57" i="25"/>
  <c r="P55" i="25"/>
  <c r="P59" i="25"/>
  <c r="P58" i="25"/>
  <c r="AF57" i="25"/>
  <c r="AF55" i="25"/>
  <c r="AF59" i="25"/>
  <c r="AF58" i="25"/>
  <c r="AV57" i="25"/>
  <c r="AV55" i="25"/>
  <c r="AV59" i="25"/>
  <c r="AV58" i="25"/>
  <c r="S48" i="25"/>
  <c r="S54" i="25" s="1"/>
  <c r="S46" i="25"/>
  <c r="S50" i="25" s="1"/>
  <c r="C21" i="25"/>
  <c r="C46" i="25" s="1"/>
  <c r="C50" i="25" s="1"/>
  <c r="F29" i="25"/>
  <c r="BB53" i="25"/>
  <c r="BB47" i="25"/>
  <c r="BB56" i="25"/>
  <c r="AI45" i="25"/>
  <c r="AQ45" i="25"/>
  <c r="C44" i="25"/>
  <c r="C58" i="25" s="1"/>
  <c r="AY48" i="25"/>
  <c r="AY54" i="25" s="1"/>
  <c r="AY46" i="25"/>
  <c r="AY50" i="25" s="1"/>
  <c r="AW58" i="25"/>
  <c r="AW59" i="25"/>
  <c r="AR45" i="25"/>
  <c r="E45" i="25"/>
  <c r="M45" i="25"/>
  <c r="U45" i="25"/>
  <c r="AC45" i="25"/>
  <c r="AK45" i="25"/>
  <c r="AS45" i="25"/>
  <c r="BA45" i="25"/>
  <c r="H46" i="25"/>
  <c r="H50" i="25" s="1"/>
  <c r="P46" i="25"/>
  <c r="P50" i="25" s="1"/>
  <c r="X46" i="25"/>
  <c r="X50" i="25" s="1"/>
  <c r="AF46" i="25"/>
  <c r="AF50" i="25" s="1"/>
  <c r="AN46" i="25"/>
  <c r="AN50" i="25" s="1"/>
  <c r="AV46" i="25"/>
  <c r="AV50" i="25" s="1"/>
  <c r="O48" i="25"/>
  <c r="O54" i="25" s="1"/>
  <c r="AB48" i="25"/>
  <c r="AB54" i="25" s="1"/>
  <c r="AO48" i="25"/>
  <c r="AO54" i="25" s="1"/>
  <c r="BB48" i="25"/>
  <c r="BB54" i="25" s="1"/>
  <c r="O55" i="25"/>
  <c r="AB55" i="25"/>
  <c r="AO55" i="25"/>
  <c r="L57" i="25"/>
  <c r="AK57" i="25"/>
  <c r="AX57" i="25"/>
  <c r="J58" i="25"/>
  <c r="W58" i="25"/>
  <c r="AJ58" i="25"/>
  <c r="U59" i="25"/>
  <c r="AH59" i="25"/>
  <c r="AU59" i="25"/>
  <c r="Q58" i="25"/>
  <c r="Q59" i="25"/>
  <c r="D45" i="25"/>
  <c r="AW57" i="25"/>
  <c r="K58" i="25"/>
  <c r="K57" i="25"/>
  <c r="S58" i="25"/>
  <c r="S57" i="25"/>
  <c r="AA58" i="25"/>
  <c r="AA57" i="25"/>
  <c r="AI58" i="25"/>
  <c r="AI57" i="25"/>
  <c r="AQ58" i="25"/>
  <c r="AQ57" i="25"/>
  <c r="AY58" i="25"/>
  <c r="AY57" i="25"/>
  <c r="V45" i="25"/>
  <c r="AD45" i="25"/>
  <c r="AT45" i="25"/>
  <c r="I46" i="25"/>
  <c r="I50" i="25" s="1"/>
  <c r="Q46" i="25"/>
  <c r="Q50" i="25" s="1"/>
  <c r="Y46" i="25"/>
  <c r="Y50" i="25" s="1"/>
  <c r="AG46" i="25"/>
  <c r="AG50" i="25" s="1"/>
  <c r="AO46" i="25"/>
  <c r="AO50" i="25" s="1"/>
  <c r="AW46" i="25"/>
  <c r="AW50" i="25" s="1"/>
  <c r="D48" i="25"/>
  <c r="D54" i="25" s="1"/>
  <c r="Q48" i="25"/>
  <c r="Q54" i="25" s="1"/>
  <c r="AP48" i="25"/>
  <c r="AP54" i="25" s="1"/>
  <c r="BC48" i="25"/>
  <c r="BC54" i="25" s="1"/>
  <c r="D55" i="25"/>
  <c r="Q55" i="25"/>
  <c r="AQ55" i="25"/>
  <c r="BC55" i="25"/>
  <c r="M57" i="25"/>
  <c r="Z57" i="25"/>
  <c r="AM57" i="25"/>
  <c r="AZ57" i="25"/>
  <c r="L58" i="25"/>
  <c r="AK58" i="25"/>
  <c r="AX58" i="25"/>
  <c r="J59" i="25"/>
  <c r="W59" i="25"/>
  <c r="AI59" i="25"/>
  <c r="Y58" i="25"/>
  <c r="Y59" i="25"/>
  <c r="L45" i="25"/>
  <c r="AZ45" i="25"/>
  <c r="G45" i="25"/>
  <c r="W45" i="25"/>
  <c r="AE45" i="25"/>
  <c r="AU45" i="25"/>
  <c r="J46" i="25"/>
  <c r="J50" i="25" s="1"/>
  <c r="R46" i="25"/>
  <c r="R50" i="25" s="1"/>
  <c r="Z46" i="25"/>
  <c r="Z50" i="25" s="1"/>
  <c r="AH46" i="25"/>
  <c r="AH50" i="25" s="1"/>
  <c r="AP46" i="25"/>
  <c r="AP50" i="25" s="1"/>
  <c r="AX46" i="25"/>
  <c r="AX50" i="25" s="1"/>
  <c r="R48" i="25"/>
  <c r="R54" i="25" s="1"/>
  <c r="AR48" i="25"/>
  <c r="AR54" i="25" s="1"/>
  <c r="S55" i="25"/>
  <c r="AE55" i="25"/>
  <c r="AR55" i="25"/>
  <c r="O57" i="25"/>
  <c r="AB57" i="25"/>
  <c r="BA57" i="25"/>
  <c r="M58" i="25"/>
  <c r="Z58" i="25"/>
  <c r="AM58" i="25"/>
  <c r="AZ58" i="25"/>
  <c r="K59" i="25"/>
  <c r="AK59" i="25"/>
  <c r="AX59" i="25"/>
  <c r="AG58" i="25"/>
  <c r="AG59" i="25"/>
  <c r="AB45" i="25"/>
  <c r="H45" i="25"/>
  <c r="P45" i="25"/>
  <c r="X45" i="25"/>
  <c r="AF45" i="25"/>
  <c r="AN45" i="25"/>
  <c r="AV45" i="25"/>
  <c r="T48" i="25"/>
  <c r="T54" i="25" s="1"/>
  <c r="AG48" i="25"/>
  <c r="AG54" i="25" s="1"/>
  <c r="G55" i="25"/>
  <c r="T55" i="25"/>
  <c r="AG55" i="25"/>
  <c r="D57" i="25"/>
  <c r="Q57" i="25"/>
  <c r="AC57" i="25"/>
  <c r="AP57" i="25"/>
  <c r="BC57" i="25"/>
  <c r="O58" i="25"/>
  <c r="AB58" i="25"/>
  <c r="BA58" i="25"/>
  <c r="M59" i="25"/>
  <c r="Z59" i="25"/>
  <c r="AY59" i="25"/>
  <c r="I58" i="25"/>
  <c r="I59" i="25"/>
  <c r="T45" i="25"/>
  <c r="AZ48" i="25"/>
  <c r="AZ54" i="25" s="1"/>
  <c r="F59" i="25"/>
  <c r="F57" i="25"/>
  <c r="F58" i="25"/>
  <c r="N59" i="25"/>
  <c r="N57" i="25"/>
  <c r="N58" i="25"/>
  <c r="V59" i="25"/>
  <c r="V57" i="25"/>
  <c r="V58" i="25"/>
  <c r="AD59" i="25"/>
  <c r="AD57" i="25"/>
  <c r="AD58" i="25"/>
  <c r="AL59" i="25"/>
  <c r="AL57" i="25"/>
  <c r="AL58" i="25"/>
  <c r="AT59" i="25"/>
  <c r="AT57" i="25"/>
  <c r="AT58" i="25"/>
  <c r="BB59" i="25"/>
  <c r="BB57" i="25"/>
  <c r="BB58" i="25"/>
  <c r="I45" i="25"/>
  <c r="AW45" i="25"/>
  <c r="AJ46" i="25"/>
  <c r="AJ50" i="25" s="1"/>
  <c r="AH48" i="25"/>
  <c r="AH54" i="25" s="1"/>
  <c r="I55" i="25"/>
  <c r="V55" i="25"/>
  <c r="AI55" i="25"/>
  <c r="E57" i="25"/>
  <c r="R57" i="25"/>
  <c r="AE57" i="25"/>
  <c r="AR57" i="25"/>
  <c r="D58" i="25"/>
  <c r="AC58" i="25"/>
  <c r="AP58" i="25"/>
  <c r="BC58" i="25"/>
  <c r="AA59" i="25"/>
  <c r="BA59" i="25"/>
  <c r="AO58" i="25"/>
  <c r="AO59" i="25"/>
  <c r="AJ45" i="25"/>
  <c r="J45" i="25"/>
  <c r="E46" i="25"/>
  <c r="E50" i="25" s="1"/>
  <c r="M46" i="25"/>
  <c r="M50" i="25" s="1"/>
  <c r="U46" i="25"/>
  <c r="U50" i="25" s="1"/>
  <c r="AC46" i="25"/>
  <c r="AC50" i="25" s="1"/>
  <c r="AK46" i="25"/>
  <c r="AK50" i="25" s="1"/>
  <c r="AS46" i="25"/>
  <c r="AS50" i="25" s="1"/>
  <c r="BA46" i="25"/>
  <c r="BA50" i="25" s="1"/>
  <c r="K55" i="25"/>
  <c r="AJ55" i="25"/>
  <c r="AW55" i="25"/>
  <c r="T57" i="25"/>
  <c r="AG57" i="25"/>
  <c r="AS57" i="25"/>
  <c r="E58" i="25"/>
  <c r="R58" i="25"/>
  <c r="AR58" i="25"/>
  <c r="AC59" i="25"/>
  <c r="AP59" i="25"/>
  <c r="AM56" i="25" l="1"/>
  <c r="AM47" i="25"/>
  <c r="AM52" i="25" s="1"/>
  <c r="AL47" i="25"/>
  <c r="AL51" i="25" s="1"/>
  <c r="AP56" i="25"/>
  <c r="AY47" i="25"/>
  <c r="AY49" i="25" s="1"/>
  <c r="S56" i="25"/>
  <c r="AX56" i="25"/>
  <c r="AH47" i="25"/>
  <c r="AH52" i="25" s="1"/>
  <c r="Y56" i="25"/>
  <c r="AL53" i="25"/>
  <c r="Z56" i="25"/>
  <c r="O56" i="25"/>
  <c r="O47" i="25"/>
  <c r="O52" i="25" s="1"/>
  <c r="BC53" i="25"/>
  <c r="BC47" i="25"/>
  <c r="BC51" i="25" s="1"/>
  <c r="Q47" i="25"/>
  <c r="Q52" i="25" s="1"/>
  <c r="N47" i="25"/>
  <c r="N51" i="25" s="1"/>
  <c r="AO56" i="25"/>
  <c r="AG47" i="25"/>
  <c r="AG51" i="25" s="1"/>
  <c r="N53" i="25"/>
  <c r="AX53" i="25"/>
  <c r="AH53" i="25"/>
  <c r="Q53" i="25"/>
  <c r="AG53" i="25"/>
  <c r="AW47" i="25"/>
  <c r="AW53" i="25"/>
  <c r="AW56" i="25"/>
  <c r="H56" i="25"/>
  <c r="H47" i="25"/>
  <c r="H53" i="25"/>
  <c r="I56" i="25"/>
  <c r="I53" i="25"/>
  <c r="I47" i="25"/>
  <c r="E56" i="25"/>
  <c r="E47" i="25"/>
  <c r="E53" i="25"/>
  <c r="AE53" i="25"/>
  <c r="AE47" i="25"/>
  <c r="AE56" i="25"/>
  <c r="AD56" i="25"/>
  <c r="AD53" i="25"/>
  <c r="AD47" i="25"/>
  <c r="AR53" i="25"/>
  <c r="AR56" i="25"/>
  <c r="AR47" i="25"/>
  <c r="Y52" i="25"/>
  <c r="Y51" i="25"/>
  <c r="Y49" i="25"/>
  <c r="AO51" i="25"/>
  <c r="S49" i="25"/>
  <c r="S52" i="25"/>
  <c r="S51" i="25"/>
  <c r="T53" i="25"/>
  <c r="T47" i="25"/>
  <c r="T56" i="25"/>
  <c r="AB53" i="25"/>
  <c r="AB47" i="25"/>
  <c r="AB56" i="25"/>
  <c r="AU53" i="25"/>
  <c r="AU56" i="25"/>
  <c r="AU47" i="25"/>
  <c r="AT56" i="25"/>
  <c r="AT47" i="25"/>
  <c r="AT53" i="25"/>
  <c r="D53" i="25"/>
  <c r="D56" i="25"/>
  <c r="D47" i="25"/>
  <c r="AI56" i="25"/>
  <c r="AI53" i="25"/>
  <c r="AI47" i="25"/>
  <c r="Z53" i="25"/>
  <c r="AV47" i="25"/>
  <c r="AV56" i="25"/>
  <c r="AV53" i="25"/>
  <c r="W53" i="25"/>
  <c r="W47" i="25"/>
  <c r="W56" i="25"/>
  <c r="V56" i="25"/>
  <c r="V53" i="25"/>
  <c r="V47" i="25"/>
  <c r="BA56" i="25"/>
  <c r="BA47" i="25"/>
  <c r="BA53" i="25"/>
  <c r="BB51" i="25"/>
  <c r="BB49" i="25"/>
  <c r="BB52" i="25"/>
  <c r="F48" i="25"/>
  <c r="F54" i="25" s="1"/>
  <c r="F45" i="25"/>
  <c r="F46" i="25"/>
  <c r="F50" i="25" s="1"/>
  <c r="AO52" i="25"/>
  <c r="S53" i="25"/>
  <c r="Z52" i="25"/>
  <c r="Z51" i="25"/>
  <c r="Z49" i="25"/>
  <c r="AN47" i="25"/>
  <c r="AN56" i="25"/>
  <c r="AN53" i="25"/>
  <c r="G53" i="25"/>
  <c r="G56" i="25"/>
  <c r="G47" i="25"/>
  <c r="AS56" i="25"/>
  <c r="AS47" i="25"/>
  <c r="AS53" i="25"/>
  <c r="Y53" i="25"/>
  <c r="AM49" i="25"/>
  <c r="C48" i="25"/>
  <c r="C54" i="25" s="1"/>
  <c r="C45" i="25"/>
  <c r="R51" i="25"/>
  <c r="R52" i="25"/>
  <c r="R49" i="25"/>
  <c r="J53" i="25"/>
  <c r="J56" i="25"/>
  <c r="J47" i="25"/>
  <c r="AF47" i="25"/>
  <c r="AF56" i="25"/>
  <c r="AF53" i="25"/>
  <c r="AZ53" i="25"/>
  <c r="AZ56" i="25"/>
  <c r="AZ47" i="25"/>
  <c r="AK56" i="25"/>
  <c r="AK47" i="25"/>
  <c r="AK53" i="25"/>
  <c r="AO53" i="25"/>
  <c r="AX52" i="25"/>
  <c r="AX51" i="25"/>
  <c r="AX49" i="25"/>
  <c r="R53" i="25"/>
  <c r="AP52" i="25"/>
  <c r="AP51" i="25"/>
  <c r="AP49" i="25"/>
  <c r="AY53" i="25"/>
  <c r="M56" i="25"/>
  <c r="M47" i="25"/>
  <c r="M53" i="25"/>
  <c r="K56" i="25"/>
  <c r="K53" i="25"/>
  <c r="K47" i="25"/>
  <c r="AJ53" i="25"/>
  <c r="AJ47" i="25"/>
  <c r="AJ56" i="25"/>
  <c r="X47" i="25"/>
  <c r="X56" i="25"/>
  <c r="X53" i="25"/>
  <c r="L53" i="25"/>
  <c r="L56" i="25"/>
  <c r="L47" i="25"/>
  <c r="AC56" i="25"/>
  <c r="AC47" i="25"/>
  <c r="AC53" i="25"/>
  <c r="C57" i="25"/>
  <c r="C55" i="25"/>
  <c r="AL52" i="25"/>
  <c r="AA56" i="25"/>
  <c r="AA53" i="25"/>
  <c r="AA47" i="25"/>
  <c r="AP53" i="25"/>
  <c r="AY51" i="25"/>
  <c r="P47" i="25"/>
  <c r="P56" i="25"/>
  <c r="P53" i="25"/>
  <c r="U56" i="25"/>
  <c r="U47" i="25"/>
  <c r="U53" i="25"/>
  <c r="AQ56" i="25"/>
  <c r="AQ53" i="25"/>
  <c r="AQ47" i="25"/>
  <c r="C59" i="25"/>
  <c r="AL49" i="25" l="1"/>
  <c r="N52" i="25"/>
  <c r="AY52" i="25"/>
  <c r="AH49" i="25"/>
  <c r="AM51" i="25"/>
  <c r="AH51" i="25"/>
  <c r="BC52" i="25"/>
  <c r="N49" i="25"/>
  <c r="O51" i="25"/>
  <c r="O49" i="25"/>
  <c r="BC49" i="25"/>
  <c r="Q49" i="25"/>
  <c r="Q51" i="25"/>
  <c r="AG49" i="25"/>
  <c r="AG52" i="25"/>
  <c r="F56" i="25"/>
  <c r="F47" i="25"/>
  <c r="F53" i="25"/>
  <c r="D51" i="25"/>
  <c r="D52" i="25"/>
  <c r="D49" i="25"/>
  <c r="E51" i="25"/>
  <c r="E49" i="25"/>
  <c r="E52" i="25"/>
  <c r="AF49" i="25"/>
  <c r="AF52" i="25"/>
  <c r="AF51" i="25"/>
  <c r="AD51" i="25"/>
  <c r="AD49" i="25"/>
  <c r="AD52" i="25"/>
  <c r="U49" i="25"/>
  <c r="U51" i="25"/>
  <c r="U52" i="25"/>
  <c r="AK49" i="25"/>
  <c r="AK52" i="25"/>
  <c r="AK51" i="25"/>
  <c r="J52" i="25"/>
  <c r="J51" i="25"/>
  <c r="J49" i="25"/>
  <c r="AB51" i="25"/>
  <c r="AB52" i="25"/>
  <c r="AB49" i="25"/>
  <c r="I52" i="25"/>
  <c r="I51" i="25"/>
  <c r="I49" i="25"/>
  <c r="AW52" i="25"/>
  <c r="AW51" i="25"/>
  <c r="AW49" i="25"/>
  <c r="AA49" i="25"/>
  <c r="AA52" i="25"/>
  <c r="AA51" i="25"/>
  <c r="X49" i="25"/>
  <c r="X52" i="25"/>
  <c r="X51" i="25"/>
  <c r="AC52" i="25"/>
  <c r="AC51" i="25"/>
  <c r="AC49" i="25"/>
  <c r="AZ51" i="25"/>
  <c r="AZ52" i="25"/>
  <c r="AZ49" i="25"/>
  <c r="W52" i="25"/>
  <c r="W51" i="25"/>
  <c r="W49" i="25"/>
  <c r="AT51" i="25"/>
  <c r="AT49" i="25"/>
  <c r="AT52" i="25"/>
  <c r="C56" i="25"/>
  <c r="C53" i="25"/>
  <c r="C47" i="25"/>
  <c r="V51" i="25"/>
  <c r="V49" i="25"/>
  <c r="V52" i="25"/>
  <c r="AJ51" i="25"/>
  <c r="AJ52" i="25"/>
  <c r="AJ49" i="25"/>
  <c r="AI49" i="25"/>
  <c r="AI52" i="25"/>
  <c r="AI51" i="25"/>
  <c r="T51" i="25"/>
  <c r="T52" i="25"/>
  <c r="T49" i="25"/>
  <c r="AE52" i="25"/>
  <c r="AE51" i="25"/>
  <c r="AE49" i="25"/>
  <c r="P49" i="25"/>
  <c r="P52" i="25"/>
  <c r="P51" i="25"/>
  <c r="L51" i="25"/>
  <c r="L52" i="25"/>
  <c r="L49" i="25"/>
  <c r="M52" i="25"/>
  <c r="M51" i="25"/>
  <c r="M49" i="25"/>
  <c r="AN49" i="25"/>
  <c r="AN52" i="25"/>
  <c r="AN51" i="25"/>
  <c r="BA52" i="25"/>
  <c r="BA51" i="25"/>
  <c r="BA49" i="25"/>
  <c r="AU52" i="25"/>
  <c r="AU49" i="25"/>
  <c r="AU51" i="25"/>
  <c r="AR51" i="25"/>
  <c r="AR52" i="25"/>
  <c r="AR49" i="25"/>
  <c r="H49" i="25"/>
  <c r="H51" i="25"/>
  <c r="H52" i="25"/>
  <c r="K49" i="25"/>
  <c r="K52" i="25"/>
  <c r="K51" i="25"/>
  <c r="AS49" i="25"/>
  <c r="AS51" i="25"/>
  <c r="AS52" i="25"/>
  <c r="AQ49" i="25"/>
  <c r="AQ51" i="25"/>
  <c r="AQ52" i="25"/>
  <c r="AV49" i="25"/>
  <c r="AV52" i="25"/>
  <c r="AV51" i="25"/>
  <c r="G52" i="25"/>
  <c r="G49" i="25"/>
  <c r="G51" i="25"/>
  <c r="C49" i="25" l="1"/>
  <c r="C52" i="25"/>
  <c r="C51" i="25"/>
  <c r="F51" i="25"/>
  <c r="F49" i="25"/>
  <c r="F52" i="25"/>
  <c r="C21" i="23" l="1"/>
  <c r="C3" i="24"/>
  <c r="F3" i="24"/>
  <c r="E3" i="24"/>
  <c r="D3" i="24"/>
  <c r="D3" i="19"/>
  <c r="C3" i="19"/>
  <c r="E58" i="24"/>
  <c r="D58" i="24"/>
  <c r="E56" i="24"/>
  <c r="D56" i="24"/>
  <c r="E54" i="24"/>
  <c r="D54" i="24"/>
  <c r="F47" i="24"/>
  <c r="F53" i="24" s="1"/>
  <c r="F45" i="24"/>
  <c r="F49" i="24" s="1"/>
  <c r="E44" i="24"/>
  <c r="E55" i="24" s="1"/>
  <c r="D44" i="24"/>
  <c r="F43" i="24"/>
  <c r="F56" i="24" s="1"/>
  <c r="E43" i="24"/>
  <c r="E57" i="24" s="1"/>
  <c r="D43" i="24"/>
  <c r="D57" i="24" s="1"/>
  <c r="C42" i="24"/>
  <c r="C41" i="24"/>
  <c r="Z40" i="24"/>
  <c r="C40" i="24"/>
  <c r="C57" i="24" s="1"/>
  <c r="C39" i="24"/>
  <c r="C38" i="24"/>
  <c r="C37" i="24"/>
  <c r="C36" i="24"/>
  <c r="C35" i="24"/>
  <c r="C34" i="24"/>
  <c r="C33" i="24"/>
  <c r="C32" i="24"/>
  <c r="C31" i="24"/>
  <c r="C43" i="24" s="1"/>
  <c r="C30" i="24"/>
  <c r="C29" i="24"/>
  <c r="F28" i="24"/>
  <c r="E28" i="24"/>
  <c r="E47" i="24" s="1"/>
  <c r="D28" i="24"/>
  <c r="D47" i="24" s="1"/>
  <c r="D53" i="24" s="1"/>
  <c r="C27" i="24"/>
  <c r="C26" i="24"/>
  <c r="C25" i="24"/>
  <c r="C24" i="24"/>
  <c r="C23" i="24"/>
  <c r="C22" i="24"/>
  <c r="C21" i="24"/>
  <c r="C20" i="24"/>
  <c r="C28" i="24" s="1"/>
  <c r="F18" i="24"/>
  <c r="E18" i="24"/>
  <c r="D18" i="24"/>
  <c r="C17" i="24"/>
  <c r="C16" i="24"/>
  <c r="C15" i="24"/>
  <c r="C14" i="24"/>
  <c r="C13" i="24"/>
  <c r="C12" i="24"/>
  <c r="C11" i="24"/>
  <c r="C18" i="24" s="1"/>
  <c r="C10" i="24"/>
  <c r="C9" i="24"/>
  <c r="C8" i="24"/>
  <c r="C7" i="24"/>
  <c r="C6" i="24"/>
  <c r="C5" i="24"/>
  <c r="C4" i="24"/>
  <c r="C37" i="23"/>
  <c r="C36" i="23"/>
  <c r="C35" i="23"/>
  <c r="C31" i="23"/>
  <c r="C30" i="23"/>
  <c r="C29" i="23"/>
  <c r="C23" i="23"/>
  <c r="C22" i="23"/>
  <c r="C20" i="23"/>
  <c r="C14" i="23"/>
  <c r="C13" i="23"/>
  <c r="C12" i="23"/>
  <c r="C11" i="23"/>
  <c r="C10" i="23"/>
  <c r="C38" i="23"/>
  <c r="F43" i="23"/>
  <c r="C26" i="23"/>
  <c r="C8" i="23"/>
  <c r="C6" i="23"/>
  <c r="C5" i="23"/>
  <c r="C4" i="23"/>
  <c r="D28" i="23"/>
  <c r="E43" i="23"/>
  <c r="E57" i="23" s="1"/>
  <c r="C42" i="23"/>
  <c r="C41" i="23"/>
  <c r="Z40" i="23"/>
  <c r="C40" i="23"/>
  <c r="C39" i="23"/>
  <c r="C34" i="23"/>
  <c r="C33" i="23"/>
  <c r="C32" i="23"/>
  <c r="C27" i="23"/>
  <c r="C25" i="23"/>
  <c r="C24" i="23"/>
  <c r="E18" i="23"/>
  <c r="C17" i="23"/>
  <c r="C16" i="23"/>
  <c r="C15" i="23"/>
  <c r="C9" i="23"/>
  <c r="C7" i="23"/>
  <c r="E53" i="24" l="1"/>
  <c r="C58" i="24"/>
  <c r="C56" i="24"/>
  <c r="C54" i="24"/>
  <c r="C45" i="24"/>
  <c r="C49" i="24" s="1"/>
  <c r="C47" i="24"/>
  <c r="C53" i="24" s="1"/>
  <c r="C44" i="24"/>
  <c r="F57" i="24"/>
  <c r="D46" i="24"/>
  <c r="E46" i="24"/>
  <c r="F44" i="24"/>
  <c r="F54" i="24"/>
  <c r="F58" i="24"/>
  <c r="D45" i="24"/>
  <c r="D49" i="24" s="1"/>
  <c r="D55" i="24"/>
  <c r="E45" i="24"/>
  <c r="E49" i="24" s="1"/>
  <c r="E56" i="23"/>
  <c r="E54" i="23"/>
  <c r="E58" i="23"/>
  <c r="E28" i="23"/>
  <c r="F57" i="23"/>
  <c r="F54" i="23"/>
  <c r="F58" i="23"/>
  <c r="F56" i="23"/>
  <c r="F28" i="23"/>
  <c r="F18" i="23"/>
  <c r="C43" i="23"/>
  <c r="C57" i="23" s="1"/>
  <c r="D43" i="23"/>
  <c r="D56" i="23" s="1"/>
  <c r="D47" i="23"/>
  <c r="D44" i="23"/>
  <c r="D46" i="23" s="1"/>
  <c r="D48" i="23" s="1"/>
  <c r="C28" i="23"/>
  <c r="C18" i="23"/>
  <c r="D18" i="23"/>
  <c r="C3" i="23"/>
  <c r="D53" i="23"/>
  <c r="D45" i="23"/>
  <c r="D49" i="23" s="1"/>
  <c r="F45" i="23"/>
  <c r="F49" i="23" s="1"/>
  <c r="E52" i="24" l="1"/>
  <c r="C55" i="24"/>
  <c r="C52" i="24"/>
  <c r="C46" i="24"/>
  <c r="D52" i="24"/>
  <c r="F46" i="24"/>
  <c r="F52" i="24"/>
  <c r="F55" i="24"/>
  <c r="E59" i="24"/>
  <c r="E51" i="24"/>
  <c r="E50" i="24"/>
  <c r="E48" i="24"/>
  <c r="D48" i="24"/>
  <c r="D59" i="24"/>
  <c r="D51" i="24"/>
  <c r="D50" i="24"/>
  <c r="C56" i="23"/>
  <c r="E47" i="23"/>
  <c r="E53" i="23" s="1"/>
  <c r="E44" i="23"/>
  <c r="E45" i="23"/>
  <c r="E49" i="23" s="1"/>
  <c r="C54" i="23"/>
  <c r="C58" i="23"/>
  <c r="C44" i="23"/>
  <c r="C46" i="23" s="1"/>
  <c r="C45" i="23"/>
  <c r="C49" i="23" s="1"/>
  <c r="C47" i="23"/>
  <c r="C53" i="23" s="1"/>
  <c r="F47" i="23"/>
  <c r="F53" i="23" s="1"/>
  <c r="F44" i="23"/>
  <c r="F52" i="23" s="1"/>
  <c r="D59" i="23"/>
  <c r="D50" i="23"/>
  <c r="D57" i="23"/>
  <c r="D54" i="23"/>
  <c r="D58" i="23"/>
  <c r="D55" i="23"/>
  <c r="D51" i="23"/>
  <c r="D52" i="23"/>
  <c r="F50" i="24" l="1"/>
  <c r="F48" i="24"/>
  <c r="F59" i="24"/>
  <c r="F51" i="24"/>
  <c r="C59" i="24"/>
  <c r="C51" i="24"/>
  <c r="C50" i="24"/>
  <c r="C48" i="24"/>
  <c r="E52" i="23"/>
  <c r="C52" i="23"/>
  <c r="E55" i="23"/>
  <c r="E46" i="23"/>
  <c r="C55" i="23"/>
  <c r="F55" i="23"/>
  <c r="F46" i="23"/>
  <c r="C50" i="23"/>
  <c r="C48" i="23"/>
  <c r="C59" i="23"/>
  <c r="C51" i="23"/>
  <c r="E48" i="23" l="1"/>
  <c r="E59" i="23"/>
  <c r="E51" i="23"/>
  <c r="E50" i="23"/>
  <c r="F59" i="23"/>
  <c r="F48" i="23"/>
  <c r="F50" i="23"/>
  <c r="F51" i="23"/>
  <c r="X57" i="22" l="1"/>
  <c r="J55" i="22"/>
  <c r="AL44" i="22"/>
  <c r="AL58" i="22" s="1"/>
  <c r="AK44" i="22"/>
  <c r="AJ44" i="22"/>
  <c r="AJ58" i="22" s="1"/>
  <c r="AI44" i="22"/>
  <c r="AI58" i="22" s="1"/>
  <c r="AH44" i="22"/>
  <c r="AH58" i="22" s="1"/>
  <c r="AG44" i="22"/>
  <c r="AG58" i="22" s="1"/>
  <c r="AF44" i="22"/>
  <c r="AF58" i="22" s="1"/>
  <c r="AE44" i="22"/>
  <c r="AE58" i="22" s="1"/>
  <c r="AD44" i="22"/>
  <c r="AC44" i="22"/>
  <c r="AB44" i="22"/>
  <c r="AA44" i="22"/>
  <c r="AA55" i="22" s="1"/>
  <c r="Z44" i="22"/>
  <c r="Z58" i="22" s="1"/>
  <c r="Y44" i="22"/>
  <c r="Y58" i="22" s="1"/>
  <c r="X44" i="22"/>
  <c r="X58" i="22" s="1"/>
  <c r="W44" i="22"/>
  <c r="W59" i="22" s="1"/>
  <c r="V44" i="22"/>
  <c r="V58" i="22" s="1"/>
  <c r="U44" i="22"/>
  <c r="T44" i="22"/>
  <c r="S44" i="22"/>
  <c r="R44" i="22"/>
  <c r="R58" i="22" s="1"/>
  <c r="Q44" i="22"/>
  <c r="Q58" i="22" s="1"/>
  <c r="P44" i="22"/>
  <c r="P58" i="22" s="1"/>
  <c r="O44" i="22"/>
  <c r="O58" i="22" s="1"/>
  <c r="N44" i="22"/>
  <c r="M44" i="22"/>
  <c r="L44" i="22"/>
  <c r="L58" i="22" s="1"/>
  <c r="K44" i="22"/>
  <c r="K59" i="22" s="1"/>
  <c r="J44" i="22"/>
  <c r="J58" i="22" s="1"/>
  <c r="I44" i="22"/>
  <c r="I58" i="22" s="1"/>
  <c r="H44" i="22"/>
  <c r="H58" i="22" s="1"/>
  <c r="G44" i="22"/>
  <c r="G59" i="22" s="1"/>
  <c r="F44" i="22"/>
  <c r="E44" i="22"/>
  <c r="D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AL29" i="22"/>
  <c r="AK29" i="22"/>
  <c r="AK46" i="22" s="1"/>
  <c r="AK50" i="22" s="1"/>
  <c r="AJ29" i="22"/>
  <c r="AJ48" i="22" s="1"/>
  <c r="AJ54" i="22" s="1"/>
  <c r="AI29" i="22"/>
  <c r="AI48" i="22" s="1"/>
  <c r="AI54" i="22" s="1"/>
  <c r="AH29" i="22"/>
  <c r="AG29" i="22"/>
  <c r="AF29" i="22"/>
  <c r="AF46" i="22" s="1"/>
  <c r="AF50" i="22" s="1"/>
  <c r="AE29" i="22"/>
  <c r="AE46" i="22" s="1"/>
  <c r="AE50" i="22" s="1"/>
  <c r="AD29" i="22"/>
  <c r="AD48" i="22" s="1"/>
  <c r="AD54" i="22" s="1"/>
  <c r="AC29" i="22"/>
  <c r="AC46" i="22" s="1"/>
  <c r="AC50" i="22" s="1"/>
  <c r="AB29" i="22"/>
  <c r="AB46" i="22" s="1"/>
  <c r="AB50" i="22" s="1"/>
  <c r="AA29" i="22"/>
  <c r="AA46" i="22" s="1"/>
  <c r="AA50" i="22" s="1"/>
  <c r="Z29" i="22"/>
  <c r="Y29" i="22"/>
  <c r="X29" i="22"/>
  <c r="X48" i="22" s="1"/>
  <c r="X54" i="22" s="1"/>
  <c r="W29" i="22"/>
  <c r="V29" i="22"/>
  <c r="U29" i="22"/>
  <c r="U48" i="22" s="1"/>
  <c r="U54" i="22" s="1"/>
  <c r="T29" i="22"/>
  <c r="T46" i="22" s="1"/>
  <c r="T50" i="22" s="1"/>
  <c r="S29" i="22"/>
  <c r="S46" i="22" s="1"/>
  <c r="S50" i="22" s="1"/>
  <c r="R29" i="22"/>
  <c r="Q29" i="22"/>
  <c r="P29" i="22"/>
  <c r="O29" i="22"/>
  <c r="N29" i="22"/>
  <c r="N46" i="22" s="1"/>
  <c r="N50" i="22" s="1"/>
  <c r="M29" i="22"/>
  <c r="L29" i="22"/>
  <c r="L46" i="22" s="1"/>
  <c r="L50" i="22" s="1"/>
  <c r="K29" i="22"/>
  <c r="K46" i="22" s="1"/>
  <c r="K50" i="22" s="1"/>
  <c r="J29" i="22"/>
  <c r="J45" i="22" s="1"/>
  <c r="I29" i="22"/>
  <c r="H29" i="22"/>
  <c r="H46" i="22" s="1"/>
  <c r="H50" i="22" s="1"/>
  <c r="G29" i="22"/>
  <c r="F29" i="22"/>
  <c r="E29" i="22"/>
  <c r="E46" i="22" s="1"/>
  <c r="E50" i="22" s="1"/>
  <c r="D29" i="22"/>
  <c r="D46" i="22" s="1"/>
  <c r="D50" i="22" s="1"/>
  <c r="C28" i="22"/>
  <c r="C27" i="22"/>
  <c r="C26" i="22"/>
  <c r="C25" i="22"/>
  <c r="C24" i="22"/>
  <c r="C23" i="22"/>
  <c r="C22" i="22"/>
  <c r="C21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W45" i="22" l="1"/>
  <c r="AI46" i="22"/>
  <c r="AI50" i="22" s="1"/>
  <c r="AJ46" i="22"/>
  <c r="AJ50" i="22" s="1"/>
  <c r="AH45" i="22"/>
  <c r="AH56" i="22" s="1"/>
  <c r="AH55" i="22"/>
  <c r="AH57" i="22"/>
  <c r="AF55" i="22"/>
  <c r="AF57" i="22"/>
  <c r="AF45" i="22"/>
  <c r="AF47" i="22" s="1"/>
  <c r="AF49" i="22" s="1"/>
  <c r="AE55" i="22"/>
  <c r="AB45" i="22"/>
  <c r="AB48" i="22"/>
  <c r="AB54" i="22" s="1"/>
  <c r="AA48" i="22"/>
  <c r="AA54" i="22" s="1"/>
  <c r="Z57" i="22"/>
  <c r="Z55" i="22"/>
  <c r="Z59" i="22"/>
  <c r="Y55" i="22"/>
  <c r="T48" i="22"/>
  <c r="T54" i="22" s="1"/>
  <c r="T45" i="22"/>
  <c r="T53" i="22" s="1"/>
  <c r="S48" i="22"/>
  <c r="S54" i="22" s="1"/>
  <c r="R45" i="22"/>
  <c r="R56" i="22" s="1"/>
  <c r="R57" i="22"/>
  <c r="R59" i="22"/>
  <c r="Q57" i="22"/>
  <c r="Q55" i="22"/>
  <c r="P45" i="22"/>
  <c r="P47" i="22" s="1"/>
  <c r="L48" i="22"/>
  <c r="L54" i="22" s="1"/>
  <c r="J59" i="22"/>
  <c r="H57" i="22"/>
  <c r="G45" i="22"/>
  <c r="G56" i="22" s="1"/>
  <c r="C44" i="22"/>
  <c r="C59" i="22" s="1"/>
  <c r="D48" i="22"/>
  <c r="D54" i="22" s="1"/>
  <c r="AH47" i="22"/>
  <c r="AH49" i="22" s="1"/>
  <c r="G55" i="22"/>
  <c r="W58" i="22"/>
  <c r="H55" i="22"/>
  <c r="I57" i="22"/>
  <c r="X59" i="22"/>
  <c r="F45" i="22"/>
  <c r="F56" i="22" s="1"/>
  <c r="AL45" i="22"/>
  <c r="I55" i="22"/>
  <c r="J57" i="22"/>
  <c r="AG57" i="22"/>
  <c r="I59" i="22"/>
  <c r="Y59" i="22"/>
  <c r="AE59" i="22"/>
  <c r="I45" i="22"/>
  <c r="I56" i="22" s="1"/>
  <c r="P55" i="22"/>
  <c r="AG55" i="22"/>
  <c r="W57" i="22"/>
  <c r="K58" i="22"/>
  <c r="O59" i="22"/>
  <c r="AF59" i="22"/>
  <c r="O55" i="22"/>
  <c r="G58" i="22"/>
  <c r="P59" i="22"/>
  <c r="AG59" i="22"/>
  <c r="K45" i="22"/>
  <c r="K53" i="22" s="1"/>
  <c r="AG45" i="22"/>
  <c r="AG47" i="22" s="1"/>
  <c r="AG49" i="22" s="1"/>
  <c r="R55" i="22"/>
  <c r="G57" i="22"/>
  <c r="Y57" i="22"/>
  <c r="Q59" i="22"/>
  <c r="AH59" i="22"/>
  <c r="J56" i="22"/>
  <c r="J47" i="22"/>
  <c r="J49" i="22" s="1"/>
  <c r="K56" i="22"/>
  <c r="H45" i="22"/>
  <c r="H53" i="22" s="1"/>
  <c r="P46" i="22"/>
  <c r="P50" i="22" s="1"/>
  <c r="F48" i="22"/>
  <c r="F54" i="22" s="1"/>
  <c r="AL46" i="22"/>
  <c r="AL50" i="22" s="1"/>
  <c r="H48" i="22"/>
  <c r="H54" i="22" s="1"/>
  <c r="K48" i="22"/>
  <c r="K54" i="22" s="1"/>
  <c r="AC48" i="22"/>
  <c r="AC54" i="22" s="1"/>
  <c r="AL48" i="22"/>
  <c r="AL54" i="22" s="1"/>
  <c r="X46" i="22"/>
  <c r="X50" i="22" s="1"/>
  <c r="F46" i="22"/>
  <c r="F50" i="22" s="1"/>
  <c r="P48" i="22"/>
  <c r="P54" i="22" s="1"/>
  <c r="W56" i="22"/>
  <c r="W47" i="22"/>
  <c r="O48" i="22"/>
  <c r="O54" i="22" s="1"/>
  <c r="O45" i="22"/>
  <c r="U59" i="22"/>
  <c r="U57" i="22"/>
  <c r="U55" i="22"/>
  <c r="G46" i="22"/>
  <c r="G50" i="22" s="1"/>
  <c r="T56" i="22"/>
  <c r="C29" i="22"/>
  <c r="AE48" i="22"/>
  <c r="AE54" i="22" s="1"/>
  <c r="E59" i="22"/>
  <c r="E57" i="22"/>
  <c r="E55" i="22"/>
  <c r="E58" i="22"/>
  <c r="AC59" i="22"/>
  <c r="AC57" i="22"/>
  <c r="AC55" i="22"/>
  <c r="AC58" i="22"/>
  <c r="AB53" i="22"/>
  <c r="AB56" i="22"/>
  <c r="AB47" i="22"/>
  <c r="U58" i="22"/>
  <c r="AE45" i="22"/>
  <c r="E45" i="22"/>
  <c r="E48" i="22"/>
  <c r="E54" i="22" s="1"/>
  <c r="U45" i="22"/>
  <c r="U46" i="22"/>
  <c r="U50" i="22" s="1"/>
  <c r="AK45" i="22"/>
  <c r="AK48" i="22"/>
  <c r="AK54" i="22" s="1"/>
  <c r="AA45" i="22"/>
  <c r="AA57" i="22"/>
  <c r="AA59" i="22"/>
  <c r="AA58" i="22"/>
  <c r="G47" i="22"/>
  <c r="W46" i="22"/>
  <c r="W50" i="22" s="1"/>
  <c r="W48" i="22"/>
  <c r="W54" i="22" s="1"/>
  <c r="M59" i="22"/>
  <c r="M57" i="22"/>
  <c r="M55" i="22"/>
  <c r="M58" i="22"/>
  <c r="AK59" i="22"/>
  <c r="AK57" i="22"/>
  <c r="AK55" i="22"/>
  <c r="G48" i="22"/>
  <c r="G54" i="22" s="1"/>
  <c r="M45" i="22"/>
  <c r="M46" i="22"/>
  <c r="M50" i="22" s="1"/>
  <c r="M48" i="22"/>
  <c r="M54" i="22" s="1"/>
  <c r="AC45" i="22"/>
  <c r="K55" i="22"/>
  <c r="K57" i="22"/>
  <c r="S59" i="22"/>
  <c r="S58" i="22"/>
  <c r="S55" i="22"/>
  <c r="AI55" i="22"/>
  <c r="AI45" i="22"/>
  <c r="AI57" i="22"/>
  <c r="O46" i="22"/>
  <c r="O50" i="22" s="1"/>
  <c r="C19" i="22"/>
  <c r="N45" i="22"/>
  <c r="N48" i="22"/>
  <c r="N54" i="22" s="1"/>
  <c r="V45" i="22"/>
  <c r="V46" i="22"/>
  <c r="V50" i="22" s="1"/>
  <c r="V48" i="22"/>
  <c r="V54" i="22" s="1"/>
  <c r="AD45" i="22"/>
  <c r="AD46" i="22"/>
  <c r="AD50" i="22" s="1"/>
  <c r="AL56" i="22"/>
  <c r="D59" i="22"/>
  <c r="D55" i="22"/>
  <c r="D57" i="22"/>
  <c r="D45" i="22"/>
  <c r="D58" i="22"/>
  <c r="L57" i="22"/>
  <c r="L59" i="22"/>
  <c r="L55" i="22"/>
  <c r="L45" i="22"/>
  <c r="T59" i="22"/>
  <c r="T55" i="22"/>
  <c r="T57" i="22"/>
  <c r="T58" i="22"/>
  <c r="AB59" i="22"/>
  <c r="AB57" i="22"/>
  <c r="AB55" i="22"/>
  <c r="AB58" i="22"/>
  <c r="AJ55" i="22"/>
  <c r="AJ59" i="22"/>
  <c r="AJ57" i="22"/>
  <c r="AJ45" i="22"/>
  <c r="S45" i="22"/>
  <c r="T47" i="22"/>
  <c r="S57" i="22"/>
  <c r="AK58" i="22"/>
  <c r="AI59" i="22"/>
  <c r="F59" i="22"/>
  <c r="F57" i="22"/>
  <c r="F55" i="22"/>
  <c r="N59" i="22"/>
  <c r="N57" i="22"/>
  <c r="N55" i="22"/>
  <c r="V59" i="22"/>
  <c r="V57" i="22"/>
  <c r="V55" i="22"/>
  <c r="AD59" i="22"/>
  <c r="AD57" i="22"/>
  <c r="AD55" i="22"/>
  <c r="AL59" i="22"/>
  <c r="AL57" i="22"/>
  <c r="AL55" i="22"/>
  <c r="X45" i="22"/>
  <c r="AF48" i="22"/>
  <c r="AF54" i="22" s="1"/>
  <c r="N58" i="22"/>
  <c r="I48" i="22"/>
  <c r="I54" i="22" s="1"/>
  <c r="I46" i="22"/>
  <c r="Q48" i="22"/>
  <c r="Q54" i="22" s="1"/>
  <c r="Q46" i="22"/>
  <c r="Q50" i="22" s="1"/>
  <c r="Y48" i="22"/>
  <c r="Y54" i="22" s="1"/>
  <c r="Y46" i="22"/>
  <c r="Y50" i="22" s="1"/>
  <c r="AG48" i="22"/>
  <c r="AG54" i="22" s="1"/>
  <c r="AG46" i="22"/>
  <c r="AG50" i="22" s="1"/>
  <c r="Y45" i="22"/>
  <c r="W55" i="22"/>
  <c r="O57" i="22"/>
  <c r="J48" i="22"/>
  <c r="J54" i="22" s="1"/>
  <c r="J46" i="22"/>
  <c r="R48" i="22"/>
  <c r="R54" i="22" s="1"/>
  <c r="R46" i="22"/>
  <c r="R50" i="22" s="1"/>
  <c r="Z48" i="22"/>
  <c r="Z54" i="22" s="1"/>
  <c r="Z46" i="22"/>
  <c r="Z50" i="22" s="1"/>
  <c r="AH48" i="22"/>
  <c r="AH54" i="22" s="1"/>
  <c r="AH46" i="22"/>
  <c r="Z45" i="22"/>
  <c r="X55" i="22"/>
  <c r="P57" i="22"/>
  <c r="AD58" i="22"/>
  <c r="H59" i="22"/>
  <c r="Q45" i="22"/>
  <c r="AE57" i="22"/>
  <c r="F58" i="22"/>
  <c r="I44" i="21"/>
  <c r="I45" i="21" s="1"/>
  <c r="I46" i="21"/>
  <c r="I48" i="21"/>
  <c r="I54" i="21" s="1"/>
  <c r="I50" i="21"/>
  <c r="I55" i="21"/>
  <c r="I57" i="21"/>
  <c r="I58" i="21"/>
  <c r="I59" i="21"/>
  <c r="I29" i="21"/>
  <c r="I19" i="21"/>
  <c r="AL53" i="22" l="1"/>
  <c r="AH52" i="22"/>
  <c r="AG56" i="22"/>
  <c r="AF53" i="22"/>
  <c r="AF52" i="22"/>
  <c r="AF56" i="22"/>
  <c r="R47" i="22"/>
  <c r="R49" i="22" s="1"/>
  <c r="P56" i="22"/>
  <c r="K47" i="22"/>
  <c r="J52" i="22"/>
  <c r="J51" i="22"/>
  <c r="H47" i="22"/>
  <c r="H51" i="22" s="1"/>
  <c r="H56" i="22"/>
  <c r="C55" i="22"/>
  <c r="C58" i="22"/>
  <c r="C57" i="22"/>
  <c r="AL47" i="22"/>
  <c r="AL51" i="22" s="1"/>
  <c r="F47" i="22"/>
  <c r="F49" i="22" s="1"/>
  <c r="I47" i="22"/>
  <c r="I51" i="22" s="1"/>
  <c r="F53" i="22"/>
  <c r="P53" i="22"/>
  <c r="D53" i="22"/>
  <c r="D47" i="22"/>
  <c r="D56" i="22"/>
  <c r="U53" i="22"/>
  <c r="U47" i="22"/>
  <c r="U56" i="22"/>
  <c r="C46" i="22"/>
  <c r="C50" i="22" s="1"/>
  <c r="C48" i="22"/>
  <c r="C54" i="22" s="1"/>
  <c r="C45" i="22"/>
  <c r="AG52" i="22"/>
  <c r="W49" i="22"/>
  <c r="W51" i="22"/>
  <c r="W52" i="22"/>
  <c r="I50" i="22"/>
  <c r="I53" i="22"/>
  <c r="S53" i="22"/>
  <c r="S47" i="22"/>
  <c r="S56" i="22"/>
  <c r="AA56" i="22"/>
  <c r="AA47" i="22"/>
  <c r="AA53" i="22"/>
  <c r="Y56" i="22"/>
  <c r="Y53" i="22"/>
  <c r="Y47" i="22"/>
  <c r="AD53" i="22"/>
  <c r="AD47" i="22"/>
  <c r="AD56" i="22"/>
  <c r="AE47" i="22"/>
  <c r="AE53" i="22"/>
  <c r="AE56" i="22"/>
  <c r="AG53" i="22"/>
  <c r="AB52" i="22"/>
  <c r="AB49" i="22"/>
  <c r="AB51" i="22"/>
  <c r="R53" i="22"/>
  <c r="Z56" i="22"/>
  <c r="Z47" i="22"/>
  <c r="Z53" i="22"/>
  <c r="E53" i="22"/>
  <c r="E47" i="22"/>
  <c r="E56" i="22"/>
  <c r="W53" i="22"/>
  <c r="AI56" i="22"/>
  <c r="AI47" i="22"/>
  <c r="AI53" i="22"/>
  <c r="AH51" i="22"/>
  <c r="Q56" i="22"/>
  <c r="Q53" i="22"/>
  <c r="Q47" i="22"/>
  <c r="AJ53" i="22"/>
  <c r="AJ56" i="22"/>
  <c r="AJ47" i="22"/>
  <c r="H49" i="22"/>
  <c r="M53" i="22"/>
  <c r="M47" i="22"/>
  <c r="M56" i="22"/>
  <c r="AK53" i="22"/>
  <c r="AK47" i="22"/>
  <c r="AK56" i="22"/>
  <c r="AG51" i="22"/>
  <c r="G52" i="22"/>
  <c r="G49" i="22"/>
  <c r="G51" i="22"/>
  <c r="X56" i="22"/>
  <c r="X47" i="22"/>
  <c r="X53" i="22"/>
  <c r="G53" i="22"/>
  <c r="J50" i="22"/>
  <c r="J53" i="22"/>
  <c r="L53" i="22"/>
  <c r="L56" i="22"/>
  <c r="L47" i="22"/>
  <c r="V53" i="22"/>
  <c r="V47" i="22"/>
  <c r="V56" i="22"/>
  <c r="AH50" i="22"/>
  <c r="AH53" i="22"/>
  <c r="T52" i="22"/>
  <c r="T49" i="22"/>
  <c r="T51" i="22"/>
  <c r="N53" i="22"/>
  <c r="N47" i="22"/>
  <c r="N56" i="22"/>
  <c r="AC53" i="22"/>
  <c r="AC47" i="22"/>
  <c r="AC56" i="22"/>
  <c r="P52" i="22"/>
  <c r="P49" i="22"/>
  <c r="P51" i="22"/>
  <c r="AF51" i="22"/>
  <c r="O47" i="22"/>
  <c r="O53" i="22"/>
  <c r="O56" i="22"/>
  <c r="I56" i="21"/>
  <c r="I53" i="21"/>
  <c r="I47" i="21"/>
  <c r="AL52" i="22" l="1"/>
  <c r="AL49" i="22"/>
  <c r="R51" i="22"/>
  <c r="R52" i="22"/>
  <c r="K51" i="22"/>
  <c r="K49" i="22"/>
  <c r="K52" i="22"/>
  <c r="I49" i="22"/>
  <c r="H52" i="22"/>
  <c r="F52" i="22"/>
  <c r="I52" i="22"/>
  <c r="F51" i="22"/>
  <c r="Z52" i="22"/>
  <c r="Z51" i="22"/>
  <c r="Z49" i="22"/>
  <c r="M51" i="22"/>
  <c r="M49" i="22"/>
  <c r="M52" i="22"/>
  <c r="U51" i="22"/>
  <c r="U49" i="22"/>
  <c r="U52" i="22"/>
  <c r="Y52" i="22"/>
  <c r="Y51" i="22"/>
  <c r="Y49" i="22"/>
  <c r="N51" i="22"/>
  <c r="N49" i="22"/>
  <c r="N52" i="22"/>
  <c r="V51" i="22"/>
  <c r="V49" i="22"/>
  <c r="V52" i="22"/>
  <c r="AD51" i="22"/>
  <c r="AD49" i="22"/>
  <c r="AD52" i="22"/>
  <c r="AK51" i="22"/>
  <c r="AK49" i="22"/>
  <c r="AK52" i="22"/>
  <c r="AJ49" i="22"/>
  <c r="AJ52" i="22"/>
  <c r="AJ51" i="22"/>
  <c r="AI51" i="22"/>
  <c r="AI49" i="22"/>
  <c r="AI52" i="22"/>
  <c r="D51" i="22"/>
  <c r="D52" i="22"/>
  <c r="D49" i="22"/>
  <c r="Q52" i="22"/>
  <c r="Q49" i="22"/>
  <c r="Q51" i="22"/>
  <c r="AE52" i="22"/>
  <c r="AE49" i="22"/>
  <c r="AE51" i="22"/>
  <c r="AA49" i="22"/>
  <c r="AA52" i="22"/>
  <c r="AA51" i="22"/>
  <c r="AC51" i="22"/>
  <c r="AC49" i="22"/>
  <c r="AC52" i="22"/>
  <c r="L51" i="22"/>
  <c r="L52" i="22"/>
  <c r="L49" i="22"/>
  <c r="E51" i="22"/>
  <c r="E49" i="22"/>
  <c r="E52" i="22"/>
  <c r="O51" i="22"/>
  <c r="O52" i="22"/>
  <c r="O49" i="22"/>
  <c r="X51" i="22"/>
  <c r="X49" i="22"/>
  <c r="X52" i="22"/>
  <c r="S52" i="22"/>
  <c r="S49" i="22"/>
  <c r="S51" i="22"/>
  <c r="C56" i="22"/>
  <c r="C53" i="22"/>
  <c r="C47" i="22"/>
  <c r="I52" i="21"/>
  <c r="I51" i="21"/>
  <c r="I49" i="21"/>
  <c r="C51" i="22" l="1"/>
  <c r="C52" i="22"/>
  <c r="C49" i="22"/>
  <c r="G19" i="21"/>
  <c r="H19" i="21"/>
  <c r="H29" i="21"/>
  <c r="H45" i="21" s="1"/>
  <c r="H56" i="21" s="1"/>
  <c r="H44" i="21"/>
  <c r="H55" i="21" s="1"/>
  <c r="H57" i="21"/>
  <c r="H58" i="21"/>
  <c r="H48" i="21" l="1"/>
  <c r="H54" i="21" s="1"/>
  <c r="H46" i="21"/>
  <c r="H50" i="21" s="1"/>
  <c r="H59" i="21"/>
  <c r="H47" i="21"/>
  <c r="H53" i="21" l="1"/>
  <c r="H49" i="21"/>
  <c r="H51" i="21"/>
  <c r="H52" i="21"/>
  <c r="G44" i="21" l="1"/>
  <c r="G55" i="21" s="1"/>
  <c r="G45" i="21"/>
  <c r="G53" i="21" s="1"/>
  <c r="G46" i="21"/>
  <c r="G48" i="21"/>
  <c r="G54" i="21" s="1"/>
  <c r="G50" i="21"/>
  <c r="G56" i="21"/>
  <c r="G58" i="21"/>
  <c r="G29" i="21"/>
  <c r="G59" i="21" l="1"/>
  <c r="G57" i="21"/>
  <c r="G47" i="21"/>
  <c r="G52" i="21" l="1"/>
  <c r="G49" i="21"/>
  <c r="G51" i="21"/>
  <c r="C40" i="21" l="1"/>
  <c r="C35" i="21"/>
  <c r="C31" i="21"/>
  <c r="C30" i="21"/>
  <c r="C18" i="21"/>
  <c r="C14" i="21"/>
  <c r="X48" i="21"/>
  <c r="X54" i="21" s="1"/>
  <c r="AO44" i="21"/>
  <c r="AO58" i="21" s="1"/>
  <c r="AN44" i="21"/>
  <c r="AN58" i="21" s="1"/>
  <c r="AM44" i="21"/>
  <c r="AL44" i="21"/>
  <c r="AL59" i="21" s="1"/>
  <c r="AK44" i="21"/>
  <c r="AJ44" i="21"/>
  <c r="AJ58" i="21" s="1"/>
  <c r="AI44" i="21"/>
  <c r="AI58" i="21" s="1"/>
  <c r="AH44" i="21"/>
  <c r="AH58" i="21" s="1"/>
  <c r="AG44" i="21"/>
  <c r="AG58" i="21" s="1"/>
  <c r="AF44" i="21"/>
  <c r="AF58" i="21" s="1"/>
  <c r="AE44" i="21"/>
  <c r="AD44" i="21"/>
  <c r="AD59" i="21" s="1"/>
  <c r="AC44" i="21"/>
  <c r="AB44" i="21"/>
  <c r="AB58" i="21" s="1"/>
  <c r="AA44" i="21"/>
  <c r="AA58" i="21" s="1"/>
  <c r="Z44" i="21"/>
  <c r="Z58" i="21" s="1"/>
  <c r="Y44" i="21"/>
  <c r="Y58" i="21" s="1"/>
  <c r="X44" i="21"/>
  <c r="X58" i="21" s="1"/>
  <c r="W44" i="21"/>
  <c r="V44" i="21"/>
  <c r="V59" i="21" s="1"/>
  <c r="U44" i="21"/>
  <c r="T44" i="21"/>
  <c r="T58" i="21" s="1"/>
  <c r="S44" i="21"/>
  <c r="S58" i="21" s="1"/>
  <c r="R44" i="21"/>
  <c r="R58" i="21" s="1"/>
  <c r="Q44" i="21"/>
  <c r="Q58" i="21" s="1"/>
  <c r="P44" i="21"/>
  <c r="P58" i="21" s="1"/>
  <c r="O44" i="21"/>
  <c r="N44" i="21"/>
  <c r="N59" i="21" s="1"/>
  <c r="M44" i="21"/>
  <c r="L44" i="21"/>
  <c r="L58" i="21" s="1"/>
  <c r="K44" i="21"/>
  <c r="K58" i="21" s="1"/>
  <c r="J44" i="21"/>
  <c r="J58" i="21" s="1"/>
  <c r="F44" i="21"/>
  <c r="F58" i="21" s="1"/>
  <c r="E44" i="21"/>
  <c r="E58" i="21" s="1"/>
  <c r="D44" i="21"/>
  <c r="C43" i="21"/>
  <c r="C42" i="21"/>
  <c r="C41" i="21"/>
  <c r="C39" i="21"/>
  <c r="C38" i="21"/>
  <c r="C37" i="21"/>
  <c r="C36" i="21"/>
  <c r="C34" i="21"/>
  <c r="C33" i="21"/>
  <c r="C32" i="21"/>
  <c r="AO29" i="21"/>
  <c r="AN29" i="21"/>
  <c r="AN48" i="21" s="1"/>
  <c r="AN54" i="21" s="1"/>
  <c r="AM29" i="21"/>
  <c r="AM46" i="21" s="1"/>
  <c r="AM50" i="21" s="1"/>
  <c r="AL29" i="21"/>
  <c r="AK29" i="21"/>
  <c r="AK45" i="21" s="1"/>
  <c r="AJ29" i="21"/>
  <c r="AJ48" i="21" s="1"/>
  <c r="AJ54" i="21" s="1"/>
  <c r="AI29" i="21"/>
  <c r="AI48" i="21" s="1"/>
  <c r="AI54" i="21" s="1"/>
  <c r="AH29" i="21"/>
  <c r="AH48" i="21" s="1"/>
  <c r="AH54" i="21" s="1"/>
  <c r="AG29" i="21"/>
  <c r="AF29" i="21"/>
  <c r="AE29" i="21"/>
  <c r="AE48" i="21" s="1"/>
  <c r="AE54" i="21" s="1"/>
  <c r="AD29" i="21"/>
  <c r="AC29" i="21"/>
  <c r="AC45" i="21" s="1"/>
  <c r="AB29" i="21"/>
  <c r="AB48" i="21" s="1"/>
  <c r="AB54" i="21" s="1"/>
  <c r="AA29" i="21"/>
  <c r="AA48" i="21" s="1"/>
  <c r="AA54" i="21" s="1"/>
  <c r="Z29" i="21"/>
  <c r="Z48" i="21" s="1"/>
  <c r="Z54" i="21" s="1"/>
  <c r="Y29" i="21"/>
  <c r="X29" i="21"/>
  <c r="W29" i="21"/>
  <c r="W46" i="21" s="1"/>
  <c r="W50" i="21" s="1"/>
  <c r="V29" i="21"/>
  <c r="U29" i="21"/>
  <c r="U45" i="21" s="1"/>
  <c r="T29" i="21"/>
  <c r="T48" i="21" s="1"/>
  <c r="T54" i="21" s="1"/>
  <c r="S29" i="21"/>
  <c r="S48" i="21" s="1"/>
  <c r="S54" i="21" s="1"/>
  <c r="R29" i="21"/>
  <c r="R48" i="21" s="1"/>
  <c r="R54" i="21" s="1"/>
  <c r="Q29" i="21"/>
  <c r="P29" i="21"/>
  <c r="P48" i="21" s="1"/>
  <c r="P54" i="21" s="1"/>
  <c r="O29" i="21"/>
  <c r="O48" i="21" s="1"/>
  <c r="O54" i="21" s="1"/>
  <c r="N29" i="21"/>
  <c r="M29" i="21"/>
  <c r="M45" i="21" s="1"/>
  <c r="L29" i="21"/>
  <c r="L48" i="21" s="1"/>
  <c r="L54" i="21" s="1"/>
  <c r="K29" i="21"/>
  <c r="K48" i="21" s="1"/>
  <c r="K54" i="21" s="1"/>
  <c r="J29" i="21"/>
  <c r="J48" i="21" s="1"/>
  <c r="J54" i="21" s="1"/>
  <c r="F29" i="21"/>
  <c r="E29" i="21"/>
  <c r="D29" i="21"/>
  <c r="D48" i="21" s="1"/>
  <c r="C28" i="21"/>
  <c r="C27" i="21"/>
  <c r="C26" i="21"/>
  <c r="C25" i="21"/>
  <c r="C24" i="21"/>
  <c r="C23" i="21"/>
  <c r="C22" i="21"/>
  <c r="C21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F19" i="21"/>
  <c r="E19" i="21"/>
  <c r="D19" i="21"/>
  <c r="C17" i="21"/>
  <c r="C16" i="21"/>
  <c r="C15" i="21"/>
  <c r="C13" i="21"/>
  <c r="C12" i="21"/>
  <c r="C11" i="21"/>
  <c r="C10" i="21"/>
  <c r="C9" i="21"/>
  <c r="C8" i="21"/>
  <c r="C7" i="21"/>
  <c r="C6" i="21"/>
  <c r="C5" i="21"/>
  <c r="C4" i="21"/>
  <c r="S59" i="21" l="1"/>
  <c r="K45" i="21"/>
  <c r="AN46" i="21"/>
  <c r="AN50" i="21" s="1"/>
  <c r="W48" i="21"/>
  <c r="W54" i="21" s="1"/>
  <c r="X59" i="21"/>
  <c r="AM48" i="21"/>
  <c r="AM54" i="21" s="1"/>
  <c r="X45" i="21"/>
  <c r="X56" i="21" s="1"/>
  <c r="AF45" i="21"/>
  <c r="AF56" i="21" s="1"/>
  <c r="AN45" i="21"/>
  <c r="AN56" i="21" s="1"/>
  <c r="AA55" i="21"/>
  <c r="X46" i="21"/>
  <c r="X50" i="21" s="1"/>
  <c r="AF55" i="21"/>
  <c r="S57" i="21"/>
  <c r="AN57" i="21"/>
  <c r="AO59" i="21"/>
  <c r="AI45" i="21"/>
  <c r="AI56" i="21" s="1"/>
  <c r="U46" i="21"/>
  <c r="U50" i="21" s="1"/>
  <c r="AK46" i="21"/>
  <c r="AK50" i="21" s="1"/>
  <c r="U48" i="21"/>
  <c r="U54" i="21" s="1"/>
  <c r="AK48" i="21"/>
  <c r="AK54" i="21" s="1"/>
  <c r="Y55" i="21"/>
  <c r="P57" i="21"/>
  <c r="AI57" i="21"/>
  <c r="Q59" i="21"/>
  <c r="AN59" i="21"/>
  <c r="AO57" i="21"/>
  <c r="P45" i="21"/>
  <c r="L46" i="21"/>
  <c r="L50" i="21" s="1"/>
  <c r="AB46" i="21"/>
  <c r="AB50" i="21" s="1"/>
  <c r="K55" i="21"/>
  <c r="AG55" i="21"/>
  <c r="X57" i="21"/>
  <c r="Y59" i="21"/>
  <c r="S45" i="21"/>
  <c r="S47" i="21" s="1"/>
  <c r="S51" i="21" s="1"/>
  <c r="M46" i="21"/>
  <c r="M50" i="21" s="1"/>
  <c r="AC46" i="21"/>
  <c r="AC50" i="21" s="1"/>
  <c r="M48" i="21"/>
  <c r="M54" i="21" s="1"/>
  <c r="AC48" i="21"/>
  <c r="AC54" i="21" s="1"/>
  <c r="P55" i="21"/>
  <c r="AI55" i="21"/>
  <c r="Y57" i="21"/>
  <c r="AA59" i="21"/>
  <c r="Q57" i="21"/>
  <c r="O46" i="21"/>
  <c r="O50" i="21" s="1"/>
  <c r="AE46" i="21"/>
  <c r="AE50" i="21" s="1"/>
  <c r="Q55" i="21"/>
  <c r="AN55" i="21"/>
  <c r="AA57" i="21"/>
  <c r="AF59" i="21"/>
  <c r="AA45" i="21"/>
  <c r="AA56" i="21" s="1"/>
  <c r="P46" i="21"/>
  <c r="P50" i="21" s="1"/>
  <c r="AF46" i="21"/>
  <c r="AF50" i="21" s="1"/>
  <c r="AF48" i="21"/>
  <c r="AF54" i="21" s="1"/>
  <c r="S55" i="21"/>
  <c r="AO55" i="21"/>
  <c r="AF57" i="21"/>
  <c r="K59" i="21"/>
  <c r="AG59" i="21"/>
  <c r="AO45" i="21"/>
  <c r="AO47" i="21" s="1"/>
  <c r="T46" i="21"/>
  <c r="T50" i="21" s="1"/>
  <c r="AJ46" i="21"/>
  <c r="AJ50" i="21" s="1"/>
  <c r="X55" i="21"/>
  <c r="K57" i="21"/>
  <c r="AG57" i="21"/>
  <c r="P59" i="21"/>
  <c r="AI59" i="21"/>
  <c r="F59" i="21"/>
  <c r="E45" i="21"/>
  <c r="E56" i="21" s="1"/>
  <c r="E55" i="21"/>
  <c r="E57" i="21"/>
  <c r="E46" i="21"/>
  <c r="E50" i="21" s="1"/>
  <c r="D46" i="21"/>
  <c r="D50" i="21" s="1"/>
  <c r="D54" i="21"/>
  <c r="F57" i="21"/>
  <c r="E59" i="21"/>
  <c r="F55" i="21"/>
  <c r="C29" i="21"/>
  <c r="C48" i="21" s="1"/>
  <c r="C54" i="21" s="1"/>
  <c r="E48" i="21"/>
  <c r="E54" i="21" s="1"/>
  <c r="C19" i="21"/>
  <c r="D59" i="21"/>
  <c r="D57" i="21"/>
  <c r="D55" i="21"/>
  <c r="D58" i="21"/>
  <c r="AM59" i="21"/>
  <c r="AM57" i="21"/>
  <c r="AM55" i="21"/>
  <c r="AM58" i="21"/>
  <c r="F48" i="21"/>
  <c r="F54" i="21" s="1"/>
  <c r="F46" i="21"/>
  <c r="F50" i="21" s="1"/>
  <c r="AG48" i="21"/>
  <c r="AG54" i="21" s="1"/>
  <c r="AG46" i="21"/>
  <c r="AG50" i="21" s="1"/>
  <c r="C44" i="21"/>
  <c r="C59" i="21" s="1"/>
  <c r="F45" i="21"/>
  <c r="AF47" i="21"/>
  <c r="O59" i="21"/>
  <c r="O57" i="21"/>
  <c r="O55" i="21"/>
  <c r="O58" i="21"/>
  <c r="AE59" i="21"/>
  <c r="AE57" i="21"/>
  <c r="AE55" i="21"/>
  <c r="AE58" i="21"/>
  <c r="Y48" i="21"/>
  <c r="Y54" i="21" s="1"/>
  <c r="Y46" i="21"/>
  <c r="Y50" i="21" s="1"/>
  <c r="Y45" i="21"/>
  <c r="M47" i="21"/>
  <c r="M56" i="21"/>
  <c r="AC47" i="21"/>
  <c r="AC56" i="21"/>
  <c r="T45" i="21"/>
  <c r="T59" i="21"/>
  <c r="T57" i="21"/>
  <c r="T55" i="21"/>
  <c r="AB59" i="21"/>
  <c r="AB57" i="21"/>
  <c r="AB55" i="21"/>
  <c r="AB45" i="21"/>
  <c r="K56" i="21"/>
  <c r="K47" i="21"/>
  <c r="N45" i="21"/>
  <c r="N48" i="21"/>
  <c r="N54" i="21" s="1"/>
  <c r="N46" i="21"/>
  <c r="N50" i="21" s="1"/>
  <c r="V45" i="21"/>
  <c r="V48" i="21"/>
  <c r="V54" i="21" s="1"/>
  <c r="V46" i="21"/>
  <c r="V50" i="21" s="1"/>
  <c r="AD45" i="21"/>
  <c r="AD48" i="21"/>
  <c r="AD54" i="21" s="1"/>
  <c r="AD46" i="21"/>
  <c r="AD50" i="21" s="1"/>
  <c r="AL45" i="21"/>
  <c r="AL48" i="21"/>
  <c r="AL54" i="21" s="1"/>
  <c r="AL46" i="21"/>
  <c r="AL50" i="21" s="1"/>
  <c r="M59" i="21"/>
  <c r="M57" i="21"/>
  <c r="M55" i="21"/>
  <c r="M58" i="21"/>
  <c r="U59" i="21"/>
  <c r="U57" i="21"/>
  <c r="U55" i="21"/>
  <c r="U58" i="21"/>
  <c r="AC59" i="21"/>
  <c r="AC57" i="21"/>
  <c r="AC55" i="21"/>
  <c r="AC58" i="21"/>
  <c r="AK59" i="21"/>
  <c r="AK57" i="21"/>
  <c r="AK55" i="21"/>
  <c r="AK58" i="21"/>
  <c r="AI47" i="21"/>
  <c r="W59" i="21"/>
  <c r="W57" i="21"/>
  <c r="W55" i="21"/>
  <c r="W58" i="21"/>
  <c r="Q48" i="21"/>
  <c r="Q54" i="21" s="1"/>
  <c r="Q46" i="21"/>
  <c r="Q50" i="21" s="1"/>
  <c r="AO48" i="21"/>
  <c r="AO54" i="21" s="1"/>
  <c r="AO46" i="21"/>
  <c r="AO50" i="21" s="1"/>
  <c r="U53" i="21"/>
  <c r="U47" i="21"/>
  <c r="U56" i="21"/>
  <c r="AK47" i="21"/>
  <c r="AK56" i="21"/>
  <c r="L45" i="21"/>
  <c r="L59" i="21"/>
  <c r="L57" i="21"/>
  <c r="L55" i="21"/>
  <c r="AJ45" i="21"/>
  <c r="AJ59" i="21"/>
  <c r="AJ57" i="21"/>
  <c r="AJ55" i="21"/>
  <c r="AG45" i="21"/>
  <c r="D45" i="21"/>
  <c r="O45" i="21"/>
  <c r="W45" i="21"/>
  <c r="AE45" i="21"/>
  <c r="AM45" i="21"/>
  <c r="Q45" i="21"/>
  <c r="AN47" i="21"/>
  <c r="J45" i="21"/>
  <c r="R45" i="21"/>
  <c r="Z45" i="21"/>
  <c r="AH45" i="21"/>
  <c r="J55" i="21"/>
  <c r="R55" i="21"/>
  <c r="Z55" i="21"/>
  <c r="AH55" i="21"/>
  <c r="J57" i="21"/>
  <c r="R57" i="21"/>
  <c r="Z57" i="21"/>
  <c r="AH57" i="21"/>
  <c r="N58" i="21"/>
  <c r="V58" i="21"/>
  <c r="AD58" i="21"/>
  <c r="AL58" i="21"/>
  <c r="J59" i="21"/>
  <c r="R59" i="21"/>
  <c r="Z59" i="21"/>
  <c r="AH59" i="21"/>
  <c r="J46" i="21"/>
  <c r="J50" i="21" s="1"/>
  <c r="R46" i="21"/>
  <c r="R50" i="21" s="1"/>
  <c r="Z46" i="21"/>
  <c r="Z50" i="21" s="1"/>
  <c r="AH46" i="21"/>
  <c r="AH50" i="21" s="1"/>
  <c r="N55" i="21"/>
  <c r="V55" i="21"/>
  <c r="AD55" i="21"/>
  <c r="AL55" i="21"/>
  <c r="N57" i="21"/>
  <c r="V57" i="21"/>
  <c r="AD57" i="21"/>
  <c r="AL57" i="21"/>
  <c r="K46" i="21"/>
  <c r="K50" i="21" s="1"/>
  <c r="S46" i="21"/>
  <c r="S50" i="21" s="1"/>
  <c r="AA46" i="21"/>
  <c r="AA50" i="21" s="1"/>
  <c r="AI46" i="21"/>
  <c r="AI50" i="21" s="1"/>
  <c r="X53" i="21" l="1"/>
  <c r="AN53" i="21"/>
  <c r="AA47" i="21"/>
  <c r="AI53" i="21"/>
  <c r="AK53" i="21"/>
  <c r="X47" i="21"/>
  <c r="X52" i="21" s="1"/>
  <c r="AO53" i="21"/>
  <c r="P56" i="21"/>
  <c r="P53" i="21"/>
  <c r="AO56" i="21"/>
  <c r="P47" i="21"/>
  <c r="P49" i="21" s="1"/>
  <c r="S49" i="21"/>
  <c r="S56" i="21"/>
  <c r="AA53" i="21"/>
  <c r="M53" i="21"/>
  <c r="AC53" i="21"/>
  <c r="AF53" i="21"/>
  <c r="C58" i="21"/>
  <c r="E47" i="21"/>
  <c r="E51" i="21" s="1"/>
  <c r="E53" i="21"/>
  <c r="C46" i="21"/>
  <c r="C50" i="21" s="1"/>
  <c r="R56" i="21"/>
  <c r="R53" i="21"/>
  <c r="R47" i="21"/>
  <c r="W53" i="21"/>
  <c r="W47" i="21"/>
  <c r="W56" i="21"/>
  <c r="P52" i="21"/>
  <c r="P51" i="21"/>
  <c r="AD53" i="21"/>
  <c r="AD47" i="21"/>
  <c r="AD56" i="21"/>
  <c r="K53" i="21"/>
  <c r="AO52" i="21"/>
  <c r="AO51" i="21"/>
  <c r="AO49" i="21"/>
  <c r="AJ47" i="21"/>
  <c r="AJ53" i="21"/>
  <c r="AJ56" i="21"/>
  <c r="D53" i="21"/>
  <c r="D47" i="21"/>
  <c r="D56" i="21"/>
  <c r="U51" i="21"/>
  <c r="U49" i="21"/>
  <c r="U52" i="21"/>
  <c r="AB53" i="21"/>
  <c r="AB47" i="21"/>
  <c r="AB56" i="21"/>
  <c r="C57" i="21"/>
  <c r="C55" i="21"/>
  <c r="S53" i="21"/>
  <c r="AN52" i="21"/>
  <c r="AN51" i="21"/>
  <c r="AN49" i="21"/>
  <c r="V53" i="21"/>
  <c r="V47" i="21"/>
  <c r="V56" i="21"/>
  <c r="X49" i="21"/>
  <c r="X51" i="21"/>
  <c r="Q56" i="21"/>
  <c r="Q53" i="21"/>
  <c r="Q47" i="21"/>
  <c r="AC51" i="21"/>
  <c r="AC49" i="21"/>
  <c r="AC52" i="21"/>
  <c r="AF52" i="21"/>
  <c r="AF49" i="21"/>
  <c r="AF51" i="21"/>
  <c r="J56" i="21"/>
  <c r="J53" i="21"/>
  <c r="J47" i="21"/>
  <c r="Y56" i="21"/>
  <c r="Y53" i="21"/>
  <c r="Y47" i="21"/>
  <c r="AG56" i="21"/>
  <c r="AG53" i="21"/>
  <c r="AG47" i="21"/>
  <c r="L47" i="21"/>
  <c r="L53" i="21"/>
  <c r="L56" i="21"/>
  <c r="AL53" i="21"/>
  <c r="AL47" i="21"/>
  <c r="AL56" i="21"/>
  <c r="F56" i="21"/>
  <c r="F53" i="21"/>
  <c r="F47" i="21"/>
  <c r="S52" i="21"/>
  <c r="AH56" i="21"/>
  <c r="AH53" i="21"/>
  <c r="AH47" i="21"/>
  <c r="AM53" i="21"/>
  <c r="AM47" i="21"/>
  <c r="AM56" i="21"/>
  <c r="N53" i="21"/>
  <c r="N47" i="21"/>
  <c r="N56" i="21"/>
  <c r="AA52" i="21"/>
  <c r="AA51" i="21"/>
  <c r="AA49" i="21"/>
  <c r="O53" i="21"/>
  <c r="O47" i="21"/>
  <c r="O56" i="21"/>
  <c r="T47" i="21"/>
  <c r="T53" i="21"/>
  <c r="T56" i="21"/>
  <c r="Z56" i="21"/>
  <c r="Z53" i="21"/>
  <c r="Z47" i="21"/>
  <c r="AE53" i="21"/>
  <c r="AE47" i="21"/>
  <c r="AE56" i="21"/>
  <c r="AK51" i="21"/>
  <c r="AK49" i="21"/>
  <c r="AK52" i="21"/>
  <c r="AI52" i="21"/>
  <c r="AI49" i="21"/>
  <c r="AI51" i="21"/>
  <c r="K52" i="21"/>
  <c r="K49" i="21"/>
  <c r="K51" i="21"/>
  <c r="M51" i="21"/>
  <c r="M49" i="21"/>
  <c r="M52" i="21"/>
  <c r="E49" i="21"/>
  <c r="C45" i="21"/>
  <c r="E52" i="21" l="1"/>
  <c r="AL51" i="21"/>
  <c r="AL49" i="21"/>
  <c r="AL52" i="21"/>
  <c r="D51" i="21"/>
  <c r="D49" i="21"/>
  <c r="D52" i="21"/>
  <c r="W51" i="21"/>
  <c r="W49" i="21"/>
  <c r="W52" i="21"/>
  <c r="Y52" i="21"/>
  <c r="Y51" i="21"/>
  <c r="Y49" i="21"/>
  <c r="C53" i="21"/>
  <c r="C56" i="21"/>
  <c r="C47" i="21"/>
  <c r="T49" i="21"/>
  <c r="T51" i="21"/>
  <c r="T52" i="21"/>
  <c r="N51" i="21"/>
  <c r="N49" i="21"/>
  <c r="N52" i="21"/>
  <c r="J52" i="21"/>
  <c r="J51" i="21"/>
  <c r="J49" i="21"/>
  <c r="V51" i="21"/>
  <c r="V49" i="21"/>
  <c r="V52" i="21"/>
  <c r="AE51" i="21"/>
  <c r="AE49" i="21"/>
  <c r="AE52" i="21"/>
  <c r="F52" i="21"/>
  <c r="F51" i="21"/>
  <c r="F49" i="21"/>
  <c r="L51" i="21"/>
  <c r="L49" i="21"/>
  <c r="L52" i="21"/>
  <c r="Q52" i="21"/>
  <c r="Q49" i="21"/>
  <c r="Q51" i="21"/>
  <c r="AB51" i="21"/>
  <c r="AB49" i="21"/>
  <c r="AB52" i="21"/>
  <c r="AD51" i="21"/>
  <c r="AD49" i="21"/>
  <c r="AD52" i="21"/>
  <c r="R52" i="21"/>
  <c r="R51" i="21"/>
  <c r="R49" i="21"/>
  <c r="O51" i="21"/>
  <c r="O49" i="21"/>
  <c r="O52" i="21"/>
  <c r="AG52" i="21"/>
  <c r="AG51" i="21"/>
  <c r="AG49" i="21"/>
  <c r="AH52" i="21"/>
  <c r="AH51" i="21"/>
  <c r="AH49" i="21"/>
  <c r="Z52" i="21"/>
  <c r="Z51" i="21"/>
  <c r="Z49" i="21"/>
  <c r="AM51" i="21"/>
  <c r="AM49" i="21"/>
  <c r="AM52" i="21"/>
  <c r="AJ51" i="21"/>
  <c r="AJ49" i="21"/>
  <c r="AJ52" i="21"/>
  <c r="C51" i="21" l="1"/>
  <c r="C49" i="21"/>
  <c r="C52" i="21"/>
  <c r="W19" i="20" l="1"/>
  <c r="V44" i="20" l="1"/>
  <c r="H19" i="20" l="1"/>
  <c r="W55" i="20" l="1"/>
  <c r="BC44" i="20"/>
  <c r="BC55" i="20" s="1"/>
  <c r="BB44" i="20"/>
  <c r="BA44" i="20"/>
  <c r="BA58" i="20" s="1"/>
  <c r="AZ44" i="20"/>
  <c r="AZ58" i="20" s="1"/>
  <c r="AY44" i="20"/>
  <c r="AX44" i="20"/>
  <c r="AW44" i="20"/>
  <c r="AV44" i="20"/>
  <c r="AV59" i="20" s="1"/>
  <c r="AU44" i="20"/>
  <c r="AU55" i="20" s="1"/>
  <c r="AT44" i="20"/>
  <c r="AS44" i="20"/>
  <c r="AS57" i="20" s="1"/>
  <c r="AR44" i="20"/>
  <c r="AR55" i="20" s="1"/>
  <c r="AQ44" i="20"/>
  <c r="AP44" i="20"/>
  <c r="AP57" i="20" s="1"/>
  <c r="AO44" i="20"/>
  <c r="AO57" i="20" s="1"/>
  <c r="AN44" i="20"/>
  <c r="AN58" i="20" s="1"/>
  <c r="AM44" i="20"/>
  <c r="AM59" i="20" s="1"/>
  <c r="AL44" i="20"/>
  <c r="AK44" i="20"/>
  <c r="AJ44" i="20"/>
  <c r="AI44" i="20"/>
  <c r="AI59" i="20" s="1"/>
  <c r="AH44" i="20"/>
  <c r="AH57" i="20" s="1"/>
  <c r="AG44" i="20"/>
  <c r="AG57" i="20" s="1"/>
  <c r="AF44" i="20"/>
  <c r="AF58" i="20" s="1"/>
  <c r="AE44" i="20"/>
  <c r="AE55" i="20" s="1"/>
  <c r="AD44" i="20"/>
  <c r="AC44" i="20"/>
  <c r="AC58" i="20" s="1"/>
  <c r="AB44" i="20"/>
  <c r="AB58" i="20" s="1"/>
  <c r="AA44" i="20"/>
  <c r="AA59" i="20" s="1"/>
  <c r="Z44" i="20"/>
  <c r="Y44" i="20"/>
  <c r="Y57" i="20" s="1"/>
  <c r="X44" i="20"/>
  <c r="X58" i="20" s="1"/>
  <c r="W44" i="20"/>
  <c r="W59" i="20" s="1"/>
  <c r="U44" i="20"/>
  <c r="U57" i="20" s="1"/>
  <c r="T44" i="20"/>
  <c r="S44" i="20"/>
  <c r="R44" i="20"/>
  <c r="R57" i="20" s="1"/>
  <c r="Q44" i="20"/>
  <c r="P44" i="20"/>
  <c r="P58" i="20" s="1"/>
  <c r="O44" i="20"/>
  <c r="O55" i="20" s="1"/>
  <c r="N44" i="20"/>
  <c r="M44" i="20"/>
  <c r="L44" i="20"/>
  <c r="L55" i="20" s="1"/>
  <c r="K44" i="20"/>
  <c r="J44" i="20"/>
  <c r="I44" i="20"/>
  <c r="H44" i="20"/>
  <c r="H59" i="20" s="1"/>
  <c r="G44" i="20"/>
  <c r="G59" i="20" s="1"/>
  <c r="F44" i="20"/>
  <c r="E44" i="20"/>
  <c r="D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BC29" i="20"/>
  <c r="BC48" i="20" s="1"/>
  <c r="BC54" i="20" s="1"/>
  <c r="BB29" i="20"/>
  <c r="BB46" i="20" s="1"/>
  <c r="BB50" i="20" s="1"/>
  <c r="BA29" i="20"/>
  <c r="BA48" i="20" s="1"/>
  <c r="BA54" i="20" s="1"/>
  <c r="AZ29" i="20"/>
  <c r="AZ48" i="20" s="1"/>
  <c r="AZ54" i="20" s="1"/>
  <c r="AY29" i="20"/>
  <c r="AY48" i="20" s="1"/>
  <c r="AY54" i="20" s="1"/>
  <c r="AX29" i="20"/>
  <c r="AW29" i="20"/>
  <c r="AW48" i="20" s="1"/>
  <c r="AW54" i="20" s="1"/>
  <c r="AV29" i="20"/>
  <c r="AV48" i="20" s="1"/>
  <c r="AV54" i="20" s="1"/>
  <c r="AU29" i="20"/>
  <c r="AU48" i="20" s="1"/>
  <c r="AU54" i="20" s="1"/>
  <c r="AT29" i="20"/>
  <c r="AT46" i="20" s="1"/>
  <c r="AT50" i="20" s="1"/>
  <c r="AS29" i="20"/>
  <c r="AS48" i="20" s="1"/>
  <c r="AS54" i="20" s="1"/>
  <c r="AR29" i="20"/>
  <c r="AR48" i="20" s="1"/>
  <c r="AR54" i="20" s="1"/>
  <c r="AQ29" i="20"/>
  <c r="AQ48" i="20" s="1"/>
  <c r="AQ54" i="20" s="1"/>
  <c r="AP29" i="20"/>
  <c r="AO29" i="20"/>
  <c r="AO48" i="20" s="1"/>
  <c r="AO54" i="20" s="1"/>
  <c r="AN29" i="20"/>
  <c r="AN48" i="20" s="1"/>
  <c r="AN54" i="20" s="1"/>
  <c r="AM29" i="20"/>
  <c r="AM48" i="20" s="1"/>
  <c r="AM54" i="20" s="1"/>
  <c r="AL29" i="20"/>
  <c r="AL46" i="20" s="1"/>
  <c r="AL50" i="20" s="1"/>
  <c r="AK29" i="20"/>
  <c r="AK48" i="20" s="1"/>
  <c r="AK54" i="20" s="1"/>
  <c r="AJ29" i="20"/>
  <c r="AJ48" i="20" s="1"/>
  <c r="AJ54" i="20" s="1"/>
  <c r="AI29" i="20"/>
  <c r="AI48" i="20" s="1"/>
  <c r="AI54" i="20" s="1"/>
  <c r="AH29" i="20"/>
  <c r="AH45" i="20" s="1"/>
  <c r="AG29" i="20"/>
  <c r="AG48" i="20" s="1"/>
  <c r="AG54" i="20" s="1"/>
  <c r="AF29" i="20"/>
  <c r="AF48" i="20" s="1"/>
  <c r="AF54" i="20" s="1"/>
  <c r="AE29" i="20"/>
  <c r="AE48" i="20" s="1"/>
  <c r="AE54" i="20" s="1"/>
  <c r="AD29" i="20"/>
  <c r="AD46" i="20" s="1"/>
  <c r="AD50" i="20" s="1"/>
  <c r="AC29" i="20"/>
  <c r="AC48" i="20" s="1"/>
  <c r="AC54" i="20" s="1"/>
  <c r="AB29" i="20"/>
  <c r="AB48" i="20" s="1"/>
  <c r="AB54" i="20" s="1"/>
  <c r="AA29" i="20"/>
  <c r="AA48" i="20" s="1"/>
  <c r="AA54" i="20" s="1"/>
  <c r="Z29" i="20"/>
  <c r="Y29" i="20"/>
  <c r="Y48" i="20" s="1"/>
  <c r="Y54" i="20" s="1"/>
  <c r="X29" i="20"/>
  <c r="X48" i="20" s="1"/>
  <c r="X54" i="20" s="1"/>
  <c r="W29" i="20"/>
  <c r="W48" i="20" s="1"/>
  <c r="W54" i="20" s="1"/>
  <c r="V29" i="20"/>
  <c r="V46" i="20" s="1"/>
  <c r="V50" i="20" s="1"/>
  <c r="U29" i="20"/>
  <c r="U48" i="20" s="1"/>
  <c r="U54" i="20" s="1"/>
  <c r="T29" i="20"/>
  <c r="T48" i="20" s="1"/>
  <c r="T54" i="20" s="1"/>
  <c r="S29" i="20"/>
  <c r="S48" i="20" s="1"/>
  <c r="S54" i="20" s="1"/>
  <c r="R29" i="20"/>
  <c r="R45" i="20" s="1"/>
  <c r="Q29" i="20"/>
  <c r="Q48" i="20" s="1"/>
  <c r="Q54" i="20" s="1"/>
  <c r="P29" i="20"/>
  <c r="P48" i="20" s="1"/>
  <c r="P54" i="20" s="1"/>
  <c r="O29" i="20"/>
  <c r="O48" i="20" s="1"/>
  <c r="O54" i="20" s="1"/>
  <c r="N29" i="20"/>
  <c r="N46" i="20" s="1"/>
  <c r="N50" i="20" s="1"/>
  <c r="M29" i="20"/>
  <c r="M48" i="20" s="1"/>
  <c r="M54" i="20" s="1"/>
  <c r="L29" i="20"/>
  <c r="L48" i="20" s="1"/>
  <c r="L54" i="20" s="1"/>
  <c r="K29" i="20"/>
  <c r="J29" i="20"/>
  <c r="I29" i="20"/>
  <c r="I48" i="20" s="1"/>
  <c r="I54" i="20" s="1"/>
  <c r="H29" i="20"/>
  <c r="H48" i="20" s="1"/>
  <c r="H54" i="20" s="1"/>
  <c r="G29" i="20"/>
  <c r="G46" i="20" s="1"/>
  <c r="G50" i="20" s="1"/>
  <c r="F29" i="20"/>
  <c r="F46" i="20" s="1"/>
  <c r="F50" i="20" s="1"/>
  <c r="E29" i="20"/>
  <c r="E48" i="20" s="1"/>
  <c r="E54" i="20" s="1"/>
  <c r="D29" i="20"/>
  <c r="D48" i="20" s="1"/>
  <c r="D54" i="20" s="1"/>
  <c r="C28" i="20"/>
  <c r="C27" i="20"/>
  <c r="C26" i="20"/>
  <c r="C25" i="20"/>
  <c r="C24" i="20"/>
  <c r="C23" i="20"/>
  <c r="C22" i="20"/>
  <c r="F21" i="20"/>
  <c r="C21" i="20" s="1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G19" i="20"/>
  <c r="F19" i="20"/>
  <c r="E19" i="20"/>
  <c r="D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F3" i="19"/>
  <c r="E3" i="19"/>
  <c r="F3" i="14"/>
  <c r="E3" i="14"/>
  <c r="D3" i="14"/>
  <c r="F43" i="19"/>
  <c r="E43" i="19"/>
  <c r="D43" i="19"/>
  <c r="C42" i="19"/>
  <c r="C41" i="19"/>
  <c r="Z40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43" i="19" s="1"/>
  <c r="F28" i="19"/>
  <c r="E28" i="19"/>
  <c r="D28" i="19"/>
  <c r="C27" i="19"/>
  <c r="C26" i="19"/>
  <c r="C25" i="19"/>
  <c r="C24" i="19"/>
  <c r="C23" i="19"/>
  <c r="C22" i="19"/>
  <c r="C21" i="19"/>
  <c r="C20" i="19"/>
  <c r="C28" i="19" s="1"/>
  <c r="F18" i="19"/>
  <c r="E18" i="19"/>
  <c r="D18" i="19"/>
  <c r="C17" i="19"/>
  <c r="C16" i="19"/>
  <c r="C15" i="19"/>
  <c r="C14" i="19"/>
  <c r="C13" i="19"/>
  <c r="C12" i="19"/>
  <c r="C11" i="19"/>
  <c r="C18" i="19" s="1"/>
  <c r="C10" i="19"/>
  <c r="C9" i="19"/>
  <c r="C8" i="19"/>
  <c r="C7" i="19"/>
  <c r="C6" i="19"/>
  <c r="C5" i="19"/>
  <c r="C4" i="19"/>
  <c r="C6" i="17"/>
  <c r="F43" i="18"/>
  <c r="E43" i="18"/>
  <c r="D43" i="18"/>
  <c r="C42" i="18"/>
  <c r="C41" i="18"/>
  <c r="Z40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43" i="18" s="1"/>
  <c r="F28" i="18"/>
  <c r="E28" i="18"/>
  <c r="D28" i="18"/>
  <c r="C27" i="18"/>
  <c r="C26" i="18"/>
  <c r="C25" i="18"/>
  <c r="C24" i="18"/>
  <c r="C23" i="18"/>
  <c r="C22" i="18"/>
  <c r="C21" i="18"/>
  <c r="C20" i="18"/>
  <c r="C28" i="18" s="1"/>
  <c r="F18" i="18"/>
  <c r="E18" i="18"/>
  <c r="D18" i="18"/>
  <c r="C17" i="18"/>
  <c r="C16" i="18"/>
  <c r="C15" i="18"/>
  <c r="C14" i="18"/>
  <c r="C13" i="18"/>
  <c r="C12" i="18"/>
  <c r="C11" i="18"/>
  <c r="C18" i="18" s="1"/>
  <c r="C10" i="18"/>
  <c r="C9" i="18"/>
  <c r="C8" i="18"/>
  <c r="C7" i="18"/>
  <c r="C6" i="18"/>
  <c r="C5" i="18"/>
  <c r="C4" i="18"/>
  <c r="C3" i="18"/>
  <c r="C43" i="17"/>
  <c r="C46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44" i="17" s="1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8" i="17"/>
  <c r="C27" i="17"/>
  <c r="C26" i="17"/>
  <c r="C25" i="17"/>
  <c r="C24" i="17"/>
  <c r="C23" i="17"/>
  <c r="C22" i="17"/>
  <c r="C21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5" i="17"/>
  <c r="C4" i="17"/>
  <c r="C4" i="16"/>
  <c r="D29" i="16"/>
  <c r="AC19" i="16"/>
  <c r="C1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C28" i="16"/>
  <c r="C27" i="16"/>
  <c r="C26" i="16"/>
  <c r="C25" i="16"/>
  <c r="C24" i="16"/>
  <c r="C23" i="16"/>
  <c r="C22" i="16"/>
  <c r="C21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B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8" i="16"/>
  <c r="C17" i="16"/>
  <c r="C16" i="16"/>
  <c r="C15" i="16"/>
  <c r="C12" i="16"/>
  <c r="C11" i="16"/>
  <c r="C10" i="16"/>
  <c r="C9" i="16"/>
  <c r="C8" i="16"/>
  <c r="C7" i="16"/>
  <c r="C6" i="16"/>
  <c r="C5" i="16"/>
  <c r="AL44" i="15"/>
  <c r="AD19" i="15"/>
  <c r="C4" i="15"/>
  <c r="U29" i="15"/>
  <c r="C18" i="15"/>
  <c r="I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H44" i="15"/>
  <c r="G44" i="15"/>
  <c r="F44" i="15"/>
  <c r="E44" i="15"/>
  <c r="D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BC29" i="15"/>
  <c r="BB29" i="15"/>
  <c r="BA29" i="15"/>
  <c r="AZ29" i="15"/>
  <c r="AY29" i="15"/>
  <c r="AX29" i="15"/>
  <c r="AW29" i="15"/>
  <c r="AV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E29" i="15"/>
  <c r="D29" i="15"/>
  <c r="C28" i="15"/>
  <c r="C27" i="15"/>
  <c r="C26" i="15"/>
  <c r="AU29" i="15"/>
  <c r="C25" i="15"/>
  <c r="C24" i="15"/>
  <c r="C23" i="15"/>
  <c r="C22" i="15"/>
  <c r="F21" i="15"/>
  <c r="F29" i="15" s="1"/>
  <c r="C21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F54" i="14"/>
  <c r="D54" i="14"/>
  <c r="D3" i="8"/>
  <c r="F58" i="14"/>
  <c r="E58" i="14"/>
  <c r="D58" i="14"/>
  <c r="F56" i="14"/>
  <c r="E56" i="14"/>
  <c r="D56" i="14"/>
  <c r="E54" i="14"/>
  <c r="E44" i="14"/>
  <c r="E55" i="14" s="1"/>
  <c r="F43" i="14"/>
  <c r="F57" i="14" s="1"/>
  <c r="E43" i="14"/>
  <c r="E57" i="14" s="1"/>
  <c r="D43" i="14"/>
  <c r="D57" i="14" s="1"/>
  <c r="C42" i="14"/>
  <c r="C41" i="14"/>
  <c r="Z40" i="14"/>
  <c r="C40" i="14"/>
  <c r="C39" i="14"/>
  <c r="C38" i="14"/>
  <c r="C37" i="14"/>
  <c r="C36" i="14"/>
  <c r="C35" i="14"/>
  <c r="C34" i="14"/>
  <c r="C33" i="14"/>
  <c r="C32" i="14"/>
  <c r="C43" i="14" s="1"/>
  <c r="C31" i="14"/>
  <c r="C30" i="14"/>
  <c r="C29" i="14"/>
  <c r="F28" i="14"/>
  <c r="F47" i="14" s="1"/>
  <c r="F53" i="14" s="1"/>
  <c r="E28" i="14"/>
  <c r="E47" i="14" s="1"/>
  <c r="E53" i="14" s="1"/>
  <c r="D28" i="14"/>
  <c r="D47" i="14" s="1"/>
  <c r="C27" i="14"/>
  <c r="C26" i="14"/>
  <c r="C25" i="14"/>
  <c r="C24" i="14"/>
  <c r="C23" i="14"/>
  <c r="C22" i="14"/>
  <c r="C21" i="14"/>
  <c r="C20" i="14"/>
  <c r="F18" i="14"/>
  <c r="E18" i="14"/>
  <c r="D18" i="14"/>
  <c r="C17" i="14"/>
  <c r="C16" i="14"/>
  <c r="C15" i="14"/>
  <c r="C14" i="14"/>
  <c r="C13" i="14"/>
  <c r="C12" i="14"/>
  <c r="C11" i="14"/>
  <c r="C18" i="14" s="1"/>
  <c r="C10" i="14"/>
  <c r="C9" i="14"/>
  <c r="C8" i="14"/>
  <c r="C7" i="14"/>
  <c r="C6" i="14"/>
  <c r="C5" i="14"/>
  <c r="C4" i="14"/>
  <c r="C46" i="12"/>
  <c r="C3" i="12"/>
  <c r="C37" i="12"/>
  <c r="C36" i="12"/>
  <c r="C35" i="12"/>
  <c r="C31" i="12"/>
  <c r="C30" i="12"/>
  <c r="C29" i="12"/>
  <c r="C21" i="12"/>
  <c r="C20" i="12"/>
  <c r="C13" i="12"/>
  <c r="C12" i="12"/>
  <c r="F18" i="12"/>
  <c r="C10" i="12"/>
  <c r="C6" i="12"/>
  <c r="C5" i="12"/>
  <c r="C39" i="12"/>
  <c r="C38" i="12"/>
  <c r="C24" i="12"/>
  <c r="C23" i="12"/>
  <c r="C22" i="12"/>
  <c r="E18" i="12"/>
  <c r="C4" i="12"/>
  <c r="C26" i="12"/>
  <c r="D18" i="12"/>
  <c r="F43" i="12"/>
  <c r="F57" i="12" s="1"/>
  <c r="C42" i="12"/>
  <c r="C41" i="12"/>
  <c r="Z40" i="12"/>
  <c r="C40" i="12"/>
  <c r="C34" i="12"/>
  <c r="C33" i="12"/>
  <c r="C32" i="12"/>
  <c r="E28" i="12"/>
  <c r="E47" i="12" s="1"/>
  <c r="C27" i="12"/>
  <c r="C25" i="12"/>
  <c r="C17" i="12"/>
  <c r="C16" i="12"/>
  <c r="C15" i="12"/>
  <c r="C14" i="12"/>
  <c r="C9" i="12"/>
  <c r="C8" i="12"/>
  <c r="C7" i="12"/>
  <c r="C34" i="6"/>
  <c r="AX45" i="20" l="1"/>
  <c r="AX47" i="20" s="1"/>
  <c r="AU59" i="20"/>
  <c r="AP45" i="20"/>
  <c r="AP46" i="20"/>
  <c r="AP50" i="20" s="1"/>
  <c r="AO46" i="20"/>
  <c r="AO50" i="20" s="1"/>
  <c r="AN59" i="20"/>
  <c r="Z45" i="20"/>
  <c r="Z46" i="20"/>
  <c r="Z50" i="20" s="1"/>
  <c r="Y46" i="20"/>
  <c r="Y50" i="20" s="1"/>
  <c r="J45" i="20"/>
  <c r="J48" i="20"/>
  <c r="J54" i="20" s="1"/>
  <c r="J46" i="20"/>
  <c r="J50" i="20" s="1"/>
  <c r="I46" i="20"/>
  <c r="I50" i="20" s="1"/>
  <c r="H58" i="20"/>
  <c r="G48" i="20"/>
  <c r="G54" i="20" s="1"/>
  <c r="AU45" i="20"/>
  <c r="AU56" i="20" s="1"/>
  <c r="AM55" i="20"/>
  <c r="C44" i="20"/>
  <c r="C59" i="20" s="1"/>
  <c r="K45" i="20"/>
  <c r="K56" i="20" s="1"/>
  <c r="X59" i="20"/>
  <c r="K46" i="20"/>
  <c r="K50" i="20" s="1"/>
  <c r="L46" i="20"/>
  <c r="L50" i="20" s="1"/>
  <c r="AB46" i="20"/>
  <c r="AB50" i="20" s="1"/>
  <c r="AR46" i="20"/>
  <c r="AR50" i="20" s="1"/>
  <c r="R48" i="20"/>
  <c r="R54" i="20" s="1"/>
  <c r="AA46" i="20"/>
  <c r="AA50" i="20" s="1"/>
  <c r="Q46" i="20"/>
  <c r="Q50" i="20" s="1"/>
  <c r="AG46" i="20"/>
  <c r="AG50" i="20" s="1"/>
  <c r="AW46" i="20"/>
  <c r="AW50" i="20" s="1"/>
  <c r="Z48" i="20"/>
  <c r="Z54" i="20" s="1"/>
  <c r="AQ46" i="20"/>
  <c r="AQ50" i="20" s="1"/>
  <c r="K48" i="20"/>
  <c r="K54" i="20" s="1"/>
  <c r="R46" i="20"/>
  <c r="R50" i="20" s="1"/>
  <c r="AH46" i="20"/>
  <c r="AH50" i="20" s="1"/>
  <c r="AX46" i="20"/>
  <c r="AX50" i="20" s="1"/>
  <c r="AH48" i="20"/>
  <c r="AH54" i="20" s="1"/>
  <c r="S46" i="20"/>
  <c r="S50" i="20" s="1"/>
  <c r="C29" i="20"/>
  <c r="AI46" i="20"/>
  <c r="AI50" i="20" s="1"/>
  <c r="AY46" i="20"/>
  <c r="AY50" i="20" s="1"/>
  <c r="D46" i="20"/>
  <c r="D50" i="20" s="1"/>
  <c r="T46" i="20"/>
  <c r="T50" i="20" s="1"/>
  <c r="AJ46" i="20"/>
  <c r="AJ50" i="20" s="1"/>
  <c r="AZ46" i="20"/>
  <c r="AZ50" i="20" s="1"/>
  <c r="AX48" i="20"/>
  <c r="AX54" i="20" s="1"/>
  <c r="C19" i="20"/>
  <c r="J53" i="20"/>
  <c r="J47" i="20"/>
  <c r="J56" i="20"/>
  <c r="R47" i="20"/>
  <c r="R56" i="20"/>
  <c r="Z47" i="20"/>
  <c r="Z53" i="20"/>
  <c r="Z56" i="20"/>
  <c r="AH47" i="20"/>
  <c r="AH53" i="20"/>
  <c r="AH56" i="20"/>
  <c r="AP47" i="20"/>
  <c r="AP53" i="20"/>
  <c r="AP56" i="20"/>
  <c r="AX56" i="20"/>
  <c r="S58" i="20"/>
  <c r="S57" i="20"/>
  <c r="AY58" i="20"/>
  <c r="AY57" i="20"/>
  <c r="V45" i="20"/>
  <c r="BB45" i="20"/>
  <c r="S55" i="20"/>
  <c r="S59" i="20"/>
  <c r="D59" i="20"/>
  <c r="D57" i="20"/>
  <c r="AJ59" i="20"/>
  <c r="AJ57" i="20"/>
  <c r="G45" i="20"/>
  <c r="AE45" i="20"/>
  <c r="BC45" i="20"/>
  <c r="L58" i="20"/>
  <c r="M59" i="20"/>
  <c r="M55" i="20"/>
  <c r="AK59" i="20"/>
  <c r="AK55" i="20"/>
  <c r="H45" i="20"/>
  <c r="AN45" i="20"/>
  <c r="I55" i="20"/>
  <c r="I58" i="20"/>
  <c r="I59" i="20"/>
  <c r="Q55" i="20"/>
  <c r="Q58" i="20"/>
  <c r="Q59" i="20"/>
  <c r="Y55" i="20"/>
  <c r="Y58" i="20"/>
  <c r="Y59" i="20"/>
  <c r="AG55" i="20"/>
  <c r="AG58" i="20"/>
  <c r="AG59" i="20"/>
  <c r="AO55" i="20"/>
  <c r="AO58" i="20"/>
  <c r="AO59" i="20"/>
  <c r="AW55" i="20"/>
  <c r="AW58" i="20"/>
  <c r="AW59" i="20"/>
  <c r="D45" i="20"/>
  <c r="L45" i="20"/>
  <c r="T45" i="20"/>
  <c r="AB45" i="20"/>
  <c r="AJ45" i="20"/>
  <c r="AR45" i="20"/>
  <c r="AZ45" i="20"/>
  <c r="O46" i="20"/>
  <c r="O50" i="20" s="1"/>
  <c r="W46" i="20"/>
  <c r="W50" i="20" s="1"/>
  <c r="AE46" i="20"/>
  <c r="AE50" i="20" s="1"/>
  <c r="AM46" i="20"/>
  <c r="AM50" i="20" s="1"/>
  <c r="AU46" i="20"/>
  <c r="AU50" i="20" s="1"/>
  <c r="BC46" i="20"/>
  <c r="BC50" i="20" s="1"/>
  <c r="V48" i="20"/>
  <c r="V54" i="20" s="1"/>
  <c r="AP48" i="20"/>
  <c r="AP54" i="20" s="1"/>
  <c r="AI55" i="20"/>
  <c r="M57" i="20"/>
  <c r="D58" i="20"/>
  <c r="AS58" i="20"/>
  <c r="O59" i="20"/>
  <c r="AI58" i="20"/>
  <c r="AI57" i="20"/>
  <c r="N45" i="20"/>
  <c r="T59" i="20"/>
  <c r="T57" i="20"/>
  <c r="AZ59" i="20"/>
  <c r="AZ57" i="20"/>
  <c r="W45" i="20"/>
  <c r="AD48" i="20"/>
  <c r="AD54" i="20" s="1"/>
  <c r="T55" i="20"/>
  <c r="E59" i="20"/>
  <c r="E55" i="20"/>
  <c r="BA59" i="20"/>
  <c r="BA55" i="20"/>
  <c r="J55" i="20"/>
  <c r="J58" i="20"/>
  <c r="J59" i="20"/>
  <c r="R55" i="20"/>
  <c r="R58" i="20"/>
  <c r="R59" i="20"/>
  <c r="Z55" i="20"/>
  <c r="Z58" i="20"/>
  <c r="Z59" i="20"/>
  <c r="AH55" i="20"/>
  <c r="AH58" i="20"/>
  <c r="AH59" i="20"/>
  <c r="AP55" i="20"/>
  <c r="AP58" i="20"/>
  <c r="AP59" i="20"/>
  <c r="AX55" i="20"/>
  <c r="AX58" i="20"/>
  <c r="AX59" i="20"/>
  <c r="E45" i="20"/>
  <c r="M45" i="20"/>
  <c r="U45" i="20"/>
  <c r="AC45" i="20"/>
  <c r="AK45" i="20"/>
  <c r="AS45" i="20"/>
  <c r="BA45" i="20"/>
  <c r="H46" i="20"/>
  <c r="H50" i="20" s="1"/>
  <c r="P46" i="20"/>
  <c r="P50" i="20" s="1"/>
  <c r="X46" i="20"/>
  <c r="X50" i="20" s="1"/>
  <c r="AF46" i="20"/>
  <c r="AF50" i="20" s="1"/>
  <c r="AN46" i="20"/>
  <c r="AN50" i="20" s="1"/>
  <c r="AV46" i="20"/>
  <c r="AV50" i="20" s="1"/>
  <c r="F48" i="20"/>
  <c r="F54" i="20" s="1"/>
  <c r="AT48" i="20"/>
  <c r="AT54" i="20" s="1"/>
  <c r="AJ55" i="20"/>
  <c r="Q57" i="20"/>
  <c r="AK57" i="20"/>
  <c r="E58" i="20"/>
  <c r="AV58" i="20"/>
  <c r="P59" i="20"/>
  <c r="K58" i="20"/>
  <c r="K57" i="20"/>
  <c r="AQ58" i="20"/>
  <c r="AQ57" i="20"/>
  <c r="AL45" i="20"/>
  <c r="AB59" i="20"/>
  <c r="AB57" i="20"/>
  <c r="AC59" i="20"/>
  <c r="AC55" i="20"/>
  <c r="X45" i="20"/>
  <c r="BB48" i="20"/>
  <c r="BB54" i="20" s="1"/>
  <c r="M58" i="20"/>
  <c r="AJ58" i="20"/>
  <c r="F59" i="20"/>
  <c r="F57" i="20"/>
  <c r="F55" i="20"/>
  <c r="F58" i="20"/>
  <c r="N59" i="20"/>
  <c r="N57" i="20"/>
  <c r="N55" i="20"/>
  <c r="N58" i="20"/>
  <c r="V59" i="20"/>
  <c r="V57" i="20"/>
  <c r="V55" i="20"/>
  <c r="V58" i="20"/>
  <c r="AD59" i="20"/>
  <c r="AD57" i="20"/>
  <c r="AD55" i="20"/>
  <c r="AD58" i="20"/>
  <c r="AL59" i="20"/>
  <c r="AL57" i="20"/>
  <c r="AL55" i="20"/>
  <c r="AL58" i="20"/>
  <c r="AT59" i="20"/>
  <c r="AT57" i="20"/>
  <c r="AT55" i="20"/>
  <c r="AT58" i="20"/>
  <c r="BB59" i="20"/>
  <c r="BB57" i="20"/>
  <c r="BB55" i="20"/>
  <c r="BB58" i="20"/>
  <c r="I45" i="20"/>
  <c r="Q45" i="20"/>
  <c r="Y45" i="20"/>
  <c r="AG45" i="20"/>
  <c r="AO45" i="20"/>
  <c r="AW45" i="20"/>
  <c r="N48" i="20"/>
  <c r="N54" i="20" s="1"/>
  <c r="D55" i="20"/>
  <c r="AA55" i="20"/>
  <c r="E57" i="20"/>
  <c r="Z57" i="20"/>
  <c r="AW57" i="20"/>
  <c r="AK58" i="20"/>
  <c r="AA58" i="20"/>
  <c r="AA57" i="20"/>
  <c r="F45" i="20"/>
  <c r="AD45" i="20"/>
  <c r="AT45" i="20"/>
  <c r="L59" i="20"/>
  <c r="L57" i="20"/>
  <c r="AR59" i="20"/>
  <c r="AR57" i="20"/>
  <c r="O45" i="20"/>
  <c r="AM45" i="20"/>
  <c r="AQ59" i="20"/>
  <c r="U59" i="20"/>
  <c r="U55" i="20"/>
  <c r="AS59" i="20"/>
  <c r="AS55" i="20"/>
  <c r="P45" i="20"/>
  <c r="AF45" i="20"/>
  <c r="AV45" i="20"/>
  <c r="G57" i="20"/>
  <c r="G58" i="20"/>
  <c r="O57" i="20"/>
  <c r="O58" i="20"/>
  <c r="W57" i="20"/>
  <c r="W58" i="20"/>
  <c r="AE57" i="20"/>
  <c r="AE58" i="20"/>
  <c r="AM57" i="20"/>
  <c r="AM58" i="20"/>
  <c r="AU57" i="20"/>
  <c r="AU58" i="20"/>
  <c r="BC57" i="20"/>
  <c r="BC58" i="20"/>
  <c r="E46" i="20"/>
  <c r="E50" i="20" s="1"/>
  <c r="M46" i="20"/>
  <c r="M50" i="20" s="1"/>
  <c r="U46" i="20"/>
  <c r="U50" i="20" s="1"/>
  <c r="AC46" i="20"/>
  <c r="AC50" i="20" s="1"/>
  <c r="AK46" i="20"/>
  <c r="AK50" i="20" s="1"/>
  <c r="AS46" i="20"/>
  <c r="AS50" i="20" s="1"/>
  <c r="BA46" i="20"/>
  <c r="BA50" i="20" s="1"/>
  <c r="AL48" i="20"/>
  <c r="AL54" i="20" s="1"/>
  <c r="G55" i="20"/>
  <c r="AB55" i="20"/>
  <c r="AY55" i="20"/>
  <c r="I57" i="20"/>
  <c r="AC57" i="20"/>
  <c r="AX57" i="20"/>
  <c r="T58" i="20"/>
  <c r="AE59" i="20"/>
  <c r="AY59" i="20"/>
  <c r="AQ55" i="20"/>
  <c r="H57" i="20"/>
  <c r="H55" i="20"/>
  <c r="P57" i="20"/>
  <c r="P55" i="20"/>
  <c r="X57" i="20"/>
  <c r="X55" i="20"/>
  <c r="AF57" i="20"/>
  <c r="AF55" i="20"/>
  <c r="AN57" i="20"/>
  <c r="AN55" i="20"/>
  <c r="AV57" i="20"/>
  <c r="AV55" i="20"/>
  <c r="S45" i="20"/>
  <c r="AA45" i="20"/>
  <c r="AI45" i="20"/>
  <c r="AQ45" i="20"/>
  <c r="AY45" i="20"/>
  <c r="K55" i="20"/>
  <c r="AZ55" i="20"/>
  <c r="J57" i="20"/>
  <c r="BA57" i="20"/>
  <c r="U58" i="20"/>
  <c r="AR58" i="20"/>
  <c r="K59" i="20"/>
  <c r="AF59" i="20"/>
  <c r="BC59" i="20"/>
  <c r="F58" i="19"/>
  <c r="F57" i="19"/>
  <c r="F56" i="19"/>
  <c r="F54" i="19"/>
  <c r="E58" i="19"/>
  <c r="E57" i="19"/>
  <c r="E56" i="19"/>
  <c r="E54" i="19"/>
  <c r="D58" i="19"/>
  <c r="D57" i="19"/>
  <c r="D56" i="19"/>
  <c r="D54" i="19"/>
  <c r="C54" i="19"/>
  <c r="C56" i="19"/>
  <c r="F47" i="19"/>
  <c r="F53" i="19" s="1"/>
  <c r="F45" i="19"/>
  <c r="F49" i="19" s="1"/>
  <c r="F44" i="19"/>
  <c r="E47" i="19"/>
  <c r="E53" i="19" s="1"/>
  <c r="E45" i="19"/>
  <c r="E49" i="19" s="1"/>
  <c r="E44" i="19"/>
  <c r="D47" i="19"/>
  <c r="D53" i="19" s="1"/>
  <c r="D45" i="19"/>
  <c r="D49" i="19" s="1"/>
  <c r="D44" i="19"/>
  <c r="C44" i="19"/>
  <c r="C47" i="19"/>
  <c r="C53" i="19" s="1"/>
  <c r="C46" i="19"/>
  <c r="C45" i="19"/>
  <c r="C49" i="19" s="1"/>
  <c r="C58" i="19"/>
  <c r="C57" i="19"/>
  <c r="F58" i="18"/>
  <c r="F57" i="18"/>
  <c r="F56" i="18"/>
  <c r="F54" i="18"/>
  <c r="E58" i="18"/>
  <c r="E57" i="18"/>
  <c r="E56" i="18"/>
  <c r="E54" i="18"/>
  <c r="D58" i="18"/>
  <c r="D57" i="18"/>
  <c r="D56" i="18"/>
  <c r="D54" i="18"/>
  <c r="C54" i="18"/>
  <c r="C56" i="18"/>
  <c r="F47" i="18"/>
  <c r="F53" i="18" s="1"/>
  <c r="F45" i="18"/>
  <c r="F49" i="18" s="1"/>
  <c r="F44" i="18"/>
  <c r="E47" i="18"/>
  <c r="E53" i="18" s="1"/>
  <c r="E45" i="18"/>
  <c r="E49" i="18" s="1"/>
  <c r="E44" i="18"/>
  <c r="D47" i="18"/>
  <c r="D53" i="18" s="1"/>
  <c r="D45" i="18"/>
  <c r="D49" i="18" s="1"/>
  <c r="D44" i="18"/>
  <c r="C44" i="18"/>
  <c r="C46" i="18" s="1"/>
  <c r="C47" i="18"/>
  <c r="C53" i="18" s="1"/>
  <c r="C45" i="18"/>
  <c r="C49" i="18" s="1"/>
  <c r="C58" i="18"/>
  <c r="C57" i="18"/>
  <c r="C19" i="17"/>
  <c r="C29" i="17"/>
  <c r="AL59" i="17"/>
  <c r="AL58" i="17"/>
  <c r="AL55" i="17"/>
  <c r="AL57" i="17"/>
  <c r="AK59" i="17"/>
  <c r="AK57" i="17"/>
  <c r="AK58" i="17"/>
  <c r="AK55" i="17"/>
  <c r="AJ59" i="17"/>
  <c r="AJ58" i="17"/>
  <c r="AJ55" i="17"/>
  <c r="AJ57" i="17"/>
  <c r="AI59" i="17"/>
  <c r="AI58" i="17"/>
  <c r="AI55" i="17"/>
  <c r="AI57" i="17"/>
  <c r="AH59" i="17"/>
  <c r="AH58" i="17"/>
  <c r="AH55" i="17"/>
  <c r="AH57" i="17"/>
  <c r="AG59" i="17"/>
  <c r="AG57" i="17"/>
  <c r="AG58" i="17"/>
  <c r="AG55" i="17"/>
  <c r="AF55" i="17"/>
  <c r="AF57" i="17"/>
  <c r="AF59" i="17"/>
  <c r="AF58" i="17"/>
  <c r="AE59" i="17"/>
  <c r="AE57" i="17"/>
  <c r="AE58" i="17"/>
  <c r="AE55" i="17"/>
  <c r="AD57" i="17"/>
  <c r="AD55" i="17"/>
  <c r="AD59" i="17"/>
  <c r="AD58" i="17"/>
  <c r="AC57" i="17"/>
  <c r="AC55" i="17"/>
  <c r="AC59" i="17"/>
  <c r="AC58" i="17"/>
  <c r="AB57" i="17"/>
  <c r="AB59" i="17"/>
  <c r="AB58" i="17"/>
  <c r="AB55" i="17"/>
  <c r="AA57" i="17"/>
  <c r="AA59" i="17"/>
  <c r="AA55" i="17"/>
  <c r="AA58" i="17"/>
  <c r="Z55" i="17"/>
  <c r="Z59" i="17"/>
  <c r="Z58" i="17"/>
  <c r="Z57" i="17"/>
  <c r="Y59" i="17"/>
  <c r="Y55" i="17"/>
  <c r="Y58" i="17"/>
  <c r="Y57" i="17"/>
  <c r="X58" i="17"/>
  <c r="X55" i="17"/>
  <c r="X59" i="17"/>
  <c r="X57" i="17"/>
  <c r="W58" i="17"/>
  <c r="W57" i="17"/>
  <c r="W55" i="17"/>
  <c r="W59" i="17"/>
  <c r="V55" i="17"/>
  <c r="V57" i="17"/>
  <c r="V58" i="17"/>
  <c r="V59" i="17"/>
  <c r="U57" i="17"/>
  <c r="U59" i="17"/>
  <c r="U58" i="17"/>
  <c r="U55" i="17"/>
  <c r="T57" i="17"/>
  <c r="T58" i="17"/>
  <c r="T59" i="17"/>
  <c r="T55" i="17"/>
  <c r="S55" i="17"/>
  <c r="S57" i="17"/>
  <c r="S59" i="17"/>
  <c r="S58" i="17"/>
  <c r="R58" i="17"/>
  <c r="R57" i="17"/>
  <c r="R55" i="17"/>
  <c r="R59" i="17"/>
  <c r="Q55" i="17"/>
  <c r="Q59" i="17"/>
  <c r="Q57" i="17"/>
  <c r="Q58" i="17"/>
  <c r="P55" i="17"/>
  <c r="P57" i="17"/>
  <c r="P58" i="17"/>
  <c r="P59" i="17"/>
  <c r="O59" i="17"/>
  <c r="O57" i="17"/>
  <c r="O58" i="17"/>
  <c r="O55" i="17"/>
  <c r="N58" i="17"/>
  <c r="N57" i="17"/>
  <c r="N59" i="17"/>
  <c r="N55" i="17"/>
  <c r="M59" i="17"/>
  <c r="M58" i="17"/>
  <c r="M55" i="17"/>
  <c r="M57" i="17"/>
  <c r="L59" i="17"/>
  <c r="L57" i="17"/>
  <c r="L58" i="17"/>
  <c r="L55" i="17"/>
  <c r="K59" i="17"/>
  <c r="K55" i="17"/>
  <c r="K57" i="17"/>
  <c r="K58" i="17"/>
  <c r="J59" i="17"/>
  <c r="J58" i="17"/>
  <c r="J55" i="17"/>
  <c r="J57" i="17"/>
  <c r="I59" i="17"/>
  <c r="I57" i="17"/>
  <c r="I58" i="17"/>
  <c r="I55" i="17"/>
  <c r="H59" i="17"/>
  <c r="H58" i="17"/>
  <c r="H57" i="17"/>
  <c r="H55" i="17"/>
  <c r="G55" i="17"/>
  <c r="G58" i="17"/>
  <c r="G57" i="17"/>
  <c r="G59" i="17"/>
  <c r="F59" i="17"/>
  <c r="F58" i="17"/>
  <c r="F57" i="17"/>
  <c r="F55" i="17"/>
  <c r="E59" i="17"/>
  <c r="E57" i="17"/>
  <c r="E58" i="17"/>
  <c r="E55" i="17"/>
  <c r="D59" i="17"/>
  <c r="D57" i="17"/>
  <c r="D58" i="17"/>
  <c r="D55" i="17"/>
  <c r="C55" i="17"/>
  <c r="C57" i="17"/>
  <c r="AL48" i="17"/>
  <c r="AL54" i="17" s="1"/>
  <c r="AL45" i="17"/>
  <c r="AL46" i="17"/>
  <c r="AL50" i="17" s="1"/>
  <c r="AK48" i="17"/>
  <c r="AK54" i="17" s="1"/>
  <c r="AK45" i="17"/>
  <c r="AK46" i="17"/>
  <c r="AK50" i="17" s="1"/>
  <c r="AJ48" i="17"/>
  <c r="AJ54" i="17" s="1"/>
  <c r="AJ46" i="17"/>
  <c r="AJ50" i="17" s="1"/>
  <c r="AJ45" i="17"/>
  <c r="AI48" i="17"/>
  <c r="AI54" i="17" s="1"/>
  <c r="AI45" i="17"/>
  <c r="AI46" i="17"/>
  <c r="AI50" i="17" s="1"/>
  <c r="AH48" i="17"/>
  <c r="AH54" i="17" s="1"/>
  <c r="AH46" i="17"/>
  <c r="AH50" i="17" s="1"/>
  <c r="AH45" i="17"/>
  <c r="AG48" i="17"/>
  <c r="AG54" i="17" s="1"/>
  <c r="AG46" i="17"/>
  <c r="AG50" i="17" s="1"/>
  <c r="AG45" i="17"/>
  <c r="AF46" i="17"/>
  <c r="AF50" i="17" s="1"/>
  <c r="AF48" i="17"/>
  <c r="AF54" i="17" s="1"/>
  <c r="AF45" i="17"/>
  <c r="AE46" i="17"/>
  <c r="AE50" i="17" s="1"/>
  <c r="AE45" i="17"/>
  <c r="AE48" i="17"/>
  <c r="AE54" i="17" s="1"/>
  <c r="AD48" i="17"/>
  <c r="AD54" i="17" s="1"/>
  <c r="AD46" i="17"/>
  <c r="AD50" i="17" s="1"/>
  <c r="AD45" i="17"/>
  <c r="AC46" i="17"/>
  <c r="AC50" i="17" s="1"/>
  <c r="AC45" i="17"/>
  <c r="AC48" i="17"/>
  <c r="AC54" i="17" s="1"/>
  <c r="AB48" i="17"/>
  <c r="AB54" i="17" s="1"/>
  <c r="AB46" i="17"/>
  <c r="AB50" i="17" s="1"/>
  <c r="AB45" i="17"/>
  <c r="AA48" i="17"/>
  <c r="AA54" i="17" s="1"/>
  <c r="AA46" i="17"/>
  <c r="AA50" i="17" s="1"/>
  <c r="AA45" i="17"/>
  <c r="Z46" i="17"/>
  <c r="Z50" i="17" s="1"/>
  <c r="Z48" i="17"/>
  <c r="Z54" i="17" s="1"/>
  <c r="Z45" i="17"/>
  <c r="Y46" i="17"/>
  <c r="Y50" i="17" s="1"/>
  <c r="Y48" i="17"/>
  <c r="Y54" i="17" s="1"/>
  <c r="Y45" i="17"/>
  <c r="X48" i="17"/>
  <c r="X54" i="17" s="1"/>
  <c r="X46" i="17"/>
  <c r="X50" i="17" s="1"/>
  <c r="X45" i="17"/>
  <c r="W48" i="17"/>
  <c r="W54" i="17" s="1"/>
  <c r="W46" i="17"/>
  <c r="W50" i="17" s="1"/>
  <c r="W45" i="17"/>
  <c r="V48" i="17"/>
  <c r="V54" i="17" s="1"/>
  <c r="V46" i="17"/>
  <c r="V50" i="17" s="1"/>
  <c r="V45" i="17"/>
  <c r="U48" i="17"/>
  <c r="U54" i="17" s="1"/>
  <c r="U46" i="17"/>
  <c r="U50" i="17" s="1"/>
  <c r="U45" i="17"/>
  <c r="T46" i="17"/>
  <c r="T50" i="17" s="1"/>
  <c r="T48" i="17"/>
  <c r="T54" i="17" s="1"/>
  <c r="T45" i="17"/>
  <c r="S46" i="17"/>
  <c r="S50" i="17" s="1"/>
  <c r="S45" i="17"/>
  <c r="S48" i="17"/>
  <c r="S54" i="17" s="1"/>
  <c r="R48" i="17"/>
  <c r="R54" i="17" s="1"/>
  <c r="R45" i="17"/>
  <c r="R46" i="17"/>
  <c r="R50" i="17" s="1"/>
  <c r="Q45" i="17"/>
  <c r="Q46" i="17"/>
  <c r="Q50" i="17" s="1"/>
  <c r="Q48" i="17"/>
  <c r="Q54" i="17" s="1"/>
  <c r="P45" i="17"/>
  <c r="P48" i="17"/>
  <c r="P54" i="17" s="1"/>
  <c r="P46" i="17"/>
  <c r="P50" i="17" s="1"/>
  <c r="O45" i="17"/>
  <c r="O48" i="17"/>
  <c r="O54" i="17" s="1"/>
  <c r="O46" i="17"/>
  <c r="O50" i="17" s="1"/>
  <c r="N46" i="17"/>
  <c r="N50" i="17" s="1"/>
  <c r="N45" i="17"/>
  <c r="N48" i="17"/>
  <c r="N54" i="17" s="1"/>
  <c r="M45" i="17"/>
  <c r="M46" i="17"/>
  <c r="M50" i="17" s="1"/>
  <c r="M48" i="17"/>
  <c r="M54" i="17" s="1"/>
  <c r="L46" i="17"/>
  <c r="L50" i="17" s="1"/>
  <c r="L48" i="17"/>
  <c r="L54" i="17" s="1"/>
  <c r="L45" i="17"/>
  <c r="K48" i="17"/>
  <c r="K54" i="17" s="1"/>
  <c r="K46" i="17"/>
  <c r="K50" i="17" s="1"/>
  <c r="K45" i="17"/>
  <c r="J46" i="17"/>
  <c r="J50" i="17" s="1"/>
  <c r="J45" i="17"/>
  <c r="J48" i="17"/>
  <c r="J54" i="17" s="1"/>
  <c r="I46" i="17"/>
  <c r="I50" i="17" s="1"/>
  <c r="I48" i="17"/>
  <c r="I54" i="17" s="1"/>
  <c r="I45" i="17"/>
  <c r="H48" i="17"/>
  <c r="H54" i="17" s="1"/>
  <c r="H46" i="17"/>
  <c r="H50" i="17" s="1"/>
  <c r="H45" i="17"/>
  <c r="G48" i="17"/>
  <c r="G54" i="17" s="1"/>
  <c r="G45" i="17"/>
  <c r="G46" i="17"/>
  <c r="G50" i="17" s="1"/>
  <c r="F46" i="17"/>
  <c r="F50" i="17" s="1"/>
  <c r="F48" i="17"/>
  <c r="F54" i="17" s="1"/>
  <c r="F45" i="17"/>
  <c r="E46" i="17"/>
  <c r="E50" i="17" s="1"/>
  <c r="E45" i="17"/>
  <c r="E48" i="17"/>
  <c r="E54" i="17" s="1"/>
  <c r="D46" i="17"/>
  <c r="D50" i="17" s="1"/>
  <c r="D48" i="17"/>
  <c r="D54" i="17" s="1"/>
  <c r="D45" i="17"/>
  <c r="C45" i="17"/>
  <c r="C47" i="17" s="1"/>
  <c r="C48" i="17"/>
  <c r="C54" i="17" s="1"/>
  <c r="C50" i="17"/>
  <c r="C59" i="17"/>
  <c r="C58" i="17"/>
  <c r="AA19" i="16"/>
  <c r="C13" i="16"/>
  <c r="C19" i="16" s="1"/>
  <c r="C29" i="16"/>
  <c r="C44" i="16"/>
  <c r="AL59" i="16"/>
  <c r="AL58" i="16"/>
  <c r="AL55" i="16"/>
  <c r="AL57" i="16"/>
  <c r="AK59" i="16"/>
  <c r="AK57" i="16"/>
  <c r="AK58" i="16"/>
  <c r="AK55" i="16"/>
  <c r="AJ59" i="16"/>
  <c r="AJ58" i="16"/>
  <c r="AJ55" i="16"/>
  <c r="AJ57" i="16"/>
  <c r="AI59" i="16"/>
  <c r="AI58" i="16"/>
  <c r="AI55" i="16"/>
  <c r="AI57" i="16"/>
  <c r="AH59" i="16"/>
  <c r="AH58" i="16"/>
  <c r="AH55" i="16"/>
  <c r="AH57" i="16"/>
  <c r="AG59" i="16"/>
  <c r="AG57" i="16"/>
  <c r="AG58" i="16"/>
  <c r="AG55" i="16"/>
  <c r="AF55" i="16"/>
  <c r="AF57" i="16"/>
  <c r="AF59" i="16"/>
  <c r="AF58" i="16"/>
  <c r="AE59" i="16"/>
  <c r="AE57" i="16"/>
  <c r="AE58" i="16"/>
  <c r="AE55" i="16"/>
  <c r="AD57" i="16"/>
  <c r="AD55" i="16"/>
  <c r="AD59" i="16"/>
  <c r="AD58" i="16"/>
  <c r="AC57" i="16"/>
  <c r="AC55" i="16"/>
  <c r="AC59" i="16"/>
  <c r="AC58" i="16"/>
  <c r="AB57" i="16"/>
  <c r="AB59" i="16"/>
  <c r="AB58" i="16"/>
  <c r="AB55" i="16"/>
  <c r="AA57" i="16"/>
  <c r="AA59" i="16"/>
  <c r="AA55" i="16"/>
  <c r="AA58" i="16"/>
  <c r="Z55" i="16"/>
  <c r="Z59" i="16"/>
  <c r="Z58" i="16"/>
  <c r="Z57" i="16"/>
  <c r="Y59" i="16"/>
  <c r="Y55" i="16"/>
  <c r="Y58" i="16"/>
  <c r="Y57" i="16"/>
  <c r="X58" i="16"/>
  <c r="X55" i="16"/>
  <c r="X59" i="16"/>
  <c r="X57" i="16"/>
  <c r="W58" i="16"/>
  <c r="W57" i="16"/>
  <c r="W55" i="16"/>
  <c r="W59" i="16"/>
  <c r="V55" i="16"/>
  <c r="V57" i="16"/>
  <c r="V58" i="16"/>
  <c r="V59" i="16"/>
  <c r="U57" i="16"/>
  <c r="U59" i="16"/>
  <c r="U58" i="16"/>
  <c r="U55" i="16"/>
  <c r="T57" i="16"/>
  <c r="T58" i="16"/>
  <c r="T59" i="16"/>
  <c r="T55" i="16"/>
  <c r="S55" i="16"/>
  <c r="S57" i="16"/>
  <c r="S59" i="16"/>
  <c r="S58" i="16"/>
  <c r="R58" i="16"/>
  <c r="R57" i="16"/>
  <c r="R55" i="16"/>
  <c r="R59" i="16"/>
  <c r="Q55" i="16"/>
  <c r="Q59" i="16"/>
  <c r="Q57" i="16"/>
  <c r="Q58" i="16"/>
  <c r="P55" i="16"/>
  <c r="P57" i="16"/>
  <c r="P58" i="16"/>
  <c r="P59" i="16"/>
  <c r="O59" i="16"/>
  <c r="O57" i="16"/>
  <c r="O58" i="16"/>
  <c r="O55" i="16"/>
  <c r="N58" i="16"/>
  <c r="N57" i="16"/>
  <c r="N59" i="16"/>
  <c r="N55" i="16"/>
  <c r="M59" i="16"/>
  <c r="M58" i="16"/>
  <c r="M55" i="16"/>
  <c r="M57" i="16"/>
  <c r="L59" i="16"/>
  <c r="L57" i="16"/>
  <c r="L58" i="16"/>
  <c r="L55" i="16"/>
  <c r="K59" i="16"/>
  <c r="K55" i="16"/>
  <c r="K57" i="16"/>
  <c r="K58" i="16"/>
  <c r="J59" i="16"/>
  <c r="J58" i="16"/>
  <c r="J55" i="16"/>
  <c r="J57" i="16"/>
  <c r="I59" i="16"/>
  <c r="I57" i="16"/>
  <c r="I58" i="16"/>
  <c r="I55" i="16"/>
  <c r="H59" i="16"/>
  <c r="H58" i="16"/>
  <c r="H57" i="16"/>
  <c r="H55" i="16"/>
  <c r="G55" i="16"/>
  <c r="G58" i="16"/>
  <c r="G57" i="16"/>
  <c r="G59" i="16"/>
  <c r="F59" i="16"/>
  <c r="F58" i="16"/>
  <c r="F57" i="16"/>
  <c r="F55" i="16"/>
  <c r="E59" i="16"/>
  <c r="E57" i="16"/>
  <c r="E58" i="16"/>
  <c r="E55" i="16"/>
  <c r="D59" i="16"/>
  <c r="D57" i="16"/>
  <c r="D58" i="16"/>
  <c r="D55" i="16"/>
  <c r="AL48" i="16"/>
  <c r="AL54" i="16" s="1"/>
  <c r="AL45" i="16"/>
  <c r="AL46" i="16"/>
  <c r="AL50" i="16" s="1"/>
  <c r="AK48" i="16"/>
  <c r="AK54" i="16" s="1"/>
  <c r="AK46" i="16"/>
  <c r="AK50" i="16" s="1"/>
  <c r="AK45" i="16"/>
  <c r="AJ48" i="16"/>
  <c r="AJ54" i="16" s="1"/>
  <c r="AJ45" i="16"/>
  <c r="AJ46" i="16"/>
  <c r="AJ50" i="16" s="1"/>
  <c r="AI48" i="16"/>
  <c r="AI54" i="16" s="1"/>
  <c r="AI46" i="16"/>
  <c r="AI50" i="16" s="1"/>
  <c r="AI45" i="16"/>
  <c r="AH48" i="16"/>
  <c r="AH54" i="16" s="1"/>
  <c r="AH46" i="16"/>
  <c r="AH50" i="16" s="1"/>
  <c r="AH45" i="16"/>
  <c r="AG48" i="16"/>
  <c r="AG54" i="16" s="1"/>
  <c r="AG46" i="16"/>
  <c r="AG50" i="16" s="1"/>
  <c r="AG45" i="16"/>
  <c r="AF48" i="16"/>
  <c r="AF54" i="16" s="1"/>
  <c r="AF46" i="16"/>
  <c r="AF50" i="16" s="1"/>
  <c r="AF45" i="16"/>
  <c r="AE46" i="16"/>
  <c r="AE50" i="16" s="1"/>
  <c r="AE48" i="16"/>
  <c r="AE54" i="16" s="1"/>
  <c r="AE45" i="16"/>
  <c r="AD45" i="16"/>
  <c r="AD46" i="16"/>
  <c r="AD50" i="16" s="1"/>
  <c r="AD48" i="16"/>
  <c r="AD54" i="16" s="1"/>
  <c r="AC48" i="16"/>
  <c r="AC54" i="16" s="1"/>
  <c r="AC46" i="16"/>
  <c r="AC50" i="16" s="1"/>
  <c r="AC45" i="16"/>
  <c r="AB45" i="16"/>
  <c r="AB46" i="16"/>
  <c r="AB50" i="16" s="1"/>
  <c r="AB48" i="16"/>
  <c r="AB54" i="16" s="1"/>
  <c r="AA46" i="16"/>
  <c r="AA50" i="16" s="1"/>
  <c r="AA45" i="16"/>
  <c r="AA48" i="16"/>
  <c r="AA54" i="16" s="1"/>
  <c r="Z45" i="16"/>
  <c r="Z46" i="16"/>
  <c r="Z50" i="16" s="1"/>
  <c r="Z48" i="16"/>
  <c r="Z54" i="16" s="1"/>
  <c r="Y48" i="16"/>
  <c r="Y54" i="16" s="1"/>
  <c r="Y46" i="16"/>
  <c r="Y50" i="16" s="1"/>
  <c r="Y45" i="16"/>
  <c r="X45" i="16"/>
  <c r="X46" i="16"/>
  <c r="X50" i="16" s="1"/>
  <c r="X48" i="16"/>
  <c r="X54" i="16" s="1"/>
  <c r="W48" i="16"/>
  <c r="W54" i="16" s="1"/>
  <c r="W45" i="16"/>
  <c r="W46" i="16"/>
  <c r="W50" i="16" s="1"/>
  <c r="V48" i="16"/>
  <c r="V54" i="16" s="1"/>
  <c r="V46" i="16"/>
  <c r="V50" i="16" s="1"/>
  <c r="V45" i="16"/>
  <c r="U45" i="16"/>
  <c r="U48" i="16"/>
  <c r="U54" i="16" s="1"/>
  <c r="U46" i="16"/>
  <c r="U50" i="16" s="1"/>
  <c r="T45" i="16"/>
  <c r="T46" i="16"/>
  <c r="T50" i="16" s="1"/>
  <c r="T48" i="16"/>
  <c r="T54" i="16" s="1"/>
  <c r="S48" i="16"/>
  <c r="S54" i="16" s="1"/>
  <c r="S46" i="16"/>
  <c r="S50" i="16" s="1"/>
  <c r="S45" i="16"/>
  <c r="R46" i="16"/>
  <c r="R50" i="16" s="1"/>
  <c r="R45" i="16"/>
  <c r="R48" i="16"/>
  <c r="R54" i="16" s="1"/>
  <c r="Q46" i="16"/>
  <c r="Q50" i="16" s="1"/>
  <c r="Q45" i="16"/>
  <c r="Q48" i="16"/>
  <c r="Q54" i="16" s="1"/>
  <c r="P48" i="16"/>
  <c r="P54" i="16" s="1"/>
  <c r="P46" i="16"/>
  <c r="P50" i="16" s="1"/>
  <c r="P45" i="16"/>
  <c r="O46" i="16"/>
  <c r="O50" i="16" s="1"/>
  <c r="O48" i="16"/>
  <c r="O54" i="16" s="1"/>
  <c r="O45" i="16"/>
  <c r="N46" i="16"/>
  <c r="N50" i="16" s="1"/>
  <c r="N45" i="16"/>
  <c r="N48" i="16"/>
  <c r="N54" i="16" s="1"/>
  <c r="M46" i="16"/>
  <c r="M50" i="16" s="1"/>
  <c r="M45" i="16"/>
  <c r="M48" i="16"/>
  <c r="M54" i="16" s="1"/>
  <c r="L46" i="16"/>
  <c r="L50" i="16" s="1"/>
  <c r="L48" i="16"/>
  <c r="L54" i="16" s="1"/>
  <c r="L45" i="16"/>
  <c r="K46" i="16"/>
  <c r="K50" i="16" s="1"/>
  <c r="K45" i="16"/>
  <c r="K48" i="16"/>
  <c r="K54" i="16" s="1"/>
  <c r="J45" i="16"/>
  <c r="J46" i="16"/>
  <c r="J50" i="16" s="1"/>
  <c r="J48" i="16"/>
  <c r="J54" i="16" s="1"/>
  <c r="I46" i="16"/>
  <c r="I50" i="16" s="1"/>
  <c r="I45" i="16"/>
  <c r="I48" i="16"/>
  <c r="I54" i="16" s="1"/>
  <c r="H46" i="16"/>
  <c r="H50" i="16" s="1"/>
  <c r="H45" i="16"/>
  <c r="H48" i="16"/>
  <c r="H54" i="16" s="1"/>
  <c r="G48" i="16"/>
  <c r="G54" i="16" s="1"/>
  <c r="G46" i="16"/>
  <c r="G50" i="16" s="1"/>
  <c r="G45" i="16"/>
  <c r="F48" i="16"/>
  <c r="F54" i="16" s="1"/>
  <c r="F46" i="16"/>
  <c r="F50" i="16" s="1"/>
  <c r="F45" i="16"/>
  <c r="E46" i="16"/>
  <c r="E50" i="16" s="1"/>
  <c r="E45" i="16"/>
  <c r="E48" i="16"/>
  <c r="E54" i="16" s="1"/>
  <c r="D46" i="16"/>
  <c r="D50" i="16" s="1"/>
  <c r="D45" i="16"/>
  <c r="D48" i="16"/>
  <c r="D54" i="16" s="1"/>
  <c r="C19" i="15"/>
  <c r="C29" i="15"/>
  <c r="C44" i="15"/>
  <c r="C57" i="15" s="1"/>
  <c r="BC59" i="15"/>
  <c r="BC55" i="15"/>
  <c r="BC57" i="15"/>
  <c r="BC58" i="15"/>
  <c r="BB59" i="15"/>
  <c r="BB58" i="15"/>
  <c r="BB55" i="15"/>
  <c r="BB57" i="15"/>
  <c r="BA59" i="15"/>
  <c r="BA57" i="15"/>
  <c r="BA58" i="15"/>
  <c r="BA55" i="15"/>
  <c r="AZ59" i="15"/>
  <c r="AZ57" i="15"/>
  <c r="AZ58" i="15"/>
  <c r="AZ55" i="15"/>
  <c r="AY59" i="15"/>
  <c r="AY57" i="15"/>
  <c r="AY58" i="15"/>
  <c r="AY55" i="15"/>
  <c r="AX59" i="15"/>
  <c r="AX55" i="15"/>
  <c r="AX57" i="15"/>
  <c r="AX58" i="15"/>
  <c r="AW59" i="15"/>
  <c r="AW57" i="15"/>
  <c r="AW58" i="15"/>
  <c r="AW55" i="15"/>
  <c r="AV59" i="15"/>
  <c r="AV57" i="15"/>
  <c r="AV55" i="15"/>
  <c r="AV58" i="15"/>
  <c r="AU59" i="15"/>
  <c r="AU58" i="15"/>
  <c r="AU57" i="15"/>
  <c r="AU55" i="15"/>
  <c r="AT58" i="15"/>
  <c r="AT55" i="15"/>
  <c r="AT57" i="15"/>
  <c r="AT59" i="15"/>
  <c r="AS59" i="15"/>
  <c r="AS55" i="15"/>
  <c r="AS57" i="15"/>
  <c r="AS58" i="15"/>
  <c r="AR59" i="15"/>
  <c r="AR55" i="15"/>
  <c r="AR57" i="15"/>
  <c r="AR58" i="15"/>
  <c r="AQ59" i="15"/>
  <c r="AQ55" i="15"/>
  <c r="AQ57" i="15"/>
  <c r="AQ58" i="15"/>
  <c r="AP59" i="15"/>
  <c r="AP55" i="15"/>
  <c r="AP57" i="15"/>
  <c r="AP58" i="15"/>
  <c r="AO59" i="15"/>
  <c r="AO55" i="15"/>
  <c r="AO58" i="15"/>
  <c r="AO57" i="15"/>
  <c r="AN55" i="15"/>
  <c r="AN57" i="15"/>
  <c r="AN59" i="15"/>
  <c r="AN58" i="15"/>
  <c r="AM55" i="15"/>
  <c r="AM57" i="15"/>
  <c r="AM59" i="15"/>
  <c r="AM58" i="15"/>
  <c r="AL55" i="15"/>
  <c r="AL57" i="15"/>
  <c r="AL59" i="15"/>
  <c r="AL58" i="15"/>
  <c r="AK57" i="15"/>
  <c r="AK58" i="15"/>
  <c r="AK59" i="15"/>
  <c r="AK55" i="15"/>
  <c r="AJ59" i="15"/>
  <c r="AJ55" i="15"/>
  <c r="AJ57" i="15"/>
  <c r="AJ58" i="15"/>
  <c r="AI57" i="15"/>
  <c r="AI55" i="15"/>
  <c r="AI59" i="15"/>
  <c r="AI58" i="15"/>
  <c r="AH57" i="15"/>
  <c r="AH59" i="15"/>
  <c r="AH58" i="15"/>
  <c r="AH55" i="15"/>
  <c r="AG57" i="15"/>
  <c r="AG58" i="15"/>
  <c r="AG59" i="15"/>
  <c r="AG55" i="15"/>
  <c r="AF58" i="15"/>
  <c r="AF59" i="15"/>
  <c r="AF55" i="15"/>
  <c r="AF57" i="15"/>
  <c r="AE58" i="15"/>
  <c r="AE59" i="15"/>
  <c r="AE55" i="15"/>
  <c r="AE57" i="15"/>
  <c r="AD58" i="15"/>
  <c r="AD59" i="15"/>
  <c r="AD57" i="15"/>
  <c r="AD55" i="15"/>
  <c r="AC58" i="15"/>
  <c r="AC55" i="15"/>
  <c r="AC57" i="15"/>
  <c r="AC59" i="15"/>
  <c r="AB58" i="15"/>
  <c r="AB55" i="15"/>
  <c r="AB59" i="15"/>
  <c r="AB57" i="15"/>
  <c r="AA58" i="15"/>
  <c r="AA55" i="15"/>
  <c r="AA59" i="15"/>
  <c r="AA57" i="15"/>
  <c r="Z58" i="15"/>
  <c r="Z55" i="15"/>
  <c r="Z57" i="15"/>
  <c r="Z59" i="15"/>
  <c r="Y58" i="15"/>
  <c r="Y55" i="15"/>
  <c r="Y59" i="15"/>
  <c r="Y57" i="15"/>
  <c r="X57" i="15"/>
  <c r="X58" i="15"/>
  <c r="X59" i="15"/>
  <c r="X55" i="15"/>
  <c r="W59" i="15"/>
  <c r="W55" i="15"/>
  <c r="W57" i="15"/>
  <c r="W58" i="15"/>
  <c r="V58" i="15"/>
  <c r="V55" i="15"/>
  <c r="V59" i="15"/>
  <c r="V57" i="15"/>
  <c r="U55" i="15"/>
  <c r="U59" i="15"/>
  <c r="U57" i="15"/>
  <c r="U58" i="15"/>
  <c r="T55" i="15"/>
  <c r="T59" i="15"/>
  <c r="T57" i="15"/>
  <c r="T58" i="15"/>
  <c r="S59" i="15"/>
  <c r="S58" i="15"/>
  <c r="S57" i="15"/>
  <c r="S55" i="15"/>
  <c r="R59" i="15"/>
  <c r="R57" i="15"/>
  <c r="R55" i="15"/>
  <c r="R58" i="15"/>
  <c r="Q59" i="15"/>
  <c r="Q55" i="15"/>
  <c r="Q57" i="15"/>
  <c r="Q58" i="15"/>
  <c r="P59" i="15"/>
  <c r="P58" i="15"/>
  <c r="P55" i="15"/>
  <c r="P57" i="15"/>
  <c r="O59" i="15"/>
  <c r="O58" i="15"/>
  <c r="O55" i="15"/>
  <c r="O57" i="15"/>
  <c r="N59" i="15"/>
  <c r="N57" i="15"/>
  <c r="N58" i="15"/>
  <c r="N55" i="15"/>
  <c r="M59" i="15"/>
  <c r="M57" i="15"/>
  <c r="M58" i="15"/>
  <c r="M55" i="15"/>
  <c r="L55" i="15"/>
  <c r="L58" i="15"/>
  <c r="L59" i="15"/>
  <c r="L57" i="15"/>
  <c r="K59" i="15"/>
  <c r="K58" i="15"/>
  <c r="K55" i="15"/>
  <c r="K57" i="15"/>
  <c r="J59" i="15"/>
  <c r="J55" i="15"/>
  <c r="J58" i="15"/>
  <c r="J57" i="15"/>
  <c r="I59" i="15"/>
  <c r="I55" i="15"/>
  <c r="I57" i="15"/>
  <c r="I58" i="15"/>
  <c r="H59" i="15"/>
  <c r="H58" i="15"/>
  <c r="H57" i="15"/>
  <c r="H55" i="15"/>
  <c r="G59" i="15"/>
  <c r="G58" i="15"/>
  <c r="G57" i="15"/>
  <c r="G55" i="15"/>
  <c r="F55" i="15"/>
  <c r="F58" i="15"/>
  <c r="F59" i="15"/>
  <c r="F57" i="15"/>
  <c r="E58" i="15"/>
  <c r="E59" i="15"/>
  <c r="E57" i="15"/>
  <c r="E55" i="15"/>
  <c r="D59" i="15"/>
  <c r="D57" i="15"/>
  <c r="D58" i="15"/>
  <c r="D55" i="15"/>
  <c r="BC48" i="15"/>
  <c r="BC54" i="15" s="1"/>
  <c r="BC46" i="15"/>
  <c r="BC50" i="15" s="1"/>
  <c r="BC45" i="15"/>
  <c r="BB48" i="15"/>
  <c r="BB54" i="15" s="1"/>
  <c r="BB46" i="15"/>
  <c r="BB50" i="15" s="1"/>
  <c r="BB45" i="15"/>
  <c r="BA48" i="15"/>
  <c r="BA54" i="15" s="1"/>
  <c r="BA45" i="15"/>
  <c r="BA46" i="15"/>
  <c r="BA50" i="15" s="1"/>
  <c r="AZ45" i="15"/>
  <c r="AZ48" i="15"/>
  <c r="AZ54" i="15" s="1"/>
  <c r="AZ46" i="15"/>
  <c r="AZ50" i="15" s="1"/>
  <c r="AY48" i="15"/>
  <c r="AY54" i="15" s="1"/>
  <c r="AY45" i="15"/>
  <c r="AY46" i="15"/>
  <c r="AY50" i="15" s="1"/>
  <c r="AX48" i="15"/>
  <c r="AX54" i="15" s="1"/>
  <c r="AX46" i="15"/>
  <c r="AX50" i="15" s="1"/>
  <c r="AX45" i="15"/>
  <c r="AW46" i="15"/>
  <c r="AW50" i="15" s="1"/>
  <c r="AW45" i="15"/>
  <c r="AW48" i="15"/>
  <c r="AW54" i="15" s="1"/>
  <c r="AV46" i="15"/>
  <c r="AV50" i="15" s="1"/>
  <c r="AV48" i="15"/>
  <c r="AV54" i="15" s="1"/>
  <c r="AV45" i="15"/>
  <c r="AT45" i="15"/>
  <c r="AT48" i="15"/>
  <c r="AT54" i="15" s="1"/>
  <c r="AT46" i="15"/>
  <c r="AT50" i="15" s="1"/>
  <c r="AS48" i="15"/>
  <c r="AS54" i="15" s="1"/>
  <c r="AS46" i="15"/>
  <c r="AS50" i="15" s="1"/>
  <c r="AS45" i="15"/>
  <c r="AR48" i="15"/>
  <c r="AR54" i="15" s="1"/>
  <c r="AR46" i="15"/>
  <c r="AR50" i="15" s="1"/>
  <c r="AR45" i="15"/>
  <c r="AQ48" i="15"/>
  <c r="AQ54" i="15" s="1"/>
  <c r="AQ46" i="15"/>
  <c r="AQ50" i="15" s="1"/>
  <c r="AQ45" i="15"/>
  <c r="AP46" i="15"/>
  <c r="AP50" i="15" s="1"/>
  <c r="AP48" i="15"/>
  <c r="AP54" i="15" s="1"/>
  <c r="AP45" i="15"/>
  <c r="AO48" i="15"/>
  <c r="AO54" i="15" s="1"/>
  <c r="AO45" i="15"/>
  <c r="AO46" i="15"/>
  <c r="AO50" i="15" s="1"/>
  <c r="AN46" i="15"/>
  <c r="AN50" i="15" s="1"/>
  <c r="AN45" i="15"/>
  <c r="AN48" i="15"/>
  <c r="AN54" i="15" s="1"/>
  <c r="AM48" i="15"/>
  <c r="AM54" i="15" s="1"/>
  <c r="AM46" i="15"/>
  <c r="AM50" i="15" s="1"/>
  <c r="AM45" i="15"/>
  <c r="AL45" i="15"/>
  <c r="AL46" i="15"/>
  <c r="AL50" i="15" s="1"/>
  <c r="AL48" i="15"/>
  <c r="AL54" i="15" s="1"/>
  <c r="AK48" i="15"/>
  <c r="AK54" i="15" s="1"/>
  <c r="AK45" i="15"/>
  <c r="AK46" i="15"/>
  <c r="AK50" i="15" s="1"/>
  <c r="AJ45" i="15"/>
  <c r="AJ46" i="15"/>
  <c r="AJ50" i="15" s="1"/>
  <c r="AJ48" i="15"/>
  <c r="AJ54" i="15" s="1"/>
  <c r="AI48" i="15"/>
  <c r="AI54" i="15" s="1"/>
  <c r="AI46" i="15"/>
  <c r="AI50" i="15" s="1"/>
  <c r="AI45" i="15"/>
  <c r="AH45" i="15"/>
  <c r="AH46" i="15"/>
  <c r="AH50" i="15" s="1"/>
  <c r="AH48" i="15"/>
  <c r="AH54" i="15" s="1"/>
  <c r="AG48" i="15"/>
  <c r="AG54" i="15" s="1"/>
  <c r="AG45" i="15"/>
  <c r="AG46" i="15"/>
  <c r="AG50" i="15" s="1"/>
  <c r="AF45" i="15"/>
  <c r="AF46" i="15"/>
  <c r="AF50" i="15" s="1"/>
  <c r="AF48" i="15"/>
  <c r="AF54" i="15" s="1"/>
  <c r="AE48" i="15"/>
  <c r="AE54" i="15" s="1"/>
  <c r="AE46" i="15"/>
  <c r="AE50" i="15" s="1"/>
  <c r="AE45" i="15"/>
  <c r="AD48" i="15"/>
  <c r="AD54" i="15" s="1"/>
  <c r="AD46" i="15"/>
  <c r="AD50" i="15" s="1"/>
  <c r="AD45" i="15"/>
  <c r="AC48" i="15"/>
  <c r="AC54" i="15" s="1"/>
  <c r="AC45" i="15"/>
  <c r="AC46" i="15"/>
  <c r="AC50" i="15" s="1"/>
  <c r="AB48" i="15"/>
  <c r="AB54" i="15" s="1"/>
  <c r="AB46" i="15"/>
  <c r="AB50" i="15" s="1"/>
  <c r="AB45" i="15"/>
  <c r="AA48" i="15"/>
  <c r="AA54" i="15" s="1"/>
  <c r="AA45" i="15"/>
  <c r="AA46" i="15"/>
  <c r="AA50" i="15" s="1"/>
  <c r="Z46" i="15"/>
  <c r="Z50" i="15" s="1"/>
  <c r="Z45" i="15"/>
  <c r="Z48" i="15"/>
  <c r="Z54" i="15" s="1"/>
  <c r="Y45" i="15"/>
  <c r="Y46" i="15"/>
  <c r="Y50" i="15" s="1"/>
  <c r="Y48" i="15"/>
  <c r="Y54" i="15" s="1"/>
  <c r="X46" i="15"/>
  <c r="X50" i="15" s="1"/>
  <c r="X48" i="15"/>
  <c r="X54" i="15" s="1"/>
  <c r="X45" i="15"/>
  <c r="W45" i="15"/>
  <c r="W46" i="15"/>
  <c r="W50" i="15" s="1"/>
  <c r="W48" i="15"/>
  <c r="W54" i="15" s="1"/>
  <c r="V46" i="15"/>
  <c r="V50" i="15" s="1"/>
  <c r="V45" i="15"/>
  <c r="V48" i="15"/>
  <c r="V54" i="15" s="1"/>
  <c r="U45" i="15"/>
  <c r="U46" i="15"/>
  <c r="U50" i="15" s="1"/>
  <c r="U48" i="15"/>
  <c r="U54" i="15" s="1"/>
  <c r="T46" i="15"/>
  <c r="T50" i="15" s="1"/>
  <c r="T48" i="15"/>
  <c r="T54" i="15" s="1"/>
  <c r="T45" i="15"/>
  <c r="S45" i="15"/>
  <c r="S48" i="15"/>
  <c r="S54" i="15" s="1"/>
  <c r="S46" i="15"/>
  <c r="S50" i="15" s="1"/>
  <c r="R45" i="15"/>
  <c r="R46" i="15"/>
  <c r="R50" i="15" s="1"/>
  <c r="R48" i="15"/>
  <c r="R54" i="15" s="1"/>
  <c r="Q46" i="15"/>
  <c r="Q50" i="15" s="1"/>
  <c r="Q45" i="15"/>
  <c r="Q48" i="15"/>
  <c r="Q54" i="15" s="1"/>
  <c r="P46" i="15"/>
  <c r="P50" i="15" s="1"/>
  <c r="P45" i="15"/>
  <c r="P48" i="15"/>
  <c r="P54" i="15" s="1"/>
  <c r="O48" i="15"/>
  <c r="O54" i="15" s="1"/>
  <c r="O46" i="15"/>
  <c r="O50" i="15" s="1"/>
  <c r="O45" i="15"/>
  <c r="N46" i="15"/>
  <c r="N50" i="15" s="1"/>
  <c r="N48" i="15"/>
  <c r="N54" i="15" s="1"/>
  <c r="N45" i="15"/>
  <c r="M48" i="15"/>
  <c r="M54" i="15" s="1"/>
  <c r="M46" i="15"/>
  <c r="M50" i="15" s="1"/>
  <c r="M45" i="15"/>
  <c r="L46" i="15"/>
  <c r="L50" i="15" s="1"/>
  <c r="L48" i="15"/>
  <c r="L54" i="15" s="1"/>
  <c r="L45" i="15"/>
  <c r="K48" i="15"/>
  <c r="K54" i="15" s="1"/>
  <c r="K46" i="15"/>
  <c r="K50" i="15" s="1"/>
  <c r="K45" i="15"/>
  <c r="J46" i="15"/>
  <c r="J50" i="15" s="1"/>
  <c r="J48" i="15"/>
  <c r="J54" i="15" s="1"/>
  <c r="J45" i="15"/>
  <c r="I46" i="15"/>
  <c r="I50" i="15" s="1"/>
  <c r="I48" i="15"/>
  <c r="I54" i="15" s="1"/>
  <c r="I45" i="15"/>
  <c r="H46" i="15"/>
  <c r="H50" i="15" s="1"/>
  <c r="H48" i="15"/>
  <c r="H54" i="15" s="1"/>
  <c r="H45" i="15"/>
  <c r="G48" i="15"/>
  <c r="G54" i="15" s="1"/>
  <c r="G45" i="15"/>
  <c r="G46" i="15"/>
  <c r="G50" i="15" s="1"/>
  <c r="E48" i="15"/>
  <c r="E54" i="15" s="1"/>
  <c r="E46" i="15"/>
  <c r="E50" i="15" s="1"/>
  <c r="E45" i="15"/>
  <c r="D48" i="15"/>
  <c r="D54" i="15" s="1"/>
  <c r="D46" i="15"/>
  <c r="D50" i="15" s="1"/>
  <c r="D45" i="15"/>
  <c r="AU45" i="15"/>
  <c r="AU46" i="15"/>
  <c r="AU50" i="15" s="1"/>
  <c r="AU48" i="15"/>
  <c r="AU54" i="15" s="1"/>
  <c r="F45" i="15"/>
  <c r="F46" i="15"/>
  <c r="F50" i="15" s="1"/>
  <c r="F48" i="15"/>
  <c r="F54" i="15" s="1"/>
  <c r="D53" i="14"/>
  <c r="C3" i="14"/>
  <c r="C54" i="14" s="1"/>
  <c r="D44" i="14"/>
  <c r="D46" i="14" s="1"/>
  <c r="D59" i="14" s="1"/>
  <c r="F44" i="14"/>
  <c r="F55" i="14" s="1"/>
  <c r="C28" i="14"/>
  <c r="D48" i="14"/>
  <c r="D50" i="14"/>
  <c r="C58" i="14"/>
  <c r="C56" i="14"/>
  <c r="C57" i="14"/>
  <c r="D45" i="14"/>
  <c r="D49" i="14" s="1"/>
  <c r="E46" i="14"/>
  <c r="F46" i="14"/>
  <c r="E45" i="14"/>
  <c r="E49" i="14" s="1"/>
  <c r="F45" i="14"/>
  <c r="F49" i="14" s="1"/>
  <c r="F28" i="12"/>
  <c r="F44" i="12" s="1"/>
  <c r="E43" i="12"/>
  <c r="C11" i="12"/>
  <c r="C18" i="12" s="1"/>
  <c r="E53" i="12"/>
  <c r="E54" i="12"/>
  <c r="C43" i="12"/>
  <c r="C54" i="12" s="1"/>
  <c r="D43" i="12"/>
  <c r="D56" i="12" s="1"/>
  <c r="C28" i="12"/>
  <c r="D28" i="12"/>
  <c r="D45" i="12" s="1"/>
  <c r="D49" i="12" s="1"/>
  <c r="F54" i="12"/>
  <c r="F56" i="12"/>
  <c r="F58" i="12"/>
  <c r="E45" i="12"/>
  <c r="E49" i="12" s="1"/>
  <c r="C34" i="11"/>
  <c r="C44" i="11" s="1"/>
  <c r="C29" i="11"/>
  <c r="C19" i="11"/>
  <c r="C4" i="11"/>
  <c r="AX53" i="20" l="1"/>
  <c r="AU47" i="20"/>
  <c r="K47" i="20"/>
  <c r="K49" i="20" s="1"/>
  <c r="K53" i="20"/>
  <c r="C57" i="20"/>
  <c r="C58" i="20"/>
  <c r="C55" i="20"/>
  <c r="C45" i="20"/>
  <c r="C47" i="20" s="1"/>
  <c r="C49" i="20" s="1"/>
  <c r="C48" i="20"/>
  <c r="C54" i="20" s="1"/>
  <c r="C46" i="20"/>
  <c r="C50" i="20" s="1"/>
  <c r="R53" i="20"/>
  <c r="AI53" i="20"/>
  <c r="AI56" i="20"/>
  <c r="AI47" i="20"/>
  <c r="F53" i="20"/>
  <c r="F47" i="20"/>
  <c r="F56" i="20"/>
  <c r="T53" i="20"/>
  <c r="T56" i="20"/>
  <c r="T47" i="20"/>
  <c r="K51" i="20"/>
  <c r="AP51" i="20"/>
  <c r="AP52" i="20"/>
  <c r="AP49" i="20"/>
  <c r="AU53" i="20"/>
  <c r="AA53" i="20"/>
  <c r="AA56" i="20"/>
  <c r="AA47" i="20"/>
  <c r="AF53" i="20"/>
  <c r="AF56" i="20"/>
  <c r="AF47" i="20"/>
  <c r="O53" i="20"/>
  <c r="O56" i="20"/>
  <c r="O47" i="20"/>
  <c r="AS56" i="20"/>
  <c r="AS47" i="20"/>
  <c r="AS53" i="20"/>
  <c r="L53" i="20"/>
  <c r="L56" i="20"/>
  <c r="L47" i="20"/>
  <c r="R51" i="20"/>
  <c r="R52" i="20"/>
  <c r="R49" i="20"/>
  <c r="AM53" i="20"/>
  <c r="AM47" i="20"/>
  <c r="AM56" i="20"/>
  <c r="BA56" i="20"/>
  <c r="BA47" i="20"/>
  <c r="BA53" i="20"/>
  <c r="S53" i="20"/>
  <c r="S56" i="20"/>
  <c r="S47" i="20"/>
  <c r="P53" i="20"/>
  <c r="P56" i="20"/>
  <c r="P47" i="20"/>
  <c r="AW47" i="20"/>
  <c r="AW56" i="20"/>
  <c r="AW53" i="20"/>
  <c r="AK56" i="20"/>
  <c r="AK47" i="20"/>
  <c r="AK53" i="20"/>
  <c r="D53" i="20"/>
  <c r="D56" i="20"/>
  <c r="D47" i="20"/>
  <c r="Y47" i="20"/>
  <c r="Y56" i="20"/>
  <c r="Y53" i="20"/>
  <c r="M56" i="20"/>
  <c r="M47" i="20"/>
  <c r="M53" i="20"/>
  <c r="AR53" i="20"/>
  <c r="AR56" i="20"/>
  <c r="AR47" i="20"/>
  <c r="AN53" i="20"/>
  <c r="AN56" i="20"/>
  <c r="AN47" i="20"/>
  <c r="AE53" i="20"/>
  <c r="AE56" i="20"/>
  <c r="AE47" i="20"/>
  <c r="BB47" i="20"/>
  <c r="BB56" i="20"/>
  <c r="BB53" i="20"/>
  <c r="AX51" i="20"/>
  <c r="AX49" i="20"/>
  <c r="AX52" i="20"/>
  <c r="AO47" i="20"/>
  <c r="AO56" i="20"/>
  <c r="AO53" i="20"/>
  <c r="AH51" i="20"/>
  <c r="AH52" i="20"/>
  <c r="AH49" i="20"/>
  <c r="J51" i="20"/>
  <c r="J52" i="20"/>
  <c r="J49" i="20"/>
  <c r="AG47" i="20"/>
  <c r="AG56" i="20"/>
  <c r="AG53" i="20"/>
  <c r="AL47" i="20"/>
  <c r="AL56" i="20"/>
  <c r="AL53" i="20"/>
  <c r="U56" i="20"/>
  <c r="U47" i="20"/>
  <c r="U53" i="20"/>
  <c r="N47" i="20"/>
  <c r="N56" i="20"/>
  <c r="N53" i="20"/>
  <c r="AZ53" i="20"/>
  <c r="AZ56" i="20"/>
  <c r="AZ47" i="20"/>
  <c r="BC53" i="20"/>
  <c r="BC47" i="20"/>
  <c r="BC56" i="20"/>
  <c r="AY53" i="20"/>
  <c r="AY56" i="20"/>
  <c r="AY47" i="20"/>
  <c r="AT47" i="20"/>
  <c r="AT53" i="20"/>
  <c r="AT56" i="20"/>
  <c r="Q47" i="20"/>
  <c r="Q56" i="20"/>
  <c r="Q53" i="20"/>
  <c r="E56" i="20"/>
  <c r="E53" i="20"/>
  <c r="E47" i="20"/>
  <c r="AJ53" i="20"/>
  <c r="AJ56" i="20"/>
  <c r="AJ47" i="20"/>
  <c r="H53" i="20"/>
  <c r="H56" i="20"/>
  <c r="H47" i="20"/>
  <c r="G53" i="20"/>
  <c r="G47" i="20"/>
  <c r="G56" i="20"/>
  <c r="V47" i="20"/>
  <c r="V56" i="20"/>
  <c r="V53" i="20"/>
  <c r="Z51" i="20"/>
  <c r="Z49" i="20"/>
  <c r="Z52" i="20"/>
  <c r="AU49" i="20"/>
  <c r="AU52" i="20"/>
  <c r="AU51" i="20"/>
  <c r="AC56" i="20"/>
  <c r="AC47" i="20"/>
  <c r="AC53" i="20"/>
  <c r="AQ53" i="20"/>
  <c r="AQ56" i="20"/>
  <c r="AQ47" i="20"/>
  <c r="AD47" i="20"/>
  <c r="AD53" i="20"/>
  <c r="AD56" i="20"/>
  <c r="I56" i="20"/>
  <c r="I53" i="20"/>
  <c r="I47" i="20"/>
  <c r="X53" i="20"/>
  <c r="X56" i="20"/>
  <c r="X47" i="20"/>
  <c r="W53" i="20"/>
  <c r="W47" i="20"/>
  <c r="W56" i="20"/>
  <c r="AB53" i="20"/>
  <c r="AB56" i="20"/>
  <c r="AB47" i="20"/>
  <c r="AV53" i="20"/>
  <c r="AV56" i="20"/>
  <c r="AV47" i="20"/>
  <c r="C45" i="14"/>
  <c r="F46" i="19"/>
  <c r="F52" i="19"/>
  <c r="F55" i="19"/>
  <c r="E46" i="19"/>
  <c r="E52" i="19"/>
  <c r="E55" i="19"/>
  <c r="D46" i="19"/>
  <c r="D52" i="19"/>
  <c r="D55" i="19"/>
  <c r="C52" i="19"/>
  <c r="C55" i="19"/>
  <c r="C48" i="19"/>
  <c r="C50" i="19"/>
  <c r="C51" i="19"/>
  <c r="C59" i="19"/>
  <c r="F46" i="18"/>
  <c r="F52" i="18"/>
  <c r="F55" i="18"/>
  <c r="E46" i="18"/>
  <c r="E52" i="18"/>
  <c r="E55" i="18"/>
  <c r="D46" i="18"/>
  <c r="D52" i="18"/>
  <c r="D55" i="18"/>
  <c r="C52" i="18"/>
  <c r="C55" i="18"/>
  <c r="C48" i="18"/>
  <c r="C50" i="18"/>
  <c r="C51" i="18"/>
  <c r="C59" i="18"/>
  <c r="AL47" i="17"/>
  <c r="AL53" i="17"/>
  <c r="AL56" i="17"/>
  <c r="AK47" i="17"/>
  <c r="AK53" i="17"/>
  <c r="AK56" i="17"/>
  <c r="AJ47" i="17"/>
  <c r="AJ53" i="17"/>
  <c r="AJ56" i="17"/>
  <c r="AI47" i="17"/>
  <c r="AI53" i="17"/>
  <c r="AI56" i="17"/>
  <c r="AH47" i="17"/>
  <c r="AH53" i="17"/>
  <c r="AH56" i="17"/>
  <c r="AG47" i="17"/>
  <c r="AG53" i="17"/>
  <c r="AG56" i="17"/>
  <c r="AF47" i="17"/>
  <c r="AF53" i="17"/>
  <c r="AF56" i="17"/>
  <c r="AE47" i="17"/>
  <c r="AE53" i="17"/>
  <c r="AE56" i="17"/>
  <c r="AD47" i="17"/>
  <c r="AD53" i="17"/>
  <c r="AD56" i="17"/>
  <c r="AC47" i="17"/>
  <c r="AC53" i="17"/>
  <c r="AC56" i="17"/>
  <c r="AB47" i="17"/>
  <c r="AB53" i="17"/>
  <c r="AB56" i="17"/>
  <c r="AA47" i="17"/>
  <c r="AA53" i="17"/>
  <c r="AA56" i="17"/>
  <c r="Z47" i="17"/>
  <c r="Z53" i="17"/>
  <c r="Z56" i="17"/>
  <c r="Y47" i="17"/>
  <c r="Y53" i="17"/>
  <c r="Y56" i="17"/>
  <c r="X47" i="17"/>
  <c r="X53" i="17"/>
  <c r="X56" i="17"/>
  <c r="W47" i="17"/>
  <c r="W53" i="17"/>
  <c r="W56" i="17"/>
  <c r="V47" i="17"/>
  <c r="V53" i="17"/>
  <c r="V56" i="17"/>
  <c r="U47" i="17"/>
  <c r="U53" i="17"/>
  <c r="U56" i="17"/>
  <c r="T47" i="17"/>
  <c r="T53" i="17"/>
  <c r="T56" i="17"/>
  <c r="S47" i="17"/>
  <c r="S53" i="17"/>
  <c r="S56" i="17"/>
  <c r="R47" i="17"/>
  <c r="R53" i="17"/>
  <c r="R56" i="17"/>
  <c r="Q47" i="17"/>
  <c r="Q53" i="17"/>
  <c r="Q56" i="17"/>
  <c r="P47" i="17"/>
  <c r="P53" i="17"/>
  <c r="P56" i="17"/>
  <c r="O47" i="17"/>
  <c r="O53" i="17"/>
  <c r="O56" i="17"/>
  <c r="N47" i="17"/>
  <c r="N53" i="17"/>
  <c r="N56" i="17"/>
  <c r="M47" i="17"/>
  <c r="M53" i="17"/>
  <c r="M56" i="17"/>
  <c r="L47" i="17"/>
  <c r="L53" i="17"/>
  <c r="L56" i="17"/>
  <c r="K47" i="17"/>
  <c r="K53" i="17"/>
  <c r="K56" i="17"/>
  <c r="J47" i="17"/>
  <c r="J53" i="17"/>
  <c r="J56" i="17"/>
  <c r="I47" i="17"/>
  <c r="I53" i="17"/>
  <c r="I56" i="17"/>
  <c r="H47" i="17"/>
  <c r="H53" i="17"/>
  <c r="H56" i="17"/>
  <c r="G47" i="17"/>
  <c r="G53" i="17"/>
  <c r="G56" i="17"/>
  <c r="F47" i="17"/>
  <c r="F53" i="17"/>
  <c r="F56" i="17"/>
  <c r="E47" i="17"/>
  <c r="E53" i="17"/>
  <c r="E56" i="17"/>
  <c r="D47" i="17"/>
  <c r="D53" i="17"/>
  <c r="D56" i="17"/>
  <c r="C53" i="17"/>
  <c r="C56" i="17"/>
  <c r="C49" i="17"/>
  <c r="C51" i="17"/>
  <c r="C52" i="17"/>
  <c r="C55" i="16"/>
  <c r="C57" i="16"/>
  <c r="C59" i="16"/>
  <c r="C58" i="16"/>
  <c r="C45" i="16"/>
  <c r="C48" i="16"/>
  <c r="C54" i="16" s="1"/>
  <c r="C46" i="16"/>
  <c r="AL47" i="16"/>
  <c r="AL53" i="16"/>
  <c r="AL56" i="16"/>
  <c r="AK47" i="16"/>
  <c r="AK53" i="16"/>
  <c r="AK56" i="16"/>
  <c r="AJ47" i="16"/>
  <c r="AJ53" i="16"/>
  <c r="AJ56" i="16"/>
  <c r="AI47" i="16"/>
  <c r="AI53" i="16"/>
  <c r="AI56" i="16"/>
  <c r="AH53" i="16"/>
  <c r="AH56" i="16"/>
  <c r="AH47" i="16"/>
  <c r="AG47" i="16"/>
  <c r="AG53" i="16"/>
  <c r="AG56" i="16"/>
  <c r="AF47" i="16"/>
  <c r="AF53" i="16"/>
  <c r="AF56" i="16"/>
  <c r="AE47" i="16"/>
  <c r="AE53" i="16"/>
  <c r="AE56" i="16"/>
  <c r="AD47" i="16"/>
  <c r="AD53" i="16"/>
  <c r="AD56" i="16"/>
  <c r="AC47" i="16"/>
  <c r="AC53" i="16"/>
  <c r="AC56" i="16"/>
  <c r="AB47" i="16"/>
  <c r="AB53" i="16"/>
  <c r="AB56" i="16"/>
  <c r="AA47" i="16"/>
  <c r="AA53" i="16"/>
  <c r="AA56" i="16"/>
  <c r="Z47" i="16"/>
  <c r="Z53" i="16"/>
  <c r="Z56" i="16"/>
  <c r="Y47" i="16"/>
  <c r="Y53" i="16"/>
  <c r="Y56" i="16"/>
  <c r="X47" i="16"/>
  <c r="X53" i="16"/>
  <c r="X56" i="16"/>
  <c r="W53" i="16"/>
  <c r="W56" i="16"/>
  <c r="W47" i="16"/>
  <c r="V47" i="16"/>
  <c r="V53" i="16"/>
  <c r="V56" i="16"/>
  <c r="U47" i="16"/>
  <c r="U53" i="16"/>
  <c r="U56" i="16"/>
  <c r="T53" i="16"/>
  <c r="T56" i="16"/>
  <c r="T47" i="16"/>
  <c r="S47" i="16"/>
  <c r="S53" i="16"/>
  <c r="S56" i="16"/>
  <c r="R47" i="16"/>
  <c r="R53" i="16"/>
  <c r="R56" i="16"/>
  <c r="Q53" i="16"/>
  <c r="Q56" i="16"/>
  <c r="Q47" i="16"/>
  <c r="P53" i="16"/>
  <c r="P56" i="16"/>
  <c r="P47" i="16"/>
  <c r="O47" i="16"/>
  <c r="O53" i="16"/>
  <c r="O56" i="16"/>
  <c r="N53" i="16"/>
  <c r="N56" i="16"/>
  <c r="N47" i="16"/>
  <c r="M47" i="16"/>
  <c r="M53" i="16"/>
  <c r="M56" i="16"/>
  <c r="L47" i="16"/>
  <c r="L53" i="16"/>
  <c r="L56" i="16"/>
  <c r="K53" i="16"/>
  <c r="K56" i="16"/>
  <c r="K47" i="16"/>
  <c r="J47" i="16"/>
  <c r="J53" i="16"/>
  <c r="J56" i="16"/>
  <c r="I47" i="16"/>
  <c r="I53" i="16"/>
  <c r="I56" i="16"/>
  <c r="H53" i="16"/>
  <c r="H56" i="16"/>
  <c r="H47" i="16"/>
  <c r="G47" i="16"/>
  <c r="G53" i="16"/>
  <c r="G56" i="16"/>
  <c r="F47" i="16"/>
  <c r="F53" i="16"/>
  <c r="F56" i="16"/>
  <c r="E53" i="16"/>
  <c r="E56" i="16"/>
  <c r="E47" i="16"/>
  <c r="D47" i="16"/>
  <c r="D53" i="16"/>
  <c r="D56" i="16"/>
  <c r="C48" i="15"/>
  <c r="C54" i="15" s="1"/>
  <c r="C46" i="15"/>
  <c r="C50" i="15" s="1"/>
  <c r="C58" i="15"/>
  <c r="C55" i="15"/>
  <c r="C45" i="15"/>
  <c r="C59" i="15"/>
  <c r="BC47" i="15"/>
  <c r="BC53" i="15"/>
  <c r="BC56" i="15"/>
  <c r="BB53" i="15"/>
  <c r="BB56" i="15"/>
  <c r="BB47" i="15"/>
  <c r="BA47" i="15"/>
  <c r="BA53" i="15"/>
  <c r="BA56" i="15"/>
  <c r="AZ47" i="15"/>
  <c r="AZ53" i="15"/>
  <c r="AZ56" i="15"/>
  <c r="AY47" i="15"/>
  <c r="AY53" i="15"/>
  <c r="AY56" i="15"/>
  <c r="AX47" i="15"/>
  <c r="AX53" i="15"/>
  <c r="AX56" i="15"/>
  <c r="AW47" i="15"/>
  <c r="AW53" i="15"/>
  <c r="AW56" i="15"/>
  <c r="AV47" i="15"/>
  <c r="AV53" i="15"/>
  <c r="AV56" i="15"/>
  <c r="AT47" i="15"/>
  <c r="AT53" i="15"/>
  <c r="AT56" i="15"/>
  <c r="AS47" i="15"/>
  <c r="AS53" i="15"/>
  <c r="AS56" i="15"/>
  <c r="AR47" i="15"/>
  <c r="AR53" i="15"/>
  <c r="AR56" i="15"/>
  <c r="AQ47" i="15"/>
  <c r="AQ53" i="15"/>
  <c r="AQ56" i="15"/>
  <c r="AP47" i="15"/>
  <c r="AP53" i="15"/>
  <c r="AP56" i="15"/>
  <c r="AO47" i="15"/>
  <c r="AO53" i="15"/>
  <c r="AO56" i="15"/>
  <c r="AN53" i="15"/>
  <c r="AN56" i="15"/>
  <c r="AN47" i="15"/>
  <c r="AM47" i="15"/>
  <c r="AM53" i="15"/>
  <c r="AM56" i="15"/>
  <c r="AL47" i="15"/>
  <c r="AL53" i="15"/>
  <c r="AL56" i="15"/>
  <c r="AK47" i="15"/>
  <c r="AK53" i="15"/>
  <c r="AK56" i="15"/>
  <c r="AJ53" i="15"/>
  <c r="AJ56" i="15"/>
  <c r="AJ47" i="15"/>
  <c r="AI47" i="15"/>
  <c r="AI53" i="15"/>
  <c r="AI56" i="15"/>
  <c r="AH47" i="15"/>
  <c r="AH53" i="15"/>
  <c r="AH56" i="15"/>
  <c r="AG47" i="15"/>
  <c r="AG53" i="15"/>
  <c r="AG56" i="15"/>
  <c r="AF47" i="15"/>
  <c r="AF53" i="15"/>
  <c r="AF56" i="15"/>
  <c r="AE47" i="15"/>
  <c r="AE53" i="15"/>
  <c r="AE56" i="15"/>
  <c r="AD53" i="15"/>
  <c r="AD56" i="15"/>
  <c r="AD47" i="15"/>
  <c r="AC47" i="15"/>
  <c r="AC53" i="15"/>
  <c r="AC56" i="15"/>
  <c r="AB53" i="15"/>
  <c r="AB56" i="15"/>
  <c r="AB47" i="15"/>
  <c r="AA47" i="15"/>
  <c r="AA53" i="15"/>
  <c r="AA56" i="15"/>
  <c r="Z53" i="15"/>
  <c r="Z56" i="15"/>
  <c r="Z47" i="15"/>
  <c r="Y47" i="15"/>
  <c r="Y53" i="15"/>
  <c r="Y56" i="15"/>
  <c r="X53" i="15"/>
  <c r="X56" i="15"/>
  <c r="X47" i="15"/>
  <c r="W47" i="15"/>
  <c r="W53" i="15"/>
  <c r="W56" i="15"/>
  <c r="V53" i="15"/>
  <c r="V56" i="15"/>
  <c r="V47" i="15"/>
  <c r="U47" i="15"/>
  <c r="U53" i="15"/>
  <c r="U56" i="15"/>
  <c r="T53" i="15"/>
  <c r="T56" i="15"/>
  <c r="T47" i="15"/>
  <c r="S47" i="15"/>
  <c r="S53" i="15"/>
  <c r="S56" i="15"/>
  <c r="R53" i="15"/>
  <c r="R56" i="15"/>
  <c r="R47" i="15"/>
  <c r="Q47" i="15"/>
  <c r="Q53" i="15"/>
  <c r="Q56" i="15"/>
  <c r="P47" i="15"/>
  <c r="P53" i="15"/>
  <c r="P56" i="15"/>
  <c r="O53" i="15"/>
  <c r="O56" i="15"/>
  <c r="O47" i="15"/>
  <c r="N53" i="15"/>
  <c r="N56" i="15"/>
  <c r="N47" i="15"/>
  <c r="M53" i="15"/>
  <c r="M56" i="15"/>
  <c r="M47" i="15"/>
  <c r="L47" i="15"/>
  <c r="L53" i="15"/>
  <c r="L56" i="15"/>
  <c r="K47" i="15"/>
  <c r="K53" i="15"/>
  <c r="K56" i="15"/>
  <c r="J53" i="15"/>
  <c r="J56" i="15"/>
  <c r="J47" i="15"/>
  <c r="I47" i="15"/>
  <c r="I53" i="15"/>
  <c r="I56" i="15"/>
  <c r="H47" i="15"/>
  <c r="H53" i="15"/>
  <c r="H56" i="15"/>
  <c r="G53" i="15"/>
  <c r="G56" i="15"/>
  <c r="G47" i="15"/>
  <c r="E47" i="15"/>
  <c r="E53" i="15"/>
  <c r="E56" i="15"/>
  <c r="D47" i="15"/>
  <c r="D53" i="15"/>
  <c r="D56" i="15"/>
  <c r="AU47" i="15"/>
  <c r="AU53" i="15"/>
  <c r="AU56" i="15"/>
  <c r="F47" i="15"/>
  <c r="F53" i="15"/>
  <c r="F56" i="15"/>
  <c r="D52" i="14"/>
  <c r="D51" i="14"/>
  <c r="D55" i="14"/>
  <c r="C47" i="14"/>
  <c r="C53" i="14" s="1"/>
  <c r="C44" i="14"/>
  <c r="E52" i="14"/>
  <c r="F52" i="14"/>
  <c r="E48" i="14"/>
  <c r="E59" i="14"/>
  <c r="E51" i="14"/>
  <c r="E50" i="14"/>
  <c r="F59" i="14"/>
  <c r="F51" i="14"/>
  <c r="F48" i="14"/>
  <c r="F50" i="14"/>
  <c r="C55" i="14"/>
  <c r="C46" i="14"/>
  <c r="F45" i="12"/>
  <c r="F49" i="12" s="1"/>
  <c r="F47" i="12"/>
  <c r="F53" i="12" s="1"/>
  <c r="E57" i="12"/>
  <c r="E58" i="12"/>
  <c r="E44" i="12"/>
  <c r="E56" i="12"/>
  <c r="E52" i="12"/>
  <c r="C57" i="12"/>
  <c r="C56" i="12"/>
  <c r="C58" i="12"/>
  <c r="C44" i="12"/>
  <c r="C55" i="12" s="1"/>
  <c r="D57" i="12"/>
  <c r="D54" i="12"/>
  <c r="D58" i="12"/>
  <c r="C45" i="12"/>
  <c r="C49" i="12" s="1"/>
  <c r="C47" i="12"/>
  <c r="C53" i="12" s="1"/>
  <c r="D47" i="12"/>
  <c r="D53" i="12" s="1"/>
  <c r="D44" i="12"/>
  <c r="D52" i="12"/>
  <c r="F55" i="12"/>
  <c r="F52" i="12"/>
  <c r="F46" i="12"/>
  <c r="C31" i="11"/>
  <c r="C15" i="11"/>
  <c r="C13" i="11"/>
  <c r="D19" i="11"/>
  <c r="C11" i="11"/>
  <c r="AH59" i="11"/>
  <c r="AG59" i="11"/>
  <c r="AF59" i="11"/>
  <c r="AE59" i="11"/>
  <c r="Z59" i="11"/>
  <c r="Y59" i="11"/>
  <c r="X59" i="11"/>
  <c r="W59" i="11"/>
  <c r="R59" i="11"/>
  <c r="Q59" i="11"/>
  <c r="P59" i="11"/>
  <c r="O59" i="11"/>
  <c r="J59" i="11"/>
  <c r="I59" i="11"/>
  <c r="H59" i="11"/>
  <c r="G59" i="11"/>
  <c r="AD58" i="11"/>
  <c r="AC58" i="11"/>
  <c r="AB58" i="11"/>
  <c r="AA58" i="11"/>
  <c r="N58" i="11"/>
  <c r="M58" i="11"/>
  <c r="L58" i="11"/>
  <c r="K58" i="11"/>
  <c r="AH57" i="11"/>
  <c r="AG57" i="11"/>
  <c r="AF57" i="11"/>
  <c r="AE57" i="11"/>
  <c r="Z57" i="11"/>
  <c r="Y57" i="11"/>
  <c r="X57" i="11"/>
  <c r="W57" i="11"/>
  <c r="R57" i="11"/>
  <c r="Q57" i="11"/>
  <c r="P57" i="11"/>
  <c r="O57" i="11"/>
  <c r="J57" i="11"/>
  <c r="I57" i="11"/>
  <c r="H57" i="11"/>
  <c r="G57" i="11"/>
  <c r="AL56" i="11"/>
  <c r="AK56" i="11"/>
  <c r="AJ56" i="11"/>
  <c r="V56" i="11"/>
  <c r="U56" i="11"/>
  <c r="T56" i="11"/>
  <c r="F56" i="11"/>
  <c r="AH55" i="11"/>
  <c r="AG55" i="11"/>
  <c r="AF55" i="11"/>
  <c r="AE55" i="11"/>
  <c r="Z55" i="11"/>
  <c r="Y55" i="11"/>
  <c r="X55" i="11"/>
  <c r="W55" i="11"/>
  <c r="R55" i="11"/>
  <c r="Q55" i="11"/>
  <c r="P55" i="11"/>
  <c r="O55" i="11"/>
  <c r="J55" i="11"/>
  <c r="I55" i="11"/>
  <c r="H55" i="11"/>
  <c r="G55" i="11"/>
  <c r="AA54" i="11"/>
  <c r="S54" i="11"/>
  <c r="K54" i="11"/>
  <c r="R53" i="11"/>
  <c r="Q51" i="11"/>
  <c r="AA50" i="11"/>
  <c r="S50" i="11"/>
  <c r="Q49" i="11"/>
  <c r="AL48" i="11"/>
  <c r="AL54" i="11" s="1"/>
  <c r="AK48" i="11"/>
  <c r="AK54" i="11" s="1"/>
  <c r="AJ48" i="11"/>
  <c r="AJ54" i="11" s="1"/>
  <c r="AI48" i="11"/>
  <c r="AI54" i="11" s="1"/>
  <c r="AA48" i="11"/>
  <c r="W48" i="11"/>
  <c r="W54" i="11" s="1"/>
  <c r="V48" i="11"/>
  <c r="V54" i="11" s="1"/>
  <c r="U48" i="11"/>
  <c r="U54" i="11" s="1"/>
  <c r="S48" i="11"/>
  <c r="K48" i="11"/>
  <c r="G48" i="11"/>
  <c r="G54" i="11" s="1"/>
  <c r="AF47" i="11"/>
  <c r="R47" i="11"/>
  <c r="R52" i="11" s="1"/>
  <c r="Q47" i="11"/>
  <c r="AI46" i="11"/>
  <c r="AI50" i="11" s="1"/>
  <c r="AH46" i="11"/>
  <c r="AH50" i="11" s="1"/>
  <c r="AE46" i="11"/>
  <c r="AE50" i="11" s="1"/>
  <c r="AD46" i="11"/>
  <c r="AD50" i="11" s="1"/>
  <c r="AA46" i="11"/>
  <c r="Z46" i="11"/>
  <c r="Z50" i="11" s="1"/>
  <c r="W46" i="11"/>
  <c r="W50" i="11" s="1"/>
  <c r="V46" i="11"/>
  <c r="V50" i="11" s="1"/>
  <c r="U46" i="11"/>
  <c r="U50" i="11" s="1"/>
  <c r="T46" i="11"/>
  <c r="T50" i="11" s="1"/>
  <c r="S46" i="11"/>
  <c r="R46" i="11"/>
  <c r="R50" i="11" s="1"/>
  <c r="K46" i="11"/>
  <c r="K50" i="11" s="1"/>
  <c r="J46" i="11"/>
  <c r="J50" i="11" s="1"/>
  <c r="AH45" i="11"/>
  <c r="AH56" i="11" s="1"/>
  <c r="AG45" i="11"/>
  <c r="AG56" i="11" s="1"/>
  <c r="AF45" i="11"/>
  <c r="AF56" i="11" s="1"/>
  <c r="Z45" i="11"/>
  <c r="Z56" i="11" s="1"/>
  <c r="Y45" i="11"/>
  <c r="Y56" i="11" s="1"/>
  <c r="X45" i="11"/>
  <c r="X56" i="11" s="1"/>
  <c r="W45" i="11"/>
  <c r="W56" i="11" s="1"/>
  <c r="S45" i="11"/>
  <c r="S53" i="11" s="1"/>
  <c r="R45" i="11"/>
  <c r="R56" i="11" s="1"/>
  <c r="Q45" i="11"/>
  <c r="Q56" i="11" s="1"/>
  <c r="P45" i="11"/>
  <c r="P56" i="11" s="1"/>
  <c r="O45" i="11"/>
  <c r="O56" i="11" s="1"/>
  <c r="J45" i="11"/>
  <c r="J56" i="11" s="1"/>
  <c r="I45" i="11"/>
  <c r="I56" i="11" s="1"/>
  <c r="H45" i="11"/>
  <c r="H56" i="11" s="1"/>
  <c r="AL44" i="11"/>
  <c r="AK44" i="11"/>
  <c r="AJ44" i="11"/>
  <c r="AI44" i="11"/>
  <c r="AH44" i="11"/>
  <c r="AH58" i="11" s="1"/>
  <c r="AG44" i="11"/>
  <c r="AG58" i="11" s="1"/>
  <c r="AF44" i="11"/>
  <c r="AF58" i="11" s="1"/>
  <c r="AE44" i="11"/>
  <c r="AE58" i="11" s="1"/>
  <c r="AD44" i="11"/>
  <c r="AC44" i="11"/>
  <c r="AB44" i="11"/>
  <c r="AA44" i="11"/>
  <c r="AA45" i="11" s="1"/>
  <c r="Z44" i="11"/>
  <c r="Z58" i="11" s="1"/>
  <c r="Y44" i="11"/>
  <c r="Y58" i="11" s="1"/>
  <c r="X44" i="11"/>
  <c r="X58" i="11" s="1"/>
  <c r="W44" i="11"/>
  <c r="W58" i="11" s="1"/>
  <c r="V44" i="11"/>
  <c r="U44" i="11"/>
  <c r="T44" i="11"/>
  <c r="S44" i="11"/>
  <c r="R44" i="11"/>
  <c r="R58" i="11" s="1"/>
  <c r="Q44" i="11"/>
  <c r="Q58" i="11" s="1"/>
  <c r="P44" i="11"/>
  <c r="P58" i="11" s="1"/>
  <c r="O44" i="11"/>
  <c r="O58" i="11" s="1"/>
  <c r="N44" i="11"/>
  <c r="M44" i="11"/>
  <c r="L44" i="11"/>
  <c r="K44" i="11"/>
  <c r="J44" i="11"/>
  <c r="J58" i="11" s="1"/>
  <c r="I44" i="11"/>
  <c r="I58" i="11" s="1"/>
  <c r="H44" i="11"/>
  <c r="H58" i="11" s="1"/>
  <c r="G44" i="11"/>
  <c r="G58" i="11" s="1"/>
  <c r="F44" i="11"/>
  <c r="E44" i="11"/>
  <c r="E58" i="11" s="1"/>
  <c r="C43" i="11"/>
  <c r="C42" i="11"/>
  <c r="C41" i="11"/>
  <c r="C40" i="11"/>
  <c r="C39" i="11"/>
  <c r="C38" i="11"/>
  <c r="C37" i="11"/>
  <c r="C36" i="11"/>
  <c r="C35" i="11"/>
  <c r="C33" i="11"/>
  <c r="C32" i="11"/>
  <c r="C30" i="11"/>
  <c r="AL29" i="11"/>
  <c r="AL45" i="11" s="1"/>
  <c r="AK29" i="11"/>
  <c r="AK45" i="11" s="1"/>
  <c r="AJ29" i="11"/>
  <c r="AJ45" i="11" s="1"/>
  <c r="AI29" i="11"/>
  <c r="AH29" i="11"/>
  <c r="AH48" i="11" s="1"/>
  <c r="AH54" i="11" s="1"/>
  <c r="AG29" i="11"/>
  <c r="AG48" i="11" s="1"/>
  <c r="AG54" i="11" s="1"/>
  <c r="AF29" i="11"/>
  <c r="AE29" i="11"/>
  <c r="AE48" i="11" s="1"/>
  <c r="AE54" i="11" s="1"/>
  <c r="AD29" i="11"/>
  <c r="AD45" i="11" s="1"/>
  <c r="AC29" i="11"/>
  <c r="AC45" i="11" s="1"/>
  <c r="AC56" i="11" s="1"/>
  <c r="AB29" i="11"/>
  <c r="AB45" i="11" s="1"/>
  <c r="AB56" i="11" s="1"/>
  <c r="AA29" i="11"/>
  <c r="Z29" i="11"/>
  <c r="Z48" i="11" s="1"/>
  <c r="Z54" i="11" s="1"/>
  <c r="Y29" i="11"/>
  <c r="Y48" i="11" s="1"/>
  <c r="Y54" i="11" s="1"/>
  <c r="X29" i="11"/>
  <c r="W29" i="11"/>
  <c r="V29" i="11"/>
  <c r="V45" i="11" s="1"/>
  <c r="U29" i="11"/>
  <c r="U45" i="11" s="1"/>
  <c r="T29" i="11"/>
  <c r="T45" i="11" s="1"/>
  <c r="S29" i="11"/>
  <c r="R29" i="11"/>
  <c r="R48" i="11" s="1"/>
  <c r="R54" i="11" s="1"/>
  <c r="Q29" i="11"/>
  <c r="Q48" i="11" s="1"/>
  <c r="Q54" i="11" s="1"/>
  <c r="P29" i="11"/>
  <c r="O29" i="11"/>
  <c r="O48" i="11" s="1"/>
  <c r="O54" i="11" s="1"/>
  <c r="N29" i="11"/>
  <c r="N45" i="11" s="1"/>
  <c r="M29" i="11"/>
  <c r="M45" i="11" s="1"/>
  <c r="L29" i="11"/>
  <c r="L45" i="11" s="1"/>
  <c r="K29" i="11"/>
  <c r="J29" i="11"/>
  <c r="J48" i="11" s="1"/>
  <c r="J54" i="11" s="1"/>
  <c r="I29" i="11"/>
  <c r="I48" i="11" s="1"/>
  <c r="I54" i="11" s="1"/>
  <c r="H29" i="11"/>
  <c r="G29" i="11"/>
  <c r="G46" i="11" s="1"/>
  <c r="G50" i="11" s="1"/>
  <c r="F29" i="11"/>
  <c r="F45" i="11" s="1"/>
  <c r="E29" i="11"/>
  <c r="D29" i="11"/>
  <c r="C28" i="11"/>
  <c r="C27" i="11"/>
  <c r="C26" i="11"/>
  <c r="C25" i="11"/>
  <c r="C24" i="11"/>
  <c r="C23" i="11"/>
  <c r="C22" i="11"/>
  <c r="C21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8" i="11"/>
  <c r="C17" i="11"/>
  <c r="C16" i="11"/>
  <c r="C14" i="11"/>
  <c r="C10" i="11"/>
  <c r="C9" i="11"/>
  <c r="C8" i="11"/>
  <c r="C7" i="11"/>
  <c r="C6" i="11"/>
  <c r="C5" i="11"/>
  <c r="K52" i="20" l="1"/>
  <c r="C56" i="20"/>
  <c r="C53" i="20"/>
  <c r="C52" i="20"/>
  <c r="C51" i="20"/>
  <c r="AC51" i="20"/>
  <c r="AC52" i="20"/>
  <c r="AC49" i="20"/>
  <c r="BB51" i="20"/>
  <c r="BB49" i="20"/>
  <c r="BB52" i="20"/>
  <c r="AW52" i="20"/>
  <c r="AW51" i="20"/>
  <c r="AW49" i="20"/>
  <c r="L51" i="20"/>
  <c r="L49" i="20"/>
  <c r="L52" i="20"/>
  <c r="AO52" i="20"/>
  <c r="AO51" i="20"/>
  <c r="AO49" i="20"/>
  <c r="F51" i="20"/>
  <c r="F49" i="20"/>
  <c r="F52" i="20"/>
  <c r="X49" i="20"/>
  <c r="X52" i="20"/>
  <c r="X51" i="20"/>
  <c r="AZ51" i="20"/>
  <c r="AZ49" i="20"/>
  <c r="AZ52" i="20"/>
  <c r="AQ49" i="20"/>
  <c r="AQ51" i="20"/>
  <c r="AQ52" i="20"/>
  <c r="G49" i="20"/>
  <c r="G52" i="20"/>
  <c r="G51" i="20"/>
  <c r="AT51" i="20"/>
  <c r="AT49" i="20"/>
  <c r="AT52" i="20"/>
  <c r="S49" i="20"/>
  <c r="S52" i="20"/>
  <c r="S51" i="20"/>
  <c r="AS51" i="20"/>
  <c r="AS52" i="20"/>
  <c r="AS49" i="20"/>
  <c r="AI49" i="20"/>
  <c r="AI52" i="20"/>
  <c r="AI51" i="20"/>
  <c r="AY49" i="20"/>
  <c r="AY51" i="20"/>
  <c r="AY52" i="20"/>
  <c r="I52" i="20"/>
  <c r="I51" i="20"/>
  <c r="I49" i="20"/>
  <c r="H49" i="20"/>
  <c r="H52" i="20"/>
  <c r="H51" i="20"/>
  <c r="AL51" i="20"/>
  <c r="AL49" i="20"/>
  <c r="AL52" i="20"/>
  <c r="O49" i="20"/>
  <c r="O52" i="20"/>
  <c r="O51" i="20"/>
  <c r="T51" i="20"/>
  <c r="T49" i="20"/>
  <c r="T52" i="20"/>
  <c r="AV49" i="20"/>
  <c r="AV52" i="20"/>
  <c r="AV51" i="20"/>
  <c r="N51" i="20"/>
  <c r="N49" i="20"/>
  <c r="N52" i="20"/>
  <c r="D51" i="20"/>
  <c r="D49" i="20"/>
  <c r="D52" i="20"/>
  <c r="BA51" i="20"/>
  <c r="BA52" i="20"/>
  <c r="BA49" i="20"/>
  <c r="V51" i="20"/>
  <c r="V49" i="20"/>
  <c r="V52" i="20"/>
  <c r="U51" i="20"/>
  <c r="U52" i="20"/>
  <c r="U49" i="20"/>
  <c r="AD51" i="20"/>
  <c r="AD49" i="20"/>
  <c r="AD52" i="20"/>
  <c r="M51" i="20"/>
  <c r="M52" i="20"/>
  <c r="M49" i="20"/>
  <c r="AM49" i="20"/>
  <c r="AM52" i="20"/>
  <c r="AM51" i="20"/>
  <c r="E51" i="20"/>
  <c r="E52" i="20"/>
  <c r="E49" i="20"/>
  <c r="AN49" i="20"/>
  <c r="AN52" i="20"/>
  <c r="AN51" i="20"/>
  <c r="AK51" i="20"/>
  <c r="AK52" i="20"/>
  <c r="AK49" i="20"/>
  <c r="AA49" i="20"/>
  <c r="AA51" i="20"/>
  <c r="AA52" i="20"/>
  <c r="AB51" i="20"/>
  <c r="AB49" i="20"/>
  <c r="AB52" i="20"/>
  <c r="AR51" i="20"/>
  <c r="AR49" i="20"/>
  <c r="AR52" i="20"/>
  <c r="Y52" i="20"/>
  <c r="Y51" i="20"/>
  <c r="Y49" i="20"/>
  <c r="W49" i="20"/>
  <c r="W52" i="20"/>
  <c r="W51" i="20"/>
  <c r="AJ51" i="20"/>
  <c r="AJ49" i="20"/>
  <c r="AJ52" i="20"/>
  <c r="Q52" i="20"/>
  <c r="Q51" i="20"/>
  <c r="Q49" i="20"/>
  <c r="BC49" i="20"/>
  <c r="BC52" i="20"/>
  <c r="BC51" i="20"/>
  <c r="AG52" i="20"/>
  <c r="AG51" i="20"/>
  <c r="AG49" i="20"/>
  <c r="AE49" i="20"/>
  <c r="AE52" i="20"/>
  <c r="AE51" i="20"/>
  <c r="P49" i="20"/>
  <c r="P52" i="20"/>
  <c r="P51" i="20"/>
  <c r="AF49" i="20"/>
  <c r="AF52" i="20"/>
  <c r="AF51" i="20"/>
  <c r="C49" i="14"/>
  <c r="C52" i="14"/>
  <c r="F48" i="19"/>
  <c r="F50" i="19"/>
  <c r="F51" i="19"/>
  <c r="F59" i="19"/>
  <c r="E48" i="19"/>
  <c r="E50" i="19"/>
  <c r="E51" i="19"/>
  <c r="E59" i="19"/>
  <c r="D48" i="19"/>
  <c r="D50" i="19"/>
  <c r="D51" i="19"/>
  <c r="D59" i="19"/>
  <c r="F48" i="18"/>
  <c r="F50" i="18"/>
  <c r="F51" i="18"/>
  <c r="F59" i="18"/>
  <c r="E48" i="18"/>
  <c r="E50" i="18"/>
  <c r="E51" i="18"/>
  <c r="E59" i="18"/>
  <c r="D48" i="18"/>
  <c r="D50" i="18"/>
  <c r="D51" i="18"/>
  <c r="D59" i="18"/>
  <c r="AL49" i="17"/>
  <c r="AL51" i="17"/>
  <c r="AL52" i="17"/>
  <c r="AK49" i="17"/>
  <c r="AK51" i="17"/>
  <c r="AK52" i="17"/>
  <c r="AJ49" i="17"/>
  <c r="AJ51" i="17"/>
  <c r="AJ52" i="17"/>
  <c r="AI49" i="17"/>
  <c r="AI51" i="17"/>
  <c r="AI52" i="17"/>
  <c r="AH49" i="17"/>
  <c r="AH51" i="17"/>
  <c r="AH52" i="17"/>
  <c r="AG49" i="17"/>
  <c r="AG51" i="17"/>
  <c r="AG52" i="17"/>
  <c r="AF49" i="17"/>
  <c r="AF51" i="17"/>
  <c r="AF52" i="17"/>
  <c r="AE49" i="17"/>
  <c r="AE51" i="17"/>
  <c r="AE52" i="17"/>
  <c r="AD49" i="17"/>
  <c r="AD51" i="17"/>
  <c r="AD52" i="17"/>
  <c r="AC49" i="17"/>
  <c r="AC51" i="17"/>
  <c r="AC52" i="17"/>
  <c r="AB49" i="17"/>
  <c r="AB51" i="17"/>
  <c r="AB52" i="17"/>
  <c r="AA49" i="17"/>
  <c r="AA51" i="17"/>
  <c r="AA52" i="17"/>
  <c r="Z49" i="17"/>
  <c r="Z51" i="17"/>
  <c r="Z52" i="17"/>
  <c r="Y49" i="17"/>
  <c r="Y51" i="17"/>
  <c r="Y52" i="17"/>
  <c r="X49" i="17"/>
  <c r="X51" i="17"/>
  <c r="X52" i="17"/>
  <c r="W49" i="17"/>
  <c r="W51" i="17"/>
  <c r="W52" i="17"/>
  <c r="V49" i="17"/>
  <c r="V51" i="17"/>
  <c r="V52" i="17"/>
  <c r="U49" i="17"/>
  <c r="U51" i="17"/>
  <c r="U52" i="17"/>
  <c r="T49" i="17"/>
  <c r="T51" i="17"/>
  <c r="T52" i="17"/>
  <c r="S49" i="17"/>
  <c r="S51" i="17"/>
  <c r="S52" i="17"/>
  <c r="R49" i="17"/>
  <c r="R51" i="17"/>
  <c r="R52" i="17"/>
  <c r="Q49" i="17"/>
  <c r="Q51" i="17"/>
  <c r="Q52" i="17"/>
  <c r="P49" i="17"/>
  <c r="P51" i="17"/>
  <c r="P52" i="17"/>
  <c r="O49" i="17"/>
  <c r="O51" i="17"/>
  <c r="O52" i="17"/>
  <c r="N49" i="17"/>
  <c r="N51" i="17"/>
  <c r="N52" i="17"/>
  <c r="M49" i="17"/>
  <c r="M51" i="17"/>
  <c r="M52" i="17"/>
  <c r="L49" i="17"/>
  <c r="L51" i="17"/>
  <c r="L52" i="17"/>
  <c r="K49" i="17"/>
  <c r="K51" i="17"/>
  <c r="K52" i="17"/>
  <c r="J49" i="17"/>
  <c r="J51" i="17"/>
  <c r="J52" i="17"/>
  <c r="I49" i="17"/>
  <c r="I51" i="17"/>
  <c r="I52" i="17"/>
  <c r="H49" i="17"/>
  <c r="H51" i="17"/>
  <c r="H52" i="17"/>
  <c r="G49" i="17"/>
  <c r="G51" i="17"/>
  <c r="G52" i="17"/>
  <c r="F49" i="17"/>
  <c r="F51" i="17"/>
  <c r="F52" i="17"/>
  <c r="E49" i="17"/>
  <c r="E51" i="17"/>
  <c r="E52" i="17"/>
  <c r="D49" i="17"/>
  <c r="D51" i="17"/>
  <c r="D52" i="17"/>
  <c r="C47" i="16"/>
  <c r="C56" i="16"/>
  <c r="C50" i="16"/>
  <c r="C53" i="16"/>
  <c r="AL49" i="16"/>
  <c r="AL51" i="16"/>
  <c r="AL52" i="16"/>
  <c r="AK49" i="16"/>
  <c r="AK51" i="16"/>
  <c r="AK52" i="16"/>
  <c r="AJ49" i="16"/>
  <c r="AJ51" i="16"/>
  <c r="AJ52" i="16"/>
  <c r="AI49" i="16"/>
  <c r="AI51" i="16"/>
  <c r="AI52" i="16"/>
  <c r="AH49" i="16"/>
  <c r="AH51" i="16"/>
  <c r="AH52" i="16"/>
  <c r="AG49" i="16"/>
  <c r="AG51" i="16"/>
  <c r="AG52" i="16"/>
  <c r="AF49" i="16"/>
  <c r="AF51" i="16"/>
  <c r="AF52" i="16"/>
  <c r="AE49" i="16"/>
  <c r="AE51" i="16"/>
  <c r="AE52" i="16"/>
  <c r="AD49" i="16"/>
  <c r="AD51" i="16"/>
  <c r="AD52" i="16"/>
  <c r="AC49" i="16"/>
  <c r="AC51" i="16"/>
  <c r="AC52" i="16"/>
  <c r="AB49" i="16"/>
  <c r="AB51" i="16"/>
  <c r="AB52" i="16"/>
  <c r="AA49" i="16"/>
  <c r="AA51" i="16"/>
  <c r="AA52" i="16"/>
  <c r="Z49" i="16"/>
  <c r="Z51" i="16"/>
  <c r="Z52" i="16"/>
  <c r="Y49" i="16"/>
  <c r="Y51" i="16"/>
  <c r="Y52" i="16"/>
  <c r="X49" i="16"/>
  <c r="X51" i="16"/>
  <c r="X52" i="16"/>
  <c r="W49" i="16"/>
  <c r="W51" i="16"/>
  <c r="W52" i="16"/>
  <c r="V49" i="16"/>
  <c r="V51" i="16"/>
  <c r="V52" i="16"/>
  <c r="U49" i="16"/>
  <c r="U51" i="16"/>
  <c r="U52" i="16"/>
  <c r="T49" i="16"/>
  <c r="T51" i="16"/>
  <c r="T52" i="16"/>
  <c r="S49" i="16"/>
  <c r="S51" i="16"/>
  <c r="S52" i="16"/>
  <c r="R49" i="16"/>
  <c r="R51" i="16"/>
  <c r="R52" i="16"/>
  <c r="Q49" i="16"/>
  <c r="Q51" i="16"/>
  <c r="Q52" i="16"/>
  <c r="P49" i="16"/>
  <c r="P51" i="16"/>
  <c r="P52" i="16"/>
  <c r="O49" i="16"/>
  <c r="O51" i="16"/>
  <c r="O52" i="16"/>
  <c r="N49" i="16"/>
  <c r="N51" i="16"/>
  <c r="N52" i="16"/>
  <c r="M49" i="16"/>
  <c r="M51" i="16"/>
  <c r="M52" i="16"/>
  <c r="L49" i="16"/>
  <c r="L51" i="16"/>
  <c r="L52" i="16"/>
  <c r="K49" i="16"/>
  <c r="K51" i="16"/>
  <c r="K52" i="16"/>
  <c r="J49" i="16"/>
  <c r="J51" i="16"/>
  <c r="J52" i="16"/>
  <c r="I49" i="16"/>
  <c r="I51" i="16"/>
  <c r="I52" i="16"/>
  <c r="H49" i="16"/>
  <c r="H51" i="16"/>
  <c r="H52" i="16"/>
  <c r="G49" i="16"/>
  <c r="G51" i="16"/>
  <c r="G52" i="16"/>
  <c r="F49" i="16"/>
  <c r="F51" i="16"/>
  <c r="F52" i="16"/>
  <c r="E49" i="16"/>
  <c r="E51" i="16"/>
  <c r="E52" i="16"/>
  <c r="D49" i="16"/>
  <c r="D51" i="16"/>
  <c r="D52" i="16"/>
  <c r="C47" i="15"/>
  <c r="C56" i="15"/>
  <c r="C53" i="15"/>
  <c r="BC49" i="15"/>
  <c r="BC51" i="15"/>
  <c r="BC52" i="15"/>
  <c r="BB51" i="15"/>
  <c r="BB52" i="15"/>
  <c r="BB49" i="15"/>
  <c r="BA51" i="15"/>
  <c r="BA52" i="15"/>
  <c r="BA49" i="15"/>
  <c r="AZ51" i="15"/>
  <c r="AZ52" i="15"/>
  <c r="AZ49" i="15"/>
  <c r="AY49" i="15"/>
  <c r="AY51" i="15"/>
  <c r="AY52" i="15"/>
  <c r="AX49" i="15"/>
  <c r="AX51" i="15"/>
  <c r="AX52" i="15"/>
  <c r="AW51" i="15"/>
  <c r="AW52" i="15"/>
  <c r="AW49" i="15"/>
  <c r="AV49" i="15"/>
  <c r="AV51" i="15"/>
  <c r="AV52" i="15"/>
  <c r="AT51" i="15"/>
  <c r="AT52" i="15"/>
  <c r="AT49" i="15"/>
  <c r="AS49" i="15"/>
  <c r="AS51" i="15"/>
  <c r="AS52" i="15"/>
  <c r="AR49" i="15"/>
  <c r="AR51" i="15"/>
  <c r="AR52" i="15"/>
  <c r="AQ49" i="15"/>
  <c r="AQ51" i="15"/>
  <c r="AQ52" i="15"/>
  <c r="AP51" i="15"/>
  <c r="AP52" i="15"/>
  <c r="AP49" i="15"/>
  <c r="AO51" i="15"/>
  <c r="AO52" i="15"/>
  <c r="AO49" i="15"/>
  <c r="AN49" i="15"/>
  <c r="AN51" i="15"/>
  <c r="AN52" i="15"/>
  <c r="AM52" i="15"/>
  <c r="AM49" i="15"/>
  <c r="AM51" i="15"/>
  <c r="AL49" i="15"/>
  <c r="AL51" i="15"/>
  <c r="AL52" i="15"/>
  <c r="AK51" i="15"/>
  <c r="AK52" i="15"/>
  <c r="AK49" i="15"/>
  <c r="AJ49" i="15"/>
  <c r="AJ51" i="15"/>
  <c r="AJ52" i="15"/>
  <c r="AI51" i="15"/>
  <c r="AI52" i="15"/>
  <c r="AI49" i="15"/>
  <c r="AH51" i="15"/>
  <c r="AH52" i="15"/>
  <c r="AH49" i="15"/>
  <c r="AG49" i="15"/>
  <c r="AG51" i="15"/>
  <c r="AG52" i="15"/>
  <c r="AF49" i="15"/>
  <c r="AF51" i="15"/>
  <c r="AF52" i="15"/>
  <c r="AE49" i="15"/>
  <c r="AE51" i="15"/>
  <c r="AE52" i="15"/>
  <c r="AD51" i="15"/>
  <c r="AD52" i="15"/>
  <c r="AD49" i="15"/>
  <c r="AC51" i="15"/>
  <c r="AC52" i="15"/>
  <c r="AC49" i="15"/>
  <c r="AB49" i="15"/>
  <c r="AB51" i="15"/>
  <c r="AB52" i="15"/>
  <c r="AA51" i="15"/>
  <c r="AA52" i="15"/>
  <c r="AA49" i="15"/>
  <c r="Z49" i="15"/>
  <c r="Z52" i="15"/>
  <c r="Z51" i="15"/>
  <c r="Y49" i="15"/>
  <c r="Y51" i="15"/>
  <c r="Y52" i="15"/>
  <c r="X49" i="15"/>
  <c r="X51" i="15"/>
  <c r="X52" i="15"/>
  <c r="W51" i="15"/>
  <c r="W52" i="15"/>
  <c r="W49" i="15"/>
  <c r="V49" i="15"/>
  <c r="V51" i="15"/>
  <c r="V52" i="15"/>
  <c r="U51" i="15"/>
  <c r="U52" i="15"/>
  <c r="U49" i="15"/>
  <c r="T51" i="15"/>
  <c r="T52" i="15"/>
  <c r="T49" i="15"/>
  <c r="S49" i="15"/>
  <c r="S51" i="15"/>
  <c r="S52" i="15"/>
  <c r="R49" i="15"/>
  <c r="R51" i="15"/>
  <c r="R52" i="15"/>
  <c r="Q51" i="15"/>
  <c r="Q52" i="15"/>
  <c r="Q49" i="15"/>
  <c r="P49" i="15"/>
  <c r="P51" i="15"/>
  <c r="P52" i="15"/>
  <c r="O49" i="15"/>
  <c r="O51" i="15"/>
  <c r="O52" i="15"/>
  <c r="N49" i="15"/>
  <c r="N52" i="15"/>
  <c r="N51" i="15"/>
  <c r="M49" i="15"/>
  <c r="M51" i="15"/>
  <c r="M52" i="15"/>
  <c r="L52" i="15"/>
  <c r="L49" i="15"/>
  <c r="L51" i="15"/>
  <c r="K49" i="15"/>
  <c r="K51" i="15"/>
  <c r="K52" i="15"/>
  <c r="J49" i="15"/>
  <c r="J51" i="15"/>
  <c r="J52" i="15"/>
  <c r="I49" i="15"/>
  <c r="I51" i="15"/>
  <c r="I52" i="15"/>
  <c r="H52" i="15"/>
  <c r="H49" i="15"/>
  <c r="H51" i="15"/>
  <c r="G49" i="15"/>
  <c r="G51" i="15"/>
  <c r="G52" i="15"/>
  <c r="E49" i="15"/>
  <c r="E52" i="15"/>
  <c r="E51" i="15"/>
  <c r="D49" i="15"/>
  <c r="D51" i="15"/>
  <c r="D52" i="15"/>
  <c r="AU51" i="15"/>
  <c r="AU52" i="15"/>
  <c r="AU49" i="15"/>
  <c r="F49" i="15"/>
  <c r="F51" i="15"/>
  <c r="F52" i="15"/>
  <c r="C50" i="14"/>
  <c r="C51" i="14"/>
  <c r="C48" i="14"/>
  <c r="C59" i="14"/>
  <c r="E55" i="12"/>
  <c r="E46" i="12"/>
  <c r="C51" i="12"/>
  <c r="C52" i="12"/>
  <c r="D46" i="12"/>
  <c r="D55" i="12"/>
  <c r="C50" i="12"/>
  <c r="C59" i="12"/>
  <c r="F59" i="12"/>
  <c r="F51" i="12"/>
  <c r="F50" i="12"/>
  <c r="F48" i="12"/>
  <c r="E45" i="11"/>
  <c r="E56" i="11" s="1"/>
  <c r="C58" i="11"/>
  <c r="D44" i="11"/>
  <c r="D58" i="11" s="1"/>
  <c r="C48" i="11"/>
  <c r="C12" i="11"/>
  <c r="AA53" i="11"/>
  <c r="AA47" i="11"/>
  <c r="AA56" i="11"/>
  <c r="S56" i="11"/>
  <c r="H47" i="11"/>
  <c r="S47" i="11"/>
  <c r="L47" i="11"/>
  <c r="T53" i="11"/>
  <c r="T47" i="11"/>
  <c r="AJ53" i="11"/>
  <c r="AJ47" i="11"/>
  <c r="K59" i="11"/>
  <c r="K57" i="11"/>
  <c r="K55" i="11"/>
  <c r="S59" i="11"/>
  <c r="S57" i="11"/>
  <c r="S55" i="11"/>
  <c r="AI57" i="11"/>
  <c r="AI55" i="11"/>
  <c r="AI59" i="11"/>
  <c r="AI45" i="11"/>
  <c r="W47" i="11"/>
  <c r="AH47" i="11"/>
  <c r="L48" i="11"/>
  <c r="L54" i="11" s="1"/>
  <c r="R51" i="11"/>
  <c r="M53" i="11"/>
  <c r="M47" i="11"/>
  <c r="U53" i="11"/>
  <c r="U47" i="11"/>
  <c r="AK47" i="11"/>
  <c r="L59" i="11"/>
  <c r="L57" i="11"/>
  <c r="L55" i="11"/>
  <c r="T59" i="11"/>
  <c r="T57" i="11"/>
  <c r="T55" i="11"/>
  <c r="AJ59" i="11"/>
  <c r="AJ57" i="11"/>
  <c r="AJ55" i="11"/>
  <c r="M46" i="11"/>
  <c r="M50" i="11" s="1"/>
  <c r="J47" i="11"/>
  <c r="M48" i="11"/>
  <c r="M54" i="11" s="1"/>
  <c r="F47" i="11"/>
  <c r="V53" i="11"/>
  <c r="V47" i="11"/>
  <c r="AL53" i="11"/>
  <c r="AL47" i="11"/>
  <c r="M59" i="11"/>
  <c r="M57" i="11"/>
  <c r="M55" i="11"/>
  <c r="U59" i="11"/>
  <c r="U57" i="11"/>
  <c r="U55" i="11"/>
  <c r="AK59" i="11"/>
  <c r="AK57" i="11"/>
  <c r="AK55" i="11"/>
  <c r="D46" i="11"/>
  <c r="D50" i="11" s="1"/>
  <c r="AJ46" i="11"/>
  <c r="AJ50" i="11" s="1"/>
  <c r="Y47" i="11"/>
  <c r="AB48" i="11"/>
  <c r="AB54" i="11" s="1"/>
  <c r="W53" i="11"/>
  <c r="S58" i="11"/>
  <c r="AI58" i="11"/>
  <c r="N59" i="11"/>
  <c r="N57" i="11"/>
  <c r="N55" i="11"/>
  <c r="V59" i="11"/>
  <c r="V57" i="11"/>
  <c r="V55" i="11"/>
  <c r="AD59" i="11"/>
  <c r="AD57" i="11"/>
  <c r="AD55" i="11"/>
  <c r="E46" i="11"/>
  <c r="E50" i="11" s="1"/>
  <c r="O46" i="11"/>
  <c r="AK46" i="11"/>
  <c r="AK50" i="11" s="1"/>
  <c r="O47" i="11"/>
  <c r="Z47" i="11"/>
  <c r="D48" i="11"/>
  <c r="D54" i="11" s="1"/>
  <c r="AC48" i="11"/>
  <c r="AC54" i="11" s="1"/>
  <c r="R49" i="11"/>
  <c r="AF49" i="11"/>
  <c r="H53" i="11"/>
  <c r="L56" i="11"/>
  <c r="T58" i="11"/>
  <c r="AJ58" i="11"/>
  <c r="H48" i="11"/>
  <c r="H54" i="11" s="1"/>
  <c r="H46" i="11"/>
  <c r="H50" i="11" s="1"/>
  <c r="P48" i="11"/>
  <c r="P54" i="11" s="1"/>
  <c r="P46" i="11"/>
  <c r="X48" i="11"/>
  <c r="X54" i="11" s="1"/>
  <c r="X46" i="11"/>
  <c r="X50" i="11" s="1"/>
  <c r="AF48" i="11"/>
  <c r="AF54" i="11" s="1"/>
  <c r="AF46" i="11"/>
  <c r="AE45" i="11"/>
  <c r="F46" i="11"/>
  <c r="F50" i="11" s="1"/>
  <c r="AB46" i="11"/>
  <c r="AB50" i="11" s="1"/>
  <c r="AL46" i="11"/>
  <c r="AL50" i="11" s="1"/>
  <c r="P47" i="11"/>
  <c r="E48" i="11"/>
  <c r="E54" i="11" s="1"/>
  <c r="AD48" i="11"/>
  <c r="AD54" i="11" s="1"/>
  <c r="I53" i="11"/>
  <c r="M56" i="11"/>
  <c r="U58" i="11"/>
  <c r="AK58" i="11"/>
  <c r="AG47" i="11"/>
  <c r="AB53" i="11"/>
  <c r="AB47" i="11"/>
  <c r="C59" i="11"/>
  <c r="C57" i="11"/>
  <c r="AA59" i="11"/>
  <c r="AA57" i="11"/>
  <c r="AA55" i="11"/>
  <c r="L46" i="11"/>
  <c r="L50" i="11" s="1"/>
  <c r="I47" i="11"/>
  <c r="E47" i="11"/>
  <c r="AC53" i="11"/>
  <c r="AC47" i="11"/>
  <c r="D59" i="11"/>
  <c r="D57" i="11"/>
  <c r="AB59" i="11"/>
  <c r="AB57" i="11"/>
  <c r="AB55" i="11"/>
  <c r="K45" i="11"/>
  <c r="X47" i="11"/>
  <c r="AH53" i="11"/>
  <c r="N53" i="11"/>
  <c r="N47" i="11"/>
  <c r="AD53" i="11"/>
  <c r="AD47" i="11"/>
  <c r="E59" i="11"/>
  <c r="E57" i="11"/>
  <c r="E55" i="11"/>
  <c r="AC59" i="11"/>
  <c r="AC57" i="11"/>
  <c r="AC55" i="11"/>
  <c r="N46" i="11"/>
  <c r="N50" i="11" s="1"/>
  <c r="N48" i="11"/>
  <c r="N54" i="11" s="1"/>
  <c r="F59" i="11"/>
  <c r="F57" i="11"/>
  <c r="F55" i="11"/>
  <c r="AL59" i="11"/>
  <c r="AL57" i="11"/>
  <c r="AL55" i="11"/>
  <c r="G45" i="11"/>
  <c r="AC46" i="11"/>
  <c r="AC50" i="11" s="1"/>
  <c r="F48" i="11"/>
  <c r="F54" i="11" s="1"/>
  <c r="T48" i="11"/>
  <c r="T54" i="11" s="1"/>
  <c r="J53" i="11"/>
  <c r="Z53" i="11"/>
  <c r="N56" i="11"/>
  <c r="AD56" i="11"/>
  <c r="F58" i="11"/>
  <c r="V58" i="11"/>
  <c r="AL58" i="11"/>
  <c r="I46" i="11"/>
  <c r="I50" i="11" s="1"/>
  <c r="Q46" i="11"/>
  <c r="Y46" i="11"/>
  <c r="Y50" i="11" s="1"/>
  <c r="AG46" i="11"/>
  <c r="AG50" i="11" s="1"/>
  <c r="C49" i="16" l="1"/>
  <c r="C51" i="16"/>
  <c r="C52" i="16"/>
  <c r="C49" i="15"/>
  <c r="C51" i="15"/>
  <c r="C52" i="15"/>
  <c r="C48" i="12"/>
  <c r="E51" i="12"/>
  <c r="E59" i="12"/>
  <c r="E48" i="12"/>
  <c r="E50" i="12"/>
  <c r="D59" i="12"/>
  <c r="D51" i="12"/>
  <c r="D50" i="12"/>
  <c r="D48" i="12"/>
  <c r="C55" i="11"/>
  <c r="C45" i="11"/>
  <c r="E53" i="11"/>
  <c r="D55" i="11"/>
  <c r="D45" i="11"/>
  <c r="C46" i="11"/>
  <c r="C50" i="11" s="1"/>
  <c r="D53" i="11"/>
  <c r="C54" i="11"/>
  <c r="N51" i="11"/>
  <c r="N49" i="11"/>
  <c r="N52" i="11"/>
  <c r="M51" i="11"/>
  <c r="M49" i="11"/>
  <c r="M52" i="11"/>
  <c r="AI53" i="11"/>
  <c r="AI47" i="11"/>
  <c r="AI56" i="11"/>
  <c r="S52" i="11"/>
  <c r="S49" i="11"/>
  <c r="S51" i="11"/>
  <c r="AF50" i="11"/>
  <c r="AF53" i="11"/>
  <c r="AL51" i="11"/>
  <c r="AL49" i="11"/>
  <c r="AL52" i="11"/>
  <c r="J52" i="11"/>
  <c r="J51" i="11"/>
  <c r="J49" i="11"/>
  <c r="H52" i="11"/>
  <c r="H49" i="11"/>
  <c r="H51" i="11"/>
  <c r="Q50" i="11"/>
  <c r="Q53" i="11"/>
  <c r="Z52" i="11"/>
  <c r="Z51" i="11"/>
  <c r="Z49" i="11"/>
  <c r="AG53" i="11"/>
  <c r="AJ51" i="11"/>
  <c r="AJ49" i="11"/>
  <c r="AJ52" i="11"/>
  <c r="X52" i="11"/>
  <c r="X51" i="11"/>
  <c r="X49" i="11"/>
  <c r="AC51" i="11"/>
  <c r="AC49" i="11"/>
  <c r="AC52" i="11"/>
  <c r="AG52" i="11"/>
  <c r="AG51" i="11"/>
  <c r="AG49" i="11"/>
  <c r="P52" i="11"/>
  <c r="P49" i="11"/>
  <c r="P51" i="11"/>
  <c r="O52" i="11"/>
  <c r="O51" i="11"/>
  <c r="O49" i="11"/>
  <c r="V51" i="11"/>
  <c r="V49" i="11"/>
  <c r="V52" i="11"/>
  <c r="AF51" i="11"/>
  <c r="AF52" i="11"/>
  <c r="K53" i="11"/>
  <c r="K47" i="11"/>
  <c r="K56" i="11"/>
  <c r="X53" i="11"/>
  <c r="AK51" i="11"/>
  <c r="AK49" i="11"/>
  <c r="AK52" i="11"/>
  <c r="T51" i="11"/>
  <c r="T49" i="11"/>
  <c r="T52" i="11"/>
  <c r="Q52" i="11"/>
  <c r="E51" i="11"/>
  <c r="E49" i="11"/>
  <c r="E52" i="11"/>
  <c r="P50" i="11"/>
  <c r="P53" i="11"/>
  <c r="O50" i="11"/>
  <c r="O53" i="11"/>
  <c r="Y52" i="11"/>
  <c r="Y51" i="11"/>
  <c r="Y49" i="11"/>
  <c r="F51" i="11"/>
  <c r="F49" i="11"/>
  <c r="F52" i="11"/>
  <c r="AK53" i="11"/>
  <c r="AA52" i="11"/>
  <c r="AA49" i="11"/>
  <c r="AA51" i="11"/>
  <c r="AD51" i="11"/>
  <c r="AD49" i="11"/>
  <c r="AD52" i="11"/>
  <c r="F53" i="11"/>
  <c r="U51" i="11"/>
  <c r="U49" i="11"/>
  <c r="U52" i="11"/>
  <c r="AH52" i="11"/>
  <c r="AH49" i="11"/>
  <c r="AH51" i="11"/>
  <c r="L51" i="11"/>
  <c r="L49" i="11"/>
  <c r="L52" i="11"/>
  <c r="G56" i="11"/>
  <c r="G53" i="11"/>
  <c r="G47" i="11"/>
  <c r="I52" i="11"/>
  <c r="I49" i="11"/>
  <c r="I51" i="11"/>
  <c r="AB51" i="11"/>
  <c r="AB49" i="11"/>
  <c r="AB52" i="11"/>
  <c r="Y53" i="11"/>
  <c r="AE56" i="11"/>
  <c r="AE47" i="11"/>
  <c r="AE53" i="11"/>
  <c r="W49" i="11"/>
  <c r="W52" i="11"/>
  <c r="W51" i="11"/>
  <c r="L53" i="11"/>
  <c r="C56" i="11" l="1"/>
  <c r="C47" i="11"/>
  <c r="C49" i="11" s="1"/>
  <c r="D56" i="11"/>
  <c r="D47" i="11"/>
  <c r="C53" i="11"/>
  <c r="G52" i="11"/>
  <c r="G51" i="11"/>
  <c r="G49" i="11"/>
  <c r="K51" i="11"/>
  <c r="K52" i="11"/>
  <c r="K49" i="11"/>
  <c r="AI51" i="11"/>
  <c r="AI49" i="11"/>
  <c r="AI52" i="11"/>
  <c r="AE52" i="11"/>
  <c r="AE49" i="11"/>
  <c r="AE51" i="11"/>
  <c r="C51" i="11" l="1"/>
  <c r="C52" i="11"/>
  <c r="D51" i="11"/>
  <c r="D49" i="11"/>
  <c r="D52" i="11"/>
  <c r="AF19" i="10" l="1"/>
  <c r="AH19" i="10" l="1"/>
  <c r="AK19" i="10" l="1"/>
  <c r="R19" i="10" l="1"/>
  <c r="D44" i="10" l="1"/>
  <c r="C33" i="10"/>
  <c r="C32" i="10"/>
  <c r="C31" i="10"/>
  <c r="C14" i="10"/>
  <c r="C12" i="10"/>
  <c r="C11" i="10"/>
  <c r="AB48" i="10"/>
  <c r="AB54" i="10" s="1"/>
  <c r="AA48" i="10"/>
  <c r="AA54" i="10" s="1"/>
  <c r="AB46" i="10"/>
  <c r="AB50" i="10" s="1"/>
  <c r="T46" i="10"/>
  <c r="T50" i="10" s="1"/>
  <c r="AL44" i="10"/>
  <c r="AK44" i="10"/>
  <c r="AJ44" i="10"/>
  <c r="AI44" i="10"/>
  <c r="AI58" i="10" s="1"/>
  <c r="AH44" i="10"/>
  <c r="AH58" i="10" s="1"/>
  <c r="AG44" i="10"/>
  <c r="AG58" i="10" s="1"/>
  <c r="AF44" i="10"/>
  <c r="AF58" i="10" s="1"/>
  <c r="AE44" i="10"/>
  <c r="AE58" i="10" s="1"/>
  <c r="AD44" i="10"/>
  <c r="AC44" i="10"/>
  <c r="AB44" i="10"/>
  <c r="AA44" i="10"/>
  <c r="Z44" i="10"/>
  <c r="Z58" i="10" s="1"/>
  <c r="Y44" i="10"/>
  <c r="Y58" i="10" s="1"/>
  <c r="X44" i="10"/>
  <c r="X58" i="10" s="1"/>
  <c r="W44" i="10"/>
  <c r="W58" i="10" s="1"/>
  <c r="V44" i="10"/>
  <c r="U44" i="10"/>
  <c r="U58" i="10" s="1"/>
  <c r="T44" i="10"/>
  <c r="T58" i="10" s="1"/>
  <c r="S44" i="10"/>
  <c r="R44" i="10"/>
  <c r="R58" i="10" s="1"/>
  <c r="Q44" i="10"/>
  <c r="Q58" i="10" s="1"/>
  <c r="P44" i="10"/>
  <c r="P58" i="10" s="1"/>
  <c r="O44" i="10"/>
  <c r="O58" i="10" s="1"/>
  <c r="N44" i="10"/>
  <c r="M44" i="10"/>
  <c r="M58" i="10" s="1"/>
  <c r="L44" i="10"/>
  <c r="L58" i="10" s="1"/>
  <c r="K44" i="10"/>
  <c r="K58" i="10" s="1"/>
  <c r="J44" i="10"/>
  <c r="J58" i="10" s="1"/>
  <c r="I44" i="10"/>
  <c r="I58" i="10" s="1"/>
  <c r="H44" i="10"/>
  <c r="H58" i="10" s="1"/>
  <c r="G44" i="10"/>
  <c r="G58" i="10" s="1"/>
  <c r="F44" i="10"/>
  <c r="E44" i="10"/>
  <c r="C43" i="10"/>
  <c r="C42" i="10"/>
  <c r="C41" i="10"/>
  <c r="C40" i="10"/>
  <c r="C39" i="10"/>
  <c r="C37" i="10"/>
  <c r="C36" i="10"/>
  <c r="C35" i="10"/>
  <c r="C34" i="10"/>
  <c r="C30" i="10"/>
  <c r="AL29" i="10"/>
  <c r="AK29" i="10"/>
  <c r="AJ29" i="10"/>
  <c r="AJ46" i="10" s="1"/>
  <c r="AJ50" i="10" s="1"/>
  <c r="AI29" i="10"/>
  <c r="AI48" i="10" s="1"/>
  <c r="AI54" i="10" s="1"/>
  <c r="AH29" i="10"/>
  <c r="AG29" i="10"/>
  <c r="AG48" i="10" s="1"/>
  <c r="AG54" i="10" s="1"/>
  <c r="AF29" i="10"/>
  <c r="AE29" i="10"/>
  <c r="AD29" i="10"/>
  <c r="AD48" i="10" s="1"/>
  <c r="AD54" i="10" s="1"/>
  <c r="AC29" i="10"/>
  <c r="AB29" i="10"/>
  <c r="AA29" i="10"/>
  <c r="AA46" i="10" s="1"/>
  <c r="AA50" i="10" s="1"/>
  <c r="Z29" i="10"/>
  <c r="Y29" i="10"/>
  <c r="Y48" i="10" s="1"/>
  <c r="Y54" i="10" s="1"/>
  <c r="X29" i="10"/>
  <c r="X48" i="10" s="1"/>
  <c r="X54" i="10" s="1"/>
  <c r="W29" i="10"/>
  <c r="V29" i="10"/>
  <c r="U29" i="10"/>
  <c r="T29" i="10"/>
  <c r="T48" i="10" s="1"/>
  <c r="T54" i="10" s="1"/>
  <c r="S29" i="10"/>
  <c r="S46" i="10" s="1"/>
  <c r="S50" i="10" s="1"/>
  <c r="R29" i="10"/>
  <c r="Q29" i="10"/>
  <c r="Q48" i="10" s="1"/>
  <c r="Q54" i="10" s="1"/>
  <c r="P29" i="10"/>
  <c r="P45" i="10" s="1"/>
  <c r="O29" i="10"/>
  <c r="O45" i="10" s="1"/>
  <c r="N29" i="10"/>
  <c r="M29" i="10"/>
  <c r="M45" i="10" s="1"/>
  <c r="L29" i="10"/>
  <c r="L48" i="10" s="1"/>
  <c r="L54" i="10" s="1"/>
  <c r="K29" i="10"/>
  <c r="K48" i="10" s="1"/>
  <c r="K54" i="10" s="1"/>
  <c r="J29" i="10"/>
  <c r="I29" i="10"/>
  <c r="I48" i="10" s="1"/>
  <c r="I54" i="10" s="1"/>
  <c r="H29" i="10"/>
  <c r="H45" i="10" s="1"/>
  <c r="G29" i="10"/>
  <c r="F29" i="10"/>
  <c r="E29" i="10"/>
  <c r="D29" i="10"/>
  <c r="D46" i="10" s="1"/>
  <c r="D50" i="10" s="1"/>
  <c r="C28" i="10"/>
  <c r="C27" i="10"/>
  <c r="C26" i="10"/>
  <c r="C25" i="10"/>
  <c r="C24" i="10"/>
  <c r="C23" i="10"/>
  <c r="C22" i="10"/>
  <c r="C21" i="10"/>
  <c r="AP19" i="10"/>
  <c r="AO19" i="10"/>
  <c r="AN19" i="10"/>
  <c r="AM19" i="10"/>
  <c r="AL19" i="10"/>
  <c r="AJ19" i="10"/>
  <c r="AI19" i="10"/>
  <c r="AG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8" i="10"/>
  <c r="C17" i="10"/>
  <c r="C16" i="10"/>
  <c r="C15" i="10"/>
  <c r="C13" i="10"/>
  <c r="C10" i="10"/>
  <c r="C9" i="10"/>
  <c r="C8" i="10"/>
  <c r="C7" i="10"/>
  <c r="C6" i="10"/>
  <c r="C5" i="10"/>
  <c r="C4" i="10"/>
  <c r="AC45" i="10" l="1"/>
  <c r="AC48" i="10"/>
  <c r="AC54" i="10" s="1"/>
  <c r="U45" i="10"/>
  <c r="U47" i="10" s="1"/>
  <c r="W45" i="10"/>
  <c r="W56" i="10" s="1"/>
  <c r="Y55" i="10"/>
  <c r="Z55" i="10"/>
  <c r="Z45" i="10"/>
  <c r="AF45" i="10"/>
  <c r="AJ48" i="10"/>
  <c r="AJ54" i="10" s="1"/>
  <c r="AJ45" i="10"/>
  <c r="AJ53" i="10" s="1"/>
  <c r="AK45" i="10"/>
  <c r="AK56" i="10" s="1"/>
  <c r="S48" i="10"/>
  <c r="S54" i="10" s="1"/>
  <c r="R55" i="10"/>
  <c r="R57" i="10"/>
  <c r="R59" i="10"/>
  <c r="J45" i="10"/>
  <c r="J56" i="10" s="1"/>
  <c r="I45" i="10"/>
  <c r="I56" i="10" s="1"/>
  <c r="E45" i="10"/>
  <c r="E56" i="10" s="1"/>
  <c r="C38" i="10"/>
  <c r="C44" i="10" s="1"/>
  <c r="C59" i="10" s="1"/>
  <c r="D48" i="10"/>
  <c r="D54" i="10" s="1"/>
  <c r="D19" i="10"/>
  <c r="W55" i="10"/>
  <c r="G55" i="10"/>
  <c r="X57" i="10"/>
  <c r="X59" i="10"/>
  <c r="AG45" i="10"/>
  <c r="AG56" i="10" s="1"/>
  <c r="I55" i="10"/>
  <c r="H57" i="10"/>
  <c r="Y57" i="10"/>
  <c r="Y59" i="10"/>
  <c r="AH45" i="10"/>
  <c r="AH56" i="10" s="1"/>
  <c r="J55" i="10"/>
  <c r="AE55" i="10"/>
  <c r="I57" i="10"/>
  <c r="Z57" i="10"/>
  <c r="I59" i="10"/>
  <c r="Z59" i="10"/>
  <c r="O55" i="10"/>
  <c r="AF55" i="10"/>
  <c r="J57" i="10"/>
  <c r="AE57" i="10"/>
  <c r="J59" i="10"/>
  <c r="AE59" i="10"/>
  <c r="W57" i="10"/>
  <c r="W59" i="10"/>
  <c r="G57" i="10"/>
  <c r="G59" i="10"/>
  <c r="H59" i="10"/>
  <c r="P55" i="10"/>
  <c r="AG55" i="10"/>
  <c r="O57" i="10"/>
  <c r="AG57" i="10"/>
  <c r="O59" i="10"/>
  <c r="AG59" i="10"/>
  <c r="F45" i="10"/>
  <c r="F56" i="10" s="1"/>
  <c r="N45" i="10"/>
  <c r="N56" i="10" s="1"/>
  <c r="V45" i="10"/>
  <c r="V56" i="10" s="1"/>
  <c r="AD45" i="10"/>
  <c r="AD47" i="10" s="1"/>
  <c r="AL45" i="10"/>
  <c r="AL56" i="10" s="1"/>
  <c r="Q55" i="10"/>
  <c r="AH55" i="10"/>
  <c r="Q57" i="10"/>
  <c r="AH57" i="10"/>
  <c r="Q59" i="10"/>
  <c r="AH59" i="10"/>
  <c r="Z56" i="10"/>
  <c r="Z47" i="10"/>
  <c r="Z51" i="10" s="1"/>
  <c r="X46" i="10"/>
  <c r="X50" i="10" s="1"/>
  <c r="Q45" i="10"/>
  <c r="K46" i="10"/>
  <c r="K50" i="10" s="1"/>
  <c r="AI46" i="10"/>
  <c r="AI50" i="10" s="1"/>
  <c r="H48" i="10"/>
  <c r="H54" i="10" s="1"/>
  <c r="C29" i="10"/>
  <c r="C46" i="10" s="1"/>
  <c r="C50" i="10" s="1"/>
  <c r="X45" i="10"/>
  <c r="X56" i="10" s="1"/>
  <c r="L46" i="10"/>
  <c r="L50" i="10" s="1"/>
  <c r="Y45" i="10"/>
  <c r="Y56" i="10" s="1"/>
  <c r="P46" i="10"/>
  <c r="P50" i="10" s="1"/>
  <c r="AK46" i="10"/>
  <c r="AK50" i="10" s="1"/>
  <c r="AF48" i="10"/>
  <c r="AF54" i="10" s="1"/>
  <c r="AL46" i="10"/>
  <c r="AL50" i="10" s="1"/>
  <c r="P48" i="10"/>
  <c r="P54" i="10" s="1"/>
  <c r="H56" i="10"/>
  <c r="H47" i="10"/>
  <c r="AF56" i="10"/>
  <c r="AF47" i="10"/>
  <c r="P56" i="10"/>
  <c r="P47" i="10"/>
  <c r="I47" i="10"/>
  <c r="O56" i="10"/>
  <c r="O47" i="10"/>
  <c r="S59" i="10"/>
  <c r="S57" i="10"/>
  <c r="S55" i="10"/>
  <c r="M46" i="10"/>
  <c r="M50" i="10" s="1"/>
  <c r="E48" i="10"/>
  <c r="E54" i="10" s="1"/>
  <c r="D59" i="10"/>
  <c r="D57" i="10"/>
  <c r="D55" i="10"/>
  <c r="AB57" i="10"/>
  <c r="AB55" i="10"/>
  <c r="AB59" i="10"/>
  <c r="L45" i="10"/>
  <c r="F48" i="10"/>
  <c r="F54" i="10" s="1"/>
  <c r="W48" i="10"/>
  <c r="W54" i="10" s="1"/>
  <c r="W46" i="10"/>
  <c r="W50" i="10" s="1"/>
  <c r="AE48" i="10"/>
  <c r="AE54" i="10" s="1"/>
  <c r="AE46" i="10"/>
  <c r="AE50" i="10" s="1"/>
  <c r="E59" i="10"/>
  <c r="E57" i="10"/>
  <c r="E55" i="10"/>
  <c r="AC59" i="10"/>
  <c r="AC57" i="10"/>
  <c r="AC55" i="10"/>
  <c r="V59" i="10"/>
  <c r="V57" i="10"/>
  <c r="V55" i="10"/>
  <c r="V58" i="10"/>
  <c r="AL59" i="10"/>
  <c r="AL57" i="10"/>
  <c r="AL55" i="10"/>
  <c r="AL58" i="10"/>
  <c r="E46" i="10"/>
  <c r="E50" i="10" s="1"/>
  <c r="AD46" i="10"/>
  <c r="AD50" i="10" s="1"/>
  <c r="D45" i="10"/>
  <c r="AE45" i="10"/>
  <c r="F46" i="10"/>
  <c r="F50" i="10" s="1"/>
  <c r="AF46" i="10"/>
  <c r="AF50" i="10" s="1"/>
  <c r="AK48" i="10"/>
  <c r="AK54" i="10" s="1"/>
  <c r="P59" i="10"/>
  <c r="AF59" i="10"/>
  <c r="M47" i="10"/>
  <c r="AK47" i="10"/>
  <c r="AA59" i="10"/>
  <c r="AA57" i="10"/>
  <c r="AA55" i="10"/>
  <c r="L59" i="10"/>
  <c r="L57" i="10"/>
  <c r="L55" i="10"/>
  <c r="AJ59" i="10"/>
  <c r="AJ57" i="10"/>
  <c r="AJ55" i="10"/>
  <c r="G48" i="10"/>
  <c r="G54" i="10" s="1"/>
  <c r="G46" i="10"/>
  <c r="G50" i="10" s="1"/>
  <c r="U59" i="10"/>
  <c r="U57" i="10"/>
  <c r="U55" i="10"/>
  <c r="M56" i="10"/>
  <c r="E58" i="10"/>
  <c r="N59" i="10"/>
  <c r="N57" i="10"/>
  <c r="N55" i="10"/>
  <c r="N58" i="10"/>
  <c r="AB45" i="10"/>
  <c r="V48" i="10"/>
  <c r="V54" i="10" s="1"/>
  <c r="AC58" i="10"/>
  <c r="AL48" i="10"/>
  <c r="AL54" i="10" s="1"/>
  <c r="H55" i="10"/>
  <c r="X55" i="10"/>
  <c r="P57" i="10"/>
  <c r="AF57" i="10"/>
  <c r="AJ58" i="10"/>
  <c r="AC47" i="10"/>
  <c r="K59" i="10"/>
  <c r="K57" i="10"/>
  <c r="K55" i="10"/>
  <c r="AI59" i="10"/>
  <c r="AI57" i="10"/>
  <c r="AI55" i="10"/>
  <c r="T59" i="10"/>
  <c r="T57" i="10"/>
  <c r="T55" i="10"/>
  <c r="N46" i="10"/>
  <c r="N50" i="10" s="1"/>
  <c r="D58" i="10"/>
  <c r="AA58" i="10"/>
  <c r="C19" i="10"/>
  <c r="O48" i="10"/>
  <c r="O54" i="10" s="1"/>
  <c r="O46" i="10"/>
  <c r="O50" i="10" s="1"/>
  <c r="M59" i="10"/>
  <c r="M57" i="10"/>
  <c r="M55" i="10"/>
  <c r="AK59" i="10"/>
  <c r="AK57" i="10"/>
  <c r="AK55" i="10"/>
  <c r="AC46" i="10"/>
  <c r="AC50" i="10" s="1"/>
  <c r="U48" i="10"/>
  <c r="U54" i="10" s="1"/>
  <c r="AC56" i="10"/>
  <c r="AB58" i="10"/>
  <c r="F59" i="10"/>
  <c r="F57" i="10"/>
  <c r="F55" i="10"/>
  <c r="F58" i="10"/>
  <c r="AD59" i="10"/>
  <c r="AD57" i="10"/>
  <c r="AD55" i="10"/>
  <c r="AD58" i="10"/>
  <c r="Z53" i="10"/>
  <c r="J48" i="10"/>
  <c r="J54" i="10" s="1"/>
  <c r="J46" i="10"/>
  <c r="J50" i="10" s="1"/>
  <c r="R48" i="10"/>
  <c r="R54" i="10" s="1"/>
  <c r="R46" i="10"/>
  <c r="R50" i="10" s="1"/>
  <c r="Z48" i="10"/>
  <c r="Z54" i="10" s="1"/>
  <c r="Z46" i="10"/>
  <c r="Z50" i="10" s="1"/>
  <c r="AH48" i="10"/>
  <c r="AH54" i="10" s="1"/>
  <c r="AH46" i="10"/>
  <c r="AH50" i="10" s="1"/>
  <c r="G45" i="10"/>
  <c r="R45" i="10"/>
  <c r="H46" i="10"/>
  <c r="H50" i="10" s="1"/>
  <c r="U46" i="10"/>
  <c r="U50" i="10" s="1"/>
  <c r="J47" i="10"/>
  <c r="M48" i="10"/>
  <c r="M54" i="10" s="1"/>
  <c r="K45" i="10"/>
  <c r="S45" i="10"/>
  <c r="AA45" i="10"/>
  <c r="AI45" i="10"/>
  <c r="T45" i="10"/>
  <c r="V46" i="10"/>
  <c r="V50" i="10" s="1"/>
  <c r="N48" i="10"/>
  <c r="N54" i="10" s="1"/>
  <c r="U56" i="10"/>
  <c r="S58" i="10"/>
  <c r="AK58" i="10"/>
  <c r="I46" i="10"/>
  <c r="I50" i="10" s="1"/>
  <c r="Q46" i="10"/>
  <c r="Q50" i="10" s="1"/>
  <c r="Y46" i="10"/>
  <c r="Y50" i="10" s="1"/>
  <c r="AG46" i="10"/>
  <c r="AG50" i="10" s="1"/>
  <c r="V53" i="10" l="1"/>
  <c r="W47" i="10"/>
  <c r="W52" i="10" s="1"/>
  <c r="X53" i="10"/>
  <c r="X47" i="10"/>
  <c r="X51" i="10" s="1"/>
  <c r="AH47" i="10"/>
  <c r="AH52" i="10" s="1"/>
  <c r="AJ56" i="10"/>
  <c r="AJ47" i="10"/>
  <c r="AJ49" i="10" s="1"/>
  <c r="AL53" i="10"/>
  <c r="F47" i="10"/>
  <c r="F51" i="10" s="1"/>
  <c r="E47" i="10"/>
  <c r="E51" i="10" s="1"/>
  <c r="C48" i="10"/>
  <c r="C54" i="10" s="1"/>
  <c r="C45" i="10"/>
  <c r="C47" i="10" s="1"/>
  <c r="C52" i="10" s="1"/>
  <c r="N47" i="10"/>
  <c r="N51" i="10" s="1"/>
  <c r="AD56" i="10"/>
  <c r="C58" i="10"/>
  <c r="AG47" i="10"/>
  <c r="AG52" i="10" s="1"/>
  <c r="C55" i="10"/>
  <c r="Z49" i="10"/>
  <c r="V47" i="10"/>
  <c r="V51" i="10" s="1"/>
  <c r="AL47" i="10"/>
  <c r="AL49" i="10" s="1"/>
  <c r="C57" i="10"/>
  <c r="Q56" i="10"/>
  <c r="Q47" i="10"/>
  <c r="Q52" i="10" s="1"/>
  <c r="P53" i="10"/>
  <c r="Y47" i="10"/>
  <c r="Y52" i="10" s="1"/>
  <c r="AK53" i="10"/>
  <c r="O53" i="10"/>
  <c r="AH53" i="10"/>
  <c r="U53" i="10"/>
  <c r="N53" i="10"/>
  <c r="U51" i="10"/>
  <c r="U49" i="10"/>
  <c r="U52" i="10"/>
  <c r="Y53" i="10"/>
  <c r="G56" i="10"/>
  <c r="G47" i="10"/>
  <c r="G53" i="10"/>
  <c r="AF52" i="10"/>
  <c r="AF49" i="10"/>
  <c r="AF51" i="10"/>
  <c r="AC51" i="10"/>
  <c r="AC49" i="10"/>
  <c r="AC52" i="10"/>
  <c r="AE56" i="10"/>
  <c r="AE47" i="10"/>
  <c r="AE53" i="10"/>
  <c r="F53" i="10"/>
  <c r="M51" i="10"/>
  <c r="M49" i="10"/>
  <c r="M52" i="10"/>
  <c r="M53" i="10"/>
  <c r="Z52" i="10"/>
  <c r="W53" i="10"/>
  <c r="H53" i="10"/>
  <c r="AI53" i="10"/>
  <c r="AI47" i="10"/>
  <c r="AI56" i="10"/>
  <c r="AG53" i="10"/>
  <c r="AA53" i="10"/>
  <c r="AA47" i="10"/>
  <c r="AA56" i="10"/>
  <c r="V49" i="10"/>
  <c r="V52" i="10"/>
  <c r="S53" i="10"/>
  <c r="S47" i="10"/>
  <c r="S56" i="10"/>
  <c r="J52" i="10"/>
  <c r="J51" i="10"/>
  <c r="J49" i="10"/>
  <c r="E53" i="10"/>
  <c r="AD51" i="10"/>
  <c r="AD49" i="10"/>
  <c r="AD52" i="10"/>
  <c r="I52" i="10"/>
  <c r="I51" i="10"/>
  <c r="I49" i="10"/>
  <c r="H51" i="10"/>
  <c r="H52" i="10"/>
  <c r="H49" i="10"/>
  <c r="R56" i="10"/>
  <c r="R47" i="10"/>
  <c r="R53" i="10"/>
  <c r="P49" i="10"/>
  <c r="P51" i="10"/>
  <c r="P52" i="10"/>
  <c r="Q53" i="10"/>
  <c r="AB53" i="10"/>
  <c r="AB47" i="10"/>
  <c r="AB56" i="10"/>
  <c r="AK51" i="10"/>
  <c r="AK49" i="10"/>
  <c r="AK52" i="10"/>
  <c r="O52" i="10"/>
  <c r="O51" i="10"/>
  <c r="O49" i="10"/>
  <c r="K53" i="10"/>
  <c r="K47" i="10"/>
  <c r="K56" i="10"/>
  <c r="F49" i="10"/>
  <c r="F52" i="10"/>
  <c r="AF53" i="10"/>
  <c r="AC53" i="10"/>
  <c r="D47" i="10"/>
  <c r="D56" i="10"/>
  <c r="D53" i="10"/>
  <c r="T53" i="10"/>
  <c r="T47" i="10"/>
  <c r="T56" i="10"/>
  <c r="X52" i="10"/>
  <c r="X49" i="10"/>
  <c r="J53" i="10"/>
  <c r="L53" i="10"/>
  <c r="L47" i="10"/>
  <c r="L56" i="10"/>
  <c r="AD53" i="10"/>
  <c r="I53" i="10"/>
  <c r="AH49" i="10"/>
  <c r="W51" i="10" l="1"/>
  <c r="W49" i="10"/>
  <c r="AH51" i="10"/>
  <c r="AJ52" i="10"/>
  <c r="AJ51" i="10"/>
  <c r="AL51" i="10"/>
  <c r="N49" i="10"/>
  <c r="N52" i="10"/>
  <c r="E49" i="10"/>
  <c r="E52" i="10"/>
  <c r="C49" i="10"/>
  <c r="C51" i="10"/>
  <c r="C56" i="10"/>
  <c r="C53" i="10"/>
  <c r="AG49" i="10"/>
  <c r="AG51" i="10"/>
  <c r="AL52" i="10"/>
  <c r="Y49" i="10"/>
  <c r="Y51" i="10"/>
  <c r="Q51" i="10"/>
  <c r="Q49" i="10"/>
  <c r="T49" i="10"/>
  <c r="T51" i="10"/>
  <c r="T52" i="10"/>
  <c r="K51" i="10"/>
  <c r="K49" i="10"/>
  <c r="K52" i="10"/>
  <c r="D49" i="10"/>
  <c r="D52" i="10"/>
  <c r="D51" i="10"/>
  <c r="S51" i="10"/>
  <c r="S49" i="10"/>
  <c r="S52" i="10"/>
  <c r="AE52" i="10"/>
  <c r="AE49" i="10"/>
  <c r="AE51" i="10"/>
  <c r="L52" i="10"/>
  <c r="L49" i="10"/>
  <c r="L51" i="10"/>
  <c r="R52" i="10"/>
  <c r="R51" i="10"/>
  <c r="R49" i="10"/>
  <c r="AA51" i="10"/>
  <c r="AA49" i="10"/>
  <c r="AA52" i="10"/>
  <c r="AB51" i="10"/>
  <c r="AB49" i="10"/>
  <c r="AB52" i="10"/>
  <c r="AI51" i="10"/>
  <c r="AI49" i="10"/>
  <c r="AI52" i="10"/>
  <c r="G52" i="10"/>
  <c r="G49" i="10"/>
  <c r="G51" i="10"/>
  <c r="V19" i="9" l="1"/>
  <c r="AX19" i="9" l="1"/>
  <c r="AV19" i="9" l="1"/>
  <c r="AU25" i="9" l="1"/>
  <c r="AD19" i="9" l="1"/>
  <c r="AC19" i="9" l="1"/>
  <c r="W19" i="9" l="1"/>
  <c r="N19" i="9" l="1"/>
  <c r="K19" i="9" l="1"/>
  <c r="F21" i="9" l="1"/>
  <c r="C21" i="9" l="1"/>
  <c r="C22" i="9"/>
  <c r="C23" i="9"/>
  <c r="C24" i="9"/>
  <c r="C25" i="9"/>
  <c r="C26" i="9"/>
  <c r="C27" i="9"/>
  <c r="C28" i="9"/>
  <c r="BC44" i="9"/>
  <c r="BB44" i="9"/>
  <c r="BA44" i="9"/>
  <c r="AZ44" i="9"/>
  <c r="AZ58" i="9" s="1"/>
  <c r="AY44" i="9"/>
  <c r="AX44" i="9"/>
  <c r="AX58" i="9" s="1"/>
  <c r="AW44" i="9"/>
  <c r="AW57" i="9" s="1"/>
  <c r="AV44" i="9"/>
  <c r="AV58" i="9" s="1"/>
  <c r="AU44" i="9"/>
  <c r="AT44" i="9"/>
  <c r="AS44" i="9"/>
  <c r="AS58" i="9" s="1"/>
  <c r="AR44" i="9"/>
  <c r="AR59" i="9" s="1"/>
  <c r="AQ44" i="9"/>
  <c r="AQ59" i="9" s="1"/>
  <c r="AP44" i="9"/>
  <c r="AP55" i="9" s="1"/>
  <c r="AO44" i="9"/>
  <c r="AN44" i="9"/>
  <c r="AM44" i="9"/>
  <c r="AL44" i="9"/>
  <c r="AK44" i="9"/>
  <c r="AK58" i="9" s="1"/>
  <c r="AJ44" i="9"/>
  <c r="AJ55" i="9" s="1"/>
  <c r="AI44" i="9"/>
  <c r="AI57" i="9" s="1"/>
  <c r="AH44" i="9"/>
  <c r="AH57" i="9" s="1"/>
  <c r="AG44" i="9"/>
  <c r="AG57" i="9" s="1"/>
  <c r="AF44" i="9"/>
  <c r="AE44" i="9"/>
  <c r="AD44" i="9"/>
  <c r="AC44" i="9"/>
  <c r="AC58" i="9" s="1"/>
  <c r="AB44" i="9"/>
  <c r="AB55" i="9" s="1"/>
  <c r="AA44" i="9"/>
  <c r="Z44" i="9"/>
  <c r="Y44" i="9"/>
  <c r="Y58" i="9" s="1"/>
  <c r="X44" i="9"/>
  <c r="W44" i="9"/>
  <c r="V44" i="9"/>
  <c r="U44" i="9"/>
  <c r="U58" i="9" s="1"/>
  <c r="T44" i="9"/>
  <c r="T59" i="9" s="1"/>
  <c r="S44" i="9"/>
  <c r="S57" i="9" s="1"/>
  <c r="R44" i="9"/>
  <c r="R59" i="9" s="1"/>
  <c r="Q44" i="9"/>
  <c r="Q55" i="9" s="1"/>
  <c r="P44" i="9"/>
  <c r="O44" i="9"/>
  <c r="N44" i="9"/>
  <c r="M44" i="9"/>
  <c r="M58" i="9" s="1"/>
  <c r="L44" i="9"/>
  <c r="L59" i="9" s="1"/>
  <c r="K44" i="9"/>
  <c r="K57" i="9" s="1"/>
  <c r="J44" i="9"/>
  <c r="J57" i="9" s="1"/>
  <c r="I44" i="9"/>
  <c r="I58" i="9" s="1"/>
  <c r="H44" i="9"/>
  <c r="G44" i="9"/>
  <c r="F44" i="9"/>
  <c r="E44" i="9"/>
  <c r="E58" i="9" s="1"/>
  <c r="D44" i="9"/>
  <c r="D59" i="9" s="1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BC29" i="9"/>
  <c r="BB29" i="9"/>
  <c r="BB46" i="9" s="1"/>
  <c r="BB50" i="9" s="1"/>
  <c r="BA29" i="9"/>
  <c r="BA46" i="9" s="1"/>
  <c r="BA50" i="9" s="1"/>
  <c r="AZ29" i="9"/>
  <c r="AZ48" i="9" s="1"/>
  <c r="AZ54" i="9" s="1"/>
  <c r="AY29" i="9"/>
  <c r="AY48" i="9" s="1"/>
  <c r="AY54" i="9" s="1"/>
  <c r="AX29" i="9"/>
  <c r="AX48" i="9" s="1"/>
  <c r="AX54" i="9" s="1"/>
  <c r="AW29" i="9"/>
  <c r="AW48" i="9" s="1"/>
  <c r="AW54" i="9" s="1"/>
  <c r="AV29" i="9"/>
  <c r="AV46" i="9" s="1"/>
  <c r="AV50" i="9" s="1"/>
  <c r="AU29" i="9"/>
  <c r="AT29" i="9"/>
  <c r="AT46" i="9" s="1"/>
  <c r="AT50" i="9" s="1"/>
  <c r="AS29" i="9"/>
  <c r="AR29" i="9"/>
  <c r="AR48" i="9" s="1"/>
  <c r="AR54" i="9" s="1"/>
  <c r="AQ29" i="9"/>
  <c r="AQ48" i="9" s="1"/>
  <c r="AQ54" i="9" s="1"/>
  <c r="AP29" i="9"/>
  <c r="AP48" i="9" s="1"/>
  <c r="AP54" i="9" s="1"/>
  <c r="AO29" i="9"/>
  <c r="AO46" i="9" s="1"/>
  <c r="AO50" i="9" s="1"/>
  <c r="AN29" i="9"/>
  <c r="AM29" i="9"/>
  <c r="AM48" i="9" s="1"/>
  <c r="AM54" i="9" s="1"/>
  <c r="AL29" i="9"/>
  <c r="AL48" i="9" s="1"/>
  <c r="AL54" i="9" s="1"/>
  <c r="AK29" i="9"/>
  <c r="AJ29" i="9"/>
  <c r="AI29" i="9"/>
  <c r="AH29" i="9"/>
  <c r="AG29" i="9"/>
  <c r="AG46" i="9" s="1"/>
  <c r="AG50" i="9" s="1"/>
  <c r="AF29" i="9"/>
  <c r="AE29" i="9"/>
  <c r="AE46" i="9" s="1"/>
  <c r="AE50" i="9" s="1"/>
  <c r="AD29" i="9"/>
  <c r="AD46" i="9" s="1"/>
  <c r="AD50" i="9" s="1"/>
  <c r="AC29" i="9"/>
  <c r="AC48" i="9" s="1"/>
  <c r="AC54" i="9" s="1"/>
  <c r="AB29" i="9"/>
  <c r="AA29" i="9"/>
  <c r="Z29" i="9"/>
  <c r="Z48" i="9" s="1"/>
  <c r="Z54" i="9" s="1"/>
  <c r="Y29" i="9"/>
  <c r="Y46" i="9" s="1"/>
  <c r="Y50" i="9" s="1"/>
  <c r="X29" i="9"/>
  <c r="W29" i="9"/>
  <c r="W46" i="9" s="1"/>
  <c r="W50" i="9" s="1"/>
  <c r="V29" i="9"/>
  <c r="V46" i="9" s="1"/>
  <c r="V50" i="9" s="1"/>
  <c r="U29" i="9"/>
  <c r="U48" i="9" s="1"/>
  <c r="U54" i="9" s="1"/>
  <c r="T29" i="9"/>
  <c r="T48" i="9" s="1"/>
  <c r="T54" i="9" s="1"/>
  <c r="S29" i="9"/>
  <c r="R29" i="9"/>
  <c r="R48" i="9" s="1"/>
  <c r="R54" i="9" s="1"/>
  <c r="Q29" i="9"/>
  <c r="Q46" i="9" s="1"/>
  <c r="Q50" i="9" s="1"/>
  <c r="P29" i="9"/>
  <c r="O29" i="9"/>
  <c r="O48" i="9" s="1"/>
  <c r="O54" i="9" s="1"/>
  <c r="N29" i="9"/>
  <c r="N46" i="9" s="1"/>
  <c r="N50" i="9" s="1"/>
  <c r="M29" i="9"/>
  <c r="L29" i="9"/>
  <c r="L48" i="9" s="1"/>
  <c r="L54" i="9" s="1"/>
  <c r="K29" i="9"/>
  <c r="K48" i="9" s="1"/>
  <c r="K54" i="9" s="1"/>
  <c r="J29" i="9"/>
  <c r="J48" i="9" s="1"/>
  <c r="J54" i="9" s="1"/>
  <c r="I29" i="9"/>
  <c r="I46" i="9" s="1"/>
  <c r="I50" i="9" s="1"/>
  <c r="H29" i="9"/>
  <c r="G29" i="9"/>
  <c r="F29" i="9"/>
  <c r="E29" i="9"/>
  <c r="D29" i="9"/>
  <c r="BC19" i="9"/>
  <c r="BB19" i="9"/>
  <c r="BA19" i="9"/>
  <c r="AZ19" i="9"/>
  <c r="AY19" i="9"/>
  <c r="AW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B19" i="9"/>
  <c r="AA19" i="9"/>
  <c r="Z19" i="9"/>
  <c r="Y19" i="9"/>
  <c r="X19" i="9"/>
  <c r="U19" i="9"/>
  <c r="T19" i="9"/>
  <c r="S19" i="9"/>
  <c r="R19" i="9"/>
  <c r="Q19" i="9"/>
  <c r="P19" i="9"/>
  <c r="O19" i="9"/>
  <c r="M19" i="9"/>
  <c r="L19" i="9"/>
  <c r="J19" i="9"/>
  <c r="I19" i="9"/>
  <c r="H19" i="9"/>
  <c r="G19" i="9"/>
  <c r="F19" i="9"/>
  <c r="E19" i="9"/>
  <c r="D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AZ55" i="9" l="1"/>
  <c r="I57" i="9"/>
  <c r="AV57" i="9"/>
  <c r="AZ57" i="9"/>
  <c r="AC55" i="9"/>
  <c r="AC59" i="9"/>
  <c r="Y55" i="9"/>
  <c r="X45" i="9"/>
  <c r="X47" i="9" s="1"/>
  <c r="U59" i="9"/>
  <c r="I55" i="9"/>
  <c r="E57" i="9"/>
  <c r="E55" i="9"/>
  <c r="D55" i="9"/>
  <c r="M57" i="9"/>
  <c r="J55" i="9"/>
  <c r="Y57" i="9"/>
  <c r="S58" i="9"/>
  <c r="AK59" i="9"/>
  <c r="J58" i="9"/>
  <c r="AJ59" i="9"/>
  <c r="AH45" i="9"/>
  <c r="K55" i="9"/>
  <c r="AQ55" i="9"/>
  <c r="AC57" i="9"/>
  <c r="AG58" i="9"/>
  <c r="K58" i="9"/>
  <c r="C44" i="9"/>
  <c r="C58" i="9" s="1"/>
  <c r="T55" i="9"/>
  <c r="AR55" i="9"/>
  <c r="AK57" i="9"/>
  <c r="AH58" i="9"/>
  <c r="S59" i="9"/>
  <c r="AW58" i="9"/>
  <c r="AI59" i="9"/>
  <c r="E59" i="9"/>
  <c r="Y45" i="9"/>
  <c r="Y56" i="9" s="1"/>
  <c r="U55" i="9"/>
  <c r="AS55" i="9"/>
  <c r="AS57" i="9"/>
  <c r="AI58" i="9"/>
  <c r="AS59" i="9"/>
  <c r="R46" i="9"/>
  <c r="R50" i="9" s="1"/>
  <c r="T46" i="9"/>
  <c r="T50" i="9" s="1"/>
  <c r="C29" i="9"/>
  <c r="C48" i="9" s="1"/>
  <c r="C54" i="9" s="1"/>
  <c r="AQ46" i="9"/>
  <c r="AQ50" i="9" s="1"/>
  <c r="AR46" i="9"/>
  <c r="AR50" i="9" s="1"/>
  <c r="N48" i="9"/>
  <c r="N54" i="9" s="1"/>
  <c r="U46" i="9"/>
  <c r="U50" i="9" s="1"/>
  <c r="AG48" i="9"/>
  <c r="AG54" i="9" s="1"/>
  <c r="AH48" i="9"/>
  <c r="AH54" i="9" s="1"/>
  <c r="AH46" i="9"/>
  <c r="AH50" i="9" s="1"/>
  <c r="AP46" i="9"/>
  <c r="AP50" i="9" s="1"/>
  <c r="AP45" i="9"/>
  <c r="AP47" i="9" s="1"/>
  <c r="AP51" i="9" s="1"/>
  <c r="Q48" i="9"/>
  <c r="Q54" i="9" s="1"/>
  <c r="AO48" i="9"/>
  <c r="AO54" i="9" s="1"/>
  <c r="J45" i="9"/>
  <c r="J56" i="9" s="1"/>
  <c r="AY45" i="9"/>
  <c r="AY56" i="9" s="1"/>
  <c r="Z46" i="9"/>
  <c r="Z50" i="9" s="1"/>
  <c r="AZ46" i="9"/>
  <c r="AZ50" i="9" s="1"/>
  <c r="Y48" i="9"/>
  <c r="Y54" i="9" s="1"/>
  <c r="AG45" i="9"/>
  <c r="AG47" i="9" s="1"/>
  <c r="AG49" i="9" s="1"/>
  <c r="AF45" i="9"/>
  <c r="AF47" i="9" s="1"/>
  <c r="U45" i="9"/>
  <c r="U47" i="9" s="1"/>
  <c r="AZ45" i="9"/>
  <c r="AZ47" i="9" s="1"/>
  <c r="AV48" i="9"/>
  <c r="AV54" i="9" s="1"/>
  <c r="AR45" i="9"/>
  <c r="AW46" i="9"/>
  <c r="AW50" i="9" s="1"/>
  <c r="J46" i="9"/>
  <c r="J50" i="9" s="1"/>
  <c r="C19" i="9"/>
  <c r="AF56" i="9"/>
  <c r="N58" i="9"/>
  <c r="N59" i="9"/>
  <c r="N55" i="9"/>
  <c r="N57" i="9"/>
  <c r="AL58" i="9"/>
  <c r="AL59" i="9"/>
  <c r="AL55" i="9"/>
  <c r="AL57" i="9"/>
  <c r="S48" i="9"/>
  <c r="S54" i="9" s="1"/>
  <c r="S46" i="9"/>
  <c r="S50" i="9" s="1"/>
  <c r="S45" i="9"/>
  <c r="AI48" i="9"/>
  <c r="AI54" i="9" s="1"/>
  <c r="AI46" i="9"/>
  <c r="AI50" i="9" s="1"/>
  <c r="AI45" i="9"/>
  <c r="W59" i="9"/>
  <c r="W55" i="9"/>
  <c r="W57" i="9"/>
  <c r="W58" i="9"/>
  <c r="BB59" i="9"/>
  <c r="BB55" i="9"/>
  <c r="BB58" i="9"/>
  <c r="BB57" i="9"/>
  <c r="D46" i="9"/>
  <c r="D50" i="9" s="1"/>
  <c r="D45" i="9"/>
  <c r="AB48" i="9"/>
  <c r="AB54" i="9" s="1"/>
  <c r="AB46" i="9"/>
  <c r="AB50" i="9" s="1"/>
  <c r="AB45" i="9"/>
  <c r="X59" i="9"/>
  <c r="X55" i="9"/>
  <c r="X57" i="9"/>
  <c r="X58" i="9"/>
  <c r="AN59" i="9"/>
  <c r="AN55" i="9"/>
  <c r="AN57" i="9"/>
  <c r="AN58" i="9"/>
  <c r="E46" i="9"/>
  <c r="E50" i="9" s="1"/>
  <c r="E48" i="9"/>
  <c r="E54" i="9" s="1"/>
  <c r="E45" i="9"/>
  <c r="M46" i="9"/>
  <c r="M50" i="9" s="1"/>
  <c r="M45" i="9"/>
  <c r="AC46" i="9"/>
  <c r="AC50" i="9" s="1"/>
  <c r="AC45" i="9"/>
  <c r="AK48" i="9"/>
  <c r="AK54" i="9" s="1"/>
  <c r="AK45" i="9"/>
  <c r="AK46" i="9"/>
  <c r="AK50" i="9" s="1"/>
  <c r="AS48" i="9"/>
  <c r="AS54" i="9" s="1"/>
  <c r="AS46" i="9"/>
  <c r="AS50" i="9" s="1"/>
  <c r="AS45" i="9"/>
  <c r="G58" i="9"/>
  <c r="AG56" i="9"/>
  <c r="AY46" i="9"/>
  <c r="AY50" i="9" s="1"/>
  <c r="AE59" i="9"/>
  <c r="AE55" i="9"/>
  <c r="AE57" i="9"/>
  <c r="AE58" i="9"/>
  <c r="H59" i="9"/>
  <c r="H55" i="9"/>
  <c r="H57" i="9"/>
  <c r="H58" i="9"/>
  <c r="K46" i="9"/>
  <c r="K50" i="9" s="1"/>
  <c r="F58" i="9"/>
  <c r="F59" i="9"/>
  <c r="F55" i="9"/>
  <c r="F57" i="9"/>
  <c r="AD58" i="9"/>
  <c r="AD59" i="9"/>
  <c r="AD55" i="9"/>
  <c r="AD57" i="9"/>
  <c r="BA58" i="9"/>
  <c r="BA59" i="9"/>
  <c r="BA55" i="9"/>
  <c r="BA57" i="9"/>
  <c r="O59" i="9"/>
  <c r="O55" i="9"/>
  <c r="O57" i="9"/>
  <c r="O58" i="9"/>
  <c r="AJ48" i="9"/>
  <c r="AJ54" i="9" s="1"/>
  <c r="AJ46" i="9"/>
  <c r="AJ50" i="9" s="1"/>
  <c r="AJ45" i="9"/>
  <c r="P59" i="9"/>
  <c r="P55" i="9"/>
  <c r="P58" i="9"/>
  <c r="P57" i="9"/>
  <c r="AU59" i="9"/>
  <c r="AU55" i="9"/>
  <c r="AU58" i="9"/>
  <c r="L45" i="9"/>
  <c r="L46" i="9"/>
  <c r="L50" i="9" s="1"/>
  <c r="D48" i="9"/>
  <c r="D54" i="9" s="1"/>
  <c r="V58" i="9"/>
  <c r="V59" i="9"/>
  <c r="V55" i="9"/>
  <c r="V57" i="9"/>
  <c r="AT58" i="9"/>
  <c r="AT59" i="9"/>
  <c r="AT55" i="9"/>
  <c r="AT57" i="9"/>
  <c r="AA48" i="9"/>
  <c r="AA54" i="9" s="1"/>
  <c r="AA46" i="9"/>
  <c r="AA50" i="9" s="1"/>
  <c r="AA45" i="9"/>
  <c r="AX46" i="9"/>
  <c r="AX50" i="9" s="1"/>
  <c r="AX45" i="9"/>
  <c r="G59" i="9"/>
  <c r="G55" i="9"/>
  <c r="G57" i="9"/>
  <c r="AM59" i="9"/>
  <c r="AM55" i="9"/>
  <c r="AM58" i="9"/>
  <c r="AM57" i="9"/>
  <c r="AF59" i="9"/>
  <c r="AF55" i="9"/>
  <c r="AF58" i="9"/>
  <c r="AF57" i="9"/>
  <c r="BC59" i="9"/>
  <c r="BC55" i="9"/>
  <c r="BC57" i="9"/>
  <c r="BC58" i="9"/>
  <c r="BC45" i="9"/>
  <c r="K45" i="9"/>
  <c r="P45" i="9"/>
  <c r="AN45" i="9"/>
  <c r="AU45" i="9"/>
  <c r="T45" i="9"/>
  <c r="AQ45" i="9"/>
  <c r="M48" i="9"/>
  <c r="M54" i="9" s="1"/>
  <c r="AU57" i="9"/>
  <c r="F45" i="9"/>
  <c r="AL45" i="9"/>
  <c r="G45" i="9"/>
  <c r="O45" i="9"/>
  <c r="W45" i="9"/>
  <c r="AE45" i="9"/>
  <c r="AM45" i="9"/>
  <c r="BB48" i="9"/>
  <c r="BB54" i="9" s="1"/>
  <c r="BB45" i="9"/>
  <c r="R57" i="9"/>
  <c r="R58" i="9"/>
  <c r="Z57" i="9"/>
  <c r="Z55" i="9"/>
  <c r="Z59" i="9"/>
  <c r="AP57" i="9"/>
  <c r="AP59" i="9"/>
  <c r="AP58" i="9"/>
  <c r="Z45" i="9"/>
  <c r="F48" i="9"/>
  <c r="F54" i="9" s="1"/>
  <c r="AE48" i="9"/>
  <c r="AE54" i="9" s="1"/>
  <c r="AG55" i="9"/>
  <c r="AV55" i="9"/>
  <c r="I59" i="9"/>
  <c r="Y59" i="9"/>
  <c r="V45" i="9"/>
  <c r="BA48" i="9"/>
  <c r="BA54" i="9" s="1"/>
  <c r="BA45" i="9"/>
  <c r="P48" i="9"/>
  <c r="P54" i="9" s="1"/>
  <c r="P46" i="9"/>
  <c r="P50" i="9" s="1"/>
  <c r="AF48" i="9"/>
  <c r="AF54" i="9" s="1"/>
  <c r="AF46" i="9"/>
  <c r="AF50" i="9" s="1"/>
  <c r="AU48" i="9"/>
  <c r="AU54" i="9" s="1"/>
  <c r="AU46" i="9"/>
  <c r="AU50" i="9" s="1"/>
  <c r="AA57" i="9"/>
  <c r="AA55" i="9"/>
  <c r="AA58" i="9"/>
  <c r="AA59" i="9"/>
  <c r="AQ57" i="9"/>
  <c r="AQ58" i="9"/>
  <c r="AH55" i="9"/>
  <c r="R45" i="9"/>
  <c r="V48" i="9"/>
  <c r="V54" i="9" s="1"/>
  <c r="S55" i="9"/>
  <c r="AI55" i="9"/>
  <c r="K59" i="9"/>
  <c r="AG59" i="9"/>
  <c r="AV59" i="9"/>
  <c r="N45" i="9"/>
  <c r="AD45" i="9"/>
  <c r="AT48" i="9"/>
  <c r="AT54" i="9" s="1"/>
  <c r="AT45" i="9"/>
  <c r="Q59" i="9"/>
  <c r="Q57" i="9"/>
  <c r="Q58" i="9"/>
  <c r="AO55" i="9"/>
  <c r="AO59" i="9"/>
  <c r="AO58" i="9"/>
  <c r="AD48" i="9"/>
  <c r="AD54" i="9" s="1"/>
  <c r="H48" i="9"/>
  <c r="H54" i="9" s="1"/>
  <c r="H46" i="9"/>
  <c r="H50" i="9" s="1"/>
  <c r="X48" i="9"/>
  <c r="X54" i="9" s="1"/>
  <c r="X46" i="9"/>
  <c r="X50" i="9" s="1"/>
  <c r="AN48" i="9"/>
  <c r="AN54" i="9" s="1"/>
  <c r="AN46" i="9"/>
  <c r="AN50" i="9" s="1"/>
  <c r="BC48" i="9"/>
  <c r="BC54" i="9" s="1"/>
  <c r="BC46" i="9"/>
  <c r="BC50" i="9" s="1"/>
  <c r="AX57" i="9"/>
  <c r="AX55" i="9"/>
  <c r="AX59" i="9"/>
  <c r="Q45" i="9"/>
  <c r="AV45" i="9"/>
  <c r="O46" i="9"/>
  <c r="O50" i="9" s="1"/>
  <c r="G48" i="9"/>
  <c r="G54" i="9" s="1"/>
  <c r="R55" i="9"/>
  <c r="AW55" i="9"/>
  <c r="J59" i="9"/>
  <c r="H45" i="9"/>
  <c r="AW45" i="9"/>
  <c r="F46" i="9"/>
  <c r="F50" i="9" s="1"/>
  <c r="AL46" i="9"/>
  <c r="AL50" i="9" s="1"/>
  <c r="I45" i="9"/>
  <c r="AO45" i="9"/>
  <c r="G46" i="9"/>
  <c r="G50" i="9" s="1"/>
  <c r="AM46" i="9"/>
  <c r="AM50" i="9" s="1"/>
  <c r="W48" i="9"/>
  <c r="W54" i="9" s="1"/>
  <c r="AO57" i="9"/>
  <c r="Z58" i="9"/>
  <c r="AH59" i="9"/>
  <c r="AW59" i="9"/>
  <c r="D57" i="9"/>
  <c r="D58" i="9"/>
  <c r="L57" i="9"/>
  <c r="L58" i="9"/>
  <c r="T57" i="9"/>
  <c r="T58" i="9"/>
  <c r="AB57" i="9"/>
  <c r="AB58" i="9"/>
  <c r="AJ57" i="9"/>
  <c r="AJ58" i="9"/>
  <c r="AR57" i="9"/>
  <c r="AR58" i="9"/>
  <c r="AY57" i="9"/>
  <c r="AY58" i="9"/>
  <c r="I48" i="9"/>
  <c r="I54" i="9" s="1"/>
  <c r="L55" i="9"/>
  <c r="AK55" i="9"/>
  <c r="U57" i="9"/>
  <c r="M59" i="9"/>
  <c r="AY59" i="9"/>
  <c r="M55" i="9"/>
  <c r="AY55" i="9"/>
  <c r="AB59" i="9"/>
  <c r="AZ59" i="9"/>
  <c r="X56" i="9" l="1"/>
  <c r="AP49" i="9"/>
  <c r="AH53" i="9"/>
  <c r="C46" i="9"/>
  <c r="C50" i="9" s="1"/>
  <c r="C45" i="9"/>
  <c r="C47" i="9" s="1"/>
  <c r="C51" i="9" s="1"/>
  <c r="Y47" i="9"/>
  <c r="Y49" i="9" s="1"/>
  <c r="AG52" i="9"/>
  <c r="Y53" i="9"/>
  <c r="AH56" i="9"/>
  <c r="C55" i="9"/>
  <c r="AH47" i="9"/>
  <c r="AH51" i="9" s="1"/>
  <c r="C59" i="9"/>
  <c r="C57" i="9"/>
  <c r="AG53" i="9"/>
  <c r="J47" i="9"/>
  <c r="J52" i="9" s="1"/>
  <c r="AY47" i="9"/>
  <c r="AY49" i="9" s="1"/>
  <c r="AG51" i="9"/>
  <c r="AP56" i="9"/>
  <c r="AR53" i="9"/>
  <c r="AP52" i="9"/>
  <c r="AZ53" i="9"/>
  <c r="AP53" i="9"/>
  <c r="U53" i="9"/>
  <c r="U56" i="9"/>
  <c r="J53" i="9"/>
  <c r="AR47" i="9"/>
  <c r="AR52" i="9" s="1"/>
  <c r="AR56" i="9"/>
  <c r="AZ56" i="9"/>
  <c r="X53" i="9"/>
  <c r="AO56" i="9"/>
  <c r="AO53" i="9"/>
  <c r="AO47" i="9"/>
  <c r="P56" i="9"/>
  <c r="P47" i="9"/>
  <c r="P53" i="9"/>
  <c r="I56" i="9"/>
  <c r="I53" i="9"/>
  <c r="I47" i="9"/>
  <c r="K53" i="9"/>
  <c r="K47" i="9"/>
  <c r="K56" i="9"/>
  <c r="AM47" i="9"/>
  <c r="AM53" i="9"/>
  <c r="AM56" i="9"/>
  <c r="BC56" i="9"/>
  <c r="BC53" i="9"/>
  <c r="BC47" i="9"/>
  <c r="U51" i="9"/>
  <c r="U52" i="9"/>
  <c r="U49" i="9"/>
  <c r="AS47" i="9"/>
  <c r="AS53" i="9"/>
  <c r="AS56" i="9"/>
  <c r="M47" i="9"/>
  <c r="M56" i="9"/>
  <c r="M53" i="9"/>
  <c r="D53" i="9"/>
  <c r="D47" i="9"/>
  <c r="D56" i="9"/>
  <c r="S53" i="9"/>
  <c r="S47" i="9"/>
  <c r="S56" i="9"/>
  <c r="AD47" i="9"/>
  <c r="AD56" i="9"/>
  <c r="AD53" i="9"/>
  <c r="BA47" i="9"/>
  <c r="BA56" i="9"/>
  <c r="BA53" i="9"/>
  <c r="AE53" i="9"/>
  <c r="AE56" i="9"/>
  <c r="AE47" i="9"/>
  <c r="AX53" i="9"/>
  <c r="AX56" i="9"/>
  <c r="AX47" i="9"/>
  <c r="AF52" i="9"/>
  <c r="AF51" i="9"/>
  <c r="AF49" i="9"/>
  <c r="AW56" i="9"/>
  <c r="AW53" i="9"/>
  <c r="AW47" i="9"/>
  <c r="AV56" i="9"/>
  <c r="AV47" i="9"/>
  <c r="AV53" i="9"/>
  <c r="N56" i="9"/>
  <c r="N47" i="9"/>
  <c r="N53" i="9"/>
  <c r="R56" i="9"/>
  <c r="R53" i="9"/>
  <c r="R47" i="9"/>
  <c r="W56" i="9"/>
  <c r="W53" i="9"/>
  <c r="W47" i="9"/>
  <c r="AQ53" i="9"/>
  <c r="AQ56" i="9"/>
  <c r="AQ47" i="9"/>
  <c r="AJ53" i="9"/>
  <c r="AJ47" i="9"/>
  <c r="AJ56" i="9"/>
  <c r="E53" i="9"/>
  <c r="E47" i="9"/>
  <c r="E56" i="9"/>
  <c r="AF53" i="9"/>
  <c r="H56" i="9"/>
  <c r="H53" i="9"/>
  <c r="H47" i="9"/>
  <c r="Q56" i="9"/>
  <c r="Q53" i="9"/>
  <c r="Q47" i="9"/>
  <c r="V56" i="9"/>
  <c r="V53" i="9"/>
  <c r="V47" i="9"/>
  <c r="Z56" i="9"/>
  <c r="Z53" i="9"/>
  <c r="Z47" i="9"/>
  <c r="O47" i="9"/>
  <c r="O56" i="9"/>
  <c r="O53" i="9"/>
  <c r="T53" i="9"/>
  <c r="T47" i="9"/>
  <c r="T56" i="9"/>
  <c r="AA53" i="9"/>
  <c r="AA47" i="9"/>
  <c r="AA56" i="9"/>
  <c r="AC47" i="9"/>
  <c r="AC56" i="9"/>
  <c r="AC53" i="9"/>
  <c r="X52" i="9"/>
  <c r="X49" i="9"/>
  <c r="X51" i="9"/>
  <c r="Y52" i="9"/>
  <c r="G53" i="9"/>
  <c r="G47" i="9"/>
  <c r="G56" i="9"/>
  <c r="AU56" i="9"/>
  <c r="AU47" i="9"/>
  <c r="AU53" i="9"/>
  <c r="AK56" i="9"/>
  <c r="AK53" i="9"/>
  <c r="AK47" i="9"/>
  <c r="AZ52" i="9"/>
  <c r="AZ49" i="9"/>
  <c r="AZ51" i="9"/>
  <c r="F53" i="9"/>
  <c r="F56" i="9"/>
  <c r="F47" i="9"/>
  <c r="AT47" i="9"/>
  <c r="AT53" i="9"/>
  <c r="AT56" i="9"/>
  <c r="L53" i="9"/>
  <c r="L56" i="9"/>
  <c r="L47" i="9"/>
  <c r="BB47" i="9"/>
  <c r="BB56" i="9"/>
  <c r="BB53" i="9"/>
  <c r="AL47" i="9"/>
  <c r="AL56" i="9"/>
  <c r="AL53" i="9"/>
  <c r="AN56" i="9"/>
  <c r="AN47" i="9"/>
  <c r="AN53" i="9"/>
  <c r="AB53" i="9"/>
  <c r="AB47" i="9"/>
  <c r="AB56" i="9"/>
  <c r="AI53" i="9"/>
  <c r="AI56" i="9"/>
  <c r="AI47" i="9"/>
  <c r="AY53" i="9"/>
  <c r="AY52" i="9" l="1"/>
  <c r="Y51" i="9"/>
  <c r="J49" i="9"/>
  <c r="AY51" i="9"/>
  <c r="J51" i="9"/>
  <c r="C52" i="9"/>
  <c r="C56" i="9"/>
  <c r="C49" i="9"/>
  <c r="C53" i="9"/>
  <c r="AH49" i="9"/>
  <c r="AH52" i="9"/>
  <c r="AR51" i="9"/>
  <c r="AR49" i="9"/>
  <c r="BB49" i="9"/>
  <c r="BB51" i="9"/>
  <c r="BB52" i="9"/>
  <c r="L51" i="9"/>
  <c r="L52" i="9"/>
  <c r="L49" i="9"/>
  <c r="F51" i="9"/>
  <c r="F49" i="9"/>
  <c r="F52" i="9"/>
  <c r="AU52" i="9"/>
  <c r="AU51" i="9"/>
  <c r="AU49" i="9"/>
  <c r="AC49" i="9"/>
  <c r="AC51" i="9"/>
  <c r="AC52" i="9"/>
  <c r="Q52" i="9"/>
  <c r="Q49" i="9"/>
  <c r="Q51" i="9"/>
  <c r="W52" i="9"/>
  <c r="W49" i="9"/>
  <c r="W51" i="9"/>
  <c r="AE51" i="9"/>
  <c r="AE49" i="9"/>
  <c r="AE52" i="9"/>
  <c r="AM51" i="9"/>
  <c r="AM52" i="9"/>
  <c r="AM49" i="9"/>
  <c r="AK49" i="9"/>
  <c r="AK51" i="9"/>
  <c r="AK52" i="9"/>
  <c r="O52" i="9"/>
  <c r="O51" i="9"/>
  <c r="O49" i="9"/>
  <c r="M52" i="9"/>
  <c r="M49" i="9"/>
  <c r="M51" i="9"/>
  <c r="T49" i="9"/>
  <c r="T51" i="9"/>
  <c r="T52" i="9"/>
  <c r="AQ49" i="9"/>
  <c r="AQ52" i="9"/>
  <c r="AQ51" i="9"/>
  <c r="BA51" i="9"/>
  <c r="BA49" i="9"/>
  <c r="BA52" i="9"/>
  <c r="AN52" i="9"/>
  <c r="AN51" i="9"/>
  <c r="AN49" i="9"/>
  <c r="N51" i="9"/>
  <c r="N52" i="9"/>
  <c r="N49" i="9"/>
  <c r="AI52" i="9"/>
  <c r="AI51" i="9"/>
  <c r="AI49" i="9"/>
  <c r="E49" i="9"/>
  <c r="E51" i="9"/>
  <c r="E52" i="9"/>
  <c r="AD51" i="9"/>
  <c r="AD49" i="9"/>
  <c r="AD52" i="9"/>
  <c r="P52" i="9"/>
  <c r="P49" i="9"/>
  <c r="P51" i="9"/>
  <c r="AA49" i="9"/>
  <c r="AA52" i="9"/>
  <c r="AA51" i="9"/>
  <c r="Z49" i="9"/>
  <c r="Z51" i="9"/>
  <c r="Z52" i="9"/>
  <c r="AV52" i="9"/>
  <c r="AV51" i="9"/>
  <c r="AV49" i="9"/>
  <c r="S49" i="9"/>
  <c r="S51" i="9"/>
  <c r="S52" i="9"/>
  <c r="K49" i="9"/>
  <c r="K51" i="9"/>
  <c r="K52" i="9"/>
  <c r="AO52" i="9"/>
  <c r="AO49" i="9"/>
  <c r="AO51" i="9"/>
  <c r="V51" i="9"/>
  <c r="V52" i="9"/>
  <c r="V49" i="9"/>
  <c r="AX49" i="9"/>
  <c r="AX51" i="9"/>
  <c r="AX52" i="9"/>
  <c r="D52" i="9"/>
  <c r="D49" i="9"/>
  <c r="D51" i="9"/>
  <c r="AT51" i="9"/>
  <c r="AT52" i="9"/>
  <c r="AT49" i="9"/>
  <c r="AL51" i="9"/>
  <c r="AL49" i="9"/>
  <c r="AL52" i="9"/>
  <c r="G52" i="9"/>
  <c r="G51" i="9"/>
  <c r="G49" i="9"/>
  <c r="H52" i="9"/>
  <c r="H51" i="9"/>
  <c r="H49" i="9"/>
  <c r="AJ52" i="9"/>
  <c r="AJ51" i="9"/>
  <c r="AJ49" i="9"/>
  <c r="R49" i="9"/>
  <c r="R51" i="9"/>
  <c r="R52" i="9"/>
  <c r="BC52" i="9"/>
  <c r="BC49" i="9"/>
  <c r="BC51" i="9"/>
  <c r="AB49" i="9"/>
  <c r="AB52" i="9"/>
  <c r="AB51" i="9"/>
  <c r="AW52" i="9"/>
  <c r="AW49" i="9"/>
  <c r="AW51" i="9"/>
  <c r="AS52" i="9"/>
  <c r="AS51" i="9"/>
  <c r="AS49" i="9"/>
  <c r="I49" i="9"/>
  <c r="I52" i="9"/>
  <c r="I51" i="9"/>
  <c r="C3" i="8" l="1"/>
  <c r="F3" i="8"/>
  <c r="E3" i="8"/>
  <c r="F58" i="8" l="1"/>
  <c r="D58" i="8"/>
  <c r="F56" i="8"/>
  <c r="D56" i="8"/>
  <c r="F54" i="8"/>
  <c r="D54" i="8"/>
  <c r="D44" i="8"/>
  <c r="D55" i="8" s="1"/>
  <c r="F43" i="8"/>
  <c r="F57" i="8" s="1"/>
  <c r="E43" i="8"/>
  <c r="E57" i="8" s="1"/>
  <c r="D43" i="8"/>
  <c r="D57" i="8" s="1"/>
  <c r="C42" i="8"/>
  <c r="C41" i="8"/>
  <c r="Z40" i="8"/>
  <c r="C40" i="8"/>
  <c r="C39" i="8"/>
  <c r="C38" i="8"/>
  <c r="C37" i="8"/>
  <c r="C36" i="8"/>
  <c r="C35" i="8"/>
  <c r="C34" i="8"/>
  <c r="C33" i="8"/>
  <c r="C32" i="8"/>
  <c r="C43" i="8" s="1"/>
  <c r="C31" i="8"/>
  <c r="C30" i="8"/>
  <c r="C29" i="8"/>
  <c r="F28" i="8"/>
  <c r="F47" i="8" s="1"/>
  <c r="F53" i="8" s="1"/>
  <c r="E28" i="8"/>
  <c r="E47" i="8" s="1"/>
  <c r="E53" i="8" s="1"/>
  <c r="D28" i="8"/>
  <c r="D47" i="8" s="1"/>
  <c r="D53" i="8" s="1"/>
  <c r="C27" i="8"/>
  <c r="C26" i="8"/>
  <c r="C25" i="8"/>
  <c r="C24" i="8"/>
  <c r="C23" i="8"/>
  <c r="C22" i="8"/>
  <c r="C21" i="8"/>
  <c r="C20" i="8"/>
  <c r="F18" i="8"/>
  <c r="E18" i="8"/>
  <c r="D18" i="8"/>
  <c r="C17" i="8"/>
  <c r="C16" i="8"/>
  <c r="C15" i="8"/>
  <c r="C14" i="8"/>
  <c r="C13" i="8"/>
  <c r="C18" i="8" s="1"/>
  <c r="C12" i="8"/>
  <c r="C11" i="8"/>
  <c r="C10" i="8"/>
  <c r="C9" i="8"/>
  <c r="C8" i="8"/>
  <c r="C7" i="8"/>
  <c r="C6" i="8"/>
  <c r="C5" i="8"/>
  <c r="C4" i="8"/>
  <c r="C42" i="7"/>
  <c r="C41" i="7"/>
  <c r="C40" i="7"/>
  <c r="C36" i="7"/>
  <c r="F43" i="7"/>
  <c r="F58" i="7" s="1"/>
  <c r="C26" i="7"/>
  <c r="F28" i="7"/>
  <c r="F47" i="7" s="1"/>
  <c r="F53" i="7" s="1"/>
  <c r="C17" i="7"/>
  <c r="C16" i="7"/>
  <c r="F18" i="7"/>
  <c r="C11" i="7"/>
  <c r="C9" i="7"/>
  <c r="C8" i="7"/>
  <c r="C7" i="7"/>
  <c r="E43" i="7"/>
  <c r="E54" i="7" s="1"/>
  <c r="E45" i="7"/>
  <c r="E49" i="7" s="1"/>
  <c r="E47" i="7"/>
  <c r="E53" i="7"/>
  <c r="E28" i="7"/>
  <c r="C39" i="7"/>
  <c r="C33" i="7"/>
  <c r="C30" i="7"/>
  <c r="C29" i="7"/>
  <c r="C27" i="7"/>
  <c r="E18" i="7"/>
  <c r="C6" i="7"/>
  <c r="C25" i="7"/>
  <c r="C24" i="7"/>
  <c r="D28" i="7"/>
  <c r="D45" i="7" s="1"/>
  <c r="D49" i="7" s="1"/>
  <c r="C10" i="7"/>
  <c r="C3" i="7"/>
  <c r="Z40" i="7"/>
  <c r="C38" i="7"/>
  <c r="C37" i="7"/>
  <c r="C35" i="7"/>
  <c r="C34" i="7"/>
  <c r="C32" i="7"/>
  <c r="C22" i="7"/>
  <c r="C20" i="7"/>
  <c r="C14" i="7"/>
  <c r="C13" i="7"/>
  <c r="C12" i="7"/>
  <c r="C5" i="7"/>
  <c r="C4" i="7"/>
  <c r="C28" i="8" l="1"/>
  <c r="C44" i="8" s="1"/>
  <c r="C54" i="8"/>
  <c r="C56" i="8"/>
  <c r="C58" i="8"/>
  <c r="C57" i="8"/>
  <c r="E44" i="8"/>
  <c r="E54" i="8"/>
  <c r="E56" i="8"/>
  <c r="E58" i="8"/>
  <c r="F44" i="8"/>
  <c r="D46" i="8"/>
  <c r="D45" i="8"/>
  <c r="D49" i="8" s="1"/>
  <c r="E45" i="8"/>
  <c r="E49" i="8" s="1"/>
  <c r="F45" i="8"/>
  <c r="F49" i="8" s="1"/>
  <c r="C31" i="7"/>
  <c r="C21" i="7"/>
  <c r="C15" i="7"/>
  <c r="E44" i="7"/>
  <c r="E58" i="7"/>
  <c r="E57" i="7"/>
  <c r="E56" i="7"/>
  <c r="D43" i="7"/>
  <c r="D54" i="7" s="1"/>
  <c r="C23" i="7"/>
  <c r="D18" i="7"/>
  <c r="C18" i="7"/>
  <c r="F44" i="7"/>
  <c r="F55" i="7" s="1"/>
  <c r="F57" i="7"/>
  <c r="C43" i="7"/>
  <c r="C57" i="7" s="1"/>
  <c r="F45" i="7"/>
  <c r="F49" i="7" s="1"/>
  <c r="D47" i="7"/>
  <c r="D53" i="7" s="1"/>
  <c r="F54" i="7"/>
  <c r="F56" i="7"/>
  <c r="C45" i="8" l="1"/>
  <c r="C49" i="8" s="1"/>
  <c r="C47" i="8"/>
  <c r="C53" i="8" s="1"/>
  <c r="D52" i="8"/>
  <c r="E55" i="8"/>
  <c r="E52" i="8"/>
  <c r="E46" i="8"/>
  <c r="D59" i="8"/>
  <c r="D51" i="8"/>
  <c r="D48" i="8"/>
  <c r="D50" i="8"/>
  <c r="F55" i="8"/>
  <c r="F52" i="8"/>
  <c r="F46" i="8"/>
  <c r="C46" i="8"/>
  <c r="C55" i="8"/>
  <c r="C28" i="7"/>
  <c r="C45" i="7" s="1"/>
  <c r="C49" i="7" s="1"/>
  <c r="F46" i="7"/>
  <c r="F50" i="7" s="1"/>
  <c r="E46" i="7"/>
  <c r="E52" i="7"/>
  <c r="E55" i="7"/>
  <c r="D44" i="7"/>
  <c r="D46" i="7" s="1"/>
  <c r="D56" i="7"/>
  <c r="D58" i="7"/>
  <c r="D57" i="7"/>
  <c r="C58" i="7"/>
  <c r="C56" i="7"/>
  <c r="C54" i="7"/>
  <c r="F52" i="7"/>
  <c r="F59" i="7"/>
  <c r="F51" i="7"/>
  <c r="C52" i="8" l="1"/>
  <c r="C50" i="8"/>
  <c r="C59" i="8"/>
  <c r="C51" i="8"/>
  <c r="C48" i="8"/>
  <c r="E59" i="8"/>
  <c r="E51" i="8"/>
  <c r="E50" i="8"/>
  <c r="E48" i="8"/>
  <c r="F59" i="8"/>
  <c r="F51" i="8"/>
  <c r="F50" i="8"/>
  <c r="F48" i="8"/>
  <c r="F48" i="7"/>
  <c r="C44" i="7"/>
  <c r="C55" i="7" s="1"/>
  <c r="C47" i="7"/>
  <c r="C53" i="7" s="1"/>
  <c r="E51" i="7"/>
  <c r="E48" i="7"/>
  <c r="E50" i="7"/>
  <c r="E59" i="7"/>
  <c r="D55" i="7"/>
  <c r="D59" i="7"/>
  <c r="D48" i="7"/>
  <c r="D51" i="7"/>
  <c r="D50" i="7"/>
  <c r="D52" i="7"/>
  <c r="C46" i="7" l="1"/>
  <c r="C52" i="7"/>
  <c r="C51" i="7" l="1"/>
  <c r="C59" i="7"/>
  <c r="C50" i="7"/>
  <c r="C48" i="7"/>
  <c r="C34" i="5" l="1"/>
  <c r="C44" i="5" s="1"/>
  <c r="C32" i="6" l="1"/>
  <c r="C31" i="6"/>
  <c r="C17" i="6"/>
  <c r="D19" i="6"/>
  <c r="C11" i="6"/>
  <c r="R59" i="6"/>
  <c r="AI58" i="6"/>
  <c r="AA58" i="6"/>
  <c r="Z57" i="6"/>
  <c r="Y57" i="6"/>
  <c r="J57" i="6"/>
  <c r="I57" i="6"/>
  <c r="H57" i="6"/>
  <c r="R55" i="6"/>
  <c r="AA54" i="6"/>
  <c r="AJ48" i="6"/>
  <c r="AJ54" i="6" s="1"/>
  <c r="AA48" i="6"/>
  <c r="S48" i="6"/>
  <c r="S54" i="6" s="1"/>
  <c r="L48" i="6"/>
  <c r="L54" i="6" s="1"/>
  <c r="K48" i="6"/>
  <c r="K54" i="6" s="1"/>
  <c r="AI46" i="6"/>
  <c r="AI50" i="6" s="1"/>
  <c r="AA46" i="6"/>
  <c r="AA50" i="6" s="1"/>
  <c r="T46" i="6"/>
  <c r="T50" i="6" s="1"/>
  <c r="S46" i="6"/>
  <c r="S50" i="6" s="1"/>
  <c r="K45" i="6"/>
  <c r="J45" i="6"/>
  <c r="J56" i="6" s="1"/>
  <c r="I45" i="6"/>
  <c r="I56" i="6" s="1"/>
  <c r="AL44" i="6"/>
  <c r="AK44" i="6"/>
  <c r="AK58" i="6" s="1"/>
  <c r="AJ44" i="6"/>
  <c r="AI44" i="6"/>
  <c r="AH44" i="6"/>
  <c r="AH58" i="6" s="1"/>
  <c r="AG44" i="6"/>
  <c r="AG58" i="6" s="1"/>
  <c r="AF44" i="6"/>
  <c r="AF58" i="6" s="1"/>
  <c r="AE44" i="6"/>
  <c r="AE58" i="6" s="1"/>
  <c r="AD44" i="6"/>
  <c r="AD58" i="6" s="1"/>
  <c r="AC44" i="6"/>
  <c r="AC58" i="6" s="1"/>
  <c r="AB44" i="6"/>
  <c r="AA44" i="6"/>
  <c r="AA45" i="6" s="1"/>
  <c r="AA53" i="6" s="1"/>
  <c r="Z44" i="6"/>
  <c r="Z58" i="6" s="1"/>
  <c r="Y44" i="6"/>
  <c r="Y58" i="6" s="1"/>
  <c r="X44" i="6"/>
  <c r="X58" i="6" s="1"/>
  <c r="W44" i="6"/>
  <c r="W58" i="6" s="1"/>
  <c r="V44" i="6"/>
  <c r="U44" i="6"/>
  <c r="T44" i="6"/>
  <c r="S44" i="6"/>
  <c r="S58" i="6" s="1"/>
  <c r="R44" i="6"/>
  <c r="R58" i="6" s="1"/>
  <c r="Q44" i="6"/>
  <c r="Q58" i="6" s="1"/>
  <c r="P44" i="6"/>
  <c r="P58" i="6" s="1"/>
  <c r="O44" i="6"/>
  <c r="O58" i="6" s="1"/>
  <c r="N44" i="6"/>
  <c r="M44" i="6"/>
  <c r="L44" i="6"/>
  <c r="K44" i="6"/>
  <c r="K58" i="6" s="1"/>
  <c r="J44" i="6"/>
  <c r="J58" i="6" s="1"/>
  <c r="I44" i="6"/>
  <c r="I58" i="6" s="1"/>
  <c r="H44" i="6"/>
  <c r="H58" i="6" s="1"/>
  <c r="G44" i="6"/>
  <c r="G58" i="6" s="1"/>
  <c r="F44" i="6"/>
  <c r="E44" i="6"/>
  <c r="E58" i="6" s="1"/>
  <c r="C43" i="6"/>
  <c r="C42" i="6"/>
  <c r="C41" i="6"/>
  <c r="C40" i="6"/>
  <c r="C39" i="6"/>
  <c r="C38" i="6"/>
  <c r="C37" i="6"/>
  <c r="C36" i="6"/>
  <c r="C35" i="6"/>
  <c r="C33" i="6"/>
  <c r="C30" i="6"/>
  <c r="AL29" i="6"/>
  <c r="AL45" i="6" s="1"/>
  <c r="AK29" i="6"/>
  <c r="AJ29" i="6"/>
  <c r="AJ46" i="6" s="1"/>
  <c r="AJ50" i="6" s="1"/>
  <c r="AI29" i="6"/>
  <c r="AI48" i="6" s="1"/>
  <c r="AI54" i="6" s="1"/>
  <c r="AH29" i="6"/>
  <c r="AH48" i="6" s="1"/>
  <c r="AH54" i="6" s="1"/>
  <c r="AG29" i="6"/>
  <c r="AG48" i="6" s="1"/>
  <c r="AG54" i="6" s="1"/>
  <c r="AF29" i="6"/>
  <c r="AE29" i="6"/>
  <c r="AE45" i="6" s="1"/>
  <c r="AE47" i="6" s="1"/>
  <c r="AD29" i="6"/>
  <c r="AD45" i="6" s="1"/>
  <c r="AC29" i="6"/>
  <c r="AB29" i="6"/>
  <c r="AB48" i="6" s="1"/>
  <c r="AB54" i="6" s="1"/>
  <c r="AA29" i="6"/>
  <c r="Z29" i="6"/>
  <c r="Z48" i="6" s="1"/>
  <c r="Z54" i="6" s="1"/>
  <c r="Y29" i="6"/>
  <c r="Y48" i="6" s="1"/>
  <c r="Y54" i="6" s="1"/>
  <c r="X29" i="6"/>
  <c r="W29" i="6"/>
  <c r="W46" i="6" s="1"/>
  <c r="W50" i="6" s="1"/>
  <c r="V29" i="6"/>
  <c r="V45" i="6" s="1"/>
  <c r="U29" i="6"/>
  <c r="T29" i="6"/>
  <c r="T48" i="6" s="1"/>
  <c r="T54" i="6" s="1"/>
  <c r="S29" i="6"/>
  <c r="S45" i="6" s="1"/>
  <c r="R29" i="6"/>
  <c r="R48" i="6" s="1"/>
  <c r="R54" i="6" s="1"/>
  <c r="Q29" i="6"/>
  <c r="Q48" i="6" s="1"/>
  <c r="Q54" i="6" s="1"/>
  <c r="P29" i="6"/>
  <c r="P45" i="6" s="1"/>
  <c r="P56" i="6" s="1"/>
  <c r="O29" i="6"/>
  <c r="O48" i="6" s="1"/>
  <c r="O54" i="6" s="1"/>
  <c r="N29" i="6"/>
  <c r="N45" i="6" s="1"/>
  <c r="M29" i="6"/>
  <c r="L29" i="6"/>
  <c r="L46" i="6" s="1"/>
  <c r="L50" i="6" s="1"/>
  <c r="K29" i="6"/>
  <c r="K46" i="6" s="1"/>
  <c r="K50" i="6" s="1"/>
  <c r="J29" i="6"/>
  <c r="J48" i="6" s="1"/>
  <c r="J54" i="6" s="1"/>
  <c r="I29" i="6"/>
  <c r="I48" i="6" s="1"/>
  <c r="I54" i="6" s="1"/>
  <c r="H29" i="6"/>
  <c r="H45" i="6" s="1"/>
  <c r="G29" i="6"/>
  <c r="G46" i="6" s="1"/>
  <c r="G50" i="6" s="1"/>
  <c r="F29" i="6"/>
  <c r="F45" i="6" s="1"/>
  <c r="F56" i="6" s="1"/>
  <c r="E29" i="6"/>
  <c r="D29" i="6"/>
  <c r="D48" i="6" s="1"/>
  <c r="C28" i="6"/>
  <c r="C27" i="6"/>
  <c r="C26" i="6"/>
  <c r="C25" i="6"/>
  <c r="C24" i="6"/>
  <c r="C23" i="6"/>
  <c r="C22" i="6"/>
  <c r="C21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C18" i="6"/>
  <c r="C16" i="6"/>
  <c r="C15" i="6"/>
  <c r="C14" i="6"/>
  <c r="C13" i="6"/>
  <c r="C12" i="6"/>
  <c r="C10" i="6"/>
  <c r="C9" i="6"/>
  <c r="C8" i="6"/>
  <c r="C7" i="6"/>
  <c r="C6" i="6"/>
  <c r="C5" i="6"/>
  <c r="C4" i="6"/>
  <c r="D44" i="6" l="1"/>
  <c r="D59" i="6" s="1"/>
  <c r="D54" i="6"/>
  <c r="W55" i="6"/>
  <c r="W59" i="6"/>
  <c r="G55" i="6"/>
  <c r="X55" i="6"/>
  <c r="AE57" i="6"/>
  <c r="G59" i="6"/>
  <c r="X59" i="6"/>
  <c r="J47" i="6"/>
  <c r="J51" i="6" s="1"/>
  <c r="H55" i="6"/>
  <c r="Y55" i="6"/>
  <c r="O57" i="6"/>
  <c r="AF57" i="6"/>
  <c r="H59" i="6"/>
  <c r="Y59" i="6"/>
  <c r="Y45" i="6"/>
  <c r="I55" i="6"/>
  <c r="Z55" i="6"/>
  <c r="P57" i="6"/>
  <c r="AG57" i="6"/>
  <c r="I59" i="6"/>
  <c r="Z59" i="6"/>
  <c r="Z45" i="6"/>
  <c r="Z56" i="6" s="1"/>
  <c r="J55" i="6"/>
  <c r="AF55" i="6"/>
  <c r="Q57" i="6"/>
  <c r="AH57" i="6"/>
  <c r="J59" i="6"/>
  <c r="AF59" i="6"/>
  <c r="P55" i="6"/>
  <c r="AG55" i="6"/>
  <c r="R57" i="6"/>
  <c r="P59" i="6"/>
  <c r="AG59" i="6"/>
  <c r="Q55" i="6"/>
  <c r="AH55" i="6"/>
  <c r="X57" i="6"/>
  <c r="Q59" i="6"/>
  <c r="AH59" i="6"/>
  <c r="S56" i="6"/>
  <c r="S47" i="6"/>
  <c r="S52" i="6" s="1"/>
  <c r="O46" i="6"/>
  <c r="O50" i="6" s="1"/>
  <c r="G48" i="6"/>
  <c r="G54" i="6" s="1"/>
  <c r="J49" i="6"/>
  <c r="O45" i="6"/>
  <c r="AG45" i="6"/>
  <c r="AH45" i="6"/>
  <c r="AB46" i="6"/>
  <c r="AB50" i="6" s="1"/>
  <c r="R45" i="6"/>
  <c r="AE48" i="6"/>
  <c r="AE54" i="6" s="1"/>
  <c r="Q45" i="6"/>
  <c r="D46" i="6"/>
  <c r="D50" i="6" s="1"/>
  <c r="N46" i="6"/>
  <c r="N50" i="6" s="1"/>
  <c r="I47" i="6"/>
  <c r="I49" i="6" s="1"/>
  <c r="F48" i="6"/>
  <c r="F54" i="6" s="1"/>
  <c r="C19" i="6"/>
  <c r="L59" i="6"/>
  <c r="L57" i="6"/>
  <c r="L55" i="6"/>
  <c r="L58" i="6"/>
  <c r="AJ59" i="6"/>
  <c r="AJ57" i="6"/>
  <c r="AJ55" i="6"/>
  <c r="AJ58" i="6"/>
  <c r="E45" i="6"/>
  <c r="E48" i="6"/>
  <c r="E54" i="6" s="1"/>
  <c r="E46" i="6"/>
  <c r="E50" i="6" s="1"/>
  <c r="U45" i="6"/>
  <c r="U48" i="6"/>
  <c r="U54" i="6" s="1"/>
  <c r="U46" i="6"/>
  <c r="U50" i="6" s="1"/>
  <c r="AK45" i="6"/>
  <c r="AK48" i="6"/>
  <c r="AK54" i="6" s="1"/>
  <c r="AK46" i="6"/>
  <c r="AK50" i="6" s="1"/>
  <c r="AE51" i="6"/>
  <c r="AE49" i="6"/>
  <c r="C44" i="6"/>
  <c r="Y56" i="6"/>
  <c r="Y53" i="6"/>
  <c r="Y47" i="6"/>
  <c r="H56" i="6"/>
  <c r="H47" i="6"/>
  <c r="T59" i="6"/>
  <c r="T57" i="6"/>
  <c r="T55" i="6"/>
  <c r="T58" i="6"/>
  <c r="M45" i="6"/>
  <c r="M46" i="6"/>
  <c r="M50" i="6" s="1"/>
  <c r="M48" i="6"/>
  <c r="M54" i="6" s="1"/>
  <c r="AE56" i="6"/>
  <c r="K53" i="6"/>
  <c r="K56" i="6"/>
  <c r="K47" i="6"/>
  <c r="AB59" i="6"/>
  <c r="AB57" i="6"/>
  <c r="AB55" i="6"/>
  <c r="AB58" i="6"/>
  <c r="AC45" i="6"/>
  <c r="AC46" i="6"/>
  <c r="AC50" i="6" s="1"/>
  <c r="AC48" i="6"/>
  <c r="AC54" i="6" s="1"/>
  <c r="AD47" i="6"/>
  <c r="M59" i="6"/>
  <c r="M57" i="6"/>
  <c r="M55" i="6"/>
  <c r="N59" i="6"/>
  <c r="N57" i="6"/>
  <c r="N55" i="6"/>
  <c r="AL59" i="6"/>
  <c r="AL57" i="6"/>
  <c r="AL55" i="6"/>
  <c r="W48" i="6"/>
  <c r="W54" i="6" s="1"/>
  <c r="AA56" i="6"/>
  <c r="N48" i="6"/>
  <c r="N54" i="6" s="1"/>
  <c r="F47" i="6"/>
  <c r="V47" i="6"/>
  <c r="U59" i="6"/>
  <c r="U57" i="6"/>
  <c r="U55" i="6"/>
  <c r="V59" i="6"/>
  <c r="V57" i="6"/>
  <c r="V55" i="6"/>
  <c r="AD46" i="6"/>
  <c r="AD50" i="6" s="1"/>
  <c r="H48" i="6"/>
  <c r="H54" i="6" s="1"/>
  <c r="H46" i="6"/>
  <c r="H50" i="6" s="1"/>
  <c r="X48" i="6"/>
  <c r="X54" i="6" s="1"/>
  <c r="X46" i="6"/>
  <c r="X50" i="6" s="1"/>
  <c r="F46" i="6"/>
  <c r="F50" i="6" s="1"/>
  <c r="AE46" i="6"/>
  <c r="AE50" i="6" s="1"/>
  <c r="V56" i="6"/>
  <c r="N58" i="6"/>
  <c r="G45" i="6"/>
  <c r="AL48" i="6"/>
  <c r="AL54" i="6" s="1"/>
  <c r="O55" i="6"/>
  <c r="G57" i="6"/>
  <c r="AE59" i="6"/>
  <c r="S53" i="6"/>
  <c r="V46" i="6"/>
  <c r="V50" i="6" s="1"/>
  <c r="W45" i="6"/>
  <c r="U58" i="6"/>
  <c r="N47" i="6"/>
  <c r="AL47" i="6"/>
  <c r="E59" i="6"/>
  <c r="E57" i="6"/>
  <c r="E55" i="6"/>
  <c r="AC59" i="6"/>
  <c r="AC57" i="6"/>
  <c r="AC55" i="6"/>
  <c r="AK59" i="6"/>
  <c r="AK57" i="6"/>
  <c r="AK55" i="6"/>
  <c r="F59" i="6"/>
  <c r="F57" i="6"/>
  <c r="F55" i="6"/>
  <c r="AD59" i="6"/>
  <c r="AD57" i="6"/>
  <c r="AD55" i="6"/>
  <c r="V48" i="6"/>
  <c r="V54" i="6" s="1"/>
  <c r="M58" i="6"/>
  <c r="P48" i="6"/>
  <c r="P54" i="6" s="1"/>
  <c r="P46" i="6"/>
  <c r="AF48" i="6"/>
  <c r="AF54" i="6" s="1"/>
  <c r="AF46" i="6"/>
  <c r="AF50" i="6" s="1"/>
  <c r="AL56" i="6"/>
  <c r="AF45" i="6"/>
  <c r="S51" i="6"/>
  <c r="AE55" i="6"/>
  <c r="W57" i="6"/>
  <c r="O59" i="6"/>
  <c r="C29" i="6"/>
  <c r="L45" i="6"/>
  <c r="T45" i="6"/>
  <c r="AB45" i="6"/>
  <c r="AJ45" i="6"/>
  <c r="K57" i="6"/>
  <c r="K59" i="6"/>
  <c r="K55" i="6"/>
  <c r="S59" i="6"/>
  <c r="S55" i="6"/>
  <c r="S57" i="6"/>
  <c r="AA57" i="6"/>
  <c r="AA59" i="6"/>
  <c r="AA55" i="6"/>
  <c r="AI59" i="6"/>
  <c r="AI55" i="6"/>
  <c r="AI57" i="6"/>
  <c r="X45" i="6"/>
  <c r="AI45" i="6"/>
  <c r="AL46" i="6"/>
  <c r="AL50" i="6" s="1"/>
  <c r="P47" i="6"/>
  <c r="AA47" i="6"/>
  <c r="AD48" i="6"/>
  <c r="AD54" i="6" s="1"/>
  <c r="S49" i="6"/>
  <c r="N56" i="6"/>
  <c r="AD56" i="6"/>
  <c r="F58" i="6"/>
  <c r="V58" i="6"/>
  <c r="AL58" i="6"/>
  <c r="I46" i="6"/>
  <c r="I50" i="6" s="1"/>
  <c r="Q46" i="6"/>
  <c r="Y46" i="6"/>
  <c r="Y50" i="6" s="1"/>
  <c r="AG46" i="6"/>
  <c r="J46" i="6"/>
  <c r="J50" i="6" s="1"/>
  <c r="R46" i="6"/>
  <c r="Z46" i="6"/>
  <c r="Z50" i="6" s="1"/>
  <c r="AH46" i="6"/>
  <c r="D45" i="6" l="1"/>
  <c r="D58" i="6"/>
  <c r="D55" i="6"/>
  <c r="D57" i="6"/>
  <c r="Z47" i="6"/>
  <c r="Z49" i="6" s="1"/>
  <c r="AH56" i="6"/>
  <c r="AH47" i="6"/>
  <c r="AG56" i="6"/>
  <c r="AG47" i="6"/>
  <c r="AG52" i="6" s="1"/>
  <c r="O56" i="6"/>
  <c r="O53" i="6"/>
  <c r="O47" i="6"/>
  <c r="O49" i="6" s="1"/>
  <c r="Q56" i="6"/>
  <c r="Q47" i="6"/>
  <c r="F53" i="6"/>
  <c r="R56" i="6"/>
  <c r="R47" i="6"/>
  <c r="N53" i="6"/>
  <c r="I51" i="6"/>
  <c r="Z53" i="6"/>
  <c r="AD53" i="6"/>
  <c r="I53" i="6"/>
  <c r="AC53" i="6"/>
  <c r="AC47" i="6"/>
  <c r="AC56" i="6"/>
  <c r="AG50" i="6"/>
  <c r="AG53" i="6"/>
  <c r="J52" i="6"/>
  <c r="X56" i="6"/>
  <c r="X53" i="6"/>
  <c r="X47" i="6"/>
  <c r="L53" i="6"/>
  <c r="L47" i="6"/>
  <c r="L56" i="6"/>
  <c r="Z52" i="6"/>
  <c r="Z51" i="6"/>
  <c r="D53" i="6"/>
  <c r="D47" i="6"/>
  <c r="D56" i="6"/>
  <c r="AL51" i="6"/>
  <c r="AL49" i="6"/>
  <c r="AL52" i="6"/>
  <c r="M53" i="6"/>
  <c r="M47" i="6"/>
  <c r="M56" i="6"/>
  <c r="U53" i="6"/>
  <c r="U47" i="6"/>
  <c r="U56" i="6"/>
  <c r="AH50" i="6"/>
  <c r="AH53" i="6"/>
  <c r="C48" i="6"/>
  <c r="C54" i="6" s="1"/>
  <c r="C45" i="6"/>
  <c r="C46" i="6"/>
  <c r="C50" i="6" s="1"/>
  <c r="AL53" i="6"/>
  <c r="W56" i="6"/>
  <c r="W53" i="6"/>
  <c r="W47" i="6"/>
  <c r="G56" i="6"/>
  <c r="G53" i="6"/>
  <c r="G47" i="6"/>
  <c r="V51" i="6"/>
  <c r="V49" i="6"/>
  <c r="V52" i="6"/>
  <c r="I52" i="6"/>
  <c r="K51" i="6"/>
  <c r="K49" i="6"/>
  <c r="K52" i="6"/>
  <c r="H53" i="6"/>
  <c r="P52" i="6"/>
  <c r="P49" i="6"/>
  <c r="P51" i="6"/>
  <c r="AJ53" i="6"/>
  <c r="AJ47" i="6"/>
  <c r="AJ56" i="6"/>
  <c r="AE53" i="6"/>
  <c r="Y52" i="6"/>
  <c r="Y51" i="6"/>
  <c r="Y49" i="6"/>
  <c r="AB53" i="6"/>
  <c r="AB47" i="6"/>
  <c r="AB56" i="6"/>
  <c r="P50" i="6"/>
  <c r="P53" i="6"/>
  <c r="AD51" i="6"/>
  <c r="AD49" i="6"/>
  <c r="AD52" i="6"/>
  <c r="AK53" i="6"/>
  <c r="AK47" i="6"/>
  <c r="AK56" i="6"/>
  <c r="AI53" i="6"/>
  <c r="AI56" i="6"/>
  <c r="AI47" i="6"/>
  <c r="T53" i="6"/>
  <c r="T47" i="6"/>
  <c r="T56" i="6"/>
  <c r="Q50" i="6"/>
  <c r="Q53" i="6"/>
  <c r="AF56" i="6"/>
  <c r="AF53" i="6"/>
  <c r="AF47" i="6"/>
  <c r="C59" i="6"/>
  <c r="C55" i="6"/>
  <c r="C57" i="6"/>
  <c r="C58" i="6"/>
  <c r="O51" i="6"/>
  <c r="N51" i="6"/>
  <c r="N49" i="6"/>
  <c r="N52" i="6"/>
  <c r="V53" i="6"/>
  <c r="H52" i="6"/>
  <c r="H49" i="6"/>
  <c r="H51" i="6"/>
  <c r="AE52" i="6"/>
  <c r="J53" i="6"/>
  <c r="R50" i="6"/>
  <c r="R53" i="6"/>
  <c r="AA52" i="6"/>
  <c r="AA51" i="6"/>
  <c r="AA49" i="6"/>
  <c r="F51" i="6"/>
  <c r="F49" i="6"/>
  <c r="F52" i="6"/>
  <c r="E53" i="6"/>
  <c r="E47" i="6"/>
  <c r="E56" i="6"/>
  <c r="O52" i="6" l="1"/>
  <c r="R51" i="6"/>
  <c r="R49" i="6"/>
  <c r="Q51" i="6"/>
  <c r="Q49" i="6"/>
  <c r="AH51" i="6"/>
  <c r="AH49" i="6"/>
  <c r="AH52" i="6"/>
  <c r="AG49" i="6"/>
  <c r="AG51" i="6"/>
  <c r="R52" i="6"/>
  <c r="Q52" i="6"/>
  <c r="U51" i="6"/>
  <c r="U49" i="6"/>
  <c r="U52" i="6"/>
  <c r="AC51" i="6"/>
  <c r="AC49" i="6"/>
  <c r="AC52" i="6"/>
  <c r="T51" i="6"/>
  <c r="T49" i="6"/>
  <c r="T52" i="6"/>
  <c r="D51" i="6"/>
  <c r="D49" i="6"/>
  <c r="D52" i="6"/>
  <c r="X52" i="6"/>
  <c r="X51" i="6"/>
  <c r="X49" i="6"/>
  <c r="AF52" i="6"/>
  <c r="AF49" i="6"/>
  <c r="AF51" i="6"/>
  <c r="AI52" i="6"/>
  <c r="AI49" i="6"/>
  <c r="AI51" i="6"/>
  <c r="G52" i="6"/>
  <c r="G49" i="6"/>
  <c r="G51" i="6"/>
  <c r="C53" i="6"/>
  <c r="C56" i="6"/>
  <c r="C47" i="6"/>
  <c r="M51" i="6"/>
  <c r="M49" i="6"/>
  <c r="M52" i="6"/>
  <c r="AJ51" i="6"/>
  <c r="AJ49" i="6"/>
  <c r="AJ52" i="6"/>
  <c r="W52" i="6"/>
  <c r="W51" i="6"/>
  <c r="W49" i="6"/>
  <c r="E51" i="6"/>
  <c r="E49" i="6"/>
  <c r="E52" i="6"/>
  <c r="AK51" i="6"/>
  <c r="AK49" i="6"/>
  <c r="AK52" i="6"/>
  <c r="AB51" i="6"/>
  <c r="AB49" i="6"/>
  <c r="AB52" i="6"/>
  <c r="L51" i="6"/>
  <c r="L49" i="6"/>
  <c r="L52" i="6"/>
  <c r="C52" i="6" l="1"/>
  <c r="C51" i="6"/>
  <c r="C49" i="6"/>
  <c r="C38" i="5" l="1"/>
  <c r="C36" i="5"/>
  <c r="F44" i="5"/>
  <c r="C15" i="5"/>
  <c r="C14" i="5"/>
  <c r="C13" i="5"/>
  <c r="F19" i="5"/>
  <c r="C11" i="5"/>
  <c r="C16" i="5"/>
  <c r="AK44" i="5"/>
  <c r="AK59" i="5" s="1"/>
  <c r="AJ44" i="5"/>
  <c r="AI44" i="5"/>
  <c r="AI59" i="5" s="1"/>
  <c r="AH44" i="5"/>
  <c r="AH58" i="5" s="1"/>
  <c r="AG44" i="5"/>
  <c r="AG58" i="5" s="1"/>
  <c r="AF44" i="5"/>
  <c r="AE44" i="5"/>
  <c r="AE55" i="5" s="1"/>
  <c r="AD44" i="5"/>
  <c r="AC44" i="5"/>
  <c r="AC59" i="5" s="1"/>
  <c r="AB44" i="5"/>
  <c r="AA44" i="5"/>
  <c r="AA58" i="5" s="1"/>
  <c r="Z44" i="5"/>
  <c r="Z58" i="5" s="1"/>
  <c r="Y44" i="5"/>
  <c r="Y58" i="5" s="1"/>
  <c r="X44" i="5"/>
  <c r="X55" i="5" s="1"/>
  <c r="W44" i="5"/>
  <c r="W57" i="5" s="1"/>
  <c r="V44" i="5"/>
  <c r="V58" i="5" s="1"/>
  <c r="U44" i="5"/>
  <c r="U59" i="5" s="1"/>
  <c r="T44" i="5"/>
  <c r="S44" i="5"/>
  <c r="S57" i="5" s="1"/>
  <c r="R44" i="5"/>
  <c r="R58" i="5" s="1"/>
  <c r="Q44" i="5"/>
  <c r="Q58" i="5" s="1"/>
  <c r="P44" i="5"/>
  <c r="P57" i="5" s="1"/>
  <c r="O44" i="5"/>
  <c r="O59" i="5" s="1"/>
  <c r="N44" i="5"/>
  <c r="N58" i="5" s="1"/>
  <c r="M44" i="5"/>
  <c r="M59" i="5" s="1"/>
  <c r="L44" i="5"/>
  <c r="K44" i="5"/>
  <c r="K59" i="5" s="1"/>
  <c r="J44" i="5"/>
  <c r="J58" i="5" s="1"/>
  <c r="I44" i="5"/>
  <c r="I58" i="5" s="1"/>
  <c r="H44" i="5"/>
  <c r="H55" i="5" s="1"/>
  <c r="G44" i="5"/>
  <c r="G58" i="5" s="1"/>
  <c r="E44" i="5"/>
  <c r="E59" i="5" s="1"/>
  <c r="C43" i="5"/>
  <c r="C42" i="5"/>
  <c r="C41" i="5"/>
  <c r="C40" i="5"/>
  <c r="C39" i="5"/>
  <c r="C37" i="5"/>
  <c r="C35" i="5"/>
  <c r="C33" i="5"/>
  <c r="C31" i="5"/>
  <c r="AL44" i="5"/>
  <c r="C30" i="5"/>
  <c r="AL29" i="5"/>
  <c r="AL46" i="5" s="1"/>
  <c r="AL50" i="5" s="1"/>
  <c r="AK29" i="5"/>
  <c r="AJ29" i="5"/>
  <c r="AJ46" i="5" s="1"/>
  <c r="AJ50" i="5" s="1"/>
  <c r="AI29" i="5"/>
  <c r="AI48" i="5" s="1"/>
  <c r="AI54" i="5" s="1"/>
  <c r="AH29" i="5"/>
  <c r="AH48" i="5" s="1"/>
  <c r="AH54" i="5" s="1"/>
  <c r="AG29" i="5"/>
  <c r="AF29" i="5"/>
  <c r="AE29" i="5"/>
  <c r="AE46" i="5" s="1"/>
  <c r="AE50" i="5" s="1"/>
  <c r="AD29" i="5"/>
  <c r="AD46" i="5" s="1"/>
  <c r="AD50" i="5" s="1"/>
  <c r="AC29" i="5"/>
  <c r="AB29" i="5"/>
  <c r="AB48" i="5" s="1"/>
  <c r="AB54" i="5" s="1"/>
  <c r="AA29" i="5"/>
  <c r="AA48" i="5" s="1"/>
  <c r="AA54" i="5" s="1"/>
  <c r="Z29" i="5"/>
  <c r="Z48" i="5" s="1"/>
  <c r="Z54" i="5" s="1"/>
  <c r="Y29" i="5"/>
  <c r="X29" i="5"/>
  <c r="X46" i="5" s="1"/>
  <c r="X50" i="5" s="1"/>
  <c r="W29" i="5"/>
  <c r="V29" i="5"/>
  <c r="V48" i="5" s="1"/>
  <c r="V54" i="5" s="1"/>
  <c r="U29" i="5"/>
  <c r="T29" i="5"/>
  <c r="T45" i="5" s="1"/>
  <c r="S29" i="5"/>
  <c r="S48" i="5" s="1"/>
  <c r="S54" i="5" s="1"/>
  <c r="R29" i="5"/>
  <c r="R48" i="5" s="1"/>
  <c r="R54" i="5" s="1"/>
  <c r="Q29" i="5"/>
  <c r="P29" i="5"/>
  <c r="P48" i="5" s="1"/>
  <c r="P54" i="5" s="1"/>
  <c r="O29" i="5"/>
  <c r="O48" i="5" s="1"/>
  <c r="O54" i="5" s="1"/>
  <c r="N29" i="5"/>
  <c r="M29" i="5"/>
  <c r="L29" i="5"/>
  <c r="L46" i="5" s="1"/>
  <c r="L50" i="5" s="1"/>
  <c r="K29" i="5"/>
  <c r="J29" i="5"/>
  <c r="J48" i="5" s="1"/>
  <c r="J54" i="5" s="1"/>
  <c r="I29" i="5"/>
  <c r="H29" i="5"/>
  <c r="G29" i="5"/>
  <c r="F29" i="5"/>
  <c r="E29" i="5"/>
  <c r="D29" i="5"/>
  <c r="D48" i="5" s="1"/>
  <c r="D54" i="5" s="1"/>
  <c r="C28" i="5"/>
  <c r="C27" i="5"/>
  <c r="C26" i="5"/>
  <c r="C25" i="5"/>
  <c r="C24" i="5"/>
  <c r="C23" i="5"/>
  <c r="C22" i="5"/>
  <c r="C21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E19" i="5"/>
  <c r="C18" i="5"/>
  <c r="C17" i="5"/>
  <c r="C10" i="5"/>
  <c r="C9" i="5"/>
  <c r="C8" i="5"/>
  <c r="C7" i="5"/>
  <c r="C6" i="5"/>
  <c r="C5" i="5"/>
  <c r="C4" i="5"/>
  <c r="AI58" i="5" l="1"/>
  <c r="AL48" i="5"/>
  <c r="AL54" i="5" s="1"/>
  <c r="AJ48" i="5"/>
  <c r="AJ54" i="5" s="1"/>
  <c r="AH55" i="5"/>
  <c r="AE58" i="5"/>
  <c r="AA57" i="5"/>
  <c r="V46" i="5"/>
  <c r="V50" i="5" s="1"/>
  <c r="O46" i="5"/>
  <c r="O50" i="5" s="1"/>
  <c r="K45" i="5"/>
  <c r="K56" i="5" s="1"/>
  <c r="AI55" i="5"/>
  <c r="AA46" i="5"/>
  <c r="AA50" i="5" s="1"/>
  <c r="N45" i="5"/>
  <c r="N56" i="5" s="1"/>
  <c r="V45" i="5"/>
  <c r="V56" i="5" s="1"/>
  <c r="AD45" i="5"/>
  <c r="AD56" i="5" s="1"/>
  <c r="W45" i="5"/>
  <c r="W47" i="5" s="1"/>
  <c r="AE45" i="5"/>
  <c r="AE56" i="5" s="1"/>
  <c r="AF45" i="5"/>
  <c r="AF47" i="5" s="1"/>
  <c r="W48" i="5"/>
  <c r="W54" i="5" s="1"/>
  <c r="Z57" i="5"/>
  <c r="H45" i="5"/>
  <c r="H47" i="5" s="1"/>
  <c r="G45" i="5"/>
  <c r="G47" i="5" s="1"/>
  <c r="F45" i="5"/>
  <c r="F53" i="5" s="1"/>
  <c r="C32" i="5"/>
  <c r="F46" i="5"/>
  <c r="F50" i="5" s="1"/>
  <c r="C12" i="5"/>
  <c r="C19" i="5" s="1"/>
  <c r="D44" i="5"/>
  <c r="D45" i="5" s="1"/>
  <c r="D19" i="5"/>
  <c r="J59" i="5"/>
  <c r="J55" i="5"/>
  <c r="R59" i="5"/>
  <c r="S59" i="5"/>
  <c r="Z45" i="5"/>
  <c r="Z56" i="5" s="1"/>
  <c r="S55" i="5"/>
  <c r="K57" i="5"/>
  <c r="Z59" i="5"/>
  <c r="J57" i="5"/>
  <c r="AA45" i="5"/>
  <c r="AA47" i="5" s="1"/>
  <c r="AA51" i="5" s="1"/>
  <c r="S58" i="5"/>
  <c r="AA59" i="5"/>
  <c r="AH57" i="5"/>
  <c r="AI57" i="5"/>
  <c r="R55" i="5"/>
  <c r="K58" i="5"/>
  <c r="Z55" i="5"/>
  <c r="R57" i="5"/>
  <c r="AH59" i="5"/>
  <c r="AH45" i="5"/>
  <c r="P45" i="5"/>
  <c r="K46" i="5"/>
  <c r="K50" i="5" s="1"/>
  <c r="AF46" i="5"/>
  <c r="AF50" i="5" s="1"/>
  <c r="F48" i="5"/>
  <c r="F54" i="5" s="1"/>
  <c r="AD48" i="5"/>
  <c r="AD54" i="5" s="1"/>
  <c r="R45" i="5"/>
  <c r="N46" i="5"/>
  <c r="N50" i="5" s="1"/>
  <c r="AI46" i="5"/>
  <c r="AI50" i="5" s="1"/>
  <c r="K48" i="5"/>
  <c r="K54" i="5" s="1"/>
  <c r="AE48" i="5"/>
  <c r="AE54" i="5" s="1"/>
  <c r="X48" i="5"/>
  <c r="X54" i="5" s="1"/>
  <c r="S45" i="5"/>
  <c r="N48" i="5"/>
  <c r="N54" i="5" s="1"/>
  <c r="J45" i="5"/>
  <c r="AF48" i="5"/>
  <c r="AF54" i="5" s="1"/>
  <c r="X45" i="5"/>
  <c r="X56" i="5" s="1"/>
  <c r="S46" i="5"/>
  <c r="S50" i="5" s="1"/>
  <c r="T56" i="5"/>
  <c r="T47" i="5"/>
  <c r="H56" i="5"/>
  <c r="AL59" i="5"/>
  <c r="AL57" i="5"/>
  <c r="AL55" i="5"/>
  <c r="AL58" i="5"/>
  <c r="L59" i="5"/>
  <c r="L57" i="5"/>
  <c r="L55" i="5"/>
  <c r="L58" i="5"/>
  <c r="C29" i="5"/>
  <c r="C46" i="5" s="1"/>
  <c r="C50" i="5" s="1"/>
  <c r="L45" i="5"/>
  <c r="AB46" i="5"/>
  <c r="AB50" i="5" s="1"/>
  <c r="G48" i="5"/>
  <c r="G54" i="5" s="1"/>
  <c r="T48" i="5"/>
  <c r="T54" i="5" s="1"/>
  <c r="E45" i="5"/>
  <c r="E48" i="5"/>
  <c r="E54" i="5" s="1"/>
  <c r="E46" i="5"/>
  <c r="E50" i="5" s="1"/>
  <c r="M45" i="5"/>
  <c r="M48" i="5"/>
  <c r="M54" i="5" s="1"/>
  <c r="M46" i="5"/>
  <c r="M50" i="5" s="1"/>
  <c r="U45" i="5"/>
  <c r="U48" i="5"/>
  <c r="U54" i="5" s="1"/>
  <c r="U46" i="5"/>
  <c r="U50" i="5" s="1"/>
  <c r="AC45" i="5"/>
  <c r="AC48" i="5"/>
  <c r="AC54" i="5" s="1"/>
  <c r="AC46" i="5"/>
  <c r="AC50" i="5" s="1"/>
  <c r="AK45" i="5"/>
  <c r="AK48" i="5"/>
  <c r="AK54" i="5" s="1"/>
  <c r="AK46" i="5"/>
  <c r="AK50" i="5" s="1"/>
  <c r="F59" i="5"/>
  <c r="F57" i="5"/>
  <c r="F55" i="5"/>
  <c r="N59" i="5"/>
  <c r="N57" i="5"/>
  <c r="N55" i="5"/>
  <c r="V59" i="5"/>
  <c r="V57" i="5"/>
  <c r="V55" i="5"/>
  <c r="AD59" i="5"/>
  <c r="AD57" i="5"/>
  <c r="AD55" i="5"/>
  <c r="O45" i="5"/>
  <c r="D46" i="5"/>
  <c r="D50" i="5" s="1"/>
  <c r="P46" i="5"/>
  <c r="P50" i="5" s="1"/>
  <c r="H48" i="5"/>
  <c r="H54" i="5" s="1"/>
  <c r="G55" i="5"/>
  <c r="W55" i="5"/>
  <c r="O57" i="5"/>
  <c r="AE57" i="5"/>
  <c r="O58" i="5"/>
  <c r="W59" i="5"/>
  <c r="AJ59" i="5"/>
  <c r="AJ57" i="5"/>
  <c r="AJ55" i="5"/>
  <c r="AJ58" i="5"/>
  <c r="P58" i="5"/>
  <c r="P59" i="5"/>
  <c r="X58" i="5"/>
  <c r="X59" i="5"/>
  <c r="G46" i="5"/>
  <c r="G50" i="5" s="1"/>
  <c r="H46" i="5"/>
  <c r="H50" i="5" s="1"/>
  <c r="K47" i="5"/>
  <c r="K55" i="5"/>
  <c r="AA55" i="5"/>
  <c r="W58" i="5"/>
  <c r="AE59" i="5"/>
  <c r="AB59" i="5"/>
  <c r="AB57" i="5"/>
  <c r="AB55" i="5"/>
  <c r="AB58" i="5"/>
  <c r="AJ45" i="5"/>
  <c r="AB45" i="5"/>
  <c r="H58" i="5"/>
  <c r="H59" i="5"/>
  <c r="AF58" i="5"/>
  <c r="AF59" i="5"/>
  <c r="AF57" i="5"/>
  <c r="T46" i="5"/>
  <c r="T50" i="5" s="1"/>
  <c r="L48" i="5"/>
  <c r="L54" i="5" s="1"/>
  <c r="G59" i="5"/>
  <c r="I48" i="5"/>
  <c r="I54" i="5" s="1"/>
  <c r="I46" i="5"/>
  <c r="I50" i="5" s="1"/>
  <c r="I45" i="5"/>
  <c r="Q48" i="5"/>
  <c r="Q54" i="5" s="1"/>
  <c r="Q46" i="5"/>
  <c r="Q50" i="5" s="1"/>
  <c r="Q45" i="5"/>
  <c r="Y48" i="5"/>
  <c r="Y54" i="5" s="1"/>
  <c r="Y46" i="5"/>
  <c r="Y50" i="5" s="1"/>
  <c r="Y45" i="5"/>
  <c r="AG48" i="5"/>
  <c r="AG54" i="5" s="1"/>
  <c r="AG46" i="5"/>
  <c r="AG50" i="5" s="1"/>
  <c r="AG45" i="5"/>
  <c r="W46" i="5"/>
  <c r="W50" i="5" s="1"/>
  <c r="O55" i="5"/>
  <c r="G57" i="5"/>
  <c r="F58" i="5"/>
  <c r="T59" i="5"/>
  <c r="T57" i="5"/>
  <c r="T55" i="5"/>
  <c r="T58" i="5"/>
  <c r="AL45" i="5"/>
  <c r="AI45" i="5"/>
  <c r="P55" i="5"/>
  <c r="AF55" i="5"/>
  <c r="H57" i="5"/>
  <c r="X57" i="5"/>
  <c r="AD58" i="5"/>
  <c r="I55" i="5"/>
  <c r="Q55" i="5"/>
  <c r="Y55" i="5"/>
  <c r="AG55" i="5"/>
  <c r="I57" i="5"/>
  <c r="Q57" i="5"/>
  <c r="Y57" i="5"/>
  <c r="AG57" i="5"/>
  <c r="E58" i="5"/>
  <c r="M58" i="5"/>
  <c r="U58" i="5"/>
  <c r="AC58" i="5"/>
  <c r="AK58" i="5"/>
  <c r="I59" i="5"/>
  <c r="Q59" i="5"/>
  <c r="Y59" i="5"/>
  <c r="AG59" i="5"/>
  <c r="E55" i="5"/>
  <c r="M55" i="5"/>
  <c r="U55" i="5"/>
  <c r="AC55" i="5"/>
  <c r="AK55" i="5"/>
  <c r="E57" i="5"/>
  <c r="M57" i="5"/>
  <c r="U57" i="5"/>
  <c r="AC57" i="5"/>
  <c r="AK57" i="5"/>
  <c r="J46" i="5"/>
  <c r="R46" i="5"/>
  <c r="Z46" i="5"/>
  <c r="Z50" i="5" s="1"/>
  <c r="AH46" i="5"/>
  <c r="AH50" i="5" s="1"/>
  <c r="AF56" i="5" l="1"/>
  <c r="AD53" i="5"/>
  <c r="AD47" i="5"/>
  <c r="AD49" i="5" s="1"/>
  <c r="AA49" i="5"/>
  <c r="AA52" i="5"/>
  <c r="Z47" i="5"/>
  <c r="Z52" i="5" s="1"/>
  <c r="V47" i="5"/>
  <c r="V53" i="5"/>
  <c r="N53" i="5"/>
  <c r="AA56" i="5"/>
  <c r="W56" i="5"/>
  <c r="K53" i="5"/>
  <c r="AE53" i="5"/>
  <c r="AA53" i="5"/>
  <c r="AE47" i="5"/>
  <c r="AE51" i="5" s="1"/>
  <c r="AF53" i="5"/>
  <c r="N47" i="5"/>
  <c r="N49" i="5" s="1"/>
  <c r="G56" i="5"/>
  <c r="F56" i="5"/>
  <c r="F47" i="5"/>
  <c r="F51" i="5" s="1"/>
  <c r="D58" i="5"/>
  <c r="D55" i="5"/>
  <c r="D57" i="5"/>
  <c r="D59" i="5"/>
  <c r="P56" i="5"/>
  <c r="P47" i="5"/>
  <c r="AH56" i="5"/>
  <c r="AH47" i="5"/>
  <c r="X47" i="5"/>
  <c r="X51" i="5" s="1"/>
  <c r="J56" i="5"/>
  <c r="J47" i="5"/>
  <c r="J52" i="5" s="1"/>
  <c r="R56" i="5"/>
  <c r="R47" i="5"/>
  <c r="X53" i="5"/>
  <c r="S56" i="5"/>
  <c r="S47" i="5"/>
  <c r="S53" i="5"/>
  <c r="P53" i="5"/>
  <c r="Z53" i="5"/>
  <c r="AB56" i="5"/>
  <c r="AB53" i="5"/>
  <c r="AB47" i="5"/>
  <c r="W53" i="5"/>
  <c r="G49" i="5"/>
  <c r="G51" i="5"/>
  <c r="G52" i="5"/>
  <c r="C59" i="5"/>
  <c r="C57" i="5"/>
  <c r="C55" i="5"/>
  <c r="AI47" i="5"/>
  <c r="AI53" i="5"/>
  <c r="AI56" i="5"/>
  <c r="Y56" i="5"/>
  <c r="Y53" i="5"/>
  <c r="Y47" i="5"/>
  <c r="AD51" i="5"/>
  <c r="K51" i="5"/>
  <c r="K52" i="5"/>
  <c r="K49" i="5"/>
  <c r="AK53" i="5"/>
  <c r="AK47" i="5"/>
  <c r="AK56" i="5"/>
  <c r="AF49" i="5"/>
  <c r="AF52" i="5"/>
  <c r="AF51" i="5"/>
  <c r="AL53" i="5"/>
  <c r="AL47" i="5"/>
  <c r="AL56" i="5"/>
  <c r="Q56" i="5"/>
  <c r="Q53" i="5"/>
  <c r="Q47" i="5"/>
  <c r="O47" i="5"/>
  <c r="O53" i="5"/>
  <c r="O56" i="5"/>
  <c r="M53" i="5"/>
  <c r="M47" i="5"/>
  <c r="M56" i="5"/>
  <c r="C58" i="5"/>
  <c r="H53" i="5"/>
  <c r="T53" i="5"/>
  <c r="R50" i="5"/>
  <c r="R53" i="5"/>
  <c r="AG56" i="5"/>
  <c r="AG53" i="5"/>
  <c r="AG47" i="5"/>
  <c r="AH52" i="5"/>
  <c r="AH53" i="5"/>
  <c r="AC53" i="5"/>
  <c r="AC47" i="5"/>
  <c r="AC56" i="5"/>
  <c r="L56" i="5"/>
  <c r="L47" i="5"/>
  <c r="L53" i="5"/>
  <c r="H52" i="5"/>
  <c r="H49" i="5"/>
  <c r="H51" i="5"/>
  <c r="T51" i="5"/>
  <c r="T52" i="5"/>
  <c r="T49" i="5"/>
  <c r="D53" i="5"/>
  <c r="D56" i="5"/>
  <c r="D47" i="5"/>
  <c r="U53" i="5"/>
  <c r="U47" i="5"/>
  <c r="U56" i="5"/>
  <c r="W51" i="5"/>
  <c r="W52" i="5"/>
  <c r="W49" i="5"/>
  <c r="V51" i="5"/>
  <c r="V49" i="5"/>
  <c r="V52" i="5"/>
  <c r="J50" i="5"/>
  <c r="J53" i="5"/>
  <c r="I56" i="5"/>
  <c r="I53" i="5"/>
  <c r="I47" i="5"/>
  <c r="AJ56" i="5"/>
  <c r="AJ53" i="5"/>
  <c r="AJ47" i="5"/>
  <c r="E53" i="5"/>
  <c r="E47" i="5"/>
  <c r="E56" i="5"/>
  <c r="C48" i="5"/>
  <c r="C54" i="5" s="1"/>
  <c r="C45" i="5"/>
  <c r="C47" i="5" s="1"/>
  <c r="G53" i="5"/>
  <c r="AE52" i="5" l="1"/>
  <c r="AD52" i="5"/>
  <c r="Z51" i="5"/>
  <c r="Z49" i="5"/>
  <c r="N51" i="5"/>
  <c r="F49" i="5"/>
  <c r="F52" i="5"/>
  <c r="AE49" i="5"/>
  <c r="N52" i="5"/>
  <c r="X49" i="5"/>
  <c r="R51" i="5"/>
  <c r="R49" i="5"/>
  <c r="P49" i="5"/>
  <c r="P52" i="5"/>
  <c r="P51" i="5"/>
  <c r="J49" i="5"/>
  <c r="J51" i="5"/>
  <c r="X52" i="5"/>
  <c r="S49" i="5"/>
  <c r="S51" i="5"/>
  <c r="S52" i="5"/>
  <c r="AH49" i="5"/>
  <c r="AH51" i="5"/>
  <c r="R52" i="5"/>
  <c r="Q52" i="5"/>
  <c r="Q51" i="5"/>
  <c r="Q49" i="5"/>
  <c r="C53" i="5"/>
  <c r="C56" i="5"/>
  <c r="I52" i="5"/>
  <c r="I51" i="5"/>
  <c r="I49" i="5"/>
  <c r="AI51" i="5"/>
  <c r="AI52" i="5"/>
  <c r="AI49" i="5"/>
  <c r="AC51" i="5"/>
  <c r="AC49" i="5"/>
  <c r="AC52" i="5"/>
  <c r="M51" i="5"/>
  <c r="M49" i="5"/>
  <c r="M52" i="5"/>
  <c r="E51" i="5"/>
  <c r="E49" i="5"/>
  <c r="E52" i="5"/>
  <c r="U51" i="5"/>
  <c r="U49" i="5"/>
  <c r="U52" i="5"/>
  <c r="L52" i="5"/>
  <c r="L49" i="5"/>
  <c r="L51" i="5"/>
  <c r="AK51" i="5"/>
  <c r="AK49" i="5"/>
  <c r="AK52" i="5"/>
  <c r="Y52" i="5"/>
  <c r="Y51" i="5"/>
  <c r="Y49" i="5"/>
  <c r="AB49" i="5"/>
  <c r="AB51" i="5"/>
  <c r="AB52" i="5"/>
  <c r="D49" i="5"/>
  <c r="D51" i="5"/>
  <c r="D52" i="5"/>
  <c r="AJ51" i="5"/>
  <c r="AJ52" i="5"/>
  <c r="AJ49" i="5"/>
  <c r="AG52" i="5"/>
  <c r="AG51" i="5"/>
  <c r="AG49" i="5"/>
  <c r="O49" i="5"/>
  <c r="O52" i="5"/>
  <c r="O51" i="5"/>
  <c r="AL51" i="5"/>
  <c r="AL49" i="5"/>
  <c r="AL52" i="5"/>
  <c r="C49" i="5" l="1"/>
  <c r="C51" i="5"/>
  <c r="C52" i="5"/>
  <c r="G41" i="4" l="1"/>
  <c r="F44" i="4" l="1"/>
  <c r="F45" i="4" s="1"/>
  <c r="F47" i="4" s="1"/>
  <c r="F46" i="4"/>
  <c r="F48" i="4"/>
  <c r="F50" i="4"/>
  <c r="E44" i="4"/>
  <c r="F49" i="4" l="1"/>
  <c r="F51" i="4"/>
  <c r="C34" i="4" l="1"/>
  <c r="BD44" i="4" l="1"/>
  <c r="BD58" i="4" s="1"/>
  <c r="BC44" i="4"/>
  <c r="BB44" i="4"/>
  <c r="BA44" i="4"/>
  <c r="AZ44" i="4"/>
  <c r="AY44" i="4"/>
  <c r="AY55" i="4" s="1"/>
  <c r="AX44" i="4"/>
  <c r="AX55" i="4" s="1"/>
  <c r="AW44" i="4"/>
  <c r="AW58" i="4" s="1"/>
  <c r="AV44" i="4"/>
  <c r="AV58" i="4" s="1"/>
  <c r="AU44" i="4"/>
  <c r="AT44" i="4"/>
  <c r="AT57" i="4" s="1"/>
  <c r="AS44" i="4"/>
  <c r="AR44" i="4"/>
  <c r="AQ44" i="4"/>
  <c r="AQ59" i="4" s="1"/>
  <c r="AP44" i="4"/>
  <c r="AP59" i="4" s="1"/>
  <c r="AO44" i="4"/>
  <c r="AN44" i="4"/>
  <c r="AM44" i="4"/>
  <c r="AM57" i="4" s="1"/>
  <c r="AL44" i="4"/>
  <c r="AK44" i="4"/>
  <c r="AJ44" i="4"/>
  <c r="AI44" i="4"/>
  <c r="AI55" i="4" s="1"/>
  <c r="AH44" i="4"/>
  <c r="AH55" i="4" s="1"/>
  <c r="AG44" i="4"/>
  <c r="AF44" i="4"/>
  <c r="AF58" i="4" s="1"/>
  <c r="AE44" i="4"/>
  <c r="AD44" i="4"/>
  <c r="AC44" i="4"/>
  <c r="AB44" i="4"/>
  <c r="AA44" i="4"/>
  <c r="AA59" i="4" s="1"/>
  <c r="Z44" i="4"/>
  <c r="Z59" i="4" s="1"/>
  <c r="Y44" i="4"/>
  <c r="Y58" i="4" s="1"/>
  <c r="X44" i="4"/>
  <c r="X58" i="4" s="1"/>
  <c r="W44" i="4"/>
  <c r="W57" i="4" s="1"/>
  <c r="V44" i="4"/>
  <c r="V57" i="4" s="1"/>
  <c r="U44" i="4"/>
  <c r="T44" i="4"/>
  <c r="S44" i="4"/>
  <c r="S55" i="4" s="1"/>
  <c r="R44" i="4"/>
  <c r="R55" i="4" s="1"/>
  <c r="Q44" i="4"/>
  <c r="Q58" i="4" s="1"/>
  <c r="P44" i="4"/>
  <c r="P58" i="4" s="1"/>
  <c r="O44" i="4"/>
  <c r="O57" i="4" s="1"/>
  <c r="N44" i="4"/>
  <c r="N57" i="4" s="1"/>
  <c r="M44" i="4"/>
  <c r="L44" i="4"/>
  <c r="K44" i="4"/>
  <c r="K59" i="4" s="1"/>
  <c r="J44" i="4"/>
  <c r="J59" i="4" s="1"/>
  <c r="I44" i="4"/>
  <c r="H44" i="4"/>
  <c r="G44" i="4"/>
  <c r="G57" i="4" s="1"/>
  <c r="F57" i="4"/>
  <c r="C43" i="4"/>
  <c r="C42" i="4"/>
  <c r="C41" i="4"/>
  <c r="C40" i="4"/>
  <c r="C39" i="4"/>
  <c r="C38" i="4"/>
  <c r="C37" i="4"/>
  <c r="C36" i="4"/>
  <c r="C35" i="4"/>
  <c r="C33" i="4"/>
  <c r="C32" i="4"/>
  <c r="C31" i="4"/>
  <c r="BD29" i="4"/>
  <c r="BD48" i="4" s="1"/>
  <c r="BD54" i="4" s="1"/>
  <c r="BC29" i="4"/>
  <c r="BC48" i="4" s="1"/>
  <c r="BC54" i="4" s="1"/>
  <c r="BB29" i="4"/>
  <c r="BB48" i="4" s="1"/>
  <c r="BB54" i="4" s="1"/>
  <c r="BA29" i="4"/>
  <c r="AZ29" i="4"/>
  <c r="AY29" i="4"/>
  <c r="AY48" i="4" s="1"/>
  <c r="AY54" i="4" s="1"/>
  <c r="AX29" i="4"/>
  <c r="AX48" i="4" s="1"/>
  <c r="AX54" i="4" s="1"/>
  <c r="AW29" i="4"/>
  <c r="AW48" i="4" s="1"/>
  <c r="AW54" i="4" s="1"/>
  <c r="AV29" i="4"/>
  <c r="AV48" i="4" s="1"/>
  <c r="AV54" i="4" s="1"/>
  <c r="AU29" i="4"/>
  <c r="AU48" i="4" s="1"/>
  <c r="AU54" i="4" s="1"/>
  <c r="AT29" i="4"/>
  <c r="AT48" i="4" s="1"/>
  <c r="AT54" i="4" s="1"/>
  <c r="AS29" i="4"/>
  <c r="AS48" i="4" s="1"/>
  <c r="AS54" i="4" s="1"/>
  <c r="AR29" i="4"/>
  <c r="AQ29" i="4"/>
  <c r="AQ48" i="4" s="1"/>
  <c r="AQ54" i="4" s="1"/>
  <c r="AP29" i="4"/>
  <c r="AP48" i="4" s="1"/>
  <c r="AP54" i="4" s="1"/>
  <c r="AO29" i="4"/>
  <c r="AO48" i="4" s="1"/>
  <c r="AO54" i="4" s="1"/>
  <c r="AN29" i="4"/>
  <c r="AN48" i="4" s="1"/>
  <c r="AN54" i="4" s="1"/>
  <c r="AM29" i="4"/>
  <c r="AM48" i="4" s="1"/>
  <c r="AM54" i="4" s="1"/>
  <c r="AL29" i="4"/>
  <c r="AL48" i="4" s="1"/>
  <c r="AL54" i="4" s="1"/>
  <c r="AK29" i="4"/>
  <c r="AK48" i="4" s="1"/>
  <c r="AK54" i="4" s="1"/>
  <c r="AJ29" i="4"/>
  <c r="AJ48" i="4" s="1"/>
  <c r="AJ54" i="4" s="1"/>
  <c r="AI29" i="4"/>
  <c r="AI48" i="4" s="1"/>
  <c r="AI54" i="4" s="1"/>
  <c r="AH29" i="4"/>
  <c r="AH48" i="4" s="1"/>
  <c r="AH54" i="4" s="1"/>
  <c r="AG29" i="4"/>
  <c r="AG48" i="4" s="1"/>
  <c r="AG54" i="4" s="1"/>
  <c r="AF29" i="4"/>
  <c r="AF48" i="4" s="1"/>
  <c r="AF54" i="4" s="1"/>
  <c r="AE29" i="4"/>
  <c r="AE48" i="4" s="1"/>
  <c r="AE54" i="4" s="1"/>
  <c r="AD29" i="4"/>
  <c r="AD48" i="4" s="1"/>
  <c r="AD54" i="4" s="1"/>
  <c r="AC29" i="4"/>
  <c r="AB29" i="4"/>
  <c r="AA29" i="4"/>
  <c r="AA48" i="4" s="1"/>
  <c r="AA54" i="4" s="1"/>
  <c r="Z29" i="4"/>
  <c r="Z48" i="4" s="1"/>
  <c r="Z54" i="4" s="1"/>
  <c r="Y29" i="4"/>
  <c r="Y48" i="4" s="1"/>
  <c r="Y54" i="4" s="1"/>
  <c r="X29" i="4"/>
  <c r="X48" i="4" s="1"/>
  <c r="X54" i="4" s="1"/>
  <c r="W29" i="4"/>
  <c r="W48" i="4" s="1"/>
  <c r="W54" i="4" s="1"/>
  <c r="V29" i="4"/>
  <c r="V48" i="4" s="1"/>
  <c r="V54" i="4" s="1"/>
  <c r="U29" i="4"/>
  <c r="U48" i="4" s="1"/>
  <c r="U54" i="4" s="1"/>
  <c r="T29" i="4"/>
  <c r="S29" i="4"/>
  <c r="S48" i="4" s="1"/>
  <c r="S54" i="4" s="1"/>
  <c r="R29" i="4"/>
  <c r="R48" i="4" s="1"/>
  <c r="R54" i="4" s="1"/>
  <c r="Q29" i="4"/>
  <c r="Q48" i="4" s="1"/>
  <c r="Q54" i="4" s="1"/>
  <c r="P29" i="4"/>
  <c r="P48" i="4" s="1"/>
  <c r="P54" i="4" s="1"/>
  <c r="O29" i="4"/>
  <c r="O48" i="4" s="1"/>
  <c r="O54" i="4" s="1"/>
  <c r="N29" i="4"/>
  <c r="N48" i="4" s="1"/>
  <c r="N54" i="4" s="1"/>
  <c r="M29" i="4"/>
  <c r="L29" i="4"/>
  <c r="K29" i="4"/>
  <c r="K48" i="4" s="1"/>
  <c r="K54" i="4" s="1"/>
  <c r="J29" i="4"/>
  <c r="J48" i="4" s="1"/>
  <c r="J54" i="4" s="1"/>
  <c r="I29" i="4"/>
  <c r="I48" i="4" s="1"/>
  <c r="I54" i="4" s="1"/>
  <c r="H29" i="4"/>
  <c r="H48" i="4" s="1"/>
  <c r="H54" i="4" s="1"/>
  <c r="G29" i="4"/>
  <c r="G48" i="4" s="1"/>
  <c r="G54" i="4" s="1"/>
  <c r="E29" i="4"/>
  <c r="E48" i="4" s="1"/>
  <c r="E54" i="4" s="1"/>
  <c r="D29" i="4"/>
  <c r="D48" i="4" s="1"/>
  <c r="D54" i="4" s="1"/>
  <c r="C28" i="4"/>
  <c r="C27" i="4"/>
  <c r="C26" i="4"/>
  <c r="F29" i="4"/>
  <c r="C24" i="4"/>
  <c r="C23" i="4"/>
  <c r="C22" i="4"/>
  <c r="C21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8" i="4"/>
  <c r="C17" i="4"/>
  <c r="C16" i="4"/>
  <c r="C15" i="4"/>
  <c r="C14" i="4"/>
  <c r="C13" i="4"/>
  <c r="AE19" i="4"/>
  <c r="C12" i="4"/>
  <c r="C11" i="4"/>
  <c r="C10" i="4"/>
  <c r="C9" i="4"/>
  <c r="C8" i="4"/>
  <c r="C7" i="4"/>
  <c r="C6" i="4"/>
  <c r="C5" i="4"/>
  <c r="C4" i="4"/>
  <c r="AL39" i="2"/>
  <c r="AL37" i="2"/>
  <c r="AL36" i="2"/>
  <c r="AL34" i="2"/>
  <c r="AL33" i="2"/>
  <c r="AL32" i="2"/>
  <c r="AL31" i="2"/>
  <c r="AL30" i="2"/>
  <c r="AI46" i="4" l="1"/>
  <c r="AI50" i="4" s="1"/>
  <c r="AH46" i="4"/>
  <c r="AH50" i="4" s="1"/>
  <c r="AA55" i="4"/>
  <c r="Z55" i="4"/>
  <c r="Z46" i="4"/>
  <c r="Z50" i="4" s="1"/>
  <c r="AP46" i="4"/>
  <c r="AP50" i="4" s="1"/>
  <c r="AQ46" i="4"/>
  <c r="AQ50" i="4" s="1"/>
  <c r="AN45" i="4"/>
  <c r="AN56" i="4" s="1"/>
  <c r="K46" i="4"/>
  <c r="K50" i="4" s="1"/>
  <c r="L45" i="4"/>
  <c r="L56" i="4" s="1"/>
  <c r="T45" i="4"/>
  <c r="T56" i="4" s="1"/>
  <c r="AB45" i="4"/>
  <c r="AR45" i="4"/>
  <c r="AR47" i="4" s="1"/>
  <c r="AZ45" i="4"/>
  <c r="AZ47" i="4" s="1"/>
  <c r="S46" i="4"/>
  <c r="S50" i="4" s="1"/>
  <c r="C19" i="4"/>
  <c r="AH59" i="4"/>
  <c r="P45" i="4"/>
  <c r="P47" i="4" s="1"/>
  <c r="U45" i="4"/>
  <c r="U56" i="4" s="1"/>
  <c r="AC45" i="4"/>
  <c r="AC47" i="4" s="1"/>
  <c r="AS45" i="4"/>
  <c r="AS56" i="4" s="1"/>
  <c r="BA45" i="4"/>
  <c r="BA56" i="4" s="1"/>
  <c r="M45" i="4"/>
  <c r="M47" i="4" s="1"/>
  <c r="AV45" i="4"/>
  <c r="AV47" i="4" s="1"/>
  <c r="BD45" i="4"/>
  <c r="BD47" i="4" s="1"/>
  <c r="AR46" i="4"/>
  <c r="AR50" i="4" s="1"/>
  <c r="D46" i="4"/>
  <c r="D50" i="4" s="1"/>
  <c r="AA46" i="4"/>
  <c r="AA50" i="4" s="1"/>
  <c r="AX46" i="4"/>
  <c r="AX50" i="4" s="1"/>
  <c r="BA48" i="4"/>
  <c r="BA54" i="4" s="1"/>
  <c r="T46" i="4"/>
  <c r="T50" i="4" s="1"/>
  <c r="AZ48" i="4"/>
  <c r="AZ54" i="4" s="1"/>
  <c r="H45" i="4"/>
  <c r="H47" i="4" s="1"/>
  <c r="H49" i="4" s="1"/>
  <c r="J46" i="4"/>
  <c r="J50" i="4" s="1"/>
  <c r="AB46" i="4"/>
  <c r="AB50" i="4" s="1"/>
  <c r="AY46" i="4"/>
  <c r="AY50" i="4" s="1"/>
  <c r="AZ46" i="4"/>
  <c r="AZ50" i="4" s="1"/>
  <c r="X45" i="4"/>
  <c r="X56" i="4" s="1"/>
  <c r="L46" i="4"/>
  <c r="L50" i="4" s="1"/>
  <c r="M48" i="4"/>
  <c r="M54" i="4" s="1"/>
  <c r="AF45" i="4"/>
  <c r="AF56" i="4" s="1"/>
  <c r="R46" i="4"/>
  <c r="R50" i="4" s="1"/>
  <c r="AJ46" i="4"/>
  <c r="AJ50" i="4" s="1"/>
  <c r="T48" i="4"/>
  <c r="T54" i="4" s="1"/>
  <c r="F54" i="4"/>
  <c r="AB47" i="4"/>
  <c r="AB56" i="4"/>
  <c r="M56" i="4"/>
  <c r="AL58" i="4"/>
  <c r="AL59" i="4"/>
  <c r="AL55" i="4"/>
  <c r="G59" i="4"/>
  <c r="G55" i="4"/>
  <c r="G58" i="4"/>
  <c r="AU59" i="4"/>
  <c r="AU55" i="4"/>
  <c r="AU58" i="4"/>
  <c r="AO45" i="4"/>
  <c r="AN59" i="4"/>
  <c r="AN55" i="4"/>
  <c r="AN57" i="4"/>
  <c r="E58" i="4"/>
  <c r="E59" i="4"/>
  <c r="E55" i="4"/>
  <c r="E57" i="4"/>
  <c r="M58" i="4"/>
  <c r="M59" i="4"/>
  <c r="M55" i="4"/>
  <c r="M57" i="4"/>
  <c r="U58" i="4"/>
  <c r="U59" i="4"/>
  <c r="U55" i="4"/>
  <c r="U57" i="4"/>
  <c r="AC58" i="4"/>
  <c r="AC59" i="4"/>
  <c r="AC55" i="4"/>
  <c r="AC57" i="4"/>
  <c r="AK58" i="4"/>
  <c r="AK59" i="4"/>
  <c r="AK55" i="4"/>
  <c r="AK57" i="4"/>
  <c r="AS58" i="4"/>
  <c r="AS59" i="4"/>
  <c r="AS55" i="4"/>
  <c r="AS57" i="4"/>
  <c r="BA58" i="4"/>
  <c r="BA59" i="4"/>
  <c r="BA55" i="4"/>
  <c r="BA57" i="4"/>
  <c r="G45" i="4"/>
  <c r="O45" i="4"/>
  <c r="W45" i="4"/>
  <c r="AE45" i="4"/>
  <c r="AM45" i="4"/>
  <c r="AU45" i="4"/>
  <c r="BC45" i="4"/>
  <c r="I46" i="4"/>
  <c r="I50" i="4" s="1"/>
  <c r="Q46" i="4"/>
  <c r="Q50" i="4" s="1"/>
  <c r="Y46" i="4"/>
  <c r="Y50" i="4" s="1"/>
  <c r="AG46" i="4"/>
  <c r="AG50" i="4" s="1"/>
  <c r="AO46" i="4"/>
  <c r="AO50" i="4" s="1"/>
  <c r="AW46" i="4"/>
  <c r="AW50" i="4" s="1"/>
  <c r="L48" i="4"/>
  <c r="L54" i="4" s="1"/>
  <c r="AR48" i="4"/>
  <c r="AR54" i="4" s="1"/>
  <c r="AL57" i="4"/>
  <c r="AD58" i="4"/>
  <c r="AD59" i="4"/>
  <c r="AD55" i="4"/>
  <c r="AM59" i="4"/>
  <c r="AM55" i="4"/>
  <c r="AM58" i="4"/>
  <c r="Y45" i="4"/>
  <c r="H59" i="4"/>
  <c r="H55" i="4"/>
  <c r="H57" i="4"/>
  <c r="BD59" i="4"/>
  <c r="BD55" i="4"/>
  <c r="BD57" i="4"/>
  <c r="J45" i="4"/>
  <c r="R45" i="4"/>
  <c r="Z45" i="4"/>
  <c r="AH45" i="4"/>
  <c r="AP45" i="4"/>
  <c r="AX45" i="4"/>
  <c r="AU57" i="4"/>
  <c r="AI59" i="4"/>
  <c r="F58" i="4"/>
  <c r="F59" i="4"/>
  <c r="F55" i="4"/>
  <c r="BB58" i="4"/>
  <c r="BB59" i="4"/>
  <c r="BB55" i="4"/>
  <c r="BC59" i="4"/>
  <c r="BC55" i="4"/>
  <c r="BC58" i="4"/>
  <c r="AG45" i="4"/>
  <c r="AV59" i="4"/>
  <c r="AV55" i="4"/>
  <c r="AV57" i="4"/>
  <c r="I57" i="4"/>
  <c r="I59" i="4"/>
  <c r="I55" i="4"/>
  <c r="Q57" i="4"/>
  <c r="Q59" i="4"/>
  <c r="Q55" i="4"/>
  <c r="Y57" i="4"/>
  <c r="Y59" i="4"/>
  <c r="Y55" i="4"/>
  <c r="AG57" i="4"/>
  <c r="AG59" i="4"/>
  <c r="AG55" i="4"/>
  <c r="AO57" i="4"/>
  <c r="AO59" i="4"/>
  <c r="AO55" i="4"/>
  <c r="AW57" i="4"/>
  <c r="AW59" i="4"/>
  <c r="AW55" i="4"/>
  <c r="K45" i="4"/>
  <c r="S45" i="4"/>
  <c r="AA45" i="4"/>
  <c r="AI45" i="4"/>
  <c r="AQ45" i="4"/>
  <c r="AY45" i="4"/>
  <c r="E46" i="4"/>
  <c r="E50" i="4" s="1"/>
  <c r="M46" i="4"/>
  <c r="M50" i="4" s="1"/>
  <c r="U46" i="4"/>
  <c r="U50" i="4" s="1"/>
  <c r="AC46" i="4"/>
  <c r="AC50" i="4" s="1"/>
  <c r="AK46" i="4"/>
  <c r="AK50" i="4" s="1"/>
  <c r="AS46" i="4"/>
  <c r="AS50" i="4" s="1"/>
  <c r="BA46" i="4"/>
  <c r="BA50" i="4" s="1"/>
  <c r="AB48" i="4"/>
  <c r="AB54" i="4" s="1"/>
  <c r="BB57" i="4"/>
  <c r="N58" i="4"/>
  <c r="N59" i="4"/>
  <c r="N55" i="4"/>
  <c r="AE59" i="4"/>
  <c r="AE55" i="4"/>
  <c r="AE58" i="4"/>
  <c r="Q45" i="4"/>
  <c r="AW45" i="4"/>
  <c r="AF59" i="4"/>
  <c r="AF55" i="4"/>
  <c r="AF57" i="4"/>
  <c r="J57" i="4"/>
  <c r="J58" i="4"/>
  <c r="R57" i="4"/>
  <c r="R58" i="4"/>
  <c r="Z57" i="4"/>
  <c r="Z58" i="4"/>
  <c r="AH57" i="4"/>
  <c r="AH58" i="4"/>
  <c r="AP57" i="4"/>
  <c r="AP58" i="4"/>
  <c r="AX57" i="4"/>
  <c r="AX58" i="4"/>
  <c r="AJ45" i="4"/>
  <c r="N46" i="4"/>
  <c r="N50" i="4" s="1"/>
  <c r="V46" i="4"/>
  <c r="V50" i="4" s="1"/>
  <c r="AD46" i="4"/>
  <c r="AD50" i="4" s="1"/>
  <c r="AL46" i="4"/>
  <c r="AL50" i="4" s="1"/>
  <c r="AT46" i="4"/>
  <c r="AT50" i="4" s="1"/>
  <c r="BB46" i="4"/>
  <c r="BB50" i="4" s="1"/>
  <c r="AC48" i="4"/>
  <c r="AC54" i="4" s="1"/>
  <c r="BC57" i="4"/>
  <c r="AG58" i="4"/>
  <c r="V58" i="4"/>
  <c r="V59" i="4"/>
  <c r="V55" i="4"/>
  <c r="W59" i="4"/>
  <c r="W55" i="4"/>
  <c r="W58" i="4"/>
  <c r="I45" i="4"/>
  <c r="X59" i="4"/>
  <c r="X55" i="4"/>
  <c r="X57" i="4"/>
  <c r="C25" i="4"/>
  <c r="C29" i="4" s="1"/>
  <c r="K57" i="4"/>
  <c r="K58" i="4"/>
  <c r="S57" i="4"/>
  <c r="S58" i="4"/>
  <c r="AA57" i="4"/>
  <c r="AA58" i="4"/>
  <c r="AI57" i="4"/>
  <c r="AI58" i="4"/>
  <c r="AQ57" i="4"/>
  <c r="AQ58" i="4"/>
  <c r="AY57" i="4"/>
  <c r="AY58" i="4"/>
  <c r="E45" i="4"/>
  <c r="AK45" i="4"/>
  <c r="G46" i="4"/>
  <c r="G50" i="4" s="1"/>
  <c r="O46" i="4"/>
  <c r="O50" i="4" s="1"/>
  <c r="W46" i="4"/>
  <c r="W50" i="4" s="1"/>
  <c r="AE46" i="4"/>
  <c r="AE50" i="4" s="1"/>
  <c r="AM46" i="4"/>
  <c r="AM50" i="4" s="1"/>
  <c r="AU46" i="4"/>
  <c r="AU50" i="4" s="1"/>
  <c r="BC46" i="4"/>
  <c r="BC50" i="4" s="1"/>
  <c r="J55" i="4"/>
  <c r="AP55" i="4"/>
  <c r="AD57" i="4"/>
  <c r="H58" i="4"/>
  <c r="AN58" i="4"/>
  <c r="R59" i="4"/>
  <c r="AX59" i="4"/>
  <c r="AT58" i="4"/>
  <c r="AT59" i="4"/>
  <c r="AT55" i="4"/>
  <c r="O59" i="4"/>
  <c r="O55" i="4"/>
  <c r="O58" i="4"/>
  <c r="P59" i="4"/>
  <c r="P55" i="4"/>
  <c r="P57" i="4"/>
  <c r="L57" i="4"/>
  <c r="L58" i="4"/>
  <c r="L59" i="4"/>
  <c r="L55" i="4"/>
  <c r="T57" i="4"/>
  <c r="T58" i="4"/>
  <c r="T59" i="4"/>
  <c r="T55" i="4"/>
  <c r="AB57" i="4"/>
  <c r="AB58" i="4"/>
  <c r="AB59" i="4"/>
  <c r="AB55" i="4"/>
  <c r="AJ57" i="4"/>
  <c r="AJ58" i="4"/>
  <c r="AJ59" i="4"/>
  <c r="AJ55" i="4"/>
  <c r="AR57" i="4"/>
  <c r="AR58" i="4"/>
  <c r="AR59" i="4"/>
  <c r="AR55" i="4"/>
  <c r="AZ57" i="4"/>
  <c r="AZ58" i="4"/>
  <c r="AZ59" i="4"/>
  <c r="AZ55" i="4"/>
  <c r="N45" i="4"/>
  <c r="V45" i="4"/>
  <c r="AD45" i="4"/>
  <c r="AL45" i="4"/>
  <c r="AT45" i="4"/>
  <c r="BB45" i="4"/>
  <c r="H46" i="4"/>
  <c r="H50" i="4" s="1"/>
  <c r="P46" i="4"/>
  <c r="P50" i="4" s="1"/>
  <c r="X46" i="4"/>
  <c r="X50" i="4" s="1"/>
  <c r="AF46" i="4"/>
  <c r="AF50" i="4" s="1"/>
  <c r="AN46" i="4"/>
  <c r="AN50" i="4" s="1"/>
  <c r="AV46" i="4"/>
  <c r="AV50" i="4" s="1"/>
  <c r="BD46" i="4"/>
  <c r="BD50" i="4" s="1"/>
  <c r="K55" i="4"/>
  <c r="AQ55" i="4"/>
  <c r="AE57" i="4"/>
  <c r="I58" i="4"/>
  <c r="AO58" i="4"/>
  <c r="S59" i="4"/>
  <c r="AY59" i="4"/>
  <c r="P43" i="2"/>
  <c r="BA47" i="4" l="1"/>
  <c r="BA51" i="4" s="1"/>
  <c r="AZ56" i="4"/>
  <c r="AV56" i="4"/>
  <c r="AS47" i="4"/>
  <c r="AR56" i="4"/>
  <c r="AN47" i="4"/>
  <c r="AN52" i="4" s="1"/>
  <c r="AC56" i="4"/>
  <c r="AB53" i="4"/>
  <c r="H51" i="4"/>
  <c r="T47" i="4"/>
  <c r="T49" i="4" s="1"/>
  <c r="P56" i="4"/>
  <c r="BD56" i="4"/>
  <c r="AF47" i="4"/>
  <c r="AF52" i="4" s="1"/>
  <c r="L47" i="4"/>
  <c r="L52" i="4" s="1"/>
  <c r="BD53" i="4"/>
  <c r="H56" i="4"/>
  <c r="U47" i="4"/>
  <c r="U51" i="4" s="1"/>
  <c r="X47" i="4"/>
  <c r="L53" i="4"/>
  <c r="AZ53" i="4"/>
  <c r="T53" i="4"/>
  <c r="AN53" i="4"/>
  <c r="AR53" i="4"/>
  <c r="AC53" i="4"/>
  <c r="AF53" i="4"/>
  <c r="AV53" i="4"/>
  <c r="C48" i="4"/>
  <c r="C54" i="4" s="1"/>
  <c r="C46" i="4"/>
  <c r="C50" i="4" s="1"/>
  <c r="K53" i="4"/>
  <c r="K56" i="4"/>
  <c r="K47" i="4"/>
  <c r="Z56" i="4"/>
  <c r="Z53" i="4"/>
  <c r="Z47" i="4"/>
  <c r="W56" i="4"/>
  <c r="W53" i="4"/>
  <c r="W47" i="4"/>
  <c r="AS53" i="4"/>
  <c r="BA52" i="4"/>
  <c r="AC51" i="4"/>
  <c r="AC49" i="4"/>
  <c r="AC52" i="4"/>
  <c r="AO56" i="4"/>
  <c r="AO53" i="4"/>
  <c r="AO47" i="4"/>
  <c r="AT47" i="4"/>
  <c r="AT56" i="4"/>
  <c r="AT53" i="4"/>
  <c r="AY53" i="4"/>
  <c r="AY56" i="4"/>
  <c r="AY47" i="4"/>
  <c r="AB49" i="4"/>
  <c r="AB51" i="4"/>
  <c r="AB52" i="4"/>
  <c r="U53" i="4"/>
  <c r="BB47" i="4"/>
  <c r="BB56" i="4"/>
  <c r="BB53" i="4"/>
  <c r="AK47" i="4"/>
  <c r="AK53" i="4"/>
  <c r="AK56" i="4"/>
  <c r="BD51" i="4"/>
  <c r="BD52" i="4"/>
  <c r="BD49" i="4"/>
  <c r="AL47" i="4"/>
  <c r="AL56" i="4"/>
  <c r="AL53" i="4"/>
  <c r="E53" i="4"/>
  <c r="E47" i="4"/>
  <c r="E56" i="4"/>
  <c r="H53" i="4"/>
  <c r="X51" i="4"/>
  <c r="X52" i="4"/>
  <c r="X49" i="4"/>
  <c r="AJ53" i="4"/>
  <c r="AJ47" i="4"/>
  <c r="AJ56" i="4"/>
  <c r="AV51" i="4"/>
  <c r="AV52" i="4"/>
  <c r="AV49" i="4"/>
  <c r="AQ53" i="4"/>
  <c r="AQ56" i="4"/>
  <c r="AQ47" i="4"/>
  <c r="AN51" i="4"/>
  <c r="BC47" i="4"/>
  <c r="BC56" i="4"/>
  <c r="BC53" i="4"/>
  <c r="M53" i="4"/>
  <c r="G56" i="4"/>
  <c r="G47" i="4"/>
  <c r="G53" i="4"/>
  <c r="I56" i="4"/>
  <c r="I53" i="4"/>
  <c r="I47" i="4"/>
  <c r="P51" i="4"/>
  <c r="P52" i="4"/>
  <c r="P49" i="4"/>
  <c r="AW56" i="4"/>
  <c r="AW53" i="4"/>
  <c r="AW47" i="4"/>
  <c r="P53" i="4"/>
  <c r="AI53" i="4"/>
  <c r="AI56" i="4"/>
  <c r="AI47" i="4"/>
  <c r="AX56" i="4"/>
  <c r="AX53" i="4"/>
  <c r="AX47" i="4"/>
  <c r="AU47" i="4"/>
  <c r="AU56" i="4"/>
  <c r="AU53" i="4"/>
  <c r="AZ49" i="4"/>
  <c r="AZ51" i="4"/>
  <c r="AZ52" i="4"/>
  <c r="H52" i="4"/>
  <c r="F56" i="4"/>
  <c r="F53" i="4"/>
  <c r="O56" i="4"/>
  <c r="O53" i="4"/>
  <c r="O47" i="4"/>
  <c r="AS51" i="4"/>
  <c r="AS49" i="4"/>
  <c r="AS52" i="4"/>
  <c r="J56" i="4"/>
  <c r="J53" i="4"/>
  <c r="J47" i="4"/>
  <c r="AA53" i="4"/>
  <c r="AA56" i="4"/>
  <c r="AA47" i="4"/>
  <c r="AG56" i="4"/>
  <c r="AG53" i="4"/>
  <c r="AG47" i="4"/>
  <c r="AP56" i="4"/>
  <c r="AP53" i="4"/>
  <c r="AP47" i="4"/>
  <c r="X53" i="4"/>
  <c r="AM47" i="4"/>
  <c r="AM56" i="4"/>
  <c r="AM53" i="4"/>
  <c r="R56" i="4"/>
  <c r="R53" i="4"/>
  <c r="R47" i="4"/>
  <c r="Y56" i="4"/>
  <c r="Y53" i="4"/>
  <c r="Y47" i="4"/>
  <c r="M51" i="4"/>
  <c r="M49" i="4"/>
  <c r="M52" i="4"/>
  <c r="AD47" i="4"/>
  <c r="AD56" i="4"/>
  <c r="AD53" i="4"/>
  <c r="V56" i="4"/>
  <c r="V53" i="4"/>
  <c r="V47" i="4"/>
  <c r="Q56" i="4"/>
  <c r="Q53" i="4"/>
  <c r="Q47" i="4"/>
  <c r="N56" i="4"/>
  <c r="N53" i="4"/>
  <c r="N47" i="4"/>
  <c r="S53" i="4"/>
  <c r="S56" i="4"/>
  <c r="S47" i="4"/>
  <c r="AH56" i="4"/>
  <c r="AH53" i="4"/>
  <c r="AH47" i="4"/>
  <c r="AE47" i="4"/>
  <c r="AE56" i="4"/>
  <c r="AE53" i="4"/>
  <c r="AR49" i="4"/>
  <c r="AR51" i="4"/>
  <c r="AR52" i="4"/>
  <c r="BA53" i="4"/>
  <c r="AE12" i="3"/>
  <c r="BA49" i="4" l="1"/>
  <c r="AN49" i="4"/>
  <c r="AF51" i="4"/>
  <c r="U52" i="4"/>
  <c r="T52" i="4"/>
  <c r="T51" i="4"/>
  <c r="L49" i="4"/>
  <c r="L51" i="4"/>
  <c r="AF49" i="4"/>
  <c r="U49" i="4"/>
  <c r="N51" i="4"/>
  <c r="N52" i="4"/>
  <c r="N49" i="4"/>
  <c r="AM51" i="4"/>
  <c r="AM52" i="4"/>
  <c r="AM49" i="4"/>
  <c r="AG52" i="4"/>
  <c r="AG49" i="4"/>
  <c r="AG51" i="4"/>
  <c r="AU51" i="4"/>
  <c r="AU52" i="4"/>
  <c r="AU49" i="4"/>
  <c r="BB51" i="4"/>
  <c r="BB52" i="4"/>
  <c r="BB49" i="4"/>
  <c r="AE51" i="4"/>
  <c r="AE52" i="4"/>
  <c r="AE49" i="4"/>
  <c r="K49" i="4"/>
  <c r="K52" i="4"/>
  <c r="K51" i="4"/>
  <c r="AA49" i="4"/>
  <c r="AA52" i="4"/>
  <c r="AA51" i="4"/>
  <c r="O51" i="4"/>
  <c r="O52" i="4"/>
  <c r="O49" i="4"/>
  <c r="AI49" i="4"/>
  <c r="AI52" i="4"/>
  <c r="AI51" i="4"/>
  <c r="E51" i="4"/>
  <c r="E49" i="4"/>
  <c r="E52" i="4"/>
  <c r="AY49" i="4"/>
  <c r="AY52" i="4"/>
  <c r="AY51" i="4"/>
  <c r="W51" i="4"/>
  <c r="W52" i="4"/>
  <c r="W49" i="4"/>
  <c r="I52" i="4"/>
  <c r="I49" i="4"/>
  <c r="I51" i="4"/>
  <c r="AT51" i="4"/>
  <c r="AT52" i="4"/>
  <c r="AT49" i="4"/>
  <c r="BC51" i="4"/>
  <c r="BC52" i="4"/>
  <c r="BC49" i="4"/>
  <c r="AH52" i="4"/>
  <c r="AH49" i="4"/>
  <c r="AH51" i="4"/>
  <c r="AD51" i="4"/>
  <c r="AD52" i="4"/>
  <c r="AD49" i="4"/>
  <c r="G51" i="4"/>
  <c r="G52" i="4"/>
  <c r="G49" i="4"/>
  <c r="AJ49" i="4"/>
  <c r="AJ51" i="4"/>
  <c r="AJ52" i="4"/>
  <c r="Y52" i="4"/>
  <c r="Y49" i="4"/>
  <c r="Y51" i="4"/>
  <c r="AW52" i="4"/>
  <c r="AW49" i="4"/>
  <c r="AW51" i="4"/>
  <c r="AL51" i="4"/>
  <c r="AL52" i="4"/>
  <c r="AL49" i="4"/>
  <c r="AX52" i="4"/>
  <c r="AX49" i="4"/>
  <c r="AX51" i="4"/>
  <c r="AO52" i="4"/>
  <c r="AO49" i="4"/>
  <c r="AO51" i="4"/>
  <c r="AP52" i="4"/>
  <c r="AP49" i="4"/>
  <c r="AP51" i="4"/>
  <c r="J52" i="4"/>
  <c r="J49" i="4"/>
  <c r="J51" i="4"/>
  <c r="AQ49" i="4"/>
  <c r="AQ52" i="4"/>
  <c r="AQ51" i="4"/>
  <c r="AK51" i="4"/>
  <c r="AK49" i="4"/>
  <c r="AK52" i="4"/>
  <c r="Q52" i="4"/>
  <c r="Q49" i="4"/>
  <c r="Q51" i="4"/>
  <c r="S49" i="4"/>
  <c r="S52" i="4"/>
  <c r="S51" i="4"/>
  <c r="R52" i="4"/>
  <c r="R49" i="4"/>
  <c r="R51" i="4"/>
  <c r="V51" i="4"/>
  <c r="V52" i="4"/>
  <c r="V49" i="4"/>
  <c r="F52" i="4"/>
  <c r="Z52" i="4"/>
  <c r="Z49" i="4"/>
  <c r="Z51" i="4"/>
  <c r="O29" i="3"/>
  <c r="F25" i="3" l="1"/>
  <c r="H45" i="3" l="1"/>
  <c r="H49" i="3" s="1"/>
  <c r="BD43" i="3"/>
  <c r="BD54" i="3" s="1"/>
  <c r="BC43" i="3"/>
  <c r="BC58" i="3" s="1"/>
  <c r="BB43" i="3"/>
  <c r="BA43" i="3"/>
  <c r="BA58" i="3" s="1"/>
  <c r="AZ43" i="3"/>
  <c r="AY43" i="3"/>
  <c r="AY58" i="3" s="1"/>
  <c r="AX43" i="3"/>
  <c r="AW43" i="3"/>
  <c r="AV43" i="3"/>
  <c r="AV54" i="3" s="1"/>
  <c r="AU43" i="3"/>
  <c r="AU54" i="3" s="1"/>
  <c r="AT43" i="3"/>
  <c r="AS43" i="3"/>
  <c r="AS57" i="3" s="1"/>
  <c r="AR43" i="3"/>
  <c r="AQ43" i="3"/>
  <c r="AQ58" i="3" s="1"/>
  <c r="AP43" i="3"/>
  <c r="AO43" i="3"/>
  <c r="AN43" i="3"/>
  <c r="AN54" i="3" s="1"/>
  <c r="AM43" i="3"/>
  <c r="AM57" i="3" s="1"/>
  <c r="AL43" i="3"/>
  <c r="AK43" i="3"/>
  <c r="AK54" i="3" s="1"/>
  <c r="AJ43" i="3"/>
  <c r="AI43" i="3"/>
  <c r="AI58" i="3" s="1"/>
  <c r="AH43" i="3"/>
  <c r="AG43" i="3"/>
  <c r="AG56" i="3" s="1"/>
  <c r="AF43" i="3"/>
  <c r="AF54" i="3" s="1"/>
  <c r="AE43" i="3"/>
  <c r="AE56" i="3" s="1"/>
  <c r="AD43" i="3"/>
  <c r="AD57" i="3" s="1"/>
  <c r="AC43" i="3"/>
  <c r="AC57" i="3" s="1"/>
  <c r="AB43" i="3"/>
  <c r="AA43" i="3"/>
  <c r="AA58" i="3" s="1"/>
  <c r="Z43" i="3"/>
  <c r="Y43" i="3"/>
  <c r="X43" i="3"/>
  <c r="W43" i="3"/>
  <c r="W54" i="3" s="1"/>
  <c r="V43" i="3"/>
  <c r="U43" i="3"/>
  <c r="U54" i="3" s="1"/>
  <c r="T43" i="3"/>
  <c r="S43" i="3"/>
  <c r="S58" i="3" s="1"/>
  <c r="R43" i="3"/>
  <c r="Q43" i="3"/>
  <c r="Q54" i="3" s="1"/>
  <c r="P43" i="3"/>
  <c r="P54" i="3" s="1"/>
  <c r="N43" i="3"/>
  <c r="M43" i="3"/>
  <c r="M58" i="3" s="1"/>
  <c r="L43" i="3"/>
  <c r="L56" i="3" s="1"/>
  <c r="K43" i="3"/>
  <c r="K58" i="3" s="1"/>
  <c r="J43" i="3"/>
  <c r="I43" i="3"/>
  <c r="H43" i="3"/>
  <c r="H54" i="3" s="1"/>
  <c r="G43" i="3"/>
  <c r="G58" i="3" s="1"/>
  <c r="F43" i="3"/>
  <c r="F57" i="3" s="1"/>
  <c r="E43" i="3"/>
  <c r="E56" i="3" s="1"/>
  <c r="D43" i="3"/>
  <c r="O43" i="3"/>
  <c r="O58" i="3" s="1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BD29" i="3"/>
  <c r="BD47" i="3" s="1"/>
  <c r="BD53" i="3" s="1"/>
  <c r="BC29" i="3"/>
  <c r="BC47" i="3" s="1"/>
  <c r="BC53" i="3" s="1"/>
  <c r="BB29" i="3"/>
  <c r="BA29" i="3"/>
  <c r="BA47" i="3" s="1"/>
  <c r="BA53" i="3" s="1"/>
  <c r="AZ29" i="3"/>
  <c r="AZ47" i="3" s="1"/>
  <c r="AZ53" i="3" s="1"/>
  <c r="AY29" i="3"/>
  <c r="AY45" i="3" s="1"/>
  <c r="AY49" i="3" s="1"/>
  <c r="AX29" i="3"/>
  <c r="AW29" i="3"/>
  <c r="AV29" i="3"/>
  <c r="AV47" i="3" s="1"/>
  <c r="AV53" i="3" s="1"/>
  <c r="AU29" i="3"/>
  <c r="AT29" i="3"/>
  <c r="AS29" i="3"/>
  <c r="AS45" i="3" s="1"/>
  <c r="AS49" i="3" s="1"/>
  <c r="AR29" i="3"/>
  <c r="AR47" i="3" s="1"/>
  <c r="AR53" i="3" s="1"/>
  <c r="AQ29" i="3"/>
  <c r="AQ47" i="3" s="1"/>
  <c r="AQ53" i="3" s="1"/>
  <c r="AP29" i="3"/>
  <c r="AO29" i="3"/>
  <c r="AN29" i="3"/>
  <c r="AN47" i="3" s="1"/>
  <c r="AN53" i="3" s="1"/>
  <c r="AM29" i="3"/>
  <c r="AM47" i="3" s="1"/>
  <c r="AM53" i="3" s="1"/>
  <c r="AL29" i="3"/>
  <c r="AK29" i="3"/>
  <c r="AK47" i="3" s="1"/>
  <c r="AK53" i="3" s="1"/>
  <c r="AJ29" i="3"/>
  <c r="AJ47" i="3" s="1"/>
  <c r="AJ53" i="3" s="1"/>
  <c r="AI29" i="3"/>
  <c r="AI45" i="3" s="1"/>
  <c r="AI49" i="3" s="1"/>
  <c r="AH29" i="3"/>
  <c r="AG29" i="3"/>
  <c r="AF29" i="3"/>
  <c r="AF47" i="3" s="1"/>
  <c r="AF53" i="3" s="1"/>
  <c r="AE29" i="3"/>
  <c r="AE47" i="3" s="1"/>
  <c r="AE53" i="3" s="1"/>
  <c r="AD29" i="3"/>
  <c r="AC29" i="3"/>
  <c r="AC47" i="3" s="1"/>
  <c r="AC53" i="3" s="1"/>
  <c r="AB29" i="3"/>
  <c r="AB47" i="3" s="1"/>
  <c r="AB53" i="3" s="1"/>
  <c r="AA29" i="3"/>
  <c r="AA45" i="3" s="1"/>
  <c r="AA49" i="3" s="1"/>
  <c r="Z29" i="3"/>
  <c r="Y29" i="3"/>
  <c r="Y47" i="3" s="1"/>
  <c r="Y53" i="3" s="1"/>
  <c r="X29" i="3"/>
  <c r="X47" i="3" s="1"/>
  <c r="X53" i="3" s="1"/>
  <c r="V29" i="3"/>
  <c r="U29" i="3"/>
  <c r="U45" i="3" s="1"/>
  <c r="U49" i="3" s="1"/>
  <c r="T29" i="3"/>
  <c r="T47" i="3" s="1"/>
  <c r="T53" i="3" s="1"/>
  <c r="S29" i="3"/>
  <c r="S45" i="3" s="1"/>
  <c r="S49" i="3" s="1"/>
  <c r="R29" i="3"/>
  <c r="R47" i="3" s="1"/>
  <c r="R53" i="3" s="1"/>
  <c r="Q29" i="3"/>
  <c r="P29" i="3"/>
  <c r="P47" i="3" s="1"/>
  <c r="P53" i="3" s="1"/>
  <c r="O47" i="3"/>
  <c r="O53" i="3" s="1"/>
  <c r="N29" i="3"/>
  <c r="M29" i="3"/>
  <c r="M47" i="3" s="1"/>
  <c r="M53" i="3" s="1"/>
  <c r="L29" i="3"/>
  <c r="L47" i="3" s="1"/>
  <c r="L53" i="3" s="1"/>
  <c r="J29" i="3"/>
  <c r="I29" i="3"/>
  <c r="H29" i="3"/>
  <c r="H47" i="3" s="1"/>
  <c r="H53" i="3" s="1"/>
  <c r="G29" i="3"/>
  <c r="F29" i="3"/>
  <c r="D29" i="3"/>
  <c r="D47" i="3" s="1"/>
  <c r="D53" i="3" s="1"/>
  <c r="C28" i="3"/>
  <c r="C27" i="3"/>
  <c r="C26" i="3"/>
  <c r="C25" i="3"/>
  <c r="K29" i="3"/>
  <c r="K45" i="3" s="1"/>
  <c r="K49" i="3" s="1"/>
  <c r="C24" i="3"/>
  <c r="C23" i="3"/>
  <c r="C22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AB47" i="2"/>
  <c r="AB53" i="2" s="1"/>
  <c r="Y47" i="2"/>
  <c r="Y53" i="2" s="1"/>
  <c r="AL43" i="2"/>
  <c r="AL54" i="2" s="1"/>
  <c r="AK43" i="2"/>
  <c r="AK57" i="2" s="1"/>
  <c r="AJ43" i="2"/>
  <c r="AI43" i="2"/>
  <c r="AH43" i="2"/>
  <c r="AG43" i="2"/>
  <c r="AG54" i="2" s="1"/>
  <c r="AF43" i="2"/>
  <c r="AF57" i="2" s="1"/>
  <c r="AE43" i="2"/>
  <c r="AE54" i="2" s="1"/>
  <c r="AD43" i="2"/>
  <c r="AD54" i="2" s="1"/>
  <c r="AC43" i="2"/>
  <c r="AC57" i="2" s="1"/>
  <c r="AB43" i="2"/>
  <c r="AA43" i="2"/>
  <c r="Z43" i="2"/>
  <c r="Y43" i="2"/>
  <c r="Y57" i="2" s="1"/>
  <c r="W43" i="2"/>
  <c r="W54" i="2" s="1"/>
  <c r="V43" i="2"/>
  <c r="V54" i="2" s="1"/>
  <c r="U43" i="2"/>
  <c r="U57" i="2" s="1"/>
  <c r="T43" i="2"/>
  <c r="S43" i="2"/>
  <c r="R43" i="2"/>
  <c r="Q43" i="2"/>
  <c r="Q58" i="2" s="1"/>
  <c r="P57" i="2"/>
  <c r="O43" i="2"/>
  <c r="O54" i="2" s="1"/>
  <c r="N43" i="2"/>
  <c r="N56" i="2" s="1"/>
  <c r="M43" i="2"/>
  <c r="M57" i="2" s="1"/>
  <c r="L43" i="2"/>
  <c r="K43" i="2"/>
  <c r="J43" i="2"/>
  <c r="I43" i="2"/>
  <c r="I58" i="2" s="1"/>
  <c r="H43" i="2"/>
  <c r="H57" i="2" s="1"/>
  <c r="G43" i="2"/>
  <c r="G56" i="2" s="1"/>
  <c r="F43" i="2"/>
  <c r="F56" i="2" s="1"/>
  <c r="E43" i="2"/>
  <c r="E57" i="2" s="1"/>
  <c r="D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AL29" i="2"/>
  <c r="AK29" i="2"/>
  <c r="AK45" i="2" s="1"/>
  <c r="AK49" i="2" s="1"/>
  <c r="AJ29" i="2"/>
  <c r="AJ47" i="2" s="1"/>
  <c r="AJ53" i="2" s="1"/>
  <c r="AI29" i="2"/>
  <c r="AI47" i="2" s="1"/>
  <c r="AI53" i="2" s="1"/>
  <c r="AH29" i="2"/>
  <c r="AG29" i="2"/>
  <c r="AG45" i="2" s="1"/>
  <c r="AG49" i="2" s="1"/>
  <c r="AF29" i="2"/>
  <c r="AF47" i="2" s="1"/>
  <c r="AF53" i="2" s="1"/>
  <c r="AE29" i="2"/>
  <c r="AD29" i="2"/>
  <c r="AC29" i="2"/>
  <c r="AC45" i="2" s="1"/>
  <c r="AC49" i="2" s="1"/>
  <c r="AB29" i="2"/>
  <c r="AA29" i="2"/>
  <c r="AA45" i="2" s="1"/>
  <c r="AA49" i="2" s="1"/>
  <c r="Z29" i="2"/>
  <c r="Y29" i="2"/>
  <c r="Y45" i="2" s="1"/>
  <c r="Y49" i="2" s="1"/>
  <c r="X29" i="2"/>
  <c r="X47" i="2" s="1"/>
  <c r="X53" i="2" s="1"/>
  <c r="W29" i="2"/>
  <c r="V29" i="2"/>
  <c r="U29" i="2"/>
  <c r="U47" i="2" s="1"/>
  <c r="U53" i="2" s="1"/>
  <c r="T29" i="2"/>
  <c r="S29" i="2"/>
  <c r="S47" i="2" s="1"/>
  <c r="S53" i="2" s="1"/>
  <c r="R29" i="2"/>
  <c r="Q29" i="2"/>
  <c r="Q47" i="2" s="1"/>
  <c r="Q53" i="2" s="1"/>
  <c r="P29" i="2"/>
  <c r="P47" i="2" s="1"/>
  <c r="P53" i="2" s="1"/>
  <c r="O29" i="2"/>
  <c r="N29" i="2"/>
  <c r="M29" i="2"/>
  <c r="M47" i="2" s="1"/>
  <c r="M53" i="2" s="1"/>
  <c r="L29" i="2"/>
  <c r="K29" i="2"/>
  <c r="K47" i="2" s="1"/>
  <c r="K53" i="2" s="1"/>
  <c r="J29" i="2"/>
  <c r="J44" i="2" s="1"/>
  <c r="I29" i="2"/>
  <c r="I47" i="2" s="1"/>
  <c r="I53" i="2" s="1"/>
  <c r="H29" i="2"/>
  <c r="H47" i="2" s="1"/>
  <c r="H53" i="2" s="1"/>
  <c r="G29" i="2"/>
  <c r="G44" i="2" s="1"/>
  <c r="G55" i="2" s="1"/>
  <c r="F29" i="2"/>
  <c r="E29" i="2"/>
  <c r="E47" i="2" s="1"/>
  <c r="E53" i="2" s="1"/>
  <c r="D29" i="2"/>
  <c r="D44" i="2" s="1"/>
  <c r="C28" i="2"/>
  <c r="C27" i="2"/>
  <c r="C26" i="2"/>
  <c r="C25" i="2"/>
  <c r="C24" i="2"/>
  <c r="C23" i="2"/>
  <c r="C22" i="2"/>
  <c r="C21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56" i="1"/>
  <c r="D54" i="1"/>
  <c r="E42" i="1"/>
  <c r="E55" i="1" s="1"/>
  <c r="D42" i="1"/>
  <c r="D53" i="1" s="1"/>
  <c r="C41" i="1"/>
  <c r="C40" i="1"/>
  <c r="Y39" i="1"/>
  <c r="C39" i="1"/>
  <c r="C38" i="1"/>
  <c r="C37" i="1"/>
  <c r="C36" i="1"/>
  <c r="C35" i="1"/>
  <c r="C34" i="1"/>
  <c r="C33" i="1"/>
  <c r="C32" i="1"/>
  <c r="C31" i="1"/>
  <c r="C30" i="1"/>
  <c r="C29" i="1"/>
  <c r="E28" i="1"/>
  <c r="E44" i="1" s="1"/>
  <c r="E48" i="1" s="1"/>
  <c r="D28" i="1"/>
  <c r="D43" i="1" s="1"/>
  <c r="C27" i="1"/>
  <c r="C26" i="1"/>
  <c r="C25" i="1"/>
  <c r="C24" i="1"/>
  <c r="C23" i="1"/>
  <c r="C22" i="1"/>
  <c r="C21" i="1"/>
  <c r="C20" i="1"/>
  <c r="E18" i="1"/>
  <c r="D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E53" i="1" l="1"/>
  <c r="E57" i="1"/>
  <c r="D57" i="1"/>
  <c r="D44" i="1"/>
  <c r="D48" i="1" s="1"/>
  <c r="D46" i="1"/>
  <c r="D52" i="1" s="1"/>
  <c r="E46" i="1"/>
  <c r="E52" i="1" s="1"/>
  <c r="E43" i="1"/>
  <c r="E51" i="1"/>
  <c r="AJ45" i="2"/>
  <c r="AJ49" i="2" s="1"/>
  <c r="AA47" i="2"/>
  <c r="AA53" i="2" s="1"/>
  <c r="O44" i="2"/>
  <c r="O55" i="2" s="1"/>
  <c r="T44" i="2"/>
  <c r="T47" i="2"/>
  <c r="T53" i="2" s="1"/>
  <c r="T45" i="2"/>
  <c r="T49" i="2" s="1"/>
  <c r="S45" i="2"/>
  <c r="S49" i="2" s="1"/>
  <c r="R44" i="2"/>
  <c r="R46" i="2" s="1"/>
  <c r="W44" i="2"/>
  <c r="W55" i="2" s="1"/>
  <c r="H56" i="2"/>
  <c r="L44" i="2"/>
  <c r="L55" i="2" s="1"/>
  <c r="K45" i="2"/>
  <c r="K49" i="2" s="1"/>
  <c r="I45" i="2"/>
  <c r="I49" i="2" s="1"/>
  <c r="AI45" i="2"/>
  <c r="AI49" i="2" s="1"/>
  <c r="E58" i="2"/>
  <c r="D45" i="2"/>
  <c r="D49" i="2" s="1"/>
  <c r="D47" i="2"/>
  <c r="D53" i="2" s="1"/>
  <c r="P56" i="2"/>
  <c r="Q56" i="2"/>
  <c r="AH44" i="2"/>
  <c r="AH46" i="2" s="1"/>
  <c r="P54" i="2"/>
  <c r="AB44" i="2"/>
  <c r="AB46" i="2" s="1"/>
  <c r="H58" i="2"/>
  <c r="AF54" i="2"/>
  <c r="AK58" i="2"/>
  <c r="G54" i="2"/>
  <c r="H54" i="2"/>
  <c r="Z44" i="2"/>
  <c r="Z46" i="2" s="1"/>
  <c r="I57" i="2"/>
  <c r="AJ44" i="2"/>
  <c r="AJ55" i="2" s="1"/>
  <c r="C43" i="2"/>
  <c r="C56" i="2" s="1"/>
  <c r="AF44" i="2"/>
  <c r="AF55" i="2" s="1"/>
  <c r="U45" i="2"/>
  <c r="U49" i="2" s="1"/>
  <c r="L45" i="2"/>
  <c r="L49" i="2" s="1"/>
  <c r="AB45" i="2"/>
  <c r="AB49" i="2" s="1"/>
  <c r="AC47" i="2"/>
  <c r="AC53" i="2" s="1"/>
  <c r="E45" i="2"/>
  <c r="E49" i="2" s="1"/>
  <c r="H44" i="2"/>
  <c r="H55" i="2" s="1"/>
  <c r="P44" i="2"/>
  <c r="P55" i="2" s="1"/>
  <c r="M45" i="2"/>
  <c r="M49" i="2" s="1"/>
  <c r="L47" i="2"/>
  <c r="L53" i="2" s="1"/>
  <c r="AG47" i="2"/>
  <c r="AG53" i="2" s="1"/>
  <c r="AK47" i="2"/>
  <c r="AK53" i="2" s="1"/>
  <c r="Q45" i="2"/>
  <c r="Q49" i="2" s="1"/>
  <c r="AY56" i="3"/>
  <c r="AX44" i="3"/>
  <c r="AU44" i="3"/>
  <c r="AU55" i="3" s="1"/>
  <c r="AQ54" i="3"/>
  <c r="AP44" i="3"/>
  <c r="AP55" i="3" s="1"/>
  <c r="AI57" i="3"/>
  <c r="AH44" i="3"/>
  <c r="AH55" i="3" s="1"/>
  <c r="AE54" i="3"/>
  <c r="Z44" i="3"/>
  <c r="W58" i="3"/>
  <c r="V44" i="3"/>
  <c r="V55" i="3" s="1"/>
  <c r="S47" i="3"/>
  <c r="S53" i="3" s="1"/>
  <c r="M54" i="3"/>
  <c r="M45" i="3"/>
  <c r="M49" i="3" s="1"/>
  <c r="K47" i="3"/>
  <c r="K53" i="3" s="1"/>
  <c r="J44" i="3"/>
  <c r="J55" i="3" s="1"/>
  <c r="G44" i="3"/>
  <c r="C43" i="3"/>
  <c r="C57" i="3" s="1"/>
  <c r="E57" i="3"/>
  <c r="V57" i="3"/>
  <c r="S44" i="3"/>
  <c r="S52" i="3" s="1"/>
  <c r="AY54" i="3"/>
  <c r="AS56" i="3"/>
  <c r="AM54" i="3"/>
  <c r="AK44" i="3"/>
  <c r="AK46" i="3" s="1"/>
  <c r="AS44" i="3"/>
  <c r="AS55" i="3" s="1"/>
  <c r="G56" i="3"/>
  <c r="AU57" i="3"/>
  <c r="AK58" i="3"/>
  <c r="AS58" i="3"/>
  <c r="U44" i="3"/>
  <c r="AD44" i="3"/>
  <c r="AD55" i="3" s="1"/>
  <c r="AL44" i="3"/>
  <c r="AL55" i="3" s="1"/>
  <c r="AT44" i="3"/>
  <c r="AT55" i="3" s="1"/>
  <c r="E54" i="3"/>
  <c r="AK56" i="3"/>
  <c r="BC57" i="3"/>
  <c r="AN45" i="3"/>
  <c r="AN49" i="3" s="1"/>
  <c r="AA44" i="3"/>
  <c r="BA45" i="3"/>
  <c r="BA49" i="3" s="1"/>
  <c r="AS47" i="3"/>
  <c r="AS53" i="3" s="1"/>
  <c r="X45" i="3"/>
  <c r="X49" i="3" s="1"/>
  <c r="BD45" i="3"/>
  <c r="BD49" i="3" s="1"/>
  <c r="AX47" i="3"/>
  <c r="AX53" i="3" s="1"/>
  <c r="AC45" i="3"/>
  <c r="AC49" i="3" s="1"/>
  <c r="AQ44" i="3"/>
  <c r="AQ55" i="3" s="1"/>
  <c r="AF45" i="3"/>
  <c r="AF49" i="3" s="1"/>
  <c r="P45" i="3"/>
  <c r="P49" i="3" s="1"/>
  <c r="AV45" i="3"/>
  <c r="AV49" i="3" s="1"/>
  <c r="AI44" i="3"/>
  <c r="AI52" i="3" s="1"/>
  <c r="AY44" i="3"/>
  <c r="AY52" i="3" s="1"/>
  <c r="AK45" i="3"/>
  <c r="AK49" i="3" s="1"/>
  <c r="G47" i="3"/>
  <c r="G53" i="3" s="1"/>
  <c r="C19" i="3"/>
  <c r="J46" i="2"/>
  <c r="J55" i="2"/>
  <c r="AL46" i="3"/>
  <c r="C18" i="1"/>
  <c r="K44" i="2"/>
  <c r="S44" i="2"/>
  <c r="AA44" i="2"/>
  <c r="AI44" i="2"/>
  <c r="C28" i="1"/>
  <c r="C44" i="1" s="1"/>
  <c r="C48" i="1" s="1"/>
  <c r="D45" i="1"/>
  <c r="D51" i="1"/>
  <c r="C29" i="2"/>
  <c r="D52" i="2"/>
  <c r="D46" i="2"/>
  <c r="D55" i="2"/>
  <c r="T52" i="2"/>
  <c r="T46" i="2"/>
  <c r="T55" i="2"/>
  <c r="G46" i="2"/>
  <c r="F47" i="3"/>
  <c r="F53" i="3" s="1"/>
  <c r="F45" i="3"/>
  <c r="F49" i="3" s="1"/>
  <c r="F44" i="3"/>
  <c r="AI58" i="2"/>
  <c r="AI56" i="2"/>
  <c r="AI57" i="2"/>
  <c r="AI54" i="2"/>
  <c r="C19" i="2"/>
  <c r="V47" i="2"/>
  <c r="V53" i="2" s="1"/>
  <c r="V45" i="2"/>
  <c r="V49" i="2" s="1"/>
  <c r="V44" i="2"/>
  <c r="AB58" i="2"/>
  <c r="AB56" i="2"/>
  <c r="AB57" i="2"/>
  <c r="AB54" i="2"/>
  <c r="AA58" i="2"/>
  <c r="AA56" i="2"/>
  <c r="AA57" i="2"/>
  <c r="AA54" i="2"/>
  <c r="C42" i="1"/>
  <c r="C56" i="1" s="1"/>
  <c r="F47" i="2"/>
  <c r="F53" i="2" s="1"/>
  <c r="F45" i="2"/>
  <c r="F49" i="2" s="1"/>
  <c r="F44" i="2"/>
  <c r="N47" i="2"/>
  <c r="N53" i="2" s="1"/>
  <c r="N45" i="2"/>
  <c r="N49" i="2" s="1"/>
  <c r="N44" i="2"/>
  <c r="AD47" i="2"/>
  <c r="AD53" i="2" s="1"/>
  <c r="AD45" i="2"/>
  <c r="AD49" i="2" s="1"/>
  <c r="AD44" i="2"/>
  <c r="AL47" i="2"/>
  <c r="AL53" i="2" s="1"/>
  <c r="AL45" i="2"/>
  <c r="AL49" i="2" s="1"/>
  <c r="AL44" i="2"/>
  <c r="K58" i="2"/>
  <c r="K57" i="2"/>
  <c r="K56" i="2"/>
  <c r="K54" i="2"/>
  <c r="S58" i="2"/>
  <c r="S56" i="2"/>
  <c r="S57" i="2"/>
  <c r="S54" i="2"/>
  <c r="AJ58" i="2"/>
  <c r="AJ56" i="2"/>
  <c r="AJ54" i="2"/>
  <c r="AJ57" i="2"/>
  <c r="G47" i="2"/>
  <c r="G53" i="2" s="1"/>
  <c r="G45" i="2"/>
  <c r="G49" i="2" s="1"/>
  <c r="O47" i="2"/>
  <c r="O53" i="2" s="1"/>
  <c r="O45" i="2"/>
  <c r="W47" i="2"/>
  <c r="W53" i="2" s="1"/>
  <c r="W45" i="2"/>
  <c r="W49" i="2" s="1"/>
  <c r="AE47" i="2"/>
  <c r="AE53" i="2" s="1"/>
  <c r="AE45" i="2"/>
  <c r="AE49" i="2" s="1"/>
  <c r="D58" i="2"/>
  <c r="D56" i="2"/>
  <c r="D54" i="2"/>
  <c r="D57" i="2"/>
  <c r="L58" i="2"/>
  <c r="L56" i="2"/>
  <c r="L54" i="2"/>
  <c r="L57" i="2"/>
  <c r="T58" i="2"/>
  <c r="T56" i="2"/>
  <c r="T54" i="2"/>
  <c r="T57" i="2"/>
  <c r="AE44" i="2"/>
  <c r="W46" i="2"/>
  <c r="AW44" i="3"/>
  <c r="AW45" i="3"/>
  <c r="AW49" i="3" s="1"/>
  <c r="AW47" i="3"/>
  <c r="AW53" i="3" s="1"/>
  <c r="E56" i="1"/>
  <c r="J58" i="2"/>
  <c r="J57" i="2"/>
  <c r="R58" i="2"/>
  <c r="R56" i="2"/>
  <c r="R57" i="2"/>
  <c r="Z58" i="2"/>
  <c r="Z56" i="2"/>
  <c r="Z57" i="2"/>
  <c r="AH58" i="2"/>
  <c r="AH56" i="2"/>
  <c r="AH57" i="2"/>
  <c r="J45" i="2"/>
  <c r="J49" i="2" s="1"/>
  <c r="R45" i="2"/>
  <c r="R49" i="2" s="1"/>
  <c r="Z45" i="2"/>
  <c r="Z49" i="2" s="1"/>
  <c r="AH45" i="2"/>
  <c r="AH49" i="2" s="1"/>
  <c r="J47" i="2"/>
  <c r="J53" i="2" s="1"/>
  <c r="R47" i="2"/>
  <c r="R53" i="2" s="1"/>
  <c r="Z47" i="2"/>
  <c r="Z53" i="2" s="1"/>
  <c r="AH47" i="2"/>
  <c r="AH53" i="2" s="1"/>
  <c r="F54" i="2"/>
  <c r="N54" i="2"/>
  <c r="AF58" i="2"/>
  <c r="N47" i="3"/>
  <c r="N53" i="3" s="1"/>
  <c r="N45" i="3"/>
  <c r="N49" i="3" s="1"/>
  <c r="V47" i="3"/>
  <c r="V53" i="3" s="1"/>
  <c r="V45" i="3"/>
  <c r="V49" i="3" s="1"/>
  <c r="AU46" i="3"/>
  <c r="AG44" i="3"/>
  <c r="AG45" i="3"/>
  <c r="AG49" i="3" s="1"/>
  <c r="AO44" i="3"/>
  <c r="AO47" i="3"/>
  <c r="AO53" i="3" s="1"/>
  <c r="AO45" i="3"/>
  <c r="AO49" i="3" s="1"/>
  <c r="AO57" i="3"/>
  <c r="AO56" i="3"/>
  <c r="AO58" i="3"/>
  <c r="AO54" i="3"/>
  <c r="I44" i="2"/>
  <c r="Q44" i="2"/>
  <c r="Y44" i="2"/>
  <c r="AG44" i="2"/>
  <c r="I54" i="2"/>
  <c r="Q54" i="2"/>
  <c r="Y54" i="2"/>
  <c r="I56" i="2"/>
  <c r="U56" i="2"/>
  <c r="Q57" i="2"/>
  <c r="M58" i="2"/>
  <c r="Q47" i="3"/>
  <c r="Q53" i="3" s="1"/>
  <c r="Q44" i="3"/>
  <c r="Q45" i="3"/>
  <c r="Q49" i="3" s="1"/>
  <c r="Z46" i="3"/>
  <c r="Z55" i="3"/>
  <c r="AH46" i="3"/>
  <c r="AX46" i="3"/>
  <c r="AX55" i="3"/>
  <c r="I58" i="3"/>
  <c r="I54" i="3"/>
  <c r="I56" i="3"/>
  <c r="Y44" i="3"/>
  <c r="Y45" i="3"/>
  <c r="Y49" i="3" s="1"/>
  <c r="AG58" i="3"/>
  <c r="AG54" i="3"/>
  <c r="AG57" i="3"/>
  <c r="D55" i="1"/>
  <c r="F57" i="2"/>
  <c r="F58" i="2"/>
  <c r="N57" i="2"/>
  <c r="N58" i="2"/>
  <c r="V57" i="2"/>
  <c r="V58" i="2"/>
  <c r="V56" i="2"/>
  <c r="AD57" i="2"/>
  <c r="AD58" i="2"/>
  <c r="AD56" i="2"/>
  <c r="AL57" i="2"/>
  <c r="AL58" i="2"/>
  <c r="AL56" i="2"/>
  <c r="J54" i="2"/>
  <c r="R54" i="2"/>
  <c r="Z54" i="2"/>
  <c r="AH54" i="2"/>
  <c r="J56" i="2"/>
  <c r="P58" i="2"/>
  <c r="I44" i="3"/>
  <c r="I45" i="3"/>
  <c r="I49" i="3" s="1"/>
  <c r="I47" i="3"/>
  <c r="I53" i="3" s="1"/>
  <c r="K44" i="3"/>
  <c r="AG47" i="3"/>
  <c r="AG53" i="3" s="1"/>
  <c r="G55" i="3"/>
  <c r="Y57" i="3"/>
  <c r="Y58" i="3"/>
  <c r="G57" i="2"/>
  <c r="G58" i="2"/>
  <c r="O57" i="2"/>
  <c r="O58" i="2"/>
  <c r="O56" i="2"/>
  <c r="W57" i="2"/>
  <c r="W58" i="2"/>
  <c r="W56" i="2"/>
  <c r="AE57" i="2"/>
  <c r="AE58" i="2"/>
  <c r="AE56" i="2"/>
  <c r="AC56" i="2"/>
  <c r="U58" i="2"/>
  <c r="O57" i="3"/>
  <c r="O56" i="3"/>
  <c r="O54" i="3"/>
  <c r="T57" i="3"/>
  <c r="T58" i="3"/>
  <c r="T54" i="3"/>
  <c r="AB57" i="3"/>
  <c r="AB58" i="3"/>
  <c r="AB54" i="3"/>
  <c r="AB56" i="3"/>
  <c r="AJ57" i="3"/>
  <c r="AJ58" i="3"/>
  <c r="AJ54" i="3"/>
  <c r="AJ56" i="3"/>
  <c r="AR57" i="3"/>
  <c r="AR58" i="3"/>
  <c r="AR54" i="3"/>
  <c r="AR56" i="3"/>
  <c r="AZ57" i="3"/>
  <c r="AZ58" i="3"/>
  <c r="AZ54" i="3"/>
  <c r="AZ56" i="3"/>
  <c r="N44" i="3"/>
  <c r="I57" i="3"/>
  <c r="Q56" i="3"/>
  <c r="Q58" i="3"/>
  <c r="X43" i="2"/>
  <c r="X58" i="2" s="1"/>
  <c r="H45" i="2"/>
  <c r="H49" i="2" s="1"/>
  <c r="P45" i="2"/>
  <c r="X45" i="2"/>
  <c r="X49" i="2" s="1"/>
  <c r="AF45" i="2"/>
  <c r="AF49" i="2" s="1"/>
  <c r="AF56" i="2"/>
  <c r="E29" i="3"/>
  <c r="C21" i="3"/>
  <c r="C29" i="3" s="1"/>
  <c r="C45" i="3" s="1"/>
  <c r="C49" i="3" s="1"/>
  <c r="AK55" i="3"/>
  <c r="D57" i="3"/>
  <c r="D58" i="3"/>
  <c r="D54" i="3"/>
  <c r="D56" i="3"/>
  <c r="L57" i="3"/>
  <c r="L58" i="3"/>
  <c r="L54" i="3"/>
  <c r="AY55" i="3"/>
  <c r="G46" i="3"/>
  <c r="Y54" i="3"/>
  <c r="T56" i="3"/>
  <c r="Q57" i="3"/>
  <c r="AW54" i="3"/>
  <c r="AW58" i="3"/>
  <c r="AW56" i="3"/>
  <c r="Y58" i="2"/>
  <c r="Y56" i="2"/>
  <c r="AG58" i="2"/>
  <c r="AG56" i="2"/>
  <c r="E44" i="2"/>
  <c r="M44" i="2"/>
  <c r="U44" i="2"/>
  <c r="AC44" i="2"/>
  <c r="AK44" i="2"/>
  <c r="E54" i="2"/>
  <c r="M54" i="2"/>
  <c r="U54" i="2"/>
  <c r="AC54" i="2"/>
  <c r="AK54" i="2"/>
  <c r="E56" i="2"/>
  <c r="M56" i="2"/>
  <c r="AK56" i="2"/>
  <c r="AG57" i="2"/>
  <c r="AC58" i="2"/>
  <c r="U55" i="3"/>
  <c r="U46" i="3"/>
  <c r="U52" i="3"/>
  <c r="AD47" i="3"/>
  <c r="AD53" i="3" s="1"/>
  <c r="AD45" i="3"/>
  <c r="AD49" i="3" s="1"/>
  <c r="AL47" i="3"/>
  <c r="AL53" i="3" s="1"/>
  <c r="AL45" i="3"/>
  <c r="AL49" i="3" s="1"/>
  <c r="AT47" i="3"/>
  <c r="AT53" i="3" s="1"/>
  <c r="AT45" i="3"/>
  <c r="AT49" i="3" s="1"/>
  <c r="BB47" i="3"/>
  <c r="BB53" i="3" s="1"/>
  <c r="BB45" i="3"/>
  <c r="BB49" i="3" s="1"/>
  <c r="BB44" i="3"/>
  <c r="Y56" i="3"/>
  <c r="W29" i="3"/>
  <c r="J56" i="3"/>
  <c r="J57" i="3"/>
  <c r="J58" i="3"/>
  <c r="J54" i="3"/>
  <c r="R56" i="3"/>
  <c r="R57" i="3"/>
  <c r="R58" i="3"/>
  <c r="R54" i="3"/>
  <c r="Z56" i="3"/>
  <c r="Z57" i="3"/>
  <c r="Z58" i="3"/>
  <c r="Z54" i="3"/>
  <c r="AH56" i="3"/>
  <c r="AH57" i="3"/>
  <c r="AH58" i="3"/>
  <c r="AH54" i="3"/>
  <c r="AP56" i="3"/>
  <c r="AP57" i="3"/>
  <c r="AP58" i="3"/>
  <c r="AP54" i="3"/>
  <c r="AX56" i="3"/>
  <c r="AX57" i="3"/>
  <c r="AX58" i="3"/>
  <c r="AX54" i="3"/>
  <c r="D44" i="3"/>
  <c r="L44" i="3"/>
  <c r="T44" i="3"/>
  <c r="AB44" i="3"/>
  <c r="AJ44" i="3"/>
  <c r="AR44" i="3"/>
  <c r="AZ44" i="3"/>
  <c r="U47" i="3"/>
  <c r="U53" i="3" s="1"/>
  <c r="AH47" i="3"/>
  <c r="AH53" i="3" s="1"/>
  <c r="AU47" i="3"/>
  <c r="AU53" i="3" s="1"/>
  <c r="AA54" i="3"/>
  <c r="BA54" i="3"/>
  <c r="U56" i="3"/>
  <c r="AI56" i="3"/>
  <c r="AU56" i="3"/>
  <c r="S57" i="3"/>
  <c r="AE57" i="3"/>
  <c r="AY57" i="3"/>
  <c r="AM58" i="3"/>
  <c r="M44" i="3"/>
  <c r="AC44" i="3"/>
  <c r="BA44" i="3"/>
  <c r="G45" i="3"/>
  <c r="G49" i="3" s="1"/>
  <c r="O45" i="3"/>
  <c r="O49" i="3" s="1"/>
  <c r="AE45" i="3"/>
  <c r="AE49" i="3" s="1"/>
  <c r="AM45" i="3"/>
  <c r="AM49" i="3" s="1"/>
  <c r="AU45" i="3"/>
  <c r="AU49" i="3" s="1"/>
  <c r="BC45" i="3"/>
  <c r="BC49" i="3" s="1"/>
  <c r="J47" i="3"/>
  <c r="J53" i="3" s="1"/>
  <c r="AI47" i="3"/>
  <c r="AI53" i="3" s="1"/>
  <c r="AC54" i="3"/>
  <c r="BC54" i="3"/>
  <c r="K56" i="3"/>
  <c r="W56" i="3"/>
  <c r="G57" i="3"/>
  <c r="U57" i="3"/>
  <c r="BA57" i="3"/>
  <c r="U58" i="3"/>
  <c r="O44" i="3"/>
  <c r="AE44" i="3"/>
  <c r="AM44" i="3"/>
  <c r="BC44" i="3"/>
  <c r="Z47" i="3"/>
  <c r="Z53" i="3" s="1"/>
  <c r="AY47" i="3"/>
  <c r="AY53" i="3" s="1"/>
  <c r="G54" i="3"/>
  <c r="S54" i="3"/>
  <c r="AS54" i="3"/>
  <c r="M56" i="3"/>
  <c r="AA56" i="3"/>
  <c r="AM56" i="3"/>
  <c r="K57" i="3"/>
  <c r="W57" i="3"/>
  <c r="AK57" i="3"/>
  <c r="E58" i="3"/>
  <c r="AU58" i="3"/>
  <c r="F58" i="3"/>
  <c r="F54" i="3"/>
  <c r="F56" i="3"/>
  <c r="N58" i="3"/>
  <c r="N54" i="3"/>
  <c r="N56" i="3"/>
  <c r="V58" i="3"/>
  <c r="V54" i="3"/>
  <c r="V56" i="3"/>
  <c r="AD58" i="3"/>
  <c r="AD54" i="3"/>
  <c r="AD56" i="3"/>
  <c r="AL57" i="3"/>
  <c r="AL58" i="3"/>
  <c r="AL54" i="3"/>
  <c r="AL56" i="3"/>
  <c r="AT57" i="3"/>
  <c r="AT58" i="3"/>
  <c r="AT54" i="3"/>
  <c r="AT56" i="3"/>
  <c r="BB57" i="3"/>
  <c r="BB58" i="3"/>
  <c r="BB54" i="3"/>
  <c r="BB56" i="3"/>
  <c r="H44" i="3"/>
  <c r="P44" i="3"/>
  <c r="X44" i="3"/>
  <c r="AF44" i="3"/>
  <c r="AN44" i="3"/>
  <c r="AV44" i="3"/>
  <c r="BD44" i="3"/>
  <c r="J45" i="3"/>
  <c r="J49" i="3" s="1"/>
  <c r="R45" i="3"/>
  <c r="R49" i="3" s="1"/>
  <c r="Z45" i="3"/>
  <c r="Z49" i="3" s="1"/>
  <c r="AH45" i="3"/>
  <c r="AH49" i="3" s="1"/>
  <c r="AP45" i="3"/>
  <c r="AP49" i="3" s="1"/>
  <c r="AX45" i="3"/>
  <c r="AX49" i="3" s="1"/>
  <c r="AA47" i="3"/>
  <c r="AA53" i="3" s="1"/>
  <c r="BA56" i="3"/>
  <c r="M57" i="3"/>
  <c r="AC58" i="3"/>
  <c r="AW57" i="3"/>
  <c r="AQ45" i="3"/>
  <c r="AQ49" i="3" s="1"/>
  <c r="AP47" i="3"/>
  <c r="AP53" i="3" s="1"/>
  <c r="AI54" i="3"/>
  <c r="AC56" i="3"/>
  <c r="AQ56" i="3"/>
  <c r="BC56" i="3"/>
  <c r="N57" i="3"/>
  <c r="AA57" i="3"/>
  <c r="AQ57" i="3"/>
  <c r="AE58" i="3"/>
  <c r="H58" i="3"/>
  <c r="H56" i="3"/>
  <c r="H57" i="3"/>
  <c r="P58" i="3"/>
  <c r="P56" i="3"/>
  <c r="P57" i="3"/>
  <c r="X58" i="3"/>
  <c r="X56" i="3"/>
  <c r="X57" i="3"/>
  <c r="AF58" i="3"/>
  <c r="AF56" i="3"/>
  <c r="AF57" i="3"/>
  <c r="AN58" i="3"/>
  <c r="AN56" i="3"/>
  <c r="AN57" i="3"/>
  <c r="AV58" i="3"/>
  <c r="AV56" i="3"/>
  <c r="AV57" i="3"/>
  <c r="BD58" i="3"/>
  <c r="BD56" i="3"/>
  <c r="BD57" i="3"/>
  <c r="R44" i="3"/>
  <c r="D45" i="3"/>
  <c r="D49" i="3" s="1"/>
  <c r="L45" i="3"/>
  <c r="L49" i="3" s="1"/>
  <c r="T45" i="3"/>
  <c r="T49" i="3" s="1"/>
  <c r="AB45" i="3"/>
  <c r="AB49" i="3" s="1"/>
  <c r="AJ45" i="3"/>
  <c r="AJ49" i="3" s="1"/>
  <c r="AR45" i="3"/>
  <c r="AR49" i="3" s="1"/>
  <c r="AZ45" i="3"/>
  <c r="AZ49" i="3" s="1"/>
  <c r="K54" i="3"/>
  <c r="X54" i="3"/>
  <c r="S56" i="3"/>
  <c r="E45" i="1" l="1"/>
  <c r="E54" i="1"/>
  <c r="AJ46" i="2"/>
  <c r="AJ51" i="2" s="1"/>
  <c r="AJ52" i="2"/>
  <c r="O46" i="2"/>
  <c r="O48" i="2" s="1"/>
  <c r="R55" i="2"/>
  <c r="L46" i="2"/>
  <c r="L52" i="2"/>
  <c r="Z55" i="2"/>
  <c r="C58" i="2"/>
  <c r="C57" i="2"/>
  <c r="AH55" i="2"/>
  <c r="C54" i="2"/>
  <c r="AF46" i="2"/>
  <c r="AF48" i="2" s="1"/>
  <c r="AB55" i="2"/>
  <c r="P46" i="2"/>
  <c r="P48" i="2" s="1"/>
  <c r="AB52" i="2"/>
  <c r="H46" i="2"/>
  <c r="H51" i="2" s="1"/>
  <c r="Z52" i="2"/>
  <c r="H52" i="2"/>
  <c r="AY46" i="3"/>
  <c r="AY48" i="3" s="1"/>
  <c r="AT46" i="3"/>
  <c r="AT50" i="3" s="1"/>
  <c r="AP46" i="3"/>
  <c r="AP51" i="3" s="1"/>
  <c r="AK52" i="3"/>
  <c r="AI55" i="3"/>
  <c r="AD46" i="3"/>
  <c r="AD50" i="3" s="1"/>
  <c r="V46" i="3"/>
  <c r="V51" i="3" s="1"/>
  <c r="J46" i="3"/>
  <c r="J48" i="3" s="1"/>
  <c r="C58" i="3"/>
  <c r="C54" i="3"/>
  <c r="C56" i="3"/>
  <c r="S55" i="3"/>
  <c r="AS52" i="3"/>
  <c r="S46" i="3"/>
  <c r="S50" i="3" s="1"/>
  <c r="AS46" i="3"/>
  <c r="AS51" i="3" s="1"/>
  <c r="AI46" i="3"/>
  <c r="AI50" i="3" s="1"/>
  <c r="AQ46" i="3"/>
  <c r="AQ48" i="3" s="1"/>
  <c r="AA55" i="3"/>
  <c r="AA46" i="3"/>
  <c r="AA52" i="3"/>
  <c r="AN55" i="3"/>
  <c r="AN52" i="3"/>
  <c r="AN46" i="3"/>
  <c r="AF55" i="3"/>
  <c r="AF52" i="3"/>
  <c r="AF46" i="3"/>
  <c r="AX52" i="3"/>
  <c r="L55" i="3"/>
  <c r="L46" i="3"/>
  <c r="L52" i="3"/>
  <c r="V50" i="3"/>
  <c r="V48" i="3"/>
  <c r="AK52" i="2"/>
  <c r="AK46" i="2"/>
  <c r="AK55" i="2"/>
  <c r="J52" i="3"/>
  <c r="K46" i="3"/>
  <c r="K55" i="3"/>
  <c r="K52" i="3"/>
  <c r="Z52" i="3"/>
  <c r="F55" i="2"/>
  <c r="F52" i="2"/>
  <c r="F46" i="2"/>
  <c r="K52" i="2"/>
  <c r="K46" i="2"/>
  <c r="K55" i="2"/>
  <c r="AL50" i="3"/>
  <c r="AL51" i="3"/>
  <c r="AL48" i="3"/>
  <c r="R50" i="2"/>
  <c r="R48" i="2"/>
  <c r="R51" i="2"/>
  <c r="H55" i="3"/>
  <c r="H52" i="3"/>
  <c r="H46" i="3"/>
  <c r="AM52" i="3"/>
  <c r="AM55" i="3"/>
  <c r="AM46" i="3"/>
  <c r="D55" i="3"/>
  <c r="D52" i="3"/>
  <c r="D46" i="3"/>
  <c r="V52" i="3"/>
  <c r="AC52" i="2"/>
  <c r="AC46" i="2"/>
  <c r="AC55" i="2"/>
  <c r="N55" i="3"/>
  <c r="N52" i="3"/>
  <c r="N46" i="3"/>
  <c r="G52" i="3"/>
  <c r="AP48" i="3"/>
  <c r="G52" i="2"/>
  <c r="AF52" i="2"/>
  <c r="D58" i="1"/>
  <c r="D50" i="1"/>
  <c r="D47" i="1"/>
  <c r="D49" i="1"/>
  <c r="R52" i="2"/>
  <c r="T55" i="3"/>
  <c r="T46" i="3"/>
  <c r="T52" i="3"/>
  <c r="BB46" i="3"/>
  <c r="BB55" i="3"/>
  <c r="BB52" i="3"/>
  <c r="W51" i="2"/>
  <c r="W48" i="2"/>
  <c r="W50" i="2"/>
  <c r="C44" i="2"/>
  <c r="C45" i="2"/>
  <c r="C49" i="2" s="1"/>
  <c r="C47" i="2"/>
  <c r="C53" i="2" s="1"/>
  <c r="AW46" i="3"/>
  <c r="AW55" i="3"/>
  <c r="AW52" i="3"/>
  <c r="L50" i="2"/>
  <c r="L48" i="2"/>
  <c r="L51" i="2"/>
  <c r="C43" i="1"/>
  <c r="C46" i="1"/>
  <c r="C52" i="1" s="1"/>
  <c r="AH50" i="2"/>
  <c r="AH48" i="2"/>
  <c r="AH51" i="2"/>
  <c r="AC52" i="3"/>
  <c r="AC55" i="3"/>
  <c r="AC46" i="3"/>
  <c r="Z48" i="3"/>
  <c r="Z50" i="3"/>
  <c r="Z51" i="3"/>
  <c r="AG46" i="3"/>
  <c r="AG55" i="3"/>
  <c r="AG52" i="3"/>
  <c r="S52" i="2"/>
  <c r="S46" i="2"/>
  <c r="S55" i="2"/>
  <c r="BC52" i="3"/>
  <c r="BC55" i="3"/>
  <c r="BC46" i="3"/>
  <c r="AE55" i="3"/>
  <c r="AE46" i="3"/>
  <c r="AE52" i="3"/>
  <c r="W44" i="3"/>
  <c r="W47" i="3"/>
  <c r="W53" i="3" s="1"/>
  <c r="W45" i="3"/>
  <c r="W49" i="3" s="1"/>
  <c r="G51" i="3"/>
  <c r="G50" i="3"/>
  <c r="G48" i="3"/>
  <c r="AK48" i="3"/>
  <c r="AK51" i="3"/>
  <c r="AK50" i="3"/>
  <c r="AP52" i="3"/>
  <c r="AD55" i="2"/>
  <c r="AD52" i="2"/>
  <c r="AD46" i="2"/>
  <c r="AG55" i="2"/>
  <c r="AG52" i="2"/>
  <c r="AG46" i="2"/>
  <c r="AU50" i="3"/>
  <c r="AU48" i="3"/>
  <c r="AU51" i="3"/>
  <c r="AD52" i="3"/>
  <c r="P50" i="2"/>
  <c r="W52" i="2"/>
  <c r="AT52" i="3"/>
  <c r="AH52" i="2"/>
  <c r="J50" i="2"/>
  <c r="J48" i="2"/>
  <c r="J51" i="2"/>
  <c r="M46" i="3"/>
  <c r="M52" i="3"/>
  <c r="M55" i="3"/>
  <c r="X55" i="3"/>
  <c r="X52" i="3"/>
  <c r="X46" i="3"/>
  <c r="AQ52" i="3"/>
  <c r="AL55" i="2"/>
  <c r="AL52" i="2"/>
  <c r="AL46" i="2"/>
  <c r="G51" i="2"/>
  <c r="G50" i="2"/>
  <c r="G48" i="2"/>
  <c r="T50" i="2"/>
  <c r="T48" i="2"/>
  <c r="T51" i="2"/>
  <c r="R52" i="3"/>
  <c r="R55" i="3"/>
  <c r="R46" i="3"/>
  <c r="P55" i="3"/>
  <c r="P52" i="3"/>
  <c r="P46" i="3"/>
  <c r="U52" i="2"/>
  <c r="U46" i="2"/>
  <c r="U55" i="2"/>
  <c r="P49" i="2"/>
  <c r="P52" i="2"/>
  <c r="Q52" i="3"/>
  <c r="Q55" i="3"/>
  <c r="Q46" i="3"/>
  <c r="AU52" i="3"/>
  <c r="BD55" i="3"/>
  <c r="BD52" i="3"/>
  <c r="BD46" i="3"/>
  <c r="O52" i="3"/>
  <c r="O55" i="3"/>
  <c r="O46" i="3"/>
  <c r="AZ46" i="3"/>
  <c r="AZ55" i="3"/>
  <c r="AZ52" i="3"/>
  <c r="M52" i="2"/>
  <c r="M46" i="2"/>
  <c r="M55" i="2"/>
  <c r="AV55" i="3"/>
  <c r="AV52" i="3"/>
  <c r="AV46" i="3"/>
  <c r="BA52" i="3"/>
  <c r="BA46" i="3"/>
  <c r="BA55" i="3"/>
  <c r="AR46" i="3"/>
  <c r="AR55" i="3"/>
  <c r="AR52" i="3"/>
  <c r="U50" i="3"/>
  <c r="U51" i="3"/>
  <c r="U48" i="3"/>
  <c r="E52" i="2"/>
  <c r="E46" i="2"/>
  <c r="E55" i="2"/>
  <c r="X57" i="2"/>
  <c r="X54" i="2"/>
  <c r="X56" i="2"/>
  <c r="X44" i="2"/>
  <c r="I55" i="3"/>
  <c r="I52" i="3"/>
  <c r="I46" i="3"/>
  <c r="AH48" i="3"/>
  <c r="AH50" i="3"/>
  <c r="AH51" i="3"/>
  <c r="Y55" i="2"/>
  <c r="Y52" i="2"/>
  <c r="Y46" i="2"/>
  <c r="AE55" i="2"/>
  <c r="AE52" i="2"/>
  <c r="AE46" i="2"/>
  <c r="C53" i="1"/>
  <c r="C55" i="1"/>
  <c r="C57" i="1"/>
  <c r="F55" i="3"/>
  <c r="F52" i="3"/>
  <c r="F46" i="3"/>
  <c r="AB50" i="2"/>
  <c r="AB48" i="2"/>
  <c r="AB51" i="2"/>
  <c r="AF51" i="2"/>
  <c r="J52" i="2"/>
  <c r="AJ46" i="3"/>
  <c r="AJ55" i="3"/>
  <c r="AJ52" i="3"/>
  <c r="C47" i="3"/>
  <c r="C53" i="3" s="1"/>
  <c r="C44" i="3"/>
  <c r="AH52" i="3"/>
  <c r="Q55" i="2"/>
  <c r="Q52" i="2"/>
  <c r="Q46" i="2"/>
  <c r="AO52" i="3"/>
  <c r="AO46" i="3"/>
  <c r="AO55" i="3"/>
  <c r="O49" i="2"/>
  <c r="O52" i="2"/>
  <c r="N55" i="2"/>
  <c r="N52" i="2"/>
  <c r="N46" i="2"/>
  <c r="D50" i="2"/>
  <c r="D48" i="2"/>
  <c r="D51" i="2"/>
  <c r="AI52" i="2"/>
  <c r="AI46" i="2"/>
  <c r="AI55" i="2"/>
  <c r="AT51" i="3"/>
  <c r="AT48" i="3"/>
  <c r="Z50" i="2"/>
  <c r="Z48" i="2"/>
  <c r="Z51" i="2"/>
  <c r="AB46" i="3"/>
  <c r="AB55" i="3"/>
  <c r="AB52" i="3"/>
  <c r="E47" i="3"/>
  <c r="E53" i="3" s="1"/>
  <c r="E44" i="3"/>
  <c r="E45" i="3"/>
  <c r="E49" i="3" s="1"/>
  <c r="Y52" i="3"/>
  <c r="Y46" i="3"/>
  <c r="Y55" i="3"/>
  <c r="AX48" i="3"/>
  <c r="AX50" i="3"/>
  <c r="AX51" i="3"/>
  <c r="I55" i="2"/>
  <c r="I52" i="2"/>
  <c r="I46" i="2"/>
  <c r="V55" i="2"/>
  <c r="V52" i="2"/>
  <c r="V46" i="2"/>
  <c r="AA52" i="2"/>
  <c r="AA46" i="2"/>
  <c r="AA55" i="2"/>
  <c r="AL52" i="3"/>
  <c r="E58" i="1" l="1"/>
  <c r="E49" i="1"/>
  <c r="E50" i="1"/>
  <c r="E47" i="1"/>
  <c r="AJ50" i="2"/>
  <c r="AJ48" i="2"/>
  <c r="P51" i="2"/>
  <c r="O50" i="2"/>
  <c r="O51" i="2"/>
  <c r="H48" i="2"/>
  <c r="H50" i="2"/>
  <c r="AF50" i="2"/>
  <c r="AY50" i="3"/>
  <c r="AY51" i="3"/>
  <c r="AS48" i="3"/>
  <c r="AS50" i="3"/>
  <c r="AQ51" i="3"/>
  <c r="AQ50" i="3"/>
  <c r="AP50" i="3"/>
  <c r="AI48" i="3"/>
  <c r="AI51" i="3"/>
  <c r="AD48" i="3"/>
  <c r="AD51" i="3"/>
  <c r="S51" i="3"/>
  <c r="J50" i="3"/>
  <c r="J51" i="3"/>
  <c r="S48" i="3"/>
  <c r="AA50" i="3"/>
  <c r="AA48" i="3"/>
  <c r="AA51" i="3"/>
  <c r="V51" i="2"/>
  <c r="V50" i="2"/>
  <c r="V48" i="2"/>
  <c r="AJ50" i="3"/>
  <c r="AJ51" i="3"/>
  <c r="AJ48" i="3"/>
  <c r="K50" i="2"/>
  <c r="K48" i="2"/>
  <c r="K51" i="2"/>
  <c r="N51" i="2"/>
  <c r="N50" i="2"/>
  <c r="N48" i="2"/>
  <c r="Y51" i="2"/>
  <c r="Y50" i="2"/>
  <c r="Y48" i="2"/>
  <c r="AW48" i="3"/>
  <c r="AW51" i="3"/>
  <c r="AW50" i="3"/>
  <c r="N50" i="3"/>
  <c r="N51" i="3"/>
  <c r="N48" i="3"/>
  <c r="AK50" i="2"/>
  <c r="AK48" i="2"/>
  <c r="AK51" i="2"/>
  <c r="AD51" i="2"/>
  <c r="AD50" i="2"/>
  <c r="AD48" i="2"/>
  <c r="AZ50" i="3"/>
  <c r="AZ51" i="3"/>
  <c r="AZ48" i="3"/>
  <c r="Y48" i="3"/>
  <c r="Y51" i="3"/>
  <c r="Y50" i="3"/>
  <c r="AO48" i="3"/>
  <c r="AO51" i="3"/>
  <c r="AO50" i="3"/>
  <c r="E50" i="2"/>
  <c r="E48" i="2"/>
  <c r="E51" i="2"/>
  <c r="AR50" i="3"/>
  <c r="AR51" i="3"/>
  <c r="AR48" i="3"/>
  <c r="O48" i="3"/>
  <c r="O51" i="3"/>
  <c r="O50" i="3"/>
  <c r="Q51" i="3"/>
  <c r="Q50" i="3"/>
  <c r="Q48" i="3"/>
  <c r="P51" i="3"/>
  <c r="P48" i="3"/>
  <c r="P50" i="3"/>
  <c r="X51" i="3"/>
  <c r="X48" i="3"/>
  <c r="X50" i="3"/>
  <c r="BB50" i="3"/>
  <c r="BB51" i="3"/>
  <c r="BB48" i="3"/>
  <c r="AF51" i="3"/>
  <c r="AF48" i="3"/>
  <c r="AF50" i="3"/>
  <c r="AG51" i="3"/>
  <c r="AG50" i="3"/>
  <c r="AG48" i="3"/>
  <c r="AA50" i="2"/>
  <c r="AA48" i="2"/>
  <c r="AA51" i="2"/>
  <c r="AM48" i="3"/>
  <c r="AM50" i="3"/>
  <c r="AM51" i="3"/>
  <c r="K48" i="3"/>
  <c r="K51" i="3"/>
  <c r="K50" i="3"/>
  <c r="AI50" i="2"/>
  <c r="AI48" i="2"/>
  <c r="AI51" i="2"/>
  <c r="BA48" i="3"/>
  <c r="BA51" i="3"/>
  <c r="BA50" i="3"/>
  <c r="W55" i="3"/>
  <c r="W52" i="3"/>
  <c r="W46" i="3"/>
  <c r="S50" i="2"/>
  <c r="S48" i="2"/>
  <c r="S51" i="2"/>
  <c r="AC51" i="3"/>
  <c r="AC50" i="3"/>
  <c r="AC48" i="3"/>
  <c r="C52" i="2"/>
  <c r="C55" i="2"/>
  <c r="C46" i="2"/>
  <c r="T50" i="3"/>
  <c r="T51" i="3"/>
  <c r="T48" i="3"/>
  <c r="F50" i="3"/>
  <c r="F51" i="3"/>
  <c r="F48" i="3"/>
  <c r="U50" i="2"/>
  <c r="U48" i="2"/>
  <c r="U51" i="2"/>
  <c r="BC51" i="3"/>
  <c r="BC48" i="3"/>
  <c r="BC50" i="3"/>
  <c r="D50" i="3"/>
  <c r="D51" i="3"/>
  <c r="D48" i="3"/>
  <c r="I51" i="2"/>
  <c r="I50" i="2"/>
  <c r="I48" i="2"/>
  <c r="C52" i="3"/>
  <c r="C55" i="3"/>
  <c r="C46" i="3"/>
  <c r="C51" i="1"/>
  <c r="C54" i="1"/>
  <c r="C45" i="1"/>
  <c r="X55" i="2"/>
  <c r="X46" i="2"/>
  <c r="X52" i="2"/>
  <c r="M50" i="2"/>
  <c r="M48" i="2"/>
  <c r="M51" i="2"/>
  <c r="BD51" i="3"/>
  <c r="BD48" i="3"/>
  <c r="BD50" i="3"/>
  <c r="R48" i="3"/>
  <c r="R50" i="3"/>
  <c r="R51" i="3"/>
  <c r="AG51" i="2"/>
  <c r="AG50" i="2"/>
  <c r="AG48" i="2"/>
  <c r="AC50" i="2"/>
  <c r="AC48" i="2"/>
  <c r="AC51" i="2"/>
  <c r="F51" i="2"/>
  <c r="F50" i="2"/>
  <c r="F48" i="2"/>
  <c r="AN51" i="3"/>
  <c r="AN48" i="3"/>
  <c r="AN50" i="3"/>
  <c r="AE51" i="2"/>
  <c r="AE48" i="2"/>
  <c r="AE50" i="2"/>
  <c r="AV51" i="3"/>
  <c r="AV48" i="3"/>
  <c r="AV50" i="3"/>
  <c r="AL51" i="2"/>
  <c r="AL50" i="2"/>
  <c r="AL48" i="2"/>
  <c r="AE51" i="3"/>
  <c r="AE50" i="3"/>
  <c r="AE48" i="3"/>
  <c r="H51" i="3"/>
  <c r="H48" i="3"/>
  <c r="H50" i="3"/>
  <c r="AB50" i="3"/>
  <c r="AB51" i="3"/>
  <c r="AB48" i="3"/>
  <c r="Q51" i="2"/>
  <c r="Q50" i="2"/>
  <c r="Q48" i="2"/>
  <c r="E46" i="3"/>
  <c r="E55" i="3"/>
  <c r="E52" i="3"/>
  <c r="I50" i="3"/>
  <c r="I51" i="3"/>
  <c r="I48" i="3"/>
  <c r="M48" i="3"/>
  <c r="M50" i="3"/>
  <c r="M51" i="3"/>
  <c r="L50" i="3"/>
  <c r="L51" i="3"/>
  <c r="L48" i="3"/>
  <c r="C48" i="3" l="1"/>
  <c r="C51" i="3"/>
  <c r="C50" i="3"/>
  <c r="X51" i="2"/>
  <c r="X48" i="2"/>
  <c r="X50" i="2"/>
  <c r="E51" i="3"/>
  <c r="E50" i="3"/>
  <c r="E48" i="3"/>
  <c r="C58" i="1"/>
  <c r="C50" i="1"/>
  <c r="C47" i="1"/>
  <c r="C49" i="1"/>
  <c r="C50" i="2"/>
  <c r="C48" i="2"/>
  <c r="C51" i="2"/>
  <c r="W50" i="3"/>
  <c r="W48" i="3"/>
  <c r="W51" i="3"/>
  <c r="D44" i="4" l="1"/>
  <c r="D59" i="4" s="1"/>
  <c r="C30" i="4"/>
  <c r="D55" i="4" l="1"/>
  <c r="C44" i="4"/>
  <c r="D58" i="4"/>
  <c r="D45" i="4"/>
  <c r="D57" i="4"/>
  <c r="D53" i="4" l="1"/>
  <c r="D56" i="4"/>
  <c r="D47" i="4"/>
  <c r="C55" i="4"/>
  <c r="C45" i="4"/>
  <c r="C59" i="4"/>
  <c r="C58" i="4"/>
  <c r="C57" i="4"/>
  <c r="C56" i="4" l="1"/>
  <c r="C53" i="4"/>
  <c r="C47" i="4"/>
  <c r="D51" i="4"/>
  <c r="D49" i="4"/>
  <c r="D52" i="4"/>
  <c r="C49" i="4" l="1"/>
  <c r="C51" i="4"/>
  <c r="C52" i="4"/>
</calcChain>
</file>

<file path=xl/sharedStrings.xml><?xml version="1.0" encoding="utf-8"?>
<sst xmlns="http://schemas.openxmlformats.org/spreadsheetml/2006/main" count="3731" uniqueCount="212">
  <si>
    <t>TỔNG</t>
  </si>
  <si>
    <t>NHÀ T</t>
  </si>
  <si>
    <t>NHÀ S</t>
  </si>
  <si>
    <t>Cọc phòng mới</t>
  </si>
  <si>
    <t>Cọc khách bỏ không ở</t>
  </si>
  <si>
    <t>Hoàn cọc</t>
  </si>
  <si>
    <t>Tổng số phòng phá hđ</t>
  </si>
  <si>
    <t>Tổng số phòng mới</t>
  </si>
  <si>
    <t xml:space="preserve">Tổng số phòng trống </t>
  </si>
  <si>
    <t>Doanh thu tiền phòng</t>
  </si>
  <si>
    <t>DOANH THU DỊCH VỤ</t>
  </si>
  <si>
    <t>Doanh thu điện</t>
  </si>
  <si>
    <t>Doanh thu nước</t>
  </si>
  <si>
    <t>Doanh thu phí vệ sinh</t>
  </si>
  <si>
    <t>Doanh thu mạng</t>
  </si>
  <si>
    <t>Doanh thu xe điện</t>
  </si>
  <si>
    <t>Doanh thu phí thang máy</t>
  </si>
  <si>
    <t>Doanh thu máy giặt</t>
  </si>
  <si>
    <t>Doanh thu tổng dịch vụ nhà</t>
  </si>
  <si>
    <t>Tiền thuê nhà 1 tháng</t>
  </si>
  <si>
    <t xml:space="preserve">Tiền thuê nhà </t>
  </si>
  <si>
    <t>Mua sắm thêm thiết bị</t>
  </si>
  <si>
    <t>Gía gốc dịch vụ</t>
  </si>
  <si>
    <t xml:space="preserve">Điện </t>
  </si>
  <si>
    <t>Nước</t>
  </si>
  <si>
    <t xml:space="preserve">Mạng </t>
  </si>
  <si>
    <t>Phí thu rác</t>
  </si>
  <si>
    <t>Phí môi trường</t>
  </si>
  <si>
    <t>Phí bảo trì thang máy</t>
  </si>
  <si>
    <t>Gía vốn( GV)</t>
  </si>
  <si>
    <t>Chi phí vận hành</t>
  </si>
  <si>
    <t>Lương quản lý</t>
  </si>
  <si>
    <t>Lương quản lý tổng</t>
  </si>
  <si>
    <t>Lương trưởng phòng vận hành</t>
  </si>
  <si>
    <t>Lương trưởng nhóm vận hành</t>
  </si>
  <si>
    <t xml:space="preserve">Lương NVKD </t>
  </si>
  <si>
    <t>Lương vệ sinh</t>
  </si>
  <si>
    <t>Lương kế toán</t>
  </si>
  <si>
    <t>Lương sửa chữa</t>
  </si>
  <si>
    <t>Lương bảo vệ</t>
  </si>
  <si>
    <t>Thuê và dv VP</t>
  </si>
  <si>
    <t>Chi phí bán hàng phát sinh</t>
  </si>
  <si>
    <t>Phí marketing</t>
  </si>
  <si>
    <t xml:space="preserve">Sửa chữa ,thay thế,bảo trì </t>
  </si>
  <si>
    <t>Chi phí khác</t>
  </si>
  <si>
    <t>Tổng chi phí bán hàng (CPBH)</t>
  </si>
  <si>
    <t>TỔNG CHI PHÍ (TCP)</t>
  </si>
  <si>
    <t>Lợi nhuận gộp (LNG)</t>
  </si>
  <si>
    <t>Lợi nhuận ròng (LNR)</t>
  </si>
  <si>
    <t>Tỷ lệ LNR /DT</t>
  </si>
  <si>
    <t>Tỷ lệ LNG /DT</t>
  </si>
  <si>
    <t>Tỷ lệ LNR /GV</t>
  </si>
  <si>
    <t>Tỷ lệ LNR/LNG</t>
  </si>
  <si>
    <t>CP/LNG</t>
  </si>
  <si>
    <t>GV/DT</t>
  </si>
  <si>
    <t>CPBH/DT</t>
  </si>
  <si>
    <t>TCP/DT</t>
  </si>
  <si>
    <t>LƯƠNG/CPBH</t>
  </si>
  <si>
    <t>HH/CPBH</t>
  </si>
  <si>
    <t>CPK/CPBH</t>
  </si>
  <si>
    <t>LNR/DT</t>
  </si>
  <si>
    <t>BÁO CÁO KINH DOANH THÁNG 12/2025</t>
  </si>
  <si>
    <t>T2</t>
  </si>
  <si>
    <t>T3</t>
  </si>
  <si>
    <t>T5</t>
  </si>
  <si>
    <t>T7</t>
  </si>
  <si>
    <t>T8</t>
  </si>
  <si>
    <t>T10</t>
  </si>
  <si>
    <t>T11</t>
  </si>
  <si>
    <t>T12</t>
  </si>
  <si>
    <t>T13</t>
  </si>
  <si>
    <t>T14</t>
  </si>
  <si>
    <t>T15</t>
  </si>
  <si>
    <t>T17</t>
  </si>
  <si>
    <t>T18</t>
  </si>
  <si>
    <t>T20</t>
  </si>
  <si>
    <t>T21</t>
  </si>
  <si>
    <t>T22</t>
  </si>
  <si>
    <t>T24</t>
  </si>
  <si>
    <t>T25</t>
  </si>
  <si>
    <t>T26</t>
  </si>
  <si>
    <t>T27</t>
  </si>
  <si>
    <t>T28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</si>
  <si>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</si>
  <si>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</si>
  <si>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</si>
  <si>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</si>
  <si>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</si>
  <si>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</si>
  <si>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</si>
  <si>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</si>
  <si>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</si>
  <si>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T41</t>
  </si>
  <si>
    <t>T42</t>
  </si>
  <si>
    <t>T43</t>
  </si>
  <si>
    <t>T44</t>
  </si>
  <si>
    <t>T45</t>
  </si>
  <si>
    <t>L1</t>
  </si>
  <si>
    <t>L3</t>
  </si>
  <si>
    <t>L2</t>
  </si>
  <si>
    <t>Tổng doanh thu tháng 12</t>
  </si>
  <si>
    <t>Tổng số phòng trống tháng 12</t>
  </si>
  <si>
    <t>Doanh thu phí thang máy/dv khác/điện chung</t>
  </si>
  <si>
    <t>Các chi phí khác</t>
  </si>
  <si>
    <t>LƯƠNG /CPBH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</si>
  <si>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</si>
  <si>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</si>
  <si>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</si>
  <si>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</si>
  <si>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</si>
  <si>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</si>
  <si>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</si>
  <si>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</si>
  <si>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</si>
  <si>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S9B</t>
  </si>
  <si>
    <t>S10</t>
  </si>
  <si>
    <t>S12</t>
  </si>
  <si>
    <t>S13</t>
  </si>
  <si>
    <t>S14</t>
  </si>
  <si>
    <t>S15</t>
  </si>
  <si>
    <t>S16</t>
  </si>
  <si>
    <t>S17</t>
  </si>
  <si>
    <t>S18</t>
  </si>
  <si>
    <t>S19A</t>
  </si>
  <si>
    <t>S19B</t>
  </si>
  <si>
    <t>S19C</t>
  </si>
  <si>
    <t>S20</t>
  </si>
  <si>
    <t>S21A</t>
  </si>
  <si>
    <t>S22</t>
  </si>
  <si>
    <t>S23</t>
  </si>
  <si>
    <t>S24</t>
  </si>
  <si>
    <t>S25A</t>
  </si>
  <si>
    <t>S25B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</si>
  <si>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</si>
  <si>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</si>
  <si>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</si>
  <si>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</si>
  <si>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</si>
  <si>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</si>
  <si>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</si>
  <si>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</si>
  <si>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</si>
  <si>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</si>
  <si>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</si>
  <si>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</si>
  <si>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</si>
  <si>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</si>
  <si>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</si>
  <si>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</si>
  <si>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</si>
  <si>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</si>
  <si>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</si>
  <si>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</si>
  <si>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</si>
  <si>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</si>
  <si>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</si>
  <si>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</si>
  <si>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</si>
  <si>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Hoàn Cọc</t>
  </si>
  <si>
    <t>BÁO CÁO KINH DOANH THÁNG 1/2026</t>
  </si>
  <si>
    <t>Tổng doanh thu tháng 1</t>
  </si>
  <si>
    <t>Tổng số phòng trống tháng 1</t>
  </si>
  <si>
    <t>2,804,000</t>
  </si>
  <si>
    <t>2,680,000</t>
  </si>
  <si>
    <t>BÁO CÁO KINH DOANH THÁNG 2/2026</t>
  </si>
  <si>
    <t>Tổng doanh thu tháng 2</t>
  </si>
  <si>
    <t>Lương phó phòng vận hành</t>
  </si>
  <si>
    <t>Lương nhân viên nguồn</t>
  </si>
  <si>
    <t>2,788,000</t>
  </si>
  <si>
    <t>Tổng số phòng trống tháng 2</t>
  </si>
  <si>
    <t>S21</t>
  </si>
  <si>
    <t>G1</t>
  </si>
  <si>
    <t>NHÀ G</t>
  </si>
  <si>
    <t>BÁO CÁO TỔNG THÁNG 2/2026</t>
  </si>
  <si>
    <t>BÁO CÁO KINH DOANH THÁNG 3/2026</t>
  </si>
  <si>
    <t>Tổng doanh thu tháng 3</t>
  </si>
  <si>
    <t>Tổng số phòng trống tháng 3</t>
  </si>
  <si>
    <t>610,190</t>
  </si>
  <si>
    <t>G2</t>
  </si>
  <si>
    <t>BÁO CÁO TỔNG THÁNG 3/2026</t>
  </si>
  <si>
    <t>BÁO CÁO KINH DOANH THÁNG 4/2026</t>
  </si>
  <si>
    <t>Tổng doanh thu tháng 4</t>
  </si>
  <si>
    <t>Tổng số phòng trống tháng 4</t>
  </si>
  <si>
    <t>G3</t>
  </si>
  <si>
    <t>G4</t>
  </si>
  <si>
    <t>BÁO CÁO TỔNG THÁNG 4/2026</t>
  </si>
  <si>
    <t>BÁO CÁO KINH DOANH THÁNG 5/2026</t>
  </si>
  <si>
    <t>Tổng số phòng trống tháng 5</t>
  </si>
  <si>
    <t>G5</t>
  </si>
  <si>
    <t>G6</t>
  </si>
  <si>
    <t>G7</t>
  </si>
  <si>
    <t>BÁO CÁO TỔNG THÁNG 5/2026</t>
  </si>
  <si>
    <t>Tổng doanh thu tháng 5</t>
  </si>
  <si>
    <t>BÁO CÁO KINH DOANH THÁNG 6/2026</t>
  </si>
  <si>
    <t>Tổng doanh thu tháng 6</t>
  </si>
  <si>
    <t>Tổng số phòng trống tháng 6</t>
  </si>
  <si>
    <t>BÁO CÁO TỔNG THÁNG 6/2026</t>
  </si>
  <si>
    <t>BÁO CÁO KINH DOANH THÁNG 7/2026</t>
  </si>
  <si>
    <t>Tổng doanh thu tháng 7</t>
  </si>
  <si>
    <t>Tổng số phòng trống tháng 7</t>
  </si>
  <si>
    <t>BÁO CÁO TỔNG THÁNG 7/2026</t>
  </si>
  <si>
    <t>BÁO CÁO KINH DOANH THÁNG 8/2026</t>
  </si>
  <si>
    <t>Tổng doanh thu tháng 8</t>
  </si>
  <si>
    <t>Tổng số phòng trống tháng 8</t>
  </si>
  <si>
    <t>G8</t>
  </si>
  <si>
    <t>G9</t>
  </si>
  <si>
    <t>G10</t>
  </si>
  <si>
    <t>G11</t>
  </si>
  <si>
    <t>BÁO CÁO TỔNG THÁNG 8/2026</t>
  </si>
  <si>
    <t>DT DV/ GIÁ NHẬP</t>
  </si>
  <si>
    <t>DT DỊCH VỤ/ GIÁ NHẬP DV</t>
  </si>
  <si>
    <t>DT TIỀN NHÀ/GIÁ THUÊ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</si>
</sst>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2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Aptos Narrow"/>
      <family val="2"/>
      <charset val="163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ptos Narrow"/>
      <family val="2"/>
      <charset val="163"/>
      <scheme val="minor"/>
    </font>
    <font>
      <b/>
      <sz val="12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2" fillId="0" borderId="0"/>
  </cellStyleXfs>
  <cellXfs count="146">
    <xf numFmtId="0" fontId="0" fillId="0" borderId="0" xfId="0"/>
    <xf numFmtId="38" fontId="0" fillId="0" borderId="4" xfId="0" applyNumberFormat="1" applyBorder="1" applyAlignment="1">
      <alignment horizontal="center" vertical="center"/>
    </xf>
    <xf numFmtId="38" fontId="3" fillId="0" borderId="4" xfId="0" applyNumberFormat="1" applyFont="1" applyBorder="1" applyAlignment="1">
      <alignment horizontal="left" vertical="center"/>
    </xf>
    <xf numFmtId="38" fontId="3" fillId="0" borderId="4" xfId="0" applyNumberFormat="1" applyFont="1" applyBorder="1" applyAlignment="1">
      <alignment horizontal="center" vertical="center"/>
    </xf>
    <xf numFmtId="38" fontId="4" fillId="0" borderId="4" xfId="0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3" fillId="3" borderId="4" xfId="0" applyNumberFormat="1" applyFont="1" applyFill="1" applyBorder="1" applyAlignment="1">
      <alignment horizontal="left" vertical="center"/>
    </xf>
    <xf numFmtId="38" fontId="6" fillId="3" borderId="4" xfId="0" applyNumberFormat="1" applyFont="1" applyFill="1" applyBorder="1" applyAlignment="1">
      <alignment horizontal="left" vertical="center"/>
    </xf>
    <xf numFmtId="38" fontId="3" fillId="3" borderId="4" xfId="0" applyNumberFormat="1" applyFont="1" applyFill="1" applyBorder="1" applyAlignment="1">
      <alignment horizontal="center" vertical="center"/>
    </xf>
    <xf numFmtId="38" fontId="7" fillId="3" borderId="4" xfId="0" applyNumberFormat="1" applyFont="1" applyFill="1" applyBorder="1" applyAlignment="1">
      <alignment horizontal="center" vertical="center"/>
    </xf>
    <xf numFmtId="38" fontId="0" fillId="3" borderId="4" xfId="0" applyNumberFormat="1" applyFill="1" applyBorder="1" applyAlignment="1">
      <alignment horizontal="center" vertical="center"/>
    </xf>
    <xf numFmtId="38" fontId="6" fillId="0" borderId="4" xfId="0" applyNumberFormat="1" applyFont="1" applyBorder="1" applyAlignment="1">
      <alignment horizontal="left" vertical="center"/>
    </xf>
    <xf numFmtId="38" fontId="7" fillId="0" borderId="4" xfId="0" applyNumberFormat="1" applyFont="1" applyBorder="1" applyAlignment="1">
      <alignment horizontal="center" vertical="center"/>
    </xf>
    <xf numFmtId="38" fontId="6" fillId="0" borderId="5" xfId="0" applyNumberFormat="1" applyFont="1" applyBorder="1" applyAlignment="1">
      <alignment horizontal="left" vertical="center"/>
    </xf>
    <xf numFmtId="38" fontId="7" fillId="0" borderId="4" xfId="0" applyNumberFormat="1" applyFont="1" applyBorder="1" applyAlignment="1">
      <alignment horizontal="left" vertical="center"/>
    </xf>
    <xf numFmtId="38" fontId="3" fillId="2" borderId="4" xfId="0" applyNumberFormat="1" applyFont="1" applyFill="1" applyBorder="1" applyAlignment="1">
      <alignment horizontal="left" vertical="center"/>
    </xf>
    <xf numFmtId="38" fontId="3" fillId="2" borderId="4" xfId="0" applyNumberFormat="1" applyFont="1" applyFill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38" fontId="3" fillId="4" borderId="4" xfId="0" applyNumberFormat="1" applyFont="1" applyFill="1" applyBorder="1" applyAlignment="1">
      <alignment horizontal="left" vertical="center"/>
    </xf>
    <xf numFmtId="38" fontId="3" fillId="5" borderId="4" xfId="0" applyNumberFormat="1" applyFont="1" applyFill="1" applyBorder="1" applyAlignment="1">
      <alignment horizontal="center" vertical="center"/>
    </xf>
    <xf numFmtId="38" fontId="3" fillId="4" borderId="4" xfId="0" applyNumberFormat="1" applyFont="1" applyFill="1" applyBorder="1" applyAlignment="1">
      <alignment horizontal="center" vertical="center"/>
    </xf>
    <xf numFmtId="38" fontId="0" fillId="4" borderId="4" xfId="0" applyNumberFormat="1" applyFill="1" applyBorder="1" applyAlignment="1">
      <alignment horizontal="center" vertical="center"/>
    </xf>
    <xf numFmtId="38" fontId="3" fillId="6" borderId="4" xfId="0" applyNumberFormat="1" applyFont="1" applyFill="1" applyBorder="1" applyAlignment="1">
      <alignment horizontal="left" vertical="center"/>
    </xf>
    <xf numFmtId="38" fontId="3" fillId="6" borderId="4" xfId="0" applyNumberFormat="1" applyFont="1" applyFill="1" applyBorder="1" applyAlignment="1">
      <alignment horizontal="center" vertical="center"/>
    </xf>
    <xf numFmtId="38" fontId="0" fillId="6" borderId="4" xfId="0" applyNumberFormat="1" applyFill="1" applyBorder="1" applyAlignment="1">
      <alignment horizontal="center" vertical="center"/>
    </xf>
    <xf numFmtId="38" fontId="6" fillId="4" borderId="4" xfId="0" applyNumberFormat="1" applyFont="1" applyFill="1" applyBorder="1" applyAlignment="1">
      <alignment horizontal="center" vertical="center"/>
    </xf>
    <xf numFmtId="38" fontId="3" fillId="7" borderId="4" xfId="0" applyNumberFormat="1" applyFont="1" applyFill="1" applyBorder="1" applyAlignment="1">
      <alignment horizontal="left" vertical="center"/>
    </xf>
    <xf numFmtId="38" fontId="3" fillId="7" borderId="4" xfId="0" applyNumberFormat="1" applyFont="1" applyFill="1" applyBorder="1" applyAlignment="1">
      <alignment horizontal="center" vertical="center"/>
    </xf>
    <xf numFmtId="38" fontId="6" fillId="7" borderId="4" xfId="0" applyNumberFormat="1" applyFont="1" applyFill="1" applyBorder="1" applyAlignment="1">
      <alignment horizontal="center" vertical="center"/>
    </xf>
    <xf numFmtId="38" fontId="0" fillId="7" borderId="4" xfId="0" applyNumberFormat="1" applyFill="1" applyBorder="1" applyAlignment="1">
      <alignment horizontal="center" vertical="center"/>
    </xf>
    <xf numFmtId="38" fontId="6" fillId="3" borderId="4" xfId="0" applyNumberFormat="1" applyFont="1" applyFill="1" applyBorder="1" applyAlignment="1">
      <alignment horizontal="center" vertical="center"/>
    </xf>
    <xf numFmtId="10" fontId="4" fillId="2" borderId="4" xfId="0" applyNumberFormat="1" applyFont="1" applyFill="1" applyBorder="1" applyAlignment="1">
      <alignment horizontal="left" vertical="center"/>
    </xf>
    <xf numFmtId="10" fontId="8" fillId="2" borderId="4" xfId="0" applyNumberFormat="1" applyFont="1" applyFill="1" applyBorder="1" applyAlignment="1">
      <alignment horizontal="left" vertical="center"/>
    </xf>
    <xf numFmtId="10" fontId="4" fillId="2" borderId="4" xfId="0" applyNumberFormat="1" applyFon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38" fontId="4" fillId="2" borderId="4" xfId="0" applyNumberFormat="1" applyFont="1" applyFill="1" applyBorder="1" applyAlignment="1">
      <alignment horizontal="left" vertical="center"/>
    </xf>
    <xf numFmtId="38" fontId="8" fillId="2" borderId="4" xfId="0" applyNumberFormat="1" applyFont="1" applyFill="1" applyBorder="1" applyAlignment="1">
      <alignment horizontal="left" vertical="center"/>
    </xf>
    <xf numFmtId="38" fontId="4" fillId="2" borderId="4" xfId="0" applyNumberFormat="1" applyFont="1" applyFill="1" applyBorder="1" applyAlignment="1">
      <alignment horizontal="center" vertical="center"/>
    </xf>
    <xf numFmtId="38" fontId="0" fillId="2" borderId="4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left" vertical="center"/>
    </xf>
    <xf numFmtId="10" fontId="10" fillId="2" borderId="4" xfId="1" applyNumberFormat="1" applyFont="1" applyFill="1" applyBorder="1" applyAlignment="1">
      <alignment horizontal="left" vertical="center"/>
    </xf>
    <xf numFmtId="10" fontId="11" fillId="2" borderId="4" xfId="1" applyNumberFormat="1" applyFont="1" applyFill="1" applyBorder="1" applyAlignment="1">
      <alignment horizontal="center" vertical="center"/>
    </xf>
    <xf numFmtId="10" fontId="0" fillId="2" borderId="4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8" fontId="11" fillId="0" borderId="0" xfId="0" applyNumberFormat="1" applyFont="1" applyAlignment="1">
      <alignment horizontal="center" vertical="center"/>
    </xf>
    <xf numFmtId="38" fontId="10" fillId="0" borderId="0" xfId="0" applyNumberFormat="1" applyFont="1" applyAlignment="1">
      <alignment horizontal="left" vertical="center"/>
    </xf>
    <xf numFmtId="38" fontId="2" fillId="2" borderId="1" xfId="0" applyNumberFormat="1" applyFont="1" applyFill="1" applyBorder="1" applyAlignment="1">
      <alignment vertical="center"/>
    </xf>
    <xf numFmtId="38" fontId="2" fillId="2" borderId="2" xfId="0" applyNumberFormat="1" applyFont="1" applyFill="1" applyBorder="1" applyAlignment="1">
      <alignment vertical="center"/>
    </xf>
    <xf numFmtId="38" fontId="12" fillId="0" borderId="4" xfId="0" applyNumberFormat="1" applyFont="1" applyBorder="1" applyAlignment="1">
      <alignment horizontal="left"/>
    </xf>
    <xf numFmtId="38" fontId="13" fillId="0" borderId="4" xfId="0" applyNumberFormat="1" applyFont="1" applyBorder="1" applyAlignment="1">
      <alignment horizontal="center" vertical="center"/>
    </xf>
    <xf numFmtId="38" fontId="14" fillId="0" borderId="4" xfId="0" applyNumberFormat="1" applyFont="1" applyBorder="1" applyAlignment="1">
      <alignment horizontal="center" vertical="center"/>
    </xf>
    <xf numFmtId="38" fontId="15" fillId="3" borderId="4" xfId="0" applyNumberFormat="1" applyFont="1" applyFill="1" applyBorder="1" applyAlignment="1">
      <alignment horizontal="left"/>
    </xf>
    <xf numFmtId="38" fontId="16" fillId="3" borderId="4" xfId="0" applyNumberFormat="1" applyFont="1" applyFill="1" applyBorder="1" applyAlignment="1">
      <alignment horizontal="left"/>
    </xf>
    <xf numFmtId="38" fontId="15" fillId="0" borderId="4" xfId="0" applyNumberFormat="1" applyFont="1" applyBorder="1" applyAlignment="1">
      <alignment horizontal="left"/>
    </xf>
    <xf numFmtId="3" fontId="15" fillId="3" borderId="4" xfId="0" applyNumberFormat="1" applyFont="1" applyFill="1" applyBorder="1" applyAlignment="1">
      <alignment horizontal="left"/>
    </xf>
    <xf numFmtId="38" fontId="17" fillId="3" borderId="4" xfId="0" applyNumberFormat="1" applyFont="1" applyFill="1" applyBorder="1" applyAlignment="1">
      <alignment horizontal="left"/>
    </xf>
    <xf numFmtId="3" fontId="17" fillId="3" borderId="4" xfId="0" applyNumberFormat="1" applyFont="1" applyFill="1" applyBorder="1" applyAlignment="1">
      <alignment horizontal="left"/>
    </xf>
    <xf numFmtId="38" fontId="16" fillId="0" borderId="4" xfId="0" applyNumberFormat="1" applyFont="1" applyBorder="1" applyAlignment="1">
      <alignment vertical="center"/>
    </xf>
    <xf numFmtId="38" fontId="16" fillId="0" borderId="4" xfId="0" applyNumberFormat="1" applyFont="1" applyBorder="1" applyAlignment="1">
      <alignment horizontal="left"/>
    </xf>
    <xf numFmtId="38" fontId="17" fillId="0" borderId="4" xfId="0" applyNumberFormat="1" applyFont="1" applyBorder="1" applyAlignment="1">
      <alignment horizontal="left"/>
    </xf>
    <xf numFmtId="38" fontId="16" fillId="0" borderId="4" xfId="0" applyNumberFormat="1" applyFont="1" applyBorder="1" applyAlignment="1">
      <alignment horizontal="left" vertical="center"/>
    </xf>
    <xf numFmtId="3" fontId="16" fillId="0" borderId="5" xfId="0" applyNumberFormat="1" applyFont="1" applyBorder="1" applyAlignment="1">
      <alignment horizontal="left" vertical="center"/>
    </xf>
    <xf numFmtId="38" fontId="16" fillId="0" borderId="5" xfId="0" applyNumberFormat="1" applyFont="1" applyBorder="1" applyAlignment="1">
      <alignment horizontal="left" vertical="center"/>
    </xf>
    <xf numFmtId="3" fontId="18" fillId="0" borderId="5" xfId="0" applyNumberFormat="1" applyFont="1" applyBorder="1" applyAlignment="1">
      <alignment horizontal="left" vertical="center"/>
    </xf>
    <xf numFmtId="3" fontId="16" fillId="0" borderId="4" xfId="0" applyNumberFormat="1" applyFont="1" applyBorder="1" applyAlignment="1">
      <alignment horizontal="left" vertical="center"/>
    </xf>
    <xf numFmtId="3" fontId="19" fillId="8" borderId="4" xfId="0" applyNumberFormat="1" applyFont="1" applyFill="1" applyBorder="1" applyAlignment="1">
      <alignment horizontal="left"/>
    </xf>
    <xf numFmtId="3" fontId="16" fillId="0" borderId="7" xfId="0" applyNumberFormat="1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3" fontId="16" fillId="0" borderId="8" xfId="0" applyNumberFormat="1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38" fontId="15" fillId="2" borderId="4" xfId="0" applyNumberFormat="1" applyFont="1" applyFill="1" applyBorder="1" applyAlignment="1">
      <alignment horizontal="left" vertical="center"/>
    </xf>
    <xf numFmtId="38" fontId="15" fillId="2" borderId="4" xfId="0" applyNumberFormat="1" applyFont="1" applyFill="1" applyBorder="1" applyAlignment="1">
      <alignment horizontal="left"/>
    </xf>
    <xf numFmtId="3" fontId="16" fillId="0" borderId="4" xfId="0" applyNumberFormat="1" applyFont="1" applyBorder="1" applyAlignment="1">
      <alignment horizontal="left"/>
    </xf>
    <xf numFmtId="3" fontId="18" fillId="0" borderId="4" xfId="0" applyNumberFormat="1" applyFont="1" applyBorder="1" applyAlignment="1">
      <alignment horizontal="left"/>
    </xf>
    <xf numFmtId="38" fontId="15" fillId="0" borderId="4" xfId="0" applyNumberFormat="1" applyFont="1" applyBorder="1" applyAlignment="1">
      <alignment vertical="center"/>
    </xf>
    <xf numFmtId="3" fontId="17" fillId="9" borderId="4" xfId="0" applyNumberFormat="1" applyFont="1" applyFill="1" applyBorder="1" applyAlignment="1">
      <alignment horizontal="left" vertical="center"/>
    </xf>
    <xf numFmtId="3" fontId="17" fillId="0" borderId="4" xfId="0" applyNumberFormat="1" applyFont="1" applyBorder="1" applyAlignment="1">
      <alignment horizontal="left"/>
    </xf>
    <xf numFmtId="38" fontId="20" fillId="0" borderId="4" xfId="0" applyNumberFormat="1" applyFont="1" applyBorder="1" applyAlignment="1">
      <alignment horizontal="left"/>
    </xf>
    <xf numFmtId="38" fontId="15" fillId="3" borderId="4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18" fillId="0" borderId="0" xfId="0" applyNumberFormat="1" applyFont="1" applyAlignment="1">
      <alignment horizontal="left"/>
    </xf>
    <xf numFmtId="38" fontId="15" fillId="4" borderId="4" xfId="0" applyNumberFormat="1" applyFont="1" applyFill="1" applyBorder="1" applyAlignment="1">
      <alignment horizontal="left" vertical="center"/>
    </xf>
    <xf numFmtId="38" fontId="15" fillId="4" borderId="4" xfId="0" applyNumberFormat="1" applyFont="1" applyFill="1" applyBorder="1" applyAlignment="1">
      <alignment horizontal="left"/>
    </xf>
    <xf numFmtId="38" fontId="17" fillId="4" borderId="4" xfId="0" applyNumberFormat="1" applyFont="1" applyFill="1" applyBorder="1" applyAlignment="1">
      <alignment horizontal="left"/>
    </xf>
    <xf numFmtId="38" fontId="15" fillId="6" borderId="4" xfId="0" applyNumberFormat="1" applyFont="1" applyFill="1" applyBorder="1" applyAlignment="1">
      <alignment horizontal="left" vertical="center"/>
    </xf>
    <xf numFmtId="38" fontId="15" fillId="6" borderId="4" xfId="0" applyNumberFormat="1" applyFont="1" applyFill="1" applyBorder="1" applyAlignment="1">
      <alignment horizontal="left"/>
    </xf>
    <xf numFmtId="38" fontId="17" fillId="6" borderId="4" xfId="0" applyNumberFormat="1" applyFont="1" applyFill="1" applyBorder="1" applyAlignment="1">
      <alignment horizontal="left"/>
    </xf>
    <xf numFmtId="38" fontId="16" fillId="4" borderId="4" xfId="0" applyNumberFormat="1" applyFont="1" applyFill="1" applyBorder="1" applyAlignment="1">
      <alignment horizontal="left"/>
    </xf>
    <xf numFmtId="38" fontId="15" fillId="7" borderId="4" xfId="0" applyNumberFormat="1" applyFont="1" applyFill="1" applyBorder="1" applyAlignment="1">
      <alignment horizontal="left"/>
    </xf>
    <xf numFmtId="38" fontId="16" fillId="7" borderId="4" xfId="0" applyNumberFormat="1" applyFont="1" applyFill="1" applyBorder="1" applyAlignment="1">
      <alignment horizontal="left"/>
    </xf>
    <xf numFmtId="38" fontId="17" fillId="7" borderId="4" xfId="0" applyNumberFormat="1" applyFont="1" applyFill="1" applyBorder="1" applyAlignment="1">
      <alignment horizontal="left"/>
    </xf>
    <xf numFmtId="10" fontId="20" fillId="2" borderId="4" xfId="0" applyNumberFormat="1" applyFont="1" applyFill="1" applyBorder="1" applyAlignment="1">
      <alignment horizontal="left"/>
    </xf>
    <xf numFmtId="10" fontId="21" fillId="2" borderId="4" xfId="0" applyNumberFormat="1" applyFont="1" applyFill="1" applyBorder="1" applyAlignment="1">
      <alignment horizontal="left"/>
    </xf>
    <xf numFmtId="10" fontId="20" fillId="0" borderId="4" xfId="0" applyNumberFormat="1" applyFont="1" applyBorder="1" applyAlignment="1">
      <alignment horizontal="left"/>
    </xf>
    <xf numFmtId="10" fontId="17" fillId="2" borderId="4" xfId="0" applyNumberFormat="1" applyFont="1" applyFill="1" applyBorder="1" applyAlignment="1">
      <alignment horizontal="left"/>
    </xf>
    <xf numFmtId="10" fontId="17" fillId="2" borderId="4" xfId="0" applyNumberFormat="1" applyFont="1" applyFill="1" applyBorder="1"/>
    <xf numFmtId="38" fontId="20" fillId="2" borderId="4" xfId="0" applyNumberFormat="1" applyFont="1" applyFill="1" applyBorder="1" applyAlignment="1">
      <alignment horizontal="left"/>
    </xf>
    <xf numFmtId="38" fontId="21" fillId="2" borderId="4" xfId="0" applyNumberFormat="1" applyFont="1" applyFill="1" applyBorder="1" applyAlignment="1">
      <alignment horizontal="left"/>
    </xf>
    <xf numFmtId="38" fontId="17" fillId="2" borderId="4" xfId="0" applyNumberFormat="1" applyFont="1" applyFill="1" applyBorder="1"/>
    <xf numFmtId="0" fontId="20" fillId="2" borderId="4" xfId="0" applyFont="1" applyFill="1" applyBorder="1"/>
    <xf numFmtId="0" fontId="12" fillId="2" borderId="4" xfId="0" applyFont="1" applyFill="1" applyBorder="1"/>
    <xf numFmtId="10" fontId="20" fillId="0" borderId="4" xfId="1" applyNumberFormat="1" applyFont="1" applyFill="1" applyBorder="1" applyAlignment="1">
      <alignment horizontal="left"/>
    </xf>
    <xf numFmtId="10" fontId="20" fillId="2" borderId="4" xfId="1" applyNumberFormat="1" applyFont="1" applyFill="1" applyBorder="1" applyAlignment="1">
      <alignment horizontal="left"/>
    </xf>
    <xf numFmtId="0" fontId="20" fillId="2" borderId="4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12" fillId="0" borderId="0" xfId="0" applyFont="1"/>
    <xf numFmtId="0" fontId="9" fillId="0" borderId="0" xfId="0" applyFont="1"/>
    <xf numFmtId="3" fontId="12" fillId="0" borderId="0" xfId="0" applyNumberFormat="1" applyFont="1"/>
    <xf numFmtId="3" fontId="9" fillId="0" borderId="0" xfId="0" applyNumberFormat="1" applyFont="1"/>
    <xf numFmtId="38" fontId="12" fillId="0" borderId="0" xfId="0" applyNumberFormat="1" applyFont="1"/>
    <xf numFmtId="0" fontId="12" fillId="10" borderId="0" xfId="0" applyFont="1" applyFill="1"/>
    <xf numFmtId="38" fontId="17" fillId="0" borderId="4" xfId="0" applyNumberFormat="1" applyFont="1" applyBorder="1" applyAlignment="1">
      <alignment horizontal="left" vertical="center"/>
    </xf>
    <xf numFmtId="3" fontId="19" fillId="0" borderId="4" xfId="0" applyNumberFormat="1" applyFont="1" applyBorder="1" applyAlignment="1">
      <alignment horizontal="left"/>
    </xf>
    <xf numFmtId="10" fontId="17" fillId="2" borderId="4" xfId="1" applyNumberFormat="1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38" fontId="2" fillId="2" borderId="3" xfId="0" applyNumberFormat="1" applyFont="1" applyFill="1" applyBorder="1" applyAlignment="1">
      <alignment vertical="center"/>
    </xf>
    <xf numFmtId="38" fontId="16" fillId="0" borderId="5" xfId="0" applyNumberFormat="1" applyFont="1" applyBorder="1" applyAlignment="1">
      <alignment horizontal="center" vertical="center"/>
    </xf>
    <xf numFmtId="38" fontId="16" fillId="0" borderId="6" xfId="0" applyNumberFormat="1" applyFont="1" applyBorder="1" applyAlignment="1">
      <alignment horizontal="center" vertical="center"/>
    </xf>
    <xf numFmtId="38" fontId="16" fillId="0" borderId="7" xfId="0" applyNumberFormat="1" applyFont="1" applyBorder="1" applyAlignment="1">
      <alignment horizontal="center" vertical="center"/>
    </xf>
    <xf numFmtId="38" fontId="15" fillId="0" borderId="4" xfId="0" applyNumberFormat="1" applyFont="1" applyBorder="1" applyAlignment="1">
      <alignment horizontal="left" vertical="center"/>
    </xf>
    <xf numFmtId="38" fontId="15" fillId="0" borderId="5" xfId="0" applyNumberFormat="1" applyFont="1" applyBorder="1" applyAlignment="1">
      <alignment horizontal="center" vertical="center"/>
    </xf>
    <xf numFmtId="38" fontId="15" fillId="0" borderId="6" xfId="0" applyNumberFormat="1" applyFont="1" applyBorder="1" applyAlignment="1">
      <alignment horizontal="center" vertical="center"/>
    </xf>
    <xf numFmtId="38" fontId="15" fillId="0" borderId="7" xfId="0" applyNumberFormat="1" applyFont="1" applyBorder="1" applyAlignment="1">
      <alignment horizontal="center" vertical="center"/>
    </xf>
    <xf numFmtId="38" fontId="15" fillId="0" borderId="4" xfId="0" applyNumberFormat="1" applyFont="1" applyBorder="1" applyAlignment="1">
      <alignment horizontal="center" vertical="center"/>
    </xf>
    <xf numFmtId="38" fontId="2" fillId="2" borderId="1" xfId="0" applyNumberFormat="1" applyFont="1" applyFill="1" applyBorder="1" applyAlignment="1">
      <alignment horizontal="center" vertical="center"/>
    </xf>
    <xf numFmtId="38" fontId="2" fillId="2" borderId="2" xfId="0" applyNumberFormat="1" applyFont="1" applyFill="1" applyBorder="1" applyAlignment="1">
      <alignment horizontal="center" vertical="center"/>
    </xf>
    <xf numFmtId="38" fontId="2" fillId="2" borderId="3" xfId="0" applyNumberFormat="1" applyFont="1" applyFill="1" applyBorder="1" applyAlignment="1">
      <alignment horizontal="center" vertical="center"/>
    </xf>
    <xf numFmtId="38" fontId="6" fillId="0" borderId="5" xfId="0" applyNumberFormat="1" applyFont="1" applyBorder="1" applyAlignment="1">
      <alignment horizontal="left" vertical="center"/>
    </xf>
    <xf numFmtId="38" fontId="6" fillId="0" borderId="6" xfId="0" applyNumberFormat="1" applyFont="1" applyBorder="1" applyAlignment="1">
      <alignment horizontal="left" vertical="center"/>
    </xf>
    <xf numFmtId="38" fontId="6" fillId="0" borderId="7" xfId="0" applyNumberFormat="1" applyFont="1" applyBorder="1" applyAlignment="1">
      <alignment horizontal="left" vertical="center"/>
    </xf>
    <xf numFmtId="38" fontId="3" fillId="0" borderId="4" xfId="0" applyNumberFormat="1" applyFont="1" applyBorder="1" applyAlignment="1">
      <alignment horizontal="left" vertical="center"/>
    </xf>
    <xf numFmtId="38" fontId="3" fillId="0" borderId="5" xfId="0" applyNumberFormat="1" applyFont="1" applyBorder="1" applyAlignment="1">
      <alignment horizontal="left" vertical="center"/>
    </xf>
    <xf numFmtId="38" fontId="3" fillId="0" borderId="6" xfId="0" applyNumberFormat="1" applyFont="1" applyBorder="1" applyAlignment="1">
      <alignment horizontal="left" vertical="center"/>
    </xf>
    <xf numFmtId="38" fontId="3" fillId="0" borderId="7" xfId="0" applyNumberFormat="1" applyFont="1" applyBorder="1" applyAlignment="1">
      <alignment horizontal="left" vertical="center"/>
    </xf>
  </cellXfs>
  <cellStyles count="3">
    <cellStyle name="Normal" xfId="0" builtinId="0"/>
    <cellStyle name="Normal 2" xfId="2" xr:uid="{467E694B-4136-47E7-853B-D9DBF1DBE48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3.2025\S20.31.3.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1.2026/b&#7843;ng%20l&#432;&#417;ng%20th&#225;ng%201.xlsx" TargetMode="External"/><Relationship Id="rId2" Type="http://schemas.openxmlformats.org/officeDocument/2006/relationships/externalLinkPath" Target="file:///G:\ngoc%20oi\T&#192;I%20CH&#205;NH%20TH&#193;NG%201.2026\b&#7843;ng%20l&#432;&#417;ng%20th&#225;ng%201.xlsx" TargetMode="External"/><Relationship Id="rId1" Type="http://schemas.openxmlformats.org/officeDocument/2006/relationships/externalLinkPath" Target="/ngoc%20oi/T&#192;I%20CH&#205;NH%20TH&#193;NG%201.2026/b&#7843;ng%20l&#432;&#417;ng%20th&#225;ng%20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1.2026/chi%20ph&#237;%20v&#259;n%20ph&#242;ng%20th&#225;ng%201.xlsx" TargetMode="External"/><Relationship Id="rId2" Type="http://schemas.openxmlformats.org/officeDocument/2006/relationships/externalLinkPath" Target="file:///G:\ngoc%20oi\T&#192;I%20CH&#205;NH%20TH&#193;NG%201.2026\chi%20ph&#237;%20v&#259;n%20ph&#242;ng%20th&#225;ng%201.xlsx" TargetMode="External"/><Relationship Id="rId1" Type="http://schemas.openxmlformats.org/officeDocument/2006/relationships/externalLinkPath" Target="/ngoc%20oi/T&#192;I%20CH&#205;NH%20TH&#193;NG%201.2026/chi%20ph&#237;%20v&#259;n%20ph&#242;ng%20th&#225;ng%20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2.2026/chi%20ph&#237;%20v&#259;n%20ph&#242;ng%20th&#225;ng%202.xlsx" TargetMode="External"/><Relationship Id="rId2" Type="http://schemas.openxmlformats.org/officeDocument/2006/relationships/externalLinkPath" Target="file:///G:\ngoc%20oi\T&#192;I%20CH&#205;NH%20TH&#193;NG%202.2026\chi%20ph&#237;%20v&#259;n%20ph&#242;ng%20th&#225;ng%202.xlsx" TargetMode="External"/><Relationship Id="rId1" Type="http://schemas.openxmlformats.org/officeDocument/2006/relationships/externalLinkPath" Target="/ngoc%20oi/T&#192;I%20CH&#205;NH%20TH&#193;NG%202.2026/chi%20ph&#237;%20v&#259;n%20ph&#242;ng%20th&#225;ng%20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b&#7843;ng%20l&#432;&#417;ng%20th&#225;ng%206.xlsx" TargetMode="External"/><Relationship Id="rId2" Type="http://schemas.openxmlformats.org/officeDocument/2006/relationships/externalLinkPath" Target="file:///G:\ngoc%20oi\T&#192;I%20CH&#205;NH%20TH&#193;NG%206.2026\b&#7843;ng%20l&#432;&#417;ng%20th&#225;ng%206.xlsx" TargetMode="External"/><Relationship Id="rId1" Type="http://schemas.openxmlformats.org/officeDocument/2006/relationships/externalLinkPath" Target="/ngoc%20oi/T&#192;I%20CH&#205;NH%20TH&#193;NG%206.2026/b&#7843;ng%20l&#432;&#417;ng%20th&#225;ng%20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chi%20ph&#237;%20v&#259;n%20ph&#242;ng%20th&#225;ng%206.xlsx" TargetMode="External"/><Relationship Id="rId2" Type="http://schemas.openxmlformats.org/officeDocument/2006/relationships/externalLinkPath" Target="file:///G:\ngoc%20oi\T&#192;I%20CH&#205;NH%20TH&#193;NG%206.2026\chi%20ph&#237;%20v&#259;n%20ph&#242;ng%20th&#225;ng%206.xlsx" TargetMode="External"/><Relationship Id="rId1" Type="http://schemas.openxmlformats.org/officeDocument/2006/relationships/externalLinkPath" Target="/ngoc%20oi/T&#192;I%20CH&#205;NH%20TH&#193;NG%206.2026/chi%20ph&#237;%20v&#259;n%20ph&#242;ng%20th&#225;ng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CÁO THÁNG 1"/>
      <sheetName val="HĐ T1.25"/>
      <sheetName val="BÁO CÁO THÁNG 2"/>
      <sheetName val="HĐ T2.25"/>
      <sheetName val="BÁO CÁO THÁNG 3"/>
      <sheetName val="HĐ T3.25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4">
          <cell r="C44">
            <v>44173.416407061268</v>
          </cell>
        </row>
        <row r="45">
          <cell r="C45">
            <v>1120000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</sheetNames>
    <sheetDataSet>
      <sheetData sheetId="0">
        <row r="11">
          <cell r="W11">
            <v>2021457.1987423028</v>
          </cell>
        </row>
        <row r="77">
          <cell r="W77">
            <v>744135.24420094187</v>
          </cell>
        </row>
        <row r="132">
          <cell r="Y132">
            <v>28596154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0">
          <cell r="F10">
            <v>4424184</v>
          </cell>
        </row>
        <row r="19">
          <cell r="B19">
            <v>46243590</v>
          </cell>
        </row>
      </sheetData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8.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0">
          <cell r="F10">
            <v>7851000</v>
          </cell>
        </row>
      </sheetData>
      <sheetData sheetId="3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ÁNG 1"/>
      <sheetName val="THÁNG 2 "/>
      <sheetName val="THÁNG 3"/>
      <sheetName val="THÁNG 4 "/>
      <sheetName val="THÁNG 5 "/>
      <sheetName val="THÁNG 6"/>
    </sheetNames>
    <sheetDataSet>
      <sheetData sheetId="0"/>
      <sheetData sheetId="1"/>
      <sheetData sheetId="2"/>
      <sheetData sheetId="3"/>
      <sheetData sheetId="4"/>
      <sheetData sheetId="5">
        <row r="35">
          <cell r="W35">
            <v>1506181.6835965998</v>
          </cell>
        </row>
        <row r="131">
          <cell r="Y131">
            <v>47600001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6.26 "/>
      <sheetName val="THÁNG 8.25 "/>
      <sheetName val="THÁNG 7.26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0">
          <cell r="F10">
            <v>30188000</v>
          </cell>
        </row>
        <row r="35">
          <cell r="B35">
            <v>60785000</v>
          </cell>
        </row>
      </sheetData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4D5F-1301-4F2B-8EBC-492212CB8F6C}">
  <sheetPr codeName="Sheet1">
    <tabColor rgb="FF92D050"/>
  </sheetPr>
  <dimension ref="A1:Y67"/>
  <sheetViews>
    <sheetView topLeftCell="A40" workbookViewId="0">
      <selection activeCell="C9" sqref="C9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4" width="24.7265625" style="50" customWidth="1"/>
    <col min="5" max="5" width="30.90625" style="50" customWidth="1"/>
    <col min="6" max="6" width="8.7265625" style="51"/>
    <col min="7" max="7" width="11.81640625" style="51" customWidth="1"/>
    <col min="8" max="16384" width="8.7265625" style="51"/>
  </cols>
  <sheetData>
    <row r="1" spans="1:25" s="1" customFormat="1" ht="47.5" customHeight="1" x14ac:dyDescent="0.35">
      <c r="A1" s="136" t="s">
        <v>159</v>
      </c>
      <c r="B1" s="137"/>
      <c r="C1" s="137"/>
      <c r="D1" s="137"/>
      <c r="E1" s="138"/>
    </row>
    <row r="2" spans="1:25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</row>
    <row r="3" spans="1:25" s="10" customFormat="1" ht="15.5" x14ac:dyDescent="0.35">
      <c r="A3" s="6" t="s">
        <v>160</v>
      </c>
      <c r="B3" s="7"/>
      <c r="C3" s="8">
        <f>SUM(D3:E3)</f>
        <v>5536396448</v>
      </c>
      <c r="D3" s="9">
        <v>2272183269</v>
      </c>
      <c r="E3" s="9">
        <v>3264213179</v>
      </c>
      <c r="Q3" s="10">
        <v>48178200</v>
      </c>
      <c r="Y3" s="10">
        <v>31395800</v>
      </c>
    </row>
    <row r="4" spans="1:25" s="1" customFormat="1" ht="15.5" x14ac:dyDescent="0.35">
      <c r="A4" s="11" t="s">
        <v>3</v>
      </c>
      <c r="B4" s="11"/>
      <c r="C4" s="3">
        <f t="shared" ref="C4:C17" si="0">SUM(D4:E4)</f>
        <v>155400000</v>
      </c>
      <c r="D4" s="12">
        <v>67900000</v>
      </c>
      <c r="E4" s="12">
        <v>87500000</v>
      </c>
      <c r="Y4" s="1">
        <v>3200000</v>
      </c>
    </row>
    <row r="5" spans="1:25" s="1" customFormat="1" ht="15.5" x14ac:dyDescent="0.35">
      <c r="A5" s="11" t="s">
        <v>4</v>
      </c>
      <c r="B5" s="11"/>
      <c r="C5" s="3">
        <f t="shared" si="0"/>
        <v>3300000</v>
      </c>
      <c r="D5" s="12">
        <v>2000000</v>
      </c>
      <c r="E5" s="12">
        <v>1300000</v>
      </c>
    </row>
    <row r="6" spans="1:25" s="1" customFormat="1" ht="15.5" x14ac:dyDescent="0.35">
      <c r="A6" s="13" t="s">
        <v>5</v>
      </c>
      <c r="B6" s="11"/>
      <c r="C6" s="3">
        <f t="shared" si="0"/>
        <v>5446000</v>
      </c>
      <c r="D6" s="12">
        <v>0</v>
      </c>
      <c r="E6" s="12">
        <v>5446000</v>
      </c>
    </row>
    <row r="7" spans="1:25" s="1" customFormat="1" ht="15.5" x14ac:dyDescent="0.35">
      <c r="A7" s="13"/>
      <c r="B7" s="11" t="s">
        <v>6</v>
      </c>
      <c r="C7" s="3">
        <f t="shared" si="0"/>
        <v>43</v>
      </c>
      <c r="D7" s="12">
        <v>20</v>
      </c>
      <c r="E7" s="12">
        <v>23</v>
      </c>
      <c r="Q7" s="1">
        <v>0</v>
      </c>
      <c r="Y7" s="1">
        <v>0</v>
      </c>
    </row>
    <row r="8" spans="1:25" s="1" customFormat="1" ht="15.5" x14ac:dyDescent="0.35">
      <c r="A8" s="13"/>
      <c r="B8" s="11" t="s">
        <v>7</v>
      </c>
      <c r="C8" s="3">
        <f t="shared" si="0"/>
        <v>47</v>
      </c>
      <c r="D8" s="12">
        <v>22</v>
      </c>
      <c r="E8" s="12">
        <v>25</v>
      </c>
      <c r="Q8" s="1">
        <v>0</v>
      </c>
      <c r="Y8" s="1">
        <v>1</v>
      </c>
    </row>
    <row r="9" spans="1:25" s="1" customFormat="1" ht="15.5" x14ac:dyDescent="0.35">
      <c r="A9" s="13"/>
      <c r="B9" s="11" t="s">
        <v>8</v>
      </c>
      <c r="C9" s="3">
        <f t="shared" si="0"/>
        <v>36</v>
      </c>
      <c r="D9" s="12">
        <v>21</v>
      </c>
      <c r="E9" s="12">
        <v>15</v>
      </c>
      <c r="Q9" s="1">
        <v>0</v>
      </c>
      <c r="Y9" s="1">
        <v>0</v>
      </c>
    </row>
    <row r="10" spans="1:25" s="1" customFormat="1" ht="16.5" customHeight="1" x14ac:dyDescent="0.35">
      <c r="A10" s="13"/>
      <c r="B10" s="11" t="s">
        <v>9</v>
      </c>
      <c r="C10" s="3">
        <f t="shared" si="0"/>
        <v>4267050000</v>
      </c>
      <c r="D10" s="12">
        <v>1733808064.516129</v>
      </c>
      <c r="E10" s="12">
        <v>2533241935.483871</v>
      </c>
      <c r="Q10" s="1">
        <v>39700000</v>
      </c>
      <c r="Y10" s="1">
        <v>22980645.161290325</v>
      </c>
    </row>
    <row r="11" spans="1:25" s="1" customFormat="1" ht="15.5" x14ac:dyDescent="0.35">
      <c r="A11" s="139" t="s">
        <v>10</v>
      </c>
      <c r="B11" s="11" t="s">
        <v>11</v>
      </c>
      <c r="C11" s="3">
        <f t="shared" si="0"/>
        <v>509887500</v>
      </c>
      <c r="D11" s="12">
        <v>211988200</v>
      </c>
      <c r="E11" s="12">
        <v>297899300</v>
      </c>
      <c r="Q11" s="1">
        <v>3473200</v>
      </c>
      <c r="Y11" s="1">
        <v>1827800</v>
      </c>
    </row>
    <row r="12" spans="1:25" s="1" customFormat="1" ht="15.5" x14ac:dyDescent="0.35">
      <c r="A12" s="140"/>
      <c r="B12" s="11" t="s">
        <v>12</v>
      </c>
      <c r="C12" s="3">
        <f t="shared" si="0"/>
        <v>223576548.38709676</v>
      </c>
      <c r="D12" s="12">
        <v>92635967.741935462</v>
      </c>
      <c r="E12" s="12">
        <v>130940580.64516129</v>
      </c>
      <c r="Q12" s="1">
        <v>1465000</v>
      </c>
      <c r="Y12" s="1">
        <v>1560000</v>
      </c>
    </row>
    <row r="13" spans="1:25" s="1" customFormat="1" ht="15.5" x14ac:dyDescent="0.35">
      <c r="A13" s="140"/>
      <c r="B13" s="11" t="s">
        <v>13</v>
      </c>
      <c r="C13" s="3">
        <f t="shared" si="0"/>
        <v>104216247.31182796</v>
      </c>
      <c r="D13" s="12">
        <v>41319419.354838707</v>
      </c>
      <c r="E13" s="12">
        <v>62896827.956989244</v>
      </c>
      <c r="Q13" s="1">
        <v>570000</v>
      </c>
      <c r="Y13" s="1">
        <v>570000</v>
      </c>
    </row>
    <row r="14" spans="1:25" s="1" customFormat="1" ht="15.5" x14ac:dyDescent="0.35">
      <c r="A14" s="140"/>
      <c r="B14" s="11" t="s">
        <v>14</v>
      </c>
      <c r="C14" s="3">
        <f t="shared" si="0"/>
        <v>95186451.612903237</v>
      </c>
      <c r="D14" s="12">
        <v>38227741.935483873</v>
      </c>
      <c r="E14" s="12">
        <v>56958709.677419357</v>
      </c>
      <c r="Q14" s="1">
        <v>1000000</v>
      </c>
      <c r="Y14" s="1">
        <v>500000</v>
      </c>
    </row>
    <row r="15" spans="1:25" s="1" customFormat="1" ht="15.5" x14ac:dyDescent="0.35">
      <c r="A15" s="140"/>
      <c r="B15" s="11" t="s">
        <v>15</v>
      </c>
      <c r="C15" s="3">
        <f t="shared" si="0"/>
        <v>9937096.7741935477</v>
      </c>
      <c r="D15" s="12">
        <v>7687096.7741935486</v>
      </c>
      <c r="E15" s="12">
        <v>2250000</v>
      </c>
      <c r="Q15" s="1">
        <v>50000</v>
      </c>
      <c r="Y15" s="1">
        <v>0</v>
      </c>
    </row>
    <row r="16" spans="1:25" s="1" customFormat="1" ht="15.5" x14ac:dyDescent="0.35">
      <c r="A16" s="140"/>
      <c r="B16" s="11" t="s">
        <v>16</v>
      </c>
      <c r="C16" s="3">
        <f t="shared" si="0"/>
        <v>48554408.602150537</v>
      </c>
      <c r="D16" s="12">
        <v>16212645.161290321</v>
      </c>
      <c r="E16" s="12">
        <v>32341763.440860216</v>
      </c>
      <c r="Q16" s="1">
        <v>900000</v>
      </c>
      <c r="Y16" s="1">
        <v>0</v>
      </c>
    </row>
    <row r="17" spans="1:25" s="1" customFormat="1" ht="15.5" x14ac:dyDescent="0.35">
      <c r="A17" s="140"/>
      <c r="B17" s="14" t="s">
        <v>17</v>
      </c>
      <c r="C17" s="4">
        <f t="shared" si="0"/>
        <v>110493344.08602148</v>
      </c>
      <c r="D17" s="12">
        <v>45386516.129032247</v>
      </c>
      <c r="E17" s="12">
        <v>65106827.956989244</v>
      </c>
      <c r="Q17" s="1">
        <v>1020000</v>
      </c>
      <c r="Y17" s="1">
        <v>870000</v>
      </c>
    </row>
    <row r="18" spans="1:25" s="1" customFormat="1" ht="15" x14ac:dyDescent="0.35">
      <c r="A18" s="141"/>
      <c r="B18" s="15" t="s">
        <v>18</v>
      </c>
      <c r="C18" s="16">
        <f>SUM(C11:C17)</f>
        <v>1101851596.7741935</v>
      </c>
      <c r="D18" s="16">
        <f>SUM(D11:D17)</f>
        <v>453457587.09677422</v>
      </c>
      <c r="E18" s="16">
        <f>SUM(E11:E17)</f>
        <v>648394009.67741942</v>
      </c>
    </row>
    <row r="19" spans="1:25" s="10" customFormat="1" ht="15.5" x14ac:dyDescent="0.35">
      <c r="A19" s="6"/>
      <c r="B19" s="7"/>
      <c r="C19" s="8"/>
      <c r="D19" s="8"/>
      <c r="E19" s="8"/>
    </row>
    <row r="20" spans="1:25" s="1" customFormat="1" ht="38.5" customHeight="1" x14ac:dyDescent="0.35">
      <c r="A20" s="2" t="s">
        <v>19</v>
      </c>
      <c r="B20" s="11" t="s">
        <v>20</v>
      </c>
      <c r="C20" s="3">
        <f t="shared" ref="C20:C27" si="1">SUM(D20:E20)</f>
        <v>3540983333.333334</v>
      </c>
      <c r="D20" s="17">
        <v>1474516666.666667</v>
      </c>
      <c r="E20" s="12">
        <v>2066466666.666667</v>
      </c>
    </row>
    <row r="21" spans="1:25" s="1" customFormat="1" ht="39" customHeight="1" x14ac:dyDescent="0.35">
      <c r="A21" s="2" t="s">
        <v>21</v>
      </c>
      <c r="B21" s="14"/>
      <c r="C21" s="3">
        <f t="shared" si="1"/>
        <v>16575000</v>
      </c>
      <c r="D21" s="17">
        <v>3568000</v>
      </c>
      <c r="E21" s="12">
        <v>13007000</v>
      </c>
    </row>
    <row r="22" spans="1:25" s="1" customFormat="1" ht="20.5" customHeight="1" x14ac:dyDescent="0.35">
      <c r="A22" s="142" t="s">
        <v>22</v>
      </c>
      <c r="B22" s="11" t="s">
        <v>23</v>
      </c>
      <c r="C22" s="3">
        <f t="shared" si="1"/>
        <v>504165762</v>
      </c>
      <c r="D22" s="17">
        <v>195881184</v>
      </c>
      <c r="E22" s="18">
        <v>308284578</v>
      </c>
      <c r="Q22" s="1">
        <v>3728074</v>
      </c>
      <c r="Y22" s="1">
        <v>2130758</v>
      </c>
    </row>
    <row r="23" spans="1:25" s="1" customFormat="1" ht="20.5" customHeight="1" x14ac:dyDescent="0.35">
      <c r="A23" s="142"/>
      <c r="B23" s="14" t="s">
        <v>24</v>
      </c>
      <c r="C23" s="3">
        <f t="shared" si="1"/>
        <v>205267701.66666666</v>
      </c>
      <c r="D23" s="17">
        <v>88477946.666666657</v>
      </c>
      <c r="E23" s="18">
        <v>116789755</v>
      </c>
      <c r="Q23" s="1">
        <v>154675</v>
      </c>
      <c r="Y23" s="1">
        <v>414700</v>
      </c>
    </row>
    <row r="24" spans="1:25" s="1" customFormat="1" ht="19" customHeight="1" x14ac:dyDescent="0.35">
      <c r="A24" s="142"/>
      <c r="B24" s="11" t="s">
        <v>25</v>
      </c>
      <c r="C24" s="3">
        <f t="shared" si="1"/>
        <v>30149118.583333336</v>
      </c>
      <c r="D24" s="17">
        <v>14311303.666666668</v>
      </c>
      <c r="E24" s="18">
        <v>15837814.916666668</v>
      </c>
    </row>
    <row r="25" spans="1:25" s="1" customFormat="1" ht="18.5" customHeight="1" x14ac:dyDescent="0.35">
      <c r="A25" s="142"/>
      <c r="B25" s="11" t="s">
        <v>26</v>
      </c>
      <c r="C25" s="3">
        <f t="shared" si="1"/>
        <v>17210000</v>
      </c>
      <c r="D25" s="17">
        <v>6600000</v>
      </c>
      <c r="E25" s="12">
        <v>10610000</v>
      </c>
      <c r="Q25" s="1">
        <v>300000</v>
      </c>
    </row>
    <row r="26" spans="1:25" s="1" customFormat="1" ht="17.5" customHeight="1" x14ac:dyDescent="0.35">
      <c r="A26" s="142"/>
      <c r="B26" s="11" t="s">
        <v>27</v>
      </c>
      <c r="C26" s="3">
        <f t="shared" si="1"/>
        <v>1440000</v>
      </c>
      <c r="D26" s="12">
        <v>0</v>
      </c>
      <c r="E26" s="12">
        <v>1440000</v>
      </c>
    </row>
    <row r="27" spans="1:25" s="1" customFormat="1" ht="19.5" customHeight="1" x14ac:dyDescent="0.35">
      <c r="A27" s="142"/>
      <c r="B27" s="11" t="s">
        <v>28</v>
      </c>
      <c r="C27" s="3">
        <f t="shared" si="1"/>
        <v>333333.33333333331</v>
      </c>
      <c r="D27" s="12">
        <v>0</v>
      </c>
      <c r="E27" s="12">
        <v>333333.33333333331</v>
      </c>
    </row>
    <row r="28" spans="1:25" s="10" customFormat="1" ht="15" x14ac:dyDescent="0.35">
      <c r="A28" s="6" t="s">
        <v>29</v>
      </c>
      <c r="B28" s="6"/>
      <c r="C28" s="8">
        <f>SUM(C20:C27)</f>
        <v>4316124248.916667</v>
      </c>
      <c r="D28" s="8">
        <f>SUM(D20:D27)</f>
        <v>1783355101.0000005</v>
      </c>
      <c r="E28" s="8">
        <f>SUM(E20:E27)</f>
        <v>2532769147.916667</v>
      </c>
    </row>
    <row r="29" spans="1:25" s="1" customFormat="1" ht="24" customHeight="1" x14ac:dyDescent="0.35">
      <c r="A29" s="143" t="s">
        <v>30</v>
      </c>
      <c r="B29" s="11" t="s">
        <v>31</v>
      </c>
      <c r="C29" s="3">
        <f>SUM(D29:E29)</f>
        <v>126621073.40230113</v>
      </c>
      <c r="D29" s="17">
        <v>50846477.403182156</v>
      </c>
      <c r="E29" s="17">
        <v>75774595.999118969</v>
      </c>
      <c r="Q29" s="1">
        <v>1535703.2547798515</v>
      </c>
      <c r="Y29" s="1">
        <v>949791.17704874894</v>
      </c>
    </row>
    <row r="30" spans="1:25" s="1" customFormat="1" ht="24" customHeight="1" x14ac:dyDescent="0.35">
      <c r="A30" s="144"/>
      <c r="B30" s="11" t="s">
        <v>32</v>
      </c>
      <c r="C30" s="3">
        <f t="shared" ref="C30:C41" si="2">SUM(D30:E30)</f>
        <v>9875415.2823920213</v>
      </c>
      <c r="D30" s="17">
        <v>4177740.8637873749</v>
      </c>
      <c r="E30" s="17">
        <v>5697674.4186046459</v>
      </c>
      <c r="Q30" s="1">
        <v>166078.6168224299</v>
      </c>
      <c r="Y30" s="1">
        <v>105686.39252336448</v>
      </c>
    </row>
    <row r="31" spans="1:25" s="1" customFormat="1" ht="24" customHeight="1" x14ac:dyDescent="0.35">
      <c r="A31" s="144"/>
      <c r="B31" s="11" t="s">
        <v>33</v>
      </c>
      <c r="C31" s="3">
        <f t="shared" si="2"/>
        <v>17932415.282392018</v>
      </c>
      <c r="D31" s="17">
        <v>7432740.8637873726</v>
      </c>
      <c r="E31" s="17">
        <v>10499674.418604644</v>
      </c>
      <c r="Q31" s="1">
        <v>102180.85046728971</v>
      </c>
      <c r="Y31" s="1">
        <v>65024.177570093452</v>
      </c>
    </row>
    <row r="32" spans="1:25" s="1" customFormat="1" ht="24" customHeight="1" x14ac:dyDescent="0.35">
      <c r="A32" s="144"/>
      <c r="B32" s="11" t="s">
        <v>34</v>
      </c>
      <c r="C32" s="3">
        <f t="shared" si="2"/>
        <v>13655332.225913621</v>
      </c>
      <c r="D32" s="17">
        <v>5667192.6910299007</v>
      </c>
      <c r="E32" s="17">
        <v>7988139.5348837208</v>
      </c>
    </row>
    <row r="33" spans="1:25" s="1" customFormat="1" ht="21.5" customHeight="1" x14ac:dyDescent="0.35">
      <c r="A33" s="144"/>
      <c r="B33" s="11" t="s">
        <v>35</v>
      </c>
      <c r="C33" s="3">
        <f t="shared" si="2"/>
        <v>28239889.622923583</v>
      </c>
      <c r="D33" s="17">
        <v>11946732.111295681</v>
      </c>
      <c r="E33" s="17">
        <v>16293157.511627903</v>
      </c>
      <c r="Q33" s="1">
        <v>216458.98234683284</v>
      </c>
      <c r="Y33" s="1">
        <v>137746.62512980271</v>
      </c>
    </row>
    <row r="34" spans="1:25" s="1" customFormat="1" ht="21" customHeight="1" x14ac:dyDescent="0.35">
      <c r="A34" s="144"/>
      <c r="B34" s="11" t="s">
        <v>36</v>
      </c>
      <c r="C34" s="3">
        <f t="shared" si="2"/>
        <v>37050000</v>
      </c>
      <c r="D34" s="17">
        <v>15200000</v>
      </c>
      <c r="E34" s="17">
        <v>21850000</v>
      </c>
      <c r="Q34" s="1">
        <v>350000</v>
      </c>
      <c r="Y34" s="1">
        <v>350000</v>
      </c>
    </row>
    <row r="35" spans="1:25" s="1" customFormat="1" ht="21.5" customHeight="1" x14ac:dyDescent="0.35">
      <c r="A35" s="144"/>
      <c r="B35" s="11" t="s">
        <v>37</v>
      </c>
      <c r="C35" s="3">
        <f t="shared" si="2"/>
        <v>14715292.618661091</v>
      </c>
      <c r="D35" s="17">
        <v>6215548.1727574738</v>
      </c>
      <c r="E35" s="17">
        <v>8499744.445903616</v>
      </c>
      <c r="Q35" s="1">
        <v>110000</v>
      </c>
      <c r="Y35" s="1">
        <v>80000</v>
      </c>
    </row>
    <row r="36" spans="1:25" s="1" customFormat="1" ht="24" customHeight="1" x14ac:dyDescent="0.35">
      <c r="A36" s="144"/>
      <c r="B36" s="11" t="s">
        <v>38</v>
      </c>
      <c r="C36" s="3">
        <f t="shared" si="2"/>
        <v>21725913.621262457</v>
      </c>
      <c r="D36" s="17">
        <v>9191029.9003322255</v>
      </c>
      <c r="E36" s="17">
        <v>12534883.720930232</v>
      </c>
      <c r="Q36" s="1">
        <v>129802.69989615785</v>
      </c>
      <c r="Y36" s="1">
        <v>90861.889927310491</v>
      </c>
    </row>
    <row r="37" spans="1:25" s="1" customFormat="1" ht="21" customHeight="1" x14ac:dyDescent="0.35">
      <c r="A37" s="144"/>
      <c r="B37" s="11" t="s">
        <v>39</v>
      </c>
      <c r="C37" s="3">
        <f t="shared" si="2"/>
        <v>5000000</v>
      </c>
      <c r="D37" s="17">
        <v>5000000</v>
      </c>
      <c r="E37" s="12">
        <v>0</v>
      </c>
    </row>
    <row r="38" spans="1:25" s="1" customFormat="1" ht="25.5" customHeight="1" x14ac:dyDescent="0.35">
      <c r="A38" s="145"/>
      <c r="B38" s="11" t="s">
        <v>40</v>
      </c>
      <c r="C38" s="3">
        <f t="shared" si="2"/>
        <v>45667465.539867118</v>
      </c>
      <c r="D38" s="17">
        <v>19319373.563122924</v>
      </c>
      <c r="E38" s="17">
        <v>26348091.976744197</v>
      </c>
      <c r="Q38" s="1">
        <v>452730.58670820354</v>
      </c>
      <c r="Y38" s="1">
        <v>288101.28245067497</v>
      </c>
    </row>
    <row r="39" spans="1:25" s="1" customFormat="1" ht="33" customHeight="1" x14ac:dyDescent="0.35">
      <c r="A39" s="142" t="s">
        <v>41</v>
      </c>
      <c r="B39" s="11" t="s">
        <v>42</v>
      </c>
      <c r="C39" s="3">
        <f t="shared" si="2"/>
        <v>70541434.229351297</v>
      </c>
      <c r="D39" s="17">
        <v>29720673.94363701</v>
      </c>
      <c r="E39" s="12">
        <v>40820760.285714291</v>
      </c>
      <c r="Q39" s="1">
        <v>69415.368639667708</v>
      </c>
      <c r="Y39" s="1">
        <f>SUM('[1]BÁO CÁO THÁNG 3'!$C$44:$C$45)</f>
        <v>1164173.4164070613</v>
      </c>
    </row>
    <row r="40" spans="1:25" s="1" customFormat="1" ht="33" customHeight="1" x14ac:dyDescent="0.35">
      <c r="A40" s="142"/>
      <c r="B40" s="11" t="s">
        <v>43</v>
      </c>
      <c r="C40" s="3">
        <f t="shared" si="2"/>
        <v>13733000</v>
      </c>
      <c r="D40" s="17">
        <v>9171000</v>
      </c>
      <c r="E40" s="12">
        <v>4562000</v>
      </c>
    </row>
    <row r="41" spans="1:25" s="1" customFormat="1" ht="54.5" customHeight="1" x14ac:dyDescent="0.35">
      <c r="A41" s="142"/>
      <c r="B41" s="11" t="s">
        <v>44</v>
      </c>
      <c r="C41" s="3">
        <f t="shared" si="2"/>
        <v>51384000</v>
      </c>
      <c r="D41" s="12">
        <v>37671000</v>
      </c>
      <c r="E41" s="12">
        <v>13713000</v>
      </c>
    </row>
    <row r="42" spans="1:25" s="22" customFormat="1" ht="17" customHeight="1" x14ac:dyDescent="0.35">
      <c r="A42" s="19" t="s">
        <v>45</v>
      </c>
      <c r="B42" s="19"/>
      <c r="C42" s="20">
        <f>SUM(C29:C41)</f>
        <v>456141231.8250643</v>
      </c>
      <c r="D42" s="21">
        <f>SUM(D29:D41)</f>
        <v>211559509.51293212</v>
      </c>
      <c r="E42" s="21">
        <f>SUM(E29:E41)</f>
        <v>244581722.31213221</v>
      </c>
    </row>
    <row r="43" spans="1:25" s="25" customFormat="1" ht="18.5" customHeight="1" x14ac:dyDescent="0.35">
      <c r="A43" s="23" t="s">
        <v>46</v>
      </c>
      <c r="B43" s="23"/>
      <c r="C43" s="24">
        <f>C28+C42</f>
        <v>4772265480.7417316</v>
      </c>
      <c r="D43" s="24">
        <f>D28+D42</f>
        <v>1994914610.5129325</v>
      </c>
      <c r="E43" s="24">
        <f>E28+E42</f>
        <v>2777350870.2287993</v>
      </c>
    </row>
    <row r="44" spans="1:25" s="22" customFormat="1" ht="18" customHeight="1" x14ac:dyDescent="0.35">
      <c r="A44" s="19" t="s">
        <v>47</v>
      </c>
      <c r="B44" s="19"/>
      <c r="C44" s="20">
        <f>C3-C28</f>
        <v>1220272199.083333</v>
      </c>
      <c r="D44" s="26">
        <f>D3-D28</f>
        <v>488828167.99999952</v>
      </c>
      <c r="E44" s="26">
        <f>E3-E28</f>
        <v>731444031.08333302</v>
      </c>
    </row>
    <row r="45" spans="1:25" s="30" customFormat="1" ht="15.5" x14ac:dyDescent="0.35">
      <c r="A45" s="27" t="s">
        <v>48</v>
      </c>
      <c r="B45" s="27"/>
      <c r="C45" s="28">
        <f>C3-C43</f>
        <v>764130967.25826836</v>
      </c>
      <c r="D45" s="29">
        <f>D3-D43</f>
        <v>277268658.48706746</v>
      </c>
      <c r="E45" s="29">
        <f>E3-E43</f>
        <v>486862308.77120066</v>
      </c>
    </row>
    <row r="46" spans="1:25" s="10" customFormat="1" ht="15.5" x14ac:dyDescent="0.35">
      <c r="A46" s="6" t="s">
        <v>29</v>
      </c>
      <c r="B46" s="6"/>
      <c r="C46" s="8">
        <f>C28</f>
        <v>4316124248.916667</v>
      </c>
      <c r="D46" s="31">
        <f>D28</f>
        <v>1783355101.0000005</v>
      </c>
      <c r="E46" s="31">
        <f>E28</f>
        <v>2532769147.916667</v>
      </c>
    </row>
    <row r="47" spans="1:25" s="35" customFormat="1" ht="15" x14ac:dyDescent="0.35">
      <c r="A47" s="32" t="s">
        <v>49</v>
      </c>
      <c r="B47" s="33"/>
      <c r="C47" s="34">
        <f>C45/C3</f>
        <v>0.13801955377207634</v>
      </c>
      <c r="D47" s="34">
        <f>D45/D3</f>
        <v>0.12202741841730702</v>
      </c>
      <c r="E47" s="34">
        <f>E45/E3</f>
        <v>0.14915150514782008</v>
      </c>
    </row>
    <row r="48" spans="1:25" s="35" customFormat="1" ht="15" x14ac:dyDescent="0.35">
      <c r="A48" s="32" t="s">
        <v>50</v>
      </c>
      <c r="B48" s="33"/>
      <c r="C48" s="34">
        <f>C44/C3</f>
        <v>0.22040910735793698</v>
      </c>
      <c r="D48" s="34">
        <f>D44/D3</f>
        <v>0.21513588919926138</v>
      </c>
      <c r="E48" s="34">
        <f>E44/E3</f>
        <v>0.22407973712899865</v>
      </c>
    </row>
    <row r="49" spans="1:5" s="35" customFormat="1" ht="15" x14ac:dyDescent="0.35">
      <c r="A49" s="32" t="s">
        <v>51</v>
      </c>
      <c r="B49" s="33"/>
      <c r="C49" s="34">
        <f>C45/C46</f>
        <v>0.17704100326816652</v>
      </c>
      <c r="D49" s="34">
        <f>D45/D46</f>
        <v>0.15547585465821784</v>
      </c>
      <c r="E49" s="34">
        <f>E45/E46</f>
        <v>0.19222529979554986</v>
      </c>
    </row>
    <row r="50" spans="1:5" s="35" customFormat="1" ht="15" x14ac:dyDescent="0.35">
      <c r="A50" s="32" t="s">
        <v>52</v>
      </c>
      <c r="B50" s="33"/>
      <c r="C50" s="34">
        <f>C45/C44</f>
        <v>0.62619714505688373</v>
      </c>
      <c r="D50" s="34">
        <f>D45/D44</f>
        <v>0.56721088643784479</v>
      </c>
      <c r="E50" s="34">
        <f>E45/E44</f>
        <v>0.66561799410696498</v>
      </c>
    </row>
    <row r="51" spans="1:5" s="39" customFormat="1" ht="15" x14ac:dyDescent="0.35">
      <c r="A51" s="36" t="s">
        <v>53</v>
      </c>
      <c r="B51" s="37"/>
      <c r="C51" s="38">
        <f>C43/C44</f>
        <v>3.9108204581950252</v>
      </c>
      <c r="D51" s="38">
        <f>D43/D44</f>
        <v>4.0810140272295738</v>
      </c>
      <c r="E51" s="38">
        <f>E43/E44</f>
        <v>3.7970791368893915</v>
      </c>
    </row>
    <row r="52" spans="1:5" s="42" customFormat="1" ht="15" x14ac:dyDescent="0.35">
      <c r="A52" s="40" t="s">
        <v>54</v>
      </c>
      <c r="B52" s="40"/>
      <c r="C52" s="41">
        <f>C46/C3</f>
        <v>0.77959089264206305</v>
      </c>
      <c r="D52" s="41">
        <f>D46/D3</f>
        <v>0.78486411080073859</v>
      </c>
      <c r="E52" s="41">
        <f>E46/E3</f>
        <v>0.77592026287100135</v>
      </c>
    </row>
    <row r="53" spans="1:5" s="42" customFormat="1" ht="15" x14ac:dyDescent="0.35">
      <c r="A53" s="40" t="s">
        <v>55</v>
      </c>
      <c r="B53" s="40"/>
      <c r="C53" s="41">
        <f>C42/C3</f>
        <v>8.23895535858606E-2</v>
      </c>
      <c r="D53" s="41">
        <f>D42/D3</f>
        <v>9.3108470781954389E-2</v>
      </c>
      <c r="E53" s="41">
        <f>E42/E3</f>
        <v>7.4928231981178525E-2</v>
      </c>
    </row>
    <row r="54" spans="1:5" s="42" customFormat="1" ht="15" x14ac:dyDescent="0.35">
      <c r="A54" s="40" t="s">
        <v>56</v>
      </c>
      <c r="B54" s="40"/>
      <c r="C54" s="41">
        <f>C43/C3</f>
        <v>0.86198044622792369</v>
      </c>
      <c r="D54" s="41">
        <f>D43/D3</f>
        <v>0.87797258158269298</v>
      </c>
      <c r="E54" s="41">
        <f>E43/E3</f>
        <v>0.85084849485217995</v>
      </c>
    </row>
    <row r="55" spans="1:5" s="42" customFormat="1" ht="15" x14ac:dyDescent="0.35">
      <c r="A55" s="40" t="s">
        <v>57</v>
      </c>
      <c r="B55" s="40"/>
      <c r="C55" s="41">
        <f>SUM(C29:C37)/C42</f>
        <v>0.60247860285789934</v>
      </c>
      <c r="D55" s="41">
        <f>SUM(D29:D37)/D42</f>
        <v>0.54678450650832655</v>
      </c>
      <c r="E55" s="41">
        <f>SUM(E29:E37)/E42</f>
        <v>0.65065315815620883</v>
      </c>
    </row>
    <row r="56" spans="1:5" s="42" customFormat="1" ht="15" x14ac:dyDescent="0.35">
      <c r="A56" s="40" t="s">
        <v>58</v>
      </c>
      <c r="B56" s="40"/>
      <c r="C56" s="41">
        <f>C39/C42</f>
        <v>0.15464823021393689</v>
      </c>
      <c r="D56" s="41">
        <f>D39/D42</f>
        <v>0.14048375330450583</v>
      </c>
      <c r="E56" s="41">
        <f>E39/E42</f>
        <v>0.166900289603895</v>
      </c>
    </row>
    <row r="57" spans="1:5" s="42" customFormat="1" ht="15" x14ac:dyDescent="0.35">
      <c r="A57" s="40" t="s">
        <v>59</v>
      </c>
      <c r="B57" s="40"/>
      <c r="C57" s="41">
        <f>C41/C42</f>
        <v>0.11264932090091427</v>
      </c>
      <c r="D57" s="41">
        <f>D41/D42</f>
        <v>0.17806337368964859</v>
      </c>
      <c r="E57" s="41">
        <f>E41/E42</f>
        <v>5.606714954153294E-2</v>
      </c>
    </row>
    <row r="58" spans="1:5" s="46" customFormat="1" x14ac:dyDescent="0.35">
      <c r="A58" s="43" t="s">
        <v>60</v>
      </c>
      <c r="B58" s="44"/>
      <c r="C58" s="45">
        <f>C45/C3</f>
        <v>0.13801955377207634</v>
      </c>
      <c r="D58" s="45">
        <f>D45/D3</f>
        <v>0.12202741841730702</v>
      </c>
      <c r="E58" s="45">
        <f>E45/E3</f>
        <v>0.14915150514782008</v>
      </c>
    </row>
    <row r="59" spans="1:5" x14ac:dyDescent="0.35">
      <c r="A59" s="47"/>
    </row>
    <row r="60" spans="1:5" x14ac:dyDescent="0.35">
      <c r="A60" s="52"/>
    </row>
    <row r="61" spans="1:5" x14ac:dyDescent="0.35">
      <c r="A61" s="52"/>
      <c r="C61" s="53"/>
    </row>
    <row r="62" spans="1:5" x14ac:dyDescent="0.35">
      <c r="A62" s="52"/>
      <c r="B62" s="54"/>
    </row>
    <row r="66" spans="1:5" x14ac:dyDescent="0.35">
      <c r="B66" s="54"/>
    </row>
    <row r="67" spans="1:5" s="49" customFormat="1" x14ac:dyDescent="0.35">
      <c r="A67" s="48"/>
      <c r="B67" s="54"/>
      <c r="D67" s="50"/>
      <c r="E67" s="50"/>
    </row>
  </sheetData>
  <mergeCells count="5">
    <mergeCell ref="A1:E1"/>
    <mergeCell ref="A11:A18"/>
    <mergeCell ref="A22:A27"/>
    <mergeCell ref="A29:A38"/>
    <mergeCell ref="A39:A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F5FC-46DD-4957-B68C-FB07C7F32E6D}">
  <sheetPr codeName="Sheet2">
    <tabColor rgb="FF92D050"/>
  </sheetPr>
  <dimension ref="A1:AP68"/>
  <sheetViews>
    <sheetView zoomScaleNormal="100" workbookViewId="0">
      <pane xSplit="2" ySplit="2" topLeftCell="C45" activePane="bottomRight" state="frozen"/>
      <selection activeCell="C37" sqref="C37"/>
      <selection pane="topRight" activeCell="C37" sqref="C37"/>
      <selection pane="bottomLeft" activeCell="C37" sqref="C37"/>
      <selection pane="bottomRight" activeCell="C30" sqref="C30:C42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61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100</v>
      </c>
      <c r="B4" s="61"/>
      <c r="C4" s="62">
        <f>SUM(D4:AL4)</f>
        <v>2272183269</v>
      </c>
      <c r="D4" s="61">
        <v>37347000</v>
      </c>
      <c r="E4" s="60">
        <v>127386200</v>
      </c>
      <c r="F4" s="60">
        <v>49046000</v>
      </c>
      <c r="G4" s="60">
        <v>30398000</v>
      </c>
      <c r="H4" s="63">
        <v>53536800</v>
      </c>
      <c r="I4" s="61">
        <v>38978000</v>
      </c>
      <c r="J4" s="64">
        <v>33652000</v>
      </c>
      <c r="K4" s="64">
        <v>44233000</v>
      </c>
      <c r="L4" s="64">
        <v>37861000</v>
      </c>
      <c r="M4" s="64">
        <v>86128000</v>
      </c>
      <c r="N4" s="65">
        <v>96668000</v>
      </c>
      <c r="O4" s="64">
        <v>38840000</v>
      </c>
      <c r="P4" s="64">
        <v>75128000</v>
      </c>
      <c r="Q4" s="64">
        <v>51282000</v>
      </c>
      <c r="R4" s="65">
        <v>105774000</v>
      </c>
      <c r="S4" s="64">
        <v>42416000</v>
      </c>
      <c r="T4" s="64">
        <v>46774000</v>
      </c>
      <c r="U4" s="64">
        <v>176992869</v>
      </c>
      <c r="V4" s="64">
        <v>71322000</v>
      </c>
      <c r="W4" s="64">
        <v>75389000</v>
      </c>
      <c r="X4" s="64">
        <v>95753000</v>
      </c>
      <c r="Y4" s="64">
        <v>27569000</v>
      </c>
      <c r="Z4" s="64">
        <v>57174000</v>
      </c>
      <c r="AA4" s="64">
        <v>42778000</v>
      </c>
      <c r="AB4" s="64">
        <v>72915000</v>
      </c>
      <c r="AC4" s="64">
        <v>30087000</v>
      </c>
      <c r="AD4" s="64">
        <v>75386000</v>
      </c>
      <c r="AE4" s="64">
        <v>30170000</v>
      </c>
      <c r="AF4" s="64">
        <v>91030400</v>
      </c>
      <c r="AG4" s="64">
        <v>39708000</v>
      </c>
      <c r="AH4" s="64">
        <v>69614000</v>
      </c>
      <c r="AI4" s="64">
        <v>196264000</v>
      </c>
      <c r="AJ4" s="64">
        <v>44433000</v>
      </c>
      <c r="AK4" s="64">
        <v>39370000</v>
      </c>
      <c r="AL4" s="64">
        <v>40780000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67900000</v>
      </c>
      <c r="D5" s="67"/>
      <c r="E5" s="62">
        <v>4500000</v>
      </c>
      <c r="F5" s="67"/>
      <c r="G5" s="67">
        <v>3100000</v>
      </c>
      <c r="H5" s="67"/>
      <c r="I5" s="67"/>
      <c r="N5" s="68">
        <v>10100000</v>
      </c>
      <c r="Q5" s="68">
        <v>2300000</v>
      </c>
      <c r="R5" s="68">
        <v>12700000</v>
      </c>
      <c r="S5" s="68">
        <v>3500000</v>
      </c>
      <c r="U5" s="68">
        <v>7200000</v>
      </c>
      <c r="W5" s="68">
        <v>3800000</v>
      </c>
      <c r="Y5" s="68">
        <v>3200000</v>
      </c>
      <c r="Z5" s="68">
        <v>3500000</v>
      </c>
      <c r="AB5" s="68">
        <v>3100000</v>
      </c>
      <c r="AC5" s="68">
        <v>2500000</v>
      </c>
      <c r="AD5" s="68">
        <v>8400000</v>
      </c>
    </row>
    <row r="6" spans="1:38" s="68" customFormat="1" ht="13" x14ac:dyDescent="0.3">
      <c r="A6" s="69" t="s">
        <v>4</v>
      </c>
      <c r="B6" s="67"/>
      <c r="C6" s="62">
        <f t="shared" si="0"/>
        <v>2000000</v>
      </c>
      <c r="E6" s="62"/>
      <c r="F6" s="67"/>
      <c r="G6" s="67"/>
      <c r="H6" s="67"/>
      <c r="I6" s="67"/>
      <c r="R6" s="70"/>
      <c r="W6" s="70"/>
      <c r="AI6" s="70"/>
      <c r="AL6" s="68">
        <v>2000000</v>
      </c>
    </row>
    <row r="7" spans="1:38" s="68" customFormat="1" ht="13" x14ac:dyDescent="0.3">
      <c r="A7" s="71" t="s">
        <v>5</v>
      </c>
      <c r="B7" s="67"/>
      <c r="C7" s="62">
        <f t="shared" si="0"/>
        <v>0</v>
      </c>
      <c r="E7" s="62"/>
      <c r="F7" s="67"/>
      <c r="G7" s="67"/>
      <c r="H7" s="67"/>
      <c r="I7" s="67"/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20</v>
      </c>
      <c r="D8" s="68">
        <v>1</v>
      </c>
      <c r="E8" s="67">
        <v>0</v>
      </c>
      <c r="F8" s="67">
        <v>0</v>
      </c>
      <c r="G8" s="67">
        <v>1</v>
      </c>
      <c r="H8" s="67">
        <v>0</v>
      </c>
      <c r="I8" s="67">
        <v>0</v>
      </c>
      <c r="J8" s="68">
        <v>0</v>
      </c>
      <c r="K8" s="68">
        <v>0</v>
      </c>
      <c r="L8" s="68">
        <v>2</v>
      </c>
      <c r="M8" s="68">
        <v>0</v>
      </c>
      <c r="N8" s="68">
        <v>2</v>
      </c>
      <c r="O8" s="68">
        <v>1</v>
      </c>
      <c r="P8" s="68">
        <v>0</v>
      </c>
      <c r="Q8" s="68">
        <v>1</v>
      </c>
      <c r="R8" s="68">
        <v>2</v>
      </c>
      <c r="S8" s="68">
        <v>0</v>
      </c>
      <c r="T8" s="73">
        <v>0</v>
      </c>
      <c r="U8" s="73">
        <v>2</v>
      </c>
      <c r="V8" s="73">
        <v>0</v>
      </c>
      <c r="W8" s="73">
        <v>2</v>
      </c>
      <c r="X8" s="73">
        <v>1</v>
      </c>
      <c r="Y8" s="73">
        <v>0</v>
      </c>
      <c r="Z8" s="74">
        <v>0</v>
      </c>
      <c r="AA8" s="73">
        <v>0</v>
      </c>
      <c r="AB8" s="73">
        <v>1</v>
      </c>
      <c r="AC8" s="73">
        <v>0</v>
      </c>
      <c r="AD8" s="73">
        <v>2</v>
      </c>
      <c r="AE8" s="73">
        <v>1</v>
      </c>
      <c r="AF8" s="73">
        <v>1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22</v>
      </c>
      <c r="D9" s="68">
        <v>0</v>
      </c>
      <c r="E9" s="67">
        <v>1</v>
      </c>
      <c r="F9" s="67">
        <v>0</v>
      </c>
      <c r="G9" s="67">
        <v>1</v>
      </c>
      <c r="H9" s="67">
        <v>0</v>
      </c>
      <c r="I9" s="67">
        <v>0</v>
      </c>
      <c r="J9" s="68">
        <v>0</v>
      </c>
      <c r="K9" s="68">
        <v>0</v>
      </c>
      <c r="L9" s="68">
        <v>0</v>
      </c>
      <c r="M9" s="68">
        <v>0</v>
      </c>
      <c r="N9" s="68">
        <v>3</v>
      </c>
      <c r="O9" s="68">
        <v>0</v>
      </c>
      <c r="P9" s="68">
        <v>0</v>
      </c>
      <c r="Q9" s="68">
        <v>1</v>
      </c>
      <c r="R9" s="68">
        <v>3</v>
      </c>
      <c r="S9" s="68">
        <v>1</v>
      </c>
      <c r="T9" s="75">
        <v>0</v>
      </c>
      <c r="U9" s="75">
        <v>2</v>
      </c>
      <c r="V9" s="73">
        <v>0</v>
      </c>
      <c r="W9" s="75">
        <v>1</v>
      </c>
      <c r="X9" s="75">
        <v>2</v>
      </c>
      <c r="Y9" s="75">
        <v>1</v>
      </c>
      <c r="Z9" s="75">
        <v>1</v>
      </c>
      <c r="AA9" s="75">
        <v>0</v>
      </c>
      <c r="AB9" s="75">
        <v>1</v>
      </c>
      <c r="AC9" s="75">
        <v>1</v>
      </c>
      <c r="AD9" s="75">
        <v>3</v>
      </c>
      <c r="AE9" s="75">
        <v>0</v>
      </c>
      <c r="AF9" s="75">
        <v>0</v>
      </c>
      <c r="AG9" s="75">
        <v>0</v>
      </c>
      <c r="AH9" s="75">
        <v>0</v>
      </c>
      <c r="AI9" s="75">
        <v>0</v>
      </c>
      <c r="AJ9" s="75">
        <v>0</v>
      </c>
      <c r="AK9" s="75">
        <v>0</v>
      </c>
      <c r="AL9" s="75">
        <v>0</v>
      </c>
    </row>
    <row r="10" spans="1:38" s="68" customFormat="1" ht="13" x14ac:dyDescent="0.3">
      <c r="A10" s="71"/>
      <c r="B10" s="67" t="s">
        <v>101</v>
      </c>
      <c r="C10" s="62">
        <f t="shared" si="0"/>
        <v>21</v>
      </c>
      <c r="D10" s="68">
        <v>2</v>
      </c>
      <c r="E10" s="67">
        <v>0</v>
      </c>
      <c r="F10" s="67">
        <v>0</v>
      </c>
      <c r="G10" s="67">
        <v>2</v>
      </c>
      <c r="H10" s="67">
        <v>0</v>
      </c>
      <c r="I10" s="67">
        <v>0</v>
      </c>
      <c r="J10" s="68">
        <v>0</v>
      </c>
      <c r="K10" s="68">
        <v>0</v>
      </c>
      <c r="L10" s="68">
        <v>3</v>
      </c>
      <c r="M10" s="68">
        <v>0</v>
      </c>
      <c r="N10" s="68">
        <v>2</v>
      </c>
      <c r="O10" s="68">
        <v>1</v>
      </c>
      <c r="P10" s="68">
        <v>0</v>
      </c>
      <c r="Q10" s="68">
        <v>1</v>
      </c>
      <c r="R10" s="68">
        <v>2</v>
      </c>
      <c r="S10" s="68">
        <v>0</v>
      </c>
      <c r="T10" s="75">
        <v>0</v>
      </c>
      <c r="U10" s="75">
        <v>0</v>
      </c>
      <c r="V10" s="73">
        <v>0</v>
      </c>
      <c r="W10" s="75">
        <v>1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5">
        <v>0</v>
      </c>
      <c r="AD10" s="75">
        <v>0</v>
      </c>
      <c r="AE10" s="75">
        <v>1</v>
      </c>
      <c r="AF10" s="75">
        <v>2</v>
      </c>
      <c r="AG10" s="75">
        <v>0</v>
      </c>
      <c r="AH10" s="75">
        <v>2</v>
      </c>
      <c r="AI10" s="75">
        <v>1</v>
      </c>
      <c r="AJ10" s="75">
        <v>0</v>
      </c>
      <c r="AK10" s="75">
        <v>0</v>
      </c>
      <c r="AL10" s="75">
        <v>1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1733808064.516129</v>
      </c>
      <c r="D11" s="68">
        <v>30000000</v>
      </c>
      <c r="E11" s="67">
        <v>96000000</v>
      </c>
      <c r="F11" s="67">
        <v>41300000</v>
      </c>
      <c r="G11" s="67">
        <v>21300000</v>
      </c>
      <c r="H11" s="67">
        <v>42900000</v>
      </c>
      <c r="I11" s="67">
        <v>30400000</v>
      </c>
      <c r="J11" s="68">
        <v>28200000</v>
      </c>
      <c r="K11" s="68">
        <v>35700000</v>
      </c>
      <c r="L11" s="68">
        <v>29300000</v>
      </c>
      <c r="M11" s="68">
        <v>65500000</v>
      </c>
      <c r="N11" s="68">
        <v>64800000</v>
      </c>
      <c r="O11" s="68">
        <v>31600000</v>
      </c>
      <c r="P11" s="68">
        <v>59200000</v>
      </c>
      <c r="Q11" s="68">
        <v>38700000</v>
      </c>
      <c r="R11" s="68">
        <v>72364516.129032254</v>
      </c>
      <c r="S11" s="68">
        <v>31500000</v>
      </c>
      <c r="T11" s="75">
        <v>35700000</v>
      </c>
      <c r="U11" s="75">
        <v>132375806.45161289</v>
      </c>
      <c r="V11" s="73">
        <v>57600000</v>
      </c>
      <c r="W11" s="75">
        <v>52858064.516129032</v>
      </c>
      <c r="X11" s="75">
        <v>73496774.193548381</v>
      </c>
      <c r="Y11" s="75">
        <v>20100000</v>
      </c>
      <c r="Z11" s="75">
        <v>43690322.580645159</v>
      </c>
      <c r="AA11" s="75">
        <v>35700000</v>
      </c>
      <c r="AB11" s="75">
        <v>55822580.645161293</v>
      </c>
      <c r="AC11" s="75">
        <v>22600000</v>
      </c>
      <c r="AD11" s="75">
        <v>49800000</v>
      </c>
      <c r="AE11" s="75">
        <v>25400000</v>
      </c>
      <c r="AF11" s="75">
        <v>69000000</v>
      </c>
      <c r="AG11" s="75">
        <v>34100000</v>
      </c>
      <c r="AH11" s="75">
        <v>55400000</v>
      </c>
      <c r="AI11" s="75">
        <v>155000000</v>
      </c>
      <c r="AJ11" s="75">
        <v>34300000</v>
      </c>
      <c r="AK11" s="75">
        <v>32400000</v>
      </c>
      <c r="AL11" s="75">
        <v>29700000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211988200</v>
      </c>
      <c r="D12" s="67">
        <v>3456000</v>
      </c>
      <c r="E12" s="67">
        <v>13524000</v>
      </c>
      <c r="F12" s="62">
        <v>3036000</v>
      </c>
      <c r="G12" s="62">
        <v>2084000</v>
      </c>
      <c r="H12" s="62">
        <v>5102800</v>
      </c>
      <c r="I12" s="67">
        <v>4308000</v>
      </c>
      <c r="J12" s="68">
        <v>2032000</v>
      </c>
      <c r="K12" s="68">
        <v>4428000</v>
      </c>
      <c r="L12" s="68">
        <v>3156000</v>
      </c>
      <c r="M12" s="68">
        <v>8968000</v>
      </c>
      <c r="N12" s="68">
        <v>8308000</v>
      </c>
      <c r="O12" s="68">
        <v>3600000</v>
      </c>
      <c r="P12" s="68">
        <v>6308000</v>
      </c>
      <c r="Q12" s="68">
        <v>2780000</v>
      </c>
      <c r="R12" s="68">
        <v>9464000</v>
      </c>
      <c r="S12" s="68">
        <v>3456000</v>
      </c>
      <c r="T12" s="75">
        <v>5304000</v>
      </c>
      <c r="U12" s="75">
        <v>17300000</v>
      </c>
      <c r="V12" s="73">
        <v>5998000</v>
      </c>
      <c r="W12" s="75">
        <v>9560000</v>
      </c>
      <c r="X12" s="75">
        <v>7436000</v>
      </c>
      <c r="Y12" s="75">
        <v>1684000</v>
      </c>
      <c r="Z12" s="75">
        <v>4264000</v>
      </c>
      <c r="AA12" s="75">
        <v>3748000</v>
      </c>
      <c r="AB12" s="75">
        <v>9104000</v>
      </c>
      <c r="AC12" s="75">
        <v>1728000</v>
      </c>
      <c r="AD12" s="75">
        <v>7312000</v>
      </c>
      <c r="AE12" s="75">
        <v>2420000</v>
      </c>
      <c r="AF12" s="75">
        <v>12155400</v>
      </c>
      <c r="AG12" s="75">
        <v>3180000</v>
      </c>
      <c r="AH12" s="75">
        <v>5776000</v>
      </c>
      <c r="AI12" s="75">
        <v>18420000</v>
      </c>
      <c r="AJ12" s="75">
        <v>4628000</v>
      </c>
      <c r="AK12" s="75">
        <v>3940000</v>
      </c>
      <c r="AL12" s="75">
        <v>4020000</v>
      </c>
    </row>
    <row r="13" spans="1:38" s="68" customFormat="1" ht="13" x14ac:dyDescent="0.3">
      <c r="A13" s="129"/>
      <c r="B13" s="69" t="s">
        <v>12</v>
      </c>
      <c r="C13" s="62">
        <f t="shared" si="0"/>
        <v>92635967.741935462</v>
      </c>
      <c r="D13" s="67">
        <v>1135000</v>
      </c>
      <c r="E13" s="68">
        <v>4995000</v>
      </c>
      <c r="F13" s="68">
        <v>1520000</v>
      </c>
      <c r="G13" s="68">
        <v>1284516.1290322579</v>
      </c>
      <c r="H13" s="68">
        <v>2480000</v>
      </c>
      <c r="I13" s="68">
        <v>1820000</v>
      </c>
      <c r="J13" s="68">
        <v>1220000</v>
      </c>
      <c r="K13" s="68">
        <v>1645000</v>
      </c>
      <c r="L13" s="68">
        <v>1465000</v>
      </c>
      <c r="M13" s="68">
        <v>4700000</v>
      </c>
      <c r="N13" s="68">
        <v>5180000</v>
      </c>
      <c r="O13" s="68">
        <v>1580000</v>
      </c>
      <c r="P13" s="68">
        <v>4500000</v>
      </c>
      <c r="Q13" s="68">
        <v>2340000</v>
      </c>
      <c r="R13" s="68">
        <v>3854516.1290322579</v>
      </c>
      <c r="S13" s="68">
        <v>1620000</v>
      </c>
      <c r="T13" s="73">
        <v>2200000</v>
      </c>
      <c r="U13" s="73">
        <v>7101290.3225806449</v>
      </c>
      <c r="V13" s="73">
        <v>1680000</v>
      </c>
      <c r="W13" s="73">
        <v>3160000</v>
      </c>
      <c r="X13" s="73">
        <v>3231290.3225806453</v>
      </c>
      <c r="Y13" s="73">
        <v>1214999.9999999998</v>
      </c>
      <c r="Z13" s="73">
        <v>2474193.5483870967</v>
      </c>
      <c r="AA13" s="73">
        <v>1700000</v>
      </c>
      <c r="AB13" s="73">
        <v>1907419.3548387096</v>
      </c>
      <c r="AC13" s="73">
        <v>1070000</v>
      </c>
      <c r="AD13" s="73">
        <v>3362741.935483871</v>
      </c>
      <c r="AE13" s="73">
        <v>1020000</v>
      </c>
      <c r="AF13" s="73">
        <v>2730000</v>
      </c>
      <c r="AG13" s="73">
        <v>1290000</v>
      </c>
      <c r="AH13" s="73">
        <v>2140000</v>
      </c>
      <c r="AI13" s="73">
        <v>9600000</v>
      </c>
      <c r="AJ13" s="73">
        <v>1925000</v>
      </c>
      <c r="AK13" s="73">
        <v>1230000</v>
      </c>
      <c r="AL13" s="73">
        <v>2260000</v>
      </c>
    </row>
    <row r="14" spans="1:38" s="68" customFormat="1" ht="13" x14ac:dyDescent="0.3">
      <c r="A14" s="129"/>
      <c r="B14" s="69" t="s">
        <v>13</v>
      </c>
      <c r="C14" s="62">
        <f t="shared" si="0"/>
        <v>41319419.354838707</v>
      </c>
      <c r="D14" s="67">
        <v>510000</v>
      </c>
      <c r="E14" s="67">
        <v>1950000</v>
      </c>
      <c r="F14" s="68">
        <v>600000</v>
      </c>
      <c r="G14" s="68">
        <v>784193.54838709673</v>
      </c>
      <c r="H14" s="68">
        <v>1120000</v>
      </c>
      <c r="I14" s="68">
        <v>810000</v>
      </c>
      <c r="J14" s="68">
        <v>300000</v>
      </c>
      <c r="K14" s="68">
        <v>730000</v>
      </c>
      <c r="L14" s="68">
        <v>960000</v>
      </c>
      <c r="M14" s="68">
        <v>2120000</v>
      </c>
      <c r="N14" s="68">
        <v>1470000</v>
      </c>
      <c r="O14" s="68">
        <v>660000</v>
      </c>
      <c r="P14" s="68">
        <v>1600000</v>
      </c>
      <c r="Q14" s="68">
        <v>960000</v>
      </c>
      <c r="R14" s="68">
        <v>1882258.064516129</v>
      </c>
      <c r="S14" s="68">
        <v>630000</v>
      </c>
      <c r="T14" s="73">
        <v>1020000</v>
      </c>
      <c r="U14" s="73">
        <v>2380645.1612903229</v>
      </c>
      <c r="V14" s="73">
        <v>1360000</v>
      </c>
      <c r="W14" s="73">
        <v>1470000</v>
      </c>
      <c r="X14" s="73">
        <v>1480645.1612903227</v>
      </c>
      <c r="Y14" s="73">
        <v>480000</v>
      </c>
      <c r="Z14" s="73">
        <v>717096.77419354836</v>
      </c>
      <c r="AA14" s="73">
        <v>1230000</v>
      </c>
      <c r="AB14" s="73">
        <v>670709.67741935479</v>
      </c>
      <c r="AC14" s="73">
        <v>690000</v>
      </c>
      <c r="AD14" s="73">
        <v>1533870.9677419355</v>
      </c>
      <c r="AE14" s="73">
        <v>420000</v>
      </c>
      <c r="AF14" s="73">
        <v>2070000</v>
      </c>
      <c r="AG14" s="73">
        <v>780000</v>
      </c>
      <c r="AH14" s="73">
        <v>1070000</v>
      </c>
      <c r="AI14" s="73">
        <v>4190000</v>
      </c>
      <c r="AJ14" s="73">
        <v>960000</v>
      </c>
      <c r="AK14" s="73">
        <v>720000</v>
      </c>
      <c r="AL14" s="73">
        <v>990000</v>
      </c>
    </row>
    <row r="15" spans="1:38" s="68" customFormat="1" ht="13" x14ac:dyDescent="0.3">
      <c r="A15" s="129"/>
      <c r="B15" s="69" t="s">
        <v>14</v>
      </c>
      <c r="C15" s="62">
        <f t="shared" si="0"/>
        <v>38227741.935483873</v>
      </c>
      <c r="D15" s="67">
        <v>590000</v>
      </c>
      <c r="E15" s="68">
        <v>1900000</v>
      </c>
      <c r="F15" s="68">
        <v>1100000</v>
      </c>
      <c r="G15" s="68">
        <v>287096.77419354836</v>
      </c>
      <c r="H15" s="68">
        <v>600000</v>
      </c>
      <c r="I15" s="68">
        <v>800000</v>
      </c>
      <c r="J15" s="68">
        <v>800000</v>
      </c>
      <c r="K15" s="68">
        <v>600000</v>
      </c>
      <c r="L15" s="68">
        <v>800000</v>
      </c>
      <c r="M15" s="68">
        <v>1400000</v>
      </c>
      <c r="N15" s="68">
        <v>1500000</v>
      </c>
      <c r="O15" s="68">
        <v>600000</v>
      </c>
      <c r="P15" s="68">
        <v>1700000</v>
      </c>
      <c r="Q15" s="68">
        <v>1300000</v>
      </c>
      <c r="R15" s="68">
        <v>1487096.7741935484</v>
      </c>
      <c r="S15" s="68">
        <v>900000</v>
      </c>
      <c r="T15" s="73">
        <v>900000</v>
      </c>
      <c r="U15" s="73">
        <v>2745161.2903225804</v>
      </c>
      <c r="V15" s="73">
        <v>1300000</v>
      </c>
      <c r="W15" s="73">
        <v>1400000</v>
      </c>
      <c r="X15" s="73">
        <v>1467741.935483871</v>
      </c>
      <c r="Y15" s="73">
        <v>500000</v>
      </c>
      <c r="Z15" s="73">
        <v>1122580.6451612902</v>
      </c>
      <c r="AA15" s="73">
        <v>400000</v>
      </c>
      <c r="AB15" s="73">
        <v>900000</v>
      </c>
      <c r="AC15" s="73">
        <v>500000</v>
      </c>
      <c r="AD15" s="73">
        <v>1248064.5161290322</v>
      </c>
      <c r="AE15" s="73">
        <v>400000</v>
      </c>
      <c r="AF15" s="73">
        <v>1300000</v>
      </c>
      <c r="AG15" s="73">
        <v>400000</v>
      </c>
      <c r="AH15" s="73">
        <v>1000000</v>
      </c>
      <c r="AI15" s="73">
        <v>4190000</v>
      </c>
      <c r="AJ15" s="73">
        <v>1090000</v>
      </c>
      <c r="AK15" s="73">
        <v>300000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7687096.7741935486</v>
      </c>
      <c r="D16" s="67">
        <v>0</v>
      </c>
      <c r="E16" s="68">
        <v>0</v>
      </c>
      <c r="F16" s="68">
        <v>200000</v>
      </c>
      <c r="G16" s="68">
        <v>0</v>
      </c>
      <c r="H16" s="68">
        <v>350000</v>
      </c>
      <c r="I16" s="68">
        <v>0</v>
      </c>
      <c r="J16" s="68">
        <v>0</v>
      </c>
      <c r="K16" s="68">
        <v>200000</v>
      </c>
      <c r="L16" s="68">
        <v>200000</v>
      </c>
      <c r="M16" s="68">
        <v>200000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450000</v>
      </c>
      <c r="U16" s="73">
        <v>5287096.7741935486</v>
      </c>
      <c r="V16" s="73">
        <v>0</v>
      </c>
      <c r="W16" s="73">
        <v>0</v>
      </c>
      <c r="X16" s="73">
        <v>0</v>
      </c>
      <c r="Y16" s="76">
        <v>0</v>
      </c>
      <c r="Z16" s="76">
        <v>0</v>
      </c>
      <c r="AA16" s="76">
        <v>0</v>
      </c>
      <c r="AB16" s="76">
        <v>0</v>
      </c>
      <c r="AC16" s="73">
        <v>400000</v>
      </c>
      <c r="AD16" s="76">
        <v>0</v>
      </c>
      <c r="AE16" s="76">
        <v>0</v>
      </c>
      <c r="AF16" s="76">
        <v>50000</v>
      </c>
      <c r="AG16" s="76">
        <v>0</v>
      </c>
      <c r="AH16" s="76">
        <v>0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16212645.161290321</v>
      </c>
      <c r="D17" s="67">
        <v>400000</v>
      </c>
      <c r="E17" s="68">
        <v>2050000</v>
      </c>
      <c r="F17" s="68">
        <v>450000</v>
      </c>
      <c r="G17" s="68">
        <v>0</v>
      </c>
      <c r="H17" s="68">
        <v>0</v>
      </c>
      <c r="I17" s="68">
        <v>0</v>
      </c>
      <c r="J17" s="68">
        <v>740000</v>
      </c>
      <c r="K17" s="68">
        <v>0</v>
      </c>
      <c r="L17" s="68">
        <v>900000</v>
      </c>
      <c r="M17" s="68">
        <v>1550000</v>
      </c>
      <c r="N17" s="68">
        <v>1600000</v>
      </c>
      <c r="O17" s="68">
        <v>0</v>
      </c>
      <c r="P17" s="68">
        <v>0</v>
      </c>
      <c r="Q17" s="68">
        <v>1642000</v>
      </c>
      <c r="R17" s="68">
        <v>1646774.1935483871</v>
      </c>
      <c r="S17" s="68">
        <v>0</v>
      </c>
      <c r="T17" s="77">
        <v>0</v>
      </c>
      <c r="U17" s="77">
        <v>0</v>
      </c>
      <c r="V17" s="73">
        <v>0</v>
      </c>
      <c r="W17" s="70">
        <v>1400000</v>
      </c>
      <c r="X17" s="77">
        <v>1383870.9677419355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1350000</v>
      </c>
      <c r="AG17" s="77">
        <v>0</v>
      </c>
      <c r="AH17" s="70">
        <v>650000</v>
      </c>
      <c r="AI17" s="77">
        <v>0</v>
      </c>
      <c r="AJ17" s="77">
        <v>450000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45386516.129032247</v>
      </c>
      <c r="D18" s="67">
        <v>1260000</v>
      </c>
      <c r="E18" s="68">
        <v>2220000</v>
      </c>
      <c r="F18" s="68">
        <v>840000</v>
      </c>
      <c r="G18" s="68">
        <v>951290.32258064509</v>
      </c>
      <c r="H18" s="68">
        <v>1000000</v>
      </c>
      <c r="I18" s="68">
        <v>840000</v>
      </c>
      <c r="J18" s="68">
        <v>360000</v>
      </c>
      <c r="K18" s="68">
        <v>670000</v>
      </c>
      <c r="L18" s="68">
        <v>1080000</v>
      </c>
      <c r="M18" s="68">
        <v>1940000</v>
      </c>
      <c r="N18" s="68">
        <v>1920000</v>
      </c>
      <c r="O18" s="68">
        <v>800000</v>
      </c>
      <c r="P18" s="68">
        <v>1770000</v>
      </c>
      <c r="Q18" s="68">
        <v>1260000</v>
      </c>
      <c r="R18" s="68">
        <v>1792258.064516129</v>
      </c>
      <c r="S18" s="68">
        <v>660000</v>
      </c>
      <c r="T18" s="78">
        <v>1200000</v>
      </c>
      <c r="U18" s="78">
        <v>2800645.1612903229</v>
      </c>
      <c r="V18" s="73">
        <v>3290000</v>
      </c>
      <c r="W18" s="78">
        <v>1740000</v>
      </c>
      <c r="X18" s="78">
        <v>1570645.1612903227</v>
      </c>
      <c r="Y18" s="78">
        <v>390000</v>
      </c>
      <c r="Z18" s="78">
        <v>747096.77419354836</v>
      </c>
      <c r="AA18" s="79">
        <v>0</v>
      </c>
      <c r="AB18" s="78">
        <v>910709.67741935479</v>
      </c>
      <c r="AC18" s="78">
        <v>600000</v>
      </c>
      <c r="AD18" s="78">
        <v>1563870.9677419355</v>
      </c>
      <c r="AE18" s="78">
        <v>510000</v>
      </c>
      <c r="AF18" s="78">
        <v>1800000</v>
      </c>
      <c r="AG18" s="79">
        <v>0</v>
      </c>
      <c r="AH18" s="78">
        <v>1130000</v>
      </c>
      <c r="AI18" s="78">
        <v>4800000</v>
      </c>
      <c r="AJ18" s="78">
        <v>1080000</v>
      </c>
      <c r="AK18" s="78">
        <v>780000</v>
      </c>
      <c r="AL18" s="78">
        <v>1110000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453457587.09677422</v>
      </c>
      <c r="D19" s="81">
        <f t="shared" ref="D19:AP19" si="1">SUM(D12:D18)</f>
        <v>7351000</v>
      </c>
      <c r="E19" s="81">
        <f>SUM(E12:E18)</f>
        <v>26639000</v>
      </c>
      <c r="F19" s="81">
        <f t="shared" si="1"/>
        <v>7746000</v>
      </c>
      <c r="G19" s="81">
        <f t="shared" si="1"/>
        <v>5391096.7741935477</v>
      </c>
      <c r="H19" s="81">
        <f>SUM(H12:H18)</f>
        <v>10652800</v>
      </c>
      <c r="I19" s="81">
        <f>SUM(I12:I18)</f>
        <v>8578000</v>
      </c>
      <c r="J19" s="81">
        <f t="shared" si="1"/>
        <v>5452000</v>
      </c>
      <c r="K19" s="81">
        <f t="shared" si="1"/>
        <v>8273000</v>
      </c>
      <c r="L19" s="81">
        <f t="shared" si="1"/>
        <v>8561000</v>
      </c>
      <c r="M19" s="81">
        <f t="shared" si="1"/>
        <v>20878000</v>
      </c>
      <c r="N19" s="81">
        <f t="shared" si="1"/>
        <v>19978000</v>
      </c>
      <c r="O19" s="81">
        <f t="shared" si="1"/>
        <v>7240000</v>
      </c>
      <c r="P19" s="81">
        <f t="shared" si="1"/>
        <v>15928000</v>
      </c>
      <c r="Q19" s="81">
        <f>SUM(Q12:Q18)</f>
        <v>10282000</v>
      </c>
      <c r="R19" s="81">
        <f>SUM(R12:R18)</f>
        <v>20126903.225806452</v>
      </c>
      <c r="S19" s="81">
        <f>SUM(S12:S18)</f>
        <v>7416000</v>
      </c>
      <c r="T19" s="81">
        <f t="shared" si="1"/>
        <v>11074000</v>
      </c>
      <c r="U19" s="81">
        <f t="shared" si="1"/>
        <v>37614838.709677421</v>
      </c>
      <c r="V19" s="81">
        <f t="shared" si="1"/>
        <v>13628000</v>
      </c>
      <c r="W19" s="81">
        <f t="shared" si="1"/>
        <v>18730000</v>
      </c>
      <c r="X19" s="81">
        <f t="shared" si="1"/>
        <v>16570193.548387097</v>
      </c>
      <c r="Y19" s="81">
        <f t="shared" si="1"/>
        <v>4269000</v>
      </c>
      <c r="Z19" s="81">
        <f t="shared" si="1"/>
        <v>9324967.7419354841</v>
      </c>
      <c r="AA19" s="81">
        <f t="shared" si="1"/>
        <v>7078000</v>
      </c>
      <c r="AB19" s="81">
        <f>SUM(AB12:AB18)</f>
        <v>13492838.709677421</v>
      </c>
      <c r="AC19" s="81">
        <f t="shared" si="1"/>
        <v>4988000</v>
      </c>
      <c r="AD19" s="81">
        <f t="shared" si="1"/>
        <v>15020548.387096774</v>
      </c>
      <c r="AE19" s="81">
        <f t="shared" si="1"/>
        <v>4770000</v>
      </c>
      <c r="AF19" s="81">
        <f t="shared" si="1"/>
        <v>21455400</v>
      </c>
      <c r="AG19" s="81">
        <f t="shared" si="1"/>
        <v>5650000</v>
      </c>
      <c r="AH19" s="81">
        <f t="shared" si="1"/>
        <v>11766000</v>
      </c>
      <c r="AI19" s="81">
        <f t="shared" si="1"/>
        <v>41350000</v>
      </c>
      <c r="AJ19" s="81">
        <f t="shared" si="1"/>
        <v>10133000</v>
      </c>
      <c r="AK19" s="81">
        <f>SUM(AK12:AK18)</f>
        <v>6970000</v>
      </c>
      <c r="AL19" s="81">
        <f t="shared" si="1"/>
        <v>9080000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1474516666.666667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57600000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24666666.666666668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3568000</v>
      </c>
      <c r="D22" s="67"/>
      <c r="E22" s="82"/>
      <c r="G22" s="82"/>
      <c r="O22" s="82"/>
      <c r="P22" s="82">
        <v>668000</v>
      </c>
      <c r="T22" s="82"/>
      <c r="U22" s="82"/>
      <c r="W22" s="82"/>
      <c r="X22" s="82"/>
      <c r="Z22" s="82">
        <v>2900000</v>
      </c>
      <c r="AA22" s="83"/>
      <c r="AB22" s="82"/>
      <c r="AC22" s="82"/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195881184</v>
      </c>
      <c r="D23" s="82">
        <v>4562000</v>
      </c>
      <c r="E23" s="86">
        <v>9955159</v>
      </c>
      <c r="F23" s="82">
        <v>3798641</v>
      </c>
      <c r="G23" s="82">
        <v>2606602</v>
      </c>
      <c r="H23" s="86">
        <v>6063142</v>
      </c>
      <c r="I23" s="83">
        <v>3125660</v>
      </c>
      <c r="J23" s="83">
        <v>2998966</v>
      </c>
      <c r="K23" s="83">
        <v>4243320</v>
      </c>
      <c r="L23" s="82">
        <v>3223282</v>
      </c>
      <c r="M23" s="82">
        <v>10121220</v>
      </c>
      <c r="N23" s="83">
        <v>4112690</v>
      </c>
      <c r="O23" s="83">
        <v>3819614</v>
      </c>
      <c r="P23" s="83">
        <v>9420516</v>
      </c>
      <c r="Q23" s="83">
        <v>4248871</v>
      </c>
      <c r="R23" s="82">
        <v>8883302</v>
      </c>
      <c r="S23" s="83">
        <v>3998828</v>
      </c>
      <c r="T23" s="82">
        <v>3649968</v>
      </c>
      <c r="U23" s="83">
        <v>13299250</v>
      </c>
      <c r="V23" s="83">
        <v>4996858</v>
      </c>
      <c r="W23" s="83">
        <v>7654651</v>
      </c>
      <c r="X23" s="83">
        <v>5918681</v>
      </c>
      <c r="Y23" s="83">
        <v>1395878</v>
      </c>
      <c r="Z23" s="82">
        <v>3832250</v>
      </c>
      <c r="AA23" s="82">
        <v>4191005</v>
      </c>
      <c r="AB23" s="83">
        <v>10166455</v>
      </c>
      <c r="AC23" s="82">
        <v>2019924</v>
      </c>
      <c r="AD23" s="83">
        <v>6215227</v>
      </c>
      <c r="AE23" s="83">
        <v>3122280</v>
      </c>
      <c r="AF23" s="82">
        <v>10895926</v>
      </c>
      <c r="AG23" s="82">
        <v>3305383</v>
      </c>
      <c r="AH23" s="82">
        <v>5554000</v>
      </c>
      <c r="AI23" s="83">
        <v>14211742</v>
      </c>
      <c r="AJ23" s="83">
        <v>2950819</v>
      </c>
      <c r="AK23" s="83">
        <v>3453171</v>
      </c>
      <c r="AL23" s="83">
        <v>3865903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88477946.666666657</v>
      </c>
      <c r="D24" s="82">
        <v>1385750</v>
      </c>
      <c r="E24" s="82">
        <v>5166950</v>
      </c>
      <c r="F24" s="82">
        <v>1420250</v>
      </c>
      <c r="G24" s="82">
        <v>1166100</v>
      </c>
      <c r="H24" s="86">
        <v>2600610</v>
      </c>
      <c r="I24" s="83">
        <v>4338950</v>
      </c>
      <c r="J24" s="83">
        <v>1099055</v>
      </c>
      <c r="K24" s="83">
        <v>1700850</v>
      </c>
      <c r="L24" s="82">
        <v>1354700</v>
      </c>
      <c r="M24" s="82">
        <v>1218000</v>
      </c>
      <c r="N24" s="83">
        <v>6497500</v>
      </c>
      <c r="O24" s="83">
        <v>1166100</v>
      </c>
      <c r="P24" s="83">
        <v>2477675</v>
      </c>
      <c r="Q24" s="83">
        <v>2741600</v>
      </c>
      <c r="R24" s="82">
        <v>3619666.6666666665</v>
      </c>
      <c r="S24" s="83">
        <v>2433860</v>
      </c>
      <c r="T24" s="82">
        <v>2883050</v>
      </c>
      <c r="U24" s="83">
        <v>5958150</v>
      </c>
      <c r="V24" s="83">
        <v>2047000</v>
      </c>
      <c r="W24" s="83">
        <v>3480750</v>
      </c>
      <c r="X24" s="83">
        <v>2023080</v>
      </c>
      <c r="Y24" s="83">
        <v>768200</v>
      </c>
      <c r="Z24" s="82">
        <v>3100860</v>
      </c>
      <c r="AA24" s="82">
        <v>1429450</v>
      </c>
      <c r="AB24" s="83">
        <v>1900260</v>
      </c>
      <c r="AC24" s="82">
        <v>822480</v>
      </c>
      <c r="AD24" s="83">
        <v>4579300</v>
      </c>
      <c r="AE24" s="83">
        <v>1382300</v>
      </c>
      <c r="AF24" s="82">
        <v>4202100</v>
      </c>
      <c r="AG24" s="82">
        <v>882050</v>
      </c>
      <c r="AH24" s="82">
        <v>0</v>
      </c>
      <c r="AI24" s="83">
        <v>6871600</v>
      </c>
      <c r="AJ24" s="83">
        <v>1967000</v>
      </c>
      <c r="AK24" s="83">
        <v>1496150</v>
      </c>
      <c r="AL24" s="83">
        <v>2296550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14311303.666666668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502500</v>
      </c>
      <c r="S25" s="83">
        <v>320000</v>
      </c>
      <c r="T25" s="82">
        <v>245000</v>
      </c>
      <c r="U25" s="83">
        <v>1028000</v>
      </c>
      <c r="V25" s="83">
        <v>204300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6600000</v>
      </c>
      <c r="D26" s="82">
        <v>100000</v>
      </c>
      <c r="E26" s="82">
        <v>200000</v>
      </c>
      <c r="F26" s="82">
        <v>200000</v>
      </c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300000</v>
      </c>
      <c r="N26" s="83">
        <v>300000</v>
      </c>
      <c r="O26" s="83">
        <v>200000</v>
      </c>
      <c r="P26" s="83">
        <v>300000</v>
      </c>
      <c r="Q26" s="83">
        <v>200000</v>
      </c>
      <c r="R26" s="82">
        <v>300000</v>
      </c>
      <c r="S26" s="83">
        <v>150000</v>
      </c>
      <c r="T26" s="82">
        <v>200000</v>
      </c>
      <c r="U26" s="83">
        <v>200000</v>
      </c>
      <c r="V26" s="83">
        <v>300000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500000</v>
      </c>
      <c r="AF26" s="82">
        <v>500000</v>
      </c>
      <c r="AG26" s="82"/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1783355101.0000005</v>
      </c>
      <c r="D29" s="60">
        <f>SUM(D21:D28)</f>
        <v>37427850</v>
      </c>
      <c r="E29" s="60">
        <f t="shared" ref="E29:AL29" si="3">SUM(E21:E28)</f>
        <v>95823109</v>
      </c>
      <c r="F29" s="60">
        <f t="shared" si="3"/>
        <v>42663891</v>
      </c>
      <c r="G29" s="60">
        <f t="shared" si="3"/>
        <v>27351035</v>
      </c>
      <c r="H29" s="60">
        <f t="shared" si="3"/>
        <v>42408752</v>
      </c>
      <c r="I29" s="60">
        <f t="shared" si="3"/>
        <v>31884610</v>
      </c>
      <c r="J29" s="60">
        <f t="shared" si="3"/>
        <v>24384522</v>
      </c>
      <c r="K29" s="60">
        <f t="shared" si="3"/>
        <v>33430671</v>
      </c>
      <c r="L29" s="60">
        <f t="shared" si="3"/>
        <v>38096982</v>
      </c>
      <c r="M29" s="60">
        <f t="shared" si="3"/>
        <v>59700721</v>
      </c>
      <c r="N29" s="60">
        <f t="shared" si="3"/>
        <v>77971691</v>
      </c>
      <c r="O29" s="60">
        <f t="shared" si="3"/>
        <v>35407214</v>
      </c>
      <c r="P29" s="60">
        <f t="shared" si="3"/>
        <v>53331190</v>
      </c>
      <c r="Q29" s="60">
        <f>SUM(Q21:Q28)</f>
        <v>31633471</v>
      </c>
      <c r="R29" s="60">
        <f t="shared" si="3"/>
        <v>73305468.666666672</v>
      </c>
      <c r="S29" s="60">
        <f t="shared" si="3"/>
        <v>30302688</v>
      </c>
      <c r="T29" s="60">
        <f t="shared" si="3"/>
        <v>31978018</v>
      </c>
      <c r="U29" s="60">
        <f t="shared" si="3"/>
        <v>130485400</v>
      </c>
      <c r="V29" s="60">
        <f t="shared" si="3"/>
        <v>57548158</v>
      </c>
      <c r="W29" s="60">
        <f t="shared" si="3"/>
        <v>69530401</v>
      </c>
      <c r="X29" s="60">
        <f t="shared" si="3"/>
        <v>78211661</v>
      </c>
      <c r="Y29" s="60">
        <f t="shared" si="3"/>
        <v>20450078</v>
      </c>
      <c r="Z29" s="60">
        <f t="shared" si="3"/>
        <v>47099610</v>
      </c>
      <c r="AA29" s="60">
        <f t="shared" si="3"/>
        <v>26035455</v>
      </c>
      <c r="AB29" s="60">
        <f>SUM(AB21:AB28)</f>
        <v>56486715</v>
      </c>
      <c r="AC29" s="60">
        <f t="shared" si="3"/>
        <v>19878904</v>
      </c>
      <c r="AD29" s="60">
        <f t="shared" si="3"/>
        <v>56339527</v>
      </c>
      <c r="AE29" s="60">
        <f t="shared" si="3"/>
        <v>29916246.666666668</v>
      </c>
      <c r="AF29" s="60">
        <f t="shared" si="3"/>
        <v>82809692.666666657</v>
      </c>
      <c r="AG29" s="60">
        <f t="shared" si="3"/>
        <v>30927434</v>
      </c>
      <c r="AH29" s="60">
        <f t="shared" si="3"/>
        <v>61154000</v>
      </c>
      <c r="AI29" s="60">
        <f t="shared" si="3"/>
        <v>152553342</v>
      </c>
      <c r="AJ29" s="60">
        <f>SUM(AJ21:AJ28)</f>
        <v>32774819</v>
      </c>
      <c r="AK29" s="60">
        <f t="shared" si="3"/>
        <v>31419321</v>
      </c>
      <c r="AL29" s="60">
        <f t="shared" si="3"/>
        <v>32632453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2" si="4">SUM(D30:AL30)</f>
        <v>50846477.403182156</v>
      </c>
      <c r="D30" s="82">
        <v>130000</v>
      </c>
      <c r="E30" s="83">
        <v>2553583.5166443423</v>
      </c>
      <c r="F30" s="82">
        <v>1060066.9918604817</v>
      </c>
      <c r="G30" s="82">
        <v>96000</v>
      </c>
      <c r="H30" s="82">
        <v>825635.60360879696</v>
      </c>
      <c r="I30" s="82">
        <v>928780.48780487804</v>
      </c>
      <c r="J30" s="83">
        <v>1013357.5317604356</v>
      </c>
      <c r="K30" s="82">
        <v>1007815.1556578808</v>
      </c>
      <c r="L30" s="82">
        <v>132000</v>
      </c>
      <c r="M30" s="82">
        <v>1922314.3533189632</v>
      </c>
      <c r="N30" s="83">
        <v>2021457.1987423028</v>
      </c>
      <c r="O30" s="83">
        <v>831789.28036613052</v>
      </c>
      <c r="P30" s="83">
        <v>2124632.9526916803</v>
      </c>
      <c r="Q30" s="83">
        <v>1970403.2763313304</v>
      </c>
      <c r="R30" s="83">
        <v>1649876.8053677923</v>
      </c>
      <c r="S30" s="83">
        <v>1155262.2571692877</v>
      </c>
      <c r="T30" s="82">
        <v>1267547.5083138365</v>
      </c>
      <c r="U30" s="83">
        <v>4410869.6125621889</v>
      </c>
      <c r="V30" s="83">
        <v>1768408.6388262452</v>
      </c>
      <c r="W30" s="83">
        <v>1378611.1383133768</v>
      </c>
      <c r="X30" s="83">
        <v>2788466.679122563</v>
      </c>
      <c r="Y30" s="82">
        <v>461047.06585151958</v>
      </c>
      <c r="Z30" s="83">
        <v>1454771.6819632153</v>
      </c>
      <c r="AA30" s="82">
        <v>661389.47368421033</v>
      </c>
      <c r="AB30" s="82">
        <v>1507108.4075173922</v>
      </c>
      <c r="AC30" s="82">
        <v>861311.79104937124</v>
      </c>
      <c r="AD30" s="82">
        <v>1802154.8702392201</v>
      </c>
      <c r="AE30" s="82">
        <v>641967.37488535221</v>
      </c>
      <c r="AF30" s="82">
        <v>1737248.1808820739</v>
      </c>
      <c r="AG30" s="82">
        <v>951223.47627452889</v>
      </c>
      <c r="AH30" s="82">
        <v>1378731.4427923956</v>
      </c>
      <c r="AI30" s="82">
        <v>5559931.2148049567</v>
      </c>
      <c r="AJ30" s="83">
        <v>1120915.0326797387</v>
      </c>
      <c r="AK30" s="82">
        <v>927663.15789473685</v>
      </c>
      <c r="AL30" s="83">
        <f>'[2]THÁNG 1'!$W$77</f>
        <v>744135.24420094187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4177740.8637873749</v>
      </c>
      <c r="D31" s="82">
        <v>83056.478405315604</v>
      </c>
      <c r="E31" s="83">
        <v>182724.25249169435</v>
      </c>
      <c r="F31" s="82">
        <v>99667.774086378733</v>
      </c>
      <c r="G31" s="82">
        <v>66445.182724252489</v>
      </c>
      <c r="H31" s="82">
        <v>74750.830564784046</v>
      </c>
      <c r="I31" s="82">
        <v>66445.182724252489</v>
      </c>
      <c r="J31" s="83">
        <v>74750.830564784046</v>
      </c>
      <c r="K31" s="82">
        <v>74750.830564784046</v>
      </c>
      <c r="L31" s="82">
        <v>91362.126245847176</v>
      </c>
      <c r="M31" s="82">
        <v>157807.30897009966</v>
      </c>
      <c r="N31" s="83">
        <v>157807.30897009966</v>
      </c>
      <c r="O31" s="83">
        <v>74750.830564784046</v>
      </c>
      <c r="P31" s="83">
        <v>157807.30897009966</v>
      </c>
      <c r="Q31" s="83">
        <v>141196.01328903655</v>
      </c>
      <c r="R31" s="83">
        <v>149501.66112956809</v>
      </c>
      <c r="S31" s="83">
        <v>74750.830564784046</v>
      </c>
      <c r="T31" s="82">
        <v>83056.478405315604</v>
      </c>
      <c r="U31" s="83">
        <v>315614.61794019933</v>
      </c>
      <c r="V31" s="83">
        <v>124584.71760797342</v>
      </c>
      <c r="W31" s="83">
        <v>132890.36544850498</v>
      </c>
      <c r="X31" s="83">
        <v>199335.54817275747</v>
      </c>
      <c r="Y31" s="82">
        <v>49833.887043189367</v>
      </c>
      <c r="Z31" s="83">
        <v>107973.42192691029</v>
      </c>
      <c r="AA31" s="82">
        <v>49833.887043189367</v>
      </c>
      <c r="AB31" s="82">
        <v>107973.42192691029</v>
      </c>
      <c r="AC31" s="82">
        <v>58139.534883720931</v>
      </c>
      <c r="AD31" s="82">
        <v>149501.66112956809</v>
      </c>
      <c r="AE31" s="82">
        <v>66445.182724252489</v>
      </c>
      <c r="AF31" s="82">
        <v>166112.95681063121</v>
      </c>
      <c r="AG31" s="82">
        <v>66445.182724252489</v>
      </c>
      <c r="AH31" s="82">
        <v>132890.36544850498</v>
      </c>
      <c r="AI31" s="82">
        <v>415282.39202657808</v>
      </c>
      <c r="AJ31" s="83">
        <v>91362.126245847176</v>
      </c>
      <c r="AK31" s="82">
        <v>66445.182724252489</v>
      </c>
      <c r="AL31" s="83">
        <f>(10000000/1204)*8</f>
        <v>66445.182724252489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7432740.8637873726</v>
      </c>
      <c r="D32" s="82">
        <v>153056.4784053156</v>
      </c>
      <c r="E32" s="83">
        <v>336724.25249169435</v>
      </c>
      <c r="F32" s="82">
        <v>183667.77408637875</v>
      </c>
      <c r="G32" s="82">
        <v>122445.18272425249</v>
      </c>
      <c r="H32" s="82">
        <v>137750.83056478406</v>
      </c>
      <c r="I32" s="82">
        <v>122445.18272425249</v>
      </c>
      <c r="J32" s="83">
        <v>137750.83056478406</v>
      </c>
      <c r="K32" s="82">
        <v>137750.83056478406</v>
      </c>
      <c r="L32" s="82">
        <v>168362.12624584718</v>
      </c>
      <c r="M32" s="82">
        <v>290807.30897009966</v>
      </c>
      <c r="N32" s="83">
        <v>290807.30897009966</v>
      </c>
      <c r="O32" s="83">
        <v>137750.83056478406</v>
      </c>
      <c r="P32" s="83">
        <v>290807.30897009966</v>
      </c>
      <c r="Q32" s="83">
        <v>260196.01328903655</v>
      </c>
      <c r="R32" s="83">
        <v>275501.66112956812</v>
      </c>
      <c r="S32" s="83">
        <v>137750.83056478406</v>
      </c>
      <c r="T32" s="82">
        <v>153056.4784053156</v>
      </c>
      <c r="U32" s="83">
        <v>315614.61794019933</v>
      </c>
      <c r="V32" s="83">
        <v>229584.71760797343</v>
      </c>
      <c r="W32" s="83">
        <v>244890.36544850498</v>
      </c>
      <c r="X32" s="83">
        <v>367335.5481727575</v>
      </c>
      <c r="Y32" s="82">
        <v>91833.887043189374</v>
      </c>
      <c r="Z32" s="83">
        <v>198973.42192691029</v>
      </c>
      <c r="AA32" s="82">
        <v>91833.887043189374</v>
      </c>
      <c r="AB32" s="82">
        <v>198973.42192691029</v>
      </c>
      <c r="AC32" s="82">
        <v>107139.53488372093</v>
      </c>
      <c r="AD32" s="82">
        <v>275501.66112956812</v>
      </c>
      <c r="AE32" s="82">
        <v>122445.18272425249</v>
      </c>
      <c r="AF32" s="82">
        <v>306112.95681063121</v>
      </c>
      <c r="AG32" s="82">
        <v>122445.18272425249</v>
      </c>
      <c r="AH32" s="82">
        <v>244890.36544850498</v>
      </c>
      <c r="AI32" s="82">
        <v>765282.39202657808</v>
      </c>
      <c r="AJ32" s="83">
        <v>168362.12624584718</v>
      </c>
      <c r="AK32" s="82">
        <v>122445.18272425249</v>
      </c>
      <c r="AL32" s="83">
        <f>(10000000/1204)*8+7000*8</f>
        <v>122445.18272425249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5667192.6910299007</v>
      </c>
      <c r="D33" s="82">
        <v>116445.18272425249</v>
      </c>
      <c r="E33" s="83">
        <v>256179.40199335548</v>
      </c>
      <c r="F33" s="82">
        <v>139734.21926910299</v>
      </c>
      <c r="G33" s="82">
        <v>93156.146179401985</v>
      </c>
      <c r="H33" s="82">
        <v>104800.66445182724</v>
      </c>
      <c r="I33" s="82">
        <v>93156.146179401985</v>
      </c>
      <c r="J33" s="83">
        <v>104800.66445182724</v>
      </c>
      <c r="K33" s="82">
        <v>104800.66445182724</v>
      </c>
      <c r="L33" s="82">
        <v>128089.70099667774</v>
      </c>
      <c r="M33" s="82">
        <v>221245.84717607973</v>
      </c>
      <c r="N33" s="83">
        <v>221245.84717607973</v>
      </c>
      <c r="O33" s="83">
        <v>104800.66445182724</v>
      </c>
      <c r="P33" s="83">
        <v>221245.84717607973</v>
      </c>
      <c r="Q33" s="83">
        <v>197956.81063122925</v>
      </c>
      <c r="R33" s="83">
        <v>209601.32890365447</v>
      </c>
      <c r="S33" s="83">
        <v>104800.66445182724</v>
      </c>
      <c r="T33" s="82">
        <v>116445.18272425249</v>
      </c>
      <c r="U33" s="83">
        <v>252491.69435215945</v>
      </c>
      <c r="V33" s="83">
        <v>174667.77408637875</v>
      </c>
      <c r="W33" s="83">
        <v>186312.29235880397</v>
      </c>
      <c r="X33" s="83">
        <v>279468.43853820598</v>
      </c>
      <c r="Y33" s="82">
        <v>69867.109634551496</v>
      </c>
      <c r="Z33" s="83">
        <v>151378.73754152824</v>
      </c>
      <c r="AA33" s="82">
        <v>69867.109634551496</v>
      </c>
      <c r="AB33" s="82">
        <v>151378.73754152824</v>
      </c>
      <c r="AC33" s="82">
        <v>81511.627906976733</v>
      </c>
      <c r="AD33" s="82">
        <v>209601.32890365447</v>
      </c>
      <c r="AE33" s="82">
        <v>93156.146179401985</v>
      </c>
      <c r="AF33" s="82">
        <v>232890.36544850498</v>
      </c>
      <c r="AG33" s="82">
        <v>93156.146179401985</v>
      </c>
      <c r="AH33" s="82">
        <v>186312.29235880397</v>
      </c>
      <c r="AI33" s="82">
        <v>582225.91362126241</v>
      </c>
      <c r="AJ33" s="83">
        <v>128089.70099667774</v>
      </c>
      <c r="AK33" s="82">
        <v>93156.146179401985</v>
      </c>
      <c r="AL33" s="83">
        <f>(8000000/1204)*8+5000*8</f>
        <v>93156.146179401985</v>
      </c>
    </row>
    <row r="34" spans="1:38" s="68" customFormat="1" ht="21.5" customHeight="1" x14ac:dyDescent="0.3">
      <c r="A34" s="133"/>
      <c r="B34" s="67" t="s">
        <v>35</v>
      </c>
      <c r="C34" s="62">
        <f t="shared" si="4"/>
        <v>11946732.111295681</v>
      </c>
      <c r="D34" s="82">
        <v>237509.58471760797</v>
      </c>
      <c r="E34" s="83">
        <v>522521.08637873753</v>
      </c>
      <c r="F34" s="82">
        <v>285011.50166112959</v>
      </c>
      <c r="G34" s="82">
        <v>190007.66777408638</v>
      </c>
      <c r="H34" s="82">
        <v>213758.62624584718</v>
      </c>
      <c r="I34" s="82">
        <v>190007.66777408638</v>
      </c>
      <c r="J34" s="83">
        <v>213758.62624584718</v>
      </c>
      <c r="K34" s="82">
        <v>213758.62624584718</v>
      </c>
      <c r="L34" s="82">
        <v>261260.54318936876</v>
      </c>
      <c r="M34" s="82">
        <v>451268.21096345515</v>
      </c>
      <c r="N34" s="83">
        <v>451268.21096345515</v>
      </c>
      <c r="O34" s="83">
        <v>213758.62624584718</v>
      </c>
      <c r="P34" s="83">
        <v>451268.21096345515</v>
      </c>
      <c r="Q34" s="83">
        <v>403766.29401993356</v>
      </c>
      <c r="R34" s="83">
        <v>427517.25249169435</v>
      </c>
      <c r="S34" s="83">
        <v>213758.62624584718</v>
      </c>
      <c r="T34" s="82">
        <v>237509.58471760797</v>
      </c>
      <c r="U34" s="83">
        <v>902536.42192691029</v>
      </c>
      <c r="V34" s="83">
        <v>356264.37707641197</v>
      </c>
      <c r="W34" s="83">
        <v>380015.33554817276</v>
      </c>
      <c r="X34" s="83">
        <v>570023.00332225917</v>
      </c>
      <c r="Y34" s="82">
        <v>142505.75083056479</v>
      </c>
      <c r="Z34" s="83">
        <v>308762.46013289038</v>
      </c>
      <c r="AA34" s="82">
        <v>142505.75083056479</v>
      </c>
      <c r="AB34" s="82">
        <v>308762.46013289038</v>
      </c>
      <c r="AC34" s="82">
        <v>166256.70930232559</v>
      </c>
      <c r="AD34" s="82">
        <v>427517.25249169435</v>
      </c>
      <c r="AE34" s="82">
        <v>190007.66777408638</v>
      </c>
      <c r="AF34" s="82">
        <v>475019.16943521594</v>
      </c>
      <c r="AG34" s="82">
        <v>190007.66777408638</v>
      </c>
      <c r="AH34" s="82">
        <v>380015.33554817276</v>
      </c>
      <c r="AI34" s="82">
        <v>1187547.9235880398</v>
      </c>
      <c r="AJ34" s="83">
        <v>261260.54318936876</v>
      </c>
      <c r="AK34" s="82">
        <v>190007.66777408638</v>
      </c>
      <c r="AL34" s="83">
        <f>(SUM('[2]THÁNG 1'!$Y$132/1204)*8)</f>
        <v>190007.66777408638</v>
      </c>
    </row>
    <row r="35" spans="1:38" s="68" customFormat="1" ht="21" customHeight="1" x14ac:dyDescent="0.3">
      <c r="A35" s="133"/>
      <c r="B35" s="67" t="s">
        <v>36</v>
      </c>
      <c r="C35" s="62">
        <f t="shared" si="4"/>
        <v>15200000</v>
      </c>
      <c r="D35" s="82">
        <v>400000</v>
      </c>
      <c r="E35" s="83">
        <v>550000</v>
      </c>
      <c r="F35" s="82">
        <v>400000</v>
      </c>
      <c r="G35" s="82">
        <v>400000</v>
      </c>
      <c r="H35" s="82">
        <v>350000</v>
      </c>
      <c r="I35" s="82">
        <v>350000</v>
      </c>
      <c r="J35" s="83">
        <v>400000</v>
      </c>
      <c r="K35" s="82">
        <v>350000</v>
      </c>
      <c r="L35" s="82">
        <v>350000</v>
      </c>
      <c r="M35" s="82">
        <v>550000</v>
      </c>
      <c r="N35" s="83">
        <v>550000</v>
      </c>
      <c r="O35" s="83">
        <v>400000</v>
      </c>
      <c r="P35" s="83">
        <v>550000</v>
      </c>
      <c r="Q35" s="83">
        <v>550000</v>
      </c>
      <c r="R35" s="83">
        <v>550000</v>
      </c>
      <c r="S35" s="83">
        <v>350000</v>
      </c>
      <c r="T35" s="82">
        <v>400000</v>
      </c>
      <c r="U35" s="83">
        <v>600000</v>
      </c>
      <c r="V35" s="83">
        <v>400000</v>
      </c>
      <c r="W35" s="83">
        <v>200000</v>
      </c>
      <c r="X35" s="83">
        <v>400000</v>
      </c>
      <c r="Y35" s="82">
        <v>400000</v>
      </c>
      <c r="Z35" s="83">
        <v>400000</v>
      </c>
      <c r="AA35" s="82">
        <v>400000</v>
      </c>
      <c r="AB35" s="82">
        <v>350000</v>
      </c>
      <c r="AC35" s="82">
        <v>350000</v>
      </c>
      <c r="AD35" s="82">
        <v>350000</v>
      </c>
      <c r="AE35" s="82">
        <v>400000</v>
      </c>
      <c r="AF35" s="82">
        <v>550000</v>
      </c>
      <c r="AG35" s="82">
        <v>400000</v>
      </c>
      <c r="AH35" s="82">
        <v>550000</v>
      </c>
      <c r="AI35" s="82">
        <v>800000</v>
      </c>
      <c r="AJ35" s="83">
        <v>400000</v>
      </c>
      <c r="AK35" s="82">
        <v>400000</v>
      </c>
      <c r="AL35" s="83">
        <v>400000</v>
      </c>
    </row>
    <row r="36" spans="1:38" s="68" customFormat="1" ht="21.5" customHeight="1" x14ac:dyDescent="0.3">
      <c r="A36" s="133"/>
      <c r="B36" s="67" t="s">
        <v>37</v>
      </c>
      <c r="C36" s="62">
        <f t="shared" si="4"/>
        <v>6215548.1727574738</v>
      </c>
      <c r="D36" s="82">
        <v>126611.29568106311</v>
      </c>
      <c r="E36" s="83">
        <v>266544.85049833887</v>
      </c>
      <c r="F36" s="82">
        <v>149933.55481727576</v>
      </c>
      <c r="G36" s="82">
        <v>103289.0365448505</v>
      </c>
      <c r="H36" s="82">
        <v>114950.16611295681</v>
      </c>
      <c r="I36" s="82">
        <v>103289.0365448505</v>
      </c>
      <c r="J36" s="83">
        <v>114950.16611295681</v>
      </c>
      <c r="K36" s="82">
        <v>114950.16611295681</v>
      </c>
      <c r="L36" s="82">
        <v>138272.42524916944</v>
      </c>
      <c r="M36" s="82">
        <v>231561.46179401994</v>
      </c>
      <c r="N36" s="83">
        <v>231561.46179401994</v>
      </c>
      <c r="O36" s="83">
        <v>114950.16611295681</v>
      </c>
      <c r="P36" s="83">
        <v>231561.46179401994</v>
      </c>
      <c r="Q36" s="83">
        <v>208239.2026578073</v>
      </c>
      <c r="R36" s="83">
        <v>219900.33222591362</v>
      </c>
      <c r="S36" s="83">
        <v>114950.16611295681</v>
      </c>
      <c r="T36" s="82">
        <v>126611.29568106311</v>
      </c>
      <c r="U36" s="83">
        <v>453122.92358803988</v>
      </c>
      <c r="V36" s="83">
        <v>184916.94352159469</v>
      </c>
      <c r="W36" s="83">
        <v>196578.07308970101</v>
      </c>
      <c r="X36" s="83">
        <v>289867.10963455151</v>
      </c>
      <c r="Y36" s="82">
        <v>79966.777408637878</v>
      </c>
      <c r="Z36" s="83">
        <v>161594.68438538205</v>
      </c>
      <c r="AA36" s="82">
        <v>79966.777408637878</v>
      </c>
      <c r="AB36" s="82">
        <v>161594.68438538205</v>
      </c>
      <c r="AC36" s="82">
        <v>91627.906976744183</v>
      </c>
      <c r="AD36" s="82">
        <v>219900.33222591362</v>
      </c>
      <c r="AE36" s="82">
        <v>103289.0365448505</v>
      </c>
      <c r="AF36" s="82">
        <v>243222.59136212623</v>
      </c>
      <c r="AG36" s="82">
        <v>103289.0365448505</v>
      </c>
      <c r="AH36" s="82">
        <v>196578.07308970101</v>
      </c>
      <c r="AI36" s="82">
        <v>593056.47840531566</v>
      </c>
      <c r="AJ36" s="83">
        <v>138272.42524916944</v>
      </c>
      <c r="AK36" s="82">
        <v>103289.0365448505</v>
      </c>
      <c r="AL36" s="83">
        <f>80000+10000+(2000000/1204)*8</f>
        <v>103289.0365448505</v>
      </c>
    </row>
    <row r="37" spans="1:38" s="68" customFormat="1" ht="24" customHeight="1" x14ac:dyDescent="0.3">
      <c r="A37" s="133"/>
      <c r="B37" s="67" t="s">
        <v>38</v>
      </c>
      <c r="C37" s="62">
        <f t="shared" si="4"/>
        <v>9191029.9003322255</v>
      </c>
      <c r="D37" s="82">
        <v>182724.25249169435</v>
      </c>
      <c r="E37" s="83">
        <v>401993.35548172757</v>
      </c>
      <c r="F37" s="82">
        <v>219269.10299003322</v>
      </c>
      <c r="G37" s="82">
        <v>146179.40199335548</v>
      </c>
      <c r="H37" s="82">
        <v>164451.82724252492</v>
      </c>
      <c r="I37" s="82">
        <v>146179.40199335548</v>
      </c>
      <c r="J37" s="83">
        <v>164451.82724252492</v>
      </c>
      <c r="K37" s="82">
        <v>164451.82724252492</v>
      </c>
      <c r="L37" s="82">
        <v>200996.67774086379</v>
      </c>
      <c r="M37" s="82">
        <v>347176.07973421924</v>
      </c>
      <c r="N37" s="83">
        <v>347176.07973421924</v>
      </c>
      <c r="O37" s="83">
        <v>164451.82724252492</v>
      </c>
      <c r="P37" s="83">
        <v>347176.07973421924</v>
      </c>
      <c r="Q37" s="83">
        <v>310631.22923588043</v>
      </c>
      <c r="R37" s="83">
        <v>328903.65448504983</v>
      </c>
      <c r="S37" s="83">
        <v>164451.82724252492</v>
      </c>
      <c r="T37" s="82">
        <v>182724.25249169435</v>
      </c>
      <c r="U37" s="83">
        <v>694352.15946843848</v>
      </c>
      <c r="V37" s="83">
        <v>274086.3787375415</v>
      </c>
      <c r="W37" s="83">
        <v>292358.80398671096</v>
      </c>
      <c r="X37" s="83">
        <v>438538.20598006644</v>
      </c>
      <c r="Y37" s="82">
        <v>109634.55149501661</v>
      </c>
      <c r="Z37" s="83">
        <v>237541.52823920266</v>
      </c>
      <c r="AA37" s="83">
        <v>109634.55149501661</v>
      </c>
      <c r="AB37" s="82">
        <v>237541.52823920266</v>
      </c>
      <c r="AC37" s="82">
        <v>127906.97674418605</v>
      </c>
      <c r="AD37" s="82">
        <v>328903.65448504983</v>
      </c>
      <c r="AE37" s="82">
        <v>146179.40199335548</v>
      </c>
      <c r="AF37" s="82">
        <v>365448.5049833887</v>
      </c>
      <c r="AG37" s="82">
        <v>146179.40199335548</v>
      </c>
      <c r="AH37" s="82">
        <v>292358.80398671096</v>
      </c>
      <c r="AI37" s="82">
        <v>913621.26245847181</v>
      </c>
      <c r="AJ37" s="83">
        <v>200996.67774086379</v>
      </c>
      <c r="AK37" s="82">
        <v>146179.40199335548</v>
      </c>
      <c r="AL37" s="83">
        <f>(22000000/1204)*8</f>
        <v>146179.40199335548</v>
      </c>
    </row>
    <row r="38" spans="1:38" s="68" customFormat="1" ht="21" customHeight="1" x14ac:dyDescent="0.35">
      <c r="A38" s="133"/>
      <c r="B38" s="67" t="s">
        <v>39</v>
      </c>
      <c r="C38" s="62">
        <f t="shared" si="4"/>
        <v>5000000</v>
      </c>
      <c r="D38" s="82"/>
      <c r="E38" s="83"/>
      <c r="F38" s="82"/>
      <c r="G38" s="82"/>
      <c r="H38" s="82"/>
      <c r="I38" s="82"/>
      <c r="J38" s="83"/>
      <c r="K38" s="82"/>
      <c r="L38" s="82"/>
      <c r="M38" s="82"/>
      <c r="N38" s="83"/>
      <c r="O38" s="83"/>
      <c r="P38" s="83"/>
      <c r="Q38" s="83"/>
      <c r="R38" s="83"/>
      <c r="S38" s="83"/>
      <c r="T38" s="82"/>
      <c r="U38" s="83">
        <v>5000000</v>
      </c>
      <c r="V38" s="83"/>
      <c r="W38" s="83"/>
      <c r="X38" s="83"/>
      <c r="Y38" s="82"/>
      <c r="Z38" s="126"/>
      <c r="AA38" s="82"/>
      <c r="AB38" s="82"/>
      <c r="AC38" s="82"/>
      <c r="AD38" s="82"/>
      <c r="AE38" s="82"/>
      <c r="AF38" s="82"/>
      <c r="AG38" s="82"/>
      <c r="AH38" s="82"/>
      <c r="AI38" s="82"/>
      <c r="AJ38" s="83"/>
      <c r="AK38" s="82"/>
      <c r="AL38" s="89"/>
    </row>
    <row r="39" spans="1:38" s="68" customFormat="1" ht="25.5" customHeight="1" x14ac:dyDescent="0.3">
      <c r="A39" s="134"/>
      <c r="B39" s="67" t="s">
        <v>40</v>
      </c>
      <c r="C39" s="62">
        <f t="shared" si="4"/>
        <v>19319373.563122924</v>
      </c>
      <c r="D39" s="82">
        <v>384082.97342192696</v>
      </c>
      <c r="E39" s="83">
        <v>844982.54152823926</v>
      </c>
      <c r="F39" s="82">
        <v>460899.5681063123</v>
      </c>
      <c r="G39" s="82">
        <v>307266.37873754156</v>
      </c>
      <c r="H39" s="82">
        <v>345674.67607973423</v>
      </c>
      <c r="I39" s="82">
        <v>307266.37873754156</v>
      </c>
      <c r="J39" s="83">
        <v>345674.67607973423</v>
      </c>
      <c r="K39" s="82">
        <v>345674.67607973423</v>
      </c>
      <c r="L39" s="82">
        <v>422491.27076411963</v>
      </c>
      <c r="M39" s="82">
        <v>729757.64950166119</v>
      </c>
      <c r="N39" s="83">
        <v>729757.64950166119</v>
      </c>
      <c r="O39" s="83">
        <v>345674.67607973423</v>
      </c>
      <c r="P39" s="83">
        <v>729757.64950166119</v>
      </c>
      <c r="Q39" s="83">
        <v>652941.05481727584</v>
      </c>
      <c r="R39" s="83">
        <v>691349.35215946846</v>
      </c>
      <c r="S39" s="83">
        <v>345674.67607973423</v>
      </c>
      <c r="T39" s="82">
        <v>384082.97342192696</v>
      </c>
      <c r="U39" s="83">
        <v>1459515.2990033224</v>
      </c>
      <c r="V39" s="83">
        <v>576124.46013289038</v>
      </c>
      <c r="W39" s="83">
        <v>614532.75747508311</v>
      </c>
      <c r="X39" s="83">
        <v>921799.13621262461</v>
      </c>
      <c r="Y39" s="82">
        <v>230449.78405315615</v>
      </c>
      <c r="Z39" s="83">
        <v>499307.86544850504</v>
      </c>
      <c r="AA39" s="82">
        <v>230449.78405315615</v>
      </c>
      <c r="AB39" s="82">
        <v>499307.86544850504</v>
      </c>
      <c r="AC39" s="82">
        <v>268858.08139534888</v>
      </c>
      <c r="AD39" s="82">
        <v>691349.35215946846</v>
      </c>
      <c r="AE39" s="82">
        <v>307266.37873754156</v>
      </c>
      <c r="AF39" s="82">
        <v>768165.94684385392</v>
      </c>
      <c r="AG39" s="82">
        <v>307266.37873754156</v>
      </c>
      <c r="AH39" s="82">
        <v>614532.75747508311</v>
      </c>
      <c r="AI39" s="82">
        <v>1920414.8671096347</v>
      </c>
      <c r="AJ39" s="83">
        <v>422491.27076411963</v>
      </c>
      <c r="AK39" s="82">
        <v>307266.37873754156</v>
      </c>
      <c r="AL39" s="83">
        <f>('[3]THÁNG 1.26 '!$B$19/1204)*8</f>
        <v>307266.37873754156</v>
      </c>
    </row>
    <row r="40" spans="1:38" s="68" customFormat="1" ht="33" customHeight="1" x14ac:dyDescent="0.3">
      <c r="A40" s="135" t="s">
        <v>41</v>
      </c>
      <c r="B40" s="66" t="s">
        <v>42</v>
      </c>
      <c r="C40" s="62">
        <f t="shared" si="4"/>
        <v>29720673.94363701</v>
      </c>
      <c r="D40" s="82">
        <v>36745.714285714283</v>
      </c>
      <c r="E40" s="82">
        <v>1655841</v>
      </c>
      <c r="F40" s="82">
        <v>44094.857142857145</v>
      </c>
      <c r="G40" s="82">
        <v>1114397</v>
      </c>
      <c r="H40" s="82">
        <v>33071.142857142855</v>
      </c>
      <c r="I40" s="82">
        <v>29396.571428571428</v>
      </c>
      <c r="J40" s="83">
        <v>32934.372208436725</v>
      </c>
      <c r="K40" s="68">
        <v>33071.142857142855</v>
      </c>
      <c r="L40" s="68">
        <v>40420.28571428571</v>
      </c>
      <c r="M40" s="82">
        <v>69816.857142857145</v>
      </c>
      <c r="N40" s="82">
        <v>3974817</v>
      </c>
      <c r="O40" s="82">
        <v>33071.142857142855</v>
      </c>
      <c r="P40" s="68">
        <v>69816.857142857145</v>
      </c>
      <c r="Q40" s="83">
        <v>464968</v>
      </c>
      <c r="R40" s="83">
        <v>5891142</v>
      </c>
      <c r="S40" s="83">
        <v>1258071</v>
      </c>
      <c r="T40" s="68">
        <v>36745.714285714283</v>
      </c>
      <c r="U40" s="82">
        <v>2659634</v>
      </c>
      <c r="V40" s="83">
        <v>55118.571428571428</v>
      </c>
      <c r="W40" s="82">
        <v>1388793</v>
      </c>
      <c r="X40" s="90">
        <v>2518190</v>
      </c>
      <c r="Y40" s="82">
        <v>22047.428571428572</v>
      </c>
      <c r="Z40" s="83">
        <v>47769.428571428572</v>
      </c>
      <c r="AA40" s="82">
        <v>22047.428571428572</v>
      </c>
      <c r="AB40" s="82">
        <v>1847769</v>
      </c>
      <c r="AC40" s="82">
        <v>900722</v>
      </c>
      <c r="AD40" s="82">
        <v>3006142</v>
      </c>
      <c r="AE40" s="82">
        <v>29396.571428571428</v>
      </c>
      <c r="AF40" s="82">
        <v>73491.428571428565</v>
      </c>
      <c r="AG40" s="68">
        <v>254397</v>
      </c>
      <c r="AH40" s="82">
        <v>793793</v>
      </c>
      <c r="AI40" s="68">
        <v>183728.57142857142</v>
      </c>
      <c r="AJ40" s="68">
        <v>40420.28571428571</v>
      </c>
      <c r="AK40" s="68">
        <v>29396.571428571428</v>
      </c>
      <c r="AL40" s="83">
        <v>1029397</v>
      </c>
    </row>
    <row r="41" spans="1:38" s="68" customFormat="1" ht="33" customHeight="1" x14ac:dyDescent="0.3">
      <c r="A41" s="135"/>
      <c r="B41" s="69" t="s">
        <v>43</v>
      </c>
      <c r="C41" s="62">
        <f t="shared" si="4"/>
        <v>9171000</v>
      </c>
      <c r="D41" s="82"/>
      <c r="E41" s="83">
        <v>195000</v>
      </c>
      <c r="F41" s="82">
        <v>400000</v>
      </c>
      <c r="G41" s="82">
        <v>70000</v>
      </c>
      <c r="H41" s="82">
        <v>80000</v>
      </c>
      <c r="I41" s="82"/>
      <c r="J41" s="82">
        <v>140000</v>
      </c>
      <c r="L41" s="68">
        <v>170000</v>
      </c>
      <c r="N41" s="82">
        <v>150000</v>
      </c>
      <c r="O41" s="82">
        <v>185000</v>
      </c>
      <c r="P41" s="68">
        <v>200000</v>
      </c>
      <c r="Q41" s="82">
        <v>70000</v>
      </c>
      <c r="R41" s="68">
        <v>1769000</v>
      </c>
      <c r="S41" s="82">
        <v>105000</v>
      </c>
      <c r="T41" s="68">
        <v>195000</v>
      </c>
      <c r="U41" s="82">
        <v>490000</v>
      </c>
      <c r="V41" s="82">
        <v>582000</v>
      </c>
      <c r="W41" s="82">
        <v>90000</v>
      </c>
      <c r="X41" s="82"/>
      <c r="Y41" s="82"/>
      <c r="Z41" s="82">
        <v>80000</v>
      </c>
      <c r="AA41" s="82">
        <v>145000</v>
      </c>
      <c r="AB41" s="82">
        <v>25000</v>
      </c>
      <c r="AC41" s="82"/>
      <c r="AD41" s="82"/>
      <c r="AE41" s="82">
        <v>105000</v>
      </c>
      <c r="AF41" s="82">
        <v>1260000</v>
      </c>
      <c r="AG41" s="68">
        <v>200000</v>
      </c>
      <c r="AH41" s="82">
        <v>2045000</v>
      </c>
      <c r="AI41" s="68">
        <v>40000</v>
      </c>
      <c r="AL41" s="82">
        <v>380000</v>
      </c>
    </row>
    <row r="42" spans="1:38" s="68" customFormat="1" ht="54.5" customHeight="1" x14ac:dyDescent="0.3">
      <c r="A42" s="135"/>
      <c r="B42" s="69" t="s">
        <v>103</v>
      </c>
      <c r="C42" s="62">
        <f t="shared" si="4"/>
        <v>37671000</v>
      </c>
      <c r="D42" s="82">
        <v>200000</v>
      </c>
      <c r="E42" s="82">
        <v>630000</v>
      </c>
      <c r="F42" s="82">
        <v>100000</v>
      </c>
      <c r="G42" s="67">
        <v>750000</v>
      </c>
      <c r="H42" s="67"/>
      <c r="I42" s="67"/>
      <c r="J42" s="82">
        <v>840000</v>
      </c>
      <c r="K42" s="82"/>
      <c r="L42" s="68">
        <v>600000</v>
      </c>
      <c r="M42" s="68">
        <v>170000</v>
      </c>
      <c r="N42" s="82">
        <v>640000</v>
      </c>
      <c r="O42" s="68">
        <v>1145000</v>
      </c>
      <c r="P42" s="68">
        <v>3350000</v>
      </c>
      <c r="Q42" s="68">
        <v>4345000</v>
      </c>
      <c r="R42" s="68">
        <v>1000000</v>
      </c>
      <c r="S42" s="82">
        <v>500000</v>
      </c>
      <c r="T42" s="82">
        <v>500000</v>
      </c>
      <c r="U42" s="68">
        <v>5150000</v>
      </c>
      <c r="V42" s="82">
        <v>645000</v>
      </c>
      <c r="W42" s="82">
        <v>200000</v>
      </c>
      <c r="X42" s="83">
        <v>840000</v>
      </c>
      <c r="Y42" s="68">
        <v>3600000</v>
      </c>
      <c r="Z42" s="82">
        <v>4595000</v>
      </c>
      <c r="AA42" s="82"/>
      <c r="AB42" s="82">
        <v>800000</v>
      </c>
      <c r="AC42" s="82"/>
      <c r="AD42" s="68">
        <v>100000</v>
      </c>
      <c r="AE42" s="82">
        <v>100000</v>
      </c>
      <c r="AF42" s="68">
        <v>250000</v>
      </c>
      <c r="AG42" s="82"/>
      <c r="AH42" s="68">
        <v>1275000</v>
      </c>
      <c r="AI42" s="68">
        <v>1546000</v>
      </c>
      <c r="AK42" s="82">
        <v>3800000</v>
      </c>
    </row>
    <row r="43" spans="1:38" s="93" customFormat="1" ht="13" x14ac:dyDescent="0.3">
      <c r="A43" s="91" t="s">
        <v>45</v>
      </c>
      <c r="B43" s="92"/>
      <c r="C43" s="62">
        <f t="shared" ref="C43:AL43" si="5">SUM(C30:C42)</f>
        <v>211559509.51293212</v>
      </c>
      <c r="D43" s="92">
        <f t="shared" si="5"/>
        <v>2050231.9601328906</v>
      </c>
      <c r="E43" s="92">
        <f t="shared" si="5"/>
        <v>8396094.2575081289</v>
      </c>
      <c r="F43" s="92">
        <f t="shared" si="5"/>
        <v>3542345.3440199499</v>
      </c>
      <c r="G43" s="92">
        <f t="shared" si="5"/>
        <v>3459185.9966777409</v>
      </c>
      <c r="H43" s="92">
        <f t="shared" si="5"/>
        <v>2444844.3677283982</v>
      </c>
      <c r="I43" s="92">
        <f t="shared" si="5"/>
        <v>2336966.0559111903</v>
      </c>
      <c r="J43" s="92">
        <f t="shared" si="5"/>
        <v>3582429.5252313311</v>
      </c>
      <c r="K43" s="92">
        <f t="shared" si="5"/>
        <v>2547023.9197774823</v>
      </c>
      <c r="L43" s="92">
        <f t="shared" si="5"/>
        <v>2703255.1561461794</v>
      </c>
      <c r="M43" s="92">
        <f t="shared" si="5"/>
        <v>5141755.0775714554</v>
      </c>
      <c r="N43" s="92">
        <f t="shared" si="5"/>
        <v>9765898.065851938</v>
      </c>
      <c r="O43" s="92">
        <f t="shared" si="5"/>
        <v>3750998.044485732</v>
      </c>
      <c r="P43" s="92">
        <f>SUM(P30:P42)</f>
        <v>8724073.676944172</v>
      </c>
      <c r="Q43" s="92">
        <f t="shared" si="5"/>
        <v>9575297.8942715302</v>
      </c>
      <c r="R43" s="92">
        <f t="shared" si="5"/>
        <v>13162294.047892708</v>
      </c>
      <c r="S43" s="92">
        <f t="shared" si="5"/>
        <v>4524470.8784317467</v>
      </c>
      <c r="T43" s="92">
        <f t="shared" si="5"/>
        <v>3682779.4684467274</v>
      </c>
      <c r="U43" s="92">
        <f t="shared" si="5"/>
        <v>22703751.346781459</v>
      </c>
      <c r="V43" s="92">
        <f t="shared" si="5"/>
        <v>5370756.5790255815</v>
      </c>
      <c r="W43" s="92">
        <f t="shared" si="5"/>
        <v>5304982.1316688582</v>
      </c>
      <c r="X43" s="92">
        <f t="shared" si="5"/>
        <v>9613023.669155784</v>
      </c>
      <c r="Y43" s="92">
        <f t="shared" si="5"/>
        <v>5257186.241931254</v>
      </c>
      <c r="Z43" s="92">
        <f t="shared" si="5"/>
        <v>8243073.2301359735</v>
      </c>
      <c r="AA43" s="92">
        <f t="shared" si="5"/>
        <v>2002528.6497639443</v>
      </c>
      <c r="AB43" s="92">
        <f t="shared" si="5"/>
        <v>6195409.527118721</v>
      </c>
      <c r="AC43" s="92">
        <f t="shared" si="5"/>
        <v>3013474.1631423947</v>
      </c>
      <c r="AD43" s="92">
        <f t="shared" si="5"/>
        <v>7560572.1127641369</v>
      </c>
      <c r="AE43" s="92">
        <f t="shared" si="5"/>
        <v>2305152.9429916646</v>
      </c>
      <c r="AF43" s="92">
        <f t="shared" si="5"/>
        <v>6427712.1011478547</v>
      </c>
      <c r="AG43" s="92">
        <f t="shared" si="5"/>
        <v>2834409.4729522699</v>
      </c>
      <c r="AH43" s="92">
        <f t="shared" si="5"/>
        <v>8090102.4361478779</v>
      </c>
      <c r="AI43" s="92">
        <f t="shared" si="5"/>
        <v>14507091.015469408</v>
      </c>
      <c r="AJ43" s="92">
        <f t="shared" si="5"/>
        <v>2972170.1888259184</v>
      </c>
      <c r="AK43" s="92">
        <f t="shared" si="5"/>
        <v>6185848.7260010485</v>
      </c>
      <c r="AL43" s="92">
        <f t="shared" si="5"/>
        <v>3582321.2408786826</v>
      </c>
    </row>
    <row r="44" spans="1:38" s="96" customFormat="1" ht="13" x14ac:dyDescent="0.3">
      <c r="A44" s="94" t="s">
        <v>46</v>
      </c>
      <c r="B44" s="95"/>
      <c r="C44" s="62">
        <f t="shared" ref="C44:AL44" si="6">C29+C43</f>
        <v>1994914610.5129325</v>
      </c>
      <c r="D44" s="95">
        <f t="shared" si="6"/>
        <v>39478081.960132889</v>
      </c>
      <c r="E44" s="95">
        <f t="shared" si="6"/>
        <v>104219203.25750813</v>
      </c>
      <c r="F44" s="95">
        <f t="shared" si="6"/>
        <v>46206236.344019949</v>
      </c>
      <c r="G44" s="95">
        <f t="shared" si="6"/>
        <v>30810220.996677741</v>
      </c>
      <c r="H44" s="95">
        <f t="shared" si="6"/>
        <v>44853596.367728397</v>
      </c>
      <c r="I44" s="95">
        <f t="shared" si="6"/>
        <v>34221576.055911191</v>
      </c>
      <c r="J44" s="95">
        <f t="shared" si="6"/>
        <v>27966951.525231332</v>
      </c>
      <c r="K44" s="95">
        <f t="shared" si="6"/>
        <v>35977694.919777483</v>
      </c>
      <c r="L44" s="95">
        <f t="shared" si="6"/>
        <v>40800237.156146176</v>
      </c>
      <c r="M44" s="95">
        <f t="shared" si="6"/>
        <v>64842476.077571452</v>
      </c>
      <c r="N44" s="95">
        <f t="shared" si="6"/>
        <v>87737589.065851942</v>
      </c>
      <c r="O44" s="95">
        <f t="shared" si="6"/>
        <v>39158212.044485733</v>
      </c>
      <c r="P44" s="95">
        <f t="shared" si="6"/>
        <v>62055263.676944174</v>
      </c>
      <c r="Q44" s="95">
        <f t="shared" si="6"/>
        <v>41208768.89427153</v>
      </c>
      <c r="R44" s="95">
        <f t="shared" si="6"/>
        <v>86467762.714559376</v>
      </c>
      <c r="S44" s="95">
        <f t="shared" si="6"/>
        <v>34827158.878431745</v>
      </c>
      <c r="T44" s="95">
        <f t="shared" si="6"/>
        <v>35660797.468446724</v>
      </c>
      <c r="U44" s="95">
        <f t="shared" si="6"/>
        <v>153189151.34678146</v>
      </c>
      <c r="V44" s="95">
        <f t="shared" si="6"/>
        <v>62918914.579025581</v>
      </c>
      <c r="W44" s="95">
        <f t="shared" si="6"/>
        <v>74835383.131668866</v>
      </c>
      <c r="X44" s="95">
        <f t="shared" si="6"/>
        <v>87824684.669155777</v>
      </c>
      <c r="Y44" s="95">
        <f t="shared" si="6"/>
        <v>25707264.241931252</v>
      </c>
      <c r="Z44" s="95">
        <f t="shared" si="6"/>
        <v>55342683.230135977</v>
      </c>
      <c r="AA44" s="95">
        <f t="shared" si="6"/>
        <v>28037983.649763945</v>
      </c>
      <c r="AB44" s="95">
        <f t="shared" si="6"/>
        <v>62682124.52711872</v>
      </c>
      <c r="AC44" s="95">
        <f t="shared" si="6"/>
        <v>22892378.163142394</v>
      </c>
      <c r="AD44" s="95">
        <f t="shared" si="6"/>
        <v>63900099.112764135</v>
      </c>
      <c r="AE44" s="95">
        <f t="shared" si="6"/>
        <v>32221399.609658331</v>
      </c>
      <c r="AF44" s="95">
        <f t="shared" si="6"/>
        <v>89237404.767814517</v>
      </c>
      <c r="AG44" s="95">
        <f t="shared" si="6"/>
        <v>33761843.472952269</v>
      </c>
      <c r="AH44" s="95">
        <f t="shared" si="6"/>
        <v>69244102.436147884</v>
      </c>
      <c r="AI44" s="95">
        <f t="shared" si="6"/>
        <v>167060433.0154694</v>
      </c>
      <c r="AJ44" s="95">
        <f t="shared" si="6"/>
        <v>35746989.18882592</v>
      </c>
      <c r="AK44" s="95">
        <f t="shared" si="6"/>
        <v>37605169.726001047</v>
      </c>
      <c r="AL44" s="95">
        <f t="shared" si="6"/>
        <v>36214774.240878686</v>
      </c>
    </row>
    <row r="45" spans="1:38" s="93" customFormat="1" ht="13" x14ac:dyDescent="0.3">
      <c r="A45" s="92" t="s">
        <v>47</v>
      </c>
      <c r="B45" s="92"/>
      <c r="C45" s="62">
        <f t="shared" ref="C45:AL45" si="7">C4-C29</f>
        <v>488828167.99999952</v>
      </c>
      <c r="D45" s="97">
        <f t="shared" si="7"/>
        <v>-80850</v>
      </c>
      <c r="E45" s="97">
        <f t="shared" si="7"/>
        <v>31563091</v>
      </c>
      <c r="F45" s="97">
        <f t="shared" si="7"/>
        <v>6382109</v>
      </c>
      <c r="G45" s="97">
        <f t="shared" si="7"/>
        <v>3046965</v>
      </c>
      <c r="H45" s="97">
        <f t="shared" si="7"/>
        <v>11128048</v>
      </c>
      <c r="I45" s="97">
        <f t="shared" si="7"/>
        <v>7093390</v>
      </c>
      <c r="J45" s="97">
        <f t="shared" si="7"/>
        <v>9267478</v>
      </c>
      <c r="K45" s="97">
        <f t="shared" si="7"/>
        <v>10802329</v>
      </c>
      <c r="L45" s="97">
        <f t="shared" si="7"/>
        <v>-235982</v>
      </c>
      <c r="M45" s="97">
        <f t="shared" si="7"/>
        <v>26427279</v>
      </c>
      <c r="N45" s="97">
        <f t="shared" si="7"/>
        <v>18696309</v>
      </c>
      <c r="O45" s="97">
        <f t="shared" si="7"/>
        <v>3432786</v>
      </c>
      <c r="P45" s="97">
        <f t="shared" si="7"/>
        <v>21796810</v>
      </c>
      <c r="Q45" s="97">
        <f t="shared" si="7"/>
        <v>19648529</v>
      </c>
      <c r="R45" s="97">
        <f t="shared" si="7"/>
        <v>32468531.333333328</v>
      </c>
      <c r="S45" s="97">
        <f t="shared" si="7"/>
        <v>12113312</v>
      </c>
      <c r="T45" s="97">
        <f t="shared" si="7"/>
        <v>14795982</v>
      </c>
      <c r="U45" s="97">
        <f t="shared" si="7"/>
        <v>46507469</v>
      </c>
      <c r="V45" s="97">
        <f t="shared" si="7"/>
        <v>13773842</v>
      </c>
      <c r="W45" s="97">
        <f t="shared" si="7"/>
        <v>5858599</v>
      </c>
      <c r="X45" s="97">
        <f t="shared" si="7"/>
        <v>17541339</v>
      </c>
      <c r="Y45" s="97">
        <f t="shared" si="7"/>
        <v>7118922</v>
      </c>
      <c r="Z45" s="97">
        <f t="shared" si="7"/>
        <v>10074390</v>
      </c>
      <c r="AA45" s="97">
        <f t="shared" si="7"/>
        <v>16742545</v>
      </c>
      <c r="AB45" s="97">
        <f t="shared" si="7"/>
        <v>16428285</v>
      </c>
      <c r="AC45" s="97">
        <f t="shared" si="7"/>
        <v>10208096</v>
      </c>
      <c r="AD45" s="97">
        <f t="shared" si="7"/>
        <v>19046473</v>
      </c>
      <c r="AE45" s="97">
        <f t="shared" si="7"/>
        <v>253753.33333333209</v>
      </c>
      <c r="AF45" s="97">
        <f t="shared" si="7"/>
        <v>8220707.3333333433</v>
      </c>
      <c r="AG45" s="97">
        <f t="shared" si="7"/>
        <v>8780566</v>
      </c>
      <c r="AH45" s="97">
        <f t="shared" si="7"/>
        <v>8460000</v>
      </c>
      <c r="AI45" s="97">
        <f t="shared" si="7"/>
        <v>43710658</v>
      </c>
      <c r="AJ45" s="97">
        <f t="shared" si="7"/>
        <v>11658181</v>
      </c>
      <c r="AK45" s="97">
        <f t="shared" si="7"/>
        <v>7950679</v>
      </c>
      <c r="AL45" s="97">
        <f t="shared" si="7"/>
        <v>8147547</v>
      </c>
    </row>
    <row r="46" spans="1:38" s="100" customFormat="1" ht="13" x14ac:dyDescent="0.3">
      <c r="A46" s="98" t="s">
        <v>48</v>
      </c>
      <c r="B46" s="98"/>
      <c r="C46" s="62">
        <f t="shared" ref="C46:AL46" si="8">C4-C44</f>
        <v>277268658.48706746</v>
      </c>
      <c r="D46" s="99">
        <f t="shared" si="8"/>
        <v>-2131081.9601328894</v>
      </c>
      <c r="E46" s="99">
        <f t="shared" si="8"/>
        <v>23166996.742491871</v>
      </c>
      <c r="F46" s="99">
        <f t="shared" si="8"/>
        <v>2839763.6559800506</v>
      </c>
      <c r="G46" s="99">
        <f t="shared" si="8"/>
        <v>-412220.99667774141</v>
      </c>
      <c r="H46" s="99">
        <f t="shared" si="8"/>
        <v>8683203.6322716027</v>
      </c>
      <c r="I46" s="99">
        <f t="shared" si="8"/>
        <v>4756423.9440888092</v>
      </c>
      <c r="J46" s="99">
        <f t="shared" si="8"/>
        <v>5685048.4747686684</v>
      </c>
      <c r="K46" s="99">
        <f t="shared" si="8"/>
        <v>8255305.0802225173</v>
      </c>
      <c r="L46" s="99">
        <f t="shared" si="8"/>
        <v>-2939237.1561461762</v>
      </c>
      <c r="M46" s="99">
        <f t="shared" si="8"/>
        <v>21285523.922428548</v>
      </c>
      <c r="N46" s="99">
        <f t="shared" si="8"/>
        <v>8930410.9341480583</v>
      </c>
      <c r="O46" s="99">
        <f t="shared" si="8"/>
        <v>-318212.04448573291</v>
      </c>
      <c r="P46" s="99">
        <f t="shared" si="8"/>
        <v>13072736.323055826</v>
      </c>
      <c r="Q46" s="99">
        <f t="shared" si="8"/>
        <v>10073231.10572847</v>
      </c>
      <c r="R46" s="99">
        <f t="shared" si="8"/>
        <v>19306237.285440624</v>
      </c>
      <c r="S46" s="99">
        <f t="shared" si="8"/>
        <v>7588841.1215682551</v>
      </c>
      <c r="T46" s="99">
        <f t="shared" si="8"/>
        <v>11113202.531553276</v>
      </c>
      <c r="U46" s="99">
        <f t="shared" si="8"/>
        <v>23803717.653218538</v>
      </c>
      <c r="V46" s="99">
        <f t="shared" si="8"/>
        <v>8403085.4209744185</v>
      </c>
      <c r="W46" s="99">
        <f t="shared" si="8"/>
        <v>553616.86833113432</v>
      </c>
      <c r="X46" s="99">
        <f t="shared" si="8"/>
        <v>7928315.3308442235</v>
      </c>
      <c r="Y46" s="99">
        <f t="shared" si="8"/>
        <v>1861735.7580687478</v>
      </c>
      <c r="Z46" s="99">
        <f t="shared" si="8"/>
        <v>1831316.7698640227</v>
      </c>
      <c r="AA46" s="99">
        <f t="shared" si="8"/>
        <v>14740016.350236055</v>
      </c>
      <c r="AB46" s="99">
        <f t="shared" si="8"/>
        <v>10232875.47288128</v>
      </c>
      <c r="AC46" s="99">
        <f t="shared" si="8"/>
        <v>7194621.8368576057</v>
      </c>
      <c r="AD46" s="99">
        <f t="shared" si="8"/>
        <v>11485900.887235865</v>
      </c>
      <c r="AE46" s="99">
        <f t="shared" si="8"/>
        <v>-2051399.6096583307</v>
      </c>
      <c r="AF46" s="99">
        <f t="shared" si="8"/>
        <v>1792995.232185483</v>
      </c>
      <c r="AG46" s="99">
        <f t="shared" si="8"/>
        <v>5946156.527047731</v>
      </c>
      <c r="AH46" s="99">
        <f t="shared" si="8"/>
        <v>369897.56385211647</v>
      </c>
      <c r="AI46" s="99">
        <f t="shared" si="8"/>
        <v>29203566.984530598</v>
      </c>
      <c r="AJ46" s="99">
        <f t="shared" si="8"/>
        <v>8686010.8111740798</v>
      </c>
      <c r="AK46" s="99">
        <f t="shared" si="8"/>
        <v>1764830.2739989534</v>
      </c>
      <c r="AL46" s="99">
        <f t="shared" si="8"/>
        <v>4565225.7591213137</v>
      </c>
    </row>
    <row r="47" spans="1:38" s="64" customFormat="1" ht="13" x14ac:dyDescent="0.3">
      <c r="A47" s="60" t="s">
        <v>29</v>
      </c>
      <c r="B47" s="60"/>
      <c r="C47" s="62">
        <f t="shared" ref="C47:AL47" si="9">C29</f>
        <v>1783355101.0000005</v>
      </c>
      <c r="D47" s="61">
        <f t="shared" si="9"/>
        <v>37427850</v>
      </c>
      <c r="E47" s="61">
        <f t="shared" si="9"/>
        <v>95823109</v>
      </c>
      <c r="F47" s="61">
        <f t="shared" si="9"/>
        <v>42663891</v>
      </c>
      <c r="G47" s="61">
        <f t="shared" si="9"/>
        <v>27351035</v>
      </c>
      <c r="H47" s="61">
        <f t="shared" si="9"/>
        <v>42408752</v>
      </c>
      <c r="I47" s="61">
        <f t="shared" si="9"/>
        <v>31884610</v>
      </c>
      <c r="J47" s="61">
        <f t="shared" si="9"/>
        <v>24384522</v>
      </c>
      <c r="K47" s="61">
        <f t="shared" si="9"/>
        <v>33430671</v>
      </c>
      <c r="L47" s="61">
        <f t="shared" si="9"/>
        <v>38096982</v>
      </c>
      <c r="M47" s="61">
        <f t="shared" si="9"/>
        <v>59700721</v>
      </c>
      <c r="N47" s="61">
        <f t="shared" si="9"/>
        <v>77971691</v>
      </c>
      <c r="O47" s="61">
        <f t="shared" si="9"/>
        <v>35407214</v>
      </c>
      <c r="P47" s="61">
        <f t="shared" si="9"/>
        <v>53331190</v>
      </c>
      <c r="Q47" s="61">
        <f t="shared" si="9"/>
        <v>31633471</v>
      </c>
      <c r="R47" s="61">
        <f t="shared" si="9"/>
        <v>73305468.666666672</v>
      </c>
      <c r="S47" s="61">
        <f t="shared" si="9"/>
        <v>30302688</v>
      </c>
      <c r="T47" s="61">
        <f t="shared" si="9"/>
        <v>31978018</v>
      </c>
      <c r="U47" s="61">
        <f t="shared" si="9"/>
        <v>130485400</v>
      </c>
      <c r="V47" s="61">
        <f t="shared" si="9"/>
        <v>57548158</v>
      </c>
      <c r="W47" s="61">
        <f t="shared" si="9"/>
        <v>69530401</v>
      </c>
      <c r="X47" s="61">
        <f t="shared" si="9"/>
        <v>78211661</v>
      </c>
      <c r="Y47" s="61">
        <f t="shared" si="9"/>
        <v>20450078</v>
      </c>
      <c r="Z47" s="61">
        <f t="shared" si="9"/>
        <v>47099610</v>
      </c>
      <c r="AA47" s="61">
        <f t="shared" si="9"/>
        <v>26035455</v>
      </c>
      <c r="AB47" s="61">
        <f t="shared" si="9"/>
        <v>56486715</v>
      </c>
      <c r="AC47" s="61">
        <f t="shared" si="9"/>
        <v>19878904</v>
      </c>
      <c r="AD47" s="61">
        <f t="shared" si="9"/>
        <v>56339527</v>
      </c>
      <c r="AE47" s="61">
        <f t="shared" si="9"/>
        <v>29916246.666666668</v>
      </c>
      <c r="AF47" s="61">
        <f t="shared" si="9"/>
        <v>82809692.666666657</v>
      </c>
      <c r="AG47" s="61">
        <f t="shared" si="9"/>
        <v>30927434</v>
      </c>
      <c r="AH47" s="61">
        <f t="shared" si="9"/>
        <v>61154000</v>
      </c>
      <c r="AI47" s="61">
        <f t="shared" si="9"/>
        <v>152553342</v>
      </c>
      <c r="AJ47" s="61">
        <f t="shared" si="9"/>
        <v>32774819</v>
      </c>
      <c r="AK47" s="61">
        <f t="shared" si="9"/>
        <v>31419321</v>
      </c>
      <c r="AL47" s="61">
        <f t="shared" si="9"/>
        <v>32632453</v>
      </c>
    </row>
    <row r="48" spans="1:38" s="104" customFormat="1" ht="13" x14ac:dyDescent="0.3">
      <c r="A48" s="101" t="s">
        <v>49</v>
      </c>
      <c r="B48" s="102"/>
      <c r="C48" s="103">
        <f t="shared" ref="C48:AL48" si="10">C46/C4</f>
        <v>0.12202741841730702</v>
      </c>
      <c r="D48" s="101">
        <f t="shared" si="10"/>
        <v>-5.7061663858754101E-2</v>
      </c>
      <c r="E48" s="101">
        <f t="shared" si="10"/>
        <v>0.18186425800041034</v>
      </c>
      <c r="F48" s="101">
        <f t="shared" si="10"/>
        <v>5.7900005219183023E-2</v>
      </c>
      <c r="G48" s="101">
        <f t="shared" si="10"/>
        <v>-1.3560793363962808E-2</v>
      </c>
      <c r="H48" s="101">
        <f t="shared" si="10"/>
        <v>0.16219130826406514</v>
      </c>
      <c r="I48" s="101">
        <f t="shared" si="10"/>
        <v>0.12202842485732487</v>
      </c>
      <c r="J48" s="101">
        <f t="shared" si="10"/>
        <v>0.16893642204827852</v>
      </c>
      <c r="K48" s="101">
        <f t="shared" si="10"/>
        <v>0.18663226731676616</v>
      </c>
      <c r="L48" s="101">
        <f t="shared" si="10"/>
        <v>-7.7632317058349651E-2</v>
      </c>
      <c r="M48" s="101">
        <f t="shared" si="10"/>
        <v>0.24713825843429021</v>
      </c>
      <c r="N48" s="101">
        <f t="shared" si="10"/>
        <v>9.2382287149295098E-2</v>
      </c>
      <c r="O48" s="101">
        <f t="shared" si="10"/>
        <v>-8.1928950691486334E-3</v>
      </c>
      <c r="P48" s="101">
        <f t="shared" si="10"/>
        <v>0.17400618042615038</v>
      </c>
      <c r="Q48" s="101">
        <f t="shared" si="10"/>
        <v>0.19642820298990815</v>
      </c>
      <c r="R48" s="101">
        <f t="shared" si="10"/>
        <v>0.18252346782234408</v>
      </c>
      <c r="S48" s="101">
        <f t="shared" si="10"/>
        <v>0.17891458698529458</v>
      </c>
      <c r="T48" s="101">
        <f t="shared" si="10"/>
        <v>0.23759358899288655</v>
      </c>
      <c r="U48" s="101">
        <f t="shared" si="10"/>
        <v>0.13448969886588222</v>
      </c>
      <c r="V48" s="101">
        <f t="shared" si="10"/>
        <v>0.1178189818145091</v>
      </c>
      <c r="W48" s="101">
        <f t="shared" si="10"/>
        <v>7.3434701127635905E-3</v>
      </c>
      <c r="X48" s="101">
        <f t="shared" si="10"/>
        <v>8.2799654641047521E-2</v>
      </c>
      <c r="Y48" s="101">
        <f t="shared" si="10"/>
        <v>6.7530043094372216E-2</v>
      </c>
      <c r="Z48" s="101">
        <f t="shared" si="10"/>
        <v>3.2030586802812865E-2</v>
      </c>
      <c r="AA48" s="101">
        <f t="shared" si="10"/>
        <v>0.34457002081060484</v>
      </c>
      <c r="AB48" s="101">
        <f t="shared" si="10"/>
        <v>0.14033978568033026</v>
      </c>
      <c r="AC48" s="101">
        <f t="shared" si="10"/>
        <v>0.23912725884460417</v>
      </c>
      <c r="AD48" s="101">
        <f t="shared" si="10"/>
        <v>0.15236119289040226</v>
      </c>
      <c r="AE48" s="101">
        <f t="shared" si="10"/>
        <v>-6.7994683780521398E-2</v>
      </c>
      <c r="AF48" s="101">
        <f t="shared" si="10"/>
        <v>1.9696664325164814E-2</v>
      </c>
      <c r="AG48" s="101">
        <f t="shared" si="10"/>
        <v>0.1497470667635673</v>
      </c>
      <c r="AH48" s="101">
        <f t="shared" si="10"/>
        <v>5.3135513524882414E-3</v>
      </c>
      <c r="AI48" s="101">
        <f t="shared" si="10"/>
        <v>0.14879736979033648</v>
      </c>
      <c r="AJ48" s="101">
        <f t="shared" si="10"/>
        <v>0.19548558078846984</v>
      </c>
      <c r="AK48" s="101">
        <f t="shared" si="10"/>
        <v>4.4826778613130641E-2</v>
      </c>
      <c r="AL48" s="101">
        <f t="shared" si="10"/>
        <v>0.11194766451989489</v>
      </c>
    </row>
    <row r="49" spans="1:38" s="104" customFormat="1" ht="13" x14ac:dyDescent="0.3">
      <c r="A49" s="101" t="s">
        <v>50</v>
      </c>
      <c r="B49" s="102"/>
      <c r="C49" s="103">
        <f t="shared" ref="C49:AL49" si="11">C45/C4</f>
        <v>0.21513588919926138</v>
      </c>
      <c r="D49" s="101">
        <f t="shared" si="11"/>
        <v>-2.1648325166680055E-3</v>
      </c>
      <c r="E49" s="101">
        <f t="shared" si="11"/>
        <v>0.24777480606219512</v>
      </c>
      <c r="F49" s="101">
        <f t="shared" si="11"/>
        <v>0.13012496431921053</v>
      </c>
      <c r="G49" s="101">
        <f t="shared" si="11"/>
        <v>0.10023570629646687</v>
      </c>
      <c r="H49" s="101">
        <f t="shared" si="11"/>
        <v>0.20785792202746523</v>
      </c>
      <c r="I49" s="101">
        <f t="shared" si="11"/>
        <v>0.18198445276822822</v>
      </c>
      <c r="J49" s="101">
        <f t="shared" si="11"/>
        <v>0.27539159633899918</v>
      </c>
      <c r="K49" s="101">
        <f t="shared" si="11"/>
        <v>0.24421425180295256</v>
      </c>
      <c r="L49" s="101">
        <f t="shared" si="11"/>
        <v>-6.2328517471804757E-3</v>
      </c>
      <c r="M49" s="101">
        <f t="shared" si="11"/>
        <v>0.30683725385472782</v>
      </c>
      <c r="N49" s="101">
        <f t="shared" si="11"/>
        <v>0.19340742541482187</v>
      </c>
      <c r="O49" s="101">
        <f t="shared" si="11"/>
        <v>8.8382749742533476E-2</v>
      </c>
      <c r="P49" s="101">
        <f t="shared" si="11"/>
        <v>0.29012897987434777</v>
      </c>
      <c r="Q49" s="101">
        <f t="shared" si="11"/>
        <v>0.38314669864669865</v>
      </c>
      <c r="R49" s="101">
        <f t="shared" si="11"/>
        <v>0.30696136416636721</v>
      </c>
      <c r="S49" s="101">
        <f t="shared" si="11"/>
        <v>0.28558355337608449</v>
      </c>
      <c r="T49" s="101">
        <f t="shared" si="11"/>
        <v>0.31632919998289649</v>
      </c>
      <c r="U49" s="101">
        <f t="shared" si="11"/>
        <v>0.26276464844467828</v>
      </c>
      <c r="V49" s="101">
        <f t="shared" si="11"/>
        <v>0.19312192591346289</v>
      </c>
      <c r="W49" s="101">
        <f t="shared" si="11"/>
        <v>7.7711589223892083E-2</v>
      </c>
      <c r="X49" s="101">
        <f t="shared" si="11"/>
        <v>0.18319362317629734</v>
      </c>
      <c r="Y49" s="101">
        <f t="shared" si="11"/>
        <v>0.25822198846530525</v>
      </c>
      <c r="Z49" s="101">
        <f t="shared" si="11"/>
        <v>0.17620579284290061</v>
      </c>
      <c r="AA49" s="101">
        <f t="shared" si="11"/>
        <v>0.39138213567721725</v>
      </c>
      <c r="AB49" s="101">
        <f t="shared" si="11"/>
        <v>0.22530734416786669</v>
      </c>
      <c r="AC49" s="101">
        <f t="shared" si="11"/>
        <v>0.33928593744806729</v>
      </c>
      <c r="AD49" s="101">
        <f t="shared" si="11"/>
        <v>0.25265265433900191</v>
      </c>
      <c r="AE49" s="101">
        <f t="shared" si="11"/>
        <v>8.4107833388575443E-3</v>
      </c>
      <c r="AF49" s="101">
        <f t="shared" si="11"/>
        <v>9.030727463938798E-2</v>
      </c>
      <c r="AG49" s="101">
        <f t="shared" si="11"/>
        <v>0.22112838722675532</v>
      </c>
      <c r="AH49" s="101">
        <f t="shared" si="11"/>
        <v>0.12152727899560434</v>
      </c>
      <c r="AI49" s="101">
        <f t="shared" si="11"/>
        <v>0.22271357966820202</v>
      </c>
      <c r="AJ49" s="101">
        <f t="shared" si="11"/>
        <v>0.26237663448337945</v>
      </c>
      <c r="AK49" s="101">
        <f t="shared" si="11"/>
        <v>0.201947650495301</v>
      </c>
      <c r="AL49" s="101">
        <f t="shared" si="11"/>
        <v>0.19979271701814616</v>
      </c>
    </row>
    <row r="50" spans="1:38" s="104" customFormat="1" ht="13" x14ac:dyDescent="0.3">
      <c r="A50" s="101" t="s">
        <v>51</v>
      </c>
      <c r="B50" s="102"/>
      <c r="C50" s="103">
        <f>C46/C47</f>
        <v>0.15547585465821784</v>
      </c>
      <c r="D50" s="101">
        <f t="shared" ref="D50:AL50" si="12">D46/D47</f>
        <v>-5.6938401755187364E-2</v>
      </c>
      <c r="E50" s="101">
        <f t="shared" si="12"/>
        <v>0.24176836865616488</v>
      </c>
      <c r="F50" s="101">
        <f t="shared" si="12"/>
        <v>6.6561290811005744E-2</v>
      </c>
      <c r="G50" s="101">
        <f t="shared" si="12"/>
        <v>-1.5071495344791939E-2</v>
      </c>
      <c r="H50" s="101">
        <f t="shared" si="12"/>
        <v>0.20475027494965198</v>
      </c>
      <c r="I50" s="101">
        <f t="shared" si="12"/>
        <v>0.14917616819176427</v>
      </c>
      <c r="J50" s="101">
        <f t="shared" si="12"/>
        <v>0.23314168203783811</v>
      </c>
      <c r="K50" s="101">
        <f t="shared" si="12"/>
        <v>0.24693806116612249</v>
      </c>
      <c r="L50" s="101">
        <f t="shared" si="12"/>
        <v>-7.7151443548630072E-2</v>
      </c>
      <c r="M50" s="101">
        <f t="shared" si="12"/>
        <v>0.35653713331918635</v>
      </c>
      <c r="N50" s="101">
        <f t="shared" si="12"/>
        <v>0.11453401637971476</v>
      </c>
      <c r="O50" s="101">
        <f t="shared" si="12"/>
        <v>-8.9872093434330332E-3</v>
      </c>
      <c r="P50" s="101">
        <f t="shared" si="12"/>
        <v>0.245123656964261</v>
      </c>
      <c r="Q50" s="101">
        <f t="shared" si="12"/>
        <v>0.31843584618736498</v>
      </c>
      <c r="R50" s="101">
        <f t="shared" si="12"/>
        <v>0.263366944330301</v>
      </c>
      <c r="S50" s="101">
        <f t="shared" si="12"/>
        <v>0.25043458592083501</v>
      </c>
      <c r="T50" s="101">
        <f t="shared" si="12"/>
        <v>0.34752630796421702</v>
      </c>
      <c r="U50" s="101">
        <f t="shared" si="12"/>
        <v>0.18242437585521856</v>
      </c>
      <c r="V50" s="101">
        <f t="shared" si="12"/>
        <v>0.14601832122888136</v>
      </c>
      <c r="W50" s="101">
        <f t="shared" si="12"/>
        <v>7.9622274626480923E-3</v>
      </c>
      <c r="X50" s="101">
        <f t="shared" si="12"/>
        <v>0.10136999047807237</v>
      </c>
      <c r="Y50" s="101">
        <f t="shared" si="12"/>
        <v>9.1038076141751037E-2</v>
      </c>
      <c r="Z50" s="101">
        <f t="shared" si="12"/>
        <v>3.8881782033100117E-2</v>
      </c>
      <c r="AA50" s="101">
        <f t="shared" si="12"/>
        <v>0.56615167087481488</v>
      </c>
      <c r="AB50" s="101">
        <f t="shared" si="12"/>
        <v>0.18115543580258262</v>
      </c>
      <c r="AC50" s="101">
        <f t="shared" si="12"/>
        <v>0.36192245995340616</v>
      </c>
      <c r="AD50" s="101">
        <f t="shared" si="12"/>
        <v>0.20386931695816091</v>
      </c>
      <c r="AE50" s="101">
        <f t="shared" si="12"/>
        <v>-6.8571423163990841E-2</v>
      </c>
      <c r="AF50" s="101">
        <f t="shared" si="12"/>
        <v>2.165199718108864E-2</v>
      </c>
      <c r="AG50" s="101">
        <f t="shared" si="12"/>
        <v>0.19226155416086996</v>
      </c>
      <c r="AH50" s="101">
        <f t="shared" si="12"/>
        <v>6.0486241922378991E-3</v>
      </c>
      <c r="AI50" s="101">
        <f t="shared" si="12"/>
        <v>0.19143184017909354</v>
      </c>
      <c r="AJ50" s="101">
        <f t="shared" si="12"/>
        <v>0.26502086285126641</v>
      </c>
      <c r="AK50" s="101">
        <f t="shared" si="12"/>
        <v>5.6170223220258435E-2</v>
      </c>
      <c r="AL50" s="101">
        <f t="shared" si="12"/>
        <v>0.13989833247048003</v>
      </c>
    </row>
    <row r="51" spans="1:38" s="105" customFormat="1" ht="13" x14ac:dyDescent="0.3">
      <c r="A51" s="101" t="s">
        <v>52</v>
      </c>
      <c r="B51" s="102"/>
      <c r="C51" s="103">
        <f t="shared" ref="C51:AL51" si="13">C46/C45</f>
        <v>0.56721088643784479</v>
      </c>
      <c r="D51" s="101">
        <f t="shared" si="13"/>
        <v>26.358465802509457</v>
      </c>
      <c r="E51" s="101">
        <f t="shared" si="13"/>
        <v>0.73399011340466846</v>
      </c>
      <c r="F51" s="101">
        <f t="shared" si="13"/>
        <v>0.44495693445223994</v>
      </c>
      <c r="G51" s="101">
        <f t="shared" si="13"/>
        <v>-0.13528904883309831</v>
      </c>
      <c r="H51" s="101">
        <f t="shared" si="13"/>
        <v>0.78029890168263139</v>
      </c>
      <c r="I51" s="101">
        <f t="shared" si="13"/>
        <v>0.67054313157584866</v>
      </c>
      <c r="J51" s="101">
        <f t="shared" si="13"/>
        <v>0.6134407305599936</v>
      </c>
      <c r="K51" s="101">
        <f t="shared" si="13"/>
        <v>0.76421529840671554</v>
      </c>
      <c r="L51" s="101">
        <f t="shared" si="13"/>
        <v>12.455344713351765</v>
      </c>
      <c r="M51" s="101">
        <f t="shared" si="13"/>
        <v>0.80543759054530539</v>
      </c>
      <c r="N51" s="101">
        <f t="shared" si="13"/>
        <v>0.47765636169941661</v>
      </c>
      <c r="O51" s="101">
        <f t="shared" si="13"/>
        <v>-9.2697897417937769E-2</v>
      </c>
      <c r="P51" s="101">
        <f t="shared" si="13"/>
        <v>0.59975456606062194</v>
      </c>
      <c r="Q51" s="101">
        <f t="shared" si="13"/>
        <v>0.5126710048232348</v>
      </c>
      <c r="R51" s="101">
        <f t="shared" si="13"/>
        <v>0.59461381505791011</v>
      </c>
      <c r="S51" s="101">
        <f t="shared" si="13"/>
        <v>0.6264877121606589</v>
      </c>
      <c r="T51" s="101">
        <f t="shared" si="13"/>
        <v>0.75109597535015082</v>
      </c>
      <c r="U51" s="101">
        <f t="shared" si="13"/>
        <v>0.51182569520647403</v>
      </c>
      <c r="V51" s="101">
        <f t="shared" si="13"/>
        <v>0.6100756361931855</v>
      </c>
      <c r="W51" s="101">
        <f t="shared" si="13"/>
        <v>9.4496460387736778E-2</v>
      </c>
      <c r="X51" s="101">
        <f t="shared" si="13"/>
        <v>0.45197891283237973</v>
      </c>
      <c r="Y51" s="101">
        <f t="shared" si="13"/>
        <v>0.26151933650470505</v>
      </c>
      <c r="Z51" s="101">
        <f t="shared" si="13"/>
        <v>0.1817794198819008</v>
      </c>
      <c r="AA51" s="101">
        <f t="shared" si="13"/>
        <v>0.88039281663785607</v>
      </c>
      <c r="AB51" s="101">
        <f t="shared" si="13"/>
        <v>0.62288154076224511</v>
      </c>
      <c r="AC51" s="101">
        <f t="shared" si="13"/>
        <v>0.70479566775798408</v>
      </c>
      <c r="AD51" s="101">
        <f t="shared" si="13"/>
        <v>0.60304608035492269</v>
      </c>
      <c r="AE51" s="101">
        <f t="shared" si="13"/>
        <v>-8.0842272403318471</v>
      </c>
      <c r="AF51" s="101">
        <f t="shared" si="13"/>
        <v>0.21810717247106484</v>
      </c>
      <c r="AG51" s="101">
        <f t="shared" si="13"/>
        <v>0.6771951292260352</v>
      </c>
      <c r="AH51" s="101">
        <f t="shared" si="13"/>
        <v>4.3723116294576411E-2</v>
      </c>
      <c r="AI51" s="101">
        <f t="shared" si="13"/>
        <v>0.66811089836557935</v>
      </c>
      <c r="AJ51" s="101">
        <f t="shared" si="13"/>
        <v>0.74505712436391924</v>
      </c>
      <c r="AK51" s="101">
        <f t="shared" si="13"/>
        <v>0.22197227104741035</v>
      </c>
      <c r="AL51" s="101">
        <f t="shared" si="13"/>
        <v>0.56031904561229451</v>
      </c>
    </row>
    <row r="52" spans="1:38" s="108" customFormat="1" ht="13" x14ac:dyDescent="0.3">
      <c r="A52" s="106" t="s">
        <v>53</v>
      </c>
      <c r="B52" s="107"/>
      <c r="C52" s="87">
        <f>C44/C45</f>
        <v>4.0810140272295738</v>
      </c>
      <c r="D52" s="106">
        <f t="shared" ref="D52:AL52" si="14">D44/D45</f>
        <v>-488.28796487486568</v>
      </c>
      <c r="E52" s="106">
        <f t="shared" si="14"/>
        <v>3.3019327307806492</v>
      </c>
      <c r="F52" s="106">
        <f t="shared" si="14"/>
        <v>7.2399635205258868</v>
      </c>
      <c r="G52" s="106">
        <f t="shared" si="14"/>
        <v>10.111773846000116</v>
      </c>
      <c r="H52" s="106">
        <f t="shared" si="14"/>
        <v>4.0306796275257257</v>
      </c>
      <c r="I52" s="106">
        <f t="shared" si="14"/>
        <v>4.8244317675908404</v>
      </c>
      <c r="J52" s="106">
        <f t="shared" si="14"/>
        <v>3.0177521355034598</v>
      </c>
      <c r="K52" s="106">
        <f t="shared" si="14"/>
        <v>3.3305498212262821</v>
      </c>
      <c r="L52" s="106">
        <f t="shared" si="14"/>
        <v>-172.89554777968732</v>
      </c>
      <c r="M52" s="106">
        <f t="shared" si="14"/>
        <v>2.4536190834316107</v>
      </c>
      <c r="N52" s="106">
        <f t="shared" si="14"/>
        <v>4.6927759412754648</v>
      </c>
      <c r="O52" s="106">
        <f t="shared" si="14"/>
        <v>11.407122973726219</v>
      </c>
      <c r="P52" s="106">
        <f t="shared" si="14"/>
        <v>2.8469883288859319</v>
      </c>
      <c r="Q52" s="106">
        <f t="shared" si="14"/>
        <v>2.0972953697588013</v>
      </c>
      <c r="R52" s="106">
        <f t="shared" si="14"/>
        <v>2.6631251603853281</v>
      </c>
      <c r="S52" s="106">
        <f t="shared" si="14"/>
        <v>2.8751144920919849</v>
      </c>
      <c r="T52" s="106">
        <f t="shared" si="14"/>
        <v>2.410167670415301</v>
      </c>
      <c r="U52" s="106">
        <f t="shared" si="14"/>
        <v>3.2938612795029001</v>
      </c>
      <c r="V52" s="106">
        <f t="shared" si="14"/>
        <v>4.5680003138576426</v>
      </c>
      <c r="W52" s="106">
        <f t="shared" si="14"/>
        <v>12.773597088940354</v>
      </c>
      <c r="X52" s="106">
        <f t="shared" si="14"/>
        <v>5.0067263775676292</v>
      </c>
      <c r="Y52" s="106">
        <f t="shared" si="14"/>
        <v>3.6111175599242769</v>
      </c>
      <c r="Z52" s="106">
        <f t="shared" si="14"/>
        <v>5.4934028988490597</v>
      </c>
      <c r="AA52" s="106">
        <f t="shared" si="14"/>
        <v>1.6746548179959466</v>
      </c>
      <c r="AB52" s="106">
        <f t="shared" si="14"/>
        <v>3.8155001892844398</v>
      </c>
      <c r="AC52" s="106">
        <f t="shared" si="14"/>
        <v>2.2425708146888894</v>
      </c>
      <c r="AD52" s="106">
        <f t="shared" si="14"/>
        <v>3.3549570627991931</v>
      </c>
      <c r="AE52" s="106">
        <f t="shared" si="14"/>
        <v>126.97921712552277</v>
      </c>
      <c r="AF52" s="106">
        <f t="shared" si="14"/>
        <v>10.855197874028976</v>
      </c>
      <c r="AG52" s="106">
        <f t="shared" si="14"/>
        <v>3.8450645975387316</v>
      </c>
      <c r="AH52" s="106">
        <f t="shared" si="14"/>
        <v>8.1848820846510506</v>
      </c>
      <c r="AI52" s="106">
        <f t="shared" si="14"/>
        <v>3.821961065318884</v>
      </c>
      <c r="AJ52" s="106">
        <f t="shared" si="14"/>
        <v>3.0662578655131467</v>
      </c>
      <c r="AK52" s="106">
        <f t="shared" si="14"/>
        <v>4.7298060613440747</v>
      </c>
      <c r="AL52" s="106">
        <f t="shared" si="14"/>
        <v>4.4448684052855034</v>
      </c>
    </row>
    <row r="53" spans="1:38" s="110" customFormat="1" x14ac:dyDescent="0.3">
      <c r="A53" s="109" t="s">
        <v>54</v>
      </c>
      <c r="C53" s="111">
        <f t="shared" ref="C53:AL53" si="15">C47/C4</f>
        <v>0.78486411080073859</v>
      </c>
      <c r="D53" s="112">
        <f t="shared" si="15"/>
        <v>1.0021648325166681</v>
      </c>
      <c r="E53" s="112">
        <f t="shared" si="15"/>
        <v>0.75222519393780485</v>
      </c>
      <c r="F53" s="112">
        <f t="shared" si="15"/>
        <v>0.8698750356807895</v>
      </c>
      <c r="G53" s="112">
        <f t="shared" si="15"/>
        <v>0.89976429370353317</v>
      </c>
      <c r="H53" s="112">
        <f t="shared" si="15"/>
        <v>0.79214207797253477</v>
      </c>
      <c r="I53" s="112">
        <f t="shared" si="15"/>
        <v>0.81801554723177172</v>
      </c>
      <c r="J53" s="112">
        <f t="shared" si="15"/>
        <v>0.72460840366100088</v>
      </c>
      <c r="K53" s="112">
        <f t="shared" si="15"/>
        <v>0.75578574819704747</v>
      </c>
      <c r="L53" s="112">
        <f t="shared" si="15"/>
        <v>1.0062328517471806</v>
      </c>
      <c r="M53" s="112">
        <f t="shared" si="15"/>
        <v>0.69316274614527218</v>
      </c>
      <c r="N53" s="112">
        <f t="shared" si="15"/>
        <v>0.80659257458517819</v>
      </c>
      <c r="O53" s="112">
        <f t="shared" si="15"/>
        <v>0.91161725025746654</v>
      </c>
      <c r="P53" s="112">
        <f t="shared" si="15"/>
        <v>0.70987102012565217</v>
      </c>
      <c r="Q53" s="112">
        <f t="shared" si="15"/>
        <v>0.61685330135330141</v>
      </c>
      <c r="R53" s="112">
        <f t="shared" si="15"/>
        <v>0.69303863583363279</v>
      </c>
      <c r="S53" s="112">
        <f t="shared" si="15"/>
        <v>0.71441644662391546</v>
      </c>
      <c r="T53" s="112">
        <f t="shared" si="15"/>
        <v>0.68367080001710356</v>
      </c>
      <c r="U53" s="112">
        <f t="shared" si="15"/>
        <v>0.73723535155532172</v>
      </c>
      <c r="V53" s="112">
        <f t="shared" si="15"/>
        <v>0.80687807408653711</v>
      </c>
      <c r="W53" s="112">
        <f t="shared" si="15"/>
        <v>0.9222884107761079</v>
      </c>
      <c r="X53" s="112">
        <f t="shared" si="15"/>
        <v>0.81680637682370261</v>
      </c>
      <c r="Y53" s="112">
        <f t="shared" si="15"/>
        <v>0.7417780115346948</v>
      </c>
      <c r="Z53" s="112">
        <f t="shared" si="15"/>
        <v>0.82379420715709939</v>
      </c>
      <c r="AA53" s="112">
        <f t="shared" si="15"/>
        <v>0.60861786432278275</v>
      </c>
      <c r="AB53" s="112">
        <f t="shared" si="15"/>
        <v>0.77469265583213331</v>
      </c>
      <c r="AC53" s="112">
        <f t="shared" si="15"/>
        <v>0.66071406255193277</v>
      </c>
      <c r="AD53" s="112">
        <f t="shared" si="15"/>
        <v>0.74734734566099803</v>
      </c>
      <c r="AE53" s="112">
        <f t="shared" si="15"/>
        <v>0.99158921666114241</v>
      </c>
      <c r="AF53" s="112">
        <f t="shared" si="15"/>
        <v>0.90969272536061208</v>
      </c>
      <c r="AG53" s="112">
        <f t="shared" si="15"/>
        <v>0.77887161277324468</v>
      </c>
      <c r="AH53" s="112">
        <f t="shared" si="15"/>
        <v>0.87847272100439566</v>
      </c>
      <c r="AI53" s="112">
        <f t="shared" si="15"/>
        <v>0.77728642033179796</v>
      </c>
      <c r="AJ53" s="112">
        <f t="shared" si="15"/>
        <v>0.73762336551662055</v>
      </c>
      <c r="AK53" s="112">
        <f t="shared" si="15"/>
        <v>0.79805234950469905</v>
      </c>
      <c r="AL53" s="112">
        <f t="shared" si="15"/>
        <v>0.80020728298185384</v>
      </c>
    </row>
    <row r="54" spans="1:38" s="110" customFormat="1" x14ac:dyDescent="0.3">
      <c r="A54" s="109" t="s">
        <v>55</v>
      </c>
      <c r="C54" s="111">
        <f t="shared" ref="C54:AL54" si="16">C43/C4</f>
        <v>9.3108470781954389E-2</v>
      </c>
      <c r="D54" s="112">
        <f t="shared" si="16"/>
        <v>5.489683134208613E-2</v>
      </c>
      <c r="E54" s="112">
        <f t="shared" si="16"/>
        <v>6.5910548061784785E-2</v>
      </c>
      <c r="F54" s="112">
        <f t="shared" si="16"/>
        <v>7.2224959100027519E-2</v>
      </c>
      <c r="G54" s="112">
        <f t="shared" si="16"/>
        <v>0.11379649966042966</v>
      </c>
      <c r="H54" s="112">
        <f t="shared" si="16"/>
        <v>4.5666613763400095E-2</v>
      </c>
      <c r="I54" s="112">
        <f t="shared" si="16"/>
        <v>5.9956027910903341E-2</v>
      </c>
      <c r="J54" s="112">
        <f t="shared" si="16"/>
        <v>0.10645517429072064</v>
      </c>
      <c r="K54" s="112">
        <f t="shared" si="16"/>
        <v>5.7581984486186386E-2</v>
      </c>
      <c r="L54" s="112">
        <f t="shared" si="16"/>
        <v>7.1399465311169266E-2</v>
      </c>
      <c r="M54" s="112">
        <f t="shared" si="16"/>
        <v>5.9698995420437669E-2</v>
      </c>
      <c r="N54" s="112">
        <f t="shared" si="16"/>
        <v>0.10102513826552673</v>
      </c>
      <c r="O54" s="112">
        <f t="shared" si="16"/>
        <v>9.6575644811682085E-2</v>
      </c>
      <c r="P54" s="112">
        <f t="shared" si="16"/>
        <v>0.11612279944819737</v>
      </c>
      <c r="Q54" s="112">
        <f t="shared" si="16"/>
        <v>0.1867184956567905</v>
      </c>
      <c r="R54" s="112">
        <f t="shared" si="16"/>
        <v>0.12443789634402319</v>
      </c>
      <c r="S54" s="112">
        <f t="shared" si="16"/>
        <v>0.10666896639078996</v>
      </c>
      <c r="T54" s="112">
        <f t="shared" si="16"/>
        <v>7.8735610990009988E-2</v>
      </c>
      <c r="U54" s="112">
        <f t="shared" si="16"/>
        <v>0.12827494957879607</v>
      </c>
      <c r="V54" s="112">
        <f t="shared" si="16"/>
        <v>7.5302944098953786E-2</v>
      </c>
      <c r="W54" s="112">
        <f t="shared" si="16"/>
        <v>7.0368119111128391E-2</v>
      </c>
      <c r="X54" s="112">
        <f t="shared" si="16"/>
        <v>0.1003939685352499</v>
      </c>
      <c r="Y54" s="112">
        <f t="shared" si="16"/>
        <v>0.19069194537093309</v>
      </c>
      <c r="Z54" s="112">
        <f t="shared" si="16"/>
        <v>0.14417520604008768</v>
      </c>
      <c r="AA54" s="112">
        <f t="shared" si="16"/>
        <v>4.6812114866612381E-2</v>
      </c>
      <c r="AB54" s="112">
        <f t="shared" si="16"/>
        <v>8.4967558487536454E-2</v>
      </c>
      <c r="AC54" s="112">
        <f t="shared" si="16"/>
        <v>0.10015867860346311</v>
      </c>
      <c r="AD54" s="112">
        <f t="shared" si="16"/>
        <v>0.1002914614485997</v>
      </c>
      <c r="AE54" s="112">
        <f t="shared" si="16"/>
        <v>7.6405467119379011E-2</v>
      </c>
      <c r="AF54" s="112">
        <f t="shared" si="16"/>
        <v>7.0610610314223096E-2</v>
      </c>
      <c r="AG54" s="112">
        <f t="shared" si="16"/>
        <v>7.1381320463188028E-2</v>
      </c>
      <c r="AH54" s="112">
        <f t="shared" si="16"/>
        <v>0.11621372764311601</v>
      </c>
      <c r="AI54" s="112">
        <f t="shared" si="16"/>
        <v>7.3916209877865569E-2</v>
      </c>
      <c r="AJ54" s="112">
        <f t="shared" si="16"/>
        <v>6.6891053694909608E-2</v>
      </c>
      <c r="AK54" s="112">
        <f t="shared" si="16"/>
        <v>0.15712087188217039</v>
      </c>
      <c r="AL54" s="112">
        <f t="shared" si="16"/>
        <v>8.7845052498251169E-2</v>
      </c>
    </row>
    <row r="55" spans="1:38" s="110" customFormat="1" x14ac:dyDescent="0.3">
      <c r="A55" s="113" t="s">
        <v>56</v>
      </c>
      <c r="C55" s="111">
        <f t="shared" ref="C55:AL55" si="17">C44/C4</f>
        <v>0.87797258158269298</v>
      </c>
      <c r="D55" s="112">
        <f t="shared" si="17"/>
        <v>1.057061663858754</v>
      </c>
      <c r="E55" s="112">
        <f t="shared" si="17"/>
        <v>0.81813574199958972</v>
      </c>
      <c r="F55" s="112">
        <f t="shared" si="17"/>
        <v>0.94209999478081696</v>
      </c>
      <c r="G55" s="112">
        <f t="shared" si="17"/>
        <v>1.0135607933639628</v>
      </c>
      <c r="H55" s="112">
        <f t="shared" si="17"/>
        <v>0.83780869173593486</v>
      </c>
      <c r="I55" s="112">
        <f t="shared" si="17"/>
        <v>0.8779715751426751</v>
      </c>
      <c r="J55" s="112">
        <f t="shared" si="17"/>
        <v>0.83106357795172148</v>
      </c>
      <c r="K55" s="112">
        <f t="shared" si="17"/>
        <v>0.81336773268323381</v>
      </c>
      <c r="L55" s="112">
        <f t="shared" si="17"/>
        <v>1.0776323170583497</v>
      </c>
      <c r="M55" s="112">
        <f t="shared" si="17"/>
        <v>0.75286174156570973</v>
      </c>
      <c r="N55" s="112">
        <f t="shared" si="17"/>
        <v>0.90761771285070492</v>
      </c>
      <c r="O55" s="112">
        <f t="shared" si="17"/>
        <v>1.0081928950691486</v>
      </c>
      <c r="P55" s="112">
        <f t="shared" si="17"/>
        <v>0.82599381957384965</v>
      </c>
      <c r="Q55" s="112">
        <f t="shared" si="17"/>
        <v>0.80357179701009185</v>
      </c>
      <c r="R55" s="112">
        <f t="shared" si="17"/>
        <v>0.81747653217765592</v>
      </c>
      <c r="S55" s="112">
        <f t="shared" si="17"/>
        <v>0.82108541301470539</v>
      </c>
      <c r="T55" s="112">
        <f t="shared" si="17"/>
        <v>0.76240641100711348</v>
      </c>
      <c r="U55" s="112">
        <f t="shared" si="17"/>
        <v>0.86551030113411775</v>
      </c>
      <c r="V55" s="112">
        <f t="shared" si="17"/>
        <v>0.88218101818549088</v>
      </c>
      <c r="W55" s="112">
        <f t="shared" si="17"/>
        <v>0.99265652988723641</v>
      </c>
      <c r="X55" s="112">
        <f t="shared" si="17"/>
        <v>0.91720034535895245</v>
      </c>
      <c r="Y55" s="112">
        <f t="shared" si="17"/>
        <v>0.93246995690562773</v>
      </c>
      <c r="Z55" s="112">
        <f t="shared" si="17"/>
        <v>0.9679694131971871</v>
      </c>
      <c r="AA55" s="112">
        <f t="shared" si="17"/>
        <v>0.65542997918939516</v>
      </c>
      <c r="AB55" s="112">
        <f t="shared" si="17"/>
        <v>0.85966021431966977</v>
      </c>
      <c r="AC55" s="112">
        <f t="shared" si="17"/>
        <v>0.76087274115539583</v>
      </c>
      <c r="AD55" s="112">
        <f t="shared" si="17"/>
        <v>0.84763880710959771</v>
      </c>
      <c r="AE55" s="112">
        <f t="shared" si="17"/>
        <v>1.0679946837805214</v>
      </c>
      <c r="AF55" s="112">
        <f t="shared" si="17"/>
        <v>0.98030333567483519</v>
      </c>
      <c r="AG55" s="112">
        <f t="shared" si="17"/>
        <v>0.8502529332364327</v>
      </c>
      <c r="AH55" s="112">
        <f t="shared" si="17"/>
        <v>0.99468644864751177</v>
      </c>
      <c r="AI55" s="112">
        <f t="shared" si="17"/>
        <v>0.85120263020966358</v>
      </c>
      <c r="AJ55" s="112">
        <f t="shared" si="17"/>
        <v>0.80451441921153022</v>
      </c>
      <c r="AK55" s="112">
        <f t="shared" si="17"/>
        <v>0.95517322138686933</v>
      </c>
      <c r="AL55" s="112">
        <f t="shared" si="17"/>
        <v>0.88805233548010509</v>
      </c>
    </row>
    <row r="56" spans="1:38" s="110" customFormat="1" x14ac:dyDescent="0.3">
      <c r="A56" s="113" t="s">
        <v>104</v>
      </c>
      <c r="C56" s="111">
        <f t="shared" ref="C56:AL56" si="18">SUM(C30:C38)/C43</f>
        <v>0.54678450650832655</v>
      </c>
      <c r="D56" s="112">
        <f t="shared" si="18"/>
        <v>0.69719100093074304</v>
      </c>
      <c r="E56" s="112">
        <f t="shared" si="18"/>
        <v>0.60388444441840905</v>
      </c>
      <c r="F56" s="112">
        <f t="shared" si="18"/>
        <v>0.71629123429601171</v>
      </c>
      <c r="G56" s="112">
        <f t="shared" si="18"/>
        <v>0.35196795405321601</v>
      </c>
      <c r="H56" s="112">
        <f t="shared" si="18"/>
        <v>0.81236195440811809</v>
      </c>
      <c r="I56" s="112">
        <f t="shared" si="18"/>
        <v>0.85594016253914007</v>
      </c>
      <c r="J56" s="112">
        <f t="shared" si="18"/>
        <v>0.62075763424810415</v>
      </c>
      <c r="K56" s="112">
        <f t="shared" si="18"/>
        <v>0.8512986800022021</v>
      </c>
      <c r="L56" s="112">
        <f t="shared" si="18"/>
        <v>0.5439159512281958</v>
      </c>
      <c r="M56" s="112">
        <f t="shared" si="18"/>
        <v>0.81143121521407313</v>
      </c>
      <c r="N56" s="112">
        <f t="shared" si="18"/>
        <v>0.4373712880831368</v>
      </c>
      <c r="O56" s="112">
        <f t="shared" si="18"/>
        <v>0.54445568921346932</v>
      </c>
      <c r="P56" s="112">
        <f t="shared" si="18"/>
        <v>0.50142849914948595</v>
      </c>
      <c r="Q56" s="112">
        <f t="shared" si="18"/>
        <v>0.42216846766434635</v>
      </c>
      <c r="R56" s="112">
        <f t="shared" si="18"/>
        <v>0.28952420314172761</v>
      </c>
      <c r="S56" s="112">
        <f t="shared" si="18"/>
        <v>0.5118223245487391</v>
      </c>
      <c r="T56" s="112">
        <f t="shared" si="18"/>
        <v>0.69701452469043435</v>
      </c>
      <c r="U56" s="112">
        <f t="shared" si="18"/>
        <v>0.57015256421988592</v>
      </c>
      <c r="V56" s="112">
        <f t="shared" si="18"/>
        <v>0.65400721402670536</v>
      </c>
      <c r="W56" s="112">
        <f t="shared" si="18"/>
        <v>0.56770339643846435</v>
      </c>
      <c r="X56" s="112">
        <f t="shared" si="18"/>
        <v>0.55477180921281422</v>
      </c>
      <c r="Y56" s="112">
        <f t="shared" si="18"/>
        <v>0.26719407771839737</v>
      </c>
      <c r="Z56" s="112">
        <f t="shared" si="18"/>
        <v>0.36648903288539708</v>
      </c>
      <c r="AA56" s="112">
        <f t="shared" si="18"/>
        <v>0.80150235919399138</v>
      </c>
      <c r="AB56" s="112">
        <f t="shared" si="18"/>
        <v>0.48799561165995547</v>
      </c>
      <c r="AC56" s="112">
        <f t="shared" si="18"/>
        <v>0.61188315609259025</v>
      </c>
      <c r="AD56" s="112">
        <f t="shared" si="18"/>
        <v>0.49772433943876376</v>
      </c>
      <c r="AE56" s="112">
        <f t="shared" si="18"/>
        <v>0.76502081919860199</v>
      </c>
      <c r="AF56" s="112">
        <f t="shared" si="18"/>
        <v>0.63413772452637929</v>
      </c>
      <c r="AG56" s="112">
        <f t="shared" si="18"/>
        <v>0.73127969476329513</v>
      </c>
      <c r="AH56" s="112">
        <f t="shared" si="18"/>
        <v>0.41554191744863894</v>
      </c>
      <c r="AI56" s="112">
        <f t="shared" si="18"/>
        <v>0.74563174418611711</v>
      </c>
      <c r="AJ56" s="112">
        <f t="shared" si="18"/>
        <v>0.84425132914031853</v>
      </c>
      <c r="AK56" s="112">
        <f t="shared" si="18"/>
        <v>0.33126994638934026</v>
      </c>
      <c r="AL56" s="112">
        <f t="shared" si="18"/>
        <v>0.52079580157460337</v>
      </c>
    </row>
    <row r="57" spans="1:38" s="110" customFormat="1" x14ac:dyDescent="0.3">
      <c r="A57" s="113" t="s">
        <v>58</v>
      </c>
      <c r="C57" s="111">
        <f>C40/C43</f>
        <v>0.14048375330450583</v>
      </c>
      <c r="D57" s="112">
        <f t="shared" ref="D57:AL57" si="19">D40/D43</f>
        <v>1.7922710698223883E-2</v>
      </c>
      <c r="E57" s="112">
        <f t="shared" si="19"/>
        <v>0.19721562779256316</v>
      </c>
      <c r="F57" s="112">
        <f t="shared" si="19"/>
        <v>1.2447927251727834E-2</v>
      </c>
      <c r="G57" s="112">
        <f t="shared" si="19"/>
        <v>0.32215584853496898</v>
      </c>
      <c r="H57" s="112">
        <f t="shared" si="19"/>
        <v>1.3526890829403004E-2</v>
      </c>
      <c r="I57" s="112">
        <f t="shared" si="19"/>
        <v>1.2578946687828383E-2</v>
      </c>
      <c r="J57" s="112">
        <f t="shared" si="19"/>
        <v>9.1933063795051288E-3</v>
      </c>
      <c r="K57" s="112">
        <f t="shared" si="19"/>
        <v>1.2984229398219423E-2</v>
      </c>
      <c r="L57" s="112">
        <f t="shared" si="19"/>
        <v>1.4952449317403603E-2</v>
      </c>
      <c r="M57" s="112">
        <f t="shared" si="19"/>
        <v>1.3578409723831677E-2</v>
      </c>
      <c r="N57" s="112">
        <f t="shared" si="19"/>
        <v>0.40700988001283761</v>
      </c>
      <c r="O57" s="112">
        <f t="shared" si="19"/>
        <v>8.8166249262006651E-3</v>
      </c>
      <c r="P57" s="112">
        <f t="shared" si="19"/>
        <v>8.0027816967396664E-3</v>
      </c>
      <c r="Q57" s="112">
        <f t="shared" si="19"/>
        <v>4.8559115876506506E-2</v>
      </c>
      <c r="R57" s="112">
        <f t="shared" si="19"/>
        <v>0.44757714563770712</v>
      </c>
      <c r="S57" s="112">
        <f t="shared" si="19"/>
        <v>0.27805925461853503</v>
      </c>
      <c r="T57" s="112">
        <f t="shared" si="19"/>
        <v>9.9777123774431129E-3</v>
      </c>
      <c r="U57" s="112">
        <f t="shared" si="19"/>
        <v>0.11714513427214029</v>
      </c>
      <c r="V57" s="112">
        <f t="shared" si="19"/>
        <v>1.0262720087487491E-2</v>
      </c>
      <c r="W57" s="112">
        <f t="shared" si="19"/>
        <v>0.26179032568449179</v>
      </c>
      <c r="X57" s="112">
        <f t="shared" si="19"/>
        <v>0.2619560802788648</v>
      </c>
      <c r="Y57" s="112">
        <f t="shared" si="19"/>
        <v>4.1937697385682378E-3</v>
      </c>
      <c r="Z57" s="112">
        <f t="shared" si="19"/>
        <v>5.7950993807488705E-3</v>
      </c>
      <c r="AA57" s="112">
        <f t="shared" si="19"/>
        <v>1.100979432879899E-2</v>
      </c>
      <c r="AB57" s="112">
        <f t="shared" si="19"/>
        <v>0.29824808060095037</v>
      </c>
      <c r="AC57" s="112">
        <f t="shared" si="19"/>
        <v>0.29889819896804554</v>
      </c>
      <c r="AD57" s="112">
        <f t="shared" si="19"/>
        <v>0.39760774120848347</v>
      </c>
      <c r="AE57" s="112">
        <f t="shared" si="19"/>
        <v>1.2752547078468504E-2</v>
      </c>
      <c r="AF57" s="112">
        <f t="shared" si="19"/>
        <v>1.1433528355805566E-2</v>
      </c>
      <c r="AG57" s="112">
        <f t="shared" si="19"/>
        <v>8.9753086993117001E-2</v>
      </c>
      <c r="AH57" s="112">
        <f t="shared" si="19"/>
        <v>9.8119029550627845E-2</v>
      </c>
      <c r="AI57" s="112">
        <f t="shared" si="19"/>
        <v>1.2664742451305734E-2</v>
      </c>
      <c r="AJ57" s="112">
        <f t="shared" si="19"/>
        <v>1.3599586546641441E-2</v>
      </c>
      <c r="AK57" s="112">
        <f t="shared" si="19"/>
        <v>4.7522292785803968E-3</v>
      </c>
      <c r="AL57" s="112">
        <f t="shared" si="19"/>
        <v>0.28735474313507026</v>
      </c>
    </row>
    <row r="58" spans="1:38" s="110" customFormat="1" x14ac:dyDescent="0.3">
      <c r="A58" s="113" t="s">
        <v>59</v>
      </c>
      <c r="C58" s="111">
        <f>C42/C43</f>
        <v>0.17806337368964859</v>
      </c>
      <c r="D58" s="112">
        <f t="shared" ref="D58:AL58" si="20">D42/D43</f>
        <v>9.7549937709017334E-2</v>
      </c>
      <c r="E58" s="112">
        <f t="shared" si="20"/>
        <v>7.5034888923099979E-2</v>
      </c>
      <c r="F58" s="112">
        <f t="shared" si="20"/>
        <v>2.8229884522359212E-2</v>
      </c>
      <c r="G58" s="112">
        <f t="shared" si="20"/>
        <v>0.21681401367845277</v>
      </c>
      <c r="H58" s="112">
        <f t="shared" si="20"/>
        <v>0</v>
      </c>
      <c r="I58" s="112">
        <f t="shared" si="20"/>
        <v>0</v>
      </c>
      <c r="J58" s="112">
        <f t="shared" si="20"/>
        <v>0.23447774592181489</v>
      </c>
      <c r="K58" s="112">
        <f t="shared" si="20"/>
        <v>0</v>
      </c>
      <c r="L58" s="112">
        <f t="shared" si="20"/>
        <v>0.22195463074798064</v>
      </c>
      <c r="M58" s="112">
        <f t="shared" si="20"/>
        <v>3.3062640564414846E-2</v>
      </c>
      <c r="N58" s="112">
        <f t="shared" si="20"/>
        <v>6.5534167537327145E-2</v>
      </c>
      <c r="O58" s="112">
        <f t="shared" si="20"/>
        <v>0.30525209195543085</v>
      </c>
      <c r="P58" s="112">
        <f t="shared" si="20"/>
        <v>0.38399492302011629</v>
      </c>
      <c r="Q58" s="112">
        <f t="shared" si="20"/>
        <v>0.45377178318383365</v>
      </c>
      <c r="R58" s="112">
        <f t="shared" si="20"/>
        <v>7.5974598072446248E-2</v>
      </c>
      <c r="S58" s="112">
        <f t="shared" si="20"/>
        <v>0.1105101598473119</v>
      </c>
      <c r="T58" s="112">
        <f t="shared" si="20"/>
        <v>0.13576702169757757</v>
      </c>
      <c r="U58" s="112">
        <f t="shared" si="20"/>
        <v>0.22683476053529264</v>
      </c>
      <c r="V58" s="112">
        <f t="shared" si="20"/>
        <v>0.12009481169169328</v>
      </c>
      <c r="W58" s="112">
        <f t="shared" si="20"/>
        <v>3.7700409734854917E-2</v>
      </c>
      <c r="X58" s="112">
        <f t="shared" si="20"/>
        <v>8.7381455503455427E-2</v>
      </c>
      <c r="Y58" s="112">
        <f t="shared" si="20"/>
        <v>0.68477695754554846</v>
      </c>
      <c r="Z58" s="112">
        <f t="shared" si="20"/>
        <v>0.55743772640537403</v>
      </c>
      <c r="AA58" s="112">
        <f t="shared" si="20"/>
        <v>0</v>
      </c>
      <c r="AB58" s="112">
        <f t="shared" si="20"/>
        <v>0.12912786418689798</v>
      </c>
      <c r="AC58" s="112">
        <f t="shared" si="20"/>
        <v>0</v>
      </c>
      <c r="AD58" s="112">
        <f t="shared" si="20"/>
        <v>1.3226512294112636E-2</v>
      </c>
      <c r="AE58" s="112">
        <f t="shared" si="20"/>
        <v>4.33810694878312E-2</v>
      </c>
      <c r="AF58" s="112">
        <f t="shared" si="20"/>
        <v>3.8894087984331971E-2</v>
      </c>
      <c r="AG58" s="112">
        <f t="shared" si="20"/>
        <v>0</v>
      </c>
      <c r="AH58" s="112">
        <f t="shared" si="20"/>
        <v>0.15759998220827157</v>
      </c>
      <c r="AI58" s="112">
        <f t="shared" si="20"/>
        <v>0.10656857383409585</v>
      </c>
      <c r="AJ58" s="112">
        <f t="shared" si="20"/>
        <v>0</v>
      </c>
      <c r="AK58" s="112">
        <f t="shared" si="20"/>
        <v>0.61430535538759889</v>
      </c>
      <c r="AL58" s="112">
        <f t="shared" si="20"/>
        <v>0</v>
      </c>
    </row>
    <row r="59" spans="1:38" x14ac:dyDescent="0.3">
      <c r="A59" s="114"/>
    </row>
    <row r="60" spans="1:38" x14ac:dyDescent="0.3">
      <c r="A60" s="1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C62" s="118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B64" s="119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s="120" customFormat="1" x14ac:dyDescent="0.3">
      <c r="A68" s="115"/>
      <c r="B68" s="119"/>
      <c r="C68" s="116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</row>
  </sheetData>
  <mergeCells count="4">
    <mergeCell ref="A12:A19"/>
    <mergeCell ref="A23:A28"/>
    <mergeCell ref="A30:A39"/>
    <mergeCell ref="A40:A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AE08-D4C6-4478-9122-CB08323E8381}">
  <sheetPr codeName="Sheet4">
    <tabColor rgb="FFFFC000"/>
  </sheetPr>
  <dimension ref="A1:BF69"/>
  <sheetViews>
    <sheetView zoomScale="110" zoomScaleNormal="110" workbookViewId="0">
      <pane xSplit="2" ySplit="2" topLeftCell="C48" activePane="bottomRight" state="frozen"/>
      <selection activeCell="C37" sqref="C37"/>
      <selection pane="topRight" activeCell="C37" sqref="C37"/>
      <selection pane="bottomLeft" activeCell="C37" sqref="C37"/>
      <selection pane="bottomRight" activeCell="B1" sqref="B1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6" width="13.7265625" style="115" customWidth="1"/>
    <col min="57" max="57" width="8.7265625" style="115"/>
    <col min="58" max="58" width="14.7265625" style="115" bestFit="1" customWidth="1"/>
    <col min="59" max="59" width="10.453125" style="115" bestFit="1" customWidth="1"/>
    <col min="60" max="16384" width="8.7265625" style="115"/>
  </cols>
  <sheetData>
    <row r="1" spans="1:56" s="57" customFormat="1" ht="47.5" customHeight="1" x14ac:dyDescent="0.3">
      <c r="A1" s="55" t="s">
        <v>164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</row>
    <row r="2" spans="1:56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148</v>
      </c>
      <c r="AV2" s="59" t="s">
        <v>149</v>
      </c>
      <c r="AW2" s="59" t="s">
        <v>150</v>
      </c>
      <c r="AX2" s="59" t="s">
        <v>151</v>
      </c>
      <c r="AY2" s="59" t="s">
        <v>152</v>
      </c>
      <c r="AZ2" s="59" t="s">
        <v>153</v>
      </c>
      <c r="BA2" s="59" t="s">
        <v>154</v>
      </c>
      <c r="BB2" s="59" t="s">
        <v>155</v>
      </c>
      <c r="BC2" s="59" t="s">
        <v>156</v>
      </c>
      <c r="BD2" s="59" t="s">
        <v>157</v>
      </c>
    </row>
    <row r="3" spans="1:56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6" s="64" customFormat="1" ht="13" x14ac:dyDescent="0.3">
      <c r="A4" s="60" t="s">
        <v>165</v>
      </c>
      <c r="B4" s="61"/>
      <c r="C4" s="62">
        <f t="shared" ref="C4:C18" si="0">SUM(D4:BD4)</f>
        <v>3056326288</v>
      </c>
      <c r="D4" s="64">
        <v>36638000</v>
      </c>
      <c r="E4" s="64">
        <v>61962000</v>
      </c>
      <c r="F4" s="64">
        <v>64182000</v>
      </c>
      <c r="G4" s="64">
        <v>82994000</v>
      </c>
      <c r="H4" s="64">
        <v>66056000</v>
      </c>
      <c r="I4" s="64">
        <v>49608000</v>
      </c>
      <c r="J4" s="64">
        <v>52904000</v>
      </c>
      <c r="K4" s="64">
        <v>34657000</v>
      </c>
      <c r="L4" s="64">
        <v>105893000</v>
      </c>
      <c r="M4" s="64">
        <v>100327000</v>
      </c>
      <c r="N4" s="64">
        <v>63728200</v>
      </c>
      <c r="O4" s="64">
        <v>74003000</v>
      </c>
      <c r="P4" s="64">
        <v>85682000</v>
      </c>
      <c r="Q4" s="64">
        <v>49536000</v>
      </c>
      <c r="R4" s="64">
        <v>51830000</v>
      </c>
      <c r="S4" s="64">
        <v>45436000</v>
      </c>
      <c r="T4" s="64">
        <v>26522000</v>
      </c>
      <c r="U4" s="64">
        <v>83753000</v>
      </c>
      <c r="V4" s="64">
        <v>41157000</v>
      </c>
      <c r="W4" s="64">
        <v>43872000</v>
      </c>
      <c r="X4" s="64">
        <v>28471000</v>
      </c>
      <c r="Y4" s="64">
        <v>25974000</v>
      </c>
      <c r="Z4" s="64">
        <v>63222000</v>
      </c>
      <c r="AA4" s="64">
        <v>67373000</v>
      </c>
      <c r="AB4" s="64">
        <v>22666667</v>
      </c>
      <c r="AC4" s="64">
        <v>39792000</v>
      </c>
      <c r="AD4" s="64">
        <v>57228000</v>
      </c>
      <c r="AE4" s="64">
        <v>20636000</v>
      </c>
      <c r="AF4" s="64">
        <v>56477000</v>
      </c>
      <c r="AG4" s="64">
        <v>48823000</v>
      </c>
      <c r="AH4" s="64">
        <v>58279000</v>
      </c>
      <c r="AI4" s="74">
        <v>17334000</v>
      </c>
      <c r="AJ4" s="64">
        <v>88206000</v>
      </c>
      <c r="AK4" s="64">
        <v>57742000</v>
      </c>
      <c r="AL4" s="64">
        <v>54894000</v>
      </c>
      <c r="AM4" s="64">
        <v>71486800</v>
      </c>
      <c r="AN4" s="64">
        <v>31136000</v>
      </c>
      <c r="AO4" s="64">
        <v>22296000</v>
      </c>
      <c r="AP4" s="64">
        <v>53605000</v>
      </c>
      <c r="AQ4" s="64">
        <v>110265800</v>
      </c>
      <c r="AR4" s="65">
        <v>41783000</v>
      </c>
      <c r="AS4" s="64">
        <v>87551000</v>
      </c>
      <c r="AT4" s="64">
        <v>153559000</v>
      </c>
      <c r="AU4" s="64">
        <v>22058000</v>
      </c>
      <c r="AV4" s="64">
        <v>33901000</v>
      </c>
      <c r="AW4" s="64">
        <v>34652200</v>
      </c>
      <c r="AX4" s="64">
        <v>36211000</v>
      </c>
      <c r="AY4" s="64">
        <v>86996999</v>
      </c>
      <c r="AZ4" s="64">
        <v>87058000</v>
      </c>
      <c r="BA4" s="64">
        <v>45492800</v>
      </c>
      <c r="BB4" s="64">
        <v>39509000</v>
      </c>
      <c r="BC4" s="64">
        <v>62839222</v>
      </c>
      <c r="BD4" s="64">
        <v>108067600</v>
      </c>
    </row>
    <row r="5" spans="1:56" s="68" customFormat="1" ht="13" x14ac:dyDescent="0.3">
      <c r="A5" s="66" t="s">
        <v>3</v>
      </c>
      <c r="B5" s="67"/>
      <c r="C5" s="62">
        <f t="shared" si="0"/>
        <v>15200000</v>
      </c>
      <c r="AI5" s="83"/>
      <c r="AS5" s="68">
        <v>4700000</v>
      </c>
      <c r="BC5" s="68">
        <v>6000000</v>
      </c>
      <c r="BD5" s="68">
        <v>4500000</v>
      </c>
    </row>
    <row r="6" spans="1:56" s="68" customFormat="1" ht="13" x14ac:dyDescent="0.3">
      <c r="A6" s="69" t="s">
        <v>4</v>
      </c>
      <c r="B6" s="67"/>
      <c r="C6" s="62">
        <f t="shared" si="0"/>
        <v>3700000</v>
      </c>
      <c r="D6" s="72"/>
      <c r="O6" s="83"/>
      <c r="W6" s="68">
        <v>3700000</v>
      </c>
    </row>
    <row r="7" spans="1:56" s="68" customFormat="1" ht="13" x14ac:dyDescent="0.3">
      <c r="A7" s="71" t="s">
        <v>158</v>
      </c>
      <c r="B7" s="67"/>
      <c r="C7" s="62">
        <f t="shared" si="0"/>
        <v>5777000</v>
      </c>
      <c r="G7" s="68" t="s">
        <v>168</v>
      </c>
      <c r="H7" s="72"/>
      <c r="U7" s="68">
        <v>2786000</v>
      </c>
      <c r="BD7" s="68">
        <v>2991000</v>
      </c>
    </row>
    <row r="8" spans="1:56" s="68" customFormat="1" ht="13" x14ac:dyDescent="0.3">
      <c r="A8" s="71"/>
      <c r="B8" s="67" t="s">
        <v>6</v>
      </c>
      <c r="C8" s="62">
        <f t="shared" si="0"/>
        <v>32</v>
      </c>
      <c r="D8" s="68">
        <v>0</v>
      </c>
      <c r="E8" s="68">
        <v>2</v>
      </c>
      <c r="F8" s="68">
        <v>0</v>
      </c>
      <c r="G8" s="68">
        <v>0</v>
      </c>
      <c r="H8" s="68">
        <v>1</v>
      </c>
      <c r="I8" s="68">
        <v>0</v>
      </c>
      <c r="J8" s="68">
        <v>1</v>
      </c>
      <c r="K8" s="68">
        <v>0</v>
      </c>
      <c r="L8" s="68">
        <v>0</v>
      </c>
      <c r="M8" s="68">
        <v>0</v>
      </c>
      <c r="N8" s="68">
        <v>1</v>
      </c>
      <c r="O8" s="68">
        <v>0</v>
      </c>
      <c r="P8" s="68">
        <v>0</v>
      </c>
      <c r="Q8" s="68">
        <v>0</v>
      </c>
      <c r="R8" s="68">
        <v>3</v>
      </c>
      <c r="S8" s="68">
        <v>0</v>
      </c>
      <c r="T8" s="68">
        <v>0</v>
      </c>
      <c r="U8" s="68">
        <v>1</v>
      </c>
      <c r="V8" s="68">
        <v>1</v>
      </c>
      <c r="W8" s="68">
        <v>1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1</v>
      </c>
      <c r="AD8" s="68">
        <v>0</v>
      </c>
      <c r="AE8" s="68">
        <v>0</v>
      </c>
      <c r="AF8" s="68">
        <v>0</v>
      </c>
      <c r="AG8" s="68">
        <v>1</v>
      </c>
      <c r="AH8" s="68">
        <v>0</v>
      </c>
      <c r="AI8" s="68">
        <v>1</v>
      </c>
      <c r="AJ8" s="68">
        <v>1</v>
      </c>
      <c r="AK8" s="68">
        <v>0</v>
      </c>
      <c r="AL8" s="68">
        <v>0</v>
      </c>
      <c r="AM8" s="68">
        <v>1</v>
      </c>
      <c r="AN8" s="68">
        <v>0</v>
      </c>
      <c r="AO8" s="68">
        <v>1</v>
      </c>
      <c r="AP8" s="68">
        <v>0</v>
      </c>
      <c r="AQ8" s="68">
        <v>2</v>
      </c>
      <c r="AR8" s="68">
        <v>0</v>
      </c>
      <c r="AS8" s="68">
        <v>1</v>
      </c>
      <c r="AT8" s="68">
        <v>1</v>
      </c>
      <c r="AU8" s="68">
        <v>1</v>
      </c>
      <c r="AV8" s="68">
        <v>2</v>
      </c>
      <c r="AW8" s="68">
        <v>1</v>
      </c>
      <c r="AX8" s="68">
        <v>1</v>
      </c>
      <c r="AY8" s="68">
        <v>1</v>
      </c>
      <c r="AZ8" s="68">
        <v>0</v>
      </c>
      <c r="BA8" s="68">
        <v>0</v>
      </c>
      <c r="BB8" s="68">
        <v>0</v>
      </c>
      <c r="BC8" s="68">
        <v>2</v>
      </c>
      <c r="BD8" s="68">
        <v>3</v>
      </c>
    </row>
    <row r="9" spans="1:56" s="68" customFormat="1" ht="13" x14ac:dyDescent="0.3">
      <c r="A9" s="71"/>
      <c r="B9" s="67" t="s">
        <v>7</v>
      </c>
      <c r="C9" s="62">
        <f t="shared" si="0"/>
        <v>3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68">
        <v>0</v>
      </c>
      <c r="AQ9" s="68">
        <v>0</v>
      </c>
      <c r="AR9" s="68">
        <v>0</v>
      </c>
      <c r="AS9" s="68">
        <v>1</v>
      </c>
      <c r="AT9" s="68">
        <v>0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1</v>
      </c>
      <c r="BD9" s="68">
        <v>1</v>
      </c>
    </row>
    <row r="10" spans="1:56" s="68" customFormat="1" ht="13" x14ac:dyDescent="0.3">
      <c r="A10" s="71"/>
      <c r="B10" s="67" t="s">
        <v>169</v>
      </c>
      <c r="C10" s="62">
        <f t="shared" si="0"/>
        <v>47</v>
      </c>
      <c r="D10" s="68">
        <v>0</v>
      </c>
      <c r="E10" s="68">
        <v>2</v>
      </c>
      <c r="F10" s="68">
        <v>0</v>
      </c>
      <c r="G10" s="68">
        <v>0</v>
      </c>
      <c r="H10" s="68">
        <v>1</v>
      </c>
      <c r="I10" s="68">
        <v>0</v>
      </c>
      <c r="J10" s="68">
        <v>1</v>
      </c>
      <c r="K10" s="68">
        <v>0</v>
      </c>
      <c r="L10" s="68">
        <v>0</v>
      </c>
      <c r="M10" s="68">
        <v>0</v>
      </c>
      <c r="N10" s="68">
        <v>1</v>
      </c>
      <c r="O10" s="68">
        <v>1</v>
      </c>
      <c r="P10" s="68">
        <v>1</v>
      </c>
      <c r="Q10" s="68">
        <v>0</v>
      </c>
      <c r="R10" s="68">
        <v>3</v>
      </c>
      <c r="S10" s="68">
        <v>0</v>
      </c>
      <c r="T10" s="68">
        <v>0</v>
      </c>
      <c r="U10" s="68">
        <v>1</v>
      </c>
      <c r="V10" s="68">
        <v>2</v>
      </c>
      <c r="W10" s="68">
        <v>3</v>
      </c>
      <c r="X10" s="68">
        <v>2</v>
      </c>
      <c r="Y10" s="68">
        <v>1</v>
      </c>
      <c r="Z10" s="68">
        <v>2</v>
      </c>
      <c r="AA10" s="68">
        <v>0</v>
      </c>
      <c r="AB10" s="68">
        <v>0</v>
      </c>
      <c r="AC10" s="68">
        <v>1</v>
      </c>
      <c r="AD10" s="68">
        <v>1</v>
      </c>
      <c r="AE10" s="68">
        <v>0</v>
      </c>
      <c r="AF10" s="68">
        <v>0</v>
      </c>
      <c r="AG10" s="68">
        <v>1</v>
      </c>
      <c r="AH10" s="68">
        <v>1</v>
      </c>
      <c r="AI10" s="68">
        <v>2</v>
      </c>
      <c r="AJ10" s="68">
        <v>1</v>
      </c>
      <c r="AK10" s="68">
        <v>0</v>
      </c>
      <c r="AL10" s="68">
        <v>0</v>
      </c>
      <c r="AM10" s="68">
        <v>1</v>
      </c>
      <c r="AN10" s="68">
        <v>0</v>
      </c>
      <c r="AO10" s="68">
        <v>1</v>
      </c>
      <c r="AP10" s="68">
        <v>0</v>
      </c>
      <c r="AQ10" s="68">
        <v>3</v>
      </c>
      <c r="AR10" s="68">
        <v>0</v>
      </c>
      <c r="AS10" s="68">
        <v>0</v>
      </c>
      <c r="AT10" s="68">
        <v>1</v>
      </c>
      <c r="AU10" s="68">
        <v>1</v>
      </c>
      <c r="AV10" s="68">
        <v>2</v>
      </c>
      <c r="AW10" s="68">
        <v>1</v>
      </c>
      <c r="AX10" s="68">
        <v>1</v>
      </c>
      <c r="AY10" s="68">
        <v>1</v>
      </c>
      <c r="AZ10" s="68">
        <v>0</v>
      </c>
      <c r="BA10" s="68">
        <v>1</v>
      </c>
      <c r="BB10" s="68">
        <v>0</v>
      </c>
      <c r="BC10" s="68">
        <v>1</v>
      </c>
      <c r="BD10" s="68">
        <v>5</v>
      </c>
    </row>
    <row r="11" spans="1:56" s="68" customFormat="1" ht="16.5" customHeight="1" x14ac:dyDescent="0.3">
      <c r="A11" s="71"/>
      <c r="B11" s="67" t="s">
        <v>9</v>
      </c>
      <c r="C11" s="62">
        <f t="shared" si="0"/>
        <v>2432810714.2857141</v>
      </c>
      <c r="D11" s="68">
        <v>29100000</v>
      </c>
      <c r="E11" s="68">
        <v>49200000</v>
      </c>
      <c r="F11" s="68">
        <v>53100000</v>
      </c>
      <c r="G11" s="68">
        <v>66100000</v>
      </c>
      <c r="H11" s="68">
        <v>51900000</v>
      </c>
      <c r="I11" s="68">
        <v>40300000</v>
      </c>
      <c r="J11" s="68">
        <v>42100000</v>
      </c>
      <c r="K11" s="68">
        <v>27800000</v>
      </c>
      <c r="L11" s="68">
        <v>87300000</v>
      </c>
      <c r="M11" s="68">
        <v>78200000</v>
      </c>
      <c r="N11" s="68">
        <v>50950000</v>
      </c>
      <c r="O11" s="68">
        <v>58400000</v>
      </c>
      <c r="P11" s="68">
        <v>67900000</v>
      </c>
      <c r="Q11" s="68">
        <v>39600000</v>
      </c>
      <c r="R11" s="68">
        <v>39900000</v>
      </c>
      <c r="S11" s="68">
        <v>37600000</v>
      </c>
      <c r="T11" s="68">
        <v>20100000</v>
      </c>
      <c r="U11" s="68">
        <v>69250000</v>
      </c>
      <c r="V11" s="68">
        <v>33100000</v>
      </c>
      <c r="W11" s="68">
        <v>31500000</v>
      </c>
      <c r="X11" s="68">
        <v>23100000</v>
      </c>
      <c r="Y11" s="68">
        <v>20000000</v>
      </c>
      <c r="Z11" s="68">
        <v>46100000</v>
      </c>
      <c r="AA11" s="68">
        <v>53800000</v>
      </c>
      <c r="AB11" s="68">
        <v>18800000</v>
      </c>
      <c r="AC11" s="68">
        <v>31700000</v>
      </c>
      <c r="AD11" s="68">
        <v>42700000</v>
      </c>
      <c r="AE11" s="68">
        <v>16800000</v>
      </c>
      <c r="AF11" s="68">
        <v>46600000</v>
      </c>
      <c r="AG11" s="68">
        <v>38400000</v>
      </c>
      <c r="AH11" s="68">
        <v>44900000</v>
      </c>
      <c r="AI11" s="68">
        <v>12700000</v>
      </c>
      <c r="AJ11" s="68">
        <v>69650000</v>
      </c>
      <c r="AK11" s="68">
        <v>48000000</v>
      </c>
      <c r="AL11" s="68">
        <v>42900000</v>
      </c>
      <c r="AM11" s="68">
        <v>57650000</v>
      </c>
      <c r="AN11" s="68">
        <v>25900000</v>
      </c>
      <c r="AO11" s="68">
        <v>16500000</v>
      </c>
      <c r="AP11" s="68">
        <v>42000000</v>
      </c>
      <c r="AQ11" s="68">
        <v>86450000</v>
      </c>
      <c r="AR11" s="68">
        <v>35100000</v>
      </c>
      <c r="AS11" s="68">
        <v>67660714.285714284</v>
      </c>
      <c r="AT11" s="68">
        <v>130650000</v>
      </c>
      <c r="AU11" s="68">
        <v>18000000</v>
      </c>
      <c r="AV11" s="68">
        <v>26900000</v>
      </c>
      <c r="AW11" s="68">
        <v>27900000</v>
      </c>
      <c r="AX11" s="68">
        <v>26900000</v>
      </c>
      <c r="AY11" s="68">
        <v>70850000</v>
      </c>
      <c r="AZ11" s="68">
        <v>67800000</v>
      </c>
      <c r="BA11" s="68">
        <v>36700000</v>
      </c>
      <c r="BB11" s="68">
        <v>31400000</v>
      </c>
      <c r="BC11" s="68">
        <v>46300000</v>
      </c>
      <c r="BD11" s="68">
        <v>88600000</v>
      </c>
    </row>
    <row r="12" spans="1:56" s="68" customFormat="1" ht="13" x14ac:dyDescent="0.3">
      <c r="A12" s="128" t="s">
        <v>10</v>
      </c>
      <c r="B12" s="69" t="s">
        <v>11</v>
      </c>
      <c r="C12" s="62">
        <f t="shared" si="0"/>
        <v>281370033.33333337</v>
      </c>
      <c r="D12" s="68">
        <v>3508000</v>
      </c>
      <c r="E12" s="68">
        <v>6112000</v>
      </c>
      <c r="F12" s="68">
        <v>4912000</v>
      </c>
      <c r="G12" s="68">
        <v>8780000</v>
      </c>
      <c r="H12" s="68">
        <v>7232000</v>
      </c>
      <c r="I12" s="68">
        <v>4328000</v>
      </c>
      <c r="J12" s="68">
        <v>5504000</v>
      </c>
      <c r="K12" s="68">
        <v>2912000</v>
      </c>
      <c r="L12" s="68">
        <v>8488000</v>
      </c>
      <c r="M12" s="68">
        <v>9012000</v>
      </c>
      <c r="N12" s="68">
        <v>6259800</v>
      </c>
      <c r="O12" s="68">
        <v>6753000</v>
      </c>
      <c r="P12" s="68">
        <v>7124000</v>
      </c>
      <c r="Q12" s="68">
        <v>4796000</v>
      </c>
      <c r="R12" s="68">
        <v>6044000</v>
      </c>
      <c r="S12" s="68">
        <v>3236000</v>
      </c>
      <c r="T12" s="68">
        <v>1672000</v>
      </c>
      <c r="U12" s="68">
        <v>7568000</v>
      </c>
      <c r="V12" s="68">
        <v>3956000</v>
      </c>
      <c r="W12" s="68">
        <v>4176000</v>
      </c>
      <c r="X12" s="68">
        <v>2456000</v>
      </c>
      <c r="Y12" s="68">
        <v>2824000</v>
      </c>
      <c r="Z12" s="68">
        <v>9742000</v>
      </c>
      <c r="AA12" s="68">
        <v>7244000</v>
      </c>
      <c r="AB12" s="68">
        <v>1068000</v>
      </c>
      <c r="AC12" s="68">
        <v>3667900</v>
      </c>
      <c r="AD12" s="68">
        <v>6917600</v>
      </c>
      <c r="AE12" s="68">
        <v>1416000</v>
      </c>
      <c r="AF12" s="68">
        <v>4752000</v>
      </c>
      <c r="AG12" s="68">
        <v>4128000</v>
      </c>
      <c r="AH12" s="68">
        <v>6409200</v>
      </c>
      <c r="AI12" s="68">
        <v>2044000</v>
      </c>
      <c r="AJ12" s="68">
        <v>8672500</v>
      </c>
      <c r="AK12" s="68">
        <v>4212000</v>
      </c>
      <c r="AL12" s="68">
        <v>5444000</v>
      </c>
      <c r="AM12" s="68">
        <v>6228800</v>
      </c>
      <c r="AN12" s="68">
        <v>1856000</v>
      </c>
      <c r="AO12" s="68">
        <v>3012000</v>
      </c>
      <c r="AP12" s="68">
        <v>4460000</v>
      </c>
      <c r="AQ12" s="68">
        <v>11956800</v>
      </c>
      <c r="AR12" s="68">
        <v>3044000</v>
      </c>
      <c r="AS12" s="68">
        <v>7352000</v>
      </c>
      <c r="AT12" s="68">
        <v>11968000</v>
      </c>
      <c r="AU12" s="68">
        <v>1591333.3333333335</v>
      </c>
      <c r="AV12" s="68">
        <v>2532000</v>
      </c>
      <c r="AW12" s="68">
        <v>3262800</v>
      </c>
      <c r="AX12" s="68">
        <v>4656000</v>
      </c>
      <c r="AY12" s="68">
        <v>6116000</v>
      </c>
      <c r="AZ12" s="68">
        <v>8469000</v>
      </c>
      <c r="BA12" s="68">
        <v>4002800</v>
      </c>
      <c r="BB12" s="68">
        <v>4068500</v>
      </c>
      <c r="BC12" s="68">
        <v>5904000</v>
      </c>
      <c r="BD12" s="68">
        <v>7520000</v>
      </c>
    </row>
    <row r="13" spans="1:56" s="68" customFormat="1" ht="13" x14ac:dyDescent="0.3">
      <c r="A13" s="129"/>
      <c r="B13" s="69" t="s">
        <v>12</v>
      </c>
      <c r="C13" s="62">
        <f t="shared" si="0"/>
        <v>123719142.85714285</v>
      </c>
      <c r="D13" s="68">
        <v>1710000</v>
      </c>
      <c r="E13" s="68">
        <v>2540000</v>
      </c>
      <c r="F13" s="68">
        <v>2460000</v>
      </c>
      <c r="G13" s="68">
        <v>4590000</v>
      </c>
      <c r="H13" s="68">
        <v>2870000</v>
      </c>
      <c r="I13" s="68">
        <v>2140000</v>
      </c>
      <c r="J13" s="68">
        <v>2220000</v>
      </c>
      <c r="K13" s="68">
        <v>1415000</v>
      </c>
      <c r="L13" s="68">
        <v>3315000</v>
      </c>
      <c r="M13" s="68">
        <v>4125000</v>
      </c>
      <c r="N13" s="68">
        <v>2305000</v>
      </c>
      <c r="O13" s="68">
        <v>3290000</v>
      </c>
      <c r="P13" s="68">
        <v>4070000</v>
      </c>
      <c r="Q13" s="68">
        <v>1630000</v>
      </c>
      <c r="R13" s="68">
        <v>2600000</v>
      </c>
      <c r="S13" s="68">
        <v>1650000</v>
      </c>
      <c r="T13" s="68">
        <v>1560000</v>
      </c>
      <c r="U13" s="68">
        <v>3195000</v>
      </c>
      <c r="V13" s="68">
        <v>1370000</v>
      </c>
      <c r="W13" s="68">
        <v>1365000</v>
      </c>
      <c r="X13" s="68">
        <v>1405000</v>
      </c>
      <c r="Y13" s="68">
        <v>1400000</v>
      </c>
      <c r="Z13" s="68">
        <v>2940000</v>
      </c>
      <c r="AA13" s="68">
        <v>2640000</v>
      </c>
      <c r="AB13" s="68">
        <v>920000</v>
      </c>
      <c r="AC13" s="68">
        <v>1425000</v>
      </c>
      <c r="AD13" s="68">
        <v>2870000</v>
      </c>
      <c r="AE13" s="68">
        <v>960000</v>
      </c>
      <c r="AF13" s="68">
        <v>1575000</v>
      </c>
      <c r="AG13" s="68">
        <v>2335000</v>
      </c>
      <c r="AH13" s="68">
        <v>3270000</v>
      </c>
      <c r="AI13" s="68">
        <v>940000</v>
      </c>
      <c r="AJ13" s="68">
        <v>3365000</v>
      </c>
      <c r="AK13" s="68">
        <v>1760000</v>
      </c>
      <c r="AL13" s="68">
        <v>2920000</v>
      </c>
      <c r="AM13" s="68">
        <v>3330000</v>
      </c>
      <c r="AN13" s="68">
        <v>1320000</v>
      </c>
      <c r="AO13" s="68">
        <v>1080000</v>
      </c>
      <c r="AP13" s="68">
        <v>2325000</v>
      </c>
      <c r="AQ13" s="68">
        <v>4995000</v>
      </c>
      <c r="AR13" s="68">
        <v>1255000</v>
      </c>
      <c r="AS13" s="68">
        <v>2357142.8571428573</v>
      </c>
      <c r="AT13" s="68">
        <v>4095000</v>
      </c>
      <c r="AU13" s="68">
        <v>960000</v>
      </c>
      <c r="AV13" s="68">
        <v>1910000</v>
      </c>
      <c r="AW13" s="68">
        <v>1320000</v>
      </c>
      <c r="AX13" s="68">
        <v>1865000</v>
      </c>
      <c r="AY13" s="68">
        <v>3010000</v>
      </c>
      <c r="AZ13" s="68">
        <v>3885000</v>
      </c>
      <c r="BA13" s="68">
        <v>2270000</v>
      </c>
      <c r="BB13" s="68">
        <v>1760000</v>
      </c>
      <c r="BC13" s="68">
        <v>1855000</v>
      </c>
      <c r="BD13" s="68">
        <v>2982000</v>
      </c>
    </row>
    <row r="14" spans="1:56" s="68" customFormat="1" ht="13" x14ac:dyDescent="0.3">
      <c r="A14" s="129"/>
      <c r="B14" s="69" t="s">
        <v>13</v>
      </c>
      <c r="C14" s="62">
        <f t="shared" si="0"/>
        <v>59561904.761904761</v>
      </c>
      <c r="D14" s="68">
        <v>780000</v>
      </c>
      <c r="E14" s="68">
        <v>1340000</v>
      </c>
      <c r="F14" s="68">
        <v>1200000</v>
      </c>
      <c r="G14" s="68">
        <v>1875000</v>
      </c>
      <c r="H14" s="68">
        <v>1350000</v>
      </c>
      <c r="I14" s="68">
        <v>870000</v>
      </c>
      <c r="J14" s="68">
        <v>810000</v>
      </c>
      <c r="K14" s="68">
        <v>570000</v>
      </c>
      <c r="L14" s="68">
        <v>1800000</v>
      </c>
      <c r="M14" s="68">
        <v>2745000</v>
      </c>
      <c r="N14" s="68">
        <v>1320000</v>
      </c>
      <c r="O14" s="68">
        <v>1380000</v>
      </c>
      <c r="P14" s="68">
        <v>1830000</v>
      </c>
      <c r="Q14" s="68">
        <v>840000</v>
      </c>
      <c r="R14" s="68">
        <v>810000</v>
      </c>
      <c r="S14" s="68">
        <v>600000</v>
      </c>
      <c r="T14" s="68">
        <v>450000</v>
      </c>
      <c r="U14" s="68">
        <v>1710000</v>
      </c>
      <c r="V14" s="68">
        <v>690000</v>
      </c>
      <c r="W14" s="68">
        <v>915000</v>
      </c>
      <c r="X14" s="68">
        <v>570000</v>
      </c>
      <c r="Y14" s="68">
        <v>600000</v>
      </c>
      <c r="Z14" s="68">
        <v>1410000</v>
      </c>
      <c r="AA14" s="68">
        <v>1320000</v>
      </c>
      <c r="AB14" s="68">
        <v>395000</v>
      </c>
      <c r="AC14" s="68">
        <v>900000</v>
      </c>
      <c r="AD14" s="68">
        <v>1410000</v>
      </c>
      <c r="AE14" s="68">
        <v>430000</v>
      </c>
      <c r="AF14" s="68">
        <v>766666.66666666663</v>
      </c>
      <c r="AG14" s="68">
        <v>1180000</v>
      </c>
      <c r="AH14" s="68">
        <v>1390000</v>
      </c>
      <c r="AI14" s="68">
        <v>360000</v>
      </c>
      <c r="AJ14" s="68">
        <v>1680000</v>
      </c>
      <c r="AK14" s="68">
        <v>886666.66666666663</v>
      </c>
      <c r="AL14" s="68">
        <v>1265000</v>
      </c>
      <c r="AM14" s="68">
        <v>1410000</v>
      </c>
      <c r="AN14" s="68">
        <v>630000</v>
      </c>
      <c r="AO14" s="68">
        <v>540000</v>
      </c>
      <c r="AP14" s="68">
        <v>1560000</v>
      </c>
      <c r="AQ14" s="68">
        <v>2150000</v>
      </c>
      <c r="AR14" s="68">
        <v>750000</v>
      </c>
      <c r="AS14" s="68">
        <v>1358571.4285714286</v>
      </c>
      <c r="AT14" s="68">
        <v>1610000</v>
      </c>
      <c r="AU14" s="68">
        <v>480000</v>
      </c>
      <c r="AV14" s="68">
        <v>900000</v>
      </c>
      <c r="AW14" s="68">
        <v>660000</v>
      </c>
      <c r="AX14" s="68">
        <v>960000</v>
      </c>
      <c r="AY14" s="68">
        <v>1860000</v>
      </c>
      <c r="AZ14" s="68">
        <v>2075000</v>
      </c>
      <c r="BA14" s="68">
        <v>960000</v>
      </c>
      <c r="BB14" s="68">
        <v>840000</v>
      </c>
      <c r="BC14" s="68">
        <v>690000</v>
      </c>
      <c r="BD14" s="68">
        <v>1680000</v>
      </c>
    </row>
    <row r="15" spans="1:56" s="68" customFormat="1" ht="13" x14ac:dyDescent="0.3">
      <c r="A15" s="129"/>
      <c r="B15" s="69" t="s">
        <v>14</v>
      </c>
      <c r="C15" s="62">
        <f t="shared" si="0"/>
        <v>53902142.857142858</v>
      </c>
      <c r="D15" s="68">
        <v>700000</v>
      </c>
      <c r="E15" s="68">
        <v>1400000</v>
      </c>
      <c r="F15" s="68">
        <v>1100000</v>
      </c>
      <c r="G15" s="68">
        <v>2000000</v>
      </c>
      <c r="H15" s="68">
        <v>900000</v>
      </c>
      <c r="I15" s="68">
        <v>1100000</v>
      </c>
      <c r="J15" s="68">
        <v>1200000</v>
      </c>
      <c r="K15" s="68">
        <v>1000000</v>
      </c>
      <c r="L15" s="68">
        <v>1900000</v>
      </c>
      <c r="M15" s="68">
        <v>1400000</v>
      </c>
      <c r="N15" s="68">
        <v>1300000</v>
      </c>
      <c r="O15" s="68">
        <v>1300000</v>
      </c>
      <c r="P15" s="68">
        <v>1700000</v>
      </c>
      <c r="Q15" s="68">
        <v>900000</v>
      </c>
      <c r="R15" s="68">
        <v>800000</v>
      </c>
      <c r="S15" s="68">
        <v>800000</v>
      </c>
      <c r="T15" s="68">
        <v>900000</v>
      </c>
      <c r="U15" s="68">
        <v>2000000</v>
      </c>
      <c r="V15" s="68">
        <v>800000</v>
      </c>
      <c r="W15" s="68">
        <v>700000</v>
      </c>
      <c r="X15" s="68">
        <v>500000</v>
      </c>
      <c r="Y15" s="68">
        <v>400000</v>
      </c>
      <c r="Z15" s="68">
        <v>800000</v>
      </c>
      <c r="AA15" s="68">
        <v>900000</v>
      </c>
      <c r="AB15" s="68">
        <v>400000</v>
      </c>
      <c r="AC15" s="68">
        <v>700000</v>
      </c>
      <c r="AD15" s="68">
        <v>900000</v>
      </c>
      <c r="AE15" s="68">
        <v>600000</v>
      </c>
      <c r="AF15" s="68">
        <v>900000</v>
      </c>
      <c r="AG15" s="68">
        <v>700000</v>
      </c>
      <c r="AH15" s="68">
        <v>800000</v>
      </c>
      <c r="AI15" s="68">
        <v>400000</v>
      </c>
      <c r="AJ15" s="68">
        <v>1200000</v>
      </c>
      <c r="AK15" s="68">
        <v>820000</v>
      </c>
      <c r="AL15" s="68">
        <v>1100000</v>
      </c>
      <c r="AM15" s="68">
        <v>1500000</v>
      </c>
      <c r="AN15" s="68">
        <v>800000</v>
      </c>
      <c r="AO15" s="68">
        <v>600000</v>
      </c>
      <c r="AP15" s="68">
        <v>700000</v>
      </c>
      <c r="AQ15" s="68">
        <v>1300000</v>
      </c>
      <c r="AR15" s="68">
        <v>900000</v>
      </c>
      <c r="AS15" s="68">
        <v>1482142.857142857</v>
      </c>
      <c r="AT15" s="68">
        <v>2200000</v>
      </c>
      <c r="AU15" s="68">
        <v>500000</v>
      </c>
      <c r="AV15" s="68">
        <v>800000</v>
      </c>
      <c r="AW15" s="68">
        <v>700000</v>
      </c>
      <c r="AX15" s="68">
        <v>800000</v>
      </c>
      <c r="AY15" s="68">
        <v>1800000</v>
      </c>
      <c r="AZ15" s="68">
        <v>1000000</v>
      </c>
      <c r="BA15" s="68">
        <v>600000</v>
      </c>
      <c r="BB15" s="68">
        <v>600000</v>
      </c>
      <c r="BC15" s="68">
        <v>800000</v>
      </c>
      <c r="BD15" s="68">
        <v>1800000</v>
      </c>
    </row>
    <row r="16" spans="1:56" s="68" customFormat="1" ht="13" x14ac:dyDescent="0.3">
      <c r="A16" s="129"/>
      <c r="B16" s="69" t="s">
        <v>15</v>
      </c>
      <c r="C16" s="62">
        <f t="shared" si="0"/>
        <v>2350000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200000</v>
      </c>
      <c r="K16" s="68">
        <v>0</v>
      </c>
      <c r="L16" s="68">
        <v>50000</v>
      </c>
      <c r="M16" s="68">
        <v>150000</v>
      </c>
      <c r="N16" s="68">
        <v>0</v>
      </c>
      <c r="O16" s="68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400000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0</v>
      </c>
      <c r="AW16" s="68">
        <v>150000</v>
      </c>
      <c r="AX16" s="68">
        <v>0</v>
      </c>
      <c r="AY16" s="68">
        <v>450000</v>
      </c>
      <c r="AZ16" s="68">
        <v>0</v>
      </c>
      <c r="BA16" s="68">
        <v>0</v>
      </c>
      <c r="BB16" s="68">
        <v>0</v>
      </c>
      <c r="BC16" s="68">
        <v>0</v>
      </c>
      <c r="BD16" s="68">
        <v>150000</v>
      </c>
    </row>
    <row r="17" spans="1:58" s="68" customFormat="1" ht="13" x14ac:dyDescent="0.3">
      <c r="A17" s="129"/>
      <c r="B17" s="69" t="s">
        <v>16</v>
      </c>
      <c r="C17" s="62">
        <f t="shared" si="0"/>
        <v>30273476.190476194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1650000</v>
      </c>
      <c r="M17" s="68">
        <v>2000000</v>
      </c>
      <c r="N17" s="68">
        <v>0</v>
      </c>
      <c r="O17" s="68">
        <v>1440000</v>
      </c>
      <c r="P17" s="68">
        <v>1140000</v>
      </c>
      <c r="Q17" s="68">
        <v>750000</v>
      </c>
      <c r="R17" s="68">
        <v>1050000</v>
      </c>
      <c r="S17" s="68">
        <v>650000</v>
      </c>
      <c r="T17" s="68">
        <v>1180000</v>
      </c>
      <c r="U17" s="68">
        <v>1550000</v>
      </c>
      <c r="V17" s="68">
        <v>550000</v>
      </c>
      <c r="W17" s="68">
        <v>600000</v>
      </c>
      <c r="X17" s="68">
        <v>0</v>
      </c>
      <c r="Y17" s="68">
        <v>0</v>
      </c>
      <c r="Z17" s="68">
        <v>900000</v>
      </c>
      <c r="AA17" s="68">
        <v>0</v>
      </c>
      <c r="AB17" s="68">
        <v>688000</v>
      </c>
      <c r="AC17" s="68">
        <v>500000</v>
      </c>
      <c r="AD17" s="68">
        <v>1110000</v>
      </c>
      <c r="AE17" s="68">
        <v>0</v>
      </c>
      <c r="AF17" s="68">
        <v>1066666.6666666665</v>
      </c>
      <c r="AG17" s="68">
        <v>900000</v>
      </c>
      <c r="AH17" s="68">
        <v>0</v>
      </c>
      <c r="AI17" s="68">
        <v>0</v>
      </c>
      <c r="AJ17" s="68">
        <v>1450000</v>
      </c>
      <c r="AK17" s="68">
        <v>1036666.6666666666</v>
      </c>
      <c r="AL17" s="68">
        <v>0</v>
      </c>
      <c r="AM17" s="68">
        <v>0</v>
      </c>
      <c r="AN17" s="68">
        <v>0</v>
      </c>
      <c r="AO17" s="68">
        <v>0</v>
      </c>
      <c r="AP17" s="68">
        <v>1300000</v>
      </c>
      <c r="AQ17" s="68">
        <v>1400000</v>
      </c>
      <c r="AR17" s="68">
        <v>0</v>
      </c>
      <c r="AS17" s="68">
        <v>1132142.857142857</v>
      </c>
      <c r="AT17" s="68">
        <v>1430000</v>
      </c>
      <c r="AU17" s="68">
        <v>0</v>
      </c>
      <c r="AV17" s="68">
        <v>0</v>
      </c>
      <c r="AW17" s="68">
        <v>0</v>
      </c>
      <c r="AX17" s="68">
        <v>0</v>
      </c>
      <c r="AY17" s="68">
        <v>1050000</v>
      </c>
      <c r="AZ17" s="68">
        <v>1750000</v>
      </c>
      <c r="BA17" s="68">
        <v>0</v>
      </c>
      <c r="BB17" s="68">
        <v>0</v>
      </c>
      <c r="BC17" s="68">
        <v>600000</v>
      </c>
      <c r="BD17" s="68">
        <v>1400000</v>
      </c>
    </row>
    <row r="18" spans="1:58" s="68" customFormat="1" ht="13" x14ac:dyDescent="0.3">
      <c r="A18" s="129"/>
      <c r="B18" s="121" t="s">
        <v>17</v>
      </c>
      <c r="C18" s="62">
        <f t="shared" si="0"/>
        <v>61571904.761904754</v>
      </c>
      <c r="D18" s="68">
        <v>840000</v>
      </c>
      <c r="E18" s="68">
        <v>1310000</v>
      </c>
      <c r="F18" s="68">
        <v>1260000</v>
      </c>
      <c r="G18" s="68">
        <v>2445000</v>
      </c>
      <c r="H18" s="68">
        <v>1800000</v>
      </c>
      <c r="I18" s="68">
        <v>720000</v>
      </c>
      <c r="J18" s="68">
        <v>870000</v>
      </c>
      <c r="K18" s="68">
        <v>960000</v>
      </c>
      <c r="L18" s="68">
        <v>1440000</v>
      </c>
      <c r="M18" s="68">
        <v>2745000</v>
      </c>
      <c r="N18" s="68">
        <v>1530000</v>
      </c>
      <c r="O18" s="68">
        <v>1440000</v>
      </c>
      <c r="P18" s="68">
        <v>1920000</v>
      </c>
      <c r="Q18" s="68">
        <v>1020000</v>
      </c>
      <c r="R18" s="68">
        <v>810000</v>
      </c>
      <c r="S18" s="68">
        <v>900000</v>
      </c>
      <c r="T18" s="68">
        <v>660000</v>
      </c>
      <c r="U18" s="68">
        <v>1830000</v>
      </c>
      <c r="V18" s="68">
        <v>690000</v>
      </c>
      <c r="W18" s="68">
        <v>915000</v>
      </c>
      <c r="X18" s="68">
        <v>240000</v>
      </c>
      <c r="Y18" s="68">
        <v>750000</v>
      </c>
      <c r="Z18" s="68">
        <v>1330000</v>
      </c>
      <c r="AA18" s="68">
        <v>1320000</v>
      </c>
      <c r="AB18" s="68">
        <v>395000</v>
      </c>
      <c r="AC18" s="68">
        <v>900000</v>
      </c>
      <c r="AD18" s="68">
        <v>1320000</v>
      </c>
      <c r="AE18" s="68">
        <v>430000</v>
      </c>
      <c r="AF18" s="68">
        <v>766666.66666666663</v>
      </c>
      <c r="AG18" s="68">
        <v>1180000</v>
      </c>
      <c r="AH18" s="68">
        <v>1350000</v>
      </c>
      <c r="AI18" s="68">
        <v>360000</v>
      </c>
      <c r="AJ18" s="68">
        <v>2190000</v>
      </c>
      <c r="AK18" s="68">
        <v>1026666.6666666666</v>
      </c>
      <c r="AL18" s="68">
        <v>1265000</v>
      </c>
      <c r="AM18" s="68">
        <v>1350000</v>
      </c>
      <c r="AN18" s="68">
        <v>630000</v>
      </c>
      <c r="AO18" s="68">
        <v>540000</v>
      </c>
      <c r="AP18" s="68">
        <v>1560000</v>
      </c>
      <c r="AQ18" s="68">
        <v>1590000</v>
      </c>
      <c r="AR18" s="68">
        <v>750000</v>
      </c>
      <c r="AS18" s="68">
        <v>1508571.4285714286</v>
      </c>
      <c r="AT18" s="68">
        <v>1610000</v>
      </c>
      <c r="AU18" s="68">
        <v>480000</v>
      </c>
      <c r="AV18" s="68">
        <v>900000</v>
      </c>
      <c r="AW18" s="68">
        <v>660000</v>
      </c>
      <c r="AX18" s="68">
        <v>960000</v>
      </c>
      <c r="AY18" s="68">
        <v>1860000</v>
      </c>
      <c r="AZ18" s="68">
        <v>2075000</v>
      </c>
      <c r="BA18" s="68">
        <v>960000</v>
      </c>
      <c r="BB18" s="68">
        <v>840000</v>
      </c>
      <c r="BC18" s="68">
        <v>690000</v>
      </c>
      <c r="BD18" s="68">
        <v>1680000</v>
      </c>
    </row>
    <row r="19" spans="1:58" s="68" customFormat="1" ht="13" x14ac:dyDescent="0.3">
      <c r="A19" s="130"/>
      <c r="B19" s="80" t="s">
        <v>18</v>
      </c>
      <c r="C19" s="62">
        <f>SUM(C12:C18)</f>
        <v>612748604.76190484</v>
      </c>
      <c r="D19" s="81">
        <f t="shared" ref="D19:R19" si="1">SUM(D12:D18)</f>
        <v>7538000</v>
      </c>
      <c r="E19" s="81">
        <f t="shared" si="1"/>
        <v>12702000</v>
      </c>
      <c r="F19" s="81">
        <f t="shared" si="1"/>
        <v>11082000</v>
      </c>
      <c r="G19" s="81">
        <f t="shared" si="1"/>
        <v>19690000</v>
      </c>
      <c r="H19" s="81">
        <f t="shared" si="1"/>
        <v>14152000</v>
      </c>
      <c r="I19" s="81">
        <f t="shared" si="1"/>
        <v>9308000</v>
      </c>
      <c r="J19" s="81">
        <f t="shared" si="1"/>
        <v>10804000</v>
      </c>
      <c r="K19" s="81">
        <f t="shared" si="1"/>
        <v>6857000</v>
      </c>
      <c r="L19" s="81">
        <f t="shared" si="1"/>
        <v>18643000</v>
      </c>
      <c r="M19" s="81">
        <f t="shared" si="1"/>
        <v>22177000</v>
      </c>
      <c r="N19" s="81">
        <f t="shared" si="1"/>
        <v>12714800</v>
      </c>
      <c r="O19" s="81">
        <f t="shared" si="1"/>
        <v>15603000</v>
      </c>
      <c r="P19" s="81">
        <f t="shared" si="1"/>
        <v>17784000</v>
      </c>
      <c r="Q19" s="81">
        <f t="shared" si="1"/>
        <v>9936000</v>
      </c>
      <c r="R19" s="81">
        <f t="shared" si="1"/>
        <v>12164000</v>
      </c>
      <c r="S19" s="81">
        <f>SUM(S12:S18)</f>
        <v>7836000</v>
      </c>
      <c r="T19" s="81">
        <f>SUM(T12:T18)</f>
        <v>6422000</v>
      </c>
      <c r="U19" s="81">
        <f>SUM(U12:U18)</f>
        <v>17903000</v>
      </c>
      <c r="V19" s="81">
        <f>SUM(V12:V18)</f>
        <v>8056000</v>
      </c>
      <c r="W19" s="81">
        <f t="shared" ref="W19:AC19" si="2">SUM(W12:W18)</f>
        <v>8671000</v>
      </c>
      <c r="X19" s="81">
        <f t="shared" si="2"/>
        <v>5371000</v>
      </c>
      <c r="Y19" s="81">
        <f t="shared" si="2"/>
        <v>5974000</v>
      </c>
      <c r="Z19" s="81">
        <f t="shared" si="2"/>
        <v>17122000</v>
      </c>
      <c r="AA19" s="81">
        <f t="shared" si="2"/>
        <v>13574000</v>
      </c>
      <c r="AB19" s="81">
        <f t="shared" si="2"/>
        <v>3866000</v>
      </c>
      <c r="AC19" s="81">
        <f t="shared" si="2"/>
        <v>8092900</v>
      </c>
      <c r="AD19" s="81">
        <f>SUM(AD12:AD18)</f>
        <v>14527600</v>
      </c>
      <c r="AE19" s="81">
        <f>SUM(AE12:AE18)</f>
        <v>3836000</v>
      </c>
      <c r="AF19" s="81">
        <f t="shared" ref="AF19:BD19" si="3">SUM(AF12:AF18)</f>
        <v>9877000</v>
      </c>
      <c r="AG19" s="81">
        <f t="shared" si="3"/>
        <v>10423000</v>
      </c>
      <c r="AH19" s="81">
        <f t="shared" si="3"/>
        <v>13219200</v>
      </c>
      <c r="AI19" s="81">
        <f t="shared" si="3"/>
        <v>4504000</v>
      </c>
      <c r="AJ19" s="81">
        <f t="shared" si="3"/>
        <v>18557500</v>
      </c>
      <c r="AK19" s="81">
        <f t="shared" si="3"/>
        <v>9742000</v>
      </c>
      <c r="AL19" s="81">
        <f t="shared" si="3"/>
        <v>11994000</v>
      </c>
      <c r="AM19" s="81">
        <f t="shared" si="3"/>
        <v>13818800</v>
      </c>
      <c r="AN19" s="81">
        <f t="shared" si="3"/>
        <v>5236000</v>
      </c>
      <c r="AO19" s="81">
        <f t="shared" si="3"/>
        <v>5772000</v>
      </c>
      <c r="AP19" s="81">
        <f t="shared" si="3"/>
        <v>11905000</v>
      </c>
      <c r="AQ19" s="81">
        <f t="shared" si="3"/>
        <v>23391800</v>
      </c>
      <c r="AR19" s="81">
        <f t="shared" si="3"/>
        <v>6699000</v>
      </c>
      <c r="AS19" s="81">
        <f t="shared" si="3"/>
        <v>15190571.428571429</v>
      </c>
      <c r="AT19" s="81">
        <f t="shared" si="3"/>
        <v>22913000</v>
      </c>
      <c r="AU19" s="81">
        <f t="shared" si="3"/>
        <v>4011333.3333333335</v>
      </c>
      <c r="AV19" s="81">
        <f t="shared" si="3"/>
        <v>7042000</v>
      </c>
      <c r="AW19" s="81">
        <f t="shared" si="3"/>
        <v>6752800</v>
      </c>
      <c r="AX19" s="81">
        <f t="shared" si="3"/>
        <v>9241000</v>
      </c>
      <c r="AY19" s="81">
        <f t="shared" si="3"/>
        <v>16146000</v>
      </c>
      <c r="AZ19" s="81">
        <f t="shared" si="3"/>
        <v>19254000</v>
      </c>
      <c r="BA19" s="81">
        <f t="shared" si="3"/>
        <v>8792800</v>
      </c>
      <c r="BB19" s="81">
        <f t="shared" si="3"/>
        <v>8108500</v>
      </c>
      <c r="BC19" s="81">
        <f t="shared" si="3"/>
        <v>10539000</v>
      </c>
      <c r="BD19" s="81">
        <f t="shared" si="3"/>
        <v>17212000</v>
      </c>
    </row>
    <row r="20" spans="1:58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F20" s="68"/>
    </row>
    <row r="21" spans="1:58" s="68" customFormat="1" ht="38.5" customHeight="1" x14ac:dyDescent="0.3">
      <c r="A21" s="62" t="s">
        <v>19</v>
      </c>
      <c r="B21" s="67" t="s">
        <v>20</v>
      </c>
      <c r="C21" s="67">
        <f t="shared" ref="C21:C28" si="4">SUM(D21:BD21)</f>
        <v>2058366666.666667</v>
      </c>
      <c r="D21" s="82">
        <v>24000000</v>
      </c>
      <c r="E21" s="83">
        <v>49333333.333333336</v>
      </c>
      <c r="F21" s="68">
        <v>42000000</v>
      </c>
      <c r="G21" s="82">
        <v>53000000</v>
      </c>
      <c r="H21" s="82">
        <v>45000000</v>
      </c>
      <c r="I21" s="82">
        <v>33000000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51000000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40000000</v>
      </c>
      <c r="AE21" s="82">
        <v>12500000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13000000</v>
      </c>
      <c r="AV21" s="82">
        <v>26666666.666666668</v>
      </c>
      <c r="AW21" s="82">
        <v>26000000</v>
      </c>
      <c r="AX21" s="82">
        <v>22000000</v>
      </c>
      <c r="AY21" s="82">
        <v>60000000</v>
      </c>
      <c r="AZ21" s="82">
        <v>50000000</v>
      </c>
      <c r="BA21" s="82">
        <v>32000000</v>
      </c>
      <c r="BB21" s="82">
        <v>16000000</v>
      </c>
      <c r="BC21" s="82">
        <v>41000000</v>
      </c>
      <c r="BD21" s="82">
        <v>84500000</v>
      </c>
    </row>
    <row r="22" spans="1:58" s="68" customFormat="1" ht="39" customHeight="1" x14ac:dyDescent="0.3">
      <c r="A22" s="84" t="s">
        <v>21</v>
      </c>
      <c r="C22" s="67">
        <f t="shared" si="4"/>
        <v>11676000</v>
      </c>
      <c r="D22" s="82"/>
      <c r="E22" s="82">
        <v>1150000</v>
      </c>
      <c r="F22" s="82"/>
      <c r="G22" s="82">
        <v>1400000</v>
      </c>
      <c r="H22" s="82">
        <v>770000</v>
      </c>
      <c r="I22" s="82"/>
      <c r="J22" s="82"/>
      <c r="K22" s="82"/>
      <c r="L22" s="82"/>
      <c r="M22" s="82">
        <v>1400000</v>
      </c>
      <c r="N22" s="82"/>
      <c r="O22" s="82">
        <v>770000</v>
      </c>
      <c r="P22" s="82"/>
      <c r="Q22" s="82"/>
      <c r="R22" s="82"/>
      <c r="S22" s="82"/>
      <c r="T22" s="82"/>
      <c r="U22" s="82"/>
      <c r="V22" s="82"/>
      <c r="W22" s="83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>
        <v>800000</v>
      </c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>
        <v>5386000</v>
      </c>
    </row>
    <row r="23" spans="1:58" s="68" customFormat="1" ht="20.5" customHeight="1" x14ac:dyDescent="0.3">
      <c r="A23" s="131" t="s">
        <v>22</v>
      </c>
      <c r="B23" s="67" t="s">
        <v>23</v>
      </c>
      <c r="C23" s="67">
        <f t="shared" si="4"/>
        <v>314752225</v>
      </c>
      <c r="D23" s="82">
        <v>2868566</v>
      </c>
      <c r="E23" s="83">
        <v>5096211</v>
      </c>
      <c r="F23" s="83">
        <v>5822301</v>
      </c>
      <c r="G23" s="83">
        <v>11255608</v>
      </c>
      <c r="H23" s="82">
        <v>8895636</v>
      </c>
      <c r="I23" s="83">
        <v>4114290.4000000004</v>
      </c>
      <c r="J23" s="82">
        <v>6171435.5999999996</v>
      </c>
      <c r="K23" s="83">
        <v>5794092</v>
      </c>
      <c r="L23" s="83">
        <v>6898954</v>
      </c>
      <c r="M23" s="83">
        <v>8127605</v>
      </c>
      <c r="N23" s="82">
        <v>5770548</v>
      </c>
      <c r="O23" s="82">
        <v>8152013</v>
      </c>
      <c r="P23" s="82">
        <v>7682926</v>
      </c>
      <c r="Q23" s="82">
        <v>4796366</v>
      </c>
      <c r="R23" s="82">
        <v>6061025</v>
      </c>
      <c r="S23" s="82">
        <v>3644827</v>
      </c>
      <c r="T23" s="83">
        <v>4067690</v>
      </c>
      <c r="U23" s="82">
        <v>9463630</v>
      </c>
      <c r="V23" s="82">
        <v>3953275</v>
      </c>
      <c r="W23" s="83">
        <v>3953275</v>
      </c>
      <c r="X23" s="82">
        <v>1927800</v>
      </c>
      <c r="Y23" s="83">
        <v>3268015</v>
      </c>
      <c r="Z23" s="83">
        <v>10286741</v>
      </c>
      <c r="AA23" s="83">
        <v>4347950</v>
      </c>
      <c r="AB23" s="83">
        <v>2741126</v>
      </c>
      <c r="AC23" s="83">
        <v>5113994</v>
      </c>
      <c r="AD23" s="83">
        <v>5460102.7999999998</v>
      </c>
      <c r="AE23" s="83">
        <v>2874735.2</v>
      </c>
      <c r="AF23" s="83">
        <v>4973724</v>
      </c>
      <c r="AG23" s="83">
        <v>4318344</v>
      </c>
      <c r="AH23" s="83">
        <v>6109841</v>
      </c>
      <c r="AI23" s="83">
        <v>2580444</v>
      </c>
      <c r="AJ23" s="83">
        <v>11485238</v>
      </c>
      <c r="AK23" s="83">
        <v>4505911</v>
      </c>
      <c r="AL23" s="83">
        <v>7451155</v>
      </c>
      <c r="AM23" s="83">
        <v>6971705</v>
      </c>
      <c r="AN23" s="83">
        <v>3025123</v>
      </c>
      <c r="AO23" s="83">
        <v>3069058</v>
      </c>
      <c r="AP23" s="122">
        <v>4503341</v>
      </c>
      <c r="AQ23" s="83">
        <v>10228230</v>
      </c>
      <c r="AR23" s="83">
        <v>3873377</v>
      </c>
      <c r="AS23" s="83">
        <v>7066030</v>
      </c>
      <c r="AT23" s="83">
        <v>14596308</v>
      </c>
      <c r="AU23" s="83">
        <v>1720980</v>
      </c>
      <c r="AV23" s="83">
        <v>2274804</v>
      </c>
      <c r="AW23" s="83">
        <v>4075164</v>
      </c>
      <c r="AX23" s="83">
        <v>4861944</v>
      </c>
      <c r="AY23" s="83">
        <v>10267042</v>
      </c>
      <c r="AZ23" s="83">
        <v>10820088</v>
      </c>
      <c r="BA23" s="83">
        <v>5057942</v>
      </c>
      <c r="BB23" s="83">
        <v>4331318</v>
      </c>
      <c r="BC23" s="83">
        <v>6548926</v>
      </c>
      <c r="BD23" s="83">
        <v>11425450</v>
      </c>
    </row>
    <row r="24" spans="1:58" s="68" customFormat="1" ht="20.5" customHeight="1" x14ac:dyDescent="0.3">
      <c r="A24" s="131"/>
      <c r="B24" s="68" t="s">
        <v>24</v>
      </c>
      <c r="C24" s="67">
        <f t="shared" si="4"/>
        <v>124079325</v>
      </c>
      <c r="D24" s="82">
        <v>1575500</v>
      </c>
      <c r="E24" s="83">
        <v>908500</v>
      </c>
      <c r="F24" s="83">
        <v>3283250</v>
      </c>
      <c r="G24" s="83">
        <v>0</v>
      </c>
      <c r="H24" s="82">
        <v>8604300</v>
      </c>
      <c r="I24" s="83">
        <v>2625333.3333333335</v>
      </c>
      <c r="J24" s="82">
        <v>3108333.3333333335</v>
      </c>
      <c r="K24" s="83">
        <v>1540000</v>
      </c>
      <c r="L24" s="83">
        <v>3675000</v>
      </c>
      <c r="M24" s="83">
        <v>4173333.3333333335</v>
      </c>
      <c r="N24" s="82">
        <v>1000000</v>
      </c>
      <c r="O24" s="82">
        <v>5367050</v>
      </c>
      <c r="P24" s="82">
        <v>5487800</v>
      </c>
      <c r="Q24" s="82">
        <v>488750</v>
      </c>
      <c r="R24" s="82">
        <v>0</v>
      </c>
      <c r="S24" s="82">
        <v>2501250</v>
      </c>
      <c r="T24" s="82">
        <v>0</v>
      </c>
      <c r="U24" s="82">
        <v>3997400</v>
      </c>
      <c r="V24" s="82">
        <v>768200</v>
      </c>
      <c r="W24" s="83">
        <v>1482350</v>
      </c>
      <c r="X24" s="82">
        <v>2103350</v>
      </c>
      <c r="Y24" s="82"/>
      <c r="Z24" s="83">
        <v>833000</v>
      </c>
      <c r="AA24" s="83">
        <v>3195750</v>
      </c>
      <c r="AB24" s="83">
        <v>892400</v>
      </c>
      <c r="AC24" s="83">
        <v>1637600</v>
      </c>
      <c r="AD24" s="83">
        <v>919320</v>
      </c>
      <c r="AE24" s="83">
        <v>612880</v>
      </c>
      <c r="AF24" s="83">
        <v>1668850</v>
      </c>
      <c r="AG24" s="83">
        <v>689000</v>
      </c>
      <c r="AH24" s="83">
        <v>3590300</v>
      </c>
      <c r="AI24" s="83">
        <v>377200</v>
      </c>
      <c r="AJ24" s="83">
        <v>3182050</v>
      </c>
      <c r="AK24" s="83">
        <v>1265000</v>
      </c>
      <c r="AL24" s="83">
        <v>791000</v>
      </c>
      <c r="AM24" s="83">
        <v>4194050</v>
      </c>
      <c r="AN24" s="83">
        <v>581900</v>
      </c>
      <c r="AO24" s="83">
        <v>0</v>
      </c>
      <c r="AP24" s="83">
        <v>2227550</v>
      </c>
      <c r="AQ24" s="83">
        <v>5860000</v>
      </c>
      <c r="AR24" s="83">
        <v>100000</v>
      </c>
      <c r="AS24" s="83">
        <v>4920850</v>
      </c>
      <c r="AT24" s="83">
        <v>13642450</v>
      </c>
      <c r="AU24" s="83">
        <v>799250</v>
      </c>
      <c r="AV24" s="83">
        <v>1202900</v>
      </c>
      <c r="AW24" s="83">
        <v>2584050</v>
      </c>
      <c r="AX24" s="83">
        <v>3811100</v>
      </c>
      <c r="AY24" s="83">
        <v>0</v>
      </c>
      <c r="AZ24" s="83">
        <v>3997400</v>
      </c>
      <c r="BA24" s="83">
        <v>651000</v>
      </c>
      <c r="BB24" s="83">
        <v>1523175</v>
      </c>
      <c r="BC24" s="83">
        <v>1606550</v>
      </c>
      <c r="BD24" s="83">
        <v>4033050</v>
      </c>
    </row>
    <row r="25" spans="1:58" s="68" customFormat="1" ht="19" customHeight="1" x14ac:dyDescent="0.3">
      <c r="A25" s="131"/>
      <c r="B25" s="67" t="s">
        <v>25</v>
      </c>
      <c r="C25" s="67">
        <f t="shared" si="4"/>
        <v>16190395.916666668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265000</v>
      </c>
      <c r="R25" s="82">
        <v>320000</v>
      </c>
      <c r="S25" s="82">
        <v>298166.66666666669</v>
      </c>
      <c r="T25" s="82">
        <v>220000</v>
      </c>
      <c r="U25" s="82">
        <v>545000</v>
      </c>
      <c r="V25" s="82">
        <v>299999.66666666669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0</v>
      </c>
      <c r="AK25" s="83">
        <v>245000</v>
      </c>
      <c r="AL25" s="83">
        <v>450000</v>
      </c>
      <c r="AM25" s="83">
        <v>639996</v>
      </c>
      <c r="AN25" s="83">
        <v>336500</v>
      </c>
      <c r="AO25" s="83"/>
      <c r="AP25" s="83">
        <v>215000</v>
      </c>
      <c r="AQ25" s="83">
        <v>470000</v>
      </c>
      <c r="AR25" s="83">
        <v>470000</v>
      </c>
      <c r="AS25" s="83">
        <v>270000</v>
      </c>
      <c r="AT25" s="83">
        <v>818166.66666666674</v>
      </c>
      <c r="AU25" s="83">
        <v>235000</v>
      </c>
      <c r="AV25" s="83">
        <v>235000</v>
      </c>
      <c r="AW25" s="83">
        <v>289833.33333333331</v>
      </c>
      <c r="AX25" s="83">
        <v>235000</v>
      </c>
      <c r="AY25" s="83">
        <v>235000</v>
      </c>
      <c r="AZ25" s="83">
        <v>235000</v>
      </c>
      <c r="BA25" s="83">
        <v>0</v>
      </c>
      <c r="BB25" s="83">
        <v>0</v>
      </c>
      <c r="BC25" s="83">
        <v>0</v>
      </c>
      <c r="BD25" s="83"/>
    </row>
    <row r="26" spans="1:58" s="68" customFormat="1" ht="18.5" customHeight="1" x14ac:dyDescent="0.3">
      <c r="A26" s="131"/>
      <c r="B26" s="67" t="s">
        <v>26</v>
      </c>
      <c r="C26" s="67">
        <f t="shared" si="4"/>
        <v>10660000</v>
      </c>
      <c r="D26" s="82">
        <v>200000</v>
      </c>
      <c r="E26" s="82"/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200000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2">
        <v>300000</v>
      </c>
      <c r="V26" s="82">
        <v>166666.66666666666</v>
      </c>
      <c r="W26" s="83">
        <v>166666.66666666666</v>
      </c>
      <c r="X26" s="82">
        <v>166666.66666666666</v>
      </c>
      <c r="Y26" s="82"/>
      <c r="Z26" s="83">
        <v>300000</v>
      </c>
      <c r="AA26" s="83">
        <v>500000</v>
      </c>
      <c r="AB26" s="83">
        <v>200000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>
        <v>250000</v>
      </c>
      <c r="AJ26" s="83">
        <v>250000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200000</v>
      </c>
      <c r="AQ26" s="83">
        <v>300000</v>
      </c>
      <c r="AR26" s="83">
        <v>200000</v>
      </c>
      <c r="AS26" s="83"/>
      <c r="AT26" s="83">
        <v>400000</v>
      </c>
      <c r="AU26" s="83">
        <v>200000</v>
      </c>
      <c r="AV26" s="83">
        <v>300000</v>
      </c>
      <c r="AW26" s="83">
        <v>300000</v>
      </c>
      <c r="AX26" s="83">
        <v>250000</v>
      </c>
      <c r="AY26" s="83">
        <v>500000</v>
      </c>
      <c r="AZ26" s="83">
        <v>300000</v>
      </c>
      <c r="BA26" s="83">
        <v>0</v>
      </c>
      <c r="BB26" s="83">
        <v>300000</v>
      </c>
      <c r="BC26" s="83">
        <v>250000</v>
      </c>
      <c r="BD26" s="83">
        <v>300000</v>
      </c>
    </row>
    <row r="27" spans="1:58" s="68" customFormat="1" ht="17.5" customHeight="1" x14ac:dyDescent="0.3">
      <c r="A27" s="131"/>
      <c r="B27" s="67" t="s">
        <v>27</v>
      </c>
      <c r="C27" s="67">
        <f t="shared" si="4"/>
        <v>1440000</v>
      </c>
      <c r="D27" s="82"/>
      <c r="F27" s="83"/>
      <c r="H27" s="82"/>
      <c r="I27" s="82"/>
      <c r="J27" s="83"/>
      <c r="K27" s="83"/>
      <c r="L27" s="82"/>
      <c r="M27" s="83"/>
      <c r="N27" s="82"/>
      <c r="W27" s="83"/>
      <c r="AA27" s="83"/>
      <c r="AL27" s="68">
        <v>1440000</v>
      </c>
    </row>
    <row r="28" spans="1:58" s="68" customFormat="1" ht="19.5" customHeight="1" x14ac:dyDescent="0.3">
      <c r="A28" s="131"/>
      <c r="B28" s="67" t="s">
        <v>28</v>
      </c>
      <c r="C28" s="67">
        <f t="shared" si="4"/>
        <v>333333.33333333331</v>
      </c>
      <c r="F28" s="82"/>
      <c r="I28" s="82"/>
      <c r="L28" s="82"/>
      <c r="M28" s="82">
        <v>333333.33333333331</v>
      </c>
      <c r="N28" s="82"/>
    </row>
    <row r="29" spans="1:58" s="64" customFormat="1" ht="13" x14ac:dyDescent="0.3">
      <c r="A29" s="88" t="s">
        <v>29</v>
      </c>
      <c r="B29" s="60"/>
      <c r="C29" s="62">
        <f>SUM(C21:C28)</f>
        <v>2537497945.916667</v>
      </c>
      <c r="D29" s="60">
        <f t="shared" ref="D29:BD29" si="5">SUM(D21:D28)</f>
        <v>28924066</v>
      </c>
      <c r="E29" s="60">
        <f t="shared" si="5"/>
        <v>56925944.333333336</v>
      </c>
      <c r="F29" s="60">
        <f t="shared" si="5"/>
        <v>51565551</v>
      </c>
      <c r="G29" s="60">
        <f t="shared" si="5"/>
        <v>66200608</v>
      </c>
      <c r="H29" s="60">
        <f t="shared" si="5"/>
        <v>63729936</v>
      </c>
      <c r="I29" s="60">
        <f>SUM(I21:I28)</f>
        <v>40152123.983333334</v>
      </c>
      <c r="J29" s="60">
        <f t="shared" si="5"/>
        <v>45692268.933333337</v>
      </c>
      <c r="K29" s="60">
        <f t="shared" si="5"/>
        <v>29746592</v>
      </c>
      <c r="L29" s="60">
        <f t="shared" si="5"/>
        <v>84886454</v>
      </c>
      <c r="M29" s="60">
        <f t="shared" si="5"/>
        <v>79634271.666666657</v>
      </c>
      <c r="N29" s="60">
        <f t="shared" si="5"/>
        <v>53415548</v>
      </c>
      <c r="O29" s="60">
        <f t="shared" si="5"/>
        <v>65789063</v>
      </c>
      <c r="P29" s="60">
        <f t="shared" si="5"/>
        <v>74865726</v>
      </c>
      <c r="Q29" s="60">
        <f t="shared" si="5"/>
        <v>36500116</v>
      </c>
      <c r="R29" s="60">
        <f t="shared" si="5"/>
        <v>51631025</v>
      </c>
      <c r="S29" s="60">
        <f t="shared" si="5"/>
        <v>31744243.666666668</v>
      </c>
      <c r="T29" s="60">
        <f t="shared" si="5"/>
        <v>15287690</v>
      </c>
      <c r="U29" s="60">
        <f t="shared" si="5"/>
        <v>74306030</v>
      </c>
      <c r="V29" s="60">
        <f t="shared" si="5"/>
        <v>38188141.333333328</v>
      </c>
      <c r="W29" s="60">
        <f t="shared" si="5"/>
        <v>44432291.666666664</v>
      </c>
      <c r="X29" s="60">
        <f t="shared" si="5"/>
        <v>28527816.666666668</v>
      </c>
      <c r="Y29" s="60">
        <f t="shared" si="5"/>
        <v>17488015</v>
      </c>
      <c r="Z29" s="60">
        <f t="shared" si="5"/>
        <v>54984741</v>
      </c>
      <c r="AA29" s="60">
        <f t="shared" si="5"/>
        <v>50573533.333333336</v>
      </c>
      <c r="AB29" s="60">
        <f t="shared" si="5"/>
        <v>14578526</v>
      </c>
      <c r="AC29" s="60">
        <f t="shared" si="5"/>
        <v>35951594</v>
      </c>
      <c r="AD29" s="60">
        <f t="shared" si="5"/>
        <v>46849422.799999997</v>
      </c>
      <c r="AE29" s="60">
        <f t="shared" si="5"/>
        <v>16457615.199999999</v>
      </c>
      <c r="AF29" s="60">
        <f t="shared" si="5"/>
        <v>44122574</v>
      </c>
      <c r="AG29" s="60">
        <f t="shared" si="5"/>
        <v>36819010.666666672</v>
      </c>
      <c r="AH29" s="60">
        <f t="shared" si="5"/>
        <v>46545141</v>
      </c>
      <c r="AI29" s="60">
        <f t="shared" si="5"/>
        <v>13427644</v>
      </c>
      <c r="AJ29" s="60">
        <f t="shared" si="5"/>
        <v>76917288</v>
      </c>
      <c r="AK29" s="60">
        <f t="shared" si="5"/>
        <v>43315911</v>
      </c>
      <c r="AL29" s="60">
        <f t="shared" si="5"/>
        <v>45132155</v>
      </c>
      <c r="AM29" s="60">
        <f t="shared" si="5"/>
        <v>62105751</v>
      </c>
      <c r="AN29" s="60">
        <f t="shared" si="5"/>
        <v>23243523</v>
      </c>
      <c r="AO29" s="60">
        <f t="shared" si="5"/>
        <v>13069058</v>
      </c>
      <c r="AP29" s="60">
        <f t="shared" si="5"/>
        <v>43945891</v>
      </c>
      <c r="AQ29" s="60">
        <f t="shared" si="5"/>
        <v>96858230</v>
      </c>
      <c r="AR29" s="60">
        <f t="shared" si="5"/>
        <v>30643377</v>
      </c>
      <c r="AS29" s="60">
        <f t="shared" si="5"/>
        <v>65556880</v>
      </c>
      <c r="AT29" s="60">
        <f t="shared" si="5"/>
        <v>134456924.66666669</v>
      </c>
      <c r="AU29" s="60">
        <f t="shared" si="5"/>
        <v>15955230</v>
      </c>
      <c r="AV29" s="60">
        <f t="shared" si="5"/>
        <v>30679370.666666668</v>
      </c>
      <c r="AW29" s="60">
        <f t="shared" si="5"/>
        <v>33249047.333333332</v>
      </c>
      <c r="AX29" s="60">
        <f t="shared" si="5"/>
        <v>31158044</v>
      </c>
      <c r="AY29" s="60">
        <f t="shared" si="5"/>
        <v>71002042</v>
      </c>
      <c r="AZ29" s="60">
        <f t="shared" si="5"/>
        <v>65352488</v>
      </c>
      <c r="BA29" s="60">
        <f t="shared" si="5"/>
        <v>37708942</v>
      </c>
      <c r="BB29" s="60">
        <f t="shared" si="5"/>
        <v>22154493</v>
      </c>
      <c r="BC29" s="60">
        <f t="shared" si="5"/>
        <v>49405476</v>
      </c>
      <c r="BD29" s="60">
        <f t="shared" si="5"/>
        <v>105644500</v>
      </c>
      <c r="BF29" s="68"/>
    </row>
    <row r="30" spans="1:58" s="68" customFormat="1" ht="24" customHeight="1" x14ac:dyDescent="0.3">
      <c r="A30" s="132" t="s">
        <v>30</v>
      </c>
      <c r="B30" s="67" t="s">
        <v>31</v>
      </c>
      <c r="C30" s="67">
        <f t="shared" ref="C30:C43" si="6">SUM(D30:BD30)</f>
        <v>70665785.050333261</v>
      </c>
      <c r="D30" s="82">
        <v>934655.87044534413</v>
      </c>
      <c r="E30" s="83">
        <v>1672794.9003524734</v>
      </c>
      <c r="F30" s="83">
        <v>1701440.16954858</v>
      </c>
      <c r="G30" s="82">
        <v>2390182.7627088055</v>
      </c>
      <c r="H30" s="83">
        <v>1527403.128657368</v>
      </c>
      <c r="I30" s="82">
        <v>1320655.4121151937</v>
      </c>
      <c r="J30" s="82">
        <v>1432396.9464575176</v>
      </c>
      <c r="K30" s="82">
        <v>1160771.9298245613</v>
      </c>
      <c r="L30" s="83">
        <v>2470000</v>
      </c>
      <c r="M30" s="82">
        <v>2193994.2976382552</v>
      </c>
      <c r="N30" s="82">
        <v>1527010.7173853032</v>
      </c>
      <c r="O30" s="82">
        <v>1829627.3242704328</v>
      </c>
      <c r="P30" s="82">
        <v>1642488.5131132011</v>
      </c>
      <c r="Q30" s="82">
        <v>1181229.7238372094</v>
      </c>
      <c r="R30" s="82">
        <v>798253.6294920186</v>
      </c>
      <c r="S30" s="82">
        <v>1096032.3886639676</v>
      </c>
      <c r="T30" s="83">
        <v>1068872.8897715986</v>
      </c>
      <c r="U30" s="82">
        <v>2363611.1251323246</v>
      </c>
      <c r="V30" s="83">
        <v>817155.53922540019</v>
      </c>
      <c r="W30" s="83">
        <v>810599.7712597436</v>
      </c>
      <c r="X30" s="82">
        <v>574950.09818796127</v>
      </c>
      <c r="Y30" s="82">
        <v>599798.38709677407</v>
      </c>
      <c r="Z30" s="82">
        <v>1026840.8816566047</v>
      </c>
      <c r="AA30" s="82">
        <v>1776553.0409433881</v>
      </c>
      <c r="AB30" s="82">
        <v>900447.54962452454</v>
      </c>
      <c r="AC30" s="82">
        <v>754812.35420444468</v>
      </c>
      <c r="AD30" s="82">
        <v>1104566.5540594682</v>
      </c>
      <c r="AE30" s="82">
        <v>844959.05163179315</v>
      </c>
      <c r="AF30" s="82">
        <v>1288936.1702127659</v>
      </c>
      <c r="AG30" s="82">
        <v>1030048.5145139978</v>
      </c>
      <c r="AH30" s="82">
        <v>1546542.6511083022</v>
      </c>
      <c r="AI30" s="82">
        <v>96000</v>
      </c>
      <c r="AJ30" s="83">
        <v>1667355.8381456393</v>
      </c>
      <c r="AK30" s="82">
        <v>1325939.1022287328</v>
      </c>
      <c r="AL30" s="82">
        <v>1624903.9445265431</v>
      </c>
      <c r="AM30" s="82">
        <v>1779504.3301478883</v>
      </c>
      <c r="AN30" s="82">
        <v>1086502.2334433873</v>
      </c>
      <c r="AO30" s="82">
        <v>685298.72618227522</v>
      </c>
      <c r="AP30" s="82">
        <v>1169122.8070175438</v>
      </c>
      <c r="AQ30" s="82">
        <v>2217871.518339118</v>
      </c>
      <c r="AR30" s="82">
        <v>1183823.1504015971</v>
      </c>
      <c r="AS30" s="82">
        <v>1768955.3122852754</v>
      </c>
      <c r="AT30" s="82">
        <v>2765683.4181773486</v>
      </c>
      <c r="AU30" s="82">
        <v>814764.16535354184</v>
      </c>
      <c r="AV30" s="82">
        <v>706982.58841680514</v>
      </c>
      <c r="AW30" s="83">
        <v>658685.61994120735</v>
      </c>
      <c r="AX30" s="82">
        <v>1074863.9236088817</v>
      </c>
      <c r="AY30" s="82">
        <v>1944707.3130136055</v>
      </c>
      <c r="AZ30" s="82">
        <v>1964577.6352168357</v>
      </c>
      <c r="BA30" s="82">
        <v>1076217.3796072099</v>
      </c>
      <c r="BB30" s="82">
        <v>1097489.617264369</v>
      </c>
      <c r="BC30" s="82">
        <v>915549.95269587007</v>
      </c>
      <c r="BD30" s="82">
        <v>1653354.1811802485</v>
      </c>
    </row>
    <row r="31" spans="1:58" s="68" customFormat="1" ht="24" customHeight="1" x14ac:dyDescent="0.3">
      <c r="A31" s="133"/>
      <c r="B31" s="67" t="s">
        <v>32</v>
      </c>
      <c r="C31" s="67">
        <f t="shared" si="6"/>
        <v>6791701.2448132802</v>
      </c>
      <c r="D31" s="82">
        <v>79668.049792531121</v>
      </c>
      <c r="E31" s="83">
        <v>169294.60580912864</v>
      </c>
      <c r="F31" s="83">
        <v>139419.08713692945</v>
      </c>
      <c r="G31" s="82">
        <v>219087.13692946057</v>
      </c>
      <c r="H31" s="83">
        <v>149377.59336099584</v>
      </c>
      <c r="I31" s="82">
        <v>109543.56846473028</v>
      </c>
      <c r="J31" s="82">
        <v>129460.58091286308</v>
      </c>
      <c r="K31" s="82">
        <v>99585.062240663901</v>
      </c>
      <c r="L31" s="83">
        <v>189211.61825726141</v>
      </c>
      <c r="M31" s="82">
        <v>179253.11203319504</v>
      </c>
      <c r="N31" s="82">
        <v>149377.59336099584</v>
      </c>
      <c r="O31" s="82">
        <v>169294.60580912864</v>
      </c>
      <c r="P31" s="82">
        <v>179253.11203319504</v>
      </c>
      <c r="Q31" s="82">
        <v>99585.062240663901</v>
      </c>
      <c r="R31" s="82">
        <v>119502.07468879668</v>
      </c>
      <c r="S31" s="82">
        <v>89626.556016597518</v>
      </c>
      <c r="T31" s="83">
        <v>89626.556016597518</v>
      </c>
      <c r="U31" s="82">
        <v>209128.6307053942</v>
      </c>
      <c r="V31" s="83">
        <v>99585.062240663901</v>
      </c>
      <c r="W31" s="83">
        <v>109543.56846473028</v>
      </c>
      <c r="X31" s="82">
        <v>79668.049792531121</v>
      </c>
      <c r="Y31" s="82">
        <v>69709.543568464724</v>
      </c>
      <c r="Z31" s="82">
        <v>129460.58091286308</v>
      </c>
      <c r="AA31" s="82">
        <v>149377.59336099584</v>
      </c>
      <c r="AB31" s="82">
        <v>69709.543568464724</v>
      </c>
      <c r="AC31" s="82">
        <v>89626.556016597518</v>
      </c>
      <c r="AD31" s="82">
        <v>109543.56846473028</v>
      </c>
      <c r="AE31" s="82">
        <v>69709.543568464724</v>
      </c>
      <c r="AF31" s="82">
        <v>99585.062240663901</v>
      </c>
      <c r="AG31" s="82">
        <v>109543.56846473028</v>
      </c>
      <c r="AH31" s="82">
        <v>139419.08713692945</v>
      </c>
      <c r="AI31" s="82">
        <v>79668.049792531121</v>
      </c>
      <c r="AJ31" s="83">
        <v>169294.60580912864</v>
      </c>
      <c r="AK31" s="82">
        <v>109543.56846473028</v>
      </c>
      <c r="AL31" s="82">
        <v>139419.08713692945</v>
      </c>
      <c r="AM31" s="82">
        <v>179253.11203319504</v>
      </c>
      <c r="AN31" s="82">
        <v>89626.556016597518</v>
      </c>
      <c r="AO31" s="82">
        <v>69709.543568464724</v>
      </c>
      <c r="AP31" s="82">
        <v>99585.062240663901</v>
      </c>
      <c r="AQ31" s="82">
        <v>219087.13692946057</v>
      </c>
      <c r="AR31" s="82">
        <v>99585.062240663901</v>
      </c>
      <c r="AS31" s="82">
        <v>159336.09958506224</v>
      </c>
      <c r="AT31" s="82">
        <v>258921.16182572616</v>
      </c>
      <c r="AU31" s="82">
        <v>79668.049792531121</v>
      </c>
      <c r="AV31" s="82">
        <v>89626.556016597518</v>
      </c>
      <c r="AW31" s="83">
        <v>79668.049792531121</v>
      </c>
      <c r="AX31" s="82">
        <v>89626.556016597518</v>
      </c>
      <c r="AY31" s="82">
        <v>179253.11203319504</v>
      </c>
      <c r="AZ31" s="82">
        <v>149377.59336099584</v>
      </c>
      <c r="BA31" s="82">
        <v>99585.062240663901</v>
      </c>
      <c r="BB31" s="82">
        <v>89626.556016597518</v>
      </c>
      <c r="BC31" s="82">
        <v>99585.062240663901</v>
      </c>
      <c r="BD31" s="82">
        <v>268879.66804979253</v>
      </c>
    </row>
    <row r="32" spans="1:58" s="68" customFormat="1" ht="24" customHeight="1" x14ac:dyDescent="0.3">
      <c r="A32" s="133"/>
      <c r="B32" s="67" t="s">
        <v>33</v>
      </c>
      <c r="C32" s="67">
        <f t="shared" si="6"/>
        <v>10433751.0373444</v>
      </c>
      <c r="D32" s="82">
        <v>122390.04149377593</v>
      </c>
      <c r="E32" s="83">
        <v>260078.83817427387</v>
      </c>
      <c r="F32" s="83">
        <v>214182.57261410789</v>
      </c>
      <c r="G32" s="82">
        <v>336572.61410788383</v>
      </c>
      <c r="H32" s="83">
        <v>229481.32780082989</v>
      </c>
      <c r="I32" s="82">
        <v>168286.30705394191</v>
      </c>
      <c r="J32" s="82">
        <v>198883.81742738589</v>
      </c>
      <c r="K32" s="82">
        <v>152987.55186721991</v>
      </c>
      <c r="L32" s="83">
        <v>290676.34854771785</v>
      </c>
      <c r="M32" s="82">
        <v>275377.59336099587</v>
      </c>
      <c r="N32" s="82">
        <v>229481.32780082989</v>
      </c>
      <c r="O32" s="82">
        <v>260078.83817427387</v>
      </c>
      <c r="P32" s="82">
        <v>275377.59336099587</v>
      </c>
      <c r="Q32" s="82">
        <v>152987.55186721991</v>
      </c>
      <c r="R32" s="82">
        <v>183585.06224066392</v>
      </c>
      <c r="S32" s="82">
        <v>137688.79668049794</v>
      </c>
      <c r="T32" s="83">
        <v>137688.79668049794</v>
      </c>
      <c r="U32" s="82">
        <v>321273.85892116185</v>
      </c>
      <c r="V32" s="83">
        <v>152987.55186721991</v>
      </c>
      <c r="W32" s="83">
        <v>168286.30705394191</v>
      </c>
      <c r="X32" s="82">
        <v>122390.04149377593</v>
      </c>
      <c r="Y32" s="82">
        <v>107091.28630705395</v>
      </c>
      <c r="Z32" s="82">
        <v>198883.81742738589</v>
      </c>
      <c r="AA32" s="82">
        <v>229481.32780082989</v>
      </c>
      <c r="AB32" s="82">
        <v>107091.28630705395</v>
      </c>
      <c r="AC32" s="82">
        <v>137688.79668049794</v>
      </c>
      <c r="AD32" s="82">
        <v>168286.30705394191</v>
      </c>
      <c r="AE32" s="82">
        <v>107091.28630705395</v>
      </c>
      <c r="AF32" s="82">
        <v>152987.55186721991</v>
      </c>
      <c r="AG32" s="82">
        <v>168286.30705394191</v>
      </c>
      <c r="AH32" s="82">
        <v>214182.57261410789</v>
      </c>
      <c r="AI32" s="82">
        <v>122390.04149377593</v>
      </c>
      <c r="AJ32" s="83">
        <v>260078.83817427387</v>
      </c>
      <c r="AK32" s="82">
        <v>168286.30705394191</v>
      </c>
      <c r="AL32" s="82">
        <v>214182.57261410789</v>
      </c>
      <c r="AM32" s="82">
        <v>275377.59336099587</v>
      </c>
      <c r="AN32" s="82">
        <v>137688.79668049794</v>
      </c>
      <c r="AO32" s="82">
        <v>107091.28630705395</v>
      </c>
      <c r="AP32" s="82">
        <v>152987.55186721991</v>
      </c>
      <c r="AQ32" s="82">
        <v>336572.61410788383</v>
      </c>
      <c r="AR32" s="82">
        <v>152987.55186721991</v>
      </c>
      <c r="AS32" s="82">
        <v>244780.08298755187</v>
      </c>
      <c r="AT32" s="82">
        <v>397767.63485477178</v>
      </c>
      <c r="AU32" s="82">
        <v>122390.04149377593</v>
      </c>
      <c r="AV32" s="82">
        <v>137688.79668049794</v>
      </c>
      <c r="AW32" s="83">
        <v>122390.04149377593</v>
      </c>
      <c r="AX32" s="82">
        <v>137688.79668049794</v>
      </c>
      <c r="AY32" s="82">
        <v>275377.59336099587</v>
      </c>
      <c r="AZ32" s="82">
        <v>229481.32780082989</v>
      </c>
      <c r="BA32" s="82">
        <v>152987.55186721991</v>
      </c>
      <c r="BB32" s="82">
        <v>137688.79668049794</v>
      </c>
      <c r="BC32" s="82">
        <v>152987.55186721991</v>
      </c>
      <c r="BD32" s="82">
        <v>413066.39004149381</v>
      </c>
    </row>
    <row r="33" spans="1:58" s="68" customFormat="1" ht="24" customHeight="1" x14ac:dyDescent="0.3">
      <c r="A33" s="133"/>
      <c r="B33" s="67" t="s">
        <v>166</v>
      </c>
      <c r="C33" s="67">
        <f t="shared" si="6"/>
        <v>7937800.8298755204</v>
      </c>
      <c r="D33" s="82">
        <v>93112.033195020747</v>
      </c>
      <c r="E33" s="83">
        <v>197863.07053941907</v>
      </c>
      <c r="F33" s="83">
        <v>162946.05809128631</v>
      </c>
      <c r="G33" s="82">
        <v>256058.09128630706</v>
      </c>
      <c r="H33" s="83">
        <v>174585.06224066392</v>
      </c>
      <c r="I33" s="82">
        <v>128029.04564315353</v>
      </c>
      <c r="J33" s="82">
        <v>151307.0539419087</v>
      </c>
      <c r="K33" s="82">
        <v>116390.04149377593</v>
      </c>
      <c r="L33" s="83">
        <v>221141.07883817429</v>
      </c>
      <c r="M33" s="82">
        <v>209502.07468879668</v>
      </c>
      <c r="N33" s="82">
        <v>174585.06224066392</v>
      </c>
      <c r="O33" s="82">
        <v>197863.07053941907</v>
      </c>
      <c r="P33" s="82">
        <v>209502.07468879668</v>
      </c>
      <c r="Q33" s="82">
        <v>116390.04149377593</v>
      </c>
      <c r="R33" s="82">
        <v>139668.04979253112</v>
      </c>
      <c r="S33" s="82">
        <v>104751.03734439834</v>
      </c>
      <c r="T33" s="83">
        <v>104751.03734439834</v>
      </c>
      <c r="U33" s="82">
        <v>244419.08713692945</v>
      </c>
      <c r="V33" s="83">
        <v>116390.04149377593</v>
      </c>
      <c r="W33" s="83">
        <v>128029.04564315353</v>
      </c>
      <c r="X33" s="82">
        <v>93112.033195020747</v>
      </c>
      <c r="Y33" s="82">
        <v>81473.029045643154</v>
      </c>
      <c r="Z33" s="82">
        <v>151307.0539419087</v>
      </c>
      <c r="AA33" s="82">
        <v>174585.06224066392</v>
      </c>
      <c r="AB33" s="82">
        <v>81473.029045643154</v>
      </c>
      <c r="AC33" s="82">
        <v>104751.03734439834</v>
      </c>
      <c r="AD33" s="82">
        <v>128029.04564315353</v>
      </c>
      <c r="AE33" s="82">
        <v>81473.029045643154</v>
      </c>
      <c r="AF33" s="82">
        <v>116390.04149377593</v>
      </c>
      <c r="AG33" s="82">
        <v>128029.04564315353</v>
      </c>
      <c r="AH33" s="82">
        <v>162946.05809128631</v>
      </c>
      <c r="AI33" s="82">
        <v>93112.033195020747</v>
      </c>
      <c r="AJ33" s="83">
        <v>197863.07053941907</v>
      </c>
      <c r="AK33" s="82">
        <v>128029.04564315353</v>
      </c>
      <c r="AL33" s="82">
        <v>162946.05809128631</v>
      </c>
      <c r="AM33" s="82">
        <v>209502.07468879668</v>
      </c>
      <c r="AN33" s="82">
        <v>104751.03734439834</v>
      </c>
      <c r="AO33" s="82">
        <v>81473.029045643154</v>
      </c>
      <c r="AP33" s="82">
        <v>116390.04149377593</v>
      </c>
      <c r="AQ33" s="82">
        <v>256058.09128630706</v>
      </c>
      <c r="AR33" s="82">
        <v>116390.04149377593</v>
      </c>
      <c r="AS33" s="82">
        <v>186224.06639004149</v>
      </c>
      <c r="AT33" s="82">
        <v>302614.1078838174</v>
      </c>
      <c r="AU33" s="82">
        <v>93112.033195020747</v>
      </c>
      <c r="AV33" s="82">
        <v>104751.03734439834</v>
      </c>
      <c r="AW33" s="83">
        <v>93112.033195020747</v>
      </c>
      <c r="AX33" s="82">
        <v>104751.03734439834</v>
      </c>
      <c r="AY33" s="82">
        <v>209502.07468879668</v>
      </c>
      <c r="AZ33" s="82">
        <v>174585.06224066392</v>
      </c>
      <c r="BA33" s="82">
        <v>116390.04149377593</v>
      </c>
      <c r="BB33" s="82">
        <v>104751.03734439834</v>
      </c>
      <c r="BC33" s="82">
        <v>116390.04149377593</v>
      </c>
      <c r="BD33" s="82">
        <v>314253.11203319504</v>
      </c>
    </row>
    <row r="34" spans="1:58" s="68" customFormat="1" ht="24" customHeight="1" x14ac:dyDescent="0.3">
      <c r="A34" s="133"/>
      <c r="B34" s="67" t="s">
        <v>167</v>
      </c>
      <c r="C34" s="67">
        <f t="shared" si="6"/>
        <v>3554899.4580912874</v>
      </c>
      <c r="D34" s="82">
        <v>39834.024896265561</v>
      </c>
      <c r="E34" s="83">
        <v>84647.30290456432</v>
      </c>
      <c r="F34" s="83">
        <v>69709.543568464724</v>
      </c>
      <c r="G34" s="82">
        <v>109543.56846473028</v>
      </c>
      <c r="H34" s="83">
        <v>74688.796680497922</v>
      </c>
      <c r="I34" s="82">
        <v>213820.61991701243</v>
      </c>
      <c r="J34" s="82">
        <v>64730.290456431539</v>
      </c>
      <c r="K34" s="82">
        <v>49792.531120331951</v>
      </c>
      <c r="L34" s="83">
        <v>94605.809128630703</v>
      </c>
      <c r="M34" s="82">
        <v>89626.556016597518</v>
      </c>
      <c r="N34" s="82">
        <v>74688.796680497922</v>
      </c>
      <c r="O34" s="82">
        <v>84647.30290456432</v>
      </c>
      <c r="P34" s="82">
        <v>89626.556016597518</v>
      </c>
      <c r="Q34" s="82">
        <v>49792.531120331951</v>
      </c>
      <c r="R34" s="82">
        <v>59751.037344398341</v>
      </c>
      <c r="S34" s="82">
        <v>44813.278008298759</v>
      </c>
      <c r="T34" s="83">
        <v>44813.278008298759</v>
      </c>
      <c r="U34" s="82">
        <v>104564.3153526971</v>
      </c>
      <c r="V34" s="83">
        <v>49792.531120331951</v>
      </c>
      <c r="W34" s="83">
        <v>54771.784232365142</v>
      </c>
      <c r="X34" s="82">
        <v>39834.024896265561</v>
      </c>
      <c r="Y34" s="82">
        <v>34854.771784232362</v>
      </c>
      <c r="Z34" s="82">
        <v>64730.290456431539</v>
      </c>
      <c r="AA34" s="82">
        <v>74688.796680497922</v>
      </c>
      <c r="AB34" s="82">
        <v>34854.771784232362</v>
      </c>
      <c r="AC34" s="82">
        <v>44813.278008298759</v>
      </c>
      <c r="AD34" s="82">
        <v>54771.784232365142</v>
      </c>
      <c r="AE34" s="82">
        <v>34854.771784232362</v>
      </c>
      <c r="AF34" s="82">
        <v>49792.531120331951</v>
      </c>
      <c r="AG34" s="82">
        <v>54771.784232365142</v>
      </c>
      <c r="AH34" s="82">
        <v>69709.543568464724</v>
      </c>
      <c r="AI34" s="82">
        <v>39834.024896265561</v>
      </c>
      <c r="AJ34" s="83">
        <v>84647.30290456432</v>
      </c>
      <c r="AK34" s="82">
        <v>54771.784232365142</v>
      </c>
      <c r="AL34" s="82">
        <v>69709.543568464724</v>
      </c>
      <c r="AM34" s="82">
        <v>89626.556016597518</v>
      </c>
      <c r="AN34" s="82">
        <v>44813.278008298759</v>
      </c>
      <c r="AO34" s="82">
        <v>34854.771784232362</v>
      </c>
      <c r="AP34" s="82">
        <v>49792.531120331951</v>
      </c>
      <c r="AQ34" s="82">
        <v>109543.56846473028</v>
      </c>
      <c r="AR34" s="82">
        <v>49792.531120331951</v>
      </c>
      <c r="AS34" s="82">
        <v>79668.049792531121</v>
      </c>
      <c r="AT34" s="82">
        <v>129460.58091286308</v>
      </c>
      <c r="AU34" s="82">
        <v>39834.024896265561</v>
      </c>
      <c r="AV34" s="82">
        <v>44813.278008298759</v>
      </c>
      <c r="AW34" s="83">
        <v>39834.024896265561</v>
      </c>
      <c r="AX34" s="82">
        <v>44813.278008298759</v>
      </c>
      <c r="AY34" s="82">
        <v>89626.556016597518</v>
      </c>
      <c r="AZ34" s="82">
        <v>74688.796680497922</v>
      </c>
      <c r="BA34" s="82">
        <v>49792.531120331951</v>
      </c>
      <c r="BB34" s="82">
        <v>44813.278008298759</v>
      </c>
      <c r="BC34" s="82">
        <v>49792.531120331951</v>
      </c>
      <c r="BD34" s="82">
        <v>134439.83402489626</v>
      </c>
    </row>
    <row r="35" spans="1:58" s="68" customFormat="1" ht="21.5" customHeight="1" x14ac:dyDescent="0.3">
      <c r="A35" s="133"/>
      <c r="B35" s="67" t="s">
        <v>35</v>
      </c>
      <c r="C35" s="67">
        <f t="shared" si="6"/>
        <v>13393057.814937759</v>
      </c>
      <c r="D35" s="82">
        <v>155505.90539419086</v>
      </c>
      <c r="E35" s="83">
        <v>330450.04896265559</v>
      </c>
      <c r="F35" s="83">
        <v>272135.334439834</v>
      </c>
      <c r="G35" s="82">
        <v>427641.23983402486</v>
      </c>
      <c r="H35" s="83">
        <v>291573.57261410786</v>
      </c>
      <c r="I35" s="82">
        <v>350000</v>
      </c>
      <c r="J35" s="82">
        <v>252697.09626556016</v>
      </c>
      <c r="K35" s="82">
        <v>194382.38174273859</v>
      </c>
      <c r="L35" s="83">
        <v>369326.52531120332</v>
      </c>
      <c r="M35" s="82">
        <v>349888.28713692946</v>
      </c>
      <c r="N35" s="82">
        <v>291573.57261410786</v>
      </c>
      <c r="O35" s="82">
        <v>330450.04896265559</v>
      </c>
      <c r="P35" s="82">
        <v>349888.28713692946</v>
      </c>
      <c r="Q35" s="82">
        <v>194382.38174273859</v>
      </c>
      <c r="R35" s="82">
        <v>233258.8580912863</v>
      </c>
      <c r="S35" s="82">
        <v>174944.14356846473</v>
      </c>
      <c r="T35" s="83">
        <v>174944.14356846473</v>
      </c>
      <c r="U35" s="82">
        <v>408203.001659751</v>
      </c>
      <c r="V35" s="83">
        <v>194382.38174273859</v>
      </c>
      <c r="W35" s="83">
        <v>213820.61991701243</v>
      </c>
      <c r="X35" s="82">
        <v>155505.90539419086</v>
      </c>
      <c r="Y35" s="82">
        <v>136067.667219917</v>
      </c>
      <c r="Z35" s="82">
        <v>252697.09626556016</v>
      </c>
      <c r="AA35" s="82">
        <v>291573.57261410786</v>
      </c>
      <c r="AB35" s="82">
        <v>136067.667219917</v>
      </c>
      <c r="AC35" s="82">
        <v>174944.14356846473</v>
      </c>
      <c r="AD35" s="82">
        <v>213820.61991701243</v>
      </c>
      <c r="AE35" s="82">
        <v>136067.667219917</v>
      </c>
      <c r="AF35" s="82">
        <v>194382.38174273859</v>
      </c>
      <c r="AG35" s="82">
        <v>213820.61991701243</v>
      </c>
      <c r="AH35" s="82">
        <v>272135.334439834</v>
      </c>
      <c r="AI35" s="82">
        <v>155505.90539419086</v>
      </c>
      <c r="AJ35" s="83">
        <v>330450.04896265559</v>
      </c>
      <c r="AK35" s="82">
        <v>213820.61991701243</v>
      </c>
      <c r="AL35" s="82">
        <v>272135.334439834</v>
      </c>
      <c r="AM35" s="82">
        <v>349888.28713692946</v>
      </c>
      <c r="AN35" s="82">
        <v>174944.14356846473</v>
      </c>
      <c r="AO35" s="82">
        <v>136067.667219917</v>
      </c>
      <c r="AP35" s="82">
        <v>194382.38174273859</v>
      </c>
      <c r="AQ35" s="82">
        <v>427641.23983402486</v>
      </c>
      <c r="AR35" s="82">
        <v>194382.38174273859</v>
      </c>
      <c r="AS35" s="82">
        <v>311011.81078838173</v>
      </c>
      <c r="AT35" s="82">
        <v>505394.19253112032</v>
      </c>
      <c r="AU35" s="82">
        <v>155505.90539419086</v>
      </c>
      <c r="AV35" s="82">
        <v>174944.14356846473</v>
      </c>
      <c r="AW35" s="83">
        <v>155505.90539419086</v>
      </c>
      <c r="AX35" s="82">
        <v>174944.14356846473</v>
      </c>
      <c r="AY35" s="82">
        <v>349888.28713692946</v>
      </c>
      <c r="AZ35" s="82">
        <v>291573.57261410786</v>
      </c>
      <c r="BA35" s="82">
        <v>194382.38174273859</v>
      </c>
      <c r="BB35" s="82">
        <v>174944.14356846473</v>
      </c>
      <c r="BC35" s="82">
        <v>194382.38174273859</v>
      </c>
      <c r="BD35" s="82">
        <v>524832.43070539413</v>
      </c>
    </row>
    <row r="36" spans="1:58" s="68" customFormat="1" ht="21" customHeight="1" x14ac:dyDescent="0.3">
      <c r="A36" s="133"/>
      <c r="B36" s="67" t="s">
        <v>36</v>
      </c>
      <c r="C36" s="67">
        <f t="shared" si="6"/>
        <v>21538257.261410788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138257.26141078837</v>
      </c>
      <c r="J36" s="82">
        <v>350000</v>
      </c>
      <c r="K36" s="82">
        <v>350000</v>
      </c>
      <c r="L36" s="83">
        <v>350000</v>
      </c>
      <c r="M36" s="82">
        <v>350000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2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350000</v>
      </c>
      <c r="AB36" s="82">
        <v>350000</v>
      </c>
      <c r="AC36" s="82">
        <v>350000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350000</v>
      </c>
      <c r="AV36" s="82">
        <v>400000</v>
      </c>
      <c r="AW36" s="83">
        <v>400000</v>
      </c>
      <c r="AX36" s="82">
        <v>400000</v>
      </c>
      <c r="AY36" s="82">
        <v>550000</v>
      </c>
      <c r="AZ36" s="82">
        <v>350000</v>
      </c>
      <c r="BA36" s="82">
        <v>400000</v>
      </c>
      <c r="BB36" s="82">
        <v>400000</v>
      </c>
      <c r="BC36" s="82">
        <v>400000</v>
      </c>
      <c r="BD36" s="82">
        <v>550000</v>
      </c>
    </row>
    <row r="37" spans="1:58" s="68" customFormat="1" ht="21.5" customHeight="1" x14ac:dyDescent="0.3">
      <c r="A37" s="133"/>
      <c r="B37" s="67" t="s">
        <v>37</v>
      </c>
      <c r="C37" s="67">
        <f t="shared" si="6"/>
        <v>8514522.8215767667</v>
      </c>
      <c r="D37" s="82">
        <v>103278.00829875519</v>
      </c>
      <c r="E37" s="83">
        <v>208215.76763485477</v>
      </c>
      <c r="F37" s="83">
        <v>173236.51452282158</v>
      </c>
      <c r="G37" s="82">
        <v>266514.52282157674</v>
      </c>
      <c r="H37" s="83">
        <v>184896.26556016598</v>
      </c>
      <c r="I37" s="82">
        <v>200829.8755186722</v>
      </c>
      <c r="J37" s="82">
        <v>161576.76348547719</v>
      </c>
      <c r="K37" s="82">
        <v>126597.51037344398</v>
      </c>
      <c r="L37" s="83">
        <v>231535.26970954356</v>
      </c>
      <c r="M37" s="82">
        <v>219875.51867219916</v>
      </c>
      <c r="N37" s="82">
        <v>184896.26556016598</v>
      </c>
      <c r="O37" s="82">
        <v>208215.76763485477</v>
      </c>
      <c r="P37" s="82">
        <v>219875.51867219916</v>
      </c>
      <c r="Q37" s="82">
        <v>126597.51037344398</v>
      </c>
      <c r="R37" s="82">
        <v>149917.01244813279</v>
      </c>
      <c r="S37" s="82">
        <v>114937.75933609958</v>
      </c>
      <c r="T37" s="83">
        <v>114937.75933609958</v>
      </c>
      <c r="U37" s="82">
        <v>254854.77178423235</v>
      </c>
      <c r="V37" s="83">
        <v>126597.51037344398</v>
      </c>
      <c r="W37" s="83">
        <v>138257.26141078837</v>
      </c>
      <c r="X37" s="82">
        <v>103278.00829875519</v>
      </c>
      <c r="Y37" s="82">
        <v>91618.257261410792</v>
      </c>
      <c r="Z37" s="82">
        <v>161576.76348547719</v>
      </c>
      <c r="AA37" s="82">
        <v>184896.26556016598</v>
      </c>
      <c r="AB37" s="82">
        <v>91618.257261410792</v>
      </c>
      <c r="AC37" s="82">
        <v>114937.75933609958</v>
      </c>
      <c r="AD37" s="82">
        <v>138257.26141078837</v>
      </c>
      <c r="AE37" s="82">
        <v>91618.257261410792</v>
      </c>
      <c r="AF37" s="82">
        <v>126597.51037344398</v>
      </c>
      <c r="AG37" s="82">
        <v>138257.26141078837</v>
      </c>
      <c r="AH37" s="82">
        <v>173236.51452282158</v>
      </c>
      <c r="AI37" s="82">
        <v>103278.00829875519</v>
      </c>
      <c r="AJ37" s="83">
        <v>208215.76763485477</v>
      </c>
      <c r="AK37" s="82">
        <v>138257.26141078837</v>
      </c>
      <c r="AL37" s="82">
        <v>173236.51452282158</v>
      </c>
      <c r="AM37" s="82">
        <v>219875.51867219916</v>
      </c>
      <c r="AN37" s="82">
        <v>114937.75933609958</v>
      </c>
      <c r="AO37" s="82">
        <v>91618.257261410792</v>
      </c>
      <c r="AP37" s="82">
        <v>126597.51037344398</v>
      </c>
      <c r="AQ37" s="82">
        <v>266514.52282157674</v>
      </c>
      <c r="AR37" s="82">
        <v>126597.51037344398</v>
      </c>
      <c r="AS37" s="82">
        <v>196556.01659751037</v>
      </c>
      <c r="AT37" s="82">
        <v>293153.52697095438</v>
      </c>
      <c r="AU37" s="82">
        <v>103278.00829875519</v>
      </c>
      <c r="AV37" s="82">
        <v>114937.75933609958</v>
      </c>
      <c r="AW37" s="83">
        <v>103278.00829875519</v>
      </c>
      <c r="AX37" s="82">
        <v>114937.75933609958</v>
      </c>
      <c r="AY37" s="82">
        <v>219875.51867219916</v>
      </c>
      <c r="AZ37" s="82">
        <v>184896.26556016598</v>
      </c>
      <c r="BA37" s="82">
        <v>116597.51037344398</v>
      </c>
      <c r="BB37" s="82">
        <v>114937.75933609958</v>
      </c>
      <c r="BC37" s="82">
        <v>126597.51037344398</v>
      </c>
      <c r="BD37" s="82">
        <v>324813.27800829877</v>
      </c>
    </row>
    <row r="38" spans="1:58" s="68" customFormat="1" ht="24" customHeight="1" x14ac:dyDescent="0.3">
      <c r="A38" s="133"/>
      <c r="B38" s="67" t="s">
        <v>38</v>
      </c>
      <c r="C38" s="67">
        <f t="shared" si="6"/>
        <v>12250622.406639004</v>
      </c>
      <c r="D38" s="82">
        <v>146058.09128630706</v>
      </c>
      <c r="E38" s="83">
        <v>310373.44398340251</v>
      </c>
      <c r="F38" s="83">
        <v>255601.65975103734</v>
      </c>
      <c r="G38" s="82">
        <v>401659.75103734439</v>
      </c>
      <c r="H38" s="83">
        <v>273858.92116182571</v>
      </c>
      <c r="I38" s="82"/>
      <c r="J38" s="82">
        <v>237344.39834024897</v>
      </c>
      <c r="K38" s="82">
        <v>182572.61410788383</v>
      </c>
      <c r="L38" s="83">
        <v>346887.96680497925</v>
      </c>
      <c r="M38" s="82">
        <v>328630.70539419085</v>
      </c>
      <c r="N38" s="83">
        <v>273858.92116182571</v>
      </c>
      <c r="O38" s="82">
        <v>310373.44398340251</v>
      </c>
      <c r="P38" s="82">
        <v>328630.70539419085</v>
      </c>
      <c r="Q38" s="82">
        <v>182572.61410788383</v>
      </c>
      <c r="R38" s="82">
        <v>219087.13692946057</v>
      </c>
      <c r="S38" s="82">
        <v>164315.35269709543</v>
      </c>
      <c r="T38" s="83">
        <v>164315.35269709543</v>
      </c>
      <c r="U38" s="82">
        <v>383402.48962655599</v>
      </c>
      <c r="V38" s="83">
        <v>182572.61410788383</v>
      </c>
      <c r="W38" s="83">
        <v>200829.8755186722</v>
      </c>
      <c r="X38" s="82">
        <v>146058.09128630706</v>
      </c>
      <c r="Y38" s="82">
        <v>127800.82987551867</v>
      </c>
      <c r="Z38" s="82">
        <v>237344.39834024897</v>
      </c>
      <c r="AA38" s="82">
        <v>273858.92116182571</v>
      </c>
      <c r="AB38" s="82">
        <v>127800.82987551867</v>
      </c>
      <c r="AC38" s="82">
        <v>164315.35269709543</v>
      </c>
      <c r="AD38" s="82">
        <v>200829.8755186722</v>
      </c>
      <c r="AE38" s="82">
        <v>127800.82987551867</v>
      </c>
      <c r="AF38" s="82">
        <v>182572.61410788383</v>
      </c>
      <c r="AG38" s="82">
        <v>200829.8755186722</v>
      </c>
      <c r="AH38" s="82">
        <v>255601.65975103734</v>
      </c>
      <c r="AI38" s="82">
        <v>146058.09128630706</v>
      </c>
      <c r="AJ38" s="83">
        <v>310373.44398340251</v>
      </c>
      <c r="AK38" s="82">
        <v>200829.8755186722</v>
      </c>
      <c r="AL38" s="82">
        <v>255601.65975103734</v>
      </c>
      <c r="AM38" s="82">
        <v>328630.70539419085</v>
      </c>
      <c r="AN38" s="82">
        <v>164315.35269709543</v>
      </c>
      <c r="AO38" s="82">
        <v>127800.82987551867</v>
      </c>
      <c r="AP38" s="82">
        <v>182572.61410788383</v>
      </c>
      <c r="AQ38" s="82">
        <v>401659.75103734439</v>
      </c>
      <c r="AR38" s="82">
        <v>182572.61410788383</v>
      </c>
      <c r="AS38" s="82">
        <v>292116.18257261411</v>
      </c>
      <c r="AT38" s="82">
        <v>474688.79668049794</v>
      </c>
      <c r="AU38" s="82">
        <v>146058.09128630706</v>
      </c>
      <c r="AV38" s="82">
        <v>164315.35269709543</v>
      </c>
      <c r="AW38" s="83">
        <v>146058.09128630706</v>
      </c>
      <c r="AX38" s="82">
        <v>164315.35269709543</v>
      </c>
      <c r="AY38" s="82">
        <v>328630.70539419085</v>
      </c>
      <c r="AZ38" s="82">
        <v>273858.92116182571</v>
      </c>
      <c r="BA38" s="82">
        <v>182572.61410788383</v>
      </c>
      <c r="BB38" s="82">
        <v>164315.35269709543</v>
      </c>
      <c r="BC38" s="82">
        <v>182572.61410788383</v>
      </c>
      <c r="BD38" s="82">
        <v>492946.05809128634</v>
      </c>
    </row>
    <row r="39" spans="1:58" s="68" customFormat="1" ht="21" customHeight="1" x14ac:dyDescent="0.35">
      <c r="A39" s="133"/>
      <c r="B39" s="67" t="s">
        <v>39</v>
      </c>
      <c r="C39" s="67">
        <f t="shared" si="6"/>
        <v>1663802.4804979253</v>
      </c>
      <c r="D39" s="82"/>
      <c r="E39" s="83"/>
      <c r="F39" s="83"/>
      <c r="G39" s="82"/>
      <c r="H39" s="83"/>
      <c r="I39" s="82">
        <v>1663802.4804979253</v>
      </c>
      <c r="J39" s="82"/>
      <c r="K39" s="82"/>
      <c r="L39" s="89"/>
      <c r="M39" s="82"/>
      <c r="N39" s="82"/>
      <c r="T39" s="83"/>
      <c r="V39" s="83"/>
      <c r="W39" s="83"/>
      <c r="AJ39" s="83"/>
      <c r="AW39" s="83"/>
    </row>
    <row r="40" spans="1:58" s="68" customFormat="1" ht="25.5" customHeight="1" x14ac:dyDescent="0.3">
      <c r="A40" s="134"/>
      <c r="B40" s="67" t="s">
        <v>40</v>
      </c>
      <c r="C40" s="67">
        <f>SUM(D40:BD40)</f>
        <v>101563620.1900415</v>
      </c>
      <c r="D40" s="82">
        <v>1210038.1676348548</v>
      </c>
      <c r="E40" s="83">
        <v>2571331.1062240666</v>
      </c>
      <c r="F40" s="83">
        <v>2117566.7933609961</v>
      </c>
      <c r="G40" s="82">
        <v>3327604.9609958506</v>
      </c>
      <c r="H40" s="83">
        <v>2268821.5643153526</v>
      </c>
      <c r="I40" s="82">
        <v>71668.879668049791</v>
      </c>
      <c r="J40" s="82">
        <v>1966312.0224066391</v>
      </c>
      <c r="K40" s="82">
        <v>1512547.7095435685</v>
      </c>
      <c r="L40" s="83">
        <v>2873840.6481327801</v>
      </c>
      <c r="M40" s="82">
        <v>2722585.8771784231</v>
      </c>
      <c r="N40" s="82">
        <v>2268821.5643153526</v>
      </c>
      <c r="O40" s="83">
        <v>2571331.1062240666</v>
      </c>
      <c r="P40" s="83">
        <v>2722585.8771784231</v>
      </c>
      <c r="Q40" s="83">
        <v>1512547.7095435685</v>
      </c>
      <c r="R40" s="83">
        <v>1815057.2514522821</v>
      </c>
      <c r="S40" s="83">
        <v>1361292.9385892116</v>
      </c>
      <c r="T40" s="83">
        <v>1361292.9385892116</v>
      </c>
      <c r="U40" s="83">
        <v>3176350.1900414936</v>
      </c>
      <c r="V40" s="83">
        <v>1512547.7095435685</v>
      </c>
      <c r="W40" s="83">
        <v>1663802.4804979253</v>
      </c>
      <c r="X40" s="83">
        <v>1210038.1676348548</v>
      </c>
      <c r="Y40" s="83">
        <v>1058783.396680498</v>
      </c>
      <c r="Z40" s="83">
        <v>1966312.0224066391</v>
      </c>
      <c r="AA40" s="83">
        <v>2268821.5643153526</v>
      </c>
      <c r="AB40" s="83">
        <v>1058783.396680498</v>
      </c>
      <c r="AC40" s="83">
        <v>1361292.9385892116</v>
      </c>
      <c r="AD40" s="83">
        <v>1663802.4804979253</v>
      </c>
      <c r="AE40" s="83">
        <v>1058783.396680498</v>
      </c>
      <c r="AF40" s="83">
        <v>1512547.7095435685</v>
      </c>
      <c r="AG40" s="83">
        <v>1663802.4804979253</v>
      </c>
      <c r="AH40" s="83">
        <v>2117566.7933609961</v>
      </c>
      <c r="AI40" s="83">
        <v>1210038.1676348548</v>
      </c>
      <c r="AJ40" s="83">
        <v>2571331.1062240666</v>
      </c>
      <c r="AK40" s="83">
        <v>1663802.4804979253</v>
      </c>
      <c r="AL40" s="83">
        <v>2117566.7933609961</v>
      </c>
      <c r="AM40" s="83">
        <v>2722585.8771784231</v>
      </c>
      <c r="AN40" s="83">
        <v>1361292.9385892116</v>
      </c>
      <c r="AO40" s="83">
        <v>1058783.396680498</v>
      </c>
      <c r="AP40" s="83">
        <v>1512547.7095435685</v>
      </c>
      <c r="AQ40" s="83">
        <v>3327604.9609958506</v>
      </c>
      <c r="AR40" s="83">
        <v>1512547.7095435685</v>
      </c>
      <c r="AS40" s="83">
        <v>2420076.3352697096</v>
      </c>
      <c r="AT40" s="83">
        <v>3932624.0448132781</v>
      </c>
      <c r="AU40" s="83">
        <v>1210038.1676348548</v>
      </c>
      <c r="AV40" s="83">
        <v>1361292.9385892116</v>
      </c>
      <c r="AW40" s="83">
        <v>1210038.1676348548</v>
      </c>
      <c r="AX40" s="83">
        <v>1361292.9385892116</v>
      </c>
      <c r="AY40" s="83">
        <v>2722585.8771784231</v>
      </c>
      <c r="AZ40" s="83">
        <v>2268821.5643153526</v>
      </c>
      <c r="BA40" s="83">
        <v>1512547.7095435685</v>
      </c>
      <c r="BB40" s="83">
        <v>1361292.9385892116</v>
      </c>
      <c r="BC40" s="83">
        <v>1512547.7095435685</v>
      </c>
      <c r="BD40" s="83">
        <v>4083878.8157676351</v>
      </c>
    </row>
    <row r="41" spans="1:58" s="68" customFormat="1" ht="33" customHeight="1" x14ac:dyDescent="0.3">
      <c r="A41" s="135" t="s">
        <v>41</v>
      </c>
      <c r="B41" s="66" t="s">
        <v>42</v>
      </c>
      <c r="C41" s="67">
        <f t="shared" si="6"/>
        <v>9607517.0912863091</v>
      </c>
      <c r="D41" s="82">
        <v>52122.821576763483</v>
      </c>
      <c r="E41" s="82">
        <v>410761</v>
      </c>
      <c r="F41" s="82">
        <v>91214.937759336099</v>
      </c>
      <c r="G41" s="83">
        <f>('[4]THÁNG 2.26  '!$F$10/1205)*22</f>
        <v>143337.75933609958</v>
      </c>
      <c r="H41" s="83">
        <v>97730.290456431525</v>
      </c>
      <c r="I41" s="82"/>
      <c r="J41" s="82">
        <v>84699.585062240658</v>
      </c>
      <c r="K41" s="82">
        <v>65153.52697095435</v>
      </c>
      <c r="L41" s="82">
        <v>123791.70124481327</v>
      </c>
      <c r="M41" s="82">
        <v>117276.34854771783</v>
      </c>
      <c r="N41" s="82">
        <v>97730.290456431525</v>
      </c>
      <c r="O41" s="68">
        <v>110760.99585062241</v>
      </c>
      <c r="P41" s="68">
        <v>117276.34854771783</v>
      </c>
      <c r="Q41" s="68">
        <v>65153.52697095435</v>
      </c>
      <c r="R41" s="68">
        <v>78184.232365145232</v>
      </c>
      <c r="S41" s="68">
        <v>58638.174273858916</v>
      </c>
      <c r="T41" s="83">
        <v>58638.174273858916</v>
      </c>
      <c r="U41" s="68">
        <v>136822.40663900416</v>
      </c>
      <c r="V41" s="83">
        <v>65153.52697095435</v>
      </c>
      <c r="W41" s="83">
        <v>1294883</v>
      </c>
      <c r="X41" s="68">
        <v>52122.821576763483</v>
      </c>
      <c r="Y41" s="68">
        <v>45607.468879668049</v>
      </c>
      <c r="Z41" s="68">
        <v>84699.585062240658</v>
      </c>
      <c r="AA41" s="68">
        <v>97730.290456431525</v>
      </c>
      <c r="AB41" s="68">
        <v>45607.468879668049</v>
      </c>
      <c r="AC41" s="68">
        <v>58638.174273858916</v>
      </c>
      <c r="AD41" s="68">
        <v>71668.879668049791</v>
      </c>
      <c r="AE41" s="68">
        <v>45607.468879668049</v>
      </c>
      <c r="AF41" s="68">
        <v>65153.52697095435</v>
      </c>
      <c r="AG41" s="68">
        <v>71668.879668049791</v>
      </c>
      <c r="AH41" s="68">
        <v>91214.937759336099</v>
      </c>
      <c r="AI41" s="68">
        <v>52122.821576763483</v>
      </c>
      <c r="AJ41" s="68">
        <v>110760.99585062241</v>
      </c>
      <c r="AK41" s="68">
        <v>71668.879668049791</v>
      </c>
      <c r="AL41" s="68">
        <v>91214.937759336099</v>
      </c>
      <c r="AM41" s="68">
        <v>117276.34854771783</v>
      </c>
      <c r="AN41" s="68">
        <v>58638.174273858916</v>
      </c>
      <c r="AO41" s="68">
        <v>45607.468879668049</v>
      </c>
      <c r="AP41" s="68">
        <v>65153.52697095435</v>
      </c>
      <c r="AQ41" s="68">
        <v>143337.75933609958</v>
      </c>
      <c r="AR41" s="68">
        <v>65153.52697095435</v>
      </c>
      <c r="AS41" s="68">
        <v>2654246</v>
      </c>
      <c r="AT41" s="68">
        <v>169399.17012448132</v>
      </c>
      <c r="AU41" s="68">
        <v>52122.821576763483</v>
      </c>
      <c r="AV41" s="68">
        <v>58638.174273858916</v>
      </c>
      <c r="AW41" s="83">
        <v>52122.821576763483</v>
      </c>
      <c r="AX41" s="68">
        <v>58638.174273858916</v>
      </c>
      <c r="AY41" s="68">
        <v>117276.34854771783</v>
      </c>
      <c r="AZ41" s="68">
        <v>97730.290456431525</v>
      </c>
      <c r="BA41" s="68">
        <v>65153.52697095435</v>
      </c>
      <c r="BB41" s="68">
        <v>58638.174273858916</v>
      </c>
      <c r="BC41" s="68">
        <v>765154</v>
      </c>
      <c r="BD41" s="68">
        <v>638415</v>
      </c>
    </row>
    <row r="42" spans="1:58" s="68" customFormat="1" ht="33" customHeight="1" x14ac:dyDescent="0.3">
      <c r="A42" s="135"/>
      <c r="B42" s="66" t="s">
        <v>43</v>
      </c>
      <c r="C42" s="67">
        <f>SUM(D42:BD42)</f>
        <v>3095000</v>
      </c>
      <c r="D42" s="82">
        <v>95000</v>
      </c>
      <c r="E42" s="82"/>
      <c r="F42" s="82"/>
      <c r="G42" s="82"/>
      <c r="H42" s="68">
        <v>180000</v>
      </c>
      <c r="I42" s="82"/>
      <c r="Y42" s="68">
        <v>250000</v>
      </c>
      <c r="AH42" s="68">
        <v>315000</v>
      </c>
      <c r="AM42" s="68">
        <v>310000</v>
      </c>
      <c r="AP42" s="68">
        <v>250000</v>
      </c>
      <c r="AT42" s="68">
        <v>95000</v>
      </c>
      <c r="AY42" s="68">
        <v>325000</v>
      </c>
      <c r="BB42" s="68">
        <v>1065000</v>
      </c>
      <c r="BD42" s="68">
        <v>210000</v>
      </c>
    </row>
    <row r="43" spans="1:58" s="68" customFormat="1" ht="54.5" customHeight="1" x14ac:dyDescent="0.3">
      <c r="A43" s="135"/>
      <c r="B43" s="66" t="s">
        <v>44</v>
      </c>
      <c r="C43" s="67">
        <f t="shared" si="6"/>
        <v>32621000</v>
      </c>
      <c r="D43" s="82"/>
      <c r="E43" s="82"/>
      <c r="F43" s="82">
        <v>270000</v>
      </c>
      <c r="H43" s="68">
        <v>670000</v>
      </c>
      <c r="I43" s="82"/>
      <c r="J43" s="82">
        <v>520000</v>
      </c>
      <c r="K43" s="68">
        <v>200000</v>
      </c>
      <c r="L43" s="82"/>
      <c r="M43" s="82"/>
      <c r="N43" s="68">
        <v>2120000</v>
      </c>
      <c r="P43" s="68">
        <v>500000</v>
      </c>
      <c r="Q43" s="68">
        <v>170000</v>
      </c>
      <c r="R43" s="68">
        <v>370000</v>
      </c>
      <c r="U43" s="68">
        <v>150000</v>
      </c>
      <c r="V43" s="68">
        <v>650000</v>
      </c>
      <c r="W43" s="68">
        <v>350000</v>
      </c>
      <c r="X43" s="68">
        <v>402000</v>
      </c>
      <c r="Y43" s="68">
        <v>500000</v>
      </c>
      <c r="AC43" s="68">
        <v>1000000</v>
      </c>
      <c r="AF43" s="68">
        <v>1000000</v>
      </c>
      <c r="AG43" s="68">
        <v>100000</v>
      </c>
      <c r="AH43" s="68">
        <v>500000</v>
      </c>
      <c r="AJ43" s="68">
        <v>250000</v>
      </c>
      <c r="AK43" s="68">
        <v>1000000</v>
      </c>
      <c r="AM43" s="68">
        <v>200000</v>
      </c>
      <c r="AO43" s="68">
        <v>100000</v>
      </c>
      <c r="AP43" s="68">
        <v>755000</v>
      </c>
      <c r="AQ43" s="68">
        <v>3350000</v>
      </c>
      <c r="AS43" s="68">
        <v>100000</v>
      </c>
      <c r="AT43" s="68">
        <v>2162000</v>
      </c>
      <c r="AU43" s="68">
        <v>1724000</v>
      </c>
      <c r="AV43" s="68">
        <v>1650000</v>
      </c>
      <c r="AW43" s="68">
        <v>250000</v>
      </c>
      <c r="AX43" s="68">
        <v>1786000</v>
      </c>
      <c r="AY43" s="68">
        <v>2970000</v>
      </c>
      <c r="BA43" s="68">
        <v>872000</v>
      </c>
      <c r="BB43" s="68">
        <v>3080000</v>
      </c>
      <c r="BC43" s="68">
        <v>100000</v>
      </c>
      <c r="BD43" s="68">
        <v>2800000</v>
      </c>
    </row>
    <row r="44" spans="1:58" s="93" customFormat="1" ht="13" x14ac:dyDescent="0.3">
      <c r="A44" s="91" t="s">
        <v>45</v>
      </c>
      <c r="B44" s="92"/>
      <c r="C44" s="62">
        <f t="shared" ref="C44:BD44" si="7">SUM(C30:C43)</f>
        <v>303631337.68684781</v>
      </c>
      <c r="D44" s="92">
        <f t="shared" si="7"/>
        <v>3431663.0140138087</v>
      </c>
      <c r="E44" s="92">
        <f>SUM(E30:E43)</f>
        <v>6765810.0845848387</v>
      </c>
      <c r="F44" s="92">
        <f t="shared" si="7"/>
        <v>5817452.6707933936</v>
      </c>
      <c r="G44" s="92">
        <f t="shared" si="7"/>
        <v>8478202.4075220823</v>
      </c>
      <c r="H44" s="92">
        <f t="shared" si="7"/>
        <v>6522416.5228482401</v>
      </c>
      <c r="I44" s="92">
        <f t="shared" si="7"/>
        <v>4364893.4502894673</v>
      </c>
      <c r="J44" s="92">
        <f t="shared" si="7"/>
        <v>5549408.5547562726</v>
      </c>
      <c r="K44" s="92">
        <f t="shared" si="7"/>
        <v>4210780.8592851423</v>
      </c>
      <c r="L44" s="92">
        <f t="shared" si="7"/>
        <v>7561016.9659751048</v>
      </c>
      <c r="M44" s="92">
        <f t="shared" si="7"/>
        <v>7036010.3706673002</v>
      </c>
      <c r="N44" s="92">
        <f t="shared" si="7"/>
        <v>7742024.1115761744</v>
      </c>
      <c r="O44" s="92">
        <f t="shared" si="7"/>
        <v>6622642.5043534208</v>
      </c>
      <c r="P44" s="92">
        <f t="shared" si="7"/>
        <v>7184504.5861422457</v>
      </c>
      <c r="Q44" s="92">
        <f t="shared" si="7"/>
        <v>4251238.6532977903</v>
      </c>
      <c r="R44" s="92">
        <f t="shared" si="7"/>
        <v>4566264.3448447157</v>
      </c>
      <c r="S44" s="92">
        <f t="shared" si="7"/>
        <v>3347040.4251784901</v>
      </c>
      <c r="T44" s="92">
        <f t="shared" si="7"/>
        <v>3719880.9262861214</v>
      </c>
      <c r="U44" s="92">
        <f t="shared" si="7"/>
        <v>8302629.876999544</v>
      </c>
      <c r="V44" s="92">
        <f t="shared" si="7"/>
        <v>4367164.4686859809</v>
      </c>
      <c r="W44" s="92">
        <f t="shared" si="7"/>
        <v>5532823.7139983336</v>
      </c>
      <c r="X44" s="92">
        <f t="shared" si="7"/>
        <v>3378957.2417564257</v>
      </c>
      <c r="Y44" s="92">
        <f t="shared" si="7"/>
        <v>3502804.6377191804</v>
      </c>
      <c r="Z44" s="92">
        <f t="shared" si="7"/>
        <v>4823852.4899553591</v>
      </c>
      <c r="AA44" s="92">
        <f t="shared" si="7"/>
        <v>5871566.4351342591</v>
      </c>
      <c r="AB44" s="92">
        <f t="shared" si="7"/>
        <v>3003453.8002469311</v>
      </c>
      <c r="AC44" s="92">
        <f t="shared" si="7"/>
        <v>4355820.3907189667</v>
      </c>
      <c r="AD44" s="92">
        <f t="shared" si="7"/>
        <v>4128576.376466108</v>
      </c>
      <c r="AE44" s="92">
        <f t="shared" si="7"/>
        <v>2872965.3022542</v>
      </c>
      <c r="AF44" s="92">
        <f t="shared" si="7"/>
        <v>5188945.0996733466</v>
      </c>
      <c r="AG44" s="92">
        <f t="shared" si="7"/>
        <v>4279058.3369206376</v>
      </c>
      <c r="AH44" s="92">
        <f t="shared" si="7"/>
        <v>6257555.1523531154</v>
      </c>
      <c r="AI44" s="92">
        <f t="shared" si="7"/>
        <v>2498007.1435684646</v>
      </c>
      <c r="AJ44" s="92">
        <f t="shared" si="7"/>
        <v>6710371.0182286277</v>
      </c>
      <c r="AK44" s="92">
        <f t="shared" si="7"/>
        <v>5424948.9246353712</v>
      </c>
      <c r="AL44" s="92">
        <f t="shared" si="7"/>
        <v>5520916.445771357</v>
      </c>
      <c r="AM44" s="92">
        <f t="shared" si="7"/>
        <v>7331520.4031769335</v>
      </c>
      <c r="AN44" s="92">
        <f t="shared" si="7"/>
        <v>3737510.2699579098</v>
      </c>
      <c r="AO44" s="92">
        <f t="shared" si="7"/>
        <v>2888304.9768046821</v>
      </c>
      <c r="AP44" s="92">
        <f t="shared" si="7"/>
        <v>5024131.7364781247</v>
      </c>
      <c r="AQ44" s="92">
        <f t="shared" si="7"/>
        <v>11555891.163152397</v>
      </c>
      <c r="AR44" s="92">
        <f t="shared" si="7"/>
        <v>4083832.0798621783</v>
      </c>
      <c r="AS44" s="92">
        <f t="shared" si="7"/>
        <v>8962969.9562686775</v>
      </c>
      <c r="AT44" s="92">
        <f t="shared" si="7"/>
        <v>12036706.634774858</v>
      </c>
      <c r="AU44" s="92">
        <f t="shared" si="7"/>
        <v>4890771.3089220058</v>
      </c>
      <c r="AV44" s="92">
        <f t="shared" si="7"/>
        <v>5007990.624931328</v>
      </c>
      <c r="AW44" s="92">
        <f t="shared" si="7"/>
        <v>3310692.7635096717</v>
      </c>
      <c r="AX44" s="92">
        <f t="shared" si="7"/>
        <v>5511871.9601234049</v>
      </c>
      <c r="AY44" s="92">
        <f t="shared" si="7"/>
        <v>10281723.386042651</v>
      </c>
      <c r="AZ44" s="92">
        <f t="shared" si="7"/>
        <v>6059591.029407707</v>
      </c>
      <c r="BA44" s="92">
        <f t="shared" si="7"/>
        <v>4838226.3090677913</v>
      </c>
      <c r="BB44" s="92">
        <f t="shared" si="7"/>
        <v>7893497.653778892</v>
      </c>
      <c r="BC44" s="92">
        <f t="shared" si="7"/>
        <v>4615559.3551854976</v>
      </c>
      <c r="BD44" s="92">
        <f t="shared" si="7"/>
        <v>12408878.76790224</v>
      </c>
      <c r="BF44" s="68"/>
    </row>
    <row r="45" spans="1:58" s="96" customFormat="1" ht="13" x14ac:dyDescent="0.3">
      <c r="A45" s="94" t="s">
        <v>46</v>
      </c>
      <c r="B45" s="95"/>
      <c r="C45" s="62">
        <f>C29+C44</f>
        <v>2841129283.6035147</v>
      </c>
      <c r="D45" s="95">
        <f t="shared" ref="D45:BD45" si="8">D29+D44</f>
        <v>32355729.014013808</v>
      </c>
      <c r="E45" s="95">
        <f t="shared" si="8"/>
        <v>63691754.417918175</v>
      </c>
      <c r="F45" s="95">
        <f t="shared" si="8"/>
        <v>57383003.670793392</v>
      </c>
      <c r="G45" s="95">
        <f t="shared" si="8"/>
        <v>74678810.407522082</v>
      </c>
      <c r="H45" s="95">
        <f t="shared" si="8"/>
        <v>70252352.522848234</v>
      </c>
      <c r="I45" s="95">
        <f t="shared" si="8"/>
        <v>44517017.4336228</v>
      </c>
      <c r="J45" s="95">
        <f t="shared" si="8"/>
        <v>51241677.488089606</v>
      </c>
      <c r="K45" s="95">
        <f t="shared" si="8"/>
        <v>33957372.859285146</v>
      </c>
      <c r="L45" s="95">
        <f t="shared" si="8"/>
        <v>92447470.965975106</v>
      </c>
      <c r="M45" s="95">
        <f t="shared" si="8"/>
        <v>86670282.03733395</v>
      </c>
      <c r="N45" s="95">
        <f t="shared" si="8"/>
        <v>61157572.111576177</v>
      </c>
      <c r="O45" s="95">
        <f t="shared" si="8"/>
        <v>72411705.504353419</v>
      </c>
      <c r="P45" s="95">
        <f t="shared" si="8"/>
        <v>82050230.586142242</v>
      </c>
      <c r="Q45" s="95">
        <f t="shared" si="8"/>
        <v>40751354.653297789</v>
      </c>
      <c r="R45" s="95">
        <f t="shared" si="8"/>
        <v>56197289.344844714</v>
      </c>
      <c r="S45" s="95">
        <f t="shared" si="8"/>
        <v>35091284.091845155</v>
      </c>
      <c r="T45" s="95">
        <f t="shared" si="8"/>
        <v>19007570.92628612</v>
      </c>
      <c r="U45" s="95">
        <f t="shared" si="8"/>
        <v>82608659.876999542</v>
      </c>
      <c r="V45" s="95">
        <f t="shared" si="8"/>
        <v>42555305.802019313</v>
      </c>
      <c r="W45" s="95">
        <f t="shared" si="8"/>
        <v>49965115.380664997</v>
      </c>
      <c r="X45" s="95">
        <f t="shared" si="8"/>
        <v>31906773.908423092</v>
      </c>
      <c r="Y45" s="95">
        <f t="shared" si="8"/>
        <v>20990819.63771918</v>
      </c>
      <c r="Z45" s="95">
        <f t="shared" si="8"/>
        <v>59808593.489955358</v>
      </c>
      <c r="AA45" s="95">
        <f t="shared" si="8"/>
        <v>56445099.768467598</v>
      </c>
      <c r="AB45" s="95">
        <f t="shared" si="8"/>
        <v>17581979.800246932</v>
      </c>
      <c r="AC45" s="95">
        <f t="shared" si="8"/>
        <v>40307414.390718967</v>
      </c>
      <c r="AD45" s="95">
        <f t="shared" si="8"/>
        <v>50977999.176466107</v>
      </c>
      <c r="AE45" s="95">
        <f t="shared" si="8"/>
        <v>19330580.502254199</v>
      </c>
      <c r="AF45" s="95">
        <f t="shared" si="8"/>
        <v>49311519.099673346</v>
      </c>
      <c r="AG45" s="95">
        <f t="shared" si="8"/>
        <v>41098069.003587306</v>
      </c>
      <c r="AH45" s="95">
        <f t="shared" si="8"/>
        <v>52802696.152353115</v>
      </c>
      <c r="AI45" s="95">
        <f t="shared" si="8"/>
        <v>15925651.143568464</v>
      </c>
      <c r="AJ45" s="95">
        <f t="shared" si="8"/>
        <v>83627659.01822862</v>
      </c>
      <c r="AK45" s="95">
        <f t="shared" si="8"/>
        <v>48740859.924635373</v>
      </c>
      <c r="AL45" s="95">
        <f t="shared" si="8"/>
        <v>50653071.445771359</v>
      </c>
      <c r="AM45" s="95">
        <f t="shared" si="8"/>
        <v>69437271.403176934</v>
      </c>
      <c r="AN45" s="95">
        <f t="shared" si="8"/>
        <v>26981033.269957911</v>
      </c>
      <c r="AO45" s="95">
        <f t="shared" si="8"/>
        <v>15957362.976804681</v>
      </c>
      <c r="AP45" s="95">
        <f t="shared" si="8"/>
        <v>48970022.736478128</v>
      </c>
      <c r="AQ45" s="95">
        <f t="shared" si="8"/>
        <v>108414121.1631524</v>
      </c>
      <c r="AR45" s="95">
        <f t="shared" si="8"/>
        <v>34727209.079862177</v>
      </c>
      <c r="AS45" s="95">
        <f t="shared" si="8"/>
        <v>74519849.956268683</v>
      </c>
      <c r="AT45" s="95">
        <f t="shared" si="8"/>
        <v>146493631.30144155</v>
      </c>
      <c r="AU45" s="95">
        <f t="shared" si="8"/>
        <v>20846001.308922008</v>
      </c>
      <c r="AV45" s="95">
        <f t="shared" si="8"/>
        <v>35687361.291597992</v>
      </c>
      <c r="AW45" s="95">
        <f t="shared" si="8"/>
        <v>36559740.096843004</v>
      </c>
      <c r="AX45" s="95">
        <f t="shared" si="8"/>
        <v>36669915.960123405</v>
      </c>
      <c r="AY45" s="95">
        <f t="shared" si="8"/>
        <v>81283765.386042655</v>
      </c>
      <c r="AZ45" s="95">
        <f t="shared" si="8"/>
        <v>71412079.02940771</v>
      </c>
      <c r="BA45" s="95">
        <f t="shared" si="8"/>
        <v>42547168.309067793</v>
      </c>
      <c r="BB45" s="95">
        <f t="shared" si="8"/>
        <v>30047990.653778892</v>
      </c>
      <c r="BC45" s="95">
        <f t="shared" si="8"/>
        <v>54021035.355185494</v>
      </c>
      <c r="BD45" s="95">
        <f t="shared" si="8"/>
        <v>118053378.76790224</v>
      </c>
      <c r="BF45" s="68"/>
    </row>
    <row r="46" spans="1:58" s="93" customFormat="1" ht="13" x14ac:dyDescent="0.3">
      <c r="A46" s="92" t="s">
        <v>47</v>
      </c>
      <c r="B46" s="92"/>
      <c r="C46" s="67">
        <f t="shared" ref="C46:BD46" si="9">C4-C29</f>
        <v>518828342.08333302</v>
      </c>
      <c r="D46" s="97">
        <f t="shared" si="9"/>
        <v>7713934</v>
      </c>
      <c r="E46" s="97">
        <f t="shared" si="9"/>
        <v>5036055.6666666642</v>
      </c>
      <c r="F46" s="97">
        <f t="shared" si="9"/>
        <v>12616449</v>
      </c>
      <c r="G46" s="97">
        <f t="shared" si="9"/>
        <v>16793392</v>
      </c>
      <c r="H46" s="97">
        <f t="shared" si="9"/>
        <v>2326064</v>
      </c>
      <c r="I46" s="97">
        <f t="shared" si="9"/>
        <v>9455876.0166666657</v>
      </c>
      <c r="J46" s="97">
        <f t="shared" si="9"/>
        <v>7211731.0666666627</v>
      </c>
      <c r="K46" s="97">
        <f t="shared" si="9"/>
        <v>4910408</v>
      </c>
      <c r="L46" s="97">
        <f t="shared" si="9"/>
        <v>21006546</v>
      </c>
      <c r="M46" s="97">
        <f t="shared" si="9"/>
        <v>20692728.333333343</v>
      </c>
      <c r="N46" s="97">
        <f t="shared" si="9"/>
        <v>10312652</v>
      </c>
      <c r="O46" s="97">
        <f t="shared" si="9"/>
        <v>8213937</v>
      </c>
      <c r="P46" s="97">
        <f t="shared" si="9"/>
        <v>10816274</v>
      </c>
      <c r="Q46" s="97">
        <f t="shared" si="9"/>
        <v>13035884</v>
      </c>
      <c r="R46" s="97">
        <f t="shared" si="9"/>
        <v>198975</v>
      </c>
      <c r="S46" s="97">
        <f t="shared" si="9"/>
        <v>13691756.333333332</v>
      </c>
      <c r="T46" s="97">
        <f t="shared" si="9"/>
        <v>11234310</v>
      </c>
      <c r="U46" s="97">
        <f t="shared" si="9"/>
        <v>9446970</v>
      </c>
      <c r="V46" s="97">
        <f t="shared" si="9"/>
        <v>2968858.6666666716</v>
      </c>
      <c r="W46" s="97">
        <f t="shared" si="9"/>
        <v>-560291.66666666418</v>
      </c>
      <c r="X46" s="97">
        <f t="shared" si="9"/>
        <v>-56816.666666667908</v>
      </c>
      <c r="Y46" s="97">
        <f t="shared" si="9"/>
        <v>8485985</v>
      </c>
      <c r="Z46" s="97">
        <f t="shared" si="9"/>
        <v>8237259</v>
      </c>
      <c r="AA46" s="97">
        <f t="shared" si="9"/>
        <v>16799466.666666664</v>
      </c>
      <c r="AB46" s="97">
        <f t="shared" si="9"/>
        <v>8088141</v>
      </c>
      <c r="AC46" s="97">
        <f t="shared" si="9"/>
        <v>3840406</v>
      </c>
      <c r="AD46" s="97">
        <f t="shared" si="9"/>
        <v>10378577.200000003</v>
      </c>
      <c r="AE46" s="97">
        <f t="shared" si="9"/>
        <v>4178384.8000000007</v>
      </c>
      <c r="AF46" s="97">
        <f t="shared" si="9"/>
        <v>12354426</v>
      </c>
      <c r="AG46" s="97">
        <f t="shared" si="9"/>
        <v>12003989.333333328</v>
      </c>
      <c r="AH46" s="97">
        <f t="shared" si="9"/>
        <v>11733859</v>
      </c>
      <c r="AI46" s="97">
        <f t="shared" si="9"/>
        <v>3906356</v>
      </c>
      <c r="AJ46" s="97">
        <f t="shared" si="9"/>
        <v>11288712</v>
      </c>
      <c r="AK46" s="97">
        <f t="shared" si="9"/>
        <v>14426089</v>
      </c>
      <c r="AL46" s="97">
        <f t="shared" si="9"/>
        <v>9761845</v>
      </c>
      <c r="AM46" s="97">
        <f t="shared" si="9"/>
        <v>9381049</v>
      </c>
      <c r="AN46" s="97">
        <f t="shared" si="9"/>
        <v>7892477</v>
      </c>
      <c r="AO46" s="97">
        <f t="shared" si="9"/>
        <v>9226942</v>
      </c>
      <c r="AP46" s="97">
        <f t="shared" si="9"/>
        <v>9659109</v>
      </c>
      <c r="AQ46" s="97">
        <f t="shared" si="9"/>
        <v>13407570</v>
      </c>
      <c r="AR46" s="97">
        <f t="shared" si="9"/>
        <v>11139623</v>
      </c>
      <c r="AS46" s="97">
        <f t="shared" si="9"/>
        <v>21994120</v>
      </c>
      <c r="AT46" s="97">
        <f t="shared" si="9"/>
        <v>19102075.333333313</v>
      </c>
      <c r="AU46" s="97">
        <f t="shared" si="9"/>
        <v>6102770</v>
      </c>
      <c r="AV46" s="97">
        <f t="shared" si="9"/>
        <v>3221629.3333333321</v>
      </c>
      <c r="AW46" s="97">
        <f t="shared" si="9"/>
        <v>1403152.6666666679</v>
      </c>
      <c r="AX46" s="97">
        <f t="shared" si="9"/>
        <v>5052956</v>
      </c>
      <c r="AY46" s="97">
        <f t="shared" si="9"/>
        <v>15994957</v>
      </c>
      <c r="AZ46" s="97">
        <f t="shared" si="9"/>
        <v>21705512</v>
      </c>
      <c r="BA46" s="97">
        <f t="shared" si="9"/>
        <v>7783858</v>
      </c>
      <c r="BB46" s="97">
        <f t="shared" si="9"/>
        <v>17354507</v>
      </c>
      <c r="BC46" s="97">
        <f t="shared" si="9"/>
        <v>13433746</v>
      </c>
      <c r="BD46" s="97">
        <f t="shared" si="9"/>
        <v>2423100</v>
      </c>
      <c r="BF46" s="68"/>
    </row>
    <row r="47" spans="1:58" s="100" customFormat="1" ht="13" x14ac:dyDescent="0.3">
      <c r="A47" s="98" t="s">
        <v>48</v>
      </c>
      <c r="B47" s="98"/>
      <c r="C47" s="67">
        <f>C4-C45</f>
        <v>215197004.39648533</v>
      </c>
      <c r="D47" s="99">
        <f t="shared" ref="D47:BD47" si="10">D4-D45</f>
        <v>4282270.9859861918</v>
      </c>
      <c r="E47" s="99">
        <f t="shared" si="10"/>
        <v>-1729754.4179181755</v>
      </c>
      <c r="F47" s="99">
        <f t="shared" si="10"/>
        <v>6798996.3292066082</v>
      </c>
      <c r="G47" s="99">
        <f t="shared" si="10"/>
        <v>8315189.5924779177</v>
      </c>
      <c r="H47" s="99">
        <f t="shared" si="10"/>
        <v>-4196352.5228482336</v>
      </c>
      <c r="I47" s="99">
        <f t="shared" si="10"/>
        <v>5090982.5663772002</v>
      </c>
      <c r="J47" s="99">
        <f t="shared" si="10"/>
        <v>1662322.5119103938</v>
      </c>
      <c r="K47" s="99">
        <f t="shared" si="10"/>
        <v>699627.140714854</v>
      </c>
      <c r="L47" s="99">
        <f t="shared" si="10"/>
        <v>13445529.034024894</v>
      </c>
      <c r="M47" s="99">
        <f t="shared" si="10"/>
        <v>13656717.96266605</v>
      </c>
      <c r="N47" s="99">
        <f t="shared" si="10"/>
        <v>2570627.8884238228</v>
      </c>
      <c r="O47" s="99">
        <f t="shared" si="10"/>
        <v>1591294.4956465811</v>
      </c>
      <c r="P47" s="99">
        <f t="shared" si="10"/>
        <v>3631769.413857758</v>
      </c>
      <c r="Q47" s="99">
        <f t="shared" si="10"/>
        <v>8784645.3467022106</v>
      </c>
      <c r="R47" s="99">
        <f t="shared" si="10"/>
        <v>-4367289.3448447138</v>
      </c>
      <c r="S47" s="99">
        <f t="shared" si="10"/>
        <v>10344715.908154845</v>
      </c>
      <c r="T47" s="99">
        <f t="shared" si="10"/>
        <v>7514429.07371388</v>
      </c>
      <c r="U47" s="99">
        <f t="shared" si="10"/>
        <v>1144340.1230004579</v>
      </c>
      <c r="V47" s="99">
        <f t="shared" si="10"/>
        <v>-1398305.802019313</v>
      </c>
      <c r="W47" s="99">
        <f t="shared" si="10"/>
        <v>-6093115.3806649968</v>
      </c>
      <c r="X47" s="99">
        <f t="shared" si="10"/>
        <v>-3435773.9084230922</v>
      </c>
      <c r="Y47" s="99">
        <f t="shared" si="10"/>
        <v>4983180.3622808196</v>
      </c>
      <c r="Z47" s="99">
        <f t="shared" si="10"/>
        <v>3413406.5100446418</v>
      </c>
      <c r="AA47" s="99">
        <f t="shared" si="10"/>
        <v>10927900.231532402</v>
      </c>
      <c r="AB47" s="99">
        <f t="shared" si="10"/>
        <v>5084687.1997530684</v>
      </c>
      <c r="AC47" s="99">
        <f t="shared" si="10"/>
        <v>-515414.39071896672</v>
      </c>
      <c r="AD47" s="99">
        <f t="shared" si="10"/>
        <v>6250000.8235338926</v>
      </c>
      <c r="AE47" s="99">
        <f t="shared" si="10"/>
        <v>1305419.4977458008</v>
      </c>
      <c r="AF47" s="99">
        <f t="shared" si="10"/>
        <v>7165480.9003266543</v>
      </c>
      <c r="AG47" s="99">
        <f t="shared" si="10"/>
        <v>7724930.9964126945</v>
      </c>
      <c r="AH47" s="99">
        <f t="shared" si="10"/>
        <v>5476303.8476468846</v>
      </c>
      <c r="AI47" s="99">
        <f t="shared" si="10"/>
        <v>1408348.8564315364</v>
      </c>
      <c r="AJ47" s="99">
        <f t="shared" si="10"/>
        <v>4578340.9817713797</v>
      </c>
      <c r="AK47" s="99">
        <f t="shared" si="10"/>
        <v>9001140.0753646269</v>
      </c>
      <c r="AL47" s="99">
        <f t="shared" si="10"/>
        <v>4240928.5542286411</v>
      </c>
      <c r="AM47" s="99">
        <f t="shared" si="10"/>
        <v>2049528.5968230665</v>
      </c>
      <c r="AN47" s="99">
        <f t="shared" si="10"/>
        <v>4154966.7300420888</v>
      </c>
      <c r="AO47" s="99">
        <f t="shared" si="10"/>
        <v>6338637.0231953189</v>
      </c>
      <c r="AP47" s="99">
        <f t="shared" si="10"/>
        <v>4634977.2635218725</v>
      </c>
      <c r="AQ47" s="99">
        <f t="shared" si="10"/>
        <v>1851678.8368476033</v>
      </c>
      <c r="AR47" s="99">
        <f t="shared" si="10"/>
        <v>7055790.9201378226</v>
      </c>
      <c r="AS47" s="99">
        <f t="shared" si="10"/>
        <v>13031150.043731317</v>
      </c>
      <c r="AT47" s="99">
        <f t="shared" si="10"/>
        <v>7065368.6985584497</v>
      </c>
      <c r="AU47" s="99">
        <f t="shared" si="10"/>
        <v>1211998.6910779923</v>
      </c>
      <c r="AV47" s="99">
        <f t="shared" si="10"/>
        <v>-1786361.2915979922</v>
      </c>
      <c r="AW47" s="99">
        <f t="shared" si="10"/>
        <v>-1907540.0968430042</v>
      </c>
      <c r="AX47" s="99">
        <f t="shared" si="10"/>
        <v>-458915.96012340486</v>
      </c>
      <c r="AY47" s="99">
        <f t="shared" si="10"/>
        <v>5713233.6139573455</v>
      </c>
      <c r="AZ47" s="99">
        <f t="shared" si="10"/>
        <v>15645920.97059229</v>
      </c>
      <c r="BA47" s="99">
        <f t="shared" si="10"/>
        <v>2945631.6909322068</v>
      </c>
      <c r="BB47" s="99">
        <f t="shared" si="10"/>
        <v>9461009.346221108</v>
      </c>
      <c r="BC47" s="99">
        <f t="shared" si="10"/>
        <v>8818186.6448145062</v>
      </c>
      <c r="BD47" s="99">
        <f t="shared" si="10"/>
        <v>-9985778.7679022402</v>
      </c>
      <c r="BF47" s="68"/>
    </row>
    <row r="48" spans="1:58" s="64" customFormat="1" ht="13" x14ac:dyDescent="0.3">
      <c r="A48" s="60" t="s">
        <v>29</v>
      </c>
      <c r="B48" s="60"/>
      <c r="C48" s="67">
        <f t="shared" ref="C48:BD48" si="11">C29</f>
        <v>2537497945.916667</v>
      </c>
      <c r="D48" s="61">
        <f t="shared" si="11"/>
        <v>28924066</v>
      </c>
      <c r="E48" s="61">
        <f t="shared" si="11"/>
        <v>56925944.333333336</v>
      </c>
      <c r="F48" s="61">
        <f t="shared" si="11"/>
        <v>51565551</v>
      </c>
      <c r="G48" s="61">
        <f t="shared" si="11"/>
        <v>66200608</v>
      </c>
      <c r="H48" s="61">
        <f t="shared" si="11"/>
        <v>63729936</v>
      </c>
      <c r="I48" s="61">
        <f t="shared" si="11"/>
        <v>40152123.983333334</v>
      </c>
      <c r="J48" s="61">
        <f t="shared" si="11"/>
        <v>45692268.933333337</v>
      </c>
      <c r="K48" s="61">
        <f t="shared" si="11"/>
        <v>29746592</v>
      </c>
      <c r="L48" s="61">
        <f t="shared" si="11"/>
        <v>84886454</v>
      </c>
      <c r="M48" s="61">
        <f t="shared" si="11"/>
        <v>79634271.666666657</v>
      </c>
      <c r="N48" s="61">
        <f t="shared" si="11"/>
        <v>53415548</v>
      </c>
      <c r="O48" s="61">
        <f t="shared" si="11"/>
        <v>65789063</v>
      </c>
      <c r="P48" s="61">
        <f t="shared" si="11"/>
        <v>74865726</v>
      </c>
      <c r="Q48" s="61">
        <f t="shared" si="11"/>
        <v>36500116</v>
      </c>
      <c r="R48" s="61">
        <f t="shared" si="11"/>
        <v>51631025</v>
      </c>
      <c r="S48" s="61">
        <f t="shared" si="11"/>
        <v>31744243.666666668</v>
      </c>
      <c r="T48" s="61">
        <f t="shared" si="11"/>
        <v>15287690</v>
      </c>
      <c r="U48" s="61">
        <f t="shared" si="11"/>
        <v>74306030</v>
      </c>
      <c r="V48" s="61">
        <f t="shared" si="11"/>
        <v>38188141.333333328</v>
      </c>
      <c r="W48" s="61">
        <f t="shared" si="11"/>
        <v>44432291.666666664</v>
      </c>
      <c r="X48" s="61">
        <f t="shared" si="11"/>
        <v>28527816.666666668</v>
      </c>
      <c r="Y48" s="61">
        <f t="shared" si="11"/>
        <v>17488015</v>
      </c>
      <c r="Z48" s="61">
        <f t="shared" si="11"/>
        <v>54984741</v>
      </c>
      <c r="AA48" s="61">
        <f t="shared" si="11"/>
        <v>50573533.333333336</v>
      </c>
      <c r="AB48" s="61">
        <f t="shared" si="11"/>
        <v>14578526</v>
      </c>
      <c r="AC48" s="61">
        <f t="shared" si="11"/>
        <v>35951594</v>
      </c>
      <c r="AD48" s="61">
        <f t="shared" si="11"/>
        <v>46849422.799999997</v>
      </c>
      <c r="AE48" s="61">
        <f t="shared" si="11"/>
        <v>16457615.199999999</v>
      </c>
      <c r="AF48" s="61">
        <f t="shared" si="11"/>
        <v>44122574</v>
      </c>
      <c r="AG48" s="61">
        <f t="shared" si="11"/>
        <v>36819010.666666672</v>
      </c>
      <c r="AH48" s="61">
        <f t="shared" si="11"/>
        <v>46545141</v>
      </c>
      <c r="AI48" s="61">
        <f t="shared" si="11"/>
        <v>13427644</v>
      </c>
      <c r="AJ48" s="61">
        <f t="shared" si="11"/>
        <v>76917288</v>
      </c>
      <c r="AK48" s="61">
        <f t="shared" si="11"/>
        <v>43315911</v>
      </c>
      <c r="AL48" s="61">
        <f t="shared" si="11"/>
        <v>45132155</v>
      </c>
      <c r="AM48" s="61">
        <f t="shared" si="11"/>
        <v>62105751</v>
      </c>
      <c r="AN48" s="61">
        <f t="shared" si="11"/>
        <v>23243523</v>
      </c>
      <c r="AO48" s="61">
        <f t="shared" si="11"/>
        <v>13069058</v>
      </c>
      <c r="AP48" s="61">
        <f t="shared" si="11"/>
        <v>43945891</v>
      </c>
      <c r="AQ48" s="61">
        <f t="shared" si="11"/>
        <v>96858230</v>
      </c>
      <c r="AR48" s="61">
        <f t="shared" si="11"/>
        <v>30643377</v>
      </c>
      <c r="AS48" s="61">
        <f t="shared" si="11"/>
        <v>65556880</v>
      </c>
      <c r="AT48" s="61">
        <f t="shared" si="11"/>
        <v>134456924.66666669</v>
      </c>
      <c r="AU48" s="61">
        <f t="shared" si="11"/>
        <v>15955230</v>
      </c>
      <c r="AV48" s="61">
        <f t="shared" si="11"/>
        <v>30679370.666666668</v>
      </c>
      <c r="AW48" s="61">
        <f t="shared" si="11"/>
        <v>33249047.333333332</v>
      </c>
      <c r="AX48" s="61">
        <f t="shared" si="11"/>
        <v>31158044</v>
      </c>
      <c r="AY48" s="61">
        <f t="shared" si="11"/>
        <v>71002042</v>
      </c>
      <c r="AZ48" s="61">
        <f t="shared" si="11"/>
        <v>65352488</v>
      </c>
      <c r="BA48" s="61">
        <f t="shared" si="11"/>
        <v>37708942</v>
      </c>
      <c r="BB48" s="61">
        <f t="shared" si="11"/>
        <v>22154493</v>
      </c>
      <c r="BC48" s="61">
        <f t="shared" si="11"/>
        <v>49405476</v>
      </c>
      <c r="BD48" s="61">
        <f t="shared" si="11"/>
        <v>105644500</v>
      </c>
      <c r="BF48" s="68"/>
    </row>
    <row r="49" spans="1:58" s="104" customFormat="1" ht="13" x14ac:dyDescent="0.3">
      <c r="A49" s="101" t="s">
        <v>49</v>
      </c>
      <c r="B49" s="102"/>
      <c r="C49" s="103">
        <f t="shared" ref="C49:BD49" si="12">C47/C4</f>
        <v>7.0410350243496428E-2</v>
      </c>
      <c r="D49" s="101">
        <f t="shared" si="12"/>
        <v>0.11688058807757497</v>
      </c>
      <c r="E49" s="101">
        <f t="shared" si="12"/>
        <v>-2.7916374841324934E-2</v>
      </c>
      <c r="F49" s="101">
        <f t="shared" si="12"/>
        <v>0.10593307047469085</v>
      </c>
      <c r="G49" s="101">
        <f t="shared" si="12"/>
        <v>0.10019024980694891</v>
      </c>
      <c r="H49" s="101">
        <f t="shared" si="12"/>
        <v>-6.3527196966940674E-2</v>
      </c>
      <c r="I49" s="101">
        <f t="shared" si="12"/>
        <v>0.1026242252535317</v>
      </c>
      <c r="J49" s="101">
        <f t="shared" si="12"/>
        <v>3.1421490093573146E-2</v>
      </c>
      <c r="K49" s="101">
        <f t="shared" si="12"/>
        <v>2.0187181253855036E-2</v>
      </c>
      <c r="L49" s="101">
        <f t="shared" si="12"/>
        <v>0.12697278416916033</v>
      </c>
      <c r="M49" s="101">
        <f t="shared" si="12"/>
        <v>0.13612206048886191</v>
      </c>
      <c r="N49" s="101">
        <f t="shared" si="12"/>
        <v>4.0337368518549445E-2</v>
      </c>
      <c r="O49" s="101">
        <f t="shared" si="12"/>
        <v>2.1503107923281233E-2</v>
      </c>
      <c r="P49" s="101">
        <f t="shared" si="12"/>
        <v>4.2386608784315938E-2</v>
      </c>
      <c r="Q49" s="101">
        <f t="shared" si="12"/>
        <v>0.17733860922767705</v>
      </c>
      <c r="R49" s="101">
        <f t="shared" si="12"/>
        <v>-8.4261804839759091E-2</v>
      </c>
      <c r="S49" s="101">
        <f t="shared" si="12"/>
        <v>0.22767664204936275</v>
      </c>
      <c r="T49" s="101">
        <f t="shared" si="12"/>
        <v>0.28332814545335494</v>
      </c>
      <c r="U49" s="101">
        <f t="shared" si="12"/>
        <v>1.3663273232009096E-2</v>
      </c>
      <c r="V49" s="101">
        <f t="shared" si="12"/>
        <v>-3.397492047572255E-2</v>
      </c>
      <c r="W49" s="101">
        <f t="shared" si="12"/>
        <v>-0.13888392096701763</v>
      </c>
      <c r="X49" s="101">
        <f t="shared" si="12"/>
        <v>-0.12067626386228415</v>
      </c>
      <c r="Y49" s="101">
        <f t="shared" si="12"/>
        <v>0.19185263580044734</v>
      </c>
      <c r="Z49" s="101">
        <f t="shared" si="12"/>
        <v>5.3990802411259399E-2</v>
      </c>
      <c r="AA49" s="101">
        <f t="shared" si="12"/>
        <v>0.16219999453093081</v>
      </c>
      <c r="AB49" s="101">
        <f t="shared" si="12"/>
        <v>0.22432443198433491</v>
      </c>
      <c r="AC49" s="101">
        <f t="shared" si="12"/>
        <v>-1.2952713880150953E-2</v>
      </c>
      <c r="AD49" s="101">
        <f t="shared" si="12"/>
        <v>0.10921228810257029</v>
      </c>
      <c r="AE49" s="101">
        <f t="shared" si="12"/>
        <v>6.3259328248972707E-2</v>
      </c>
      <c r="AF49" s="101">
        <f t="shared" si="12"/>
        <v>0.12687431875500921</v>
      </c>
      <c r="AG49" s="101">
        <f t="shared" si="12"/>
        <v>0.15822319391296508</v>
      </c>
      <c r="AH49" s="101">
        <f t="shared" si="12"/>
        <v>9.3967018096516489E-2</v>
      </c>
      <c r="AI49" s="101">
        <f t="shared" si="12"/>
        <v>8.124777064910213E-2</v>
      </c>
      <c r="AJ49" s="101">
        <f t="shared" si="12"/>
        <v>5.1905096952263786E-2</v>
      </c>
      <c r="AK49" s="101">
        <f t="shared" si="12"/>
        <v>0.15588549193593271</v>
      </c>
      <c r="AL49" s="101">
        <f t="shared" si="12"/>
        <v>7.7256686600150129E-2</v>
      </c>
      <c r="AM49" s="101">
        <f t="shared" si="12"/>
        <v>2.8670028548250397E-2</v>
      </c>
      <c r="AN49" s="101">
        <f t="shared" si="12"/>
        <v>0.13344574544071458</v>
      </c>
      <c r="AO49" s="101">
        <f t="shared" si="12"/>
        <v>0.28429480728360779</v>
      </c>
      <c r="AP49" s="101">
        <f t="shared" si="12"/>
        <v>8.6465390607627507E-2</v>
      </c>
      <c r="AQ49" s="101">
        <f t="shared" si="12"/>
        <v>1.6792866299864539E-2</v>
      </c>
      <c r="AR49" s="101">
        <f t="shared" si="12"/>
        <v>0.16886750401210596</v>
      </c>
      <c r="AS49" s="101">
        <f t="shared" si="12"/>
        <v>0.14884067621993258</v>
      </c>
      <c r="AT49" s="101">
        <f t="shared" si="12"/>
        <v>4.6010775653386973E-2</v>
      </c>
      <c r="AU49" s="101">
        <f t="shared" si="12"/>
        <v>5.4945991979236213E-2</v>
      </c>
      <c r="AV49" s="101">
        <f t="shared" si="12"/>
        <v>-5.2693468971357543E-2</v>
      </c>
      <c r="AW49" s="101">
        <f t="shared" si="12"/>
        <v>-5.5048167124829135E-2</v>
      </c>
      <c r="AX49" s="101">
        <f t="shared" si="12"/>
        <v>-1.2673385438772883E-2</v>
      </c>
      <c r="AY49" s="101">
        <f t="shared" si="12"/>
        <v>6.5671617177936736E-2</v>
      </c>
      <c r="AZ49" s="101">
        <f t="shared" si="12"/>
        <v>0.17971835983588286</v>
      </c>
      <c r="BA49" s="101">
        <f t="shared" si="12"/>
        <v>6.4749404102016295E-2</v>
      </c>
      <c r="BB49" s="101">
        <f t="shared" si="12"/>
        <v>0.23946466238631978</v>
      </c>
      <c r="BC49" s="101">
        <f t="shared" si="12"/>
        <v>0.14032934151881299</v>
      </c>
      <c r="BD49" s="101">
        <f t="shared" si="12"/>
        <v>-9.240307703606114E-2</v>
      </c>
      <c r="BF49" s="123"/>
    </row>
    <row r="50" spans="1:58" s="104" customFormat="1" ht="13" x14ac:dyDescent="0.3">
      <c r="A50" s="101" t="s">
        <v>50</v>
      </c>
      <c r="B50" s="102"/>
      <c r="C50" s="103">
        <f t="shared" ref="C50:BD50" si="13">C46/C4</f>
        <v>0.1697555474101046</v>
      </c>
      <c r="D50" s="101">
        <f t="shared" si="13"/>
        <v>0.21054462579835143</v>
      </c>
      <c r="E50" s="101">
        <f t="shared" si="13"/>
        <v>8.1276518941716933E-2</v>
      </c>
      <c r="F50" s="101">
        <f t="shared" si="13"/>
        <v>0.19657301112461437</v>
      </c>
      <c r="G50" s="101">
        <f t="shared" si="13"/>
        <v>0.20234465142058461</v>
      </c>
      <c r="H50" s="101">
        <f t="shared" si="13"/>
        <v>3.5213515804771708E-2</v>
      </c>
      <c r="I50" s="101">
        <f t="shared" si="13"/>
        <v>0.19061191776863945</v>
      </c>
      <c r="J50" s="101">
        <f t="shared" si="13"/>
        <v>0.13631731186047677</v>
      </c>
      <c r="K50" s="101">
        <f t="shared" si="13"/>
        <v>0.14168589318175259</v>
      </c>
      <c r="L50" s="101">
        <f t="shared" si="13"/>
        <v>0.19837520893732352</v>
      </c>
      <c r="M50" s="101">
        <f t="shared" si="13"/>
        <v>0.20625283655778945</v>
      </c>
      <c r="N50" s="101">
        <f t="shared" si="13"/>
        <v>0.161822427120176</v>
      </c>
      <c r="O50" s="101">
        <f t="shared" si="13"/>
        <v>0.11099464886558653</v>
      </c>
      <c r="P50" s="101">
        <f t="shared" si="13"/>
        <v>0.12623741275880582</v>
      </c>
      <c r="Q50" s="101">
        <f t="shared" si="13"/>
        <v>0.26315980297157621</v>
      </c>
      <c r="R50" s="101">
        <f t="shared" si="13"/>
        <v>3.8389928612772525E-3</v>
      </c>
      <c r="S50" s="101">
        <f t="shared" si="13"/>
        <v>0.30134158670070721</v>
      </c>
      <c r="T50" s="101">
        <f t="shared" si="13"/>
        <v>0.42358457129929872</v>
      </c>
      <c r="U50" s="101">
        <f t="shared" si="13"/>
        <v>0.11279560135159337</v>
      </c>
      <c r="V50" s="101">
        <f t="shared" si="13"/>
        <v>7.2134962865774269E-2</v>
      </c>
      <c r="W50" s="101">
        <f t="shared" si="13"/>
        <v>-1.2771053671286109E-2</v>
      </c>
      <c r="X50" s="101">
        <f t="shared" si="13"/>
        <v>-1.9955978598106112E-3</v>
      </c>
      <c r="Y50" s="101">
        <f t="shared" si="13"/>
        <v>0.32671074921074922</v>
      </c>
      <c r="Z50" s="101">
        <f t="shared" si="13"/>
        <v>0.13029102211255575</v>
      </c>
      <c r="AA50" s="101">
        <f t="shared" si="13"/>
        <v>0.24935013531632352</v>
      </c>
      <c r="AB50" s="101">
        <f t="shared" si="13"/>
        <v>0.35682974475250373</v>
      </c>
      <c r="AC50" s="101">
        <f t="shared" si="13"/>
        <v>9.6512012464817054E-2</v>
      </c>
      <c r="AD50" s="101">
        <f t="shared" si="13"/>
        <v>0.18135488222548407</v>
      </c>
      <c r="AE50" s="101">
        <f t="shared" si="13"/>
        <v>0.20248036441170772</v>
      </c>
      <c r="AF50" s="101">
        <f t="shared" si="13"/>
        <v>0.21875145634506082</v>
      </c>
      <c r="AG50" s="101">
        <f t="shared" si="13"/>
        <v>0.2458675078002853</v>
      </c>
      <c r="AH50" s="101">
        <f t="shared" si="13"/>
        <v>0.20133940184285934</v>
      </c>
      <c r="AI50" s="101">
        <f t="shared" si="13"/>
        <v>0.22535802469135802</v>
      </c>
      <c r="AJ50" s="101">
        <f t="shared" si="13"/>
        <v>0.12798122576695464</v>
      </c>
      <c r="AK50" s="101">
        <f t="shared" si="13"/>
        <v>0.24983701638322192</v>
      </c>
      <c r="AL50" s="101">
        <f t="shared" si="13"/>
        <v>0.17783081939738404</v>
      </c>
      <c r="AM50" s="101">
        <f t="shared" si="13"/>
        <v>0.13122770917148341</v>
      </c>
      <c r="AN50" s="101">
        <f t="shared" si="13"/>
        <v>0.25348397353545737</v>
      </c>
      <c r="AO50" s="101">
        <f t="shared" si="13"/>
        <v>0.41383844635809114</v>
      </c>
      <c r="AP50" s="101">
        <f t="shared" si="13"/>
        <v>0.18019044865217798</v>
      </c>
      <c r="AQ50" s="101">
        <f t="shared" si="13"/>
        <v>0.12159318664536058</v>
      </c>
      <c r="AR50" s="101">
        <f t="shared" si="13"/>
        <v>0.2666065864107412</v>
      </c>
      <c r="AS50" s="101">
        <f t="shared" si="13"/>
        <v>0.2512149490011536</v>
      </c>
      <c r="AT50" s="101">
        <f t="shared" si="13"/>
        <v>0.12439567419254692</v>
      </c>
      <c r="AU50" s="101">
        <f t="shared" si="13"/>
        <v>0.27666923565146434</v>
      </c>
      <c r="AV50" s="101">
        <f t="shared" si="13"/>
        <v>9.5030510407755883E-2</v>
      </c>
      <c r="AW50" s="101">
        <f t="shared" si="13"/>
        <v>4.0492455505470586E-2</v>
      </c>
      <c r="AX50" s="101">
        <f t="shared" si="13"/>
        <v>0.13954201761895557</v>
      </c>
      <c r="AY50" s="101">
        <f t="shared" si="13"/>
        <v>0.18385642244969852</v>
      </c>
      <c r="AZ50" s="101">
        <f t="shared" si="13"/>
        <v>0.24932242872567714</v>
      </c>
      <c r="BA50" s="101">
        <f t="shared" si="13"/>
        <v>0.17110087750149475</v>
      </c>
      <c r="BB50" s="101">
        <f t="shared" si="13"/>
        <v>0.4392545242856058</v>
      </c>
      <c r="BC50" s="101">
        <f t="shared" si="13"/>
        <v>0.21377963590955978</v>
      </c>
      <c r="BD50" s="101">
        <f t="shared" si="13"/>
        <v>2.2422076552084065E-2</v>
      </c>
      <c r="BF50" s="123"/>
    </row>
    <row r="51" spans="1:58" s="104" customFormat="1" ht="13" x14ac:dyDescent="0.3">
      <c r="A51" s="101" t="s">
        <v>51</v>
      </c>
      <c r="B51" s="102"/>
      <c r="C51" s="103">
        <f>C47/C48</f>
        <v>8.4806769890308525E-2</v>
      </c>
      <c r="D51" s="101">
        <f t="shared" ref="D51:BD51" si="14">D47/D48</f>
        <v>0.14805217862475462</v>
      </c>
      <c r="E51" s="101">
        <f t="shared" si="14"/>
        <v>-3.0386046962866231E-2</v>
      </c>
      <c r="F51" s="101">
        <f t="shared" si="14"/>
        <v>0.13185152097388833</v>
      </c>
      <c r="G51" s="101">
        <f t="shared" si="14"/>
        <v>0.12560593994058056</v>
      </c>
      <c r="H51" s="101">
        <f t="shared" si="14"/>
        <v>-6.584586124248161E-2</v>
      </c>
      <c r="I51" s="101">
        <f t="shared" si="14"/>
        <v>0.12679236018723208</v>
      </c>
      <c r="J51" s="101">
        <f t="shared" si="14"/>
        <v>3.638082657562447E-2</v>
      </c>
      <c r="K51" s="101">
        <f t="shared" si="14"/>
        <v>2.3519572955276825E-2</v>
      </c>
      <c r="L51" s="101">
        <f t="shared" si="14"/>
        <v>0.15839428319181403</v>
      </c>
      <c r="M51" s="101">
        <f>M47/M48</f>
        <v>0.17149297252105697</v>
      </c>
      <c r="N51" s="101">
        <f t="shared" si="14"/>
        <v>4.8125086883388762E-2</v>
      </c>
      <c r="O51" s="101">
        <f t="shared" si="14"/>
        <v>2.4187827323921319E-2</v>
      </c>
      <c r="P51" s="101">
        <f t="shared" si="14"/>
        <v>4.8510441398214157E-2</v>
      </c>
      <c r="Q51" s="101">
        <f t="shared" si="14"/>
        <v>0.24067445009495889</v>
      </c>
      <c r="R51" s="101">
        <f t="shared" si="14"/>
        <v>-8.458653193200627E-2</v>
      </c>
      <c r="S51" s="101">
        <f t="shared" si="14"/>
        <v>0.32587690596066737</v>
      </c>
      <c r="T51" s="101">
        <f t="shared" si="14"/>
        <v>0.49153463170131523</v>
      </c>
      <c r="U51" s="101">
        <f t="shared" si="14"/>
        <v>1.5400366874672996E-2</v>
      </c>
      <c r="V51" s="101">
        <f t="shared" si="14"/>
        <v>-3.6616230934464783E-2</v>
      </c>
      <c r="W51" s="101">
        <f t="shared" si="14"/>
        <v>-0.13713259325843155</v>
      </c>
      <c r="X51" s="101">
        <f t="shared" si="14"/>
        <v>-0.12043592219371008</v>
      </c>
      <c r="Y51" s="101">
        <f t="shared" si="14"/>
        <v>0.28494831244602775</v>
      </c>
      <c r="Z51" s="101">
        <f t="shared" si="14"/>
        <v>6.2079159562552853E-2</v>
      </c>
      <c r="AA51" s="101">
        <f t="shared" si="14"/>
        <v>0.21607942952108813</v>
      </c>
      <c r="AB51" s="101">
        <f t="shared" si="14"/>
        <v>0.34877923870719635</v>
      </c>
      <c r="AC51" s="101">
        <f t="shared" si="14"/>
        <v>-1.4336343215240101E-2</v>
      </c>
      <c r="AD51" s="101">
        <f t="shared" si="14"/>
        <v>0.13340614355517511</v>
      </c>
      <c r="AE51" s="101">
        <f t="shared" si="14"/>
        <v>7.9320088717701992E-2</v>
      </c>
      <c r="AF51" s="101">
        <f t="shared" si="14"/>
        <v>0.16239943073871108</v>
      </c>
      <c r="AG51" s="101">
        <f t="shared" si="14"/>
        <v>0.20980821745453093</v>
      </c>
      <c r="AH51" s="101">
        <f t="shared" si="14"/>
        <v>0.11765575804458052</v>
      </c>
      <c r="AI51" s="101">
        <f t="shared" si="14"/>
        <v>0.10488428621071101</v>
      </c>
      <c r="AJ51" s="101">
        <f t="shared" si="14"/>
        <v>5.9522912219309915E-2</v>
      </c>
      <c r="AK51" s="101">
        <f t="shared" si="14"/>
        <v>0.20780216478338934</v>
      </c>
      <c r="AL51" s="101">
        <f t="shared" si="14"/>
        <v>9.3966896866073443E-2</v>
      </c>
      <c r="AM51" s="101">
        <f t="shared" si="14"/>
        <v>3.3000624963428371E-2</v>
      </c>
      <c r="AN51" s="101">
        <f t="shared" si="14"/>
        <v>0.17875804498492284</v>
      </c>
      <c r="AO51" s="101">
        <f t="shared" si="14"/>
        <v>0.48501101021935311</v>
      </c>
      <c r="AP51" s="101">
        <f t="shared" si="14"/>
        <v>0.10547009420111365</v>
      </c>
      <c r="AQ51" s="101">
        <f t="shared" si="14"/>
        <v>1.9117413531587385E-2</v>
      </c>
      <c r="AR51" s="101">
        <f t="shared" si="14"/>
        <v>0.23025500486248049</v>
      </c>
      <c r="AS51" s="101">
        <f t="shared" si="14"/>
        <v>0.19877623895053145</v>
      </c>
      <c r="AT51" s="101">
        <f t="shared" si="14"/>
        <v>5.2547451282812435E-2</v>
      </c>
      <c r="AU51" s="101">
        <f t="shared" si="14"/>
        <v>7.5962470680647806E-2</v>
      </c>
      <c r="AV51" s="101">
        <f t="shared" si="14"/>
        <v>-5.8226790601636595E-2</v>
      </c>
      <c r="AW51" s="101">
        <f t="shared" si="14"/>
        <v>-5.737127075309098E-2</v>
      </c>
      <c r="AX51" s="101">
        <f t="shared" si="14"/>
        <v>-1.4728651134949448E-2</v>
      </c>
      <c r="AY51" s="101">
        <f t="shared" si="14"/>
        <v>8.0465764829092457E-2</v>
      </c>
      <c r="AZ51" s="101">
        <f t="shared" si="14"/>
        <v>0.23940819162986252</v>
      </c>
      <c r="BA51" s="101">
        <f t="shared" si="14"/>
        <v>7.8114938651214522E-2</v>
      </c>
      <c r="BB51" s="101">
        <f t="shared" si="14"/>
        <v>0.42704698077365655</v>
      </c>
      <c r="BC51" s="101">
        <f t="shared" si="14"/>
        <v>0.17848601731545924</v>
      </c>
      <c r="BD51" s="101">
        <f t="shared" si="14"/>
        <v>-9.452246702764687E-2</v>
      </c>
      <c r="BF51" s="123"/>
    </row>
    <row r="52" spans="1:58" s="105" customFormat="1" ht="13" x14ac:dyDescent="0.3">
      <c r="A52" s="101" t="s">
        <v>52</v>
      </c>
      <c r="B52" s="102"/>
      <c r="C52" s="103">
        <f t="shared" ref="C52:BD52" si="15">C47/C46</f>
        <v>0.41477495915579893</v>
      </c>
      <c r="D52" s="101">
        <f t="shared" si="15"/>
        <v>0.55513451190873453</v>
      </c>
      <c r="E52" s="101">
        <f t="shared" si="15"/>
        <v>-0.34347404643822965</v>
      </c>
      <c r="F52" s="101">
        <f t="shared" si="15"/>
        <v>0.53889936298292873</v>
      </c>
      <c r="G52" s="101">
        <f t="shared" si="15"/>
        <v>0.49514651908786012</v>
      </c>
      <c r="H52" s="101">
        <f t="shared" si="15"/>
        <v>-1.8040572068731702</v>
      </c>
      <c r="I52" s="101">
        <f t="shared" si="15"/>
        <v>0.53839354041909759</v>
      </c>
      <c r="J52" s="101">
        <f t="shared" si="15"/>
        <v>0.23050256540954689</v>
      </c>
      <c r="K52" s="101">
        <f t="shared" si="15"/>
        <v>0.1424784133446455</v>
      </c>
      <c r="L52" s="101">
        <f t="shared" si="15"/>
        <v>0.64006377031354389</v>
      </c>
      <c r="M52" s="101">
        <f>M47/M46</f>
        <v>0.65997667116070047</v>
      </c>
      <c r="N52" s="101">
        <f t="shared" si="15"/>
        <v>0.24926933328340981</v>
      </c>
      <c r="O52" s="101">
        <f t="shared" si="15"/>
        <v>0.19373103246915346</v>
      </c>
      <c r="P52" s="101">
        <f t="shared" si="15"/>
        <v>0.33576899160078211</v>
      </c>
      <c r="Q52" s="101">
        <f t="shared" si="15"/>
        <v>0.67388182855126744</v>
      </c>
      <c r="R52" s="101">
        <f t="shared" si="15"/>
        <v>-21.948935016181498</v>
      </c>
      <c r="S52" s="101">
        <f t="shared" si="15"/>
        <v>0.75554338364684936</v>
      </c>
      <c r="T52" s="101">
        <f t="shared" si="15"/>
        <v>0.66888211859151836</v>
      </c>
      <c r="U52" s="101">
        <f t="shared" si="15"/>
        <v>0.1211330323903281</v>
      </c>
      <c r="V52" s="101">
        <f t="shared" si="15"/>
        <v>-0.47099103022956657</v>
      </c>
      <c r="W52" s="101">
        <f t="shared" si="15"/>
        <v>10.874899169774713</v>
      </c>
      <c r="X52" s="101">
        <f t="shared" si="15"/>
        <v>60.471233354467884</v>
      </c>
      <c r="Y52" s="101">
        <f t="shared" si="15"/>
        <v>0.58722474318312134</v>
      </c>
      <c r="Z52" s="101">
        <f t="shared" si="15"/>
        <v>0.41438620663070591</v>
      </c>
      <c r="AA52" s="101">
        <f t="shared" si="15"/>
        <v>0.65049090238176632</v>
      </c>
      <c r="AB52" s="101">
        <f t="shared" si="15"/>
        <v>0.62865956463334016</v>
      </c>
      <c r="AC52" s="101">
        <f t="shared" si="15"/>
        <v>-0.13420830785051546</v>
      </c>
      <c r="AD52" s="101">
        <f t="shared" si="15"/>
        <v>0.60220208445661427</v>
      </c>
      <c r="AE52" s="101">
        <f t="shared" si="15"/>
        <v>0.31242203871357194</v>
      </c>
      <c r="AF52" s="101">
        <f t="shared" si="15"/>
        <v>0.57999302438872147</v>
      </c>
      <c r="AG52" s="101">
        <f t="shared" si="15"/>
        <v>0.6435303116241271</v>
      </c>
      <c r="AH52" s="101">
        <f t="shared" si="15"/>
        <v>0.46670953244340885</v>
      </c>
      <c r="AI52" s="101">
        <f t="shared" si="15"/>
        <v>0.36052752397158283</v>
      </c>
      <c r="AJ52" s="101">
        <f t="shared" si="15"/>
        <v>0.40556805610519425</v>
      </c>
      <c r="AK52" s="101">
        <f t="shared" si="15"/>
        <v>0.62394874143398305</v>
      </c>
      <c r="AL52" s="101">
        <f t="shared" si="15"/>
        <v>0.4344392432197644</v>
      </c>
      <c r="AM52" s="101">
        <f t="shared" si="15"/>
        <v>0.2184754174957477</v>
      </c>
      <c r="AN52" s="101">
        <f t="shared" si="15"/>
        <v>0.52644647935522504</v>
      </c>
      <c r="AO52" s="101">
        <f t="shared" si="15"/>
        <v>0.68697050693450967</v>
      </c>
      <c r="AP52" s="101">
        <f t="shared" si="15"/>
        <v>0.47985557089394815</v>
      </c>
      <c r="AQ52" s="101">
        <f t="shared" si="15"/>
        <v>0.13810696769419092</v>
      </c>
      <c r="AR52" s="101">
        <f t="shared" si="15"/>
        <v>0.63339584473709953</v>
      </c>
      <c r="AS52" s="101">
        <f t="shared" si="15"/>
        <v>0.59248335663037743</v>
      </c>
      <c r="AT52" s="101">
        <f t="shared" si="15"/>
        <v>0.36987440240219921</v>
      </c>
      <c r="AU52" s="101">
        <f t="shared" si="15"/>
        <v>0.1985981269289179</v>
      </c>
      <c r="AV52" s="101">
        <f t="shared" si="15"/>
        <v>-0.55449001321008362</v>
      </c>
      <c r="AW52" s="101">
        <f t="shared" si="15"/>
        <v>-1.359467249828602</v>
      </c>
      <c r="AX52" s="101">
        <f t="shared" si="15"/>
        <v>-9.082128562437608E-2</v>
      </c>
      <c r="AY52" s="101">
        <f t="shared" si="15"/>
        <v>0.35718968259541711</v>
      </c>
      <c r="AZ52" s="101">
        <f t="shared" si="15"/>
        <v>0.7208270862531273</v>
      </c>
      <c r="BA52" s="101">
        <f t="shared" si="15"/>
        <v>0.37842824097410394</v>
      </c>
      <c r="BB52" s="101">
        <f t="shared" si="15"/>
        <v>0.54516151603852003</v>
      </c>
      <c r="BC52" s="101">
        <f t="shared" si="15"/>
        <v>0.65642052818435792</v>
      </c>
      <c r="BD52" s="101">
        <f t="shared" si="15"/>
        <v>-4.1210757987298257</v>
      </c>
      <c r="BF52" s="123"/>
    </row>
    <row r="53" spans="1:58" s="108" customFormat="1" ht="13" x14ac:dyDescent="0.3">
      <c r="A53" s="106" t="s">
        <v>53</v>
      </c>
      <c r="B53" s="107"/>
      <c r="C53" s="87">
        <f>C45/C46</f>
        <v>5.4760487297110281</v>
      </c>
      <c r="D53" s="106">
        <f t="shared" ref="D53:BD53" si="16">D45/D46</f>
        <v>4.1944524044428961</v>
      </c>
      <c r="E53" s="106">
        <f t="shared" si="16"/>
        <v>12.647150594360959</v>
      </c>
      <c r="F53" s="106">
        <f t="shared" si="16"/>
        <v>4.5482689836730916</v>
      </c>
      <c r="G53" s="106">
        <f t="shared" si="16"/>
        <v>4.4469164066152977</v>
      </c>
      <c r="H53" s="106">
        <f t="shared" si="16"/>
        <v>30.202244015146718</v>
      </c>
      <c r="I53" s="106">
        <f t="shared" si="16"/>
        <v>4.7078681398908291</v>
      </c>
      <c r="J53" s="106">
        <f t="shared" si="16"/>
        <v>7.1053228433508471</v>
      </c>
      <c r="K53" s="106">
        <f t="shared" si="16"/>
        <v>6.9153872466982671</v>
      </c>
      <c r="L53" s="106">
        <f t="shared" si="16"/>
        <v>4.400888702310942</v>
      </c>
      <c r="M53" s="106">
        <f>M45/M46</f>
        <v>4.1884414969928923</v>
      </c>
      <c r="N53" s="106">
        <f t="shared" si="16"/>
        <v>5.9303438253880936</v>
      </c>
      <c r="O53" s="106">
        <f t="shared" si="16"/>
        <v>8.8157123075515944</v>
      </c>
      <c r="P53" s="106">
        <f t="shared" si="16"/>
        <v>7.585812876610027</v>
      </c>
      <c r="Q53" s="106">
        <f t="shared" si="16"/>
        <v>3.126090616738979</v>
      </c>
      <c r="R53" s="106">
        <f t="shared" si="16"/>
        <v>282.43392056713009</v>
      </c>
      <c r="S53" s="106">
        <f t="shared" si="16"/>
        <v>2.5629497953022651</v>
      </c>
      <c r="T53" s="106">
        <f t="shared" si="16"/>
        <v>1.6919215266701844</v>
      </c>
      <c r="U53" s="106">
        <f t="shared" si="16"/>
        <v>8.7444609093708934</v>
      </c>
      <c r="V53" s="106">
        <f t="shared" si="16"/>
        <v>14.333894125650275</v>
      </c>
      <c r="W53" s="106">
        <f t="shared" si="16"/>
        <v>-89.176973982000831</v>
      </c>
      <c r="X53" s="106">
        <f t="shared" si="16"/>
        <v>-561.57419610013017</v>
      </c>
      <c r="Y53" s="106">
        <f t="shared" si="16"/>
        <v>2.4735867006268784</v>
      </c>
      <c r="Z53" s="106">
        <f t="shared" si="16"/>
        <v>7.2607397060060102</v>
      </c>
      <c r="AA53" s="106">
        <f t="shared" si="16"/>
        <v>3.3599340317431272</v>
      </c>
      <c r="AB53" s="106">
        <f t="shared" si="16"/>
        <v>2.1737973905557446</v>
      </c>
      <c r="AC53" s="106">
        <f t="shared" si="16"/>
        <v>10.495612805187516</v>
      </c>
      <c r="AD53" s="106">
        <f t="shared" si="16"/>
        <v>4.9118485312674736</v>
      </c>
      <c r="AE53" s="106">
        <f t="shared" si="16"/>
        <v>4.6263284564538418</v>
      </c>
      <c r="AF53" s="106">
        <f t="shared" si="16"/>
        <v>3.9914051126028314</v>
      </c>
      <c r="AG53" s="106">
        <f t="shared" si="16"/>
        <v>3.4237008932908628</v>
      </c>
      <c r="AH53" s="106">
        <f t="shared" si="16"/>
        <v>4.5000281793358106</v>
      </c>
      <c r="AI53" s="106">
        <f t="shared" si="16"/>
        <v>4.076856063187396</v>
      </c>
      <c r="AJ53" s="106">
        <f t="shared" si="16"/>
        <v>7.4080780002385236</v>
      </c>
      <c r="AK53" s="106">
        <f t="shared" si="16"/>
        <v>3.378660697617724</v>
      </c>
      <c r="AL53" s="106">
        <f t="shared" si="16"/>
        <v>5.1888829873626712</v>
      </c>
      <c r="AM53" s="106">
        <f t="shared" si="16"/>
        <v>7.4018664014202393</v>
      </c>
      <c r="AN53" s="106">
        <f t="shared" si="16"/>
        <v>3.4185761035423874</v>
      </c>
      <c r="AO53" s="106">
        <f t="shared" si="16"/>
        <v>1.7294313735585074</v>
      </c>
      <c r="AP53" s="106">
        <f t="shared" si="16"/>
        <v>5.0698281525219491</v>
      </c>
      <c r="AQ53" s="106">
        <f t="shared" si="16"/>
        <v>8.0860380488897245</v>
      </c>
      <c r="AR53" s="106">
        <f t="shared" si="16"/>
        <v>3.1174492242567076</v>
      </c>
      <c r="AS53" s="106">
        <f t="shared" si="16"/>
        <v>3.3881714729331605</v>
      </c>
      <c r="AT53" s="106">
        <f t="shared" si="16"/>
        <v>7.6689903450338033</v>
      </c>
      <c r="AU53" s="106">
        <f t="shared" si="16"/>
        <v>3.4158261427060181</v>
      </c>
      <c r="AV53" s="106">
        <f t="shared" si="16"/>
        <v>11.077426233474617</v>
      </c>
      <c r="AW53" s="106">
        <f t="shared" si="16"/>
        <v>26.055425731894442</v>
      </c>
      <c r="AX53" s="106">
        <f t="shared" si="16"/>
        <v>7.2571215660938675</v>
      </c>
      <c r="AY53" s="106">
        <f t="shared" si="16"/>
        <v>5.0818370681485829</v>
      </c>
      <c r="AZ53" s="106">
        <f t="shared" si="16"/>
        <v>3.2900435165688657</v>
      </c>
      <c r="BA53" s="106">
        <f t="shared" si="16"/>
        <v>5.4660771444016314</v>
      </c>
      <c r="BB53" s="106">
        <f t="shared" si="16"/>
        <v>1.7314228893842327</v>
      </c>
      <c r="BC53" s="106">
        <f t="shared" si="16"/>
        <v>4.0212934914197049</v>
      </c>
      <c r="BD53" s="106">
        <f t="shared" si="16"/>
        <v>48.719978031406974</v>
      </c>
      <c r="BF53" s="123"/>
    </row>
    <row r="54" spans="1:58" s="112" customFormat="1" ht="13" x14ac:dyDescent="0.3">
      <c r="A54" s="112" t="s">
        <v>54</v>
      </c>
      <c r="C54" s="111">
        <f t="shared" ref="C54:BD54" si="17">C48/C4</f>
        <v>0.83024445258989543</v>
      </c>
      <c r="D54" s="112">
        <f t="shared" si="17"/>
        <v>0.78945537420164857</v>
      </c>
      <c r="E54" s="112">
        <f t="shared" si="17"/>
        <v>0.91872348105828305</v>
      </c>
      <c r="F54" s="112">
        <f t="shared" si="17"/>
        <v>0.80342698887538566</v>
      </c>
      <c r="G54" s="112">
        <f t="shared" si="17"/>
        <v>0.79765534857941534</v>
      </c>
      <c r="H54" s="112">
        <f t="shared" si="17"/>
        <v>0.96478648419522828</v>
      </c>
      <c r="I54" s="112">
        <f t="shared" si="17"/>
        <v>0.80938808223136061</v>
      </c>
      <c r="J54" s="112">
        <f t="shared" si="17"/>
        <v>0.8636826881395232</v>
      </c>
      <c r="K54" s="112">
        <f t="shared" si="17"/>
        <v>0.85831410681824738</v>
      </c>
      <c r="L54" s="112">
        <f t="shared" si="17"/>
        <v>0.80162479106267648</v>
      </c>
      <c r="M54" s="112">
        <f t="shared" si="17"/>
        <v>0.79374716344221052</v>
      </c>
      <c r="N54" s="112">
        <f t="shared" si="17"/>
        <v>0.83817757287982397</v>
      </c>
      <c r="O54" s="112">
        <f t="shared" si="17"/>
        <v>0.88900535113441348</v>
      </c>
      <c r="P54" s="112">
        <f t="shared" si="17"/>
        <v>0.87376258724119416</v>
      </c>
      <c r="Q54" s="112">
        <f t="shared" si="17"/>
        <v>0.73684019702842374</v>
      </c>
      <c r="R54" s="112">
        <f t="shared" si="17"/>
        <v>0.9961610071387228</v>
      </c>
      <c r="S54" s="112">
        <f t="shared" si="17"/>
        <v>0.69865841329929279</v>
      </c>
      <c r="T54" s="112">
        <f t="shared" si="17"/>
        <v>0.57641542870070128</v>
      </c>
      <c r="U54" s="112">
        <f t="shared" si="17"/>
        <v>0.88720439864840661</v>
      </c>
      <c r="V54" s="112">
        <f t="shared" si="17"/>
        <v>0.92786503713422575</v>
      </c>
      <c r="W54" s="112">
        <f t="shared" si="17"/>
        <v>1.0127710536712862</v>
      </c>
      <c r="X54" s="112">
        <f t="shared" si="17"/>
        <v>1.0019955978598105</v>
      </c>
      <c r="Y54" s="112">
        <f t="shared" si="17"/>
        <v>0.67328925078925084</v>
      </c>
      <c r="Z54" s="112">
        <f t="shared" si="17"/>
        <v>0.86970897788744428</v>
      </c>
      <c r="AA54" s="112">
        <f t="shared" si="17"/>
        <v>0.75064986468367645</v>
      </c>
      <c r="AB54" s="112">
        <f t="shared" si="17"/>
        <v>0.64317025524749627</v>
      </c>
      <c r="AC54" s="112">
        <f t="shared" si="17"/>
        <v>0.903487987535183</v>
      </c>
      <c r="AD54" s="112">
        <f t="shared" si="17"/>
        <v>0.81864511777451587</v>
      </c>
      <c r="AE54" s="112">
        <f t="shared" si="17"/>
        <v>0.79751963558829231</v>
      </c>
      <c r="AF54" s="112">
        <f t="shared" si="17"/>
        <v>0.78124854365493923</v>
      </c>
      <c r="AG54" s="112">
        <f t="shared" si="17"/>
        <v>0.75413249219971468</v>
      </c>
      <c r="AH54" s="112">
        <f t="shared" si="17"/>
        <v>0.79866059815714063</v>
      </c>
      <c r="AI54" s="112">
        <f t="shared" si="17"/>
        <v>0.77464197530864198</v>
      </c>
      <c r="AJ54" s="112">
        <f t="shared" si="17"/>
        <v>0.87201877423304541</v>
      </c>
      <c r="AK54" s="112">
        <f t="shared" si="17"/>
        <v>0.75016298361677813</v>
      </c>
      <c r="AL54" s="112">
        <f t="shared" si="17"/>
        <v>0.8221691806026159</v>
      </c>
      <c r="AM54" s="112">
        <f t="shared" si="17"/>
        <v>0.86877229082851659</v>
      </c>
      <c r="AN54" s="112">
        <f t="shared" si="17"/>
        <v>0.74651602646454263</v>
      </c>
      <c r="AO54" s="112">
        <f t="shared" si="17"/>
        <v>0.58616155364190892</v>
      </c>
      <c r="AP54" s="112">
        <f t="shared" si="17"/>
        <v>0.81980955134782207</v>
      </c>
      <c r="AQ54" s="112">
        <f t="shared" si="17"/>
        <v>0.87840681335463944</v>
      </c>
      <c r="AR54" s="112">
        <f t="shared" si="17"/>
        <v>0.7333934135892588</v>
      </c>
      <c r="AS54" s="112">
        <f t="shared" si="17"/>
        <v>0.7487850509988464</v>
      </c>
      <c r="AT54" s="112">
        <f t="shared" si="17"/>
        <v>0.87560432580745307</v>
      </c>
      <c r="AU54" s="112">
        <f t="shared" si="17"/>
        <v>0.72333076434853572</v>
      </c>
      <c r="AV54" s="112">
        <f t="shared" si="17"/>
        <v>0.9049694895922441</v>
      </c>
      <c r="AW54" s="112">
        <f t="shared" si="17"/>
        <v>0.95950754449452946</v>
      </c>
      <c r="AX54" s="112">
        <f t="shared" si="17"/>
        <v>0.86045798238104443</v>
      </c>
      <c r="AY54" s="112">
        <f t="shared" si="17"/>
        <v>0.81614357755030142</v>
      </c>
      <c r="AZ54" s="112">
        <f t="shared" si="17"/>
        <v>0.75067757127432289</v>
      </c>
      <c r="BA54" s="112">
        <f t="shared" si="17"/>
        <v>0.82889912249850528</v>
      </c>
      <c r="BB54" s="112">
        <f t="shared" si="17"/>
        <v>0.56074547571439415</v>
      </c>
      <c r="BC54" s="112">
        <f t="shared" si="17"/>
        <v>0.78622036409044016</v>
      </c>
      <c r="BD54" s="112">
        <f t="shared" si="17"/>
        <v>0.97757792344791594</v>
      </c>
      <c r="BF54" s="123"/>
    </row>
    <row r="55" spans="1:58" s="112" customFormat="1" ht="13" x14ac:dyDescent="0.3">
      <c r="A55" s="112" t="s">
        <v>55</v>
      </c>
      <c r="C55" s="111">
        <f t="shared" ref="C55:BD55" si="18">C44/C4</f>
        <v>9.934519716660821E-2</v>
      </c>
      <c r="D55" s="112">
        <f t="shared" si="18"/>
        <v>9.3664037720776486E-2</v>
      </c>
      <c r="E55" s="112">
        <f t="shared" si="18"/>
        <v>0.10919289378304184</v>
      </c>
      <c r="F55" s="112">
        <f t="shared" si="18"/>
        <v>9.0639940649923562E-2</v>
      </c>
      <c r="G55" s="112">
        <f t="shared" si="18"/>
        <v>0.10215440161363572</v>
      </c>
      <c r="H55" s="112">
        <f t="shared" si="18"/>
        <v>9.8740712771712494E-2</v>
      </c>
      <c r="I55" s="112">
        <f t="shared" si="18"/>
        <v>8.7987692515107796E-2</v>
      </c>
      <c r="J55" s="112">
        <f t="shared" si="18"/>
        <v>0.10489582176690368</v>
      </c>
      <c r="K55" s="112">
        <f t="shared" si="18"/>
        <v>0.12149871192789746</v>
      </c>
      <c r="L55" s="112">
        <f t="shared" si="18"/>
        <v>7.1402424768163192E-2</v>
      </c>
      <c r="M55" s="112">
        <f t="shared" si="18"/>
        <v>7.0130776068927606E-2</v>
      </c>
      <c r="N55" s="112">
        <f t="shared" si="18"/>
        <v>0.12148505860162651</v>
      </c>
      <c r="O55" s="112">
        <f t="shared" si="18"/>
        <v>8.9491540942305325E-2</v>
      </c>
      <c r="P55" s="112">
        <f t="shared" si="18"/>
        <v>8.3850803974489921E-2</v>
      </c>
      <c r="Q55" s="112">
        <f t="shared" si="18"/>
        <v>8.5821193743899196E-2</v>
      </c>
      <c r="R55" s="112">
        <f t="shared" si="18"/>
        <v>8.8100797701036376E-2</v>
      </c>
      <c r="S55" s="112">
        <f t="shared" si="18"/>
        <v>7.366494465134453E-2</v>
      </c>
      <c r="T55" s="112">
        <f t="shared" si="18"/>
        <v>0.14025642584594381</v>
      </c>
      <c r="U55" s="112">
        <f t="shared" si="18"/>
        <v>9.9132328119584306E-2</v>
      </c>
      <c r="V55" s="112">
        <f t="shared" si="18"/>
        <v>0.10610988334149674</v>
      </c>
      <c r="W55" s="112">
        <f t="shared" si="18"/>
        <v>0.12611286729573154</v>
      </c>
      <c r="X55" s="112">
        <f t="shared" si="18"/>
        <v>0.11868066600247359</v>
      </c>
      <c r="Y55" s="112">
        <f t="shared" si="18"/>
        <v>0.13485811341030185</v>
      </c>
      <c r="Z55" s="112">
        <f t="shared" si="18"/>
        <v>7.6300219701296371E-2</v>
      </c>
      <c r="AA55" s="112">
        <f t="shared" si="18"/>
        <v>8.7150140785392655E-2</v>
      </c>
      <c r="AB55" s="112">
        <f t="shared" si="18"/>
        <v>0.13250531276816882</v>
      </c>
      <c r="AC55" s="112">
        <f t="shared" si="18"/>
        <v>0.109464726344968</v>
      </c>
      <c r="AD55" s="112">
        <f t="shared" si="18"/>
        <v>7.2142594122913753E-2</v>
      </c>
      <c r="AE55" s="112">
        <f t="shared" si="18"/>
        <v>0.13922103616273501</v>
      </c>
      <c r="AF55" s="112">
        <f t="shared" si="18"/>
        <v>9.1877137590051644E-2</v>
      </c>
      <c r="AG55" s="112">
        <f t="shared" si="18"/>
        <v>8.7644313887320274E-2</v>
      </c>
      <c r="AH55" s="112">
        <f t="shared" si="18"/>
        <v>0.10737238374634285</v>
      </c>
      <c r="AI55" s="112">
        <f t="shared" si="18"/>
        <v>0.14411025404225594</v>
      </c>
      <c r="AJ55" s="112">
        <f t="shared" si="18"/>
        <v>7.6076128814690919E-2</v>
      </c>
      <c r="AK55" s="112">
        <f t="shared" si="18"/>
        <v>9.3951524447289173E-2</v>
      </c>
      <c r="AL55" s="112">
        <f t="shared" si="18"/>
        <v>0.10057413279723389</v>
      </c>
      <c r="AM55" s="112">
        <f t="shared" si="18"/>
        <v>0.10255768062323301</v>
      </c>
      <c r="AN55" s="112">
        <f t="shared" si="18"/>
        <v>0.12003822809474274</v>
      </c>
      <c r="AO55" s="112">
        <f t="shared" si="18"/>
        <v>0.12954363907448341</v>
      </c>
      <c r="AP55" s="112">
        <f t="shared" si="18"/>
        <v>9.3725058044550405E-2</v>
      </c>
      <c r="AQ55" s="112">
        <f t="shared" si="18"/>
        <v>0.10480032034549604</v>
      </c>
      <c r="AR55" s="112">
        <f t="shared" si="18"/>
        <v>9.7739082398635296E-2</v>
      </c>
      <c r="AS55" s="112">
        <f t="shared" si="18"/>
        <v>0.10237427278122098</v>
      </c>
      <c r="AT55" s="112">
        <f t="shared" si="18"/>
        <v>7.838489853915992E-2</v>
      </c>
      <c r="AU55" s="112">
        <f t="shared" si="18"/>
        <v>0.22172324367222804</v>
      </c>
      <c r="AV55" s="112">
        <f t="shared" si="18"/>
        <v>0.14772397937911352</v>
      </c>
      <c r="AW55" s="112">
        <f t="shared" si="18"/>
        <v>9.5540622630299707E-2</v>
      </c>
      <c r="AX55" s="112">
        <f t="shared" si="18"/>
        <v>0.15221540305772846</v>
      </c>
      <c r="AY55" s="112">
        <f t="shared" si="18"/>
        <v>0.11818480527176174</v>
      </c>
      <c r="AZ55" s="112">
        <f t="shared" si="18"/>
        <v>6.9604068889794243E-2</v>
      </c>
      <c r="BA55" s="112">
        <f t="shared" si="18"/>
        <v>0.10635147339947841</v>
      </c>
      <c r="BB55" s="112">
        <f t="shared" si="18"/>
        <v>0.19978986189928605</v>
      </c>
      <c r="BC55" s="112">
        <f t="shared" si="18"/>
        <v>7.3450294390746879E-2</v>
      </c>
      <c r="BD55" s="112">
        <f t="shared" si="18"/>
        <v>0.1148251535881452</v>
      </c>
      <c r="BF55" s="123"/>
    </row>
    <row r="56" spans="1:58" s="112" customFormat="1" ht="13" x14ac:dyDescent="0.3">
      <c r="A56" s="112" t="s">
        <v>56</v>
      </c>
      <c r="C56" s="111">
        <f t="shared" ref="C56:BD56" si="19">C45/C4</f>
        <v>0.9295896497565036</v>
      </c>
      <c r="D56" s="112">
        <f t="shared" si="19"/>
        <v>0.88311941192242505</v>
      </c>
      <c r="E56" s="112">
        <f t="shared" si="19"/>
        <v>1.0279163748413249</v>
      </c>
      <c r="F56" s="112">
        <f t="shared" si="19"/>
        <v>0.8940669295253092</v>
      </c>
      <c r="G56" s="112">
        <f t="shared" si="19"/>
        <v>0.89980975019305109</v>
      </c>
      <c r="H56" s="112">
        <f t="shared" si="19"/>
        <v>1.0635271969669406</v>
      </c>
      <c r="I56" s="112">
        <f t="shared" si="19"/>
        <v>0.89737577474646835</v>
      </c>
      <c r="J56" s="112">
        <f t="shared" si="19"/>
        <v>0.9685785099064268</v>
      </c>
      <c r="K56" s="112">
        <f t="shared" si="19"/>
        <v>0.97981281874614501</v>
      </c>
      <c r="L56" s="112">
        <f t="shared" si="19"/>
        <v>0.87302721583083964</v>
      </c>
      <c r="M56" s="112">
        <f t="shared" si="19"/>
        <v>0.86387793951113812</v>
      </c>
      <c r="N56" s="112">
        <f t="shared" si="19"/>
        <v>0.95966263148145059</v>
      </c>
      <c r="O56" s="112">
        <f t="shared" si="19"/>
        <v>0.97849689207671875</v>
      </c>
      <c r="P56" s="112">
        <f t="shared" si="19"/>
        <v>0.95761339121568412</v>
      </c>
      <c r="Q56" s="112">
        <f t="shared" si="19"/>
        <v>0.82266139077232292</v>
      </c>
      <c r="R56" s="112">
        <f t="shared" si="19"/>
        <v>1.0842618048397592</v>
      </c>
      <c r="S56" s="112">
        <f t="shared" si="19"/>
        <v>0.77232335795063722</v>
      </c>
      <c r="T56" s="112">
        <f t="shared" si="19"/>
        <v>0.71667185454664506</v>
      </c>
      <c r="U56" s="112">
        <f t="shared" si="19"/>
        <v>0.98633672676799089</v>
      </c>
      <c r="V56" s="112">
        <f t="shared" si="19"/>
        <v>1.0339749204757225</v>
      </c>
      <c r="W56" s="112">
        <f t="shared" si="19"/>
        <v>1.1388839209670176</v>
      </c>
      <c r="X56" s="112">
        <f t="shared" si="19"/>
        <v>1.1206762638622842</v>
      </c>
      <c r="Y56" s="112">
        <f t="shared" si="19"/>
        <v>0.80814736419955269</v>
      </c>
      <c r="Z56" s="112">
        <f t="shared" si="19"/>
        <v>0.94600919758874058</v>
      </c>
      <c r="AA56" s="112">
        <f t="shared" si="19"/>
        <v>0.83780000546906919</v>
      </c>
      <c r="AB56" s="112">
        <f t="shared" si="19"/>
        <v>0.77567556801566506</v>
      </c>
      <c r="AC56" s="112">
        <f t="shared" si="19"/>
        <v>1.0129527138801508</v>
      </c>
      <c r="AD56" s="112">
        <f t="shared" si="19"/>
        <v>0.89078771189742967</v>
      </c>
      <c r="AE56" s="112">
        <f t="shared" si="19"/>
        <v>0.93674067175102727</v>
      </c>
      <c r="AF56" s="112">
        <f t="shared" si="19"/>
        <v>0.87312568124499079</v>
      </c>
      <c r="AG56" s="112">
        <f t="shared" si="19"/>
        <v>0.84177680608703487</v>
      </c>
      <c r="AH56" s="112">
        <f t="shared" si="19"/>
        <v>0.90603298190348347</v>
      </c>
      <c r="AI56" s="112">
        <f t="shared" si="19"/>
        <v>0.91875222935089784</v>
      </c>
      <c r="AJ56" s="112">
        <f t="shared" si="19"/>
        <v>0.94809490304773625</v>
      </c>
      <c r="AK56" s="112">
        <f t="shared" si="19"/>
        <v>0.84411450806406729</v>
      </c>
      <c r="AL56" s="112">
        <f t="shared" si="19"/>
        <v>0.92274331339984983</v>
      </c>
      <c r="AM56" s="112">
        <f t="shared" si="19"/>
        <v>0.9713299714517496</v>
      </c>
      <c r="AN56" s="112">
        <f t="shared" si="19"/>
        <v>0.86655425455928548</v>
      </c>
      <c r="AO56" s="112">
        <f t="shared" si="19"/>
        <v>0.71570519271639221</v>
      </c>
      <c r="AP56" s="112">
        <f t="shared" si="19"/>
        <v>0.91353460939237252</v>
      </c>
      <c r="AQ56" s="112">
        <f t="shared" si="19"/>
        <v>0.98320713370013546</v>
      </c>
      <c r="AR56" s="112">
        <f t="shared" si="19"/>
        <v>0.83113249598789407</v>
      </c>
      <c r="AS56" s="112">
        <f t="shared" si="19"/>
        <v>0.85115932378006742</v>
      </c>
      <c r="AT56" s="112">
        <f t="shared" si="19"/>
        <v>0.95398922434661304</v>
      </c>
      <c r="AU56" s="112">
        <f t="shared" si="19"/>
        <v>0.94505400802076378</v>
      </c>
      <c r="AV56" s="112">
        <f t="shared" si="19"/>
        <v>1.0526934689713576</v>
      </c>
      <c r="AW56" s="112">
        <f t="shared" si="19"/>
        <v>1.0550481671248291</v>
      </c>
      <c r="AX56" s="112">
        <f t="shared" si="19"/>
        <v>1.0126733854387728</v>
      </c>
      <c r="AY56" s="112">
        <f t="shared" si="19"/>
        <v>0.93432838282206321</v>
      </c>
      <c r="AZ56" s="112">
        <f t="shared" si="19"/>
        <v>0.82028164016411709</v>
      </c>
      <c r="BA56" s="112">
        <f t="shared" si="19"/>
        <v>0.93525059589798376</v>
      </c>
      <c r="BB56" s="112">
        <f t="shared" si="19"/>
        <v>0.7605353376136802</v>
      </c>
      <c r="BC56" s="112">
        <f t="shared" si="19"/>
        <v>0.85967065848118707</v>
      </c>
      <c r="BD56" s="112">
        <f t="shared" si="19"/>
        <v>1.0924030770360611</v>
      </c>
      <c r="BF56" s="123"/>
    </row>
    <row r="57" spans="1:58" s="112" customFormat="1" ht="13" x14ac:dyDescent="0.3">
      <c r="A57" s="112" t="s">
        <v>57</v>
      </c>
      <c r="C57" s="111">
        <f t="shared" ref="C57:AU57" si="20">SUM(C30:C39)/C44</f>
        <v>0.51623195945333933</v>
      </c>
      <c r="D57" s="112">
        <f t="shared" si="20"/>
        <v>0.60451798918792177</v>
      </c>
      <c r="E57" s="112">
        <f t="shared" si="20"/>
        <v>0.55924093804843289</v>
      </c>
      <c r="F57" s="112">
        <f t="shared" si="20"/>
        <v>0.57390599092192152</v>
      </c>
      <c r="G57" s="112">
        <f t="shared" si="20"/>
        <v>0.59060393306340053</v>
      </c>
      <c r="H57" s="112">
        <f t="shared" si="20"/>
        <v>0.5068466045515343</v>
      </c>
      <c r="I57" s="112">
        <f t="shared" si="20"/>
        <v>0.98358061187878554</v>
      </c>
      <c r="J57" s="112">
        <f t="shared" si="20"/>
        <v>0.5367052935280241</v>
      </c>
      <c r="K57" s="112">
        <f t="shared" si="20"/>
        <v>0.57782147874199274</v>
      </c>
      <c r="L57" s="112">
        <f t="shared" si="20"/>
        <v>0.60354111584895709</v>
      </c>
      <c r="M57" s="112">
        <f t="shared" si="20"/>
        <v>0.59638174531900157</v>
      </c>
      <c r="N57" s="112">
        <f t="shared" si="20"/>
        <v>0.42049368613263322</v>
      </c>
      <c r="O57" s="112">
        <f t="shared" si="20"/>
        <v>0.59501179471614163</v>
      </c>
      <c r="P57" s="112">
        <f t="shared" si="20"/>
        <v>0.53512978025399305</v>
      </c>
      <c r="Q57" s="112">
        <f t="shared" si="20"/>
        <v>0.5888959950157614</v>
      </c>
      <c r="R57" s="112">
        <f t="shared" si="20"/>
        <v>0.50435600900490718</v>
      </c>
      <c r="S57" s="112">
        <f t="shared" si="20"/>
        <v>0.57576517385882819</v>
      </c>
      <c r="T57" s="112">
        <f t="shared" si="20"/>
        <v>0.61828586962843723</v>
      </c>
      <c r="U57" s="112">
        <f t="shared" si="20"/>
        <v>0.58288245435649355</v>
      </c>
      <c r="V57" s="112">
        <f t="shared" si="20"/>
        <v>0.4898975633988874</v>
      </c>
      <c r="W57" s="112">
        <f t="shared" si="20"/>
        <v>0.40198971600581124</v>
      </c>
      <c r="X57" s="112">
        <f t="shared" si="20"/>
        <v>0.50749273514139948</v>
      </c>
      <c r="Y57" s="112">
        <f t="shared" si="20"/>
        <v>0.47059826129280347</v>
      </c>
      <c r="Z57" s="112">
        <f t="shared" si="20"/>
        <v>0.57481875498065671</v>
      </c>
      <c r="AA57" s="112">
        <f t="shared" si="20"/>
        <v>0.59694710416443231</v>
      </c>
      <c r="AB57" s="112">
        <f t="shared" si="20"/>
        <v>0.63229304027604227</v>
      </c>
      <c r="AC57" s="112">
        <f t="shared" si="20"/>
        <v>0.44443735145295127</v>
      </c>
      <c r="AD57" s="112">
        <f t="shared" si="20"/>
        <v>0.5796441189610575</v>
      </c>
      <c r="AE57" s="112">
        <f t="shared" si="20"/>
        <v>0.6155919931599475</v>
      </c>
      <c r="AF57" s="112">
        <f t="shared" si="20"/>
        <v>0.50323212387103622</v>
      </c>
      <c r="AG57" s="112">
        <f t="shared" si="20"/>
        <v>0.57105717762033459</v>
      </c>
      <c r="AH57" s="112">
        <f t="shared" si="20"/>
        <v>0.51677905228158361</v>
      </c>
      <c r="AI57" s="112">
        <f t="shared" si="20"/>
        <v>0.49473283434706666</v>
      </c>
      <c r="AJ57" s="112">
        <f t="shared" si="20"/>
        <v>0.56305067274079135</v>
      </c>
      <c r="AK57" s="112">
        <f t="shared" si="20"/>
        <v>0.49576090057846312</v>
      </c>
      <c r="AL57" s="112">
        <f t="shared" si="20"/>
        <v>0.59992480364159328</v>
      </c>
      <c r="AM57" s="112">
        <f t="shared" si="20"/>
        <v>0.54308764874001303</v>
      </c>
      <c r="AN57" s="112">
        <f t="shared" si="20"/>
        <v>0.62008636490541047</v>
      </c>
      <c r="AO57" s="112">
        <f t="shared" si="20"/>
        <v>0.58301118641128469</v>
      </c>
      <c r="AP57" s="112">
        <f t="shared" si="20"/>
        <v>0.48594078101841831</v>
      </c>
      <c r="AQ57" s="112">
        <f t="shared" si="20"/>
        <v>0.40974325354659824</v>
      </c>
      <c r="AR57" s="112">
        <f t="shared" si="20"/>
        <v>0.61367137392980975</v>
      </c>
      <c r="AS57" s="112">
        <f t="shared" si="20"/>
        <v>0.42270002459945744</v>
      </c>
      <c r="AT57" s="112">
        <f t="shared" si="20"/>
        <v>0.47169741625453332</v>
      </c>
      <c r="AU57" s="112">
        <f t="shared" si="20"/>
        <v>0.38942943748686354</v>
      </c>
      <c r="AV57" s="112">
        <f t="shared" ref="AV57:BD57" si="21">SUM(AV30:AV39)/AV44</f>
        <v>0.38699343853001583</v>
      </c>
      <c r="AW57" s="112">
        <f t="shared" si="21"/>
        <v>0.54324937491071412</v>
      </c>
      <c r="AX57" s="112">
        <f t="shared" si="21"/>
        <v>0.41835892849889544</v>
      </c>
      <c r="AY57" s="112">
        <f t="shared" si="21"/>
        <v>0.40332354845743446</v>
      </c>
      <c r="AZ57" s="112">
        <f t="shared" si="21"/>
        <v>0.60945353518303325</v>
      </c>
      <c r="BA57" s="112">
        <f t="shared" si="21"/>
        <v>0.49367783149719568</v>
      </c>
      <c r="BB57" s="112">
        <f t="shared" si="21"/>
        <v>0.29499806588287963</v>
      </c>
      <c r="BC57" s="112">
        <f t="shared" si="21"/>
        <v>0.48485079996376518</v>
      </c>
      <c r="BD57" s="112">
        <f t="shared" si="21"/>
        <v>0.3768740947192924</v>
      </c>
      <c r="BF57" s="123"/>
    </row>
    <row r="58" spans="1:58" s="112" customFormat="1" ht="13" x14ac:dyDescent="0.3">
      <c r="A58" s="112" t="s">
        <v>58</v>
      </c>
      <c r="C58" s="111">
        <f>C41/C44</f>
        <v>3.1642047110417452E-2</v>
      </c>
      <c r="D58" s="112">
        <f t="shared" ref="D58:AM58" si="22">D41/D44</f>
        <v>1.5188793702619002E-2</v>
      </c>
      <c r="E58" s="112">
        <f t="shared" si="22"/>
        <v>6.0711281408249128E-2</v>
      </c>
      <c r="F58" s="112">
        <f t="shared" si="22"/>
        <v>1.5679532420999665E-2</v>
      </c>
      <c r="G58" s="112">
        <f t="shared" si="22"/>
        <v>1.6906621527333032E-2</v>
      </c>
      <c r="H58" s="112">
        <f t="shared" si="22"/>
        <v>1.4983754888096935E-2</v>
      </c>
      <c r="I58" s="112">
        <f>I41/I44</f>
        <v>0</v>
      </c>
      <c r="J58" s="112">
        <f t="shared" si="22"/>
        <v>1.5262813005477233E-2</v>
      </c>
      <c r="K58" s="112">
        <f t="shared" si="22"/>
        <v>1.5473027247971144E-2</v>
      </c>
      <c r="L58" s="112">
        <f t="shared" si="22"/>
        <v>1.6372361258000234E-2</v>
      </c>
      <c r="M58" s="112">
        <f>M41/M44</f>
        <v>1.6668018147988496E-2</v>
      </c>
      <c r="N58" s="112">
        <f t="shared" si="22"/>
        <v>1.2623351341711971E-2</v>
      </c>
      <c r="O58" s="112">
        <f t="shared" si="22"/>
        <v>1.6724592302515683E-2</v>
      </c>
      <c r="P58" s="112">
        <f t="shared" si="22"/>
        <v>1.6323512239650464E-2</v>
      </c>
      <c r="Q58" s="112">
        <f t="shared" si="22"/>
        <v>1.5325774976291477E-2</v>
      </c>
      <c r="R58" s="112">
        <f t="shared" si="22"/>
        <v>1.7122143279640557E-2</v>
      </c>
      <c r="S58" s="112">
        <f t="shared" si="22"/>
        <v>1.7519410232618233E-2</v>
      </c>
      <c r="T58" s="112">
        <f t="shared" si="22"/>
        <v>1.5763454647028843E-2</v>
      </c>
      <c r="U58" s="112">
        <f t="shared" si="22"/>
        <v>1.6479405762508816E-2</v>
      </c>
      <c r="V58" s="112">
        <f t="shared" si="22"/>
        <v>1.4918954263831091E-2</v>
      </c>
      <c r="W58" s="112">
        <f t="shared" si="22"/>
        <v>0.23403655473856472</v>
      </c>
      <c r="X58" s="112">
        <f t="shared" si="22"/>
        <v>1.5425712090298416E-2</v>
      </c>
      <c r="Y58" s="112">
        <f t="shared" si="22"/>
        <v>1.3020271923976022E-2</v>
      </c>
      <c r="Z58" s="112">
        <f t="shared" si="22"/>
        <v>1.7558494012536542E-2</v>
      </c>
      <c r="AA58" s="112">
        <f t="shared" si="22"/>
        <v>1.6644670810779444E-2</v>
      </c>
      <c r="AB58" s="112">
        <f t="shared" si="22"/>
        <v>1.5185007632186118E-2</v>
      </c>
      <c r="AC58" s="112">
        <f t="shared" si="22"/>
        <v>1.3462027589291891E-2</v>
      </c>
      <c r="AD58" s="112">
        <f t="shared" si="22"/>
        <v>1.7359223406058291E-2</v>
      </c>
      <c r="AE58" s="112">
        <f t="shared" si="22"/>
        <v>1.5874702295876422E-2</v>
      </c>
      <c r="AF58" s="112">
        <f t="shared" si="22"/>
        <v>1.2556218213805323E-2</v>
      </c>
      <c r="AG58" s="112">
        <f t="shared" si="22"/>
        <v>1.6748750314917477E-2</v>
      </c>
      <c r="AH58" s="112">
        <f t="shared" si="22"/>
        <v>1.4576769287448514E-2</v>
      </c>
      <c r="AI58" s="112">
        <f t="shared" si="22"/>
        <v>2.08657616176008E-2</v>
      </c>
      <c r="AJ58" s="112">
        <f t="shared" si="22"/>
        <v>1.6505942152787341E-2</v>
      </c>
      <c r="AK58" s="112">
        <f t="shared" si="22"/>
        <v>1.3210977773927502E-2</v>
      </c>
      <c r="AL58" s="112">
        <f t="shared" si="22"/>
        <v>1.652170226723871E-2</v>
      </c>
      <c r="AM58" s="112">
        <f t="shared" si="22"/>
        <v>1.5996183887983045E-2</v>
      </c>
      <c r="AN58" s="112">
        <f>AN41/AN44</f>
        <v>1.5689100507680818E-2</v>
      </c>
      <c r="AO58" s="112">
        <f>AO41/AO44</f>
        <v>1.5790392374050256E-2</v>
      </c>
      <c r="AP58" s="112">
        <f>AP41/AP44</f>
        <v>1.2968116758942001E-2</v>
      </c>
      <c r="AQ58" s="112">
        <f>AQ41/AQ44</f>
        <v>1.2403868928183783E-2</v>
      </c>
      <c r="AR58" s="112">
        <f t="shared" ref="AR58:BC58" si="23">AR41/AR44</f>
        <v>1.595401713313177E-2</v>
      </c>
      <c r="AS58" s="112">
        <f t="shared" si="23"/>
        <v>0.29613465323998184</v>
      </c>
      <c r="AT58" s="112">
        <f t="shared" si="23"/>
        <v>1.4073548127780706E-2</v>
      </c>
      <c r="AU58" s="112">
        <f t="shared" si="23"/>
        <v>1.0657382708056346E-2</v>
      </c>
      <c r="AV58" s="112">
        <f t="shared" si="23"/>
        <v>1.1708922533109373E-2</v>
      </c>
      <c r="AW58" s="112">
        <f t="shared" si="23"/>
        <v>1.5743780924421382E-2</v>
      </c>
      <c r="AX58" s="112">
        <f t="shared" si="23"/>
        <v>1.0638522574197474E-2</v>
      </c>
      <c r="AY58" s="112">
        <f t="shared" si="23"/>
        <v>1.140629290872768E-2</v>
      </c>
      <c r="AZ58" s="112">
        <f t="shared" si="23"/>
        <v>1.6128199078475458E-2</v>
      </c>
      <c r="BA58" s="112">
        <f t="shared" si="23"/>
        <v>1.3466407482602411E-2</v>
      </c>
      <c r="BB58" s="112">
        <f t="shared" si="23"/>
        <v>7.4286681070699729E-3</v>
      </c>
      <c r="BC58" s="112">
        <f t="shared" si="23"/>
        <v>0.16577709029792095</v>
      </c>
      <c r="BD58" s="112">
        <f>BD41/BD44</f>
        <v>5.1448242177316882E-2</v>
      </c>
      <c r="BF58" s="123"/>
    </row>
    <row r="59" spans="1:58" s="112" customFormat="1" ht="13" x14ac:dyDescent="0.3">
      <c r="A59" s="112" t="s">
        <v>59</v>
      </c>
      <c r="C59" s="111">
        <f>C43/C44</f>
        <v>0.10743620947862728</v>
      </c>
      <c r="D59" s="112">
        <f t="shared" ref="D59:BD59" si="24">D43/D44</f>
        <v>0</v>
      </c>
      <c r="E59" s="112">
        <f t="shared" si="24"/>
        <v>0</v>
      </c>
      <c r="F59" s="112">
        <f t="shared" si="24"/>
        <v>4.6412066462618418E-2</v>
      </c>
      <c r="G59" s="112">
        <f t="shared" si="24"/>
        <v>0</v>
      </c>
      <c r="H59" s="112">
        <f t="shared" si="24"/>
        <v>0.1027226638551782</v>
      </c>
      <c r="I59" s="112">
        <f t="shared" si="24"/>
        <v>0</v>
      </c>
      <c r="J59" s="112">
        <f t="shared" si="24"/>
        <v>9.3703679386575311E-2</v>
      </c>
      <c r="K59" s="112">
        <f t="shared" si="24"/>
        <v>4.7497128604777047E-2</v>
      </c>
      <c r="L59" s="112">
        <f t="shared" si="24"/>
        <v>0</v>
      </c>
      <c r="M59" s="112">
        <f>M43/M44</f>
        <v>0</v>
      </c>
      <c r="N59" s="112">
        <f t="shared" si="24"/>
        <v>0.27383019859497648</v>
      </c>
      <c r="O59" s="112">
        <f t="shared" si="24"/>
        <v>0</v>
      </c>
      <c r="P59" s="112">
        <f t="shared" si="24"/>
        <v>6.9594221007864568E-2</v>
      </c>
      <c r="Q59" s="112">
        <f t="shared" si="24"/>
        <v>3.9988345483292692E-2</v>
      </c>
      <c r="R59" s="112">
        <f t="shared" si="24"/>
        <v>8.1029036441512131E-2</v>
      </c>
      <c r="S59" s="112">
        <f t="shared" si="24"/>
        <v>0</v>
      </c>
      <c r="T59" s="112">
        <f t="shared" si="24"/>
        <v>0</v>
      </c>
      <c r="U59" s="112">
        <f t="shared" si="24"/>
        <v>1.8066564717709413E-2</v>
      </c>
      <c r="V59" s="112">
        <f t="shared" si="24"/>
        <v>0.14883799423189023</v>
      </c>
      <c r="W59" s="112">
        <f t="shared" si="24"/>
        <v>6.3258838179586621E-2</v>
      </c>
      <c r="X59" s="112">
        <f t="shared" si="24"/>
        <v>0.11897161497996205</v>
      </c>
      <c r="Y59" s="112">
        <f t="shared" si="24"/>
        <v>0.14274275950644238</v>
      </c>
      <c r="Z59" s="112">
        <f t="shared" si="24"/>
        <v>0</v>
      </c>
      <c r="AA59" s="112">
        <f t="shared" si="24"/>
        <v>0</v>
      </c>
      <c r="AB59" s="112">
        <f t="shared" si="24"/>
        <v>0</v>
      </c>
      <c r="AC59" s="112">
        <f t="shared" si="24"/>
        <v>0.22957787748335995</v>
      </c>
      <c r="AD59" s="112">
        <f t="shared" si="24"/>
        <v>0</v>
      </c>
      <c r="AE59" s="112">
        <f t="shared" si="24"/>
        <v>0</v>
      </c>
      <c r="AF59" s="112">
        <f t="shared" si="24"/>
        <v>0.19271739839046512</v>
      </c>
      <c r="AG59" s="112">
        <f t="shared" si="24"/>
        <v>2.3369627643815567E-2</v>
      </c>
      <c r="AH59" s="112">
        <f t="shared" si="24"/>
        <v>7.9903410809248412E-2</v>
      </c>
      <c r="AI59" s="112">
        <f t="shared" si="24"/>
        <v>0</v>
      </c>
      <c r="AJ59" s="112">
        <f t="shared" si="24"/>
        <v>3.725576414789563E-2</v>
      </c>
      <c r="AK59" s="112">
        <f t="shared" si="24"/>
        <v>0.1843335327009025</v>
      </c>
      <c r="AL59" s="112">
        <f t="shared" si="24"/>
        <v>0</v>
      </c>
      <c r="AM59" s="112">
        <f t="shared" si="24"/>
        <v>2.7279471242190764E-2</v>
      </c>
      <c r="AN59" s="112">
        <f t="shared" si="24"/>
        <v>0</v>
      </c>
      <c r="AO59" s="112">
        <f t="shared" si="24"/>
        <v>3.4622382609550299E-2</v>
      </c>
      <c r="AP59" s="112">
        <f t="shared" si="24"/>
        <v>0.15027472200186551</v>
      </c>
      <c r="AQ59" s="112">
        <f t="shared" si="24"/>
        <v>0.28989542673108171</v>
      </c>
      <c r="AR59" s="112">
        <f t="shared" si="24"/>
        <v>0</v>
      </c>
      <c r="AS59" s="112">
        <f t="shared" si="24"/>
        <v>1.1157016088184058E-2</v>
      </c>
      <c r="AT59" s="112">
        <f t="shared" si="24"/>
        <v>0.17961723797054555</v>
      </c>
      <c r="AU59" s="112">
        <f t="shared" si="24"/>
        <v>0.3525006366286208</v>
      </c>
      <c r="AV59" s="112">
        <f t="shared" si="24"/>
        <v>0.32947346023089363</v>
      </c>
      <c r="AW59" s="112">
        <f t="shared" si="24"/>
        <v>7.5512896501750443E-2</v>
      </c>
      <c r="AX59" s="112">
        <f t="shared" si="24"/>
        <v>0.32402784624191694</v>
      </c>
      <c r="AY59" s="112">
        <f t="shared" si="24"/>
        <v>0.28886207968128658</v>
      </c>
      <c r="AZ59" s="112">
        <f t="shared" si="24"/>
        <v>0</v>
      </c>
      <c r="BA59" s="112">
        <f t="shared" si="24"/>
        <v>0.18023133774575609</v>
      </c>
      <c r="BB59" s="112">
        <f t="shared" si="24"/>
        <v>0.39019457977864819</v>
      </c>
      <c r="BC59" s="112">
        <f t="shared" si="24"/>
        <v>2.166584639143505E-2</v>
      </c>
      <c r="BD59" s="112">
        <f t="shared" si="24"/>
        <v>0.2256448831817662</v>
      </c>
      <c r="BF59" s="123"/>
    </row>
    <row r="60" spans="1:58" x14ac:dyDescent="0.3">
      <c r="A60" s="124"/>
    </row>
    <row r="61" spans="1:58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</row>
    <row r="62" spans="1:58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</row>
    <row r="63" spans="1:58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</row>
    <row r="64" spans="1:58" x14ac:dyDescent="0.3">
      <c r="A64" s="125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</row>
    <row r="65" spans="1:56" x14ac:dyDescent="0.3">
      <c r="B65" s="119"/>
    </row>
    <row r="69" spans="1:56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0D72-5179-4820-BC73-522D29EF6E3E}">
  <sheetPr codeName="Sheet5">
    <tabColor rgb="FFFFC000"/>
  </sheetPr>
  <dimension ref="A1:AP69"/>
  <sheetViews>
    <sheetView zoomScaleNormal="100" workbookViewId="0">
      <pane xSplit="2" ySplit="2" topLeftCell="C27" activePane="bottomRight" state="frozen"/>
      <selection activeCell="C37" sqref="C37"/>
      <selection pane="topRight" activeCell="C37" sqref="C37"/>
      <selection pane="bottomLeft" activeCell="C37" sqref="C37"/>
      <selection pane="bottomRight" activeCell="C34" sqref="C34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164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171</v>
      </c>
      <c r="E2" s="58"/>
      <c r="F2" s="58"/>
      <c r="G2" s="58"/>
      <c r="H2" s="58"/>
      <c r="I2" s="58"/>
    </row>
    <row r="3" spans="1:38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</row>
    <row r="4" spans="1:38" s="64" customFormat="1" ht="13" x14ac:dyDescent="0.3">
      <c r="A4" s="60" t="s">
        <v>165</v>
      </c>
      <c r="B4" s="61"/>
      <c r="C4" s="62">
        <f>SUM(D4:AL4)</f>
        <v>71112000</v>
      </c>
      <c r="D4" s="61">
        <v>71112000</v>
      </c>
      <c r="E4" s="60"/>
      <c r="F4" s="60"/>
      <c r="G4" s="60"/>
      <c r="H4" s="63"/>
      <c r="I4" s="61"/>
      <c r="N4" s="65"/>
      <c r="R4" s="65"/>
    </row>
    <row r="5" spans="1:38" s="68" customFormat="1" ht="13" x14ac:dyDescent="0.3">
      <c r="A5" s="66" t="s">
        <v>3</v>
      </c>
      <c r="B5" s="67"/>
      <c r="C5" s="62">
        <f t="shared" ref="C5:C18" si="0">SUM(D5:AL5)</f>
        <v>4100000</v>
      </c>
      <c r="D5" s="67">
        <v>4100000</v>
      </c>
      <c r="E5" s="62"/>
      <c r="F5" s="67"/>
      <c r="G5" s="67"/>
      <c r="H5" s="67"/>
      <c r="I5" s="67"/>
    </row>
    <row r="6" spans="1:38" s="68" customFormat="1" ht="13" x14ac:dyDescent="0.3">
      <c r="A6" s="69" t="s">
        <v>4</v>
      </c>
      <c r="B6" s="67"/>
      <c r="C6" s="62">
        <f t="shared" si="0"/>
        <v>0</v>
      </c>
      <c r="E6" s="62"/>
      <c r="F6" s="67"/>
      <c r="G6" s="67"/>
      <c r="H6" s="67"/>
      <c r="I6" s="67"/>
      <c r="R6" s="70"/>
      <c r="W6" s="70"/>
      <c r="AI6" s="70"/>
    </row>
    <row r="7" spans="1:38" s="68" customFormat="1" ht="13" x14ac:dyDescent="0.3">
      <c r="A7" s="71" t="s">
        <v>5</v>
      </c>
      <c r="B7" s="67"/>
      <c r="C7" s="62">
        <f t="shared" si="0"/>
        <v>0</v>
      </c>
      <c r="E7" s="62"/>
      <c r="F7" s="67"/>
      <c r="G7" s="67"/>
      <c r="H7" s="67"/>
      <c r="I7" s="67"/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1</v>
      </c>
      <c r="D8" s="68">
        <v>1</v>
      </c>
      <c r="E8" s="67"/>
      <c r="F8" s="67"/>
      <c r="G8" s="67"/>
      <c r="H8" s="67"/>
      <c r="I8" s="67"/>
      <c r="T8" s="73"/>
      <c r="U8" s="73"/>
      <c r="V8" s="73"/>
      <c r="W8" s="73"/>
      <c r="X8" s="73"/>
      <c r="Y8" s="73"/>
      <c r="Z8" s="74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</row>
    <row r="9" spans="1:38" s="68" customFormat="1" ht="13" x14ac:dyDescent="0.3">
      <c r="A9" s="71"/>
      <c r="B9" s="67" t="s">
        <v>7</v>
      </c>
      <c r="C9" s="62">
        <f t="shared" si="0"/>
        <v>1</v>
      </c>
      <c r="D9" s="68">
        <v>1</v>
      </c>
      <c r="E9" s="67"/>
      <c r="F9" s="67"/>
      <c r="G9" s="67"/>
      <c r="H9" s="67"/>
      <c r="I9" s="67"/>
      <c r="T9" s="75"/>
      <c r="U9" s="75"/>
      <c r="V9" s="73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</row>
    <row r="10" spans="1:38" s="68" customFormat="1" ht="13" x14ac:dyDescent="0.3">
      <c r="A10" s="71"/>
      <c r="B10" s="67" t="s">
        <v>169</v>
      </c>
      <c r="C10" s="62">
        <f t="shared" si="0"/>
        <v>1</v>
      </c>
      <c r="D10" s="68">
        <v>1</v>
      </c>
      <c r="E10" s="67"/>
      <c r="F10" s="67"/>
      <c r="G10" s="67"/>
      <c r="H10" s="67"/>
      <c r="I10" s="67"/>
      <c r="T10" s="75"/>
      <c r="U10" s="75"/>
      <c r="V10" s="73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68" customFormat="1" ht="16.5" customHeight="1" x14ac:dyDescent="0.3">
      <c r="A11" s="71"/>
      <c r="B11" s="67" t="s">
        <v>9</v>
      </c>
      <c r="C11" s="62">
        <f t="shared" si="0"/>
        <v>54000000</v>
      </c>
      <c r="D11" s="68">
        <v>54000000</v>
      </c>
      <c r="E11" s="67"/>
      <c r="F11" s="67"/>
      <c r="G11" s="67"/>
      <c r="H11" s="67"/>
      <c r="I11" s="67"/>
      <c r="T11" s="75"/>
      <c r="U11" s="75"/>
      <c r="V11" s="73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4172000</v>
      </c>
      <c r="D12" s="67">
        <v>4172000</v>
      </c>
      <c r="E12" s="67"/>
      <c r="F12" s="62"/>
      <c r="G12" s="62"/>
      <c r="H12" s="62"/>
      <c r="I12" s="67"/>
      <c r="T12" s="75"/>
      <c r="U12" s="75"/>
      <c r="V12" s="73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</row>
    <row r="13" spans="1:38" s="68" customFormat="1" ht="13" x14ac:dyDescent="0.3">
      <c r="A13" s="129"/>
      <c r="B13" s="69" t="s">
        <v>12</v>
      </c>
      <c r="C13" s="62">
        <f t="shared" si="0"/>
        <v>2880000</v>
      </c>
      <c r="D13" s="67">
        <v>2880000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</row>
    <row r="14" spans="1:38" s="68" customFormat="1" ht="13" x14ac:dyDescent="0.3">
      <c r="A14" s="129"/>
      <c r="B14" s="69" t="s">
        <v>13</v>
      </c>
      <c r="C14" s="62">
        <f t="shared" si="0"/>
        <v>1440000</v>
      </c>
      <c r="D14" s="67">
        <v>1440000</v>
      </c>
      <c r="E14" s="67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</row>
    <row r="15" spans="1:38" s="68" customFormat="1" ht="13" x14ac:dyDescent="0.3">
      <c r="A15" s="129"/>
      <c r="B15" s="69" t="s">
        <v>14</v>
      </c>
      <c r="C15" s="62">
        <f t="shared" si="0"/>
        <v>1000000</v>
      </c>
      <c r="D15" s="67">
        <v>1000000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</row>
    <row r="16" spans="1:38" s="68" customFormat="1" ht="13" x14ac:dyDescent="0.3">
      <c r="A16" s="129"/>
      <c r="B16" s="69" t="s">
        <v>15</v>
      </c>
      <c r="C16" s="62">
        <f t="shared" si="0"/>
        <v>700000</v>
      </c>
      <c r="D16" s="67">
        <v>700000</v>
      </c>
      <c r="T16" s="76"/>
      <c r="U16" s="73"/>
      <c r="V16" s="73"/>
      <c r="W16" s="73"/>
      <c r="X16" s="73"/>
      <c r="Y16" s="76"/>
      <c r="Z16" s="76"/>
      <c r="AA16" s="76"/>
      <c r="AB16" s="76"/>
      <c r="AC16" s="73"/>
      <c r="AD16" s="76"/>
      <c r="AE16" s="76"/>
      <c r="AF16" s="76"/>
      <c r="AG16" s="76"/>
      <c r="AH16" s="76"/>
      <c r="AI16" s="73"/>
      <c r="AJ16" s="76"/>
      <c r="AK16" s="73"/>
      <c r="AL16" s="73"/>
    </row>
    <row r="17" spans="1:42" s="68" customFormat="1" ht="13" x14ac:dyDescent="0.3">
      <c r="A17" s="129"/>
      <c r="B17" s="69" t="s">
        <v>102</v>
      </c>
      <c r="C17" s="62">
        <f t="shared" si="0"/>
        <v>1380000</v>
      </c>
      <c r="D17" s="67">
        <v>1380000</v>
      </c>
      <c r="T17" s="77"/>
      <c r="U17" s="77"/>
      <c r="V17" s="73"/>
      <c r="W17" s="70"/>
      <c r="X17" s="77"/>
      <c r="Y17" s="77"/>
      <c r="Z17" s="77"/>
      <c r="AA17" s="77"/>
      <c r="AB17" s="77"/>
      <c r="AC17" s="77"/>
      <c r="AD17" s="77"/>
      <c r="AE17" s="77"/>
      <c r="AF17" s="70"/>
      <c r="AG17" s="77"/>
      <c r="AH17" s="70"/>
      <c r="AI17" s="77"/>
      <c r="AJ17" s="77"/>
      <c r="AK17" s="77"/>
      <c r="AL17" s="77"/>
    </row>
    <row r="18" spans="1:42" s="68" customFormat="1" ht="13.5" thickBot="1" x14ac:dyDescent="0.35">
      <c r="A18" s="129"/>
      <c r="B18" s="69" t="s">
        <v>17</v>
      </c>
      <c r="C18" s="62">
        <f t="shared" si="0"/>
        <v>1440000</v>
      </c>
      <c r="D18" s="67">
        <v>1440000</v>
      </c>
      <c r="T18" s="78"/>
      <c r="U18" s="78"/>
      <c r="V18" s="73"/>
      <c r="W18" s="78"/>
      <c r="X18" s="78"/>
      <c r="Y18" s="78"/>
      <c r="Z18" s="78"/>
      <c r="AA18" s="79"/>
      <c r="AB18" s="78"/>
      <c r="AC18" s="78"/>
      <c r="AD18" s="78"/>
      <c r="AE18" s="78"/>
      <c r="AF18" s="78"/>
      <c r="AG18" s="79"/>
      <c r="AH18" s="78"/>
      <c r="AI18" s="78"/>
      <c r="AJ18" s="78"/>
      <c r="AK18" s="78"/>
      <c r="AL18" s="78"/>
    </row>
    <row r="19" spans="1:42" s="68" customFormat="1" ht="12" customHeight="1" x14ac:dyDescent="0.3">
      <c r="A19" s="130"/>
      <c r="B19" s="80" t="s">
        <v>18</v>
      </c>
      <c r="C19" s="81">
        <f>SUM(C12:C18)</f>
        <v>13012000</v>
      </c>
      <c r="D19" s="81">
        <f t="shared" ref="D19:AP19" si="1">SUM(D12:D18)</f>
        <v>13012000</v>
      </c>
      <c r="E19" s="81">
        <f>SUM(E12:E18)</f>
        <v>0</v>
      </c>
      <c r="F19" s="81">
        <f t="shared" si="1"/>
        <v>0</v>
      </c>
      <c r="G19" s="81">
        <f t="shared" si="1"/>
        <v>0</v>
      </c>
      <c r="H19" s="81">
        <f>SUM(H12:H18)</f>
        <v>0</v>
      </c>
      <c r="I19" s="81">
        <f>SUM(I12:I18)</f>
        <v>0</v>
      </c>
      <c r="J19" s="81">
        <f t="shared" si="1"/>
        <v>0</v>
      </c>
      <c r="K19" s="81">
        <f t="shared" si="1"/>
        <v>0</v>
      </c>
      <c r="L19" s="81">
        <f t="shared" si="1"/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>SUM(Q12:Q18)</f>
        <v>0</v>
      </c>
      <c r="R19" s="81">
        <f>SUM(R12:R18)</f>
        <v>0</v>
      </c>
      <c r="S19" s="81">
        <f>SUM(S12:S18)</f>
        <v>0</v>
      </c>
      <c r="T19" s="81">
        <f t="shared" si="1"/>
        <v>0</v>
      </c>
      <c r="U19" s="81">
        <f t="shared" si="1"/>
        <v>0</v>
      </c>
      <c r="V19" s="81">
        <f t="shared" si="1"/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>SUM(AB12:AB18)</f>
        <v>0</v>
      </c>
      <c r="AC19" s="81">
        <f t="shared" si="1"/>
        <v>0</v>
      </c>
      <c r="AD19" s="81">
        <f t="shared" si="1"/>
        <v>0</v>
      </c>
      <c r="AE19" s="81">
        <f t="shared" si="1"/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>SUM(AK12:AK18)</f>
        <v>0</v>
      </c>
      <c r="AL19" s="81">
        <f t="shared" si="1"/>
        <v>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48000000</v>
      </c>
      <c r="D21" s="67">
        <v>48000000</v>
      </c>
      <c r="O21" s="82"/>
      <c r="P21" s="82"/>
      <c r="U21" s="82"/>
      <c r="AA21" s="83"/>
      <c r="AC21" s="82"/>
      <c r="AE21" s="82"/>
      <c r="AF21" s="82"/>
      <c r="AI21" s="82"/>
      <c r="AJ21" s="82"/>
      <c r="AL21" s="82"/>
    </row>
    <row r="22" spans="1:42" s="68" customFormat="1" ht="39" customHeight="1" x14ac:dyDescent="0.3">
      <c r="A22" s="84" t="s">
        <v>21</v>
      </c>
      <c r="C22" s="62">
        <f t="shared" si="2"/>
        <v>0</v>
      </c>
      <c r="D22" s="67"/>
      <c r="E22" s="82"/>
      <c r="G22" s="82"/>
      <c r="O22" s="82"/>
      <c r="P22" s="82"/>
      <c r="T22" s="82"/>
      <c r="U22" s="82"/>
      <c r="W22" s="82"/>
      <c r="X22" s="82"/>
      <c r="Z22" s="82"/>
      <c r="AA22" s="83"/>
      <c r="AB22" s="82"/>
      <c r="AC22" s="82"/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6533978</v>
      </c>
      <c r="D23" s="82">
        <v>6533978</v>
      </c>
      <c r="E23" s="86"/>
      <c r="F23" s="82"/>
      <c r="G23" s="82"/>
      <c r="H23" s="86"/>
      <c r="I23" s="83"/>
      <c r="J23" s="83"/>
      <c r="K23" s="83"/>
      <c r="L23" s="82"/>
      <c r="M23" s="82"/>
      <c r="N23" s="83"/>
      <c r="O23" s="83"/>
      <c r="P23" s="83"/>
      <c r="Q23" s="83"/>
      <c r="R23" s="82"/>
      <c r="S23" s="83"/>
      <c r="T23" s="82"/>
      <c r="U23" s="83"/>
      <c r="V23" s="83"/>
      <c r="W23" s="83"/>
      <c r="X23" s="83"/>
      <c r="Y23" s="83"/>
      <c r="Z23" s="82"/>
      <c r="AA23" s="82"/>
      <c r="AB23" s="83"/>
      <c r="AC23" s="82"/>
      <c r="AD23" s="83"/>
      <c r="AE23" s="83"/>
      <c r="AF23" s="82"/>
      <c r="AG23" s="82"/>
      <c r="AH23" s="82"/>
      <c r="AI23" s="83"/>
      <c r="AJ23" s="83"/>
      <c r="AK23" s="83"/>
      <c r="AL23" s="83"/>
    </row>
    <row r="24" spans="1:42" s="68" customFormat="1" ht="20.5" customHeight="1" x14ac:dyDescent="0.3">
      <c r="A24" s="131"/>
      <c r="B24" s="68" t="s">
        <v>24</v>
      </c>
      <c r="C24" s="87">
        <f t="shared" si="2"/>
        <v>0</v>
      </c>
      <c r="D24" s="82">
        <v>0</v>
      </c>
      <c r="E24" s="82"/>
      <c r="F24" s="82"/>
      <c r="G24" s="82"/>
      <c r="H24" s="86"/>
      <c r="I24" s="83"/>
      <c r="J24" s="83"/>
      <c r="K24" s="83"/>
      <c r="L24" s="82"/>
      <c r="M24" s="82"/>
      <c r="N24" s="83"/>
      <c r="O24" s="83"/>
      <c r="P24" s="83"/>
      <c r="Q24" s="83"/>
      <c r="R24" s="82"/>
      <c r="S24" s="83"/>
      <c r="T24" s="82"/>
      <c r="U24" s="83"/>
      <c r="V24" s="83"/>
      <c r="W24" s="83"/>
      <c r="X24" s="83"/>
      <c r="Y24" s="83"/>
      <c r="Z24" s="82"/>
      <c r="AA24" s="82"/>
      <c r="AB24" s="83"/>
      <c r="AC24" s="82"/>
      <c r="AD24" s="83"/>
      <c r="AE24" s="83"/>
      <c r="AF24" s="82"/>
      <c r="AG24" s="82"/>
      <c r="AH24" s="82"/>
      <c r="AI24" s="83"/>
      <c r="AJ24" s="83"/>
      <c r="AK24" s="83"/>
      <c r="AL24" s="83"/>
    </row>
    <row r="25" spans="1:42" s="68" customFormat="1" ht="19" customHeight="1" x14ac:dyDescent="0.3">
      <c r="A25" s="131"/>
      <c r="B25" s="67" t="s">
        <v>25</v>
      </c>
      <c r="C25" s="62">
        <f t="shared" si="2"/>
        <v>0</v>
      </c>
      <c r="D25" s="82">
        <v>0</v>
      </c>
      <c r="E25" s="82"/>
      <c r="F25" s="82"/>
      <c r="G25" s="82"/>
      <c r="H25" s="82"/>
      <c r="I25" s="83"/>
      <c r="J25" s="83"/>
      <c r="K25" s="83"/>
      <c r="L25" s="82"/>
      <c r="M25" s="82"/>
      <c r="N25" s="82"/>
      <c r="O25" s="83"/>
      <c r="P25" s="83"/>
      <c r="Q25" s="83"/>
      <c r="R25" s="82"/>
      <c r="S25" s="83"/>
      <c r="T25" s="82"/>
      <c r="U25" s="83"/>
      <c r="V25" s="83"/>
      <c r="W25" s="83"/>
      <c r="X25" s="83"/>
      <c r="Y25" s="83"/>
      <c r="Z25" s="82"/>
      <c r="AA25" s="82"/>
      <c r="AB25" s="83"/>
      <c r="AC25" s="82"/>
      <c r="AD25" s="83"/>
      <c r="AE25" s="83"/>
      <c r="AF25" s="82"/>
      <c r="AG25" s="82"/>
      <c r="AH25" s="82"/>
      <c r="AI25" s="83"/>
      <c r="AJ25" s="83"/>
      <c r="AK25" s="83"/>
      <c r="AL25" s="83"/>
    </row>
    <row r="26" spans="1:42" s="68" customFormat="1" ht="18.5" customHeight="1" x14ac:dyDescent="0.3">
      <c r="A26" s="131"/>
      <c r="B26" s="67" t="s">
        <v>26</v>
      </c>
      <c r="C26" s="62">
        <f t="shared" si="2"/>
        <v>300000</v>
      </c>
      <c r="D26" s="82">
        <v>300000</v>
      </c>
      <c r="E26" s="82"/>
      <c r="F26" s="82"/>
      <c r="G26" s="82"/>
      <c r="H26" s="82"/>
      <c r="I26" s="83"/>
      <c r="J26" s="82"/>
      <c r="K26" s="83"/>
      <c r="L26" s="82"/>
      <c r="N26" s="83"/>
      <c r="O26" s="83"/>
      <c r="P26" s="83"/>
      <c r="Q26" s="83"/>
      <c r="R26" s="82"/>
      <c r="S26" s="83"/>
      <c r="T26" s="82"/>
      <c r="U26" s="83"/>
      <c r="V26" s="83"/>
      <c r="W26" s="83"/>
      <c r="X26" s="82"/>
      <c r="Y26" s="82"/>
      <c r="Z26" s="82"/>
      <c r="AA26" s="82"/>
      <c r="AB26" s="83"/>
      <c r="AC26" s="82"/>
      <c r="AD26" s="82"/>
      <c r="AE26" s="83"/>
      <c r="AF26" s="82"/>
      <c r="AG26" s="82"/>
      <c r="AH26" s="82"/>
      <c r="AI26" s="83"/>
      <c r="AJ26" s="83"/>
      <c r="AK26" s="83"/>
      <c r="AL26" s="83"/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54833978</v>
      </c>
      <c r="D29" s="60">
        <f>SUM(D21:D28)</f>
        <v>54833978</v>
      </c>
      <c r="E29" s="60">
        <f t="shared" ref="E29:AL29" si="3">SUM(E21:E28)</f>
        <v>0</v>
      </c>
      <c r="F29" s="60">
        <f t="shared" si="3"/>
        <v>0</v>
      </c>
      <c r="G29" s="60">
        <f t="shared" si="3"/>
        <v>0</v>
      </c>
      <c r="H29" s="60">
        <f t="shared" si="3"/>
        <v>0</v>
      </c>
      <c r="I29" s="60">
        <f t="shared" si="3"/>
        <v>0</v>
      </c>
      <c r="J29" s="60">
        <f t="shared" si="3"/>
        <v>0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>SUM(Q21:Q28)</f>
        <v>0</v>
      </c>
      <c r="R29" s="60">
        <f t="shared" si="3"/>
        <v>0</v>
      </c>
      <c r="S29" s="60">
        <f t="shared" si="3"/>
        <v>0</v>
      </c>
      <c r="T29" s="60">
        <f t="shared" si="3"/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>SUM(AB21:AB28)</f>
        <v>0</v>
      </c>
      <c r="AC29" s="60">
        <f t="shared" si="3"/>
        <v>0</v>
      </c>
      <c r="AD29" s="60">
        <f t="shared" si="3"/>
        <v>0</v>
      </c>
      <c r="AE29" s="60">
        <f t="shared" si="3"/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>SUM(AJ21:AJ28)</f>
        <v>0</v>
      </c>
      <c r="AK29" s="60">
        <f t="shared" si="3"/>
        <v>0</v>
      </c>
      <c r="AL29" s="60">
        <f t="shared" si="3"/>
        <v>0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1379432.0815766132</v>
      </c>
      <c r="D30" s="82">
        <v>1379432.0815766132</v>
      </c>
      <c r="E30" s="83"/>
      <c r="F30" s="82"/>
      <c r="G30" s="82"/>
      <c r="H30" s="82"/>
      <c r="I30" s="82"/>
      <c r="J30" s="83"/>
      <c r="K30" s="82"/>
      <c r="L30" s="82"/>
      <c r="M30" s="82"/>
      <c r="N30" s="83"/>
      <c r="O30" s="83"/>
      <c r="P30" s="83"/>
      <c r="Q30" s="83"/>
      <c r="R30" s="83"/>
      <c r="S30" s="83"/>
      <c r="T30" s="82"/>
      <c r="U30" s="83"/>
      <c r="V30" s="83"/>
      <c r="W30" s="83"/>
      <c r="X30" s="83"/>
      <c r="Y30" s="82"/>
      <c r="Z30" s="83"/>
      <c r="AA30" s="82"/>
      <c r="AB30" s="82"/>
      <c r="AC30" s="82"/>
      <c r="AD30" s="82"/>
      <c r="AE30" s="82"/>
      <c r="AF30" s="82"/>
      <c r="AG30" s="82"/>
      <c r="AH30" s="82"/>
      <c r="AI30" s="83"/>
      <c r="AJ30" s="83"/>
      <c r="AK30" s="82"/>
      <c r="AL30" s="83"/>
    </row>
    <row r="31" spans="1:42" s="68" customFormat="1" ht="24" customHeight="1" x14ac:dyDescent="0.3">
      <c r="A31" s="133"/>
      <c r="B31" s="67" t="s">
        <v>32</v>
      </c>
      <c r="C31" s="62">
        <f t="shared" si="4"/>
        <v>149377.59336099584</v>
      </c>
      <c r="D31" s="82">
        <v>149377.59336099584</v>
      </c>
      <c r="E31" s="83"/>
      <c r="F31" s="82"/>
      <c r="G31" s="82"/>
      <c r="H31" s="82"/>
      <c r="I31" s="82"/>
      <c r="J31" s="83"/>
      <c r="K31" s="82"/>
      <c r="L31" s="82"/>
      <c r="M31" s="82"/>
      <c r="N31" s="83"/>
      <c r="O31" s="83"/>
      <c r="P31" s="83"/>
      <c r="Q31" s="83"/>
      <c r="R31" s="83"/>
      <c r="S31" s="83"/>
      <c r="T31" s="82"/>
      <c r="U31" s="83"/>
      <c r="V31" s="83"/>
      <c r="W31" s="83"/>
      <c r="X31" s="83"/>
      <c r="Y31" s="82"/>
      <c r="Z31" s="83"/>
      <c r="AA31" s="82"/>
      <c r="AB31" s="82"/>
      <c r="AC31" s="82"/>
      <c r="AD31" s="82"/>
      <c r="AE31" s="82"/>
      <c r="AF31" s="82"/>
      <c r="AG31" s="82"/>
      <c r="AH31" s="82"/>
      <c r="AI31" s="83"/>
      <c r="AJ31" s="83"/>
      <c r="AK31" s="82"/>
      <c r="AL31" s="83"/>
    </row>
    <row r="32" spans="1:42" s="68" customFormat="1" ht="24" customHeight="1" x14ac:dyDescent="0.3">
      <c r="A32" s="133"/>
      <c r="B32" s="67" t="s">
        <v>33</v>
      </c>
      <c r="C32" s="62">
        <f t="shared" si="4"/>
        <v>229481.32780082989</v>
      </c>
      <c r="D32" s="82">
        <v>229481.32780082989</v>
      </c>
      <c r="E32" s="83"/>
      <c r="F32" s="82"/>
      <c r="G32" s="82"/>
      <c r="H32" s="82"/>
      <c r="I32" s="82"/>
      <c r="J32" s="83"/>
      <c r="K32" s="82"/>
      <c r="L32" s="82"/>
      <c r="M32" s="82"/>
      <c r="N32" s="83"/>
      <c r="O32" s="83"/>
      <c r="P32" s="83"/>
      <c r="Q32" s="83"/>
      <c r="R32" s="83"/>
      <c r="S32" s="83"/>
      <c r="T32" s="82"/>
      <c r="U32" s="83"/>
      <c r="V32" s="83"/>
      <c r="W32" s="83"/>
      <c r="X32" s="83"/>
      <c r="Y32" s="82"/>
      <c r="Z32" s="83"/>
      <c r="AA32" s="82"/>
      <c r="AB32" s="82"/>
      <c r="AC32" s="82"/>
      <c r="AD32" s="82"/>
      <c r="AE32" s="82"/>
      <c r="AF32" s="82"/>
      <c r="AG32" s="82"/>
      <c r="AH32" s="82"/>
      <c r="AI32" s="83"/>
      <c r="AJ32" s="83"/>
      <c r="AK32" s="82"/>
      <c r="AL32" s="83"/>
    </row>
    <row r="33" spans="1:38" s="68" customFormat="1" ht="24" customHeight="1" x14ac:dyDescent="0.3">
      <c r="A33" s="133"/>
      <c r="B33" s="67" t="s">
        <v>34</v>
      </c>
      <c r="C33" s="62">
        <f t="shared" si="4"/>
        <v>174585.06224066392</v>
      </c>
      <c r="D33" s="82">
        <v>174585.06224066392</v>
      </c>
      <c r="E33" s="83"/>
      <c r="F33" s="82"/>
      <c r="G33" s="82"/>
      <c r="H33" s="82"/>
      <c r="I33" s="82"/>
      <c r="J33" s="83"/>
      <c r="K33" s="82"/>
      <c r="L33" s="82"/>
      <c r="M33" s="82"/>
      <c r="N33" s="83"/>
      <c r="O33" s="83"/>
      <c r="P33" s="83"/>
      <c r="Q33" s="83"/>
      <c r="R33" s="83"/>
      <c r="S33" s="83"/>
      <c r="T33" s="82"/>
      <c r="U33" s="83"/>
      <c r="V33" s="83"/>
      <c r="W33" s="83"/>
      <c r="X33" s="83"/>
      <c r="Y33" s="82"/>
      <c r="Z33" s="83"/>
      <c r="AA33" s="82"/>
      <c r="AB33" s="82"/>
      <c r="AC33" s="82"/>
      <c r="AD33" s="82"/>
      <c r="AE33" s="82"/>
      <c r="AF33" s="82"/>
      <c r="AG33" s="82"/>
      <c r="AH33" s="82"/>
      <c r="AI33" s="83"/>
      <c r="AJ33" s="83"/>
      <c r="AK33" s="82"/>
      <c r="AL33" s="83"/>
    </row>
    <row r="34" spans="1:38" s="68" customFormat="1" ht="24" customHeight="1" x14ac:dyDescent="0.3">
      <c r="A34" s="133"/>
      <c r="B34" s="67" t="s">
        <v>167</v>
      </c>
      <c r="C34" s="62">
        <f t="shared" si="4"/>
        <v>74688.796680497922</v>
      </c>
      <c r="D34" s="82">
        <v>74688.796680497922</v>
      </c>
      <c r="E34" s="83"/>
      <c r="F34" s="82"/>
      <c r="G34" s="82"/>
      <c r="H34" s="82"/>
      <c r="I34" s="82"/>
      <c r="J34" s="83"/>
      <c r="K34" s="82"/>
      <c r="L34" s="82"/>
      <c r="M34" s="82"/>
      <c r="N34" s="83"/>
      <c r="O34" s="83"/>
      <c r="P34" s="83"/>
      <c r="Q34" s="83"/>
      <c r="R34" s="83"/>
      <c r="S34" s="83"/>
      <c r="T34" s="82"/>
      <c r="U34" s="83"/>
      <c r="V34" s="83"/>
      <c r="W34" s="83"/>
      <c r="X34" s="83"/>
      <c r="Y34" s="82"/>
      <c r="Z34" s="83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2"/>
      <c r="AL34" s="83"/>
    </row>
    <row r="35" spans="1:38" s="68" customFormat="1" ht="21.5" customHeight="1" x14ac:dyDescent="0.3">
      <c r="A35" s="133"/>
      <c r="B35" s="67" t="s">
        <v>35</v>
      </c>
      <c r="C35" s="62">
        <f t="shared" si="4"/>
        <v>291573.57261410786</v>
      </c>
      <c r="D35" s="82">
        <v>291573.57261410786</v>
      </c>
      <c r="E35" s="83"/>
      <c r="F35" s="82"/>
      <c r="G35" s="82"/>
      <c r="H35" s="82"/>
      <c r="I35" s="82"/>
      <c r="J35" s="83"/>
      <c r="K35" s="82"/>
      <c r="L35" s="82"/>
      <c r="M35" s="82"/>
      <c r="N35" s="83"/>
      <c r="O35" s="83"/>
      <c r="P35" s="83"/>
      <c r="Q35" s="83"/>
      <c r="R35" s="83"/>
      <c r="S35" s="83"/>
      <c r="T35" s="82"/>
      <c r="U35" s="83"/>
      <c r="V35" s="83"/>
      <c r="W35" s="83"/>
      <c r="X35" s="83"/>
      <c r="Y35" s="82"/>
      <c r="Z35" s="83"/>
      <c r="AA35" s="82"/>
      <c r="AB35" s="82"/>
      <c r="AC35" s="82"/>
      <c r="AD35" s="82"/>
      <c r="AE35" s="82"/>
      <c r="AF35" s="82"/>
      <c r="AG35" s="82"/>
      <c r="AH35" s="82"/>
      <c r="AI35" s="82"/>
      <c r="AJ35" s="83"/>
      <c r="AK35" s="82"/>
      <c r="AL35" s="83"/>
    </row>
    <row r="36" spans="1:38" s="68" customFormat="1" ht="21" customHeight="1" x14ac:dyDescent="0.3">
      <c r="A36" s="133"/>
      <c r="B36" s="67" t="s">
        <v>36</v>
      </c>
      <c r="C36" s="62">
        <f t="shared" si="4"/>
        <v>550000</v>
      </c>
      <c r="D36" s="82">
        <v>550000</v>
      </c>
      <c r="E36" s="83"/>
      <c r="F36" s="82"/>
      <c r="G36" s="82"/>
      <c r="H36" s="82"/>
      <c r="I36" s="82"/>
      <c r="J36" s="83"/>
      <c r="K36" s="82"/>
      <c r="L36" s="82"/>
      <c r="M36" s="82"/>
      <c r="N36" s="83"/>
      <c r="O36" s="83"/>
      <c r="P36" s="83"/>
      <c r="Q36" s="83"/>
      <c r="R36" s="83"/>
      <c r="S36" s="83"/>
      <c r="T36" s="82"/>
      <c r="U36" s="83"/>
      <c r="V36" s="83"/>
      <c r="W36" s="83"/>
      <c r="X36" s="83"/>
      <c r="Y36" s="82"/>
      <c r="Z36" s="83"/>
      <c r="AA36" s="82"/>
      <c r="AB36" s="82"/>
      <c r="AC36" s="82"/>
      <c r="AD36" s="82"/>
      <c r="AE36" s="82"/>
      <c r="AF36" s="82"/>
      <c r="AG36" s="82"/>
      <c r="AH36" s="82"/>
      <c r="AI36" s="82"/>
      <c r="AJ36" s="83"/>
      <c r="AK36" s="82"/>
      <c r="AL36" s="83"/>
    </row>
    <row r="37" spans="1:38" s="68" customFormat="1" ht="21.5" customHeight="1" x14ac:dyDescent="0.3">
      <c r="A37" s="133"/>
      <c r="B37" s="67" t="s">
        <v>37</v>
      </c>
      <c r="C37" s="62">
        <f t="shared" si="4"/>
        <v>184896.26556016598</v>
      </c>
      <c r="D37" s="82">
        <v>184896.26556016598</v>
      </c>
      <c r="E37" s="83"/>
      <c r="F37" s="82"/>
      <c r="G37" s="82"/>
      <c r="H37" s="82"/>
      <c r="I37" s="82"/>
      <c r="J37" s="83"/>
      <c r="K37" s="82"/>
      <c r="L37" s="82"/>
      <c r="M37" s="82"/>
      <c r="N37" s="83"/>
      <c r="O37" s="83"/>
      <c r="P37" s="83"/>
      <c r="Q37" s="83"/>
      <c r="R37" s="83"/>
      <c r="S37" s="83"/>
      <c r="T37" s="82"/>
      <c r="U37" s="83"/>
      <c r="V37" s="83"/>
      <c r="W37" s="83"/>
      <c r="X37" s="83"/>
      <c r="Y37" s="82"/>
      <c r="Z37" s="83"/>
      <c r="AA37" s="82"/>
      <c r="AB37" s="82"/>
      <c r="AC37" s="82"/>
      <c r="AD37" s="82"/>
      <c r="AE37" s="82"/>
      <c r="AF37" s="82"/>
      <c r="AG37" s="82"/>
      <c r="AH37" s="82"/>
      <c r="AI37" s="82"/>
      <c r="AJ37" s="83"/>
      <c r="AK37" s="82"/>
      <c r="AL37" s="83"/>
    </row>
    <row r="38" spans="1:38" s="68" customFormat="1" ht="24" customHeight="1" x14ac:dyDescent="0.3">
      <c r="A38" s="133"/>
      <c r="B38" s="67" t="s">
        <v>38</v>
      </c>
      <c r="C38" s="62">
        <f t="shared" si="4"/>
        <v>273858.92116182571</v>
      </c>
      <c r="D38" s="82">
        <v>273858.92116182571</v>
      </c>
      <c r="E38" s="83"/>
      <c r="F38" s="82"/>
      <c r="G38" s="82"/>
      <c r="H38" s="82"/>
      <c r="I38" s="82"/>
      <c r="J38" s="83"/>
      <c r="K38" s="82"/>
      <c r="L38" s="82"/>
      <c r="M38" s="82"/>
      <c r="N38" s="83"/>
      <c r="O38" s="83"/>
      <c r="P38" s="83"/>
      <c r="Q38" s="83"/>
      <c r="R38" s="83"/>
      <c r="S38" s="83"/>
      <c r="T38" s="82"/>
      <c r="U38" s="83"/>
      <c r="V38" s="83"/>
      <c r="W38" s="83"/>
      <c r="X38" s="83"/>
      <c r="Y38" s="82"/>
      <c r="Z38" s="83"/>
      <c r="AA38" s="83"/>
      <c r="AB38" s="82"/>
      <c r="AC38" s="82"/>
      <c r="AD38" s="82"/>
      <c r="AE38" s="82"/>
      <c r="AF38" s="82"/>
      <c r="AG38" s="82"/>
      <c r="AH38" s="82"/>
      <c r="AI38" s="82"/>
      <c r="AJ38" s="83"/>
      <c r="AK38" s="82"/>
      <c r="AL38" s="83"/>
    </row>
    <row r="39" spans="1:38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/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2268821.5643153526</v>
      </c>
      <c r="D40" s="82">
        <v>2268821.5643153526</v>
      </c>
      <c r="E40" s="83"/>
      <c r="F40" s="82"/>
      <c r="G40" s="82"/>
      <c r="H40" s="82"/>
      <c r="I40" s="82"/>
      <c r="J40" s="83"/>
      <c r="K40" s="82"/>
      <c r="L40" s="82"/>
      <c r="M40" s="82"/>
      <c r="N40" s="83"/>
      <c r="O40" s="83"/>
      <c r="P40" s="83"/>
      <c r="Q40" s="83"/>
      <c r="R40" s="83"/>
      <c r="S40" s="83"/>
      <c r="T40" s="82"/>
      <c r="U40" s="83"/>
      <c r="V40" s="83"/>
      <c r="W40" s="83"/>
      <c r="X40" s="83"/>
      <c r="Y40" s="82"/>
      <c r="Z40" s="83"/>
      <c r="AA40" s="82"/>
      <c r="AB40" s="82"/>
      <c r="AC40" s="82"/>
      <c r="AD40" s="82"/>
      <c r="AE40" s="82"/>
      <c r="AF40" s="82"/>
      <c r="AG40" s="82"/>
      <c r="AH40" s="82"/>
      <c r="AI40" s="82"/>
      <c r="AJ40" s="83"/>
      <c r="AK40" s="82"/>
      <c r="AL40" s="83"/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2147730</v>
      </c>
      <c r="D41" s="82">
        <v>2147730</v>
      </c>
      <c r="E41" s="82"/>
      <c r="F41" s="82"/>
      <c r="G41" s="82"/>
      <c r="H41" s="82"/>
      <c r="I41" s="82"/>
      <c r="J41" s="83"/>
      <c r="M41" s="82"/>
      <c r="N41" s="82"/>
      <c r="O41" s="82"/>
      <c r="Q41" s="83"/>
      <c r="R41" s="83"/>
      <c r="S41" s="83"/>
      <c r="U41" s="82"/>
      <c r="V41" s="83"/>
      <c r="W41" s="82"/>
      <c r="X41" s="90"/>
      <c r="Y41" s="82"/>
      <c r="Z41" s="83"/>
      <c r="AA41" s="82"/>
      <c r="AB41" s="82"/>
      <c r="AC41" s="82"/>
      <c r="AD41" s="82"/>
      <c r="AE41" s="82"/>
      <c r="AF41" s="82"/>
      <c r="AH41" s="82"/>
      <c r="AL41" s="83"/>
    </row>
    <row r="42" spans="1:38" s="68" customFormat="1" ht="33" customHeight="1" x14ac:dyDescent="0.3">
      <c r="A42" s="135"/>
      <c r="B42" s="69" t="s">
        <v>43</v>
      </c>
      <c r="C42" s="62">
        <f t="shared" si="4"/>
        <v>10000</v>
      </c>
      <c r="D42" s="82">
        <v>10000</v>
      </c>
      <c r="E42" s="83"/>
      <c r="F42" s="82"/>
      <c r="G42" s="82"/>
      <c r="H42" s="82"/>
      <c r="I42" s="82"/>
      <c r="J42" s="82"/>
      <c r="N42" s="82"/>
      <c r="O42" s="82"/>
      <c r="Q42" s="82"/>
      <c r="S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H42" s="82"/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3380000</v>
      </c>
      <c r="D43" s="82">
        <v>3380000</v>
      </c>
      <c r="E43" s="82"/>
      <c r="F43" s="82"/>
      <c r="G43" s="67"/>
      <c r="H43" s="67"/>
      <c r="I43" s="67"/>
      <c r="J43" s="82"/>
      <c r="K43" s="82"/>
      <c r="N43" s="82"/>
      <c r="S43" s="82"/>
      <c r="T43" s="82"/>
      <c r="V43" s="82"/>
      <c r="W43" s="82"/>
      <c r="X43" s="83"/>
      <c r="Z43" s="82"/>
      <c r="AA43" s="82"/>
      <c r="AB43" s="82"/>
      <c r="AC43" s="82"/>
      <c r="AE43" s="82"/>
      <c r="AG43" s="82"/>
      <c r="AK43" s="82"/>
    </row>
    <row r="44" spans="1:38" s="93" customFormat="1" ht="13" x14ac:dyDescent="0.3">
      <c r="A44" s="91" t="s">
        <v>45</v>
      </c>
      <c r="B44" s="92"/>
      <c r="C44" s="62">
        <f t="shared" ref="C44:AL44" si="5">SUM(C30:C43)</f>
        <v>11114445.185311053</v>
      </c>
      <c r="D44" s="92">
        <f t="shared" si="5"/>
        <v>11114445.185311053</v>
      </c>
      <c r="E44" s="92">
        <f t="shared" si="5"/>
        <v>0</v>
      </c>
      <c r="F44" s="92">
        <f t="shared" si="5"/>
        <v>0</v>
      </c>
      <c r="G44" s="92">
        <f t="shared" si="5"/>
        <v>0</v>
      </c>
      <c r="H44" s="92">
        <f t="shared" si="5"/>
        <v>0</v>
      </c>
      <c r="I44" s="92">
        <f t="shared" si="5"/>
        <v>0</v>
      </c>
      <c r="J44" s="92">
        <f t="shared" si="5"/>
        <v>0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>SUM(P30:P43)</f>
        <v>0</v>
      </c>
      <c r="Q44" s="92">
        <f t="shared" si="5"/>
        <v>0</v>
      </c>
      <c r="R44" s="92">
        <f t="shared" si="5"/>
        <v>0</v>
      </c>
      <c r="S44" s="92">
        <f t="shared" si="5"/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65948423.185311049</v>
      </c>
      <c r="D45" s="95">
        <f t="shared" si="6"/>
        <v>65948423.185311049</v>
      </c>
      <c r="E45" s="95">
        <f t="shared" si="6"/>
        <v>0</v>
      </c>
      <c r="F45" s="95">
        <f t="shared" si="6"/>
        <v>0</v>
      </c>
      <c r="G45" s="95">
        <f t="shared" si="6"/>
        <v>0</v>
      </c>
      <c r="H45" s="95">
        <f t="shared" si="6"/>
        <v>0</v>
      </c>
      <c r="I45" s="95">
        <f t="shared" si="6"/>
        <v>0</v>
      </c>
      <c r="J45" s="95">
        <f t="shared" si="6"/>
        <v>0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16278022</v>
      </c>
      <c r="D46" s="97">
        <f t="shared" si="7"/>
        <v>16278022</v>
      </c>
      <c r="E46" s="97">
        <f t="shared" si="7"/>
        <v>0</v>
      </c>
      <c r="F46" s="97">
        <f t="shared" si="7"/>
        <v>0</v>
      </c>
      <c r="G46" s="97">
        <f t="shared" si="7"/>
        <v>0</v>
      </c>
      <c r="H46" s="97">
        <f t="shared" si="7"/>
        <v>0</v>
      </c>
      <c r="I46" s="97">
        <f t="shared" si="7"/>
        <v>0</v>
      </c>
      <c r="J46" s="97">
        <f t="shared" si="7"/>
        <v>0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</row>
    <row r="47" spans="1:38" s="100" customFormat="1" ht="13" x14ac:dyDescent="0.3">
      <c r="A47" s="98" t="s">
        <v>48</v>
      </c>
      <c r="B47" s="98"/>
      <c r="C47" s="62">
        <f t="shared" ref="C47:AL47" si="8">C4-C45</f>
        <v>5163576.8146889508</v>
      </c>
      <c r="D47" s="99">
        <f t="shared" si="8"/>
        <v>5163576.8146889508</v>
      </c>
      <c r="E47" s="99">
        <f t="shared" si="8"/>
        <v>0</v>
      </c>
      <c r="F47" s="99">
        <f t="shared" si="8"/>
        <v>0</v>
      </c>
      <c r="G47" s="99">
        <f t="shared" si="8"/>
        <v>0</v>
      </c>
      <c r="H47" s="99">
        <f t="shared" si="8"/>
        <v>0</v>
      </c>
      <c r="I47" s="99">
        <f t="shared" si="8"/>
        <v>0</v>
      </c>
      <c r="J47" s="99">
        <f t="shared" si="8"/>
        <v>0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54833978</v>
      </c>
      <c r="D48" s="61">
        <f t="shared" si="9"/>
        <v>54833978</v>
      </c>
      <c r="E48" s="61">
        <f t="shared" si="9"/>
        <v>0</v>
      </c>
      <c r="F48" s="61">
        <f t="shared" si="9"/>
        <v>0</v>
      </c>
      <c r="G48" s="61">
        <f t="shared" si="9"/>
        <v>0</v>
      </c>
      <c r="H48" s="61">
        <f t="shared" si="9"/>
        <v>0</v>
      </c>
      <c r="I48" s="61">
        <f t="shared" si="9"/>
        <v>0</v>
      </c>
      <c r="J48" s="61">
        <f t="shared" si="9"/>
        <v>0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7.2611891307922019E-2</v>
      </c>
      <c r="D49" s="101">
        <f t="shared" si="10"/>
        <v>7.2611891307922019E-2</v>
      </c>
      <c r="E49" s="101" t="e">
        <f t="shared" si="10"/>
        <v>#DIV/0!</v>
      </c>
      <c r="F49" s="101" t="e">
        <f t="shared" si="10"/>
        <v>#DIV/0!</v>
      </c>
      <c r="G49" s="101" t="e">
        <f t="shared" si="10"/>
        <v>#DIV/0!</v>
      </c>
      <c r="H49" s="101" t="e">
        <f t="shared" si="10"/>
        <v>#DIV/0!</v>
      </c>
      <c r="I49" s="101" t="e">
        <f t="shared" si="10"/>
        <v>#DIV/0!</v>
      </c>
      <c r="J49" s="101" t="e">
        <f t="shared" si="10"/>
        <v>#DIV/0!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0.22890682303971199</v>
      </c>
      <c r="D50" s="101">
        <f t="shared" si="11"/>
        <v>0.22890682303971199</v>
      </c>
      <c r="E50" s="101" t="e">
        <f t="shared" si="11"/>
        <v>#DIV/0!</v>
      </c>
      <c r="F50" s="101" t="e">
        <f t="shared" si="11"/>
        <v>#DIV/0!</v>
      </c>
      <c r="G50" s="101" t="e">
        <f t="shared" si="11"/>
        <v>#DIV/0!</v>
      </c>
      <c r="H50" s="101" t="e">
        <f t="shared" si="11"/>
        <v>#DIV/0!</v>
      </c>
      <c r="I50" s="101" t="e">
        <f t="shared" si="11"/>
        <v>#DIV/0!</v>
      </c>
      <c r="J50" s="101" t="e">
        <f t="shared" si="11"/>
        <v>#DIV/0!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</row>
    <row r="51" spans="1:38" s="104" customFormat="1" ht="13" x14ac:dyDescent="0.3">
      <c r="A51" s="101" t="s">
        <v>51</v>
      </c>
      <c r="B51" s="102"/>
      <c r="C51" s="103">
        <f>C47/C48</f>
        <v>9.4167467016326098E-2</v>
      </c>
      <c r="D51" s="101">
        <f t="shared" ref="D51:AL51" si="12">D47/D48</f>
        <v>9.4167467016326098E-2</v>
      </c>
      <c r="E51" s="101" t="e">
        <f t="shared" si="12"/>
        <v>#DIV/0!</v>
      </c>
      <c r="F51" s="101" t="e">
        <f t="shared" si="12"/>
        <v>#DIV/0!</v>
      </c>
      <c r="G51" s="101" t="e">
        <f t="shared" si="12"/>
        <v>#DIV/0!</v>
      </c>
      <c r="H51" s="101" t="e">
        <f t="shared" si="12"/>
        <v>#DIV/0!</v>
      </c>
      <c r="I51" s="101" t="e">
        <f t="shared" si="12"/>
        <v>#DIV/0!</v>
      </c>
      <c r="J51" s="101" t="e">
        <f t="shared" si="12"/>
        <v>#DIV/0!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0.31721156383060245</v>
      </c>
      <c r="D52" s="101">
        <f t="shared" si="13"/>
        <v>0.31721156383060245</v>
      </c>
      <c r="E52" s="101" t="e">
        <f t="shared" si="13"/>
        <v>#DIV/0!</v>
      </c>
      <c r="F52" s="101" t="e">
        <f t="shared" si="13"/>
        <v>#DIV/0!</v>
      </c>
      <c r="G52" s="101" t="e">
        <f t="shared" si="13"/>
        <v>#DIV/0!</v>
      </c>
      <c r="H52" s="101" t="e">
        <f t="shared" si="13"/>
        <v>#DIV/0!</v>
      </c>
      <c r="I52" s="101" t="e">
        <f t="shared" si="13"/>
        <v>#DIV/0!</v>
      </c>
      <c r="J52" s="101" t="e">
        <f t="shared" si="13"/>
        <v>#DIV/0!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</row>
    <row r="53" spans="1:38" s="108" customFormat="1" ht="13" x14ac:dyDescent="0.3">
      <c r="A53" s="106" t="s">
        <v>53</v>
      </c>
      <c r="B53" s="107"/>
      <c r="C53" s="87">
        <f>C45/C46</f>
        <v>4.0513781825157285</v>
      </c>
      <c r="D53" s="106">
        <f t="shared" ref="D53:AL53" si="14">D45/D46</f>
        <v>4.0513781825157285</v>
      </c>
      <c r="E53" s="106" t="e">
        <f t="shared" si="14"/>
        <v>#DIV/0!</v>
      </c>
      <c r="F53" s="106" t="e">
        <f t="shared" si="14"/>
        <v>#DIV/0!</v>
      </c>
      <c r="G53" s="106" t="e">
        <f t="shared" si="14"/>
        <v>#DIV/0!</v>
      </c>
      <c r="H53" s="106" t="e">
        <f t="shared" si="14"/>
        <v>#DIV/0!</v>
      </c>
      <c r="I53" s="106" t="e">
        <f t="shared" si="14"/>
        <v>#DIV/0!</v>
      </c>
      <c r="J53" s="106" t="e">
        <f t="shared" si="14"/>
        <v>#DIV/0!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</row>
    <row r="54" spans="1:38" s="110" customFormat="1" x14ac:dyDescent="0.3">
      <c r="A54" s="109" t="s">
        <v>54</v>
      </c>
      <c r="C54" s="111">
        <f t="shared" ref="C54:AL54" si="15">C48/C4</f>
        <v>0.77109317696028801</v>
      </c>
      <c r="D54" s="112">
        <f t="shared" si="15"/>
        <v>0.77109317696028801</v>
      </c>
      <c r="E54" s="112" t="e">
        <f t="shared" si="15"/>
        <v>#DIV/0!</v>
      </c>
      <c r="F54" s="112" t="e">
        <f t="shared" si="15"/>
        <v>#DIV/0!</v>
      </c>
      <c r="G54" s="112" t="e">
        <f t="shared" si="15"/>
        <v>#DIV/0!</v>
      </c>
      <c r="H54" s="112" t="e">
        <f t="shared" si="15"/>
        <v>#DIV/0!</v>
      </c>
      <c r="I54" s="112" t="e">
        <f t="shared" si="15"/>
        <v>#DIV/0!</v>
      </c>
      <c r="J54" s="112" t="e">
        <f t="shared" si="15"/>
        <v>#DIV/0!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</row>
    <row r="55" spans="1:38" s="110" customFormat="1" x14ac:dyDescent="0.3">
      <c r="A55" s="109" t="s">
        <v>55</v>
      </c>
      <c r="C55" s="111">
        <f t="shared" ref="C55:AL55" si="16">C44/C4</f>
        <v>0.15629493173179004</v>
      </c>
      <c r="D55" s="112">
        <f t="shared" si="16"/>
        <v>0.15629493173179004</v>
      </c>
      <c r="E55" s="112" t="e">
        <f t="shared" si="16"/>
        <v>#DIV/0!</v>
      </c>
      <c r="F55" s="112" t="e">
        <f t="shared" si="16"/>
        <v>#DIV/0!</v>
      </c>
      <c r="G55" s="112" t="e">
        <f t="shared" si="16"/>
        <v>#DIV/0!</v>
      </c>
      <c r="H55" s="112" t="e">
        <f t="shared" si="16"/>
        <v>#DIV/0!</v>
      </c>
      <c r="I55" s="112" t="e">
        <f t="shared" si="16"/>
        <v>#DIV/0!</v>
      </c>
      <c r="J55" s="112" t="e">
        <f t="shared" si="16"/>
        <v>#DIV/0!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</row>
    <row r="56" spans="1:38" s="110" customFormat="1" x14ac:dyDescent="0.3">
      <c r="A56" s="113" t="s">
        <v>56</v>
      </c>
      <c r="C56" s="111">
        <f t="shared" ref="C56:AL56" si="17">C45/C4</f>
        <v>0.92738810869207799</v>
      </c>
      <c r="D56" s="112">
        <f t="shared" si="17"/>
        <v>0.92738810869207799</v>
      </c>
      <c r="E56" s="112" t="e">
        <f t="shared" si="17"/>
        <v>#DIV/0!</v>
      </c>
      <c r="F56" s="112" t="e">
        <f t="shared" si="17"/>
        <v>#DIV/0!</v>
      </c>
      <c r="G56" s="112" t="e">
        <f t="shared" si="17"/>
        <v>#DIV/0!</v>
      </c>
      <c r="H56" s="112" t="e">
        <f t="shared" si="17"/>
        <v>#DIV/0!</v>
      </c>
      <c r="I56" s="112" t="e">
        <f t="shared" si="17"/>
        <v>#DIV/0!</v>
      </c>
      <c r="J56" s="112" t="e">
        <f t="shared" si="17"/>
        <v>#DIV/0!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</row>
    <row r="57" spans="1:38" s="110" customFormat="1" x14ac:dyDescent="0.3">
      <c r="A57" s="113" t="s">
        <v>104</v>
      </c>
      <c r="C57" s="111">
        <f t="shared" ref="C57:AL57" si="18">SUM(C30:C39)/C44</f>
        <v>0.29762111970892091</v>
      </c>
      <c r="D57" s="112">
        <f t="shared" si="18"/>
        <v>0.29762111970892091</v>
      </c>
      <c r="E57" s="112" t="e">
        <f t="shared" si="18"/>
        <v>#DIV/0!</v>
      </c>
      <c r="F57" s="112" t="e">
        <f t="shared" si="18"/>
        <v>#DIV/0!</v>
      </c>
      <c r="G57" s="112" t="e">
        <f t="shared" si="18"/>
        <v>#DIV/0!</v>
      </c>
      <c r="H57" s="112" t="e">
        <f t="shared" si="18"/>
        <v>#DIV/0!</v>
      </c>
      <c r="I57" s="112" t="e">
        <f t="shared" si="18"/>
        <v>#DIV/0!</v>
      </c>
      <c r="J57" s="112" t="e">
        <f t="shared" si="18"/>
        <v>#DIV/0!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</row>
    <row r="58" spans="1:38" s="110" customFormat="1" x14ac:dyDescent="0.3">
      <c r="A58" s="113" t="s">
        <v>58</v>
      </c>
      <c r="C58" s="111">
        <f>C41/C44</f>
        <v>0.19323771580055643</v>
      </c>
      <c r="D58" s="112">
        <f t="shared" ref="D58:AL58" si="19">D41/D44</f>
        <v>0.19323771580055643</v>
      </c>
      <c r="E58" s="112" t="e">
        <f t="shared" si="19"/>
        <v>#DIV/0!</v>
      </c>
      <c r="F58" s="112" t="e">
        <f t="shared" si="19"/>
        <v>#DIV/0!</v>
      </c>
      <c r="G58" s="112" t="e">
        <f t="shared" si="19"/>
        <v>#DIV/0!</v>
      </c>
      <c r="H58" s="112" t="e">
        <f t="shared" si="19"/>
        <v>#DIV/0!</v>
      </c>
      <c r="I58" s="112" t="e">
        <f t="shared" si="19"/>
        <v>#DIV/0!</v>
      </c>
      <c r="J58" s="112" t="e">
        <f t="shared" si="19"/>
        <v>#DIV/0!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</row>
    <row r="59" spans="1:38" s="110" customFormat="1" x14ac:dyDescent="0.3">
      <c r="A59" s="113" t="s">
        <v>59</v>
      </c>
      <c r="C59" s="111">
        <f>C43/C44</f>
        <v>0.30410874709850899</v>
      </c>
      <c r="D59" s="112">
        <f t="shared" ref="D59:AL59" si="20">D43/D44</f>
        <v>0.30410874709850899</v>
      </c>
      <c r="E59" s="112" t="e">
        <f t="shared" si="20"/>
        <v>#DIV/0!</v>
      </c>
      <c r="F59" s="112" t="e">
        <f t="shared" si="20"/>
        <v>#DIV/0!</v>
      </c>
      <c r="G59" s="112" t="e">
        <f t="shared" si="20"/>
        <v>#DIV/0!</v>
      </c>
      <c r="H59" s="112" t="e">
        <f t="shared" si="20"/>
        <v>#DIV/0!</v>
      </c>
      <c r="I59" s="112" t="e">
        <f t="shared" si="20"/>
        <v>#DIV/0!</v>
      </c>
      <c r="J59" s="112" t="e">
        <f t="shared" si="20"/>
        <v>#DIV/0!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E924-19A9-4B48-B2F7-7C4801398311}">
  <sheetPr codeName="Sheet6">
    <tabColor rgb="FFFFC000"/>
  </sheetPr>
  <dimension ref="A1:AP69"/>
  <sheetViews>
    <sheetView zoomScaleNormal="100" workbookViewId="0">
      <pane xSplit="2" ySplit="2" topLeftCell="C3" activePane="bottomRight" state="frozen"/>
      <selection activeCell="C37" sqref="C37"/>
      <selection pane="topRight" activeCell="C37" sqref="C37"/>
      <selection pane="bottomLeft" activeCell="C37" sqref="C37"/>
      <selection pane="bottomRight" activeCell="B11" sqref="B11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164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165</v>
      </c>
      <c r="B4" s="61"/>
      <c r="C4" s="62">
        <f>SUM(D4:AL4)</f>
        <v>2177283272</v>
      </c>
      <c r="D4" s="61">
        <v>36721000</v>
      </c>
      <c r="E4" s="60">
        <v>121502000</v>
      </c>
      <c r="F4" s="60">
        <v>49410000</v>
      </c>
      <c r="G4" s="60">
        <v>26644000</v>
      </c>
      <c r="H4" s="63">
        <v>53733600</v>
      </c>
      <c r="I4" s="61">
        <v>38542000</v>
      </c>
      <c r="J4" s="64">
        <v>33148000</v>
      </c>
      <c r="K4" s="64">
        <v>43262000</v>
      </c>
      <c r="L4" s="64">
        <v>37271000</v>
      </c>
      <c r="M4" s="64">
        <v>88826000</v>
      </c>
      <c r="N4" s="65">
        <v>84552000</v>
      </c>
      <c r="O4" s="64">
        <v>35004000</v>
      </c>
      <c r="P4" s="64">
        <v>74693000</v>
      </c>
      <c r="Q4" s="64">
        <v>56180400</v>
      </c>
      <c r="R4" s="65">
        <v>93223000</v>
      </c>
      <c r="S4" s="64">
        <v>39076000</v>
      </c>
      <c r="T4" s="64">
        <v>45922000</v>
      </c>
      <c r="U4" s="64">
        <v>173685129</v>
      </c>
      <c r="V4" s="64">
        <v>65625000</v>
      </c>
      <c r="W4" s="64">
        <v>65009000</v>
      </c>
      <c r="X4" s="64">
        <v>89834000</v>
      </c>
      <c r="Y4" s="64">
        <v>27145400</v>
      </c>
      <c r="Z4" s="64">
        <v>54502000</v>
      </c>
      <c r="AA4" s="64">
        <v>42993000</v>
      </c>
      <c r="AB4" s="64">
        <v>69578000</v>
      </c>
      <c r="AC4" s="64">
        <v>27499000</v>
      </c>
      <c r="AD4" s="64">
        <v>65434000</v>
      </c>
      <c r="AE4" s="64">
        <v>30102000</v>
      </c>
      <c r="AF4" s="64">
        <v>84880600</v>
      </c>
      <c r="AG4" s="64">
        <v>28529000</v>
      </c>
      <c r="AH4" s="64">
        <v>67224000</v>
      </c>
      <c r="AI4" s="64">
        <v>198382143</v>
      </c>
      <c r="AJ4" s="64">
        <v>44179000</v>
      </c>
      <c r="AK4" s="64">
        <v>39533000</v>
      </c>
      <c r="AL4" s="64">
        <v>45439000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17600000</v>
      </c>
      <c r="D5" s="67"/>
      <c r="E5" s="62"/>
      <c r="F5" s="67"/>
      <c r="G5" s="67"/>
      <c r="H5" s="67"/>
      <c r="I5" s="67"/>
      <c r="N5" s="68">
        <v>3200000</v>
      </c>
      <c r="Q5" s="68">
        <v>5000000</v>
      </c>
      <c r="X5" s="68">
        <v>2800000</v>
      </c>
      <c r="AI5" s="68">
        <v>2800000</v>
      </c>
      <c r="AL5" s="68">
        <v>3800000</v>
      </c>
    </row>
    <row r="6" spans="1:38" s="68" customFormat="1" ht="13" x14ac:dyDescent="0.3">
      <c r="A6" s="69" t="s">
        <v>4</v>
      </c>
      <c r="B6" s="67"/>
      <c r="C6" s="62">
        <f t="shared" si="0"/>
        <v>0</v>
      </c>
      <c r="E6" s="62"/>
      <c r="F6" s="67"/>
      <c r="G6" s="67"/>
      <c r="H6" s="67"/>
      <c r="I6" s="67"/>
      <c r="R6" s="70"/>
      <c r="W6" s="70"/>
      <c r="AI6" s="70"/>
    </row>
    <row r="7" spans="1:38" s="68" customFormat="1" ht="13" x14ac:dyDescent="0.3">
      <c r="A7" s="71" t="s">
        <v>5</v>
      </c>
      <c r="B7" s="67"/>
      <c r="C7" s="62">
        <f t="shared" si="0"/>
        <v>0</v>
      </c>
      <c r="E7" s="62"/>
      <c r="F7" s="67"/>
      <c r="G7" s="67"/>
      <c r="H7" s="67"/>
      <c r="I7" s="67"/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15</v>
      </c>
      <c r="D8" s="68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8">
        <v>0</v>
      </c>
      <c r="K8" s="68">
        <v>0</v>
      </c>
      <c r="L8" s="68">
        <v>0</v>
      </c>
      <c r="M8" s="68">
        <v>0</v>
      </c>
      <c r="N8" s="68">
        <v>1</v>
      </c>
      <c r="O8" s="68">
        <v>1</v>
      </c>
      <c r="P8" s="68">
        <v>0</v>
      </c>
      <c r="Q8" s="68">
        <v>1</v>
      </c>
      <c r="R8" s="68">
        <v>0</v>
      </c>
      <c r="S8" s="68">
        <v>0</v>
      </c>
      <c r="T8" s="73">
        <v>0</v>
      </c>
      <c r="U8" s="73">
        <v>0</v>
      </c>
      <c r="V8" s="73">
        <v>1</v>
      </c>
      <c r="W8" s="73">
        <v>2</v>
      </c>
      <c r="X8" s="73">
        <v>2</v>
      </c>
      <c r="Y8" s="73">
        <v>0</v>
      </c>
      <c r="Z8" s="74">
        <v>0</v>
      </c>
      <c r="AA8" s="73">
        <v>0</v>
      </c>
      <c r="AB8" s="73">
        <v>0</v>
      </c>
      <c r="AC8" s="73">
        <v>0</v>
      </c>
      <c r="AD8" s="73">
        <v>1</v>
      </c>
      <c r="AE8" s="73">
        <v>1</v>
      </c>
      <c r="AF8" s="73">
        <v>1</v>
      </c>
      <c r="AG8" s="73">
        <v>2</v>
      </c>
      <c r="AH8" s="73">
        <v>0</v>
      </c>
      <c r="AI8" s="73">
        <v>2</v>
      </c>
      <c r="AJ8" s="73">
        <v>0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6</v>
      </c>
      <c r="D9" s="68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8">
        <v>0</v>
      </c>
      <c r="K9" s="68">
        <v>0</v>
      </c>
      <c r="L9" s="68">
        <v>0</v>
      </c>
      <c r="M9" s="68">
        <v>0</v>
      </c>
      <c r="N9" s="68">
        <v>1</v>
      </c>
      <c r="O9" s="68">
        <v>0</v>
      </c>
      <c r="P9" s="68">
        <v>0</v>
      </c>
      <c r="Q9" s="68">
        <v>2</v>
      </c>
      <c r="R9" s="68">
        <v>0</v>
      </c>
      <c r="S9" s="68">
        <v>0</v>
      </c>
      <c r="T9" s="75">
        <v>0</v>
      </c>
      <c r="U9" s="75">
        <v>0</v>
      </c>
      <c r="V9" s="73">
        <v>0</v>
      </c>
      <c r="W9" s="75">
        <v>0</v>
      </c>
      <c r="X9" s="75">
        <v>1</v>
      </c>
      <c r="Y9" s="75">
        <v>0</v>
      </c>
      <c r="Z9" s="75">
        <v>0</v>
      </c>
      <c r="AA9" s="75">
        <v>0</v>
      </c>
      <c r="AB9" s="75">
        <v>0</v>
      </c>
      <c r="AC9" s="75">
        <v>0</v>
      </c>
      <c r="AD9" s="75">
        <v>0</v>
      </c>
      <c r="AE9" s="75">
        <v>0</v>
      </c>
      <c r="AF9" s="75">
        <v>0</v>
      </c>
      <c r="AG9" s="75">
        <v>0</v>
      </c>
      <c r="AH9" s="75">
        <v>0</v>
      </c>
      <c r="AI9" s="75">
        <v>1</v>
      </c>
      <c r="AJ9" s="75">
        <v>0</v>
      </c>
      <c r="AK9" s="75">
        <v>0</v>
      </c>
      <c r="AL9" s="75">
        <v>1</v>
      </c>
    </row>
    <row r="10" spans="1:38" s="68" customFormat="1" ht="13" x14ac:dyDescent="0.3">
      <c r="A10" s="71"/>
      <c r="B10" s="67" t="s">
        <v>169</v>
      </c>
      <c r="C10" s="62">
        <f t="shared" si="0"/>
        <v>30</v>
      </c>
      <c r="D10" s="68">
        <v>2</v>
      </c>
      <c r="E10" s="67">
        <v>0</v>
      </c>
      <c r="F10" s="67">
        <v>1</v>
      </c>
      <c r="G10" s="67">
        <v>2</v>
      </c>
      <c r="H10" s="67">
        <v>0</v>
      </c>
      <c r="I10" s="67">
        <v>0</v>
      </c>
      <c r="J10" s="68">
        <v>0</v>
      </c>
      <c r="K10" s="68">
        <v>0</v>
      </c>
      <c r="L10" s="68">
        <v>3</v>
      </c>
      <c r="M10" s="68">
        <v>0</v>
      </c>
      <c r="N10" s="68">
        <v>2</v>
      </c>
      <c r="O10" s="68">
        <v>2</v>
      </c>
      <c r="P10" s="68">
        <v>0</v>
      </c>
      <c r="Q10" s="68">
        <v>0</v>
      </c>
      <c r="R10" s="68">
        <v>2</v>
      </c>
      <c r="S10" s="68">
        <v>0</v>
      </c>
      <c r="T10" s="75">
        <v>0</v>
      </c>
      <c r="U10" s="75">
        <v>0</v>
      </c>
      <c r="V10" s="73">
        <v>1</v>
      </c>
      <c r="W10" s="75">
        <v>3</v>
      </c>
      <c r="X10" s="75">
        <v>1</v>
      </c>
      <c r="Y10" s="75">
        <v>0</v>
      </c>
      <c r="Z10" s="75">
        <v>0</v>
      </c>
      <c r="AA10" s="75">
        <v>0</v>
      </c>
      <c r="AB10" s="75">
        <v>0</v>
      </c>
      <c r="AC10" s="75">
        <v>0</v>
      </c>
      <c r="AD10" s="75">
        <v>1</v>
      </c>
      <c r="AE10" s="75">
        <v>1</v>
      </c>
      <c r="AF10" s="75">
        <v>3</v>
      </c>
      <c r="AG10" s="75">
        <v>2</v>
      </c>
      <c r="AH10" s="75">
        <v>2</v>
      </c>
      <c r="AI10" s="75">
        <v>2</v>
      </c>
      <c r="AJ10" s="75">
        <v>0</v>
      </c>
      <c r="AK10" s="75">
        <v>0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1722157142.8571429</v>
      </c>
      <c r="D11" s="68">
        <v>30000000</v>
      </c>
      <c r="E11" s="67">
        <v>96000000</v>
      </c>
      <c r="F11" s="67">
        <v>41300000</v>
      </c>
      <c r="G11" s="67">
        <v>21600000</v>
      </c>
      <c r="H11" s="67">
        <v>42900000</v>
      </c>
      <c r="I11" s="67">
        <v>30400000</v>
      </c>
      <c r="J11" s="68">
        <v>28200000</v>
      </c>
      <c r="K11" s="68">
        <v>35700000</v>
      </c>
      <c r="L11" s="68">
        <v>29300000</v>
      </c>
      <c r="M11" s="68">
        <v>65500000</v>
      </c>
      <c r="N11" s="68">
        <v>64057142.857142866</v>
      </c>
      <c r="O11" s="68">
        <v>27700000</v>
      </c>
      <c r="P11" s="68">
        <v>59200000</v>
      </c>
      <c r="Q11" s="68">
        <v>40150000.000000007</v>
      </c>
      <c r="R11" s="68">
        <v>72900000</v>
      </c>
      <c r="S11" s="68">
        <v>31500000</v>
      </c>
      <c r="T11" s="75">
        <v>35700000</v>
      </c>
      <c r="U11" s="75">
        <v>137950000</v>
      </c>
      <c r="V11" s="73">
        <v>53600000</v>
      </c>
      <c r="W11" s="75">
        <v>48400000</v>
      </c>
      <c r="X11" s="75">
        <v>70500000</v>
      </c>
      <c r="Y11" s="75">
        <v>23300000</v>
      </c>
      <c r="Z11" s="75">
        <v>46400000</v>
      </c>
      <c r="AA11" s="75">
        <v>35700000</v>
      </c>
      <c r="AB11" s="75">
        <v>57100000</v>
      </c>
      <c r="AC11" s="75">
        <v>22600000</v>
      </c>
      <c r="AD11" s="75">
        <v>52200000</v>
      </c>
      <c r="AE11" s="75">
        <v>25400000</v>
      </c>
      <c r="AF11" s="75">
        <v>65700000</v>
      </c>
      <c r="AG11" s="75">
        <v>24200000</v>
      </c>
      <c r="AH11" s="75">
        <v>55400000</v>
      </c>
      <c r="AI11" s="75">
        <v>151400000</v>
      </c>
      <c r="AJ11" s="75">
        <v>34300000</v>
      </c>
      <c r="AK11" s="75">
        <v>32400000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200986600</v>
      </c>
      <c r="D12" s="67">
        <v>2984000</v>
      </c>
      <c r="E12" s="67">
        <v>12992000</v>
      </c>
      <c r="F12" s="62">
        <v>3400000</v>
      </c>
      <c r="G12" s="62">
        <v>1844000</v>
      </c>
      <c r="H12" s="62">
        <v>5193600</v>
      </c>
      <c r="I12" s="67">
        <v>3872000</v>
      </c>
      <c r="J12" s="68">
        <v>1528000</v>
      </c>
      <c r="K12" s="68">
        <v>3752000</v>
      </c>
      <c r="L12" s="68">
        <v>3216000</v>
      </c>
      <c r="M12" s="68">
        <v>11552000</v>
      </c>
      <c r="N12" s="68">
        <v>7212000</v>
      </c>
      <c r="O12" s="68">
        <v>3844000</v>
      </c>
      <c r="P12" s="68">
        <v>6960000</v>
      </c>
      <c r="Q12" s="68">
        <v>2612000</v>
      </c>
      <c r="R12" s="68">
        <v>9348000</v>
      </c>
      <c r="S12" s="68">
        <v>3616000</v>
      </c>
      <c r="T12" s="75">
        <v>4552000</v>
      </c>
      <c r="U12" s="75">
        <v>15024000</v>
      </c>
      <c r="V12" s="73">
        <v>4874000</v>
      </c>
      <c r="W12" s="75">
        <v>8164000</v>
      </c>
      <c r="X12" s="75">
        <v>7460000</v>
      </c>
      <c r="Y12" s="75">
        <v>1560400</v>
      </c>
      <c r="Z12" s="75">
        <v>3544000</v>
      </c>
      <c r="AA12" s="75">
        <v>3988000</v>
      </c>
      <c r="AB12" s="75">
        <v>8004000</v>
      </c>
      <c r="AC12" s="75">
        <v>1944000</v>
      </c>
      <c r="AD12" s="75">
        <v>5952000</v>
      </c>
      <c r="AE12" s="75">
        <v>2112000</v>
      </c>
      <c r="AF12" s="75">
        <v>11182600</v>
      </c>
      <c r="AG12" s="75">
        <v>2900000</v>
      </c>
      <c r="AH12" s="75">
        <v>5804000</v>
      </c>
      <c r="AI12" s="75">
        <v>18868000</v>
      </c>
      <c r="AJ12" s="75">
        <v>4316000</v>
      </c>
      <c r="AK12" s="75">
        <v>3808000</v>
      </c>
      <c r="AL12" s="75">
        <v>3004000</v>
      </c>
    </row>
    <row r="13" spans="1:38" s="68" customFormat="1" ht="13" x14ac:dyDescent="0.3">
      <c r="A13" s="129"/>
      <c r="B13" s="69" t="s">
        <v>12</v>
      </c>
      <c r="C13" s="62">
        <f t="shared" si="0"/>
        <v>86605000</v>
      </c>
      <c r="D13" s="67">
        <v>975000</v>
      </c>
      <c r="E13" s="68">
        <v>4420000</v>
      </c>
      <c r="F13" s="68">
        <v>1520000</v>
      </c>
      <c r="G13" s="68">
        <v>1300000</v>
      </c>
      <c r="H13" s="68">
        <v>2570000</v>
      </c>
      <c r="I13" s="68">
        <v>1820000</v>
      </c>
      <c r="J13" s="68">
        <v>1220000</v>
      </c>
      <c r="K13" s="68">
        <v>1610000</v>
      </c>
      <c r="L13" s="68">
        <v>1325000</v>
      </c>
      <c r="M13" s="68">
        <v>4880000</v>
      </c>
      <c r="N13" s="68">
        <v>2350000</v>
      </c>
      <c r="O13" s="68">
        <v>1460000</v>
      </c>
      <c r="P13" s="68">
        <v>3900000</v>
      </c>
      <c r="Q13" s="68">
        <v>2597142.8571428568</v>
      </c>
      <c r="R13" s="68">
        <v>3905000</v>
      </c>
      <c r="S13" s="68">
        <v>1620000</v>
      </c>
      <c r="T13" s="73">
        <v>2200000</v>
      </c>
      <c r="U13" s="73">
        <v>7290000</v>
      </c>
      <c r="V13" s="73">
        <v>1715000</v>
      </c>
      <c r="W13" s="73">
        <v>2880000</v>
      </c>
      <c r="X13" s="73">
        <v>3102857.1428571427</v>
      </c>
      <c r="Y13" s="73">
        <v>755000</v>
      </c>
      <c r="Z13" s="73">
        <v>1860000</v>
      </c>
      <c r="AA13" s="73">
        <v>1675000</v>
      </c>
      <c r="AB13" s="73">
        <v>1950000</v>
      </c>
      <c r="AC13" s="73">
        <v>1105000</v>
      </c>
      <c r="AD13" s="73">
        <v>2985000</v>
      </c>
      <c r="AE13" s="73">
        <v>1140000</v>
      </c>
      <c r="AF13" s="73">
        <v>2040000</v>
      </c>
      <c r="AG13" s="73">
        <v>810000</v>
      </c>
      <c r="AH13" s="73">
        <v>2140000</v>
      </c>
      <c r="AI13" s="73">
        <v>9940000</v>
      </c>
      <c r="AJ13" s="73">
        <v>1985000</v>
      </c>
      <c r="AK13" s="73">
        <v>1405000</v>
      </c>
      <c r="AL13" s="73">
        <v>2155000</v>
      </c>
    </row>
    <row r="14" spans="1:38" s="68" customFormat="1" ht="13" x14ac:dyDescent="0.3">
      <c r="A14" s="129"/>
      <c r="B14" s="69" t="s">
        <v>13</v>
      </c>
      <c r="C14" s="62">
        <f t="shared" si="0"/>
        <v>40717000</v>
      </c>
      <c r="D14" s="67">
        <v>510000</v>
      </c>
      <c r="E14" s="67">
        <v>1950000</v>
      </c>
      <c r="F14" s="68">
        <v>600000</v>
      </c>
      <c r="G14" s="68">
        <v>790000</v>
      </c>
      <c r="H14" s="68">
        <v>1120000</v>
      </c>
      <c r="I14" s="68">
        <v>810000</v>
      </c>
      <c r="J14" s="68">
        <v>300000</v>
      </c>
      <c r="K14" s="68">
        <v>730000</v>
      </c>
      <c r="L14" s="68">
        <v>780000</v>
      </c>
      <c r="M14" s="68">
        <v>2120000</v>
      </c>
      <c r="N14" s="68">
        <v>1710000</v>
      </c>
      <c r="O14" s="68">
        <v>630000</v>
      </c>
      <c r="P14" s="68">
        <v>1420000</v>
      </c>
      <c r="Q14" s="68">
        <v>1088571.4285714284</v>
      </c>
      <c r="R14" s="68">
        <v>1980000</v>
      </c>
      <c r="S14" s="68">
        <v>630000</v>
      </c>
      <c r="T14" s="73">
        <v>1020000</v>
      </c>
      <c r="U14" s="73">
        <v>2430000</v>
      </c>
      <c r="V14" s="73">
        <v>1120000</v>
      </c>
      <c r="W14" s="73">
        <v>1410000</v>
      </c>
      <c r="X14" s="73">
        <v>1461428.5714285714</v>
      </c>
      <c r="Y14" s="73">
        <v>540000</v>
      </c>
      <c r="Z14" s="73">
        <v>735000</v>
      </c>
      <c r="AA14" s="73">
        <v>1230000</v>
      </c>
      <c r="AB14" s="73">
        <v>692000</v>
      </c>
      <c r="AC14" s="73">
        <v>570000</v>
      </c>
      <c r="AD14" s="73">
        <v>1410000</v>
      </c>
      <c r="AE14" s="73">
        <v>480000</v>
      </c>
      <c r="AF14" s="73">
        <v>1890000</v>
      </c>
      <c r="AG14" s="73">
        <v>300000</v>
      </c>
      <c r="AH14" s="73">
        <v>1070000</v>
      </c>
      <c r="AI14" s="73">
        <v>4370000</v>
      </c>
      <c r="AJ14" s="73">
        <v>960000</v>
      </c>
      <c r="AK14" s="73">
        <v>780000</v>
      </c>
      <c r="AL14" s="73">
        <v>1080000</v>
      </c>
    </row>
    <row r="15" spans="1:38" s="68" customFormat="1" ht="13" x14ac:dyDescent="0.3">
      <c r="A15" s="129"/>
      <c r="B15" s="69" t="s">
        <v>14</v>
      </c>
      <c r="C15" s="62">
        <f t="shared" si="0"/>
        <v>37695714.285714284</v>
      </c>
      <c r="D15" s="67">
        <v>590000</v>
      </c>
      <c r="E15" s="68">
        <v>1900000</v>
      </c>
      <c r="F15" s="68">
        <v>1100000</v>
      </c>
      <c r="G15" s="68">
        <v>300000</v>
      </c>
      <c r="H15" s="68">
        <v>600000</v>
      </c>
      <c r="I15" s="68">
        <v>800000</v>
      </c>
      <c r="J15" s="68">
        <v>800000</v>
      </c>
      <c r="K15" s="68">
        <v>600000</v>
      </c>
      <c r="L15" s="68">
        <v>800000</v>
      </c>
      <c r="M15" s="68">
        <v>1500000</v>
      </c>
      <c r="N15" s="68">
        <v>1700000</v>
      </c>
      <c r="O15" s="68">
        <v>600000</v>
      </c>
      <c r="P15" s="68">
        <v>1600000</v>
      </c>
      <c r="Q15" s="68">
        <v>1350000.0000000002</v>
      </c>
      <c r="R15" s="68">
        <v>1500000</v>
      </c>
      <c r="S15" s="68">
        <v>900000</v>
      </c>
      <c r="T15" s="73">
        <v>800000</v>
      </c>
      <c r="U15" s="73">
        <v>2900000</v>
      </c>
      <c r="V15" s="73">
        <v>1000000</v>
      </c>
      <c r="W15" s="73">
        <v>1300000</v>
      </c>
      <c r="X15" s="73">
        <v>1385714.2857142857</v>
      </c>
      <c r="Y15" s="73">
        <v>600000</v>
      </c>
      <c r="Z15" s="73">
        <v>1200000</v>
      </c>
      <c r="AA15" s="73">
        <v>400000</v>
      </c>
      <c r="AB15" s="73">
        <v>900000</v>
      </c>
      <c r="AC15" s="73">
        <v>400000</v>
      </c>
      <c r="AD15" s="73">
        <v>1290000</v>
      </c>
      <c r="AE15" s="73">
        <v>400000</v>
      </c>
      <c r="AF15" s="73">
        <v>1200000</v>
      </c>
      <c r="AG15" s="73">
        <v>200000</v>
      </c>
      <c r="AH15" s="73">
        <v>1000000</v>
      </c>
      <c r="AI15" s="73">
        <v>3990000</v>
      </c>
      <c r="AJ15" s="73">
        <v>1090000</v>
      </c>
      <c r="AK15" s="73">
        <v>300000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7780000</v>
      </c>
      <c r="D16" s="67">
        <v>0</v>
      </c>
      <c r="E16" s="68">
        <v>0</v>
      </c>
      <c r="F16" s="68">
        <v>200000</v>
      </c>
      <c r="G16" s="68">
        <v>0</v>
      </c>
      <c r="H16" s="68">
        <v>350000</v>
      </c>
      <c r="I16" s="68">
        <v>0</v>
      </c>
      <c r="J16" s="68">
        <v>0</v>
      </c>
      <c r="K16" s="68">
        <v>200000</v>
      </c>
      <c r="L16" s="68">
        <v>200000</v>
      </c>
      <c r="M16" s="68">
        <v>200000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450000</v>
      </c>
      <c r="U16" s="73">
        <v>5380000</v>
      </c>
      <c r="V16" s="73">
        <v>0</v>
      </c>
      <c r="W16" s="73">
        <v>0</v>
      </c>
      <c r="X16" s="73">
        <v>0</v>
      </c>
      <c r="Y16" s="76">
        <v>0</v>
      </c>
      <c r="Z16" s="76">
        <v>0</v>
      </c>
      <c r="AA16" s="76">
        <v>0</v>
      </c>
      <c r="AB16" s="76">
        <v>0</v>
      </c>
      <c r="AC16" s="73">
        <v>400000</v>
      </c>
      <c r="AD16" s="76">
        <v>0</v>
      </c>
      <c r="AE16" s="76">
        <v>0</v>
      </c>
      <c r="AF16" s="76">
        <v>50000</v>
      </c>
      <c r="AG16" s="76">
        <v>0</v>
      </c>
      <c r="AH16" s="76">
        <v>0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16502857.142857144</v>
      </c>
      <c r="D17" s="67">
        <v>400000</v>
      </c>
      <c r="E17" s="68">
        <v>2050000</v>
      </c>
      <c r="F17" s="68">
        <v>450000</v>
      </c>
      <c r="G17" s="68">
        <v>0</v>
      </c>
      <c r="H17" s="68">
        <v>0</v>
      </c>
      <c r="I17" s="68">
        <v>0</v>
      </c>
      <c r="J17" s="68">
        <v>740000</v>
      </c>
      <c r="K17" s="68">
        <v>0</v>
      </c>
      <c r="L17" s="68">
        <v>750000</v>
      </c>
      <c r="M17" s="68">
        <v>1650000</v>
      </c>
      <c r="N17" s="68">
        <v>1800000</v>
      </c>
      <c r="O17" s="68">
        <v>0</v>
      </c>
      <c r="P17" s="68">
        <v>0</v>
      </c>
      <c r="Q17" s="68">
        <v>1970000</v>
      </c>
      <c r="R17" s="68">
        <v>1700000</v>
      </c>
      <c r="S17" s="68">
        <v>0</v>
      </c>
      <c r="T17" s="77">
        <v>0</v>
      </c>
      <c r="U17" s="77">
        <v>0</v>
      </c>
      <c r="V17" s="73">
        <v>0</v>
      </c>
      <c r="W17" s="70">
        <v>1350000</v>
      </c>
      <c r="X17" s="77">
        <v>1342857.142857143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1200000</v>
      </c>
      <c r="AG17" s="77">
        <v>0</v>
      </c>
      <c r="AH17" s="70">
        <v>650000</v>
      </c>
      <c r="AI17" s="77">
        <v>0</v>
      </c>
      <c r="AJ17" s="77">
        <v>450000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45087000</v>
      </c>
      <c r="D18" s="67">
        <v>1260000</v>
      </c>
      <c r="E18" s="68">
        <v>2220000</v>
      </c>
      <c r="F18" s="68">
        <v>840000</v>
      </c>
      <c r="G18" s="68">
        <v>810000</v>
      </c>
      <c r="H18" s="68">
        <v>1000000</v>
      </c>
      <c r="I18" s="68">
        <v>840000</v>
      </c>
      <c r="J18" s="68">
        <v>360000</v>
      </c>
      <c r="K18" s="68">
        <v>670000</v>
      </c>
      <c r="L18" s="68">
        <v>900000</v>
      </c>
      <c r="M18" s="68">
        <v>2060000</v>
      </c>
      <c r="N18" s="68">
        <v>2160000</v>
      </c>
      <c r="O18" s="68">
        <v>770000</v>
      </c>
      <c r="P18" s="68">
        <v>1590000</v>
      </c>
      <c r="Q18" s="68">
        <v>1388571.4285714284</v>
      </c>
      <c r="R18" s="68">
        <v>1890000</v>
      </c>
      <c r="S18" s="68">
        <v>660000</v>
      </c>
      <c r="T18" s="78">
        <v>1200000</v>
      </c>
      <c r="U18" s="78">
        <v>3000000</v>
      </c>
      <c r="V18" s="73">
        <v>2690000</v>
      </c>
      <c r="W18" s="78">
        <v>1650000</v>
      </c>
      <c r="X18" s="78">
        <v>1551428.5714285714</v>
      </c>
      <c r="Y18" s="78">
        <v>450000</v>
      </c>
      <c r="Z18" s="78">
        <v>765000</v>
      </c>
      <c r="AA18" s="79">
        <v>0</v>
      </c>
      <c r="AB18" s="78">
        <v>932000</v>
      </c>
      <c r="AC18" s="78">
        <v>480000</v>
      </c>
      <c r="AD18" s="78">
        <v>1440000</v>
      </c>
      <c r="AE18" s="78">
        <v>570000</v>
      </c>
      <c r="AF18" s="78">
        <v>1620000</v>
      </c>
      <c r="AG18" s="79">
        <v>120000</v>
      </c>
      <c r="AH18" s="78">
        <v>1130000</v>
      </c>
      <c r="AI18" s="78">
        <v>4950000</v>
      </c>
      <c r="AJ18" s="78">
        <v>1080000</v>
      </c>
      <c r="AK18" s="78">
        <v>840000</v>
      </c>
      <c r="AL18" s="78">
        <v>1200000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435374171.4285714</v>
      </c>
      <c r="D19" s="81">
        <f t="shared" ref="D19:AP19" si="1">SUM(D12:D18)</f>
        <v>6719000</v>
      </c>
      <c r="E19" s="81">
        <f>SUM(E12:E18)</f>
        <v>25532000</v>
      </c>
      <c r="F19" s="81">
        <f t="shared" si="1"/>
        <v>8110000</v>
      </c>
      <c r="G19" s="81">
        <f t="shared" si="1"/>
        <v>5044000</v>
      </c>
      <c r="H19" s="81">
        <f>SUM(H12:H18)</f>
        <v>10833600</v>
      </c>
      <c r="I19" s="81">
        <f>SUM(I12:I18)</f>
        <v>8142000</v>
      </c>
      <c r="J19" s="81">
        <f t="shared" si="1"/>
        <v>4948000</v>
      </c>
      <c r="K19" s="81">
        <f t="shared" si="1"/>
        <v>7562000</v>
      </c>
      <c r="L19" s="81">
        <f t="shared" si="1"/>
        <v>7971000</v>
      </c>
      <c r="M19" s="81">
        <f t="shared" si="1"/>
        <v>23962000</v>
      </c>
      <c r="N19" s="81">
        <f t="shared" si="1"/>
        <v>16932000</v>
      </c>
      <c r="O19" s="81">
        <f t="shared" si="1"/>
        <v>7304000</v>
      </c>
      <c r="P19" s="81">
        <f t="shared" si="1"/>
        <v>15520000</v>
      </c>
      <c r="Q19" s="81">
        <f>SUM(Q12:Q18)</f>
        <v>11006285.714285713</v>
      </c>
      <c r="R19" s="81">
        <f>SUM(R12:R18)</f>
        <v>20323000</v>
      </c>
      <c r="S19" s="81">
        <f>SUM(S12:S18)</f>
        <v>7576000</v>
      </c>
      <c r="T19" s="81">
        <f t="shared" si="1"/>
        <v>10222000</v>
      </c>
      <c r="U19" s="81">
        <f t="shared" si="1"/>
        <v>36024000</v>
      </c>
      <c r="V19" s="81">
        <f t="shared" si="1"/>
        <v>11399000</v>
      </c>
      <c r="W19" s="81">
        <f t="shared" si="1"/>
        <v>16754000</v>
      </c>
      <c r="X19" s="81">
        <f t="shared" si="1"/>
        <v>16304285.714285713</v>
      </c>
      <c r="Y19" s="81">
        <f t="shared" si="1"/>
        <v>3905400</v>
      </c>
      <c r="Z19" s="81">
        <f t="shared" si="1"/>
        <v>8104000</v>
      </c>
      <c r="AA19" s="81">
        <f t="shared" si="1"/>
        <v>7293000</v>
      </c>
      <c r="AB19" s="81">
        <f>SUM(AB12:AB18)</f>
        <v>12478000</v>
      </c>
      <c r="AC19" s="81">
        <f t="shared" si="1"/>
        <v>4899000</v>
      </c>
      <c r="AD19" s="81">
        <f t="shared" si="1"/>
        <v>13077000</v>
      </c>
      <c r="AE19" s="81">
        <f t="shared" si="1"/>
        <v>4702000</v>
      </c>
      <c r="AF19" s="81">
        <f t="shared" si="1"/>
        <v>19182600</v>
      </c>
      <c r="AG19" s="81">
        <f t="shared" si="1"/>
        <v>4330000</v>
      </c>
      <c r="AH19" s="81">
        <f t="shared" si="1"/>
        <v>11794000</v>
      </c>
      <c r="AI19" s="81">
        <f t="shared" si="1"/>
        <v>42268000</v>
      </c>
      <c r="AJ19" s="81">
        <f t="shared" si="1"/>
        <v>9881000</v>
      </c>
      <c r="AK19" s="81">
        <f>SUM(AK12:AK18)</f>
        <v>7133000</v>
      </c>
      <c r="AL19" s="81">
        <f t="shared" si="1"/>
        <v>8139000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1474516666.666667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57600000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24666666.666666668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3470000</v>
      </c>
      <c r="D22" s="67"/>
      <c r="E22" s="82"/>
      <c r="G22" s="82">
        <v>770000</v>
      </c>
      <c r="O22" s="82"/>
      <c r="P22" s="82"/>
      <c r="R22" s="68">
        <v>1600000</v>
      </c>
      <c r="T22" s="82"/>
      <c r="U22" s="82"/>
      <c r="W22" s="82"/>
      <c r="X22" s="82"/>
      <c r="Z22" s="82"/>
      <c r="AA22" s="83"/>
      <c r="AB22" s="82"/>
      <c r="AC22" s="82"/>
      <c r="AE22" s="82"/>
      <c r="AF22" s="82"/>
      <c r="AG22" s="82">
        <v>1100000</v>
      </c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200665565</v>
      </c>
      <c r="D23" s="82">
        <v>4355705</v>
      </c>
      <c r="E23" s="86">
        <v>10811102</v>
      </c>
      <c r="F23" s="82">
        <v>4258267</v>
      </c>
      <c r="G23" s="82">
        <v>2927966</v>
      </c>
      <c r="H23" s="86">
        <v>6817975</v>
      </c>
      <c r="I23" s="83">
        <v>3040783</v>
      </c>
      <c r="J23" s="83">
        <v>3185806</v>
      </c>
      <c r="K23" s="83">
        <v>4273214</v>
      </c>
      <c r="L23" s="82">
        <v>2973953</v>
      </c>
      <c r="M23" s="82">
        <v>11361168</v>
      </c>
      <c r="N23" s="83">
        <v>4577882</v>
      </c>
      <c r="O23" s="83">
        <v>4030387</v>
      </c>
      <c r="P23" s="83">
        <v>9196891</v>
      </c>
      <c r="Q23" s="83">
        <v>4562460</v>
      </c>
      <c r="R23" s="82">
        <v>9117209</v>
      </c>
      <c r="S23" s="83">
        <v>4174373</v>
      </c>
      <c r="T23" s="82">
        <v>3711658</v>
      </c>
      <c r="U23" s="83">
        <v>13042210</v>
      </c>
      <c r="V23" s="83">
        <v>5107385</v>
      </c>
      <c r="W23" s="83">
        <v>6801278</v>
      </c>
      <c r="X23" s="83">
        <v>6018775</v>
      </c>
      <c r="Y23" s="83">
        <v>1451930</v>
      </c>
      <c r="Z23" s="82">
        <v>4006519</v>
      </c>
      <c r="AA23" s="82">
        <v>4508633</v>
      </c>
      <c r="AB23" s="83">
        <v>10164949</v>
      </c>
      <c r="AC23" s="82">
        <v>2453393</v>
      </c>
      <c r="AD23" s="83">
        <v>5829667</v>
      </c>
      <c r="AE23" s="83">
        <v>2460866</v>
      </c>
      <c r="AF23" s="82">
        <v>10582337</v>
      </c>
      <c r="AG23" s="82">
        <v>3783694</v>
      </c>
      <c r="AH23" s="82">
        <v>5171991</v>
      </c>
      <c r="AI23" s="83">
        <v>14733533</v>
      </c>
      <c r="AJ23" s="83">
        <v>2907122</v>
      </c>
      <c r="AK23" s="83">
        <v>4069742</v>
      </c>
      <c r="AL23" s="83">
        <v>4194742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88861221.666666657</v>
      </c>
      <c r="D24" s="82">
        <v>1259250</v>
      </c>
      <c r="E24" s="82">
        <v>5954700</v>
      </c>
      <c r="F24" s="82">
        <v>1606550</v>
      </c>
      <c r="G24" s="82">
        <v>693450</v>
      </c>
      <c r="H24" s="86">
        <v>2600610</v>
      </c>
      <c r="I24" s="83">
        <v>2041250</v>
      </c>
      <c r="J24" s="83">
        <v>1277190</v>
      </c>
      <c r="K24" s="83">
        <v>1512500</v>
      </c>
      <c r="L24" s="82">
        <v>1731900</v>
      </c>
      <c r="M24" s="82">
        <v>1358000</v>
      </c>
      <c r="N24" s="83">
        <v>5749000</v>
      </c>
      <c r="O24" s="83">
        <v>693450</v>
      </c>
      <c r="P24" s="83">
        <v>2948600</v>
      </c>
      <c r="Q24" s="83">
        <v>3183200</v>
      </c>
      <c r="R24" s="82">
        <v>3619666.6666666665</v>
      </c>
      <c r="S24" s="83">
        <v>3067510</v>
      </c>
      <c r="T24" s="82">
        <v>3131450</v>
      </c>
      <c r="U24" s="83">
        <v>8938950</v>
      </c>
      <c r="V24" s="83">
        <v>1889450</v>
      </c>
      <c r="W24" s="83">
        <v>1525100</v>
      </c>
      <c r="X24" s="83">
        <v>2067815</v>
      </c>
      <c r="Y24" s="83">
        <v>892400</v>
      </c>
      <c r="Z24" s="82">
        <v>3801210</v>
      </c>
      <c r="AA24" s="82">
        <v>1718100</v>
      </c>
      <c r="AB24" s="83">
        <v>2100360</v>
      </c>
      <c r="AC24" s="82">
        <v>930350</v>
      </c>
      <c r="AD24" s="83">
        <v>4221650</v>
      </c>
      <c r="AE24" s="83">
        <v>1297200</v>
      </c>
      <c r="AF24" s="82">
        <v>4013500</v>
      </c>
      <c r="AG24" s="82">
        <v>755550</v>
      </c>
      <c r="AH24" s="82">
        <v>0</v>
      </c>
      <c r="AI24" s="83">
        <v>6161410</v>
      </c>
      <c r="AJ24" s="83">
        <v>1260000</v>
      </c>
      <c r="AK24" s="83">
        <v>1896350</v>
      </c>
      <c r="AL24" s="83">
        <v>2963550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14311303.666666668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502500</v>
      </c>
      <c r="S25" s="83">
        <v>320000</v>
      </c>
      <c r="T25" s="82">
        <v>245000</v>
      </c>
      <c r="U25" s="83">
        <v>1028000</v>
      </c>
      <c r="V25" s="83">
        <v>204300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6600000</v>
      </c>
      <c r="D26" s="82">
        <v>100000</v>
      </c>
      <c r="E26" s="82">
        <v>200000</v>
      </c>
      <c r="F26" s="82">
        <v>200000</v>
      </c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300000</v>
      </c>
      <c r="N26" s="83">
        <v>300000</v>
      </c>
      <c r="O26" s="83">
        <v>200000</v>
      </c>
      <c r="P26" s="83">
        <v>300000</v>
      </c>
      <c r="Q26" s="83">
        <v>200000</v>
      </c>
      <c r="R26" s="82">
        <v>300000</v>
      </c>
      <c r="S26" s="83">
        <v>150000</v>
      </c>
      <c r="T26" s="82">
        <v>200000</v>
      </c>
      <c r="U26" s="83">
        <v>200000</v>
      </c>
      <c r="V26" s="83">
        <v>300000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500000</v>
      </c>
      <c r="AF26" s="82">
        <v>500000</v>
      </c>
      <c r="AG26" s="82"/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353455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>
        <v>353455</v>
      </c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1788778212.0000005</v>
      </c>
      <c r="D29" s="60">
        <f>SUM(D21:D28)</f>
        <v>37095055</v>
      </c>
      <c r="E29" s="60">
        <f t="shared" ref="E29:AL29" si="3">SUM(E21:E28)</f>
        <v>97466802</v>
      </c>
      <c r="F29" s="60">
        <f t="shared" si="3"/>
        <v>43309817</v>
      </c>
      <c r="G29" s="60">
        <f t="shared" si="3"/>
        <v>27969749</v>
      </c>
      <c r="H29" s="60">
        <f t="shared" si="3"/>
        <v>43163585</v>
      </c>
      <c r="I29" s="60">
        <f t="shared" si="3"/>
        <v>29502033</v>
      </c>
      <c r="J29" s="60">
        <f t="shared" si="3"/>
        <v>24749497</v>
      </c>
      <c r="K29" s="60">
        <f t="shared" si="3"/>
        <v>33272215</v>
      </c>
      <c r="L29" s="60">
        <f t="shared" si="3"/>
        <v>38224853</v>
      </c>
      <c r="M29" s="60">
        <f t="shared" si="3"/>
        <v>61080669</v>
      </c>
      <c r="N29" s="60">
        <f t="shared" si="3"/>
        <v>77688383</v>
      </c>
      <c r="O29" s="60">
        <f t="shared" si="3"/>
        <v>35145337</v>
      </c>
      <c r="P29" s="60">
        <f t="shared" si="3"/>
        <v>52910490</v>
      </c>
      <c r="Q29" s="60">
        <f>SUM(Q21:Q28)</f>
        <v>32388660</v>
      </c>
      <c r="R29" s="60">
        <f t="shared" si="3"/>
        <v>75139375.666666672</v>
      </c>
      <c r="S29" s="60">
        <f t="shared" si="3"/>
        <v>31111883</v>
      </c>
      <c r="T29" s="60">
        <f t="shared" si="3"/>
        <v>32288108</v>
      </c>
      <c r="U29" s="60">
        <f t="shared" si="3"/>
        <v>133209160</v>
      </c>
      <c r="V29" s="60">
        <f t="shared" si="3"/>
        <v>57501135</v>
      </c>
      <c r="W29" s="60">
        <f t="shared" si="3"/>
        <v>66721378</v>
      </c>
      <c r="X29" s="60">
        <f t="shared" si="3"/>
        <v>78356490</v>
      </c>
      <c r="Y29" s="60">
        <f t="shared" si="3"/>
        <v>20630330</v>
      </c>
      <c r="Z29" s="60">
        <f t="shared" si="3"/>
        <v>45074229</v>
      </c>
      <c r="AA29" s="60">
        <f t="shared" si="3"/>
        <v>26641733</v>
      </c>
      <c r="AB29" s="60">
        <f>SUM(AB21:AB28)</f>
        <v>56685309</v>
      </c>
      <c r="AC29" s="60">
        <f t="shared" si="3"/>
        <v>20773698</v>
      </c>
      <c r="AD29" s="60">
        <f t="shared" si="3"/>
        <v>55596317</v>
      </c>
      <c r="AE29" s="60">
        <f t="shared" si="3"/>
        <v>29169732.666666668</v>
      </c>
      <c r="AF29" s="60">
        <f t="shared" si="3"/>
        <v>82307503.666666657</v>
      </c>
      <c r="AG29" s="60">
        <f t="shared" si="3"/>
        <v>32379245</v>
      </c>
      <c r="AH29" s="60">
        <f t="shared" si="3"/>
        <v>60771991</v>
      </c>
      <c r="AI29" s="60">
        <f t="shared" si="3"/>
        <v>152364943</v>
      </c>
      <c r="AJ29" s="60">
        <f>SUM(AJ21:AJ28)</f>
        <v>32024122</v>
      </c>
      <c r="AK29" s="60">
        <f t="shared" si="3"/>
        <v>32436092</v>
      </c>
      <c r="AL29" s="60">
        <f t="shared" si="3"/>
        <v>33628292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49792933.010869496</v>
      </c>
      <c r="D30" s="82">
        <v>658783.53528722294</v>
      </c>
      <c r="E30" s="83">
        <v>2564102.6336383312</v>
      </c>
      <c r="F30" s="82">
        <v>1052720.2785433982</v>
      </c>
      <c r="G30" s="82">
        <v>96000</v>
      </c>
      <c r="H30" s="82">
        <v>964144.32989690721</v>
      </c>
      <c r="I30" s="82">
        <v>928780.48780487804</v>
      </c>
      <c r="J30" s="83">
        <v>1012055.2199813541</v>
      </c>
      <c r="K30" s="82">
        <v>991643.27651452622</v>
      </c>
      <c r="L30" s="82">
        <v>132000</v>
      </c>
      <c r="M30" s="82">
        <v>1911345.7405150717</v>
      </c>
      <c r="N30" s="83">
        <v>1491200.0956363229</v>
      </c>
      <c r="O30" s="83">
        <v>657320.43961974164</v>
      </c>
      <c r="P30" s="83">
        <v>2123865.2186215157</v>
      </c>
      <c r="Q30" s="83">
        <v>2063690.4429115411</v>
      </c>
      <c r="R30" s="83">
        <v>1642854.8950114723</v>
      </c>
      <c r="S30" s="83">
        <v>1156610.0931518069</v>
      </c>
      <c r="T30" s="82">
        <v>1273668.8393795774</v>
      </c>
      <c r="U30" s="83">
        <v>4598017.8327326206</v>
      </c>
      <c r="V30" s="83">
        <v>1612470.1132628715</v>
      </c>
      <c r="W30" s="83">
        <v>1164157.3156795523</v>
      </c>
      <c r="X30" s="83">
        <v>2640175.6425660807</v>
      </c>
      <c r="Y30" s="82">
        <v>592244.9313604153</v>
      </c>
      <c r="Z30" s="83">
        <v>1455034.3255025868</v>
      </c>
      <c r="AA30" s="82">
        <v>661389.47368421033</v>
      </c>
      <c r="AB30" s="82">
        <v>1529323.0609418284</v>
      </c>
      <c r="AC30" s="82">
        <v>886465.51724137925</v>
      </c>
      <c r="AD30" s="82">
        <v>1680561.1925611976</v>
      </c>
      <c r="AE30" s="82">
        <v>691351.48953666468</v>
      </c>
      <c r="AF30" s="82">
        <v>1631933.8792020932</v>
      </c>
      <c r="AG30" s="82">
        <v>104000</v>
      </c>
      <c r="AH30" s="82">
        <v>1368610.323481254</v>
      </c>
      <c r="AI30" s="83">
        <v>5445203.2231393587</v>
      </c>
      <c r="AJ30" s="83">
        <v>1116327.9604561923</v>
      </c>
      <c r="AK30" s="82">
        <v>927663.15789473685</v>
      </c>
      <c r="AL30" s="83">
        <v>967218.04511278204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5009128.6307053929</v>
      </c>
      <c r="D31" s="82">
        <v>99585.062240663901</v>
      </c>
      <c r="E31" s="83">
        <v>219087.13692946057</v>
      </c>
      <c r="F31" s="82">
        <v>119502.07468879668</v>
      </c>
      <c r="G31" s="82">
        <v>79668.049792531121</v>
      </c>
      <c r="H31" s="82">
        <v>89626.556016597518</v>
      </c>
      <c r="I31" s="82">
        <v>79668.049792531121</v>
      </c>
      <c r="J31" s="83">
        <v>89626.556016597518</v>
      </c>
      <c r="K31" s="82">
        <v>89626.556016597518</v>
      </c>
      <c r="L31" s="82">
        <v>109543.56846473028</v>
      </c>
      <c r="M31" s="82">
        <v>189211.61825726141</v>
      </c>
      <c r="N31" s="83">
        <v>189211.61825726141</v>
      </c>
      <c r="O31" s="83">
        <v>89626.556016597518</v>
      </c>
      <c r="P31" s="83">
        <v>189211.61825726141</v>
      </c>
      <c r="Q31" s="83">
        <v>169294.60580912864</v>
      </c>
      <c r="R31" s="83">
        <v>179253.11203319504</v>
      </c>
      <c r="S31" s="83">
        <v>89626.556016597518</v>
      </c>
      <c r="T31" s="82">
        <v>99585.062240663901</v>
      </c>
      <c r="U31" s="83">
        <v>378423.23651452281</v>
      </c>
      <c r="V31" s="83">
        <v>149377.59336099584</v>
      </c>
      <c r="W31" s="83">
        <v>159336.09958506224</v>
      </c>
      <c r="X31" s="83">
        <v>239004.14937759336</v>
      </c>
      <c r="Y31" s="82">
        <v>59751.037344398341</v>
      </c>
      <c r="Z31" s="83">
        <v>129460.58091286308</v>
      </c>
      <c r="AA31" s="82">
        <v>59751.037344398341</v>
      </c>
      <c r="AB31" s="82">
        <v>129460.58091286308</v>
      </c>
      <c r="AC31" s="82">
        <v>69709.543568464724</v>
      </c>
      <c r="AD31" s="82">
        <v>179253.11203319504</v>
      </c>
      <c r="AE31" s="82">
        <v>79668.049792531121</v>
      </c>
      <c r="AF31" s="82">
        <v>199170.1244813278</v>
      </c>
      <c r="AG31" s="82">
        <v>79668.049792531121</v>
      </c>
      <c r="AH31" s="82">
        <v>159336.09958506224</v>
      </c>
      <c r="AI31" s="83">
        <v>497925.31120331952</v>
      </c>
      <c r="AJ31" s="83">
        <v>109543.56846473028</v>
      </c>
      <c r="AK31" s="82">
        <v>79668.049792531121</v>
      </c>
      <c r="AL31" s="83">
        <v>79668.049792531121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7429273.8589211637</v>
      </c>
      <c r="D32" s="82">
        <v>152987.55186721991</v>
      </c>
      <c r="E32" s="83">
        <v>336572.61410788383</v>
      </c>
      <c r="F32" s="82">
        <v>183585.06224066392</v>
      </c>
      <c r="G32" s="82">
        <v>122390.04149377593</v>
      </c>
      <c r="H32" s="82">
        <v>137688.79668049794</v>
      </c>
      <c r="I32" s="82">
        <v>122390.04149377593</v>
      </c>
      <c r="J32" s="83">
        <v>137688.79668049794</v>
      </c>
      <c r="K32" s="82">
        <v>137688.79668049794</v>
      </c>
      <c r="L32" s="82">
        <v>168286.30705394191</v>
      </c>
      <c r="M32" s="82">
        <v>290676.34854771785</v>
      </c>
      <c r="N32" s="83">
        <v>290676.34854771785</v>
      </c>
      <c r="O32" s="83">
        <v>137688.79668049794</v>
      </c>
      <c r="P32" s="83">
        <v>290676.34854771785</v>
      </c>
      <c r="Q32" s="83">
        <v>260078.83817427387</v>
      </c>
      <c r="R32" s="83">
        <v>275377.59336099587</v>
      </c>
      <c r="S32" s="83">
        <v>137688.79668049794</v>
      </c>
      <c r="T32" s="82">
        <v>152987.55186721991</v>
      </c>
      <c r="U32" s="83">
        <v>315352.69709543569</v>
      </c>
      <c r="V32" s="83">
        <v>229481.32780082989</v>
      </c>
      <c r="W32" s="83">
        <v>244780.08298755187</v>
      </c>
      <c r="X32" s="83">
        <v>367170.12448132783</v>
      </c>
      <c r="Y32" s="82">
        <v>91792.531120331958</v>
      </c>
      <c r="Z32" s="83">
        <v>198883.81742738589</v>
      </c>
      <c r="AA32" s="82">
        <v>91792.531120331958</v>
      </c>
      <c r="AB32" s="82">
        <v>198883.81742738589</v>
      </c>
      <c r="AC32" s="82">
        <v>107091.28630705395</v>
      </c>
      <c r="AD32" s="82">
        <v>275377.59336099587</v>
      </c>
      <c r="AE32" s="82">
        <v>122390.04149377593</v>
      </c>
      <c r="AF32" s="82">
        <v>305975.10373443982</v>
      </c>
      <c r="AG32" s="82">
        <v>122390.04149377593</v>
      </c>
      <c r="AH32" s="82">
        <v>244780.08298755187</v>
      </c>
      <c r="AI32" s="83">
        <v>764937.75933609961</v>
      </c>
      <c r="AJ32" s="83">
        <v>168286.30705394191</v>
      </c>
      <c r="AK32" s="82">
        <v>122390.04149377593</v>
      </c>
      <c r="AL32" s="83">
        <v>122390.04149377593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5664419.0871369289</v>
      </c>
      <c r="D33" s="82">
        <v>116390.04149377593</v>
      </c>
      <c r="E33" s="83">
        <v>256058.09128630706</v>
      </c>
      <c r="F33" s="82">
        <v>139668.04979253112</v>
      </c>
      <c r="G33" s="82">
        <v>93112.033195020747</v>
      </c>
      <c r="H33" s="82">
        <v>104751.03734439834</v>
      </c>
      <c r="I33" s="82">
        <v>93112.033195020747</v>
      </c>
      <c r="J33" s="83">
        <v>104751.03734439834</v>
      </c>
      <c r="K33" s="82">
        <v>104751.03734439834</v>
      </c>
      <c r="L33" s="82">
        <v>128029.04564315353</v>
      </c>
      <c r="M33" s="82">
        <v>221141.07883817429</v>
      </c>
      <c r="N33" s="83">
        <v>221141.07883817429</v>
      </c>
      <c r="O33" s="83">
        <v>104751.03734439834</v>
      </c>
      <c r="P33" s="83">
        <v>221141.07883817429</v>
      </c>
      <c r="Q33" s="83">
        <v>197863.07053941907</v>
      </c>
      <c r="R33" s="83">
        <v>209502.07468879668</v>
      </c>
      <c r="S33" s="83">
        <v>104751.03734439834</v>
      </c>
      <c r="T33" s="82">
        <v>116390.04149377593</v>
      </c>
      <c r="U33" s="83">
        <v>252282.15767634855</v>
      </c>
      <c r="V33" s="83">
        <v>174585.06224066392</v>
      </c>
      <c r="W33" s="83">
        <v>186224.06639004149</v>
      </c>
      <c r="X33" s="83">
        <v>279336.09958506224</v>
      </c>
      <c r="Y33" s="82">
        <v>69834.024896265561</v>
      </c>
      <c r="Z33" s="83">
        <v>151307.0539419087</v>
      </c>
      <c r="AA33" s="82">
        <v>69834.024896265561</v>
      </c>
      <c r="AB33" s="82">
        <v>151307.0539419087</v>
      </c>
      <c r="AC33" s="82">
        <v>81473.029045643154</v>
      </c>
      <c r="AD33" s="82">
        <v>209502.07468879668</v>
      </c>
      <c r="AE33" s="82">
        <v>93112.033195020747</v>
      </c>
      <c r="AF33" s="82">
        <v>232780.08298755187</v>
      </c>
      <c r="AG33" s="82">
        <v>93112.033195020747</v>
      </c>
      <c r="AH33" s="82">
        <v>186224.06639004149</v>
      </c>
      <c r="AI33" s="83">
        <v>581950.20746887964</v>
      </c>
      <c r="AJ33" s="83">
        <v>128029.04564315353</v>
      </c>
      <c r="AK33" s="82">
        <v>93112.033195020747</v>
      </c>
      <c r="AL33" s="83">
        <v>93112.033195020747</v>
      </c>
    </row>
    <row r="34" spans="1:38" s="68" customFormat="1" ht="24" customHeight="1" x14ac:dyDescent="0.3">
      <c r="A34" s="133"/>
      <c r="B34" s="67" t="s">
        <v>167</v>
      </c>
      <c r="C34" s="62">
        <f t="shared" si="4"/>
        <v>2735908.0763485469</v>
      </c>
      <c r="D34" s="82">
        <v>49792.531120331951</v>
      </c>
      <c r="E34" s="83">
        <v>109543.56846473028</v>
      </c>
      <c r="F34" s="82">
        <v>59751.037344398341</v>
      </c>
      <c r="G34" s="82">
        <v>39834.024896265561</v>
      </c>
      <c r="H34" s="82">
        <v>44813.278008298759</v>
      </c>
      <c r="I34" s="82">
        <v>39834.024896265561</v>
      </c>
      <c r="J34" s="83">
        <v>44813.278008298759</v>
      </c>
      <c r="K34" s="82">
        <v>44813.278008298759</v>
      </c>
      <c r="L34" s="82">
        <v>54771.784232365142</v>
      </c>
      <c r="M34" s="82">
        <v>94605.809128630703</v>
      </c>
      <c r="N34" s="83">
        <v>94605.809128630703</v>
      </c>
      <c r="O34" s="83">
        <v>44813.278008298759</v>
      </c>
      <c r="P34" s="83">
        <v>94605.809128630703</v>
      </c>
      <c r="Q34" s="83">
        <v>84647.30290456432</v>
      </c>
      <c r="R34" s="83">
        <v>89626.556016597518</v>
      </c>
      <c r="S34" s="83">
        <v>44813.278008298759</v>
      </c>
      <c r="T34" s="82">
        <v>49792.531120331951</v>
      </c>
      <c r="U34" s="83">
        <v>189211.61825726141</v>
      </c>
      <c r="V34" s="83">
        <v>74688.796680497922</v>
      </c>
      <c r="W34" s="83">
        <v>79668.049792531121</v>
      </c>
      <c r="X34" s="83">
        <v>119502.07468879668</v>
      </c>
      <c r="Y34" s="82">
        <v>29875.51867219917</v>
      </c>
      <c r="Z34" s="83">
        <v>64730.290456431539</v>
      </c>
      <c r="AA34" s="82">
        <v>29875.51867219917</v>
      </c>
      <c r="AB34" s="82">
        <v>64730.290456431539</v>
      </c>
      <c r="AC34" s="82">
        <v>34854.771784232362</v>
      </c>
      <c r="AD34" s="82">
        <v>89626.556016597518</v>
      </c>
      <c r="AE34" s="82">
        <v>39834.024896265561</v>
      </c>
      <c r="AF34" s="82">
        <v>99585.062240663901</v>
      </c>
      <c r="AG34" s="82">
        <v>39834.024896265561</v>
      </c>
      <c r="AH34" s="82">
        <v>311011.81078838173</v>
      </c>
      <c r="AI34" s="82">
        <v>248962.65560165976</v>
      </c>
      <c r="AJ34" s="83">
        <v>54771.784232365142</v>
      </c>
      <c r="AK34" s="82">
        <v>39834.024896265561</v>
      </c>
      <c r="AL34" s="83">
        <v>39834.024896265561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10016421.990871368</v>
      </c>
      <c r="D35" s="82">
        <v>194382.38174273859</v>
      </c>
      <c r="E35" s="83">
        <v>427641.23983402486</v>
      </c>
      <c r="F35" s="82">
        <v>233258.8580912863</v>
      </c>
      <c r="G35" s="82">
        <v>155505.90539419086</v>
      </c>
      <c r="H35" s="82">
        <v>174944.14356846473</v>
      </c>
      <c r="I35" s="82">
        <v>155505.90539419086</v>
      </c>
      <c r="J35" s="83">
        <v>174944.14356846473</v>
      </c>
      <c r="K35" s="82">
        <v>174944.14356846473</v>
      </c>
      <c r="L35" s="82">
        <v>213820.61991701243</v>
      </c>
      <c r="M35" s="82">
        <v>369326.52531120332</v>
      </c>
      <c r="N35" s="83">
        <v>369326.52531120332</v>
      </c>
      <c r="O35" s="83">
        <v>174944.14356846473</v>
      </c>
      <c r="P35" s="83">
        <v>369326.52531120332</v>
      </c>
      <c r="Q35" s="83">
        <v>330450.04896265559</v>
      </c>
      <c r="R35" s="83">
        <v>349888.28713692946</v>
      </c>
      <c r="S35" s="83">
        <v>174944.14356846473</v>
      </c>
      <c r="T35" s="82">
        <v>194382.38174273859</v>
      </c>
      <c r="U35" s="83">
        <v>738653.05062240665</v>
      </c>
      <c r="V35" s="83">
        <v>291573.57261410786</v>
      </c>
      <c r="W35" s="83">
        <v>311011.81078838173</v>
      </c>
      <c r="X35" s="83">
        <v>466517.71618257259</v>
      </c>
      <c r="Y35" s="82">
        <v>116629.42904564315</v>
      </c>
      <c r="Z35" s="83">
        <v>252697.09626556016</v>
      </c>
      <c r="AA35" s="82">
        <v>116629.42904564315</v>
      </c>
      <c r="AB35" s="82">
        <v>252697.09626556016</v>
      </c>
      <c r="AC35" s="82">
        <v>136067.667219917</v>
      </c>
      <c r="AD35" s="82">
        <v>349888.28713692946</v>
      </c>
      <c r="AE35" s="82">
        <v>155505.90539419086</v>
      </c>
      <c r="AF35" s="82">
        <v>388764.76348547719</v>
      </c>
      <c r="AG35" s="82">
        <v>155505.90539419086</v>
      </c>
      <c r="AH35" s="82">
        <v>550000</v>
      </c>
      <c r="AI35" s="82">
        <v>971911.90871369292</v>
      </c>
      <c r="AJ35" s="83">
        <v>213820.61991701243</v>
      </c>
      <c r="AK35" s="82">
        <v>155505.90539419086</v>
      </c>
      <c r="AL35" s="83">
        <v>155505.90539419086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14846556.016597511</v>
      </c>
      <c r="D36" s="82">
        <v>400000</v>
      </c>
      <c r="E36" s="83">
        <v>550000</v>
      </c>
      <c r="F36" s="82">
        <v>400000</v>
      </c>
      <c r="G36" s="82">
        <v>400000</v>
      </c>
      <c r="H36" s="82">
        <v>350000</v>
      </c>
      <c r="I36" s="82">
        <v>350000</v>
      </c>
      <c r="J36" s="83">
        <v>400000</v>
      </c>
      <c r="K36" s="82">
        <v>350000</v>
      </c>
      <c r="L36" s="82">
        <v>350000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600000</v>
      </c>
      <c r="V36" s="83">
        <v>400000</v>
      </c>
      <c r="W36" s="83">
        <v>200000</v>
      </c>
      <c r="X36" s="83">
        <v>400000</v>
      </c>
      <c r="Y36" s="82">
        <v>400000</v>
      </c>
      <c r="Z36" s="83">
        <v>400000</v>
      </c>
      <c r="AA36" s="82">
        <v>400000</v>
      </c>
      <c r="AB36" s="82">
        <v>350000</v>
      </c>
      <c r="AC36" s="82">
        <v>350000</v>
      </c>
      <c r="AD36" s="82">
        <v>350000</v>
      </c>
      <c r="AE36" s="82">
        <v>400000</v>
      </c>
      <c r="AF36" s="82">
        <v>550000</v>
      </c>
      <c r="AG36" s="82">
        <v>400000</v>
      </c>
      <c r="AH36" s="82">
        <v>196556.01659751037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6310414.937759337</v>
      </c>
      <c r="D37" s="82">
        <v>126597.51037344398</v>
      </c>
      <c r="E37" s="83">
        <v>266514.52282157674</v>
      </c>
      <c r="F37" s="82">
        <v>149917.01244813279</v>
      </c>
      <c r="G37" s="82">
        <v>103278.00829875519</v>
      </c>
      <c r="H37" s="82">
        <v>114937.75933609958</v>
      </c>
      <c r="I37" s="82">
        <v>103278.00829875519</v>
      </c>
      <c r="J37" s="83">
        <v>114937.75933609958</v>
      </c>
      <c r="K37" s="82">
        <v>114937.75933609958</v>
      </c>
      <c r="L37" s="82">
        <v>138257.26141078837</v>
      </c>
      <c r="M37" s="82">
        <v>231535.26970954356</v>
      </c>
      <c r="N37" s="83">
        <v>231535.26970954356</v>
      </c>
      <c r="O37" s="83">
        <v>114937.75933609958</v>
      </c>
      <c r="P37" s="83">
        <v>231535.26970954356</v>
      </c>
      <c r="Q37" s="83">
        <v>208215.76763485477</v>
      </c>
      <c r="R37" s="83">
        <v>219875.51867219916</v>
      </c>
      <c r="S37" s="83">
        <v>114937.75933609958</v>
      </c>
      <c r="T37" s="82">
        <v>126597.51037344398</v>
      </c>
      <c r="U37" s="83">
        <v>453070.53941908712</v>
      </c>
      <c r="V37" s="83">
        <v>184896.26556016598</v>
      </c>
      <c r="W37" s="83">
        <v>196556.01659751037</v>
      </c>
      <c r="X37" s="83">
        <v>289834.02489626559</v>
      </c>
      <c r="Y37" s="82">
        <v>79958.506224066397</v>
      </c>
      <c r="Z37" s="83">
        <v>161576.76348547719</v>
      </c>
      <c r="AA37" s="82">
        <v>79958.506224066397</v>
      </c>
      <c r="AB37" s="82">
        <v>161576.76348547719</v>
      </c>
      <c r="AC37" s="82">
        <v>91618.257261410792</v>
      </c>
      <c r="AD37" s="82">
        <v>219875.51867219916</v>
      </c>
      <c r="AE37" s="82">
        <v>103278.00829875519</v>
      </c>
      <c r="AF37" s="82">
        <v>243195.02074688795</v>
      </c>
      <c r="AG37" s="82">
        <v>103278.00829875519</v>
      </c>
      <c r="AH37" s="82">
        <v>292116.18257261411</v>
      </c>
      <c r="AI37" s="82">
        <v>592987.55186721985</v>
      </c>
      <c r="AJ37" s="83">
        <v>138257.26141078837</v>
      </c>
      <c r="AK37" s="82">
        <v>103278.00829875519</v>
      </c>
      <c r="AL37" s="83">
        <v>103278.00829875519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8891286.3070539441</v>
      </c>
      <c r="D38" s="82">
        <v>182572.61410788383</v>
      </c>
      <c r="E38" s="83">
        <v>401659.75103734439</v>
      </c>
      <c r="F38" s="82">
        <v>219087.13692946057</v>
      </c>
      <c r="G38" s="82">
        <v>146058.09128630706</v>
      </c>
      <c r="H38" s="82">
        <v>164315.35269709543</v>
      </c>
      <c r="I38" s="82">
        <v>146058.09128630706</v>
      </c>
      <c r="J38" s="83">
        <v>164315.35269709543</v>
      </c>
      <c r="K38" s="82">
        <v>164315.35269709543</v>
      </c>
      <c r="L38" s="82">
        <v>200829.8755186722</v>
      </c>
      <c r="M38" s="82">
        <v>346887.96680497925</v>
      </c>
      <c r="N38" s="83">
        <v>346887.96680497925</v>
      </c>
      <c r="O38" s="83">
        <v>164315.35269709543</v>
      </c>
      <c r="P38" s="83">
        <v>346887.96680497925</v>
      </c>
      <c r="Q38" s="83">
        <v>310373.44398340251</v>
      </c>
      <c r="R38" s="83">
        <v>328630.70539419085</v>
      </c>
      <c r="S38" s="83">
        <v>164315.35269709543</v>
      </c>
      <c r="T38" s="82">
        <v>182572.61410788383</v>
      </c>
      <c r="U38" s="83">
        <v>693775.93360995851</v>
      </c>
      <c r="V38" s="83">
        <v>273858.92116182571</v>
      </c>
      <c r="W38" s="83">
        <v>292116.18257261411</v>
      </c>
      <c r="X38" s="83">
        <v>438174.27385892114</v>
      </c>
      <c r="Y38" s="82">
        <v>109543.56846473028</v>
      </c>
      <c r="Z38" s="83">
        <v>237344.39834024897</v>
      </c>
      <c r="AA38" s="83">
        <v>109543.56846473028</v>
      </c>
      <c r="AB38" s="82">
        <v>237344.39834024897</v>
      </c>
      <c r="AC38" s="82">
        <v>127800.82987551867</v>
      </c>
      <c r="AD38" s="82">
        <v>328630.70539419085</v>
      </c>
      <c r="AE38" s="82">
        <v>146058.09128630706</v>
      </c>
      <c r="AF38" s="82">
        <v>365145.22821576765</v>
      </c>
      <c r="AG38" s="82">
        <v>146058.09128630706</v>
      </c>
      <c r="AH38" s="82"/>
      <c r="AI38" s="82">
        <v>912863.07053941907</v>
      </c>
      <c r="AJ38" s="83">
        <v>200829.8755186722</v>
      </c>
      <c r="AK38" s="82">
        <v>146058.09128630706</v>
      </c>
      <c r="AL38" s="83">
        <v>146058.09128630706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7420076.33526971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5000000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>
        <v>2420076.3352697096</v>
      </c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73765319.097925305</v>
      </c>
      <c r="D40" s="82">
        <v>1512547.7095435685</v>
      </c>
      <c r="E40" s="83">
        <v>3327604.9609958506</v>
      </c>
      <c r="F40" s="82">
        <v>1815057.2514522821</v>
      </c>
      <c r="G40" s="82">
        <v>1210038.1676348548</v>
      </c>
      <c r="H40" s="82">
        <v>1361292.9385892116</v>
      </c>
      <c r="I40" s="82">
        <v>1210038.1676348548</v>
      </c>
      <c r="J40" s="83">
        <v>1361292.9385892116</v>
      </c>
      <c r="K40" s="82">
        <v>1361292.9385892116</v>
      </c>
      <c r="L40" s="82">
        <v>1663802.4804979253</v>
      </c>
      <c r="M40" s="82">
        <v>2873840.6481327801</v>
      </c>
      <c r="N40" s="83">
        <v>2873840.6481327801</v>
      </c>
      <c r="O40" s="83">
        <v>1361292.9385892116</v>
      </c>
      <c r="P40" s="83">
        <v>2873840.6481327801</v>
      </c>
      <c r="Q40" s="83">
        <v>2571331.1062240666</v>
      </c>
      <c r="R40" s="83">
        <v>2722585.8771784231</v>
      </c>
      <c r="S40" s="83">
        <v>1361292.9385892116</v>
      </c>
      <c r="T40" s="82">
        <v>1512547.7095435685</v>
      </c>
      <c r="U40" s="83">
        <v>5747681.2962655602</v>
      </c>
      <c r="V40" s="83">
        <v>2268821.5643153526</v>
      </c>
      <c r="W40" s="83">
        <v>2420076.3352697096</v>
      </c>
      <c r="X40" s="83">
        <v>3630114.5029045641</v>
      </c>
      <c r="Y40" s="82">
        <v>907528.62572614104</v>
      </c>
      <c r="Z40" s="83">
        <v>1966312.0224066391</v>
      </c>
      <c r="AA40" s="82">
        <v>907528.62572614104</v>
      </c>
      <c r="AB40" s="82">
        <v>1966312.0224066391</v>
      </c>
      <c r="AC40" s="82">
        <v>1058783.396680498</v>
      </c>
      <c r="AD40" s="82">
        <v>2722585.8771784231</v>
      </c>
      <c r="AE40" s="82">
        <v>1210038.1676348548</v>
      </c>
      <c r="AF40" s="82">
        <v>3025095.4190871371</v>
      </c>
      <c r="AG40" s="82">
        <v>1210038.1676348548</v>
      </c>
      <c r="AH40" s="82">
        <v>104245.64315352697</v>
      </c>
      <c r="AI40" s="82">
        <v>7562738.5477178423</v>
      </c>
      <c r="AJ40" s="83">
        <v>1663802.4804979253</v>
      </c>
      <c r="AK40" s="82">
        <v>1210038.1676348548</v>
      </c>
      <c r="AL40" s="83">
        <v>1210038.1676348548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15732977.452282157</v>
      </c>
      <c r="D41" s="82">
        <v>65153.52697095435</v>
      </c>
      <c r="E41" s="82">
        <v>143337.75933609958</v>
      </c>
      <c r="F41" s="82">
        <v>78184.232365145232</v>
      </c>
      <c r="G41" s="82">
        <v>52122.821576763483</v>
      </c>
      <c r="H41" s="82">
        <v>58638.174273858916</v>
      </c>
      <c r="I41" s="82">
        <v>52122.821576763483</v>
      </c>
      <c r="J41" s="83">
        <v>58638.174273858916</v>
      </c>
      <c r="K41" s="68">
        <v>58638.174273858916</v>
      </c>
      <c r="L41" s="68">
        <v>71668.879668049791</v>
      </c>
      <c r="M41" s="82">
        <v>123791.70124481327</v>
      </c>
      <c r="N41" s="82">
        <v>1123792</v>
      </c>
      <c r="O41" s="82">
        <v>58638.174273858916</v>
      </c>
      <c r="P41" s="68">
        <v>123791.70124481327</v>
      </c>
      <c r="Q41" s="83">
        <v>2635761</v>
      </c>
      <c r="R41" s="83">
        <v>117276.34854771783</v>
      </c>
      <c r="S41" s="83">
        <v>58638.174273858916</v>
      </c>
      <c r="T41" s="68">
        <v>65153.52697095435</v>
      </c>
      <c r="U41" s="82">
        <v>247583.40248962655</v>
      </c>
      <c r="V41" s="83">
        <v>97730.290456431525</v>
      </c>
      <c r="W41" s="82">
        <v>674246</v>
      </c>
      <c r="X41" s="90">
        <v>1336368</v>
      </c>
      <c r="Y41" s="82">
        <v>1639092</v>
      </c>
      <c r="Z41" s="83">
        <v>1934700</v>
      </c>
      <c r="AA41" s="82">
        <v>39092.116182572616</v>
      </c>
      <c r="AB41" s="82">
        <v>84699.585062240658</v>
      </c>
      <c r="AC41" s="82">
        <v>45607.468879668049</v>
      </c>
      <c r="AD41" s="82">
        <v>552276</v>
      </c>
      <c r="AE41" s="82">
        <v>52122.821576763483</v>
      </c>
      <c r="AF41" s="82">
        <v>130307.0539419087</v>
      </c>
      <c r="AG41" s="68">
        <v>52122.821576763483</v>
      </c>
      <c r="AH41" s="82"/>
      <c r="AI41" s="68">
        <v>1825768</v>
      </c>
      <c r="AJ41" s="68">
        <v>71668.879668049791</v>
      </c>
      <c r="AK41" s="68">
        <v>52122.821576763483</v>
      </c>
      <c r="AL41" s="83">
        <v>1952123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2570000</v>
      </c>
      <c r="D42" s="82">
        <v>65000</v>
      </c>
      <c r="E42" s="83"/>
      <c r="F42" s="82"/>
      <c r="G42" s="82">
        <v>317000</v>
      </c>
      <c r="H42" s="82"/>
      <c r="I42" s="82"/>
      <c r="J42" s="82">
        <v>700000</v>
      </c>
      <c r="N42" s="82"/>
      <c r="O42" s="82"/>
      <c r="Q42" s="82"/>
      <c r="R42" s="68">
        <v>138000</v>
      </c>
      <c r="S42" s="82">
        <v>460000</v>
      </c>
      <c r="T42" s="68">
        <v>385000</v>
      </c>
      <c r="U42" s="82">
        <v>160000</v>
      </c>
      <c r="V42" s="82">
        <v>40000</v>
      </c>
      <c r="W42" s="82"/>
      <c r="X42" s="82">
        <v>85000</v>
      </c>
      <c r="Y42" s="82"/>
      <c r="Z42" s="82"/>
      <c r="AA42" s="82"/>
      <c r="AB42" s="82"/>
      <c r="AC42" s="82"/>
      <c r="AD42" s="82">
        <v>220000</v>
      </c>
      <c r="AE42" s="82"/>
      <c r="AF42" s="82"/>
      <c r="AH42" s="82"/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13357000</v>
      </c>
      <c r="D43" s="82"/>
      <c r="E43" s="82"/>
      <c r="F43" s="82"/>
      <c r="G43" s="67">
        <v>557000</v>
      </c>
      <c r="H43" s="67">
        <v>500000</v>
      </c>
      <c r="I43" s="67"/>
      <c r="J43" s="82"/>
      <c r="K43" s="82"/>
      <c r="N43" s="82">
        <v>100000</v>
      </c>
      <c r="O43" s="68">
        <v>850000</v>
      </c>
      <c r="P43" s="68">
        <v>1000000</v>
      </c>
      <c r="Q43" s="68">
        <v>640000</v>
      </c>
      <c r="R43" s="68">
        <v>200000</v>
      </c>
      <c r="S43" s="82"/>
      <c r="T43" s="82"/>
      <c r="U43" s="68">
        <v>1000000</v>
      </c>
      <c r="V43" s="82"/>
      <c r="W43" s="82"/>
      <c r="X43" s="83">
        <v>100000</v>
      </c>
      <c r="Z43" s="82"/>
      <c r="AA43" s="82"/>
      <c r="AB43" s="82">
        <v>500000</v>
      </c>
      <c r="AC43" s="82"/>
      <c r="AD43" s="68">
        <v>200000</v>
      </c>
      <c r="AE43" s="82"/>
      <c r="AF43" s="68">
        <v>670000</v>
      </c>
      <c r="AG43" s="82">
        <v>200000</v>
      </c>
      <c r="AH43" s="68">
        <v>600000</v>
      </c>
      <c r="AI43" s="68">
        <v>4950000</v>
      </c>
      <c r="AJ43" s="68">
        <v>500000</v>
      </c>
      <c r="AK43" s="82">
        <v>395000</v>
      </c>
      <c r="AL43" s="68">
        <v>395000</v>
      </c>
    </row>
    <row r="44" spans="1:38" s="93" customFormat="1" ht="13" x14ac:dyDescent="0.3">
      <c r="A44" s="91" t="s">
        <v>45</v>
      </c>
      <c r="B44" s="92"/>
      <c r="C44" s="62">
        <f>SUM(C30:C43)</f>
        <v>223541714.80174085</v>
      </c>
      <c r="D44" s="92">
        <f t="shared" ref="D44:AL44" si="5">SUM(D30:D43)</f>
        <v>3623792.4647478038</v>
      </c>
      <c r="E44" s="92">
        <f t="shared" si="5"/>
        <v>8602122.2784516085</v>
      </c>
      <c r="F44" s="92">
        <f t="shared" si="5"/>
        <v>4450730.993896096</v>
      </c>
      <c r="G44" s="92">
        <f t="shared" si="5"/>
        <v>3372007.1435684646</v>
      </c>
      <c r="H44" s="92">
        <f t="shared" si="5"/>
        <v>4065152.3664114298</v>
      </c>
      <c r="I44" s="92">
        <f t="shared" si="5"/>
        <v>3280787.6313733426</v>
      </c>
      <c r="J44" s="92">
        <f t="shared" si="5"/>
        <v>4363063.2564958762</v>
      </c>
      <c r="K44" s="92">
        <f t="shared" si="5"/>
        <v>3592651.313029049</v>
      </c>
      <c r="L44" s="92">
        <f t="shared" si="5"/>
        <v>3231009.8224066389</v>
      </c>
      <c r="M44" s="92">
        <f t="shared" si="5"/>
        <v>7202362.7064901767</v>
      </c>
      <c r="N44" s="92">
        <f t="shared" si="5"/>
        <v>7882217.3603666127</v>
      </c>
      <c r="O44" s="92">
        <f t="shared" si="5"/>
        <v>4158328.4761342639</v>
      </c>
      <c r="P44" s="92">
        <f>SUM(P30:P43)</f>
        <v>8414882.1845966205</v>
      </c>
      <c r="Q44" s="92">
        <f t="shared" si="5"/>
        <v>10021705.627143906</v>
      </c>
      <c r="R44" s="92">
        <f t="shared" si="5"/>
        <v>7022870.9680405175</v>
      </c>
      <c r="S44" s="92">
        <f t="shared" si="5"/>
        <v>4217618.1296663294</v>
      </c>
      <c r="T44" s="92">
        <f t="shared" si="5"/>
        <v>4558677.7688401584</v>
      </c>
      <c r="U44" s="92">
        <f t="shared" si="5"/>
        <v>20374051.764682826</v>
      </c>
      <c r="V44" s="92">
        <f t="shared" si="5"/>
        <v>5797483.5074537424</v>
      </c>
      <c r="W44" s="92">
        <f t="shared" si="5"/>
        <v>5928171.9596629543</v>
      </c>
      <c r="X44" s="92">
        <f t="shared" si="5"/>
        <v>10391196.608541185</v>
      </c>
      <c r="Y44" s="92">
        <f t="shared" si="5"/>
        <v>4096250.1728541916</v>
      </c>
      <c r="Z44" s="92">
        <f t="shared" si="5"/>
        <v>6952046.3487391016</v>
      </c>
      <c r="AA44" s="92">
        <f t="shared" si="5"/>
        <v>2565394.831360559</v>
      </c>
      <c r="AB44" s="92">
        <f t="shared" si="5"/>
        <v>5626334.6692405837</v>
      </c>
      <c r="AC44" s="92">
        <f t="shared" si="5"/>
        <v>2989471.7678637858</v>
      </c>
      <c r="AD44" s="92">
        <f t="shared" si="5"/>
        <v>7377576.9170425255</v>
      </c>
      <c r="AE44" s="92">
        <f t="shared" si="5"/>
        <v>3093358.6331051295</v>
      </c>
      <c r="AF44" s="92">
        <f t="shared" si="5"/>
        <v>7841951.7381232558</v>
      </c>
      <c r="AG44" s="92">
        <f t="shared" si="5"/>
        <v>2706007.1435684646</v>
      </c>
      <c r="AH44" s="92">
        <f t="shared" si="5"/>
        <v>6432956.5608256524</v>
      </c>
      <c r="AI44" s="92">
        <f t="shared" si="5"/>
        <v>25155248.235587493</v>
      </c>
      <c r="AJ44" s="92">
        <f t="shared" si="5"/>
        <v>4765337.7828628309</v>
      </c>
      <c r="AK44" s="92">
        <f t="shared" si="5"/>
        <v>3724670.3014632016</v>
      </c>
      <c r="AL44" s="92">
        <f t="shared" si="5"/>
        <v>5664225.3671044838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2012319926.8017414</v>
      </c>
      <c r="D45" s="95">
        <f t="shared" si="6"/>
        <v>40718847.464747801</v>
      </c>
      <c r="E45" s="95">
        <f t="shared" si="6"/>
        <v>106068924.27845161</v>
      </c>
      <c r="F45" s="95">
        <f t="shared" si="6"/>
        <v>47760547.993896097</v>
      </c>
      <c r="G45" s="95">
        <f t="shared" si="6"/>
        <v>31341756.143568464</v>
      </c>
      <c r="H45" s="95">
        <f t="shared" si="6"/>
        <v>47228737.366411433</v>
      </c>
      <c r="I45" s="95">
        <f t="shared" si="6"/>
        <v>32782820.631373342</v>
      </c>
      <c r="J45" s="95">
        <f t="shared" si="6"/>
        <v>29112560.256495878</v>
      </c>
      <c r="K45" s="95">
        <f t="shared" si="6"/>
        <v>36864866.313029051</v>
      </c>
      <c r="L45" s="95">
        <f t="shared" si="6"/>
        <v>41455862.822406642</v>
      </c>
      <c r="M45" s="95">
        <f t="shared" si="6"/>
        <v>68283031.706490174</v>
      </c>
      <c r="N45" s="95">
        <f t="shared" si="6"/>
        <v>85570600.360366613</v>
      </c>
      <c r="O45" s="95">
        <f t="shared" si="6"/>
        <v>39303665.476134263</v>
      </c>
      <c r="P45" s="95">
        <f t="shared" si="6"/>
        <v>61325372.184596621</v>
      </c>
      <c r="Q45" s="95">
        <f t="shared" si="6"/>
        <v>42410365.627143905</v>
      </c>
      <c r="R45" s="95">
        <f t="shared" si="6"/>
        <v>82162246.634707183</v>
      </c>
      <c r="S45" s="95">
        <f t="shared" si="6"/>
        <v>35329501.129666328</v>
      </c>
      <c r="T45" s="95">
        <f t="shared" si="6"/>
        <v>36846785.768840156</v>
      </c>
      <c r="U45" s="95">
        <f t="shared" si="6"/>
        <v>153583211.76468283</v>
      </c>
      <c r="V45" s="95">
        <f t="shared" si="6"/>
        <v>63298618.50745374</v>
      </c>
      <c r="W45" s="95">
        <f t="shared" si="6"/>
        <v>72649549.959662959</v>
      </c>
      <c r="X45" s="95">
        <f t="shared" si="6"/>
        <v>88747686.608541191</v>
      </c>
      <c r="Y45" s="95">
        <f t="shared" si="6"/>
        <v>24726580.172854193</v>
      </c>
      <c r="Z45" s="95">
        <f t="shared" si="6"/>
        <v>52026275.348739102</v>
      </c>
      <c r="AA45" s="95">
        <f t="shared" si="6"/>
        <v>29207127.83136056</v>
      </c>
      <c r="AB45" s="95">
        <f t="shared" si="6"/>
        <v>62311643.669240586</v>
      </c>
      <c r="AC45" s="95">
        <f t="shared" si="6"/>
        <v>23763169.767863788</v>
      </c>
      <c r="AD45" s="95">
        <f t="shared" si="6"/>
        <v>62973893.917042524</v>
      </c>
      <c r="AE45" s="95">
        <f t="shared" si="6"/>
        <v>32263091.299771797</v>
      </c>
      <c r="AF45" s="95">
        <f t="shared" si="6"/>
        <v>90149455.40478991</v>
      </c>
      <c r="AG45" s="95">
        <f t="shared" si="6"/>
        <v>35085252.143568464</v>
      </c>
      <c r="AH45" s="95">
        <f t="shared" si="6"/>
        <v>67204947.560825646</v>
      </c>
      <c r="AI45" s="95">
        <f t="shared" si="6"/>
        <v>177520191.23558748</v>
      </c>
      <c r="AJ45" s="95">
        <f t="shared" si="6"/>
        <v>36789459.782862827</v>
      </c>
      <c r="AK45" s="95">
        <f t="shared" si="6"/>
        <v>36160762.301463202</v>
      </c>
      <c r="AL45" s="95">
        <f t="shared" si="6"/>
        <v>39292517.367104486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388505059.99999952</v>
      </c>
      <c r="D46" s="97">
        <f t="shared" si="7"/>
        <v>-374055</v>
      </c>
      <c r="E46" s="97">
        <f t="shared" si="7"/>
        <v>24035198</v>
      </c>
      <c r="F46" s="97">
        <f t="shared" si="7"/>
        <v>6100183</v>
      </c>
      <c r="G46" s="97">
        <f t="shared" si="7"/>
        <v>-1325749</v>
      </c>
      <c r="H46" s="97">
        <f t="shared" si="7"/>
        <v>10570015</v>
      </c>
      <c r="I46" s="97">
        <f t="shared" si="7"/>
        <v>9039967</v>
      </c>
      <c r="J46" s="97">
        <f t="shared" si="7"/>
        <v>8398503</v>
      </c>
      <c r="K46" s="97">
        <f t="shared" si="7"/>
        <v>9989785</v>
      </c>
      <c r="L46" s="97">
        <f t="shared" si="7"/>
        <v>-953853</v>
      </c>
      <c r="M46" s="97">
        <f t="shared" si="7"/>
        <v>27745331</v>
      </c>
      <c r="N46" s="97">
        <f t="shared" si="7"/>
        <v>6863617</v>
      </c>
      <c r="O46" s="97">
        <f t="shared" si="7"/>
        <v>-141337</v>
      </c>
      <c r="P46" s="97">
        <f t="shared" si="7"/>
        <v>21782510</v>
      </c>
      <c r="Q46" s="97">
        <f t="shared" si="7"/>
        <v>23791740</v>
      </c>
      <c r="R46" s="97">
        <f t="shared" si="7"/>
        <v>18083624.333333328</v>
      </c>
      <c r="S46" s="97">
        <f t="shared" si="7"/>
        <v>7964117</v>
      </c>
      <c r="T46" s="97">
        <f t="shared" si="7"/>
        <v>13633892</v>
      </c>
      <c r="U46" s="97">
        <f t="shared" si="7"/>
        <v>40475969</v>
      </c>
      <c r="V46" s="97">
        <f t="shared" si="7"/>
        <v>8123865</v>
      </c>
      <c r="W46" s="97">
        <f t="shared" si="7"/>
        <v>-1712378</v>
      </c>
      <c r="X46" s="97">
        <f t="shared" si="7"/>
        <v>11477510</v>
      </c>
      <c r="Y46" s="97">
        <f t="shared" si="7"/>
        <v>6515070</v>
      </c>
      <c r="Z46" s="97">
        <f t="shared" si="7"/>
        <v>9427771</v>
      </c>
      <c r="AA46" s="97">
        <f t="shared" si="7"/>
        <v>16351267</v>
      </c>
      <c r="AB46" s="97">
        <f t="shared" si="7"/>
        <v>12892691</v>
      </c>
      <c r="AC46" s="97">
        <f t="shared" si="7"/>
        <v>6725302</v>
      </c>
      <c r="AD46" s="97">
        <f t="shared" si="7"/>
        <v>9837683</v>
      </c>
      <c r="AE46" s="97">
        <f t="shared" si="7"/>
        <v>932267.33333333209</v>
      </c>
      <c r="AF46" s="97">
        <f t="shared" si="7"/>
        <v>2573096.3333333433</v>
      </c>
      <c r="AG46" s="97">
        <f t="shared" si="7"/>
        <v>-3850245</v>
      </c>
      <c r="AH46" s="97">
        <f t="shared" si="7"/>
        <v>6452009</v>
      </c>
      <c r="AI46" s="97">
        <f t="shared" si="7"/>
        <v>46017200</v>
      </c>
      <c r="AJ46" s="97">
        <f t="shared" si="7"/>
        <v>12154878</v>
      </c>
      <c r="AK46" s="97">
        <f t="shared" si="7"/>
        <v>7096908</v>
      </c>
      <c r="AL46" s="97">
        <f t="shared" si="7"/>
        <v>11810708</v>
      </c>
    </row>
    <row r="47" spans="1:38" s="100" customFormat="1" ht="13" x14ac:dyDescent="0.3">
      <c r="A47" s="98" t="s">
        <v>48</v>
      </c>
      <c r="B47" s="98"/>
      <c r="C47" s="62">
        <f>C4-C45</f>
        <v>164963345.19825864</v>
      </c>
      <c r="D47" s="99">
        <f t="shared" ref="D47:AL47" si="8">D4-D45</f>
        <v>-3997847.4647478014</v>
      </c>
      <c r="E47" s="99">
        <f t="shared" si="8"/>
        <v>15433075.721548393</v>
      </c>
      <c r="F47" s="99">
        <f t="shared" si="8"/>
        <v>1649452.0061039031</v>
      </c>
      <c r="G47" s="99">
        <f t="shared" si="8"/>
        <v>-4697756.1435684636</v>
      </c>
      <c r="H47" s="99">
        <f t="shared" si="8"/>
        <v>6504862.6335885674</v>
      </c>
      <c r="I47" s="99">
        <f t="shared" si="8"/>
        <v>5759179.3686266579</v>
      </c>
      <c r="J47" s="99">
        <f t="shared" si="8"/>
        <v>4035439.7435041219</v>
      </c>
      <c r="K47" s="99">
        <f t="shared" si="8"/>
        <v>6397133.6869709492</v>
      </c>
      <c r="L47" s="99">
        <f t="shared" si="8"/>
        <v>-4184862.8224066421</v>
      </c>
      <c r="M47" s="99">
        <f t="shared" si="8"/>
        <v>20542968.293509826</v>
      </c>
      <c r="N47" s="99">
        <f t="shared" si="8"/>
        <v>-1018600.3603666127</v>
      </c>
      <c r="O47" s="99">
        <f t="shared" si="8"/>
        <v>-4299665.476134263</v>
      </c>
      <c r="P47" s="99">
        <f t="shared" si="8"/>
        <v>13367627.815403379</v>
      </c>
      <c r="Q47" s="99">
        <f t="shared" si="8"/>
        <v>13770034.372856095</v>
      </c>
      <c r="R47" s="99">
        <f t="shared" si="8"/>
        <v>11060753.365292817</v>
      </c>
      <c r="S47" s="99">
        <f t="shared" si="8"/>
        <v>3746498.8703336716</v>
      </c>
      <c r="T47" s="99">
        <f t="shared" si="8"/>
        <v>9075214.2311598435</v>
      </c>
      <c r="U47" s="99">
        <f t="shared" si="8"/>
        <v>20101917.235317171</v>
      </c>
      <c r="V47" s="99">
        <f t="shared" si="8"/>
        <v>2326381.4925462604</v>
      </c>
      <c r="W47" s="99">
        <f t="shared" si="8"/>
        <v>-7640549.959662959</v>
      </c>
      <c r="X47" s="99">
        <f t="shared" si="8"/>
        <v>1086313.3914588094</v>
      </c>
      <c r="Y47" s="99">
        <f t="shared" si="8"/>
        <v>2418819.8271458074</v>
      </c>
      <c r="Z47" s="99">
        <f t="shared" si="8"/>
        <v>2475724.6512608975</v>
      </c>
      <c r="AA47" s="99">
        <f t="shared" si="8"/>
        <v>13785872.16863944</v>
      </c>
      <c r="AB47" s="99">
        <f t="shared" si="8"/>
        <v>7266356.3307594135</v>
      </c>
      <c r="AC47" s="99">
        <f t="shared" si="8"/>
        <v>3735830.2321362123</v>
      </c>
      <c r="AD47" s="99">
        <f t="shared" si="8"/>
        <v>2460106.0829574764</v>
      </c>
      <c r="AE47" s="99">
        <f t="shared" si="8"/>
        <v>-2161091.2997717969</v>
      </c>
      <c r="AF47" s="99">
        <f t="shared" si="8"/>
        <v>-5268855.4047899097</v>
      </c>
      <c r="AG47" s="99">
        <f t="shared" si="8"/>
        <v>-6556252.1435684636</v>
      </c>
      <c r="AH47" s="99">
        <f t="shared" si="8"/>
        <v>19052.439174354076</v>
      </c>
      <c r="AI47" s="99">
        <f t="shared" si="8"/>
        <v>20861951.764412522</v>
      </c>
      <c r="AJ47" s="99">
        <f t="shared" si="8"/>
        <v>7389540.2171371728</v>
      </c>
      <c r="AK47" s="99">
        <f t="shared" si="8"/>
        <v>3372237.6985367984</v>
      </c>
      <c r="AL47" s="99">
        <f t="shared" si="8"/>
        <v>6146482.6328955144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1788778212.0000005</v>
      </c>
      <c r="D48" s="61">
        <f t="shared" si="9"/>
        <v>37095055</v>
      </c>
      <c r="E48" s="61">
        <f t="shared" si="9"/>
        <v>97466802</v>
      </c>
      <c r="F48" s="61">
        <f t="shared" si="9"/>
        <v>43309817</v>
      </c>
      <c r="G48" s="61">
        <f t="shared" si="9"/>
        <v>27969749</v>
      </c>
      <c r="H48" s="61">
        <f t="shared" si="9"/>
        <v>43163585</v>
      </c>
      <c r="I48" s="61">
        <f t="shared" si="9"/>
        <v>29502033</v>
      </c>
      <c r="J48" s="61">
        <f t="shared" si="9"/>
        <v>24749497</v>
      </c>
      <c r="K48" s="61">
        <f t="shared" si="9"/>
        <v>33272215</v>
      </c>
      <c r="L48" s="61">
        <f t="shared" si="9"/>
        <v>38224853</v>
      </c>
      <c r="M48" s="61">
        <f t="shared" si="9"/>
        <v>61080669</v>
      </c>
      <c r="N48" s="61">
        <f t="shared" si="9"/>
        <v>77688383</v>
      </c>
      <c r="O48" s="61">
        <f t="shared" si="9"/>
        <v>35145337</v>
      </c>
      <c r="P48" s="61">
        <f t="shared" si="9"/>
        <v>52910490</v>
      </c>
      <c r="Q48" s="61">
        <f t="shared" si="9"/>
        <v>32388660</v>
      </c>
      <c r="R48" s="61">
        <f t="shared" si="9"/>
        <v>75139375.666666672</v>
      </c>
      <c r="S48" s="61">
        <f t="shared" si="9"/>
        <v>31111883</v>
      </c>
      <c r="T48" s="61">
        <f t="shared" si="9"/>
        <v>32288108</v>
      </c>
      <c r="U48" s="61">
        <f t="shared" si="9"/>
        <v>133209160</v>
      </c>
      <c r="V48" s="61">
        <f t="shared" si="9"/>
        <v>57501135</v>
      </c>
      <c r="W48" s="61">
        <f t="shared" si="9"/>
        <v>66721378</v>
      </c>
      <c r="X48" s="61">
        <f t="shared" si="9"/>
        <v>78356490</v>
      </c>
      <c r="Y48" s="61">
        <f t="shared" si="9"/>
        <v>20630330</v>
      </c>
      <c r="Z48" s="61">
        <f t="shared" si="9"/>
        <v>45074229</v>
      </c>
      <c r="AA48" s="61">
        <f t="shared" si="9"/>
        <v>26641733</v>
      </c>
      <c r="AB48" s="61">
        <f t="shared" si="9"/>
        <v>56685309</v>
      </c>
      <c r="AC48" s="61">
        <f t="shared" si="9"/>
        <v>20773698</v>
      </c>
      <c r="AD48" s="61">
        <f t="shared" si="9"/>
        <v>55596317</v>
      </c>
      <c r="AE48" s="61">
        <f t="shared" si="9"/>
        <v>29169732.666666668</v>
      </c>
      <c r="AF48" s="61">
        <f t="shared" si="9"/>
        <v>82307503.666666657</v>
      </c>
      <c r="AG48" s="61">
        <f t="shared" si="9"/>
        <v>32379245</v>
      </c>
      <c r="AH48" s="61">
        <f t="shared" si="9"/>
        <v>60771991</v>
      </c>
      <c r="AI48" s="61">
        <f t="shared" si="9"/>
        <v>152364943</v>
      </c>
      <c r="AJ48" s="61">
        <f t="shared" si="9"/>
        <v>32024122</v>
      </c>
      <c r="AK48" s="61">
        <f t="shared" si="9"/>
        <v>32436092</v>
      </c>
      <c r="AL48" s="61">
        <f t="shared" si="9"/>
        <v>33628292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7.5765678871324488E-2</v>
      </c>
      <c r="D49" s="101">
        <f t="shared" si="10"/>
        <v>-0.10887087673940801</v>
      </c>
      <c r="E49" s="101">
        <f t="shared" si="10"/>
        <v>0.12701910850478504</v>
      </c>
      <c r="F49" s="101">
        <f t="shared" si="10"/>
        <v>3.3382959038735137E-2</v>
      </c>
      <c r="G49" s="101">
        <f t="shared" si="10"/>
        <v>-0.17631572374900403</v>
      </c>
      <c r="H49" s="101">
        <f t="shared" si="10"/>
        <v>0.12105763681548543</v>
      </c>
      <c r="I49" s="101">
        <f t="shared" si="10"/>
        <v>0.14942606425786564</v>
      </c>
      <c r="J49" s="101">
        <f t="shared" si="10"/>
        <v>0.12174006707807777</v>
      </c>
      <c r="K49" s="101">
        <f t="shared" si="10"/>
        <v>0.14786957808171025</v>
      </c>
      <c r="L49" s="101">
        <f t="shared" si="10"/>
        <v>-0.11228201074311508</v>
      </c>
      <c r="M49" s="101">
        <f t="shared" si="10"/>
        <v>0.23127201825490087</v>
      </c>
      <c r="N49" s="101">
        <f t="shared" si="10"/>
        <v>-1.2047028578467839E-2</v>
      </c>
      <c r="O49" s="101">
        <f t="shared" si="10"/>
        <v>-0.12283354691276034</v>
      </c>
      <c r="P49" s="101">
        <f t="shared" si="10"/>
        <v>0.17896761162897967</v>
      </c>
      <c r="Q49" s="101">
        <f t="shared" si="10"/>
        <v>0.24510388628162305</v>
      </c>
      <c r="R49" s="101">
        <f t="shared" si="10"/>
        <v>0.11864833104805485</v>
      </c>
      <c r="S49" s="101">
        <f t="shared" si="10"/>
        <v>9.5877235907812247E-2</v>
      </c>
      <c r="T49" s="101">
        <f t="shared" si="10"/>
        <v>0.19762236468707467</v>
      </c>
      <c r="U49" s="101">
        <f t="shared" si="10"/>
        <v>0.11573769931285925</v>
      </c>
      <c r="V49" s="101">
        <f t="shared" si="10"/>
        <v>3.5449622743562059E-2</v>
      </c>
      <c r="W49" s="101">
        <f t="shared" si="10"/>
        <v>-0.1175306489818788</v>
      </c>
      <c r="X49" s="101">
        <f t="shared" si="10"/>
        <v>1.2092452651098798E-2</v>
      </c>
      <c r="Y49" s="101">
        <f t="shared" si="10"/>
        <v>8.9106066852793014E-2</v>
      </c>
      <c r="Z49" s="101">
        <f t="shared" si="10"/>
        <v>4.5424473436954563E-2</v>
      </c>
      <c r="AA49" s="101">
        <f t="shared" si="10"/>
        <v>0.32065387780893262</v>
      </c>
      <c r="AB49" s="101">
        <f t="shared" si="10"/>
        <v>0.10443468238177891</v>
      </c>
      <c r="AC49" s="101">
        <f t="shared" si="10"/>
        <v>0.13585331219812402</v>
      </c>
      <c r="AD49" s="101">
        <f t="shared" si="10"/>
        <v>3.7596755248914579E-2</v>
      </c>
      <c r="AE49" s="101">
        <f t="shared" si="10"/>
        <v>-7.1792282897209389E-2</v>
      </c>
      <c r="AF49" s="101">
        <f t="shared" si="10"/>
        <v>-6.2073729506976975E-2</v>
      </c>
      <c r="AG49" s="101">
        <f t="shared" si="10"/>
        <v>-0.22981009301302055</v>
      </c>
      <c r="AH49" s="101">
        <f t="shared" si="10"/>
        <v>2.8341721965896224E-4</v>
      </c>
      <c r="AI49" s="101">
        <f t="shared" si="10"/>
        <v>0.1051604315233782</v>
      </c>
      <c r="AJ49" s="101">
        <f t="shared" si="10"/>
        <v>0.16726363695731394</v>
      </c>
      <c r="AK49" s="101">
        <f t="shared" si="10"/>
        <v>8.5301841462494588E-2</v>
      </c>
      <c r="AL49" s="101">
        <f t="shared" si="10"/>
        <v>0.1352688798806205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0.17843569782407234</v>
      </c>
      <c r="D50" s="101">
        <f t="shared" si="11"/>
        <v>-1.0186405598976062E-2</v>
      </c>
      <c r="E50" s="101">
        <f t="shared" si="11"/>
        <v>0.19781730341887377</v>
      </c>
      <c r="F50" s="101">
        <f t="shared" si="11"/>
        <v>0.1234604938271605</v>
      </c>
      <c r="G50" s="101">
        <f t="shared" si="11"/>
        <v>-4.9757881699444527E-2</v>
      </c>
      <c r="H50" s="101">
        <f t="shared" si="11"/>
        <v>0.19671146172971846</v>
      </c>
      <c r="I50" s="101">
        <f t="shared" si="11"/>
        <v>0.23454846660785636</v>
      </c>
      <c r="J50" s="101">
        <f t="shared" si="11"/>
        <v>0.2533637926873416</v>
      </c>
      <c r="K50" s="101">
        <f t="shared" si="11"/>
        <v>0.23091361934261015</v>
      </c>
      <c r="L50" s="101">
        <f t="shared" si="11"/>
        <v>-2.5592364036382174E-2</v>
      </c>
      <c r="M50" s="101">
        <f t="shared" si="11"/>
        <v>0.31235596559565892</v>
      </c>
      <c r="N50" s="101">
        <f t="shared" si="11"/>
        <v>8.117628205128205E-2</v>
      </c>
      <c r="O50" s="101">
        <f t="shared" si="11"/>
        <v>-4.0377385441663811E-3</v>
      </c>
      <c r="P50" s="101">
        <f t="shared" si="11"/>
        <v>0.29162719398069431</v>
      </c>
      <c r="Q50" s="101">
        <f t="shared" si="11"/>
        <v>0.42348826281051755</v>
      </c>
      <c r="R50" s="101">
        <f t="shared" si="11"/>
        <v>0.19398243280449384</v>
      </c>
      <c r="S50" s="101">
        <f t="shared" si="11"/>
        <v>0.20381095813286929</v>
      </c>
      <c r="T50" s="101">
        <f t="shared" si="11"/>
        <v>0.29689238273594354</v>
      </c>
      <c r="U50" s="101">
        <f t="shared" si="11"/>
        <v>0.23304222550912806</v>
      </c>
      <c r="V50" s="101">
        <f t="shared" si="11"/>
        <v>0.12379222857142858</v>
      </c>
      <c r="W50" s="101">
        <f t="shared" si="11"/>
        <v>-2.6340629758956451E-2</v>
      </c>
      <c r="X50" s="101">
        <f t="shared" si="11"/>
        <v>0.12776354164347575</v>
      </c>
      <c r="Y50" s="101">
        <f t="shared" si="11"/>
        <v>0.24000640992580696</v>
      </c>
      <c r="Z50" s="101">
        <f t="shared" si="11"/>
        <v>0.17298027595317603</v>
      </c>
      <c r="AA50" s="101">
        <f t="shared" si="11"/>
        <v>0.38032393645477169</v>
      </c>
      <c r="AB50" s="101">
        <f t="shared" si="11"/>
        <v>0.18529838454683953</v>
      </c>
      <c r="AC50" s="101">
        <f t="shared" si="11"/>
        <v>0.24456532964835084</v>
      </c>
      <c r="AD50" s="101">
        <f t="shared" si="11"/>
        <v>0.15034512638689365</v>
      </c>
      <c r="AE50" s="101">
        <f t="shared" si="11"/>
        <v>3.0970278829756562E-2</v>
      </c>
      <c r="AF50" s="101">
        <f t="shared" si="11"/>
        <v>3.0314304250127159E-2</v>
      </c>
      <c r="AG50" s="101">
        <f t="shared" si="11"/>
        <v>-0.13495898909881174</v>
      </c>
      <c r="AH50" s="101">
        <f t="shared" si="11"/>
        <v>9.5977760918719499E-2</v>
      </c>
      <c r="AI50" s="101">
        <f t="shared" si="11"/>
        <v>0.23196241004413387</v>
      </c>
      <c r="AJ50" s="101">
        <f t="shared" si="11"/>
        <v>0.2751279567215193</v>
      </c>
      <c r="AK50" s="101">
        <f t="shared" si="11"/>
        <v>0.17951857941466623</v>
      </c>
      <c r="AL50" s="101">
        <f t="shared" si="11"/>
        <v>0.25992447016879772</v>
      </c>
    </row>
    <row r="51" spans="1:38" s="104" customFormat="1" ht="13" x14ac:dyDescent="0.3">
      <c r="A51" s="101" t="s">
        <v>51</v>
      </c>
      <c r="B51" s="102"/>
      <c r="C51" s="103">
        <f>C47/C48</f>
        <v>9.222124022508979E-2</v>
      </c>
      <c r="D51" s="101">
        <f t="shared" ref="D51:AL51" si="12">D47/D48</f>
        <v>-0.10777305667151056</v>
      </c>
      <c r="E51" s="101">
        <f t="shared" si="12"/>
        <v>0.15834187030727029</v>
      </c>
      <c r="F51" s="101">
        <f t="shared" si="12"/>
        <v>3.808494517776196E-2</v>
      </c>
      <c r="G51" s="101">
        <f t="shared" si="12"/>
        <v>-0.16795846625468336</v>
      </c>
      <c r="H51" s="101">
        <f t="shared" si="12"/>
        <v>0.15070255711124475</v>
      </c>
      <c r="I51" s="101">
        <f t="shared" si="12"/>
        <v>0.19521296612428907</v>
      </c>
      <c r="J51" s="101">
        <f t="shared" si="12"/>
        <v>0.16305138417577222</v>
      </c>
      <c r="K51" s="101">
        <f t="shared" si="12"/>
        <v>0.19226654092524195</v>
      </c>
      <c r="L51" s="101">
        <f t="shared" si="12"/>
        <v>-0.10948015476754462</v>
      </c>
      <c r="M51" s="101">
        <f t="shared" si="12"/>
        <v>0.33632520124345439</v>
      </c>
      <c r="N51" s="101">
        <f t="shared" si="12"/>
        <v>-1.3111360039075761E-2</v>
      </c>
      <c r="O51" s="101">
        <f t="shared" si="12"/>
        <v>-0.12233957170859573</v>
      </c>
      <c r="P51" s="101">
        <f t="shared" si="12"/>
        <v>0.25264607860186855</v>
      </c>
      <c r="Q51" s="101">
        <f t="shared" si="12"/>
        <v>0.4251498633427902</v>
      </c>
      <c r="R51" s="101">
        <f t="shared" si="12"/>
        <v>0.14720315769405026</v>
      </c>
      <c r="S51" s="101">
        <f t="shared" si="12"/>
        <v>0.12042019026407599</v>
      </c>
      <c r="T51" s="101">
        <f t="shared" si="12"/>
        <v>0.28106986730717837</v>
      </c>
      <c r="U51" s="101">
        <f t="shared" si="12"/>
        <v>0.150904917014094</v>
      </c>
      <c r="V51" s="101">
        <f t="shared" si="12"/>
        <v>4.0458009960086187E-2</v>
      </c>
      <c r="W51" s="101">
        <f t="shared" si="12"/>
        <v>-0.11451427096818892</v>
      </c>
      <c r="X51" s="101">
        <f t="shared" si="12"/>
        <v>1.3863732174052327E-2</v>
      </c>
      <c r="Y51" s="101">
        <f t="shared" si="12"/>
        <v>0.1172458136707366</v>
      </c>
      <c r="Z51" s="101">
        <f t="shared" si="12"/>
        <v>5.4925501915094266E-2</v>
      </c>
      <c r="AA51" s="101">
        <f t="shared" si="12"/>
        <v>0.51745403231236642</v>
      </c>
      <c r="AB51" s="101">
        <f t="shared" si="12"/>
        <v>0.12818764612819547</v>
      </c>
      <c r="AC51" s="101">
        <f t="shared" si="12"/>
        <v>0.1798346270431106</v>
      </c>
      <c r="AD51" s="101">
        <f t="shared" si="12"/>
        <v>4.4249443411107182E-2</v>
      </c>
      <c r="AE51" s="101">
        <f t="shared" si="12"/>
        <v>-7.4086770847967207E-2</v>
      </c>
      <c r="AF51" s="101">
        <f t="shared" si="12"/>
        <v>-6.4014277800575795E-2</v>
      </c>
      <c r="AG51" s="101">
        <f t="shared" si="12"/>
        <v>-0.20248316918966033</v>
      </c>
      <c r="AH51" s="101">
        <f t="shared" si="12"/>
        <v>3.1350691101027244E-4</v>
      </c>
      <c r="AI51" s="101">
        <f t="shared" si="12"/>
        <v>0.13692094358222889</v>
      </c>
      <c r="AJ51" s="101">
        <f t="shared" si="12"/>
        <v>0.23074919016162793</v>
      </c>
      <c r="AK51" s="101">
        <f t="shared" si="12"/>
        <v>0.10396559790670215</v>
      </c>
      <c r="AL51" s="101">
        <f t="shared" si="12"/>
        <v>0.18277712804728574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0.42461054483629851</v>
      </c>
      <c r="D52" s="101">
        <f t="shared" si="13"/>
        <v>10.687859979809925</v>
      </c>
      <c r="E52" s="101">
        <f t="shared" si="13"/>
        <v>0.64210312399125624</v>
      </c>
      <c r="F52" s="101">
        <f t="shared" si="13"/>
        <v>0.27039385639806268</v>
      </c>
      <c r="G52" s="101">
        <f t="shared" si="13"/>
        <v>3.54347326950159</v>
      </c>
      <c r="H52" s="101">
        <f t="shared" si="13"/>
        <v>0.61540713363117905</v>
      </c>
      <c r="I52" s="101">
        <f t="shared" si="13"/>
        <v>0.6370796894088947</v>
      </c>
      <c r="J52" s="101">
        <f t="shared" si="13"/>
        <v>0.48049512436967895</v>
      </c>
      <c r="K52" s="101">
        <f t="shared" si="13"/>
        <v>0.64036750410253562</v>
      </c>
      <c r="L52" s="101">
        <f t="shared" si="13"/>
        <v>4.3873246951119746</v>
      </c>
      <c r="M52" s="101">
        <f t="shared" si="13"/>
        <v>0.74041172165182767</v>
      </c>
      <c r="N52" s="101">
        <f t="shared" si="13"/>
        <v>-0.14840576919816661</v>
      </c>
      <c r="O52" s="101">
        <f t="shared" si="13"/>
        <v>30.421372154030884</v>
      </c>
      <c r="P52" s="101">
        <f t="shared" si="13"/>
        <v>0.61368629305820954</v>
      </c>
      <c r="Q52" s="101">
        <f t="shared" si="13"/>
        <v>0.57877374134283976</v>
      </c>
      <c r="R52" s="101">
        <f t="shared" si="13"/>
        <v>0.61164472129100045</v>
      </c>
      <c r="S52" s="101">
        <f t="shared" si="13"/>
        <v>0.4704223795724839</v>
      </c>
      <c r="T52" s="101">
        <f t="shared" si="13"/>
        <v>0.66563635909392882</v>
      </c>
      <c r="U52" s="101">
        <f t="shared" si="13"/>
        <v>0.4966383197723363</v>
      </c>
      <c r="V52" s="101">
        <f t="shared" si="13"/>
        <v>0.286363878836768</v>
      </c>
      <c r="W52" s="101">
        <f t="shared" si="13"/>
        <v>4.461952886373779</v>
      </c>
      <c r="X52" s="101">
        <f t="shared" si="13"/>
        <v>9.4647130907209789E-2</v>
      </c>
      <c r="Y52" s="101">
        <f t="shared" si="13"/>
        <v>0.37126536278901184</v>
      </c>
      <c r="Z52" s="101">
        <f t="shared" si="13"/>
        <v>0.26259915002824075</v>
      </c>
      <c r="AA52" s="101">
        <f t="shared" si="13"/>
        <v>0.84310727533465391</v>
      </c>
      <c r="AB52" s="101">
        <f t="shared" si="13"/>
        <v>0.56360276770453999</v>
      </c>
      <c r="AC52" s="101">
        <f t="shared" si="13"/>
        <v>0.55548884379262264</v>
      </c>
      <c r="AD52" s="101">
        <f t="shared" si="13"/>
        <v>0.25006966406190118</v>
      </c>
      <c r="AE52" s="101">
        <f t="shared" si="13"/>
        <v>-2.3181025683317587</v>
      </c>
      <c r="AF52" s="101">
        <f t="shared" si="13"/>
        <v>-2.047671257595054</v>
      </c>
      <c r="AG52" s="101">
        <f t="shared" si="13"/>
        <v>1.7028142737847756</v>
      </c>
      <c r="AH52" s="101">
        <f t="shared" si="13"/>
        <v>2.952946775857578E-3</v>
      </c>
      <c r="AI52" s="101">
        <f t="shared" si="13"/>
        <v>0.45335117661249535</v>
      </c>
      <c r="AJ52" s="101">
        <f t="shared" si="13"/>
        <v>0.60794853038732044</v>
      </c>
      <c r="AK52" s="101">
        <f t="shared" si="13"/>
        <v>0.47516998931602306</v>
      </c>
      <c r="AL52" s="101">
        <f t="shared" si="13"/>
        <v>0.5204161031578729</v>
      </c>
    </row>
    <row r="53" spans="1:38" s="108" customFormat="1" ht="13" x14ac:dyDescent="0.3">
      <c r="A53" s="106" t="s">
        <v>53</v>
      </c>
      <c r="B53" s="107"/>
      <c r="C53" s="87">
        <f>C45/C46</f>
        <v>5.1796492092065511</v>
      </c>
      <c r="D53" s="106">
        <f t="shared" ref="D53:AL53" si="14">D45/D46</f>
        <v>-108.85791518559517</v>
      </c>
      <c r="E53" s="106">
        <f t="shared" si="14"/>
        <v>4.4130663819974192</v>
      </c>
      <c r="F53" s="106">
        <f t="shared" si="14"/>
        <v>7.8293631508917185</v>
      </c>
      <c r="G53" s="106">
        <f t="shared" si="14"/>
        <v>-23.640791841870868</v>
      </c>
      <c r="H53" s="106">
        <f t="shared" si="14"/>
        <v>4.4681807326112057</v>
      </c>
      <c r="I53" s="106">
        <f t="shared" si="14"/>
        <v>3.6264314495145107</v>
      </c>
      <c r="J53" s="106">
        <f t="shared" si="14"/>
        <v>3.4663987446924622</v>
      </c>
      <c r="K53" s="106">
        <f t="shared" si="14"/>
        <v>3.6902562280398477</v>
      </c>
      <c r="L53" s="106">
        <f t="shared" si="14"/>
        <v>-43.46147972738634</v>
      </c>
      <c r="M53" s="106">
        <f t="shared" si="14"/>
        <v>2.4610638707640637</v>
      </c>
      <c r="N53" s="106">
        <f t="shared" si="14"/>
        <v>12.467274960180122</v>
      </c>
      <c r="O53" s="106">
        <f t="shared" si="14"/>
        <v>-278.08475824542944</v>
      </c>
      <c r="P53" s="106">
        <f t="shared" si="14"/>
        <v>2.8153492037692911</v>
      </c>
      <c r="Q53" s="106">
        <f t="shared" si="14"/>
        <v>1.782566791127673</v>
      </c>
      <c r="R53" s="106">
        <f t="shared" si="14"/>
        <v>4.5434612619804593</v>
      </c>
      <c r="S53" s="106">
        <f t="shared" si="14"/>
        <v>4.4360851466228244</v>
      </c>
      <c r="T53" s="106">
        <f t="shared" si="14"/>
        <v>2.7025874760369346</v>
      </c>
      <c r="U53" s="106">
        <f t="shared" si="14"/>
        <v>3.7944295234706509</v>
      </c>
      <c r="V53" s="106">
        <f t="shared" si="14"/>
        <v>7.7916876397445973</v>
      </c>
      <c r="W53" s="106">
        <f t="shared" si="14"/>
        <v>-42.42611734071739</v>
      </c>
      <c r="X53" s="106">
        <f t="shared" si="14"/>
        <v>7.7323118523565819</v>
      </c>
      <c r="Y53" s="106">
        <f t="shared" si="14"/>
        <v>3.7952900234155877</v>
      </c>
      <c r="Z53" s="106">
        <f t="shared" si="14"/>
        <v>5.5184067738534486</v>
      </c>
      <c r="AA53" s="106">
        <f t="shared" si="14"/>
        <v>1.7862302555123442</v>
      </c>
      <c r="AB53" s="106">
        <f t="shared" si="14"/>
        <v>4.8330983554356948</v>
      </c>
      <c r="AC53" s="106">
        <f t="shared" si="14"/>
        <v>3.5333981682701814</v>
      </c>
      <c r="AD53" s="106">
        <f t="shared" si="14"/>
        <v>6.4012932635705502</v>
      </c>
      <c r="AE53" s="106">
        <f t="shared" si="14"/>
        <v>34.60712410078208</v>
      </c>
      <c r="AF53" s="106">
        <f t="shared" si="14"/>
        <v>35.035398495168231</v>
      </c>
      <c r="AG53" s="106">
        <f t="shared" si="14"/>
        <v>-9.1124726202016912</v>
      </c>
      <c r="AH53" s="106">
        <f t="shared" si="14"/>
        <v>10.416127373787861</v>
      </c>
      <c r="AI53" s="106">
        <f t="shared" si="14"/>
        <v>3.8576921506651312</v>
      </c>
      <c r="AJ53" s="106">
        <f t="shared" si="14"/>
        <v>3.0267239031821487</v>
      </c>
      <c r="AK53" s="106">
        <f t="shared" si="14"/>
        <v>5.0952840732137439</v>
      </c>
      <c r="AL53" s="106">
        <f t="shared" si="14"/>
        <v>3.3268553728620236</v>
      </c>
    </row>
    <row r="54" spans="1:38" s="110" customFormat="1" x14ac:dyDescent="0.3">
      <c r="A54" s="109" t="s">
        <v>54</v>
      </c>
      <c r="C54" s="111">
        <f t="shared" ref="C54:AL54" si="15">C48/C4</f>
        <v>0.82156430217592769</v>
      </c>
      <c r="D54" s="112">
        <f t="shared" si="15"/>
        <v>1.010186405598976</v>
      </c>
      <c r="E54" s="112">
        <f t="shared" si="15"/>
        <v>0.80218269658112629</v>
      </c>
      <c r="F54" s="112">
        <f t="shared" si="15"/>
        <v>0.87653950617283949</v>
      </c>
      <c r="G54" s="112">
        <f t="shared" si="15"/>
        <v>1.0497578816994446</v>
      </c>
      <c r="H54" s="112">
        <f t="shared" si="15"/>
        <v>0.80328853827028157</v>
      </c>
      <c r="I54" s="112">
        <f t="shared" si="15"/>
        <v>0.76545153339214367</v>
      </c>
      <c r="J54" s="112">
        <f t="shared" si="15"/>
        <v>0.74663620731265834</v>
      </c>
      <c r="K54" s="112">
        <f t="shared" si="15"/>
        <v>0.76908638065738988</v>
      </c>
      <c r="L54" s="112">
        <f t="shared" si="15"/>
        <v>1.0255923640363822</v>
      </c>
      <c r="M54" s="112">
        <f t="shared" si="15"/>
        <v>0.68764403440434108</v>
      </c>
      <c r="N54" s="112">
        <f t="shared" si="15"/>
        <v>0.91882371794871798</v>
      </c>
      <c r="O54" s="112">
        <f t="shared" si="15"/>
        <v>1.0040377385441663</v>
      </c>
      <c r="P54" s="112">
        <f t="shared" si="15"/>
        <v>0.70837280601930575</v>
      </c>
      <c r="Q54" s="112">
        <f t="shared" si="15"/>
        <v>0.57651173718948245</v>
      </c>
      <c r="R54" s="112">
        <f t="shared" si="15"/>
        <v>0.80601756719550621</v>
      </c>
      <c r="S54" s="112">
        <f t="shared" si="15"/>
        <v>0.79618904186713069</v>
      </c>
      <c r="T54" s="112">
        <f t="shared" si="15"/>
        <v>0.70310761726405646</v>
      </c>
      <c r="U54" s="112">
        <f t="shared" si="15"/>
        <v>0.76695777449087188</v>
      </c>
      <c r="V54" s="112">
        <f t="shared" si="15"/>
        <v>0.87620777142857142</v>
      </c>
      <c r="W54" s="112">
        <f t="shared" si="15"/>
        <v>1.0263406297589563</v>
      </c>
      <c r="X54" s="112">
        <f t="shared" si="15"/>
        <v>0.8722364583565243</v>
      </c>
      <c r="Y54" s="112">
        <f t="shared" si="15"/>
        <v>0.75999359007419309</v>
      </c>
      <c r="Z54" s="112">
        <f t="shared" si="15"/>
        <v>0.827019724046824</v>
      </c>
      <c r="AA54" s="112">
        <f t="shared" si="15"/>
        <v>0.61967606354522831</v>
      </c>
      <c r="AB54" s="112">
        <f t="shared" si="15"/>
        <v>0.81470161545316044</v>
      </c>
      <c r="AC54" s="112">
        <f t="shared" si="15"/>
        <v>0.75543467035164913</v>
      </c>
      <c r="AD54" s="112">
        <f t="shared" si="15"/>
        <v>0.84965487361310632</v>
      </c>
      <c r="AE54" s="112">
        <f t="shared" si="15"/>
        <v>0.96902972117024344</v>
      </c>
      <c r="AF54" s="112">
        <f t="shared" si="15"/>
        <v>0.96968569574987284</v>
      </c>
      <c r="AG54" s="112">
        <f t="shared" si="15"/>
        <v>1.1349589890988117</v>
      </c>
      <c r="AH54" s="112">
        <f t="shared" si="15"/>
        <v>0.90402223908128054</v>
      </c>
      <c r="AI54" s="112">
        <f t="shared" si="15"/>
        <v>0.76803758995586613</v>
      </c>
      <c r="AJ54" s="112">
        <f t="shared" si="15"/>
        <v>0.72487204327848076</v>
      </c>
      <c r="AK54" s="112">
        <f t="shared" si="15"/>
        <v>0.8204814205853338</v>
      </c>
      <c r="AL54" s="112">
        <f t="shared" si="15"/>
        <v>0.74007552983120228</v>
      </c>
    </row>
    <row r="55" spans="1:38" s="110" customFormat="1" x14ac:dyDescent="0.3">
      <c r="A55" s="109" t="s">
        <v>55</v>
      </c>
      <c r="C55" s="111">
        <f t="shared" ref="C55:AL55" si="16">C44/C4</f>
        <v>0.10267001895274785</v>
      </c>
      <c r="D55" s="112">
        <f t="shared" si="16"/>
        <v>9.8684471140432009E-2</v>
      </c>
      <c r="E55" s="112">
        <f t="shared" si="16"/>
        <v>7.079819491408873E-2</v>
      </c>
      <c r="F55" s="112">
        <f t="shared" si="16"/>
        <v>9.007753478842534E-2</v>
      </c>
      <c r="G55" s="112">
        <f t="shared" si="16"/>
        <v>0.12655784204955955</v>
      </c>
      <c r="H55" s="112">
        <f t="shared" si="16"/>
        <v>7.5653824914232989E-2</v>
      </c>
      <c r="I55" s="112">
        <f t="shared" si="16"/>
        <v>8.5122402349990731E-2</v>
      </c>
      <c r="J55" s="112">
        <f t="shared" si="16"/>
        <v>0.1316237256092638</v>
      </c>
      <c r="K55" s="112">
        <f t="shared" si="16"/>
        <v>8.3044041260899842E-2</v>
      </c>
      <c r="L55" s="112">
        <f t="shared" si="16"/>
        <v>8.668964670673282E-2</v>
      </c>
      <c r="M55" s="112">
        <f t="shared" si="16"/>
        <v>8.1083947340758078E-2</v>
      </c>
      <c r="N55" s="112">
        <f t="shared" si="16"/>
        <v>9.3223310629749895E-2</v>
      </c>
      <c r="O55" s="112">
        <f t="shared" si="16"/>
        <v>0.11879580836859399</v>
      </c>
      <c r="P55" s="112">
        <f t="shared" si="16"/>
        <v>0.11265958235171462</v>
      </c>
      <c r="Q55" s="112">
        <f t="shared" si="16"/>
        <v>0.17838437652889452</v>
      </c>
      <c r="R55" s="112">
        <f t="shared" si="16"/>
        <v>7.5334101756439051E-2</v>
      </c>
      <c r="S55" s="112">
        <f t="shared" si="16"/>
        <v>0.10793372222505705</v>
      </c>
      <c r="T55" s="112">
        <f t="shared" si="16"/>
        <v>9.927001804886891E-2</v>
      </c>
      <c r="U55" s="112">
        <f t="shared" si="16"/>
        <v>0.1173045261962688</v>
      </c>
      <c r="V55" s="112">
        <f t="shared" si="16"/>
        <v>8.8342605827866558E-2</v>
      </c>
      <c r="W55" s="112">
        <f t="shared" si="16"/>
        <v>9.1190019222922275E-2</v>
      </c>
      <c r="X55" s="112">
        <f t="shared" si="16"/>
        <v>0.11567108899237688</v>
      </c>
      <c r="Y55" s="112">
        <f t="shared" si="16"/>
        <v>0.15090034307301389</v>
      </c>
      <c r="Z55" s="112">
        <f t="shared" si="16"/>
        <v>0.12755580251622145</v>
      </c>
      <c r="AA55" s="112">
        <f t="shared" si="16"/>
        <v>5.9670058645839068E-2</v>
      </c>
      <c r="AB55" s="112">
        <f t="shared" si="16"/>
        <v>8.0863702165060558E-2</v>
      </c>
      <c r="AC55" s="112">
        <f t="shared" si="16"/>
        <v>0.10871201745022677</v>
      </c>
      <c r="AD55" s="112">
        <f t="shared" si="16"/>
        <v>0.11274837113797911</v>
      </c>
      <c r="AE55" s="112">
        <f t="shared" si="16"/>
        <v>0.10276256172696596</v>
      </c>
      <c r="AF55" s="112">
        <f t="shared" si="16"/>
        <v>9.2388033757104165E-2</v>
      </c>
      <c r="AG55" s="112">
        <f t="shared" si="16"/>
        <v>9.4851103914208854E-2</v>
      </c>
      <c r="AH55" s="112">
        <f t="shared" si="16"/>
        <v>9.5694343699060644E-2</v>
      </c>
      <c r="AI55" s="112">
        <f t="shared" si="16"/>
        <v>0.12680197852075573</v>
      </c>
      <c r="AJ55" s="112">
        <f t="shared" si="16"/>
        <v>0.10786431976420541</v>
      </c>
      <c r="AK55" s="112">
        <f t="shared" si="16"/>
        <v>9.4216737952171642E-2</v>
      </c>
      <c r="AL55" s="112">
        <f t="shared" si="16"/>
        <v>0.1246555902881772</v>
      </c>
    </row>
    <row r="56" spans="1:38" s="110" customFormat="1" x14ac:dyDescent="0.3">
      <c r="A56" s="113" t="s">
        <v>56</v>
      </c>
      <c r="C56" s="111">
        <f t="shared" ref="C56:AL56" si="17">C45/C4</f>
        <v>0.92423432112867554</v>
      </c>
      <c r="D56" s="112">
        <f t="shared" si="17"/>
        <v>1.108870876739408</v>
      </c>
      <c r="E56" s="112">
        <f t="shared" si="17"/>
        <v>0.87298089149521496</v>
      </c>
      <c r="F56" s="112">
        <f t="shared" si="17"/>
        <v>0.96661704096126488</v>
      </c>
      <c r="G56" s="112">
        <f t="shared" si="17"/>
        <v>1.1763157237490041</v>
      </c>
      <c r="H56" s="112">
        <f t="shared" si="17"/>
        <v>0.87894236318451457</v>
      </c>
      <c r="I56" s="112">
        <f t="shared" si="17"/>
        <v>0.85057393574213436</v>
      </c>
      <c r="J56" s="112">
        <f t="shared" si="17"/>
        <v>0.87825993292192228</v>
      </c>
      <c r="K56" s="112">
        <f t="shared" si="17"/>
        <v>0.85213042191828969</v>
      </c>
      <c r="L56" s="112">
        <f t="shared" si="17"/>
        <v>1.1122820107431151</v>
      </c>
      <c r="M56" s="112">
        <f t="shared" si="17"/>
        <v>0.76872798174509915</v>
      </c>
      <c r="N56" s="112">
        <f t="shared" si="17"/>
        <v>1.0120470285784677</v>
      </c>
      <c r="O56" s="112">
        <f t="shared" si="17"/>
        <v>1.1228335469127604</v>
      </c>
      <c r="P56" s="112">
        <f t="shared" si="17"/>
        <v>0.82103238837102033</v>
      </c>
      <c r="Q56" s="112">
        <f t="shared" si="17"/>
        <v>0.75489611371837695</v>
      </c>
      <c r="R56" s="112">
        <f t="shared" si="17"/>
        <v>0.88135166895194517</v>
      </c>
      <c r="S56" s="112">
        <f t="shared" si="17"/>
        <v>0.90412276409218773</v>
      </c>
      <c r="T56" s="112">
        <f t="shared" si="17"/>
        <v>0.80237763531292527</v>
      </c>
      <c r="U56" s="112">
        <f t="shared" si="17"/>
        <v>0.88426230068714073</v>
      </c>
      <c r="V56" s="112">
        <f t="shared" si="17"/>
        <v>0.96455037725643789</v>
      </c>
      <c r="W56" s="112">
        <f t="shared" si="17"/>
        <v>1.1175306489818788</v>
      </c>
      <c r="X56" s="112">
        <f t="shared" si="17"/>
        <v>0.98790754734890118</v>
      </c>
      <c r="Y56" s="112">
        <f t="shared" si="17"/>
        <v>0.91089393314720701</v>
      </c>
      <c r="Z56" s="112">
        <f t="shared" si="17"/>
        <v>0.95457552656304545</v>
      </c>
      <c r="AA56" s="112">
        <f t="shared" si="17"/>
        <v>0.67934612219106738</v>
      </c>
      <c r="AB56" s="112">
        <f t="shared" si="17"/>
        <v>0.89556531761822111</v>
      </c>
      <c r="AC56" s="112">
        <f t="shared" si="17"/>
        <v>0.86414668780187598</v>
      </c>
      <c r="AD56" s="112">
        <f t="shared" si="17"/>
        <v>0.96240324475108541</v>
      </c>
      <c r="AE56" s="112">
        <f t="shared" si="17"/>
        <v>1.0717922828972093</v>
      </c>
      <c r="AF56" s="112">
        <f t="shared" si="17"/>
        <v>1.0620737295069769</v>
      </c>
      <c r="AG56" s="112">
        <f t="shared" si="17"/>
        <v>1.2298100930130205</v>
      </c>
      <c r="AH56" s="112">
        <f t="shared" si="17"/>
        <v>0.99971658278034103</v>
      </c>
      <c r="AI56" s="112">
        <f t="shared" si="17"/>
        <v>0.89483956847662183</v>
      </c>
      <c r="AJ56" s="112">
        <f t="shared" si="17"/>
        <v>0.83273636304268606</v>
      </c>
      <c r="AK56" s="112">
        <f t="shared" si="17"/>
        <v>0.91469815853750547</v>
      </c>
      <c r="AL56" s="112">
        <f t="shared" si="17"/>
        <v>0.86473112011937947</v>
      </c>
    </row>
    <row r="57" spans="1:38" s="110" customFormat="1" x14ac:dyDescent="0.3">
      <c r="A57" s="113" t="s">
        <v>104</v>
      </c>
      <c r="C57" s="111">
        <f t="shared" ref="C57:AL57" si="18">SUM(C30:C39)/C44</f>
        <v>0.52838647299583807</v>
      </c>
      <c r="D57" s="112">
        <f t="shared" si="18"/>
        <v>0.54669003468198174</v>
      </c>
      <c r="E57" s="112">
        <f t="shared" si="18"/>
        <v>0.59650158321665681</v>
      </c>
      <c r="F57" s="112">
        <f t="shared" si="18"/>
        <v>0.57462235160608632</v>
      </c>
      <c r="G57" s="112">
        <f t="shared" si="18"/>
        <v>0.36650164182303546</v>
      </c>
      <c r="H57" s="112">
        <f t="shared" si="18"/>
        <v>0.52770992577630826</v>
      </c>
      <c r="I57" s="112">
        <f t="shared" si="18"/>
        <v>0.61528720202981391</v>
      </c>
      <c r="J57" s="112">
        <f t="shared" si="18"/>
        <v>0.51411863907614797</v>
      </c>
      <c r="K57" s="112">
        <f t="shared" si="18"/>
        <v>0.60476790282609061</v>
      </c>
      <c r="L57" s="112">
        <f t="shared" si="18"/>
        <v>0.46287029270827224</v>
      </c>
      <c r="M57" s="112">
        <f t="shared" si="18"/>
        <v>0.58379875166848039</v>
      </c>
      <c r="N57" s="112">
        <f t="shared" si="18"/>
        <v>0.48014214011192996</v>
      </c>
      <c r="O57" s="112">
        <f t="shared" si="18"/>
        <v>0.45412414485993613</v>
      </c>
      <c r="P57" s="112">
        <f t="shared" si="18"/>
        <v>0.52493305768496312</v>
      </c>
      <c r="Q57" s="112">
        <f t="shared" si="18"/>
        <v>0.41655718859001911</v>
      </c>
      <c r="R57" s="112">
        <f t="shared" si="18"/>
        <v>0.54749813285935822</v>
      </c>
      <c r="S57" s="112">
        <f t="shared" si="18"/>
        <v>0.55426711118301308</v>
      </c>
      <c r="T57" s="112">
        <f t="shared" si="18"/>
        <v>0.56945822099334675</v>
      </c>
      <c r="U57" s="112">
        <f t="shared" si="18"/>
        <v>0.64880502016008423</v>
      </c>
      <c r="V57" s="112">
        <f t="shared" si="18"/>
        <v>0.58489716241922651</v>
      </c>
      <c r="W57" s="112">
        <f t="shared" si="18"/>
        <v>0.47803094169258259</v>
      </c>
      <c r="X57" s="112">
        <f t="shared" si="18"/>
        <v>0.5042454977061801</v>
      </c>
      <c r="Y57" s="112">
        <f t="shared" si="18"/>
        <v>0.37830442032018208</v>
      </c>
      <c r="Z57" s="112">
        <f t="shared" si="18"/>
        <v>0.43886852493235046</v>
      </c>
      <c r="AA57" s="112">
        <f t="shared" si="18"/>
        <v>0.63100387888180443</v>
      </c>
      <c r="AB57" s="112">
        <f t="shared" si="18"/>
        <v>0.54659440693861117</v>
      </c>
      <c r="AC57" s="112">
        <f t="shared" si="18"/>
        <v>0.63057324125548087</v>
      </c>
      <c r="AD57" s="112">
        <f t="shared" si="18"/>
        <v>0.49917677325150883</v>
      </c>
      <c r="AE57" s="112">
        <f t="shared" si="18"/>
        <v>0.59197715528229755</v>
      </c>
      <c r="AF57" s="112">
        <f t="shared" si="18"/>
        <v>0.51218745016855394</v>
      </c>
      <c r="AG57" s="112">
        <f t="shared" si="18"/>
        <v>0.45966107566019287</v>
      </c>
      <c r="AH57" s="112">
        <f t="shared" si="18"/>
        <v>0.89052535385640175</v>
      </c>
      <c r="AI57" s="112">
        <f t="shared" si="18"/>
        <v>0.42999940157883432</v>
      </c>
      <c r="AJ57" s="112">
        <f t="shared" si="18"/>
        <v>0.53088921246984722</v>
      </c>
      <c r="AK57" s="112">
        <f t="shared" si="18"/>
        <v>0.55508518738944002</v>
      </c>
      <c r="AL57" s="112">
        <f t="shared" si="18"/>
        <v>0.37199512076383828</v>
      </c>
    </row>
    <row r="58" spans="1:38" s="110" customFormat="1" x14ac:dyDescent="0.3">
      <c r="A58" s="113" t="s">
        <v>58</v>
      </c>
      <c r="C58" s="111">
        <f>C41/C44</f>
        <v>7.038049907703238E-2</v>
      </c>
      <c r="D58" s="112">
        <f t="shared" ref="D58:AL58" si="19">D41/D44</f>
        <v>1.7979375917568912E-2</v>
      </c>
      <c r="E58" s="112">
        <f t="shared" si="19"/>
        <v>1.6663069263170315E-2</v>
      </c>
      <c r="F58" s="112">
        <f t="shared" si="19"/>
        <v>1.7566604782982862E-2</v>
      </c>
      <c r="G58" s="112">
        <f t="shared" si="19"/>
        <v>1.5457506273727498E-2</v>
      </c>
      <c r="H58" s="112">
        <f t="shared" si="19"/>
        <v>1.442459445268532E-2</v>
      </c>
      <c r="I58" s="112">
        <f t="shared" si="19"/>
        <v>1.5887289100436162E-2</v>
      </c>
      <c r="J58" s="112">
        <f t="shared" si="19"/>
        <v>1.3439680065732812E-2</v>
      </c>
      <c r="K58" s="112">
        <f t="shared" si="19"/>
        <v>1.6321699259041002E-2</v>
      </c>
      <c r="L58" s="112">
        <f t="shared" si="19"/>
        <v>2.2181572823157421E-2</v>
      </c>
      <c r="M58" s="112">
        <f t="shared" si="19"/>
        <v>1.718765164843231E-2</v>
      </c>
      <c r="N58" s="112">
        <f t="shared" si="19"/>
        <v>0.142573079201121</v>
      </c>
      <c r="O58" s="112">
        <f t="shared" si="19"/>
        <v>1.4101381026149992E-2</v>
      </c>
      <c r="P58" s="112">
        <f t="shared" si="19"/>
        <v>1.4711043901649993E-2</v>
      </c>
      <c r="Q58" s="112">
        <f t="shared" si="19"/>
        <v>0.26300523065265563</v>
      </c>
      <c r="R58" s="112">
        <f t="shared" si="19"/>
        <v>1.6699203086802495E-2</v>
      </c>
      <c r="S58" s="112">
        <f t="shared" si="19"/>
        <v>1.3903149235205414E-2</v>
      </c>
      <c r="T58" s="112">
        <f t="shared" si="19"/>
        <v>1.4292198368635965E-2</v>
      </c>
      <c r="U58" s="112">
        <f t="shared" si="19"/>
        <v>1.2151898176620777E-2</v>
      </c>
      <c r="V58" s="112">
        <f t="shared" si="19"/>
        <v>1.6857364118549208E-2</v>
      </c>
      <c r="W58" s="112">
        <f t="shared" si="19"/>
        <v>0.11373590452297443</v>
      </c>
      <c r="X58" s="112">
        <f t="shared" si="19"/>
        <v>0.12860578529536765</v>
      </c>
      <c r="Y58" s="112">
        <f t="shared" si="19"/>
        <v>0.40014450554369119</v>
      </c>
      <c r="Z58" s="112">
        <f t="shared" si="19"/>
        <v>0.27829216074643953</v>
      </c>
      <c r="AA58" s="112">
        <f t="shared" si="19"/>
        <v>1.523824547578124E-2</v>
      </c>
      <c r="AB58" s="112">
        <f t="shared" si="19"/>
        <v>1.5054132048933558E-2</v>
      </c>
      <c r="AC58" s="112">
        <f t="shared" si="19"/>
        <v>1.5256029299202311E-2</v>
      </c>
      <c r="AD58" s="112">
        <f t="shared" si="19"/>
        <v>7.4858724783230426E-2</v>
      </c>
      <c r="AE58" s="112">
        <f t="shared" si="19"/>
        <v>1.6849912266539337E-2</v>
      </c>
      <c r="AF58" s="112">
        <f t="shared" si="19"/>
        <v>1.6616661042228489E-2</v>
      </c>
      <c r="AG58" s="112">
        <f t="shared" si="19"/>
        <v>1.9261893561754645E-2</v>
      </c>
      <c r="AH58" s="112">
        <f t="shared" si="19"/>
        <v>0</v>
      </c>
      <c r="AI58" s="112">
        <f t="shared" si="19"/>
        <v>7.258000330193759E-2</v>
      </c>
      <c r="AJ58" s="112">
        <f t="shared" si="19"/>
        <v>1.5039622149302058E-2</v>
      </c>
      <c r="AK58" s="112">
        <f t="shared" si="19"/>
        <v>1.3993942378279098E-2</v>
      </c>
      <c r="AL58" s="112">
        <f t="shared" si="19"/>
        <v>0.34464077141724198</v>
      </c>
    </row>
    <row r="59" spans="1:38" s="110" customFormat="1" x14ac:dyDescent="0.3">
      <c r="A59" s="113" t="s">
        <v>59</v>
      </c>
      <c r="C59" s="111">
        <f>C43/C44</f>
        <v>5.9751711271635914E-2</v>
      </c>
      <c r="D59" s="112">
        <f t="shared" ref="D59:AL59" si="20">D43/D44</f>
        <v>0</v>
      </c>
      <c r="E59" s="112">
        <f t="shared" si="20"/>
        <v>0</v>
      </c>
      <c r="F59" s="112">
        <f t="shared" si="20"/>
        <v>0</v>
      </c>
      <c r="G59" s="112">
        <f t="shared" si="20"/>
        <v>0.16518351720054439</v>
      </c>
      <c r="H59" s="112">
        <f t="shared" si="20"/>
        <v>0.12299661979001834</v>
      </c>
      <c r="I59" s="112">
        <f t="shared" si="20"/>
        <v>0</v>
      </c>
      <c r="J59" s="112">
        <f t="shared" si="20"/>
        <v>0</v>
      </c>
      <c r="K59" s="112">
        <f t="shared" si="20"/>
        <v>0</v>
      </c>
      <c r="L59" s="112">
        <f t="shared" si="20"/>
        <v>0</v>
      </c>
      <c r="M59" s="112">
        <f t="shared" si="20"/>
        <v>0</v>
      </c>
      <c r="N59" s="112">
        <f t="shared" si="20"/>
        <v>1.2686785383871838E-2</v>
      </c>
      <c r="O59" s="112">
        <f t="shared" si="20"/>
        <v>0.20440905639811108</v>
      </c>
      <c r="P59" s="112">
        <f t="shared" si="20"/>
        <v>0.11883707674844131</v>
      </c>
      <c r="Q59" s="112">
        <f t="shared" si="20"/>
        <v>6.3861384859135409E-2</v>
      </c>
      <c r="R59" s="112">
        <f t="shared" si="20"/>
        <v>2.8478381691783083E-2</v>
      </c>
      <c r="S59" s="112">
        <f t="shared" si="20"/>
        <v>0</v>
      </c>
      <c r="T59" s="112">
        <f t="shared" si="20"/>
        <v>0</v>
      </c>
      <c r="U59" s="112">
        <f t="shared" si="20"/>
        <v>4.9082038837922212E-2</v>
      </c>
      <c r="V59" s="112">
        <f t="shared" si="20"/>
        <v>0</v>
      </c>
      <c r="W59" s="112">
        <f t="shared" si="20"/>
        <v>0</v>
      </c>
      <c r="X59" s="112">
        <f t="shared" si="20"/>
        <v>9.6235307411856336E-3</v>
      </c>
      <c r="Y59" s="112">
        <f t="shared" si="20"/>
        <v>0</v>
      </c>
      <c r="Z59" s="112">
        <f t="shared" si="20"/>
        <v>0</v>
      </c>
      <c r="AA59" s="112">
        <f t="shared" si="20"/>
        <v>0</v>
      </c>
      <c r="AB59" s="112">
        <f t="shared" si="20"/>
        <v>8.8867802822594572E-2</v>
      </c>
      <c r="AC59" s="112">
        <f t="shared" si="20"/>
        <v>0</v>
      </c>
      <c r="AD59" s="112">
        <f t="shared" si="20"/>
        <v>2.710917178484324E-2</v>
      </c>
      <c r="AE59" s="112">
        <f t="shared" si="20"/>
        <v>0</v>
      </c>
      <c r="AF59" s="112">
        <f t="shared" si="20"/>
        <v>8.5437914230309345E-2</v>
      </c>
      <c r="AG59" s="112">
        <f t="shared" si="20"/>
        <v>7.3909634893371379E-2</v>
      </c>
      <c r="AH59" s="112">
        <f t="shared" si="20"/>
        <v>9.3269711108229778E-2</v>
      </c>
      <c r="AI59" s="112">
        <f t="shared" si="20"/>
        <v>0.19677802236899272</v>
      </c>
      <c r="AJ59" s="112">
        <f t="shared" si="20"/>
        <v>0.10492435642193224</v>
      </c>
      <c r="AK59" s="112">
        <f t="shared" si="20"/>
        <v>0.1060496548767895</v>
      </c>
      <c r="AL59" s="112">
        <f t="shared" si="20"/>
        <v>6.9735925815028355E-2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B33E-C5FA-44F5-BBA7-3A8D2C7B9ECF}">
  <sheetPr codeName="Sheet7">
    <tabColor rgb="FFFFC000"/>
  </sheetPr>
  <dimension ref="A1:Z68"/>
  <sheetViews>
    <sheetView topLeftCell="A43" workbookViewId="0">
      <selection activeCell="C9" sqref="C9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136" t="s">
        <v>173</v>
      </c>
      <c r="B1" s="137"/>
      <c r="C1" s="137"/>
      <c r="D1" s="137"/>
      <c r="E1" s="137"/>
      <c r="F1" s="138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165</v>
      </c>
      <c r="B3" s="7"/>
      <c r="C3" s="8">
        <f>SUM(D3:F3)</f>
        <v>5304721560</v>
      </c>
      <c r="D3" s="9">
        <v>2177283272</v>
      </c>
      <c r="E3" s="9">
        <v>3056326288</v>
      </c>
      <c r="F3" s="9">
        <v>71112000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36900000</v>
      </c>
      <c r="D4" s="12">
        <v>17600000</v>
      </c>
      <c r="E4" s="12">
        <v>15200000</v>
      </c>
      <c r="F4" s="12">
        <v>4100000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3700000</v>
      </c>
      <c r="D5" s="12">
        <v>0</v>
      </c>
      <c r="E5" s="12">
        <v>3700000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5777000</v>
      </c>
      <c r="D6" s="12">
        <v>0</v>
      </c>
      <c r="E6" s="12">
        <v>5777000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48</v>
      </c>
      <c r="D7" s="12">
        <v>15</v>
      </c>
      <c r="E7" s="12">
        <v>32</v>
      </c>
      <c r="F7" s="12">
        <v>1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10</v>
      </c>
      <c r="D8" s="12">
        <v>6</v>
      </c>
      <c r="E8" s="12">
        <v>3</v>
      </c>
      <c r="F8" s="12">
        <v>1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78</v>
      </c>
      <c r="D9" s="12">
        <v>30</v>
      </c>
      <c r="E9" s="12">
        <v>47</v>
      </c>
      <c r="F9" s="12">
        <v>1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4208967857.1428571</v>
      </c>
      <c r="D10" s="12">
        <v>1722157142.8571429</v>
      </c>
      <c r="E10" s="12">
        <v>2432810714.2857141</v>
      </c>
      <c r="F10" s="12">
        <v>54000000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486528633.33333337</v>
      </c>
      <c r="D11" s="12">
        <v>200986600</v>
      </c>
      <c r="E11" s="12">
        <v>281370033.33333337</v>
      </c>
      <c r="F11" s="12">
        <v>4172000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213204142.85714287</v>
      </c>
      <c r="D12" s="12">
        <v>86605000</v>
      </c>
      <c r="E12" s="12">
        <v>123719142.85714285</v>
      </c>
      <c r="F12" s="12">
        <v>2880000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101718904.76190476</v>
      </c>
      <c r="D13" s="12">
        <v>40717000</v>
      </c>
      <c r="E13" s="12">
        <v>59561904.761904761</v>
      </c>
      <c r="F13" s="12">
        <v>1440000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92597857.142857134</v>
      </c>
      <c r="D14" s="12">
        <v>37695714.285714284</v>
      </c>
      <c r="E14" s="12">
        <v>53902142.857142858</v>
      </c>
      <c r="F14" s="12">
        <v>1000000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10830000</v>
      </c>
      <c r="D15" s="12">
        <v>7780000</v>
      </c>
      <c r="E15" s="12">
        <v>2350000</v>
      </c>
      <c r="F15" s="12">
        <v>700000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48156333.333333336</v>
      </c>
      <c r="D16" s="12">
        <v>16502857.142857144</v>
      </c>
      <c r="E16" s="12">
        <v>30273476.190476194</v>
      </c>
      <c r="F16" s="12">
        <v>1380000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108098904.76190475</v>
      </c>
      <c r="D17" s="12">
        <v>45087000</v>
      </c>
      <c r="E17" s="12">
        <v>61571904.761904754</v>
      </c>
      <c r="F17" s="12">
        <v>1440000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1061134776.1904761</v>
      </c>
      <c r="D18" s="16">
        <f>SUM(D11:D17)</f>
        <v>435374171.4285714</v>
      </c>
      <c r="E18" s="16">
        <f>SUM(E11:E17)</f>
        <v>612748604.76190484</v>
      </c>
      <c r="F18" s="16">
        <f>SUM(F11:F17)</f>
        <v>13012000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3580883333.333334</v>
      </c>
      <c r="D20" s="17">
        <v>1474516666.666667</v>
      </c>
      <c r="E20" s="17">
        <v>2058366666.666667</v>
      </c>
      <c r="F20" s="12">
        <v>48000000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15146000</v>
      </c>
      <c r="D21" s="17">
        <v>3470000</v>
      </c>
      <c r="E21" s="17">
        <v>11676000</v>
      </c>
      <c r="F21" s="12">
        <v>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521951768</v>
      </c>
      <c r="D22" s="17">
        <v>200665565</v>
      </c>
      <c r="E22" s="17">
        <v>314752225</v>
      </c>
      <c r="F22" s="18">
        <v>6533978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212940546.66666666</v>
      </c>
      <c r="D23" s="17">
        <v>88861221.666666657</v>
      </c>
      <c r="E23" s="17">
        <v>124079325</v>
      </c>
      <c r="F23" s="18">
        <v>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30501699.583333336</v>
      </c>
      <c r="D24" s="17">
        <v>14311303.666666668</v>
      </c>
      <c r="E24" s="17">
        <v>16190395.916666668</v>
      </c>
      <c r="F24" s="18">
        <v>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17560000</v>
      </c>
      <c r="D25" s="17">
        <v>6600000</v>
      </c>
      <c r="E25" s="17">
        <v>10660000</v>
      </c>
      <c r="F25" s="12">
        <v>300000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1793455</v>
      </c>
      <c r="D26" s="12">
        <v>353455</v>
      </c>
      <c r="E26" s="12">
        <v>1440000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333333.33333333331</v>
      </c>
      <c r="D27" s="12">
        <v>0</v>
      </c>
      <c r="E27" s="12">
        <v>333333.33333333331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4381110135.916667</v>
      </c>
      <c r="D28" s="8">
        <f>SUM(D20:D27)</f>
        <v>1788778212.0000005</v>
      </c>
      <c r="E28" s="8">
        <f>SUM(E20:E27)</f>
        <v>2537497945.916667</v>
      </c>
      <c r="F28" s="8">
        <f>SUM(F20:F27)</f>
        <v>54833978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121838150.14277938</v>
      </c>
      <c r="D29" s="17">
        <v>49792933.010869496</v>
      </c>
      <c r="E29" s="17">
        <v>70665785.050333261</v>
      </c>
      <c r="F29" s="17">
        <v>1379432.0815766132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11950207.468879668</v>
      </c>
      <c r="D30" s="17">
        <v>5009128.6307053929</v>
      </c>
      <c r="E30" s="17">
        <v>6791701.2448132802</v>
      </c>
      <c r="F30" s="17">
        <v>149377.59336099584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18092506.224066392</v>
      </c>
      <c r="D31" s="17">
        <v>7429273.8589211637</v>
      </c>
      <c r="E31" s="17">
        <v>10433751.0373444</v>
      </c>
      <c r="F31" s="17">
        <v>229481.32780082989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13776804.979253113</v>
      </c>
      <c r="D32" s="17">
        <v>5664419.0871369289</v>
      </c>
      <c r="E32" s="17">
        <v>7937800.8298755204</v>
      </c>
      <c r="F32" s="17">
        <v>174585.06224066392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6290807.5344398338</v>
      </c>
      <c r="D33" s="17">
        <v>2735908.0763485469</v>
      </c>
      <c r="E33" s="17">
        <v>3554899.4580912874</v>
      </c>
      <c r="F33" s="17"/>
    </row>
    <row r="34" spans="1:26" s="1" customFormat="1" ht="21.5" customHeight="1" x14ac:dyDescent="0.35">
      <c r="A34" s="144"/>
      <c r="B34" s="11" t="s">
        <v>35</v>
      </c>
      <c r="C34" s="3">
        <f t="shared" si="2"/>
        <v>23701053.378423233</v>
      </c>
      <c r="D34" s="17">
        <v>10016421.990871368</v>
      </c>
      <c r="E34" s="17">
        <v>13393057.814937759</v>
      </c>
      <c r="F34" s="17">
        <v>291573.57261410786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36934813.278008297</v>
      </c>
      <c r="D35" s="17">
        <v>14846556.016597511</v>
      </c>
      <c r="E35" s="17">
        <v>21538257.261410788</v>
      </c>
      <c r="F35" s="17">
        <v>550000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15009834.024896268</v>
      </c>
      <c r="D36" s="17">
        <v>6310414.937759337</v>
      </c>
      <c r="E36" s="17">
        <v>8514522.8215767667</v>
      </c>
      <c r="F36" s="17">
        <v>184896.26556016598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21415767.634854775</v>
      </c>
      <c r="D37" s="17">
        <v>8891286.3070539441</v>
      </c>
      <c r="E37" s="17">
        <v>12250622.406639004</v>
      </c>
      <c r="F37" s="17">
        <v>273858.92116182571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9083878.8157676347</v>
      </c>
      <c r="D38" s="17">
        <v>7420076.33526971</v>
      </c>
      <c r="E38" s="17">
        <v>1663802.4804979253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177597760.85228214</v>
      </c>
      <c r="D39" s="17">
        <v>73765319.097925305</v>
      </c>
      <c r="E39" s="17">
        <v>101563620.1900415</v>
      </c>
      <c r="F39" s="17">
        <v>2268821.5643153526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27488224.543568466</v>
      </c>
      <c r="D40" s="17">
        <v>15732977.452282157</v>
      </c>
      <c r="E40" s="17">
        <v>9607517.0912863091</v>
      </c>
      <c r="F40" s="12">
        <v>2147730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5675000</v>
      </c>
      <c r="D41" s="17">
        <v>2570000</v>
      </c>
      <c r="E41" s="17">
        <v>3095000</v>
      </c>
      <c r="F41" s="12">
        <v>10000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49358000</v>
      </c>
      <c r="D42" s="12">
        <v>13357000</v>
      </c>
      <c r="E42" s="12">
        <v>32621000</v>
      </c>
      <c r="F42" s="12">
        <v>3380000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538212808.8772192</v>
      </c>
      <c r="D43" s="21">
        <f>SUM(D29:D42)</f>
        <v>223541714.80174085</v>
      </c>
      <c r="E43" s="21">
        <f>SUM(E29:E42)</f>
        <v>303631337.68684781</v>
      </c>
      <c r="F43" s="21">
        <f>SUM(F29:F42)</f>
        <v>11039756.388630554</v>
      </c>
    </row>
    <row r="44" spans="1:26" s="25" customFormat="1" ht="18.5" customHeight="1" x14ac:dyDescent="0.35">
      <c r="A44" s="23" t="s">
        <v>46</v>
      </c>
      <c r="B44" s="23"/>
      <c r="C44" s="24">
        <f>C28+C43</f>
        <v>4919322944.7938862</v>
      </c>
      <c r="D44" s="24">
        <f>D28+D43</f>
        <v>2012319926.8017414</v>
      </c>
      <c r="E44" s="24">
        <f>E28+E43</f>
        <v>2841129283.6035147</v>
      </c>
      <c r="F44" s="24">
        <f>F28+F43</f>
        <v>65873734.388630554</v>
      </c>
    </row>
    <row r="45" spans="1:26" s="22" customFormat="1" ht="18" customHeight="1" x14ac:dyDescent="0.35">
      <c r="A45" s="19" t="s">
        <v>47</v>
      </c>
      <c r="B45" s="19"/>
      <c r="C45" s="20">
        <f>C3-C28</f>
        <v>923611424.08333302</v>
      </c>
      <c r="D45" s="26">
        <f>D3-D28</f>
        <v>388505059.99999952</v>
      </c>
      <c r="E45" s="26">
        <f>E3-E28</f>
        <v>518828342.08333302</v>
      </c>
      <c r="F45" s="26">
        <f>F3-F28</f>
        <v>16278022</v>
      </c>
    </row>
    <row r="46" spans="1:26" s="30" customFormat="1" ht="15.5" x14ac:dyDescent="0.35">
      <c r="A46" s="27" t="s">
        <v>48</v>
      </c>
      <c r="B46" s="27"/>
      <c r="C46" s="28">
        <f>C3-C44</f>
        <v>385398615.20611382</v>
      </c>
      <c r="D46" s="29">
        <f>D3-D44</f>
        <v>164963345.19825864</v>
      </c>
      <c r="E46" s="29">
        <f>E3-E44</f>
        <v>215197004.39648533</v>
      </c>
      <c r="F46" s="29">
        <f>F3-F44</f>
        <v>5238265.6113694459</v>
      </c>
    </row>
    <row r="47" spans="1:26" s="10" customFormat="1" ht="15.5" x14ac:dyDescent="0.35">
      <c r="A47" s="6" t="s">
        <v>29</v>
      </c>
      <c r="B47" s="6"/>
      <c r="C47" s="8">
        <f>C28</f>
        <v>4381110135.916667</v>
      </c>
      <c r="D47" s="31">
        <f>D28</f>
        <v>1788778212.0000005</v>
      </c>
      <c r="E47" s="31">
        <f>E28</f>
        <v>2537497945.916667</v>
      </c>
      <c r="F47" s="31">
        <f>F28</f>
        <v>54833978</v>
      </c>
    </row>
    <row r="48" spans="1:26" s="35" customFormat="1" ht="15" x14ac:dyDescent="0.35">
      <c r="A48" s="32" t="s">
        <v>49</v>
      </c>
      <c r="B48" s="33"/>
      <c r="C48" s="34">
        <f>C46/C3</f>
        <v>7.265199706468925E-2</v>
      </c>
      <c r="D48" s="34">
        <f>D46/D3</f>
        <v>7.5765678871324488E-2</v>
      </c>
      <c r="E48" s="34">
        <f>E46/E3</f>
        <v>7.0410350243496428E-2</v>
      </c>
      <c r="F48" s="34">
        <f>F46/F3</f>
        <v>7.366218938251555E-2</v>
      </c>
    </row>
    <row r="49" spans="1:6" s="35" customFormat="1" ht="15" x14ac:dyDescent="0.35">
      <c r="A49" s="32" t="s">
        <v>50</v>
      </c>
      <c r="B49" s="33"/>
      <c r="C49" s="34">
        <f>C45/C3</f>
        <v>0.17411119766356464</v>
      </c>
      <c r="D49" s="34">
        <f>D45/D3</f>
        <v>0.17843569782407234</v>
      </c>
      <c r="E49" s="34">
        <f>E45/E3</f>
        <v>0.1697555474101046</v>
      </c>
      <c r="F49" s="34">
        <f>F45/F3</f>
        <v>0.22890682303971199</v>
      </c>
    </row>
    <row r="50" spans="1:6" s="35" customFormat="1" ht="15" x14ac:dyDescent="0.35">
      <c r="A50" s="32" t="s">
        <v>51</v>
      </c>
      <c r="B50" s="33"/>
      <c r="C50" s="34">
        <f>C46/C47</f>
        <v>8.7968255362171177E-2</v>
      </c>
      <c r="D50" s="34">
        <f>D46/D47</f>
        <v>9.222124022508979E-2</v>
      </c>
      <c r="E50" s="34">
        <f>E46/E47</f>
        <v>8.4806769890308525E-2</v>
      </c>
      <c r="F50" s="34">
        <f>F46/F47</f>
        <v>9.5529556716994812E-2</v>
      </c>
    </row>
    <row r="51" spans="1:6" s="35" customFormat="1" ht="15" x14ac:dyDescent="0.35">
      <c r="A51" s="32" t="s">
        <v>52</v>
      </c>
      <c r="B51" s="33"/>
      <c r="C51" s="34">
        <f>C46/C45</f>
        <v>0.41727354724809157</v>
      </c>
      <c r="D51" s="34">
        <f>D46/D45</f>
        <v>0.42461054483629851</v>
      </c>
      <c r="E51" s="34">
        <f>E46/E45</f>
        <v>0.41477495915579893</v>
      </c>
      <c r="F51" s="34">
        <f>F46/F45</f>
        <v>0.32179988522987901</v>
      </c>
    </row>
    <row r="52" spans="1:6" s="39" customFormat="1" ht="15" x14ac:dyDescent="0.35">
      <c r="A52" s="36" t="s">
        <v>53</v>
      </c>
      <c r="B52" s="37"/>
      <c r="C52" s="38">
        <f>C44/C45</f>
        <v>5.3261824361648857</v>
      </c>
      <c r="D52" s="38">
        <f>D44/D45</f>
        <v>5.1796492092065511</v>
      </c>
      <c r="E52" s="38">
        <f>E44/E45</f>
        <v>5.4760487297110281</v>
      </c>
      <c r="F52" s="38">
        <f>F44/F45</f>
        <v>4.0467898611164523</v>
      </c>
    </row>
    <row r="53" spans="1:6" s="42" customFormat="1" ht="15" x14ac:dyDescent="0.35">
      <c r="A53" s="40" t="s">
        <v>54</v>
      </c>
      <c r="B53" s="40"/>
      <c r="C53" s="41">
        <f>C47/C3</f>
        <v>0.82588880233643536</v>
      </c>
      <c r="D53" s="41">
        <f>D47/D3</f>
        <v>0.82156430217592769</v>
      </c>
      <c r="E53" s="41">
        <f>E47/E3</f>
        <v>0.83024445258989543</v>
      </c>
      <c r="F53" s="41">
        <f>F47/F3</f>
        <v>0.77109317696028801</v>
      </c>
    </row>
    <row r="54" spans="1:6" s="42" customFormat="1" ht="15" x14ac:dyDescent="0.35">
      <c r="A54" s="40" t="s">
        <v>55</v>
      </c>
      <c r="B54" s="40"/>
      <c r="C54" s="41">
        <f>C43/C3</f>
        <v>0.10145920059887539</v>
      </c>
      <c r="D54" s="41">
        <f>D43/D3</f>
        <v>0.10267001895274785</v>
      </c>
      <c r="E54" s="41">
        <f>E43/E3</f>
        <v>9.934519716660821E-2</v>
      </c>
      <c r="F54" s="41">
        <f>F43/F3</f>
        <v>0.15524463365719646</v>
      </c>
    </row>
    <row r="55" spans="1:6" s="42" customFormat="1" ht="15" x14ac:dyDescent="0.35">
      <c r="A55" s="40" t="s">
        <v>56</v>
      </c>
      <c r="B55" s="40"/>
      <c r="C55" s="41">
        <f>C44/C3</f>
        <v>0.92734800293531072</v>
      </c>
      <c r="D55" s="41">
        <f>D44/D3</f>
        <v>0.92423432112867554</v>
      </c>
      <c r="E55" s="41">
        <f>E44/E3</f>
        <v>0.9295896497565036</v>
      </c>
      <c r="F55" s="41">
        <f>F44/F3</f>
        <v>0.92633781061748444</v>
      </c>
    </row>
    <row r="56" spans="1:6" s="42" customFormat="1" ht="15" x14ac:dyDescent="0.35">
      <c r="A56" s="40" t="s">
        <v>57</v>
      </c>
      <c r="B56" s="40"/>
      <c r="C56" s="41">
        <f>SUM(C29:C38)/C43</f>
        <v>0.51669863461909782</v>
      </c>
      <c r="D56" s="41">
        <f>SUM(D29:D38)/D43</f>
        <v>0.52838647299583807</v>
      </c>
      <c r="E56" s="41">
        <f>SUM(E29:E38)/E43</f>
        <v>0.51623195945333933</v>
      </c>
      <c r="F56" s="41">
        <f>SUM(F29:F38)/F43</f>
        <v>0.29286921835023128</v>
      </c>
    </row>
    <row r="57" spans="1:6" s="42" customFormat="1" ht="15" x14ac:dyDescent="0.35">
      <c r="A57" s="40" t="s">
        <v>58</v>
      </c>
      <c r="B57" s="40"/>
      <c r="C57" s="41">
        <f>C40/C43</f>
        <v>5.1073151902334732E-2</v>
      </c>
      <c r="D57" s="41">
        <f>D40/D43</f>
        <v>7.038049907703238E-2</v>
      </c>
      <c r="E57" s="41">
        <f>E40/E43</f>
        <v>3.1642047110417452E-2</v>
      </c>
      <c r="F57" s="41">
        <f>F40/F43</f>
        <v>0.19454505374881909</v>
      </c>
    </row>
    <row r="58" spans="1:6" s="42" customFormat="1" ht="15" x14ac:dyDescent="0.35">
      <c r="A58" s="40" t="s">
        <v>59</v>
      </c>
      <c r="B58" s="40"/>
      <c r="C58" s="41">
        <f>C42/C43</f>
        <v>9.1707219125771275E-2</v>
      </c>
      <c r="D58" s="41">
        <f>D42/D43</f>
        <v>5.9751711271635914E-2</v>
      </c>
      <c r="E58" s="41">
        <f>E42/E43</f>
        <v>0.10743620947862728</v>
      </c>
      <c r="F58" s="41">
        <f>F42/F43</f>
        <v>0.30616617622839393</v>
      </c>
    </row>
    <row r="59" spans="1:6" s="46" customFormat="1" x14ac:dyDescent="0.35">
      <c r="A59" s="43" t="s">
        <v>60</v>
      </c>
      <c r="B59" s="44"/>
      <c r="C59" s="45">
        <f>C46/C3</f>
        <v>7.265199706468925E-2</v>
      </c>
      <c r="D59" s="45">
        <f>D46/D3</f>
        <v>7.5765678871324488E-2</v>
      </c>
      <c r="E59" s="45">
        <f>E46/E3</f>
        <v>7.0410350243496428E-2</v>
      </c>
      <c r="F59" s="45">
        <f>F46/F3</f>
        <v>7.366218938251555E-2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5">
    <mergeCell ref="A1:F1"/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5F24-8BFD-4C64-A85F-4C4AA6D3C601}">
  <sheetPr codeName="Sheet8">
    <tabColor rgb="FFFFC000"/>
  </sheetPr>
  <dimension ref="A1:Z68"/>
  <sheetViews>
    <sheetView topLeftCell="B1" workbookViewId="0">
      <selection activeCell="D3" sqref="D3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136" t="s">
        <v>164</v>
      </c>
      <c r="B1" s="137"/>
      <c r="C1" s="137"/>
      <c r="D1" s="137"/>
      <c r="E1" s="137"/>
      <c r="F1" s="138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165</v>
      </c>
      <c r="B3" s="7"/>
      <c r="C3" s="8">
        <f>SUM(D3:F3)</f>
        <v>5267821560</v>
      </c>
      <c r="D3" s="9">
        <f>2177283272-D4</f>
        <v>2159683272</v>
      </c>
      <c r="E3" s="9">
        <f>3056326288-E4</f>
        <v>3041126288</v>
      </c>
      <c r="F3" s="9">
        <f>71112000-F4</f>
        <v>67012000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36900000</v>
      </c>
      <c r="D4" s="12">
        <v>17600000</v>
      </c>
      <c r="E4" s="12">
        <v>15200000</v>
      </c>
      <c r="F4" s="12">
        <v>4100000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3700000</v>
      </c>
      <c r="D5" s="12">
        <v>0</v>
      </c>
      <c r="E5" s="12">
        <v>3700000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5777000</v>
      </c>
      <c r="D6" s="12">
        <v>0</v>
      </c>
      <c r="E6" s="12">
        <v>5777000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48</v>
      </c>
      <c r="D7" s="12">
        <v>15</v>
      </c>
      <c r="E7" s="12">
        <v>32</v>
      </c>
      <c r="F7" s="12">
        <v>1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10</v>
      </c>
      <c r="D8" s="12">
        <v>6</v>
      </c>
      <c r="E8" s="12">
        <v>3</v>
      </c>
      <c r="F8" s="12">
        <v>1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78</v>
      </c>
      <c r="D9" s="12">
        <v>30</v>
      </c>
      <c r="E9" s="12">
        <v>47</v>
      </c>
      <c r="F9" s="12">
        <v>1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4208967857.1428571</v>
      </c>
      <c r="D10" s="12">
        <v>1722157142.8571429</v>
      </c>
      <c r="E10" s="12">
        <v>2432810714.2857141</v>
      </c>
      <c r="F10" s="12">
        <v>54000000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486528633.33333337</v>
      </c>
      <c r="D11" s="12">
        <v>200986600</v>
      </c>
      <c r="E11" s="12">
        <v>281370033.33333337</v>
      </c>
      <c r="F11" s="12">
        <v>4172000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213204142.85714287</v>
      </c>
      <c r="D12" s="12">
        <v>86605000</v>
      </c>
      <c r="E12" s="12">
        <v>123719142.85714285</v>
      </c>
      <c r="F12" s="12">
        <v>2880000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101718904.76190476</v>
      </c>
      <c r="D13" s="12">
        <v>40717000</v>
      </c>
      <c r="E13" s="12">
        <v>59561904.761904761</v>
      </c>
      <c r="F13" s="12">
        <v>1440000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92597857.142857134</v>
      </c>
      <c r="D14" s="12">
        <v>37695714.285714284</v>
      </c>
      <c r="E14" s="12">
        <v>53902142.857142858</v>
      </c>
      <c r="F14" s="12">
        <v>1000000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10830000</v>
      </c>
      <c r="D15" s="12">
        <v>7780000</v>
      </c>
      <c r="E15" s="12">
        <v>2350000</v>
      </c>
      <c r="F15" s="12">
        <v>700000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48156333.333333336</v>
      </c>
      <c r="D16" s="12">
        <v>16502857.142857144</v>
      </c>
      <c r="E16" s="12">
        <v>30273476.190476194</v>
      </c>
      <c r="F16" s="12">
        <v>1380000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108098904.76190475</v>
      </c>
      <c r="D17" s="12">
        <v>45087000</v>
      </c>
      <c r="E17" s="12">
        <v>61571904.761904754</v>
      </c>
      <c r="F17" s="12">
        <v>1440000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1061134776.1904761</v>
      </c>
      <c r="D18" s="16">
        <f>SUM(D11:D17)</f>
        <v>435374171.4285714</v>
      </c>
      <c r="E18" s="16">
        <f>SUM(E11:E17)</f>
        <v>612748604.76190484</v>
      </c>
      <c r="F18" s="16">
        <f>SUM(F11:F17)</f>
        <v>13012000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3580883333.333334</v>
      </c>
      <c r="D20" s="17">
        <v>1474516666.666667</v>
      </c>
      <c r="E20" s="17">
        <v>2058366666.666667</v>
      </c>
      <c r="F20" s="12">
        <v>48000000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>
        <v>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521951768</v>
      </c>
      <c r="D22" s="17">
        <v>200665565</v>
      </c>
      <c r="E22" s="17">
        <v>314752225</v>
      </c>
      <c r="F22" s="18">
        <v>6533978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212940546.66666666</v>
      </c>
      <c r="D23" s="17">
        <v>88861221.666666657</v>
      </c>
      <c r="E23" s="17">
        <v>124079325</v>
      </c>
      <c r="F23" s="18">
        <v>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30501699.583333336</v>
      </c>
      <c r="D24" s="17">
        <v>14311303.666666668</v>
      </c>
      <c r="E24" s="17">
        <v>16190395.916666668</v>
      </c>
      <c r="F24" s="18">
        <v>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17560000</v>
      </c>
      <c r="D25" s="17">
        <v>6600000</v>
      </c>
      <c r="E25" s="17">
        <v>10660000</v>
      </c>
      <c r="F25" s="12">
        <v>300000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1793455</v>
      </c>
      <c r="D26" s="12">
        <v>353455</v>
      </c>
      <c r="E26" s="12">
        <v>1440000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333333.33333333331</v>
      </c>
      <c r="D27" s="12">
        <v>0</v>
      </c>
      <c r="E27" s="12">
        <v>333333.33333333331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4365964135.916667</v>
      </c>
      <c r="D28" s="8">
        <f>SUM(D20:D27)</f>
        <v>1785308212.0000005</v>
      </c>
      <c r="E28" s="8">
        <f>SUM(E20:E27)</f>
        <v>2525821945.916667</v>
      </c>
      <c r="F28" s="8">
        <f>SUM(F20:F27)</f>
        <v>54833978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121838150.14277938</v>
      </c>
      <c r="D29" s="17">
        <v>49792933.010869496</v>
      </c>
      <c r="E29" s="17">
        <v>70665785.050333261</v>
      </c>
      <c r="F29" s="17">
        <v>1379432.0815766132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11950207.468879668</v>
      </c>
      <c r="D30" s="17">
        <v>5009128.6307053929</v>
      </c>
      <c r="E30" s="17">
        <v>6791701.2448132802</v>
      </c>
      <c r="F30" s="17">
        <v>149377.59336099584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18092506.224066392</v>
      </c>
      <c r="D31" s="17">
        <v>7429273.8589211637</v>
      </c>
      <c r="E31" s="17">
        <v>10433751.0373444</v>
      </c>
      <c r="F31" s="17">
        <v>229481.32780082989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13776804.979253113</v>
      </c>
      <c r="D32" s="17">
        <v>5664419.0871369289</v>
      </c>
      <c r="E32" s="17">
        <v>7937800.8298755204</v>
      </c>
      <c r="F32" s="17">
        <v>174585.06224066392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6290807.5344398338</v>
      </c>
      <c r="D33" s="17">
        <v>2735908.0763485469</v>
      </c>
      <c r="E33" s="17">
        <v>3554899.4580912874</v>
      </c>
      <c r="F33" s="17"/>
    </row>
    <row r="34" spans="1:26" s="1" customFormat="1" ht="21.5" customHeight="1" x14ac:dyDescent="0.35">
      <c r="A34" s="144"/>
      <c r="B34" s="11" t="s">
        <v>35</v>
      </c>
      <c r="C34" s="3">
        <f t="shared" si="2"/>
        <v>23701053.378423233</v>
      </c>
      <c r="D34" s="17">
        <v>10016421.990871368</v>
      </c>
      <c r="E34" s="17">
        <v>13393057.814937759</v>
      </c>
      <c r="F34" s="17">
        <v>291573.57261410786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36934813.278008297</v>
      </c>
      <c r="D35" s="17">
        <v>14846556.016597511</v>
      </c>
      <c r="E35" s="17">
        <v>21538257.261410788</v>
      </c>
      <c r="F35" s="17">
        <v>550000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15009834.024896268</v>
      </c>
      <c r="D36" s="17">
        <v>6310414.937759337</v>
      </c>
      <c r="E36" s="17">
        <v>8514522.8215767667</v>
      </c>
      <c r="F36" s="17">
        <v>184896.26556016598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21415767.634854775</v>
      </c>
      <c r="D37" s="17">
        <v>8891286.3070539441</v>
      </c>
      <c r="E37" s="17">
        <v>12250622.406639004</v>
      </c>
      <c r="F37" s="17">
        <v>273858.92116182571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9083878.8157676347</v>
      </c>
      <c r="D38" s="17">
        <v>7420076.33526971</v>
      </c>
      <c r="E38" s="17">
        <v>1663802.4804979253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177597760.85228214</v>
      </c>
      <c r="D39" s="17">
        <v>73765319.097925305</v>
      </c>
      <c r="E39" s="17">
        <v>101563620.1900415</v>
      </c>
      <c r="F39" s="17">
        <v>2268821.5643153526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27488224.543568466</v>
      </c>
      <c r="D40" s="17">
        <v>15732977.452282157</v>
      </c>
      <c r="E40" s="17">
        <v>9607517.0912863091</v>
      </c>
      <c r="F40" s="12">
        <v>2147730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5675000</v>
      </c>
      <c r="D41" s="17">
        <v>2570000</v>
      </c>
      <c r="E41" s="17">
        <v>3095000</v>
      </c>
      <c r="F41" s="12">
        <v>10000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49358000</v>
      </c>
      <c r="D42" s="12">
        <v>13357000</v>
      </c>
      <c r="E42" s="12">
        <v>32621000</v>
      </c>
      <c r="F42" s="12">
        <v>3380000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538212808.8772192</v>
      </c>
      <c r="D43" s="21">
        <f>SUM(D29:D42)</f>
        <v>223541714.80174085</v>
      </c>
      <c r="E43" s="21">
        <f>SUM(E29:E42)</f>
        <v>303631337.68684781</v>
      </c>
      <c r="F43" s="21">
        <f>SUM(F29:F42)</f>
        <v>11039756.388630554</v>
      </c>
    </row>
    <row r="44" spans="1:26" s="25" customFormat="1" ht="18.5" customHeight="1" x14ac:dyDescent="0.35">
      <c r="A44" s="23" t="s">
        <v>46</v>
      </c>
      <c r="B44" s="23"/>
      <c r="C44" s="24">
        <f>C28+C43</f>
        <v>4904176944.7938862</v>
      </c>
      <c r="D44" s="24">
        <f>D28+D43</f>
        <v>2008849926.8017414</v>
      </c>
      <c r="E44" s="24">
        <f>E28+E43</f>
        <v>2829453283.6035147</v>
      </c>
      <c r="F44" s="24">
        <f>F28+F43</f>
        <v>65873734.388630554</v>
      </c>
    </row>
    <row r="45" spans="1:26" s="22" customFormat="1" ht="18" customHeight="1" x14ac:dyDescent="0.35">
      <c r="A45" s="19" t="s">
        <v>47</v>
      </c>
      <c r="B45" s="19"/>
      <c r="C45" s="20">
        <f>C3-C28</f>
        <v>901857424.08333302</v>
      </c>
      <c r="D45" s="26">
        <f>D3-D28</f>
        <v>374375059.99999952</v>
      </c>
      <c r="E45" s="26">
        <f>E3-E28</f>
        <v>515304342.08333302</v>
      </c>
      <c r="F45" s="26">
        <f>F3-F28</f>
        <v>12178022</v>
      </c>
    </row>
    <row r="46" spans="1:26" s="30" customFormat="1" ht="15.5" x14ac:dyDescent="0.35">
      <c r="A46" s="27" t="s">
        <v>48</v>
      </c>
      <c r="B46" s="27"/>
      <c r="C46" s="28">
        <f>C3-C44</f>
        <v>363644615.20611382</v>
      </c>
      <c r="D46" s="29">
        <f>D3-D44</f>
        <v>150833345.19825864</v>
      </c>
      <c r="E46" s="29">
        <f>E3-E44</f>
        <v>211673004.39648533</v>
      </c>
      <c r="F46" s="29">
        <f>F3-F44</f>
        <v>1138265.6113694459</v>
      </c>
    </row>
    <row r="47" spans="1:26" s="10" customFormat="1" ht="15.5" x14ac:dyDescent="0.35">
      <c r="A47" s="6" t="s">
        <v>29</v>
      </c>
      <c r="B47" s="6"/>
      <c r="C47" s="8">
        <f>C28</f>
        <v>4365964135.916667</v>
      </c>
      <c r="D47" s="31">
        <f>D28</f>
        <v>1785308212.0000005</v>
      </c>
      <c r="E47" s="31">
        <f>E28</f>
        <v>2525821945.916667</v>
      </c>
      <c r="F47" s="31">
        <f>F28</f>
        <v>54833978</v>
      </c>
    </row>
    <row r="48" spans="1:26" s="35" customFormat="1" ht="15" x14ac:dyDescent="0.35">
      <c r="A48" s="32" t="s">
        <v>49</v>
      </c>
      <c r="B48" s="33"/>
      <c r="C48" s="34">
        <f>C46/C3</f>
        <v>6.9031308495216728E-2</v>
      </c>
      <c r="D48" s="34">
        <f>D46/D3</f>
        <v>6.9840493350942917E-2</v>
      </c>
      <c r="E48" s="34">
        <f>E46/E3</f>
        <v>6.9603490401476328E-2</v>
      </c>
      <c r="F48" s="34">
        <f>F46/F3</f>
        <v>1.6985996707596339E-2</v>
      </c>
    </row>
    <row r="49" spans="1:6" s="35" customFormat="1" ht="15" x14ac:dyDescent="0.35">
      <c r="A49" s="32" t="s">
        <v>50</v>
      </c>
      <c r="B49" s="33"/>
      <c r="C49" s="34">
        <f>C45/C3</f>
        <v>0.17120120980015371</v>
      </c>
      <c r="D49" s="34">
        <f>D45/D3</f>
        <v>0.17334720551560559</v>
      </c>
      <c r="E49" s="34">
        <f>E45/E3</f>
        <v>0.16944522959032507</v>
      </c>
      <c r="F49" s="34">
        <f>F45/F3</f>
        <v>0.18172897391511969</v>
      </c>
    </row>
    <row r="50" spans="1:6" s="35" customFormat="1" ht="15" x14ac:dyDescent="0.35">
      <c r="A50" s="32" t="s">
        <v>51</v>
      </c>
      <c r="B50" s="33"/>
      <c r="C50" s="34">
        <f>C46/C47</f>
        <v>8.3290793026581725E-2</v>
      </c>
      <c r="D50" s="34">
        <f>D46/D47</f>
        <v>8.4485885509531622E-2</v>
      </c>
      <c r="E50" s="34">
        <f>E46/E47</f>
        <v>8.3803612815496906E-2</v>
      </c>
      <c r="F50" s="34">
        <f>F46/F47</f>
        <v>2.075839931528305E-2</v>
      </c>
    </row>
    <row r="51" spans="1:6" s="35" customFormat="1" ht="15" x14ac:dyDescent="0.35">
      <c r="A51" s="32" t="s">
        <v>52</v>
      </c>
      <c r="B51" s="33"/>
      <c r="C51" s="34">
        <f>C46/C45</f>
        <v>0.40321741052997362</v>
      </c>
      <c r="D51" s="34">
        <f>D46/D45</f>
        <v>0.40289367886380795</v>
      </c>
      <c r="E51" s="34">
        <f>E46/E45</f>
        <v>0.41077279407487388</v>
      </c>
      <c r="F51" s="34">
        <f>F46/F45</f>
        <v>9.3468841768346772E-2</v>
      </c>
    </row>
    <row r="52" spans="1:6" s="39" customFormat="1" ht="15" x14ac:dyDescent="0.35">
      <c r="A52" s="36" t="s">
        <v>53</v>
      </c>
      <c r="B52" s="37"/>
      <c r="C52" s="38">
        <f>C44/C45</f>
        <v>5.4378628082799176</v>
      </c>
      <c r="D52" s="38">
        <f>D44/D45</f>
        <v>5.3658754052733748</v>
      </c>
      <c r="E52" s="38">
        <f>E44/E45</f>
        <v>5.4908392041958507</v>
      </c>
      <c r="F52" s="38">
        <f>F44/F45</f>
        <v>5.409231021969787</v>
      </c>
    </row>
    <row r="53" spans="1:6" s="42" customFormat="1" ht="15" x14ac:dyDescent="0.35">
      <c r="A53" s="40" t="s">
        <v>54</v>
      </c>
      <c r="B53" s="40"/>
      <c r="C53" s="41">
        <f>C47/C3</f>
        <v>0.82879879019984626</v>
      </c>
      <c r="D53" s="41">
        <f>D47/D3</f>
        <v>0.82665279448439444</v>
      </c>
      <c r="E53" s="41">
        <f>E47/E3</f>
        <v>0.83055477040967496</v>
      </c>
      <c r="F53" s="41">
        <f>F47/F3</f>
        <v>0.81827102608488034</v>
      </c>
    </row>
    <row r="54" spans="1:6" s="42" customFormat="1" ht="15" x14ac:dyDescent="0.35">
      <c r="A54" s="40" t="s">
        <v>55</v>
      </c>
      <c r="B54" s="40"/>
      <c r="C54" s="41">
        <f>C43/C3</f>
        <v>0.10216990130493699</v>
      </c>
      <c r="D54" s="41">
        <f>D43/D3</f>
        <v>0.10350671216466266</v>
      </c>
      <c r="E54" s="41">
        <f>E43/E3</f>
        <v>9.9841739188848769E-2</v>
      </c>
      <c r="F54" s="41">
        <f>F43/F3</f>
        <v>0.16474297720752334</v>
      </c>
    </row>
    <row r="55" spans="1:6" s="42" customFormat="1" ht="15" x14ac:dyDescent="0.35">
      <c r="A55" s="40" t="s">
        <v>56</v>
      </c>
      <c r="B55" s="40"/>
      <c r="C55" s="41">
        <f>C44/C3</f>
        <v>0.93096869150478323</v>
      </c>
      <c r="D55" s="41">
        <f>D44/D3</f>
        <v>0.93015950664905711</v>
      </c>
      <c r="E55" s="41">
        <f>E44/E3</f>
        <v>0.93039650959852371</v>
      </c>
      <c r="F55" s="41">
        <f>F44/F3</f>
        <v>0.98301400329240363</v>
      </c>
    </row>
    <row r="56" spans="1:6" s="42" customFormat="1" ht="15" x14ac:dyDescent="0.35">
      <c r="A56" s="40" t="s">
        <v>57</v>
      </c>
      <c r="B56" s="40"/>
      <c r="C56" s="41">
        <f>SUM(C29:C38)/C43</f>
        <v>0.51669863461909782</v>
      </c>
      <c r="D56" s="41">
        <f>SUM(D29:D38)/D43</f>
        <v>0.52838647299583807</v>
      </c>
      <c r="E56" s="41">
        <f>SUM(E29:E38)/E43</f>
        <v>0.51623195945333933</v>
      </c>
      <c r="F56" s="41">
        <f>SUM(F29:F38)/F43</f>
        <v>0.29286921835023128</v>
      </c>
    </row>
    <row r="57" spans="1:6" s="42" customFormat="1" ht="15" x14ac:dyDescent="0.35">
      <c r="A57" s="40" t="s">
        <v>58</v>
      </c>
      <c r="B57" s="40"/>
      <c r="C57" s="41">
        <f>C40/C43</f>
        <v>5.1073151902334732E-2</v>
      </c>
      <c r="D57" s="41">
        <f>D40/D43</f>
        <v>7.038049907703238E-2</v>
      </c>
      <c r="E57" s="41">
        <f>E40/E43</f>
        <v>3.1642047110417452E-2</v>
      </c>
      <c r="F57" s="41">
        <f>F40/F43</f>
        <v>0.19454505374881909</v>
      </c>
    </row>
    <row r="58" spans="1:6" s="42" customFormat="1" ht="15" x14ac:dyDescent="0.35">
      <c r="A58" s="40" t="s">
        <v>59</v>
      </c>
      <c r="B58" s="40"/>
      <c r="C58" s="41">
        <f>C42/C43</f>
        <v>9.1707219125771275E-2</v>
      </c>
      <c r="D58" s="41">
        <f>D42/D43</f>
        <v>5.9751711271635914E-2</v>
      </c>
      <c r="E58" s="41">
        <f>E42/E43</f>
        <v>0.10743620947862728</v>
      </c>
      <c r="F58" s="41">
        <f>F42/F43</f>
        <v>0.30616617622839393</v>
      </c>
    </row>
    <row r="59" spans="1:6" s="46" customFormat="1" x14ac:dyDescent="0.35">
      <c r="A59" s="43" t="s">
        <v>60</v>
      </c>
      <c r="B59" s="44"/>
      <c r="C59" s="45">
        <f>C46/C3</f>
        <v>6.9031308495216728E-2</v>
      </c>
      <c r="D59" s="45">
        <f>D46/D3</f>
        <v>6.9840493350942917E-2</v>
      </c>
      <c r="E59" s="45">
        <f>E46/E3</f>
        <v>6.9603490401476328E-2</v>
      </c>
      <c r="F59" s="45">
        <f>F46/F3</f>
        <v>1.6985996707596339E-2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5">
    <mergeCell ref="A1:F1"/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5066-0E43-4F18-ABFC-FB3389125FC7}">
  <sheetPr codeName="Sheet9">
    <tabColor rgb="FF92D050"/>
  </sheetPr>
  <dimension ref="A1:BE69"/>
  <sheetViews>
    <sheetView zoomScale="110" zoomScaleNormal="110" workbookViewId="0">
      <pane xSplit="2" ySplit="2" topLeftCell="C3" activePane="bottomRight" state="frozen"/>
      <selection activeCell="T47" sqref="T47"/>
      <selection pane="topRight" activeCell="T47" sqref="T47"/>
      <selection pane="bottomLeft" activeCell="T47" sqref="T47"/>
      <selection pane="bottomRight" activeCell="T47" sqref="T47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174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175</v>
      </c>
      <c r="B4" s="61"/>
      <c r="C4" s="62">
        <f t="shared" ref="C4:C18" si="0">SUM(D4:BC4)</f>
        <v>3110919651</v>
      </c>
      <c r="D4" s="64">
        <v>35105000</v>
      </c>
      <c r="E4" s="64">
        <v>66158000</v>
      </c>
      <c r="F4" s="64">
        <v>64350000</v>
      </c>
      <c r="G4" s="64">
        <v>68702000</v>
      </c>
      <c r="H4" s="64">
        <v>73318000</v>
      </c>
      <c r="I4" s="64">
        <v>64710000</v>
      </c>
      <c r="J4" s="64">
        <v>58602000</v>
      </c>
      <c r="K4" s="64">
        <v>35826000</v>
      </c>
      <c r="L4" s="64">
        <v>105768000</v>
      </c>
      <c r="M4" s="64">
        <v>98831000</v>
      </c>
      <c r="N4" s="64">
        <v>58755600</v>
      </c>
      <c r="O4" s="64">
        <v>67005000</v>
      </c>
      <c r="P4" s="64">
        <v>85552000</v>
      </c>
      <c r="Q4" s="64">
        <v>49582000</v>
      </c>
      <c r="R4" s="64">
        <v>63241000</v>
      </c>
      <c r="S4" s="64">
        <v>43917000</v>
      </c>
      <c r="T4" s="64">
        <v>21638000</v>
      </c>
      <c r="U4" s="64">
        <v>77170000</v>
      </c>
      <c r="V4" s="64">
        <v>51697000</v>
      </c>
      <c r="W4" s="64">
        <v>53196000</v>
      </c>
      <c r="X4" s="64">
        <v>36543000</v>
      </c>
      <c r="Y4" s="64">
        <v>25282000</v>
      </c>
      <c r="Z4" s="64">
        <v>71259000</v>
      </c>
      <c r="AA4" s="64">
        <v>67166000</v>
      </c>
      <c r="AB4" s="64">
        <v>24620667</v>
      </c>
      <c r="AC4" s="64">
        <v>48212000</v>
      </c>
      <c r="AD4" s="64">
        <v>39576000</v>
      </c>
      <c r="AE4" s="64">
        <v>17896000</v>
      </c>
      <c r="AF4" s="64">
        <v>57277000</v>
      </c>
      <c r="AG4" s="64">
        <v>40868000</v>
      </c>
      <c r="AH4" s="64">
        <v>65272500</v>
      </c>
      <c r="AI4" s="74">
        <v>24838000</v>
      </c>
      <c r="AJ4" s="64">
        <v>101141500</v>
      </c>
      <c r="AK4" s="64">
        <v>57086000</v>
      </c>
      <c r="AL4" s="64">
        <v>53958000</v>
      </c>
      <c r="AM4" s="64">
        <v>67621000</v>
      </c>
      <c r="AN4" s="64">
        <v>31064000</v>
      </c>
      <c r="AO4" s="64">
        <v>30402000</v>
      </c>
      <c r="AP4" s="64">
        <v>52726000</v>
      </c>
      <c r="AQ4" s="64">
        <v>118474900</v>
      </c>
      <c r="AR4" s="65">
        <v>41895000</v>
      </c>
      <c r="AS4" s="64">
        <v>85174000</v>
      </c>
      <c r="AT4" s="64">
        <v>150340484</v>
      </c>
      <c r="AU4" s="64">
        <v>48996000</v>
      </c>
      <c r="AV4" s="64">
        <v>35276000</v>
      </c>
      <c r="AW4" s="64">
        <v>39567000</v>
      </c>
      <c r="AX4" s="64">
        <v>84986000</v>
      </c>
      <c r="AY4" s="64">
        <v>86769000</v>
      </c>
      <c r="AZ4" s="64">
        <v>45627000</v>
      </c>
      <c r="BA4" s="64">
        <v>39253000</v>
      </c>
      <c r="BB4" s="64">
        <v>67832000</v>
      </c>
      <c r="BC4" s="64">
        <v>110797000</v>
      </c>
    </row>
    <row r="5" spans="1:55" s="68" customFormat="1" ht="13" x14ac:dyDescent="0.3">
      <c r="A5" s="66" t="s">
        <v>3</v>
      </c>
      <c r="B5" s="67"/>
      <c r="C5" s="62">
        <f t="shared" si="0"/>
        <v>156800000</v>
      </c>
      <c r="D5" s="68">
        <v>3500000</v>
      </c>
      <c r="E5" s="68">
        <v>3100000</v>
      </c>
      <c r="H5" s="68">
        <v>3400000</v>
      </c>
      <c r="I5" s="68">
        <v>7100000</v>
      </c>
      <c r="J5" s="68">
        <v>2600000</v>
      </c>
      <c r="M5" s="68">
        <v>4300000</v>
      </c>
      <c r="R5" s="68">
        <v>5100000</v>
      </c>
      <c r="S5" s="68">
        <v>4500000</v>
      </c>
      <c r="U5" s="68">
        <v>200000</v>
      </c>
      <c r="V5" s="68">
        <v>5600000</v>
      </c>
      <c r="W5" s="68">
        <v>7500000</v>
      </c>
      <c r="X5" s="68">
        <v>4000000</v>
      </c>
      <c r="Z5" s="68">
        <v>8100000</v>
      </c>
      <c r="AB5" s="68">
        <v>2300000</v>
      </c>
      <c r="AC5" s="68">
        <v>4300000</v>
      </c>
      <c r="AE5" s="68">
        <v>2300000</v>
      </c>
      <c r="AH5" s="68">
        <v>3400000</v>
      </c>
      <c r="AI5" s="83">
        <v>4000000</v>
      </c>
      <c r="AJ5" s="68">
        <v>9000000</v>
      </c>
      <c r="AO5" s="68">
        <v>5700000</v>
      </c>
      <c r="AP5" s="68">
        <v>4300000</v>
      </c>
      <c r="AQ5" s="68">
        <v>13700000</v>
      </c>
      <c r="AS5" s="68">
        <v>4300000</v>
      </c>
      <c r="AT5" s="68">
        <v>6700000</v>
      </c>
      <c r="AU5" s="68">
        <v>7600000</v>
      </c>
      <c r="AW5" s="68">
        <v>2900000</v>
      </c>
      <c r="AX5" s="68">
        <v>8200000</v>
      </c>
      <c r="BB5" s="68">
        <v>5800000</v>
      </c>
      <c r="BC5" s="68">
        <v>13300000</v>
      </c>
    </row>
    <row r="6" spans="1:55" s="68" customFormat="1" ht="13" x14ac:dyDescent="0.3">
      <c r="A6" s="69" t="s">
        <v>4</v>
      </c>
      <c r="B6" s="67"/>
      <c r="C6" s="62">
        <f t="shared" si="0"/>
        <v>8800000</v>
      </c>
      <c r="D6" s="72"/>
      <c r="O6" s="83">
        <v>3600000</v>
      </c>
      <c r="R6" s="68">
        <v>4700000</v>
      </c>
      <c r="AO6" s="68">
        <v>500000</v>
      </c>
    </row>
    <row r="7" spans="1:55" s="68" customFormat="1" ht="13" x14ac:dyDescent="0.3">
      <c r="A7" s="71" t="s">
        <v>158</v>
      </c>
      <c r="B7" s="67"/>
      <c r="C7" s="62">
        <f t="shared" si="0"/>
        <v>56300000</v>
      </c>
      <c r="D7" s="68">
        <v>2988000</v>
      </c>
      <c r="G7" s="68">
        <v>4588000</v>
      </c>
      <c r="H7" s="72"/>
      <c r="M7" s="68">
        <v>3238000</v>
      </c>
      <c r="O7" s="68">
        <v>3000000</v>
      </c>
      <c r="T7" s="68">
        <v>1704000</v>
      </c>
      <c r="Z7" s="68">
        <v>3320000</v>
      </c>
      <c r="AD7" s="68">
        <v>5752000</v>
      </c>
      <c r="AE7" s="68">
        <v>2040000</v>
      </c>
      <c r="AG7" s="68">
        <v>3036000</v>
      </c>
      <c r="AP7" s="68">
        <v>3155000</v>
      </c>
      <c r="AQ7" s="68">
        <v>7745000</v>
      </c>
      <c r="AT7" s="68">
        <v>4254000</v>
      </c>
      <c r="AX7" s="68">
        <v>3206000</v>
      </c>
      <c r="BC7" s="68">
        <v>8274000</v>
      </c>
    </row>
    <row r="8" spans="1:55" s="68" customFormat="1" ht="13" x14ac:dyDescent="0.3">
      <c r="A8" s="71"/>
      <c r="B8" s="67" t="s">
        <v>6</v>
      </c>
      <c r="C8" s="62">
        <f t="shared" si="0"/>
        <v>16</v>
      </c>
      <c r="D8" s="68">
        <v>0</v>
      </c>
      <c r="E8" s="68">
        <v>1</v>
      </c>
      <c r="F8" s="68">
        <v>0</v>
      </c>
      <c r="G8" s="68">
        <v>1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1</v>
      </c>
      <c r="O8" s="68">
        <v>1</v>
      </c>
      <c r="P8" s="68">
        <v>0</v>
      </c>
      <c r="Q8" s="68">
        <v>0</v>
      </c>
      <c r="R8" s="68">
        <v>0</v>
      </c>
      <c r="S8" s="68">
        <v>2</v>
      </c>
      <c r="T8" s="68">
        <v>0</v>
      </c>
      <c r="U8" s="68">
        <v>1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1</v>
      </c>
      <c r="AC8" s="68">
        <v>0</v>
      </c>
      <c r="AD8" s="68">
        <v>0</v>
      </c>
      <c r="AE8" s="68">
        <v>1</v>
      </c>
      <c r="AF8" s="68">
        <v>0</v>
      </c>
      <c r="AG8" s="68">
        <v>0</v>
      </c>
      <c r="AH8" s="68">
        <v>0</v>
      </c>
      <c r="AI8" s="68">
        <v>0</v>
      </c>
      <c r="AJ8" s="68">
        <v>1</v>
      </c>
      <c r="AK8" s="68">
        <v>0</v>
      </c>
      <c r="AL8" s="68">
        <v>0</v>
      </c>
      <c r="AM8" s="68">
        <v>1</v>
      </c>
      <c r="AN8" s="68">
        <v>0</v>
      </c>
      <c r="AO8" s="68">
        <v>1</v>
      </c>
      <c r="AP8" s="68">
        <v>0</v>
      </c>
      <c r="AQ8" s="68">
        <v>0</v>
      </c>
      <c r="AR8" s="68">
        <v>0</v>
      </c>
      <c r="AS8" s="68">
        <v>1</v>
      </c>
      <c r="AT8" s="68">
        <v>2</v>
      </c>
      <c r="AU8" s="68">
        <v>0</v>
      </c>
      <c r="AV8" s="68">
        <v>0</v>
      </c>
      <c r="AW8" s="68">
        <v>0</v>
      </c>
      <c r="AX8" s="68">
        <v>1</v>
      </c>
      <c r="AY8" s="68">
        <v>0</v>
      </c>
      <c r="AZ8" s="68">
        <v>0</v>
      </c>
      <c r="BA8" s="68">
        <v>0</v>
      </c>
      <c r="BB8" s="68">
        <v>0</v>
      </c>
      <c r="BC8" s="68">
        <v>0</v>
      </c>
    </row>
    <row r="9" spans="1:55" s="68" customFormat="1" ht="13" x14ac:dyDescent="0.3">
      <c r="A9" s="71"/>
      <c r="B9" s="67" t="s">
        <v>7</v>
      </c>
      <c r="C9" s="62">
        <f t="shared" si="0"/>
        <v>40</v>
      </c>
      <c r="D9" s="68">
        <v>1</v>
      </c>
      <c r="E9" s="68">
        <v>1</v>
      </c>
      <c r="F9" s="68">
        <v>0</v>
      </c>
      <c r="G9" s="68">
        <v>0</v>
      </c>
      <c r="H9" s="68">
        <v>1</v>
      </c>
      <c r="I9" s="68">
        <v>2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1</v>
      </c>
      <c r="S9" s="68">
        <v>1</v>
      </c>
      <c r="T9" s="68">
        <v>0</v>
      </c>
      <c r="U9" s="68">
        <v>0</v>
      </c>
      <c r="V9" s="68">
        <v>2</v>
      </c>
      <c r="W9" s="68">
        <v>2</v>
      </c>
      <c r="X9" s="68">
        <v>1</v>
      </c>
      <c r="Y9" s="68">
        <v>0</v>
      </c>
      <c r="Z9" s="68">
        <v>2</v>
      </c>
      <c r="AA9" s="68">
        <v>0</v>
      </c>
      <c r="AB9" s="68">
        <v>1</v>
      </c>
      <c r="AC9" s="68">
        <v>1</v>
      </c>
      <c r="AD9" s="68">
        <v>0</v>
      </c>
      <c r="AE9" s="68">
        <v>1</v>
      </c>
      <c r="AF9" s="68">
        <v>0</v>
      </c>
      <c r="AG9" s="68">
        <v>0</v>
      </c>
      <c r="AH9" s="68">
        <v>1</v>
      </c>
      <c r="AI9" s="68">
        <v>2</v>
      </c>
      <c r="AJ9" s="68">
        <v>2</v>
      </c>
      <c r="AK9" s="68">
        <v>0</v>
      </c>
      <c r="AL9" s="68">
        <v>0</v>
      </c>
      <c r="AM9" s="68">
        <v>0</v>
      </c>
      <c r="AN9" s="68">
        <v>0</v>
      </c>
      <c r="AO9" s="68">
        <v>2</v>
      </c>
      <c r="AP9" s="68">
        <v>1</v>
      </c>
      <c r="AQ9" s="68">
        <v>3</v>
      </c>
      <c r="AR9" s="68">
        <v>0</v>
      </c>
      <c r="AS9" s="68">
        <v>1</v>
      </c>
      <c r="AT9" s="68">
        <v>1</v>
      </c>
      <c r="AU9" s="68">
        <v>2</v>
      </c>
      <c r="AV9" s="68">
        <v>0</v>
      </c>
      <c r="AW9" s="68">
        <v>1</v>
      </c>
      <c r="AX9" s="68">
        <v>2</v>
      </c>
      <c r="AY9" s="68">
        <v>0</v>
      </c>
      <c r="AZ9" s="68">
        <v>0</v>
      </c>
      <c r="BA9" s="68">
        <v>0</v>
      </c>
      <c r="BB9" s="68">
        <v>1</v>
      </c>
      <c r="BC9" s="68">
        <v>3</v>
      </c>
    </row>
    <row r="10" spans="1:55" s="68" customFormat="1" ht="13" x14ac:dyDescent="0.3">
      <c r="A10" s="71"/>
      <c r="B10" s="67" t="s">
        <v>176</v>
      </c>
      <c r="C10" s="62">
        <f t="shared" si="0"/>
        <v>40</v>
      </c>
      <c r="D10" s="68">
        <v>0</v>
      </c>
      <c r="E10" s="68">
        <v>1</v>
      </c>
      <c r="F10" s="68">
        <v>0</v>
      </c>
      <c r="G10" s="68">
        <v>3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2</v>
      </c>
      <c r="O10" s="68">
        <v>3</v>
      </c>
      <c r="P10" s="68">
        <v>1</v>
      </c>
      <c r="Q10" s="68">
        <v>0</v>
      </c>
      <c r="R10" s="68">
        <v>2</v>
      </c>
      <c r="S10" s="68">
        <v>1</v>
      </c>
      <c r="T10" s="68">
        <v>1</v>
      </c>
      <c r="U10" s="68">
        <v>3</v>
      </c>
      <c r="V10" s="68">
        <v>0</v>
      </c>
      <c r="W10" s="68">
        <v>0</v>
      </c>
      <c r="X10" s="68">
        <v>1</v>
      </c>
      <c r="Y10" s="68">
        <v>1</v>
      </c>
      <c r="Z10" s="68">
        <v>1</v>
      </c>
      <c r="AA10" s="68">
        <v>0</v>
      </c>
      <c r="AB10" s="68">
        <v>0</v>
      </c>
      <c r="AC10" s="68">
        <v>0</v>
      </c>
      <c r="AD10" s="68">
        <v>3</v>
      </c>
      <c r="AE10" s="68">
        <v>1</v>
      </c>
      <c r="AF10" s="68">
        <v>0</v>
      </c>
      <c r="AG10" s="68">
        <v>2</v>
      </c>
      <c r="AH10" s="68">
        <v>0</v>
      </c>
      <c r="AI10" s="68">
        <v>0</v>
      </c>
      <c r="AJ10" s="68">
        <v>0</v>
      </c>
      <c r="AK10" s="68">
        <v>0</v>
      </c>
      <c r="AL10" s="68">
        <v>0</v>
      </c>
      <c r="AM10" s="68">
        <v>2</v>
      </c>
      <c r="AN10" s="68">
        <v>0</v>
      </c>
      <c r="AO10" s="68">
        <v>0</v>
      </c>
      <c r="AP10" s="68">
        <v>0</v>
      </c>
      <c r="AQ10" s="68">
        <v>2</v>
      </c>
      <c r="AR10" s="68">
        <v>0</v>
      </c>
      <c r="AS10" s="68">
        <v>0</v>
      </c>
      <c r="AT10" s="68">
        <v>2</v>
      </c>
      <c r="AU10" s="68">
        <v>0</v>
      </c>
      <c r="AV10" s="68">
        <v>1</v>
      </c>
      <c r="AW10" s="68">
        <v>0</v>
      </c>
      <c r="AX10" s="68">
        <v>1</v>
      </c>
      <c r="AY10" s="68">
        <v>0</v>
      </c>
      <c r="AZ10" s="68">
        <v>1</v>
      </c>
      <c r="BA10" s="68">
        <v>0</v>
      </c>
      <c r="BB10" s="68">
        <v>0</v>
      </c>
      <c r="BC10" s="68">
        <v>5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2408530870.9677415</v>
      </c>
      <c r="D11" s="68">
        <v>27219354.838709679</v>
      </c>
      <c r="E11" s="68">
        <v>51300000</v>
      </c>
      <c r="F11" s="68">
        <v>52900000</v>
      </c>
      <c r="G11" s="68">
        <v>57000000</v>
      </c>
      <c r="H11" s="68">
        <v>55300000</v>
      </c>
      <c r="I11" s="68">
        <v>47400000</v>
      </c>
      <c r="J11" s="68">
        <v>44700000</v>
      </c>
      <c r="K11" s="68">
        <v>28000000</v>
      </c>
      <c r="L11" s="68">
        <v>87300000</v>
      </c>
      <c r="M11" s="68">
        <v>76258064.516129032</v>
      </c>
      <c r="N11" s="68">
        <v>47150000</v>
      </c>
      <c r="O11" s="68">
        <v>51300000</v>
      </c>
      <c r="P11" s="68">
        <v>67900000</v>
      </c>
      <c r="Q11" s="68">
        <v>39600000</v>
      </c>
      <c r="R11" s="68">
        <v>39900000</v>
      </c>
      <c r="S11" s="68">
        <v>30597000</v>
      </c>
      <c r="T11" s="68">
        <v>17900000</v>
      </c>
      <c r="U11" s="68">
        <v>62850000</v>
      </c>
      <c r="V11" s="68">
        <v>37919354.838709682</v>
      </c>
      <c r="W11" s="68">
        <v>36967741.935483873</v>
      </c>
      <c r="X11" s="68">
        <v>27100000</v>
      </c>
      <c r="Y11" s="68">
        <v>20000000</v>
      </c>
      <c r="Z11" s="68">
        <v>47551612.903225809</v>
      </c>
      <c r="AA11" s="68">
        <v>53800000</v>
      </c>
      <c r="AB11" s="68">
        <v>17761290.322580647</v>
      </c>
      <c r="AC11" s="68">
        <v>35900000</v>
      </c>
      <c r="AD11" s="68">
        <v>34400000</v>
      </c>
      <c r="AE11" s="68">
        <v>14300000</v>
      </c>
      <c r="AF11" s="68">
        <v>46600000</v>
      </c>
      <c r="AG11" s="68">
        <v>34800000</v>
      </c>
      <c r="AH11" s="68">
        <v>48400000</v>
      </c>
      <c r="AI11" s="68">
        <v>15993548.387096774</v>
      </c>
      <c r="AJ11" s="68">
        <v>73072580.645161286</v>
      </c>
      <c r="AK11" s="68">
        <v>48000000</v>
      </c>
      <c r="AL11" s="68">
        <v>42900000</v>
      </c>
      <c r="AM11" s="68">
        <v>54050000</v>
      </c>
      <c r="AN11" s="68">
        <v>25900000</v>
      </c>
      <c r="AO11" s="68">
        <v>18332258.064516127</v>
      </c>
      <c r="AP11" s="68">
        <v>40158064.516129032</v>
      </c>
      <c r="AQ11" s="68">
        <v>91114516.129032254</v>
      </c>
      <c r="AR11" s="68">
        <v>35100000</v>
      </c>
      <c r="AS11" s="68">
        <v>66203225.806451611</v>
      </c>
      <c r="AT11" s="68">
        <v>123200000</v>
      </c>
      <c r="AU11" s="68">
        <v>34500000</v>
      </c>
      <c r="AV11" s="68">
        <v>28600000</v>
      </c>
      <c r="AW11" s="68">
        <v>28958064.516129032</v>
      </c>
      <c r="AX11" s="68">
        <v>66635483.870967738</v>
      </c>
      <c r="AY11" s="68">
        <v>67800000</v>
      </c>
      <c r="AZ11" s="68">
        <v>36700000</v>
      </c>
      <c r="BA11" s="68">
        <v>31400000</v>
      </c>
      <c r="BB11" s="68">
        <v>52100000</v>
      </c>
      <c r="BC11" s="68">
        <v>87738709.67741935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275881733.33333337</v>
      </c>
      <c r="D12" s="68">
        <v>3860000</v>
      </c>
      <c r="E12" s="68">
        <v>4728000</v>
      </c>
      <c r="F12" s="68">
        <v>5280000</v>
      </c>
      <c r="G12" s="68">
        <v>8232000</v>
      </c>
      <c r="H12" s="68">
        <v>7268000</v>
      </c>
      <c r="I12" s="68">
        <v>4240000</v>
      </c>
      <c r="J12" s="68">
        <v>5632000</v>
      </c>
      <c r="K12" s="68">
        <v>3192000</v>
      </c>
      <c r="L12" s="68">
        <v>8548000</v>
      </c>
      <c r="M12" s="68">
        <v>9772000</v>
      </c>
      <c r="N12" s="68">
        <v>5710600</v>
      </c>
      <c r="O12" s="68">
        <v>7695000</v>
      </c>
      <c r="P12" s="68">
        <v>6612000</v>
      </c>
      <c r="Q12" s="68">
        <v>4772000</v>
      </c>
      <c r="R12" s="68">
        <v>5484000</v>
      </c>
      <c r="S12" s="68">
        <v>3296000</v>
      </c>
      <c r="T12" s="68">
        <v>1632000</v>
      </c>
      <c r="U12" s="68">
        <v>5820000</v>
      </c>
      <c r="V12" s="68">
        <v>4104000</v>
      </c>
      <c r="W12" s="68">
        <v>3716000</v>
      </c>
      <c r="X12" s="68">
        <v>2348000</v>
      </c>
      <c r="Y12" s="68">
        <v>2132000</v>
      </c>
      <c r="Z12" s="68">
        <v>11584000</v>
      </c>
      <c r="AA12" s="68">
        <v>7276000</v>
      </c>
      <c r="AB12" s="68">
        <v>1104000</v>
      </c>
      <c r="AC12" s="68">
        <v>3387100</v>
      </c>
      <c r="AD12" s="68">
        <v>7025600</v>
      </c>
      <c r="AE12" s="68">
        <v>1476000</v>
      </c>
      <c r="AF12" s="68">
        <v>5552000</v>
      </c>
      <c r="AG12" s="68">
        <v>3848000</v>
      </c>
      <c r="AH12" s="68">
        <v>7042700</v>
      </c>
      <c r="AI12" s="68">
        <v>1731333.3333333335</v>
      </c>
      <c r="AJ12" s="68">
        <v>9298500</v>
      </c>
      <c r="AK12" s="68">
        <v>3916000</v>
      </c>
      <c r="AL12" s="68">
        <v>4608000</v>
      </c>
      <c r="AM12" s="68">
        <v>6601400</v>
      </c>
      <c r="AN12" s="68">
        <v>1784000</v>
      </c>
      <c r="AO12" s="68">
        <v>2780000</v>
      </c>
      <c r="AP12" s="68">
        <v>5438000</v>
      </c>
      <c r="AQ12" s="68">
        <v>11218900</v>
      </c>
      <c r="AR12" s="68">
        <v>3140000</v>
      </c>
      <c r="AS12" s="68">
        <v>6688000</v>
      </c>
      <c r="AT12" s="68">
        <v>13276000</v>
      </c>
      <c r="AU12" s="68">
        <v>2240000</v>
      </c>
      <c r="AV12" s="68">
        <v>2486000</v>
      </c>
      <c r="AW12" s="68">
        <v>3068000</v>
      </c>
      <c r="AX12" s="68">
        <v>5040000</v>
      </c>
      <c r="AY12" s="68">
        <v>8284000</v>
      </c>
      <c r="AZ12" s="68">
        <v>4137600</v>
      </c>
      <c r="BA12" s="68">
        <v>3813000</v>
      </c>
      <c r="BB12" s="68">
        <v>5512000</v>
      </c>
      <c r="BC12" s="68">
        <v>8452000</v>
      </c>
    </row>
    <row r="13" spans="1:55" s="68" customFormat="1" ht="13" x14ac:dyDescent="0.3">
      <c r="A13" s="129"/>
      <c r="B13" s="69" t="s">
        <v>12</v>
      </c>
      <c r="C13" s="62">
        <f t="shared" si="0"/>
        <v>115349032.25806452</v>
      </c>
      <c r="D13" s="68">
        <v>1640000</v>
      </c>
      <c r="E13" s="68">
        <v>2520000</v>
      </c>
      <c r="F13" s="68">
        <v>2460000</v>
      </c>
      <c r="G13" s="68">
        <v>3950000</v>
      </c>
      <c r="H13" s="68">
        <v>3150000</v>
      </c>
      <c r="I13" s="68">
        <v>2690000</v>
      </c>
      <c r="J13" s="68">
        <v>2250000</v>
      </c>
      <c r="K13" s="68">
        <v>1520000</v>
      </c>
      <c r="L13" s="68">
        <v>3130000</v>
      </c>
      <c r="M13" s="68">
        <v>4055000</v>
      </c>
      <c r="N13" s="68">
        <v>2085000</v>
      </c>
      <c r="O13" s="68">
        <v>2930000</v>
      </c>
      <c r="P13" s="68">
        <v>4450000</v>
      </c>
      <c r="Q13" s="68">
        <v>1700000</v>
      </c>
      <c r="R13" s="68">
        <v>1410000</v>
      </c>
      <c r="S13" s="68">
        <v>1580000</v>
      </c>
      <c r="T13" s="68">
        <v>1360000</v>
      </c>
      <c r="U13" s="68">
        <v>2040000</v>
      </c>
      <c r="V13" s="68">
        <v>1144838.7096774194</v>
      </c>
      <c r="W13" s="68">
        <v>1190000</v>
      </c>
      <c r="X13" s="68">
        <v>1405000</v>
      </c>
      <c r="Y13" s="68">
        <v>1400000</v>
      </c>
      <c r="Z13" s="68">
        <v>2943870.9677419355</v>
      </c>
      <c r="AA13" s="68">
        <v>2520000</v>
      </c>
      <c r="AB13" s="68">
        <v>865806.45161290327</v>
      </c>
      <c r="AC13" s="68">
        <v>1455000</v>
      </c>
      <c r="AD13" s="68">
        <v>2260000</v>
      </c>
      <c r="AE13" s="68">
        <v>720000</v>
      </c>
      <c r="AF13" s="68">
        <v>1575000</v>
      </c>
      <c r="AG13" s="68">
        <v>2060000</v>
      </c>
      <c r="AH13" s="68">
        <v>3030000</v>
      </c>
      <c r="AI13" s="68">
        <v>1134193.5483870967</v>
      </c>
      <c r="AJ13" s="68">
        <v>2930000</v>
      </c>
      <c r="AK13" s="68">
        <v>1640000</v>
      </c>
      <c r="AL13" s="68">
        <v>2920000</v>
      </c>
      <c r="AM13" s="68">
        <v>3090000</v>
      </c>
      <c r="AN13" s="68">
        <v>1320000</v>
      </c>
      <c r="AO13" s="68">
        <v>1161290.3225806451</v>
      </c>
      <c r="AP13" s="68">
        <v>2150000</v>
      </c>
      <c r="AQ13" s="68">
        <v>4035000</v>
      </c>
      <c r="AR13" s="68">
        <v>1255000</v>
      </c>
      <c r="AS13" s="68">
        <v>2260000</v>
      </c>
      <c r="AT13" s="68">
        <v>4480000</v>
      </c>
      <c r="AU13" s="68">
        <v>1875000</v>
      </c>
      <c r="AV13" s="68">
        <v>1320000</v>
      </c>
      <c r="AW13" s="68">
        <v>1845161.2903225806</v>
      </c>
      <c r="AX13" s="68">
        <v>2363870.9677419355</v>
      </c>
      <c r="AY13" s="68">
        <v>3955000</v>
      </c>
      <c r="AZ13" s="68">
        <v>2270000</v>
      </c>
      <c r="BA13" s="68">
        <v>1760000</v>
      </c>
      <c r="BB13" s="68">
        <v>1470000</v>
      </c>
      <c r="BC13" s="68">
        <v>2625000</v>
      </c>
    </row>
    <row r="14" spans="1:55" s="68" customFormat="1" ht="13" x14ac:dyDescent="0.3">
      <c r="A14" s="129"/>
      <c r="B14" s="69" t="s">
        <v>13</v>
      </c>
      <c r="C14" s="62">
        <f t="shared" si="0"/>
        <v>57981021.505376346</v>
      </c>
      <c r="D14" s="68">
        <v>785806.45161290327</v>
      </c>
      <c r="E14" s="68">
        <v>1400000</v>
      </c>
      <c r="F14" s="68">
        <v>1200000</v>
      </c>
      <c r="G14" s="68">
        <v>1515000</v>
      </c>
      <c r="H14" s="68">
        <v>1440000</v>
      </c>
      <c r="I14" s="68">
        <v>1110000</v>
      </c>
      <c r="J14" s="68">
        <v>930000</v>
      </c>
      <c r="K14" s="68">
        <v>570000</v>
      </c>
      <c r="L14" s="68">
        <v>1800000</v>
      </c>
      <c r="M14" s="68">
        <v>2506451.6129032257</v>
      </c>
      <c r="N14" s="68">
        <v>1200000</v>
      </c>
      <c r="O14" s="68">
        <v>1230000</v>
      </c>
      <c r="P14" s="68">
        <v>1830000</v>
      </c>
      <c r="Q14" s="68">
        <v>840000</v>
      </c>
      <c r="R14" s="68">
        <v>848709.67741935491</v>
      </c>
      <c r="S14" s="68">
        <v>420000</v>
      </c>
      <c r="T14" s="68">
        <v>390000</v>
      </c>
      <c r="U14" s="68">
        <v>1470000</v>
      </c>
      <c r="V14" s="68">
        <v>767419.3548387097</v>
      </c>
      <c r="W14" s="68">
        <v>986612.90322580643</v>
      </c>
      <c r="X14" s="68">
        <v>750000</v>
      </c>
      <c r="Y14" s="68">
        <v>600000</v>
      </c>
      <c r="Z14" s="68">
        <v>1393548.3870967743</v>
      </c>
      <c r="AA14" s="68">
        <v>1260000</v>
      </c>
      <c r="AB14" s="68">
        <v>367903.22580645164</v>
      </c>
      <c r="AC14" s="68">
        <v>960000</v>
      </c>
      <c r="AD14" s="68">
        <v>1050000</v>
      </c>
      <c r="AE14" s="68">
        <v>320000</v>
      </c>
      <c r="AF14" s="68">
        <v>766666.66666666663</v>
      </c>
      <c r="AG14" s="68">
        <v>1080000</v>
      </c>
      <c r="AH14" s="68">
        <v>1270000</v>
      </c>
      <c r="AI14" s="68">
        <v>507096.77419354836</v>
      </c>
      <c r="AJ14" s="68">
        <v>1765161.2903225806</v>
      </c>
      <c r="AK14" s="68">
        <v>830000</v>
      </c>
      <c r="AL14" s="68">
        <v>1265000</v>
      </c>
      <c r="AM14" s="68">
        <v>1300000</v>
      </c>
      <c r="AN14" s="68">
        <v>630000</v>
      </c>
      <c r="AO14" s="68">
        <v>580645.16129032255</v>
      </c>
      <c r="AP14" s="68">
        <v>1445806.4516129033</v>
      </c>
      <c r="AQ14" s="68">
        <v>2234193.5483870967</v>
      </c>
      <c r="AR14" s="68">
        <v>750000</v>
      </c>
      <c r="AS14" s="68">
        <v>1405161.2903225806</v>
      </c>
      <c r="AT14" s="68">
        <v>1580000</v>
      </c>
      <c r="AU14" s="68">
        <v>990000</v>
      </c>
      <c r="AV14" s="68">
        <v>660000</v>
      </c>
      <c r="AW14" s="68">
        <v>1002580.6451612903</v>
      </c>
      <c r="AX14" s="68">
        <v>1681935.4838709678</v>
      </c>
      <c r="AY14" s="68">
        <v>2015000</v>
      </c>
      <c r="AZ14" s="68">
        <v>960000</v>
      </c>
      <c r="BA14" s="68">
        <v>840000</v>
      </c>
      <c r="BB14" s="68">
        <v>750000</v>
      </c>
      <c r="BC14" s="68">
        <v>1730322.5806451612</v>
      </c>
    </row>
    <row r="15" spans="1:55" s="68" customFormat="1" ht="13" x14ac:dyDescent="0.3">
      <c r="A15" s="129"/>
      <c r="B15" s="69" t="s">
        <v>14</v>
      </c>
      <c r="C15" s="62">
        <f t="shared" si="0"/>
        <v>52684516.129032262</v>
      </c>
      <c r="D15" s="68">
        <v>654838.70967741939</v>
      </c>
      <c r="E15" s="68">
        <v>1600000</v>
      </c>
      <c r="F15" s="68">
        <v>1100000</v>
      </c>
      <c r="G15" s="68">
        <v>1700000</v>
      </c>
      <c r="H15" s="68">
        <v>900000</v>
      </c>
      <c r="I15" s="68">
        <v>1300000</v>
      </c>
      <c r="J15" s="68">
        <v>1300000</v>
      </c>
      <c r="K15" s="68">
        <v>1000000</v>
      </c>
      <c r="L15" s="68">
        <v>1900000</v>
      </c>
      <c r="M15" s="68">
        <v>1354838.7096774194</v>
      </c>
      <c r="N15" s="68">
        <v>1200000</v>
      </c>
      <c r="O15" s="68">
        <v>1100000</v>
      </c>
      <c r="P15" s="68">
        <v>1700000</v>
      </c>
      <c r="Q15" s="68">
        <v>900000</v>
      </c>
      <c r="R15" s="68">
        <v>864516.12903225806</v>
      </c>
      <c r="S15" s="68">
        <v>600000</v>
      </c>
      <c r="T15" s="68">
        <v>800000</v>
      </c>
      <c r="U15" s="68">
        <v>1800000</v>
      </c>
      <c r="V15" s="68">
        <v>829032.25806451612</v>
      </c>
      <c r="W15" s="68">
        <v>780645.16129032266</v>
      </c>
      <c r="X15" s="68">
        <v>500000</v>
      </c>
      <c r="Y15" s="68">
        <v>400000</v>
      </c>
      <c r="Z15" s="68">
        <v>770967.74193548388</v>
      </c>
      <c r="AA15" s="68">
        <v>900000</v>
      </c>
      <c r="AB15" s="68">
        <v>354838.70967741933</v>
      </c>
      <c r="AC15" s="68">
        <v>800000</v>
      </c>
      <c r="AD15" s="68">
        <v>700000</v>
      </c>
      <c r="AE15" s="68">
        <v>500000</v>
      </c>
      <c r="AF15" s="68">
        <v>900000</v>
      </c>
      <c r="AG15" s="68">
        <v>600000</v>
      </c>
      <c r="AH15" s="68">
        <v>900000</v>
      </c>
      <c r="AI15" s="68">
        <v>564516.12903225806</v>
      </c>
      <c r="AJ15" s="68">
        <v>1270967.7419354839</v>
      </c>
      <c r="AK15" s="68">
        <v>820000</v>
      </c>
      <c r="AL15" s="68">
        <v>1000000</v>
      </c>
      <c r="AM15" s="68">
        <v>1400000</v>
      </c>
      <c r="AN15" s="68">
        <v>800000</v>
      </c>
      <c r="AO15" s="68">
        <v>767741.93548387103</v>
      </c>
      <c r="AP15" s="68">
        <v>654838.70967741939</v>
      </c>
      <c r="AQ15" s="68">
        <v>1390322.5806451612</v>
      </c>
      <c r="AR15" s="68">
        <v>900000</v>
      </c>
      <c r="AS15" s="68">
        <v>1541935.4838709678</v>
      </c>
      <c r="AT15" s="68">
        <v>2200000</v>
      </c>
      <c r="AU15" s="68">
        <v>800000</v>
      </c>
      <c r="AV15" s="68">
        <v>700000</v>
      </c>
      <c r="AW15" s="68">
        <v>800000</v>
      </c>
      <c r="AX15" s="68">
        <v>1603225.8064516129</v>
      </c>
      <c r="AY15" s="68">
        <v>1000000</v>
      </c>
      <c r="AZ15" s="68">
        <v>600000</v>
      </c>
      <c r="BA15" s="68">
        <v>600000</v>
      </c>
      <c r="BB15" s="68">
        <v>800000</v>
      </c>
      <c r="BC15" s="68">
        <v>1761290.3225806453</v>
      </c>
    </row>
    <row r="16" spans="1:55" s="68" customFormat="1" ht="13" x14ac:dyDescent="0.3">
      <c r="A16" s="129"/>
      <c r="B16" s="69" t="s">
        <v>15</v>
      </c>
      <c r="C16" s="62">
        <f t="shared" si="0"/>
        <v>2200000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200000</v>
      </c>
      <c r="K16" s="68">
        <v>0</v>
      </c>
      <c r="L16" s="68">
        <v>50000</v>
      </c>
      <c r="M16" s="68">
        <v>150000</v>
      </c>
      <c r="N16" s="68">
        <v>0</v>
      </c>
      <c r="O16" s="68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400000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150000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0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29113956.989247311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1650000</v>
      </c>
      <c r="M17" s="68">
        <v>1877419.3548387098</v>
      </c>
      <c r="N17" s="68">
        <v>0</v>
      </c>
      <c r="O17" s="68">
        <v>1260000</v>
      </c>
      <c r="P17" s="68">
        <v>1140000</v>
      </c>
      <c r="Q17" s="68">
        <v>750000</v>
      </c>
      <c r="R17" s="68">
        <v>1082258.064516129</v>
      </c>
      <c r="S17" s="68">
        <v>470000</v>
      </c>
      <c r="T17" s="68">
        <v>1016000</v>
      </c>
      <c r="U17" s="68">
        <v>1350000</v>
      </c>
      <c r="V17" s="68">
        <v>564516.12903225806</v>
      </c>
      <c r="W17" s="68">
        <v>659677.41935483878</v>
      </c>
      <c r="X17" s="68">
        <v>0</v>
      </c>
      <c r="Y17" s="68">
        <v>0</v>
      </c>
      <c r="Z17" s="68">
        <v>921935.48387096776</v>
      </c>
      <c r="AA17" s="68">
        <v>0</v>
      </c>
      <c r="AB17" s="68">
        <v>790000</v>
      </c>
      <c r="AC17" s="68">
        <v>550000</v>
      </c>
      <c r="AD17" s="68">
        <v>720000</v>
      </c>
      <c r="AE17" s="68">
        <v>0</v>
      </c>
      <c r="AF17" s="68">
        <v>1066666.6666666665</v>
      </c>
      <c r="AG17" s="68">
        <v>800000</v>
      </c>
      <c r="AH17" s="68">
        <v>0</v>
      </c>
      <c r="AI17" s="68">
        <v>0</v>
      </c>
      <c r="AJ17" s="68">
        <v>1520967.7419354839</v>
      </c>
      <c r="AK17" s="68">
        <v>980000</v>
      </c>
      <c r="AL17" s="68">
        <v>0</v>
      </c>
      <c r="AM17" s="68">
        <v>0</v>
      </c>
      <c r="AN17" s="68">
        <v>0</v>
      </c>
      <c r="AO17" s="68">
        <v>0</v>
      </c>
      <c r="AP17" s="68">
        <v>1204838.7096774194</v>
      </c>
      <c r="AQ17" s="68">
        <v>1395161.2903225806</v>
      </c>
      <c r="AR17" s="68">
        <v>0</v>
      </c>
      <c r="AS17" s="68">
        <v>1220967.7419354839</v>
      </c>
      <c r="AT17" s="68">
        <v>1430000</v>
      </c>
      <c r="AU17" s="68">
        <v>0</v>
      </c>
      <c r="AV17" s="68">
        <v>0</v>
      </c>
      <c r="AW17" s="68">
        <v>0</v>
      </c>
      <c r="AX17" s="68">
        <v>901612.90322580643</v>
      </c>
      <c r="AY17" s="68">
        <v>1700000</v>
      </c>
      <c r="AZ17" s="68">
        <v>0</v>
      </c>
      <c r="BA17" s="68">
        <v>0</v>
      </c>
      <c r="BB17" s="68">
        <v>650000</v>
      </c>
      <c r="BC17" s="68">
        <v>1441935.4838709678</v>
      </c>
    </row>
    <row r="18" spans="1:57" s="68" customFormat="1" ht="13" x14ac:dyDescent="0.3">
      <c r="A18" s="129"/>
      <c r="B18" s="121" t="s">
        <v>17</v>
      </c>
      <c r="C18" s="62">
        <f t="shared" si="0"/>
        <v>59531021.505376346</v>
      </c>
      <c r="D18" s="68">
        <v>845806.45161290327</v>
      </c>
      <c r="E18" s="68">
        <v>1370000</v>
      </c>
      <c r="F18" s="68">
        <v>1260000</v>
      </c>
      <c r="G18" s="68">
        <v>1965000</v>
      </c>
      <c r="H18" s="68">
        <v>1860000</v>
      </c>
      <c r="I18" s="68">
        <v>960000</v>
      </c>
      <c r="J18" s="68">
        <v>990000</v>
      </c>
      <c r="K18" s="68">
        <v>960000</v>
      </c>
      <c r="L18" s="68">
        <v>1440000</v>
      </c>
      <c r="M18" s="68">
        <v>2506451.6129032257</v>
      </c>
      <c r="N18" s="68">
        <v>1410000</v>
      </c>
      <c r="O18" s="68">
        <v>1290000</v>
      </c>
      <c r="P18" s="68">
        <v>1920000</v>
      </c>
      <c r="Q18" s="68">
        <v>1020000</v>
      </c>
      <c r="R18" s="68">
        <v>848709.67741935491</v>
      </c>
      <c r="S18" s="68">
        <v>660000</v>
      </c>
      <c r="T18" s="68">
        <v>540000</v>
      </c>
      <c r="U18" s="68">
        <v>1590000</v>
      </c>
      <c r="V18" s="68">
        <v>767419.3548387097</v>
      </c>
      <c r="W18" s="68">
        <v>986612.90322580643</v>
      </c>
      <c r="X18" s="68">
        <v>240000</v>
      </c>
      <c r="Y18" s="68">
        <v>750000</v>
      </c>
      <c r="Z18" s="68">
        <v>1313548.3870967743</v>
      </c>
      <c r="AA18" s="68">
        <v>1260000</v>
      </c>
      <c r="AB18" s="68">
        <v>367903.22580645164</v>
      </c>
      <c r="AC18" s="68">
        <v>960000</v>
      </c>
      <c r="AD18" s="68">
        <v>1020000</v>
      </c>
      <c r="AE18" s="68">
        <v>320000</v>
      </c>
      <c r="AF18" s="68">
        <v>766666.66666666663</v>
      </c>
      <c r="AG18" s="68">
        <v>1080000</v>
      </c>
      <c r="AH18" s="68">
        <v>1230000</v>
      </c>
      <c r="AI18" s="68">
        <v>507096.77419354836</v>
      </c>
      <c r="AJ18" s="68">
        <v>2275161.2903225808</v>
      </c>
      <c r="AK18" s="68">
        <v>900000</v>
      </c>
      <c r="AL18" s="68">
        <v>1265000</v>
      </c>
      <c r="AM18" s="68">
        <v>1240000</v>
      </c>
      <c r="AN18" s="68">
        <v>630000</v>
      </c>
      <c r="AO18" s="68">
        <v>580645.16129032255</v>
      </c>
      <c r="AP18" s="68">
        <v>1445806.4516129033</v>
      </c>
      <c r="AQ18" s="68">
        <v>1674193.5483870967</v>
      </c>
      <c r="AR18" s="68">
        <v>750000</v>
      </c>
      <c r="AS18" s="68">
        <v>1555161.2903225806</v>
      </c>
      <c r="AT18" s="68">
        <v>1580000</v>
      </c>
      <c r="AU18" s="68">
        <v>990000</v>
      </c>
      <c r="AV18" s="68">
        <v>660000</v>
      </c>
      <c r="AW18" s="68">
        <v>1002580.6451612903</v>
      </c>
      <c r="AX18" s="68">
        <v>1681935.4838709678</v>
      </c>
      <c r="AY18" s="68">
        <v>2015000</v>
      </c>
      <c r="AZ18" s="68">
        <v>960000</v>
      </c>
      <c r="BA18" s="68">
        <v>840000</v>
      </c>
      <c r="BB18" s="68">
        <v>750000</v>
      </c>
      <c r="BC18" s="68">
        <v>1730322.5806451612</v>
      </c>
    </row>
    <row r="19" spans="1:57" s="68" customFormat="1" ht="13" x14ac:dyDescent="0.3">
      <c r="A19" s="130"/>
      <c r="B19" s="80" t="s">
        <v>18</v>
      </c>
      <c r="C19" s="62">
        <f>SUM(C12:C18)</f>
        <v>592741281.72043014</v>
      </c>
      <c r="D19" s="81">
        <f t="shared" ref="D19:R19" si="1">SUM(D12:D18)</f>
        <v>7786451.6129032262</v>
      </c>
      <c r="E19" s="81">
        <f t="shared" si="1"/>
        <v>11618000</v>
      </c>
      <c r="F19" s="81">
        <f t="shared" si="1"/>
        <v>11450000</v>
      </c>
      <c r="G19" s="81">
        <f t="shared" si="1"/>
        <v>17362000</v>
      </c>
      <c r="H19" s="81">
        <f t="shared" si="1"/>
        <v>14618000</v>
      </c>
      <c r="I19" s="81">
        <f t="shared" si="1"/>
        <v>10450000</v>
      </c>
      <c r="J19" s="81">
        <f t="shared" si="1"/>
        <v>11302000</v>
      </c>
      <c r="K19" s="81">
        <f>SUM(K12:K18)</f>
        <v>7242000</v>
      </c>
      <c r="L19" s="81">
        <f t="shared" si="1"/>
        <v>18518000</v>
      </c>
      <c r="M19" s="81">
        <f t="shared" si="1"/>
        <v>22222161.290322583</v>
      </c>
      <c r="N19" s="81">
        <f>SUM(N12:N18)</f>
        <v>11605600</v>
      </c>
      <c r="O19" s="81">
        <f t="shared" si="1"/>
        <v>15505000</v>
      </c>
      <c r="P19" s="81">
        <f t="shared" si="1"/>
        <v>17652000</v>
      </c>
      <c r="Q19" s="81">
        <f t="shared" si="1"/>
        <v>9982000</v>
      </c>
      <c r="R19" s="81">
        <f t="shared" si="1"/>
        <v>10588193.548387097</v>
      </c>
      <c r="S19" s="81">
        <f>SUM(S12:S18)</f>
        <v>7026000</v>
      </c>
      <c r="T19" s="81">
        <f>SUM(T12:T18)</f>
        <v>5738000</v>
      </c>
      <c r="U19" s="81">
        <f>SUM(U12:U18)</f>
        <v>14120000</v>
      </c>
      <c r="V19" s="81">
        <f>SUM(V12:V18)</f>
        <v>8177225.8064516122</v>
      </c>
      <c r="W19" s="81">
        <f>SUM(W12:W18)+350000</f>
        <v>8669548.3870967738</v>
      </c>
      <c r="X19" s="81">
        <f t="shared" ref="X19:AE19" si="2">SUM(X12:X18)</f>
        <v>5443000</v>
      </c>
      <c r="Y19" s="81">
        <f t="shared" si="2"/>
        <v>5282000</v>
      </c>
      <c r="Z19" s="81">
        <f t="shared" si="2"/>
        <v>18927870.967741936</v>
      </c>
      <c r="AA19" s="81">
        <f t="shared" si="2"/>
        <v>13366000</v>
      </c>
      <c r="AB19" s="81">
        <f t="shared" si="2"/>
        <v>3850451.6129032262</v>
      </c>
      <c r="AC19" s="81">
        <f t="shared" si="2"/>
        <v>8112100</v>
      </c>
      <c r="AD19" s="81">
        <f t="shared" si="2"/>
        <v>12775600</v>
      </c>
      <c r="AE19" s="81">
        <f t="shared" si="2"/>
        <v>3336000</v>
      </c>
      <c r="AF19" s="81">
        <f t="shared" ref="AF19:BC19" si="3">SUM(AF12:AF18)</f>
        <v>10677000</v>
      </c>
      <c r="AG19" s="81">
        <f t="shared" si="3"/>
        <v>9468000</v>
      </c>
      <c r="AH19" s="81">
        <f t="shared" si="3"/>
        <v>13472700</v>
      </c>
      <c r="AI19" s="81">
        <f t="shared" si="3"/>
        <v>4844236.5591397854</v>
      </c>
      <c r="AJ19" s="81">
        <f t="shared" si="3"/>
        <v>19060758.064516127</v>
      </c>
      <c r="AK19" s="81">
        <f t="shared" si="3"/>
        <v>9086000</v>
      </c>
      <c r="AL19" s="81">
        <f t="shared" si="3"/>
        <v>11058000</v>
      </c>
      <c r="AM19" s="81">
        <f t="shared" si="3"/>
        <v>13631400</v>
      </c>
      <c r="AN19" s="81">
        <f t="shared" si="3"/>
        <v>5164000</v>
      </c>
      <c r="AO19" s="81">
        <f t="shared" si="3"/>
        <v>5870322.5806451607</v>
      </c>
      <c r="AP19" s="81">
        <f t="shared" si="3"/>
        <v>12339290.322580643</v>
      </c>
      <c r="AQ19" s="81">
        <f t="shared" si="3"/>
        <v>21947770.967741933</v>
      </c>
      <c r="AR19" s="81">
        <f t="shared" si="3"/>
        <v>6795000</v>
      </c>
      <c r="AS19" s="81">
        <f t="shared" si="3"/>
        <v>14671225.806451615</v>
      </c>
      <c r="AT19" s="81">
        <f t="shared" si="3"/>
        <v>24546000</v>
      </c>
      <c r="AU19" s="81">
        <f t="shared" si="3"/>
        <v>6895000</v>
      </c>
      <c r="AV19" s="81">
        <f>SUM(AV12:AV18)</f>
        <v>5976000</v>
      </c>
      <c r="AW19" s="81">
        <f t="shared" si="3"/>
        <v>7718322.5806451617</v>
      </c>
      <c r="AX19" s="81">
        <f>SUM(AX12:AX18)</f>
        <v>13572580.64516129</v>
      </c>
      <c r="AY19" s="81">
        <f t="shared" si="3"/>
        <v>18969000</v>
      </c>
      <c r="AZ19" s="81">
        <f t="shared" si="3"/>
        <v>8927600</v>
      </c>
      <c r="BA19" s="81">
        <f t="shared" si="3"/>
        <v>7853000</v>
      </c>
      <c r="BB19" s="81">
        <f t="shared" si="3"/>
        <v>9932000</v>
      </c>
      <c r="BC19" s="81">
        <f t="shared" si="3"/>
        <v>17890870.967741936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4">SUM(D21:BC21)</f>
        <v>2060900000</v>
      </c>
      <c r="D21" s="82">
        <v>24000000</v>
      </c>
      <c r="E21" s="83">
        <v>51000000</v>
      </c>
      <c r="F21" s="83">
        <f>128000000/3</f>
        <v>42666666.666666664</v>
      </c>
      <c r="G21" s="82">
        <v>50700000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51000000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40000000</v>
      </c>
      <c r="AE21" s="82">
        <v>12500000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22000000</v>
      </c>
      <c r="AX21" s="82">
        <v>60000000</v>
      </c>
      <c r="AY21" s="82">
        <v>50000000</v>
      </c>
      <c r="AZ21" s="82">
        <v>32000000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4"/>
        <v>30260000</v>
      </c>
      <c r="D22" s="82"/>
      <c r="E22" s="82"/>
      <c r="F22" s="82"/>
      <c r="G22" s="82"/>
      <c r="H22" s="82"/>
      <c r="I22" s="82"/>
      <c r="J22" s="82"/>
      <c r="K22" s="82"/>
      <c r="L22" s="82"/>
      <c r="M22" s="82">
        <v>500000</v>
      </c>
      <c r="N22" s="82">
        <v>905000</v>
      </c>
      <c r="O22" s="82"/>
      <c r="P22" s="82"/>
      <c r="Q22" s="82"/>
      <c r="R22" s="82">
        <v>1400000</v>
      </c>
      <c r="S22" s="82">
        <v>3300000</v>
      </c>
      <c r="T22" s="82"/>
      <c r="U22" s="82"/>
      <c r="V22" s="82">
        <v>1000000</v>
      </c>
      <c r="W22" s="83"/>
      <c r="X22" s="82"/>
      <c r="Y22" s="82"/>
      <c r="Z22" s="82"/>
      <c r="AA22" s="82">
        <v>3000000</v>
      </c>
      <c r="AB22" s="82"/>
      <c r="AC22" s="82"/>
      <c r="AD22" s="82"/>
      <c r="AE22" s="82"/>
      <c r="AF22" s="82"/>
      <c r="AG22" s="82"/>
      <c r="AH22" s="82"/>
      <c r="AI22" s="82"/>
      <c r="AJ22" s="82">
        <v>3800000</v>
      </c>
      <c r="AK22" s="82"/>
      <c r="AL22" s="82"/>
      <c r="AM22" s="82">
        <v>1400000</v>
      </c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>
        <v>4150000</v>
      </c>
      <c r="AY22" s="82"/>
      <c r="AZ22" s="82">
        <v>905000</v>
      </c>
      <c r="BA22" s="82">
        <v>1500000</v>
      </c>
      <c r="BB22" s="82"/>
      <c r="BC22" s="82">
        <v>8400000</v>
      </c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4"/>
        <v>191872548</v>
      </c>
      <c r="D23" s="82">
        <v>2058890</v>
      </c>
      <c r="E23" s="83">
        <v>2799166</v>
      </c>
      <c r="F23" s="83">
        <v>3475591</v>
      </c>
      <c r="G23" s="83">
        <v>5777460</v>
      </c>
      <c r="H23" s="82">
        <v>5424149</v>
      </c>
      <c r="I23" s="83">
        <v>2455151.2000000002</v>
      </c>
      <c r="J23" s="82">
        <v>3682726.8</v>
      </c>
      <c r="K23" s="83">
        <v>3660379</v>
      </c>
      <c r="L23" s="83">
        <v>4493059</v>
      </c>
      <c r="M23" s="83">
        <v>5192208</v>
      </c>
      <c r="N23" s="82">
        <v>3567715</v>
      </c>
      <c r="O23" s="82">
        <v>5233572</v>
      </c>
      <c r="P23" s="82">
        <v>4287427</v>
      </c>
      <c r="Q23" s="82">
        <v>3161592</v>
      </c>
      <c r="R23" s="82">
        <v>3581858</v>
      </c>
      <c r="S23" s="82">
        <v>2909693</v>
      </c>
      <c r="T23" s="83">
        <v>2602865</v>
      </c>
      <c r="U23" s="82">
        <v>4871102</v>
      </c>
      <c r="V23" s="82">
        <v>2130862</v>
      </c>
      <c r="W23" s="83">
        <v>2336494</v>
      </c>
      <c r="X23" s="82">
        <v>1187525</v>
      </c>
      <c r="Y23" s="83">
        <v>1840558</v>
      </c>
      <c r="Z23" s="83">
        <v>6950362</v>
      </c>
      <c r="AA23" s="83">
        <v>2154449</v>
      </c>
      <c r="AB23" s="83">
        <v>1709770</v>
      </c>
      <c r="AC23" s="83">
        <v>3137227</v>
      </c>
      <c r="AD23" s="83">
        <v>3855543</v>
      </c>
      <c r="AE23" s="83">
        <v>2094362</v>
      </c>
      <c r="AF23" s="83">
        <v>3788770</v>
      </c>
      <c r="AG23" s="83">
        <v>2328782</v>
      </c>
      <c r="AH23" s="83">
        <v>4089506</v>
      </c>
      <c r="AI23" s="83">
        <v>1317406</v>
      </c>
      <c r="AJ23" s="83">
        <v>7550388</v>
      </c>
      <c r="AK23" s="83">
        <v>2994516</v>
      </c>
      <c r="AL23" s="83">
        <v>3197016</v>
      </c>
      <c r="AM23" s="83">
        <v>4508147</v>
      </c>
      <c r="AN23" s="83">
        <v>1851768</v>
      </c>
      <c r="AO23" s="83">
        <v>2169418</v>
      </c>
      <c r="AP23" s="122">
        <v>2806877</v>
      </c>
      <c r="AQ23" s="83">
        <v>6269652</v>
      </c>
      <c r="AR23" s="83">
        <v>2386130</v>
      </c>
      <c r="AS23" s="83">
        <v>4755240</v>
      </c>
      <c r="AT23" s="83">
        <v>9835624</v>
      </c>
      <c r="AU23" s="83">
        <v>1102702</v>
      </c>
      <c r="AV23" s="83">
        <v>2176870</v>
      </c>
      <c r="AW23" s="83">
        <v>1752652</v>
      </c>
      <c r="AX23" s="83">
        <v>5868828</v>
      </c>
      <c r="AY23" s="83">
        <v>6470453</v>
      </c>
      <c r="AZ23" s="83">
        <v>3077438</v>
      </c>
      <c r="BA23" s="83">
        <v>2487488</v>
      </c>
      <c r="BB23" s="83">
        <v>4613263</v>
      </c>
      <c r="BC23" s="83">
        <v>7841858</v>
      </c>
    </row>
    <row r="24" spans="1:57" s="68" customFormat="1" ht="20.5" customHeight="1" x14ac:dyDescent="0.3">
      <c r="A24" s="131"/>
      <c r="B24" s="68" t="s">
        <v>24</v>
      </c>
      <c r="C24" s="67">
        <f t="shared" si="4"/>
        <v>91743660</v>
      </c>
      <c r="D24" s="82">
        <v>799110</v>
      </c>
      <c r="E24" s="83">
        <v>939550</v>
      </c>
      <c r="F24" s="83">
        <v>3065900</v>
      </c>
      <c r="G24" s="83">
        <v>0</v>
      </c>
      <c r="H24" s="82">
        <v>3501750</v>
      </c>
      <c r="I24" s="83">
        <v>2625333.3333333335</v>
      </c>
      <c r="J24" s="82">
        <v>3108333.3333333335</v>
      </c>
      <c r="K24" s="83">
        <v>1540000</v>
      </c>
      <c r="L24" s="83">
        <v>3675000</v>
      </c>
      <c r="M24" s="83">
        <v>4173333.3333333335</v>
      </c>
      <c r="N24" s="82">
        <v>1000000</v>
      </c>
      <c r="O24" s="82">
        <v>2965850</v>
      </c>
      <c r="P24" s="82">
        <v>3811100</v>
      </c>
      <c r="Q24" s="82">
        <v>266800</v>
      </c>
      <c r="R24" s="82">
        <v>0</v>
      </c>
      <c r="S24" s="82">
        <v>1967650</v>
      </c>
      <c r="T24" s="82">
        <v>0</v>
      </c>
      <c r="U24" s="82">
        <v>1792850</v>
      </c>
      <c r="V24" s="82">
        <v>266800</v>
      </c>
      <c r="W24" s="83">
        <v>457700</v>
      </c>
      <c r="X24" s="82">
        <v>1047650</v>
      </c>
      <c r="Y24" s="82">
        <v>793650</v>
      </c>
      <c r="Z24" s="83">
        <v>1057000</v>
      </c>
      <c r="AA24" s="83">
        <v>2114850</v>
      </c>
      <c r="AB24" s="83">
        <v>358800</v>
      </c>
      <c r="AC24" s="83">
        <v>675050</v>
      </c>
      <c r="AD24" s="83">
        <v>1304529</v>
      </c>
      <c r="AE24" s="83">
        <v>869686</v>
      </c>
      <c r="AF24" s="83">
        <v>892400</v>
      </c>
      <c r="AG24" s="83">
        <v>618775</v>
      </c>
      <c r="AH24" s="83">
        <v>2067700</v>
      </c>
      <c r="AI24" s="83">
        <v>109135</v>
      </c>
      <c r="AJ24" s="83">
        <v>1070650</v>
      </c>
      <c r="AK24" s="83">
        <v>830300</v>
      </c>
      <c r="AL24" s="83">
        <v>518000</v>
      </c>
      <c r="AM24" s="83">
        <v>1942350</v>
      </c>
      <c r="AN24" s="83">
        <v>230000</v>
      </c>
      <c r="AO24" s="83"/>
      <c r="AP24" s="83">
        <v>861350</v>
      </c>
      <c r="AQ24" s="83">
        <v>3832000</v>
      </c>
      <c r="AR24" s="83">
        <v>1767550</v>
      </c>
      <c r="AS24" s="83">
        <v>4703500</v>
      </c>
      <c r="AT24" s="83">
        <v>14494600</v>
      </c>
      <c r="AU24" s="83">
        <v>248400</v>
      </c>
      <c r="AV24" s="83">
        <v>2584050</v>
      </c>
      <c r="AW24" s="83">
        <v>892400</v>
      </c>
      <c r="AX24" s="83">
        <v>0</v>
      </c>
      <c r="AY24" s="83">
        <v>2258600</v>
      </c>
      <c r="AZ24" s="83">
        <v>3230500</v>
      </c>
      <c r="BA24" s="83">
        <v>467475</v>
      </c>
      <c r="BB24" s="83">
        <v>888950</v>
      </c>
      <c r="BC24" s="83">
        <v>3056700</v>
      </c>
    </row>
    <row r="25" spans="1:57" s="68" customFormat="1" ht="19" customHeight="1" x14ac:dyDescent="0.3">
      <c r="A25" s="131"/>
      <c r="B25" s="67" t="s">
        <v>25</v>
      </c>
      <c r="C25" s="67">
        <f t="shared" si="4"/>
        <v>16422229.250000002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2">
        <v>545000</v>
      </c>
      <c r="V25" s="82">
        <v>299999.66666666669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0</v>
      </c>
      <c r="AK25" s="83">
        <v>245000</v>
      </c>
      <c r="AL25" s="83">
        <v>450000</v>
      </c>
      <c r="AM25" s="83">
        <v>639996</v>
      </c>
      <c r="AN25" s="83">
        <v>336500</v>
      </c>
      <c r="AO25" s="83"/>
      <c r="AP25" s="83">
        <v>215000</v>
      </c>
      <c r="AQ25" s="83">
        <v>470000</v>
      </c>
      <c r="AR25" s="83">
        <v>470000</v>
      </c>
      <c r="AS25" s="83">
        <v>270000</v>
      </c>
      <c r="AT25" s="83">
        <v>1090000</v>
      </c>
      <c r="AU25" s="83">
        <f>1410000/6</f>
        <v>235000</v>
      </c>
      <c r="AV25" s="83">
        <v>289833.33333333331</v>
      </c>
      <c r="AW25" s="83">
        <v>235000</v>
      </c>
      <c r="AX25" s="83">
        <v>235000</v>
      </c>
      <c r="AY25" s="83">
        <v>235000</v>
      </c>
      <c r="AZ25" s="83">
        <v>0</v>
      </c>
      <c r="BA25" s="83">
        <v>240000</v>
      </c>
      <c r="BB25" s="83">
        <v>0</v>
      </c>
      <c r="BC25" s="83"/>
    </row>
    <row r="26" spans="1:57" s="68" customFormat="1" ht="18.5" customHeight="1" x14ac:dyDescent="0.3">
      <c r="A26" s="131"/>
      <c r="B26" s="67" t="s">
        <v>26</v>
      </c>
      <c r="C26" s="67">
        <f t="shared" si="4"/>
        <v>10860000</v>
      </c>
      <c r="D26" s="82">
        <v>200000</v>
      </c>
      <c r="E26" s="82">
        <v>300000</v>
      </c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200000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2">
        <v>300000</v>
      </c>
      <c r="V26" s="82">
        <v>166666.66666666666</v>
      </c>
      <c r="W26" s="83">
        <v>166666.66666666666</v>
      </c>
      <c r="X26" s="82">
        <v>166666.66666666666</v>
      </c>
      <c r="Y26" s="82"/>
      <c r="Z26" s="83">
        <v>300000</v>
      </c>
      <c r="AA26" s="83">
        <v>500000</v>
      </c>
      <c r="AB26" s="83">
        <v>200000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>
        <v>250000</v>
      </c>
      <c r="AJ26" s="83">
        <v>250000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200000</v>
      </c>
      <c r="AQ26" s="83">
        <v>400000</v>
      </c>
      <c r="AR26" s="83">
        <v>200000</v>
      </c>
      <c r="AS26" s="83"/>
      <c r="AT26" s="83">
        <v>400000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>
        <v>0</v>
      </c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4"/>
        <v>3516000</v>
      </c>
      <c r="D27" s="82"/>
      <c r="F27" s="83"/>
      <c r="H27" s="82"/>
      <c r="I27" s="82"/>
      <c r="J27" s="83"/>
      <c r="K27" s="83"/>
      <c r="L27" s="82"/>
      <c r="M27" s="83"/>
      <c r="N27" s="82"/>
      <c r="W27" s="83"/>
      <c r="AA27" s="83">
        <v>2220000</v>
      </c>
      <c r="AC27" s="68">
        <v>1296000</v>
      </c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4"/>
        <v>4333333.333333333</v>
      </c>
      <c r="F28" s="82"/>
      <c r="I28" s="82"/>
      <c r="L28" s="82">
        <v>4000000</v>
      </c>
      <c r="M28" s="82">
        <v>333333.33333333331</v>
      </c>
      <c r="N28" s="82"/>
    </row>
    <row r="29" spans="1:57" s="64" customFormat="1" ht="13" x14ac:dyDescent="0.3">
      <c r="A29" s="88" t="s">
        <v>29</v>
      </c>
      <c r="B29" s="60"/>
      <c r="C29" s="62">
        <f>SUM(C21:C28)</f>
        <v>2409907770.5833335</v>
      </c>
      <c r="D29" s="60">
        <f t="shared" ref="D29:BC29" si="5">SUM(D21:D28)</f>
        <v>27338000</v>
      </c>
      <c r="E29" s="60">
        <f t="shared" si="5"/>
        <v>55476616</v>
      </c>
      <c r="F29" s="60">
        <f t="shared" si="5"/>
        <v>49668157.666666664</v>
      </c>
      <c r="G29" s="60">
        <f t="shared" si="5"/>
        <v>57022460</v>
      </c>
      <c r="H29" s="60">
        <f t="shared" si="5"/>
        <v>54385899</v>
      </c>
      <c r="I29" s="60">
        <f>SUM(I21:I28)</f>
        <v>43492984.783333339</v>
      </c>
      <c r="J29" s="60">
        <f t="shared" si="5"/>
        <v>43203560.133333333</v>
      </c>
      <c r="K29" s="60">
        <f t="shared" si="5"/>
        <v>27612879</v>
      </c>
      <c r="L29" s="60">
        <f t="shared" si="5"/>
        <v>86480559</v>
      </c>
      <c r="M29" s="60">
        <f t="shared" si="5"/>
        <v>75798874.666666657</v>
      </c>
      <c r="N29" s="60">
        <f t="shared" si="5"/>
        <v>52117715</v>
      </c>
      <c r="O29" s="60">
        <f t="shared" si="5"/>
        <v>59699422</v>
      </c>
      <c r="P29" s="60">
        <f t="shared" si="5"/>
        <v>69793527</v>
      </c>
      <c r="Q29" s="60">
        <f t="shared" si="5"/>
        <v>34598392</v>
      </c>
      <c r="R29" s="60">
        <f t="shared" si="5"/>
        <v>50551858</v>
      </c>
      <c r="S29" s="60">
        <f t="shared" si="5"/>
        <v>33775509.666666672</v>
      </c>
      <c r="T29" s="60">
        <f t="shared" si="5"/>
        <v>13822865</v>
      </c>
      <c r="U29" s="60">
        <f t="shared" si="5"/>
        <v>67508952</v>
      </c>
      <c r="V29" s="60">
        <f t="shared" si="5"/>
        <v>36864328.333333328</v>
      </c>
      <c r="W29" s="60">
        <f t="shared" si="5"/>
        <v>41790860.666666664</v>
      </c>
      <c r="X29" s="60">
        <f t="shared" si="5"/>
        <v>26731841.666666668</v>
      </c>
      <c r="Y29" s="60">
        <f t="shared" si="5"/>
        <v>16854208</v>
      </c>
      <c r="Z29" s="60">
        <f t="shared" si="5"/>
        <v>51872362</v>
      </c>
      <c r="AA29" s="60">
        <f t="shared" si="5"/>
        <v>52519132.333333336</v>
      </c>
      <c r="AB29" s="60">
        <f t="shared" si="5"/>
        <v>13013570</v>
      </c>
      <c r="AC29" s="60">
        <f t="shared" si="5"/>
        <v>34308277</v>
      </c>
      <c r="AD29" s="60">
        <f t="shared" si="5"/>
        <v>45630072</v>
      </c>
      <c r="AE29" s="60">
        <f t="shared" si="5"/>
        <v>15934048</v>
      </c>
      <c r="AF29" s="60">
        <f t="shared" si="5"/>
        <v>42161170</v>
      </c>
      <c r="AG29" s="60">
        <f t="shared" si="5"/>
        <v>34759223.666666672</v>
      </c>
      <c r="AH29" s="60">
        <f t="shared" si="5"/>
        <v>43002206</v>
      </c>
      <c r="AI29" s="60">
        <f t="shared" si="5"/>
        <v>11896541</v>
      </c>
      <c r="AJ29" s="60">
        <f t="shared" si="5"/>
        <v>74671038</v>
      </c>
      <c r="AK29" s="60">
        <f t="shared" si="5"/>
        <v>41369816</v>
      </c>
      <c r="AL29" s="60">
        <f t="shared" si="5"/>
        <v>39165016</v>
      </c>
      <c r="AM29" s="60">
        <f t="shared" si="5"/>
        <v>58790493</v>
      </c>
      <c r="AN29" s="60">
        <f t="shared" si="5"/>
        <v>21718268</v>
      </c>
      <c r="AO29" s="60">
        <f t="shared" si="5"/>
        <v>12169418</v>
      </c>
      <c r="AP29" s="60">
        <f t="shared" si="5"/>
        <v>40083227</v>
      </c>
      <c r="AQ29" s="60">
        <f t="shared" si="5"/>
        <v>90971652</v>
      </c>
      <c r="AR29" s="60">
        <f t="shared" si="5"/>
        <v>30823680</v>
      </c>
      <c r="AS29" s="60">
        <f t="shared" si="5"/>
        <v>63028740</v>
      </c>
      <c r="AT29" s="60">
        <f t="shared" si="5"/>
        <v>130820224</v>
      </c>
      <c r="AU29" s="60">
        <f t="shared" si="5"/>
        <v>28552768.666666668</v>
      </c>
      <c r="AV29" s="60">
        <f t="shared" si="5"/>
        <v>31350753.333333332</v>
      </c>
      <c r="AW29" s="60">
        <f t="shared" si="5"/>
        <v>25130052</v>
      </c>
      <c r="AX29" s="60">
        <f t="shared" si="5"/>
        <v>70753828</v>
      </c>
      <c r="AY29" s="60">
        <f t="shared" si="5"/>
        <v>59264053</v>
      </c>
      <c r="AZ29" s="60">
        <f t="shared" si="5"/>
        <v>39212938</v>
      </c>
      <c r="BA29" s="60">
        <f t="shared" si="5"/>
        <v>20994963</v>
      </c>
      <c r="BB29" s="60">
        <f t="shared" si="5"/>
        <v>46752213</v>
      </c>
      <c r="BC29" s="60">
        <f t="shared" si="5"/>
        <v>114598558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6">SUM(D30:BC30)</f>
        <v>67058633.166229405</v>
      </c>
      <c r="D30" s="82">
        <v>845273.41237018653</v>
      </c>
      <c r="E30" s="83">
        <v>2010733.3041697475</v>
      </c>
      <c r="F30" s="83">
        <v>1694702.4704326279</v>
      </c>
      <c r="G30" s="82">
        <v>1792246.7159475</v>
      </c>
      <c r="H30" s="83">
        <v>1758657.2438162544</v>
      </c>
      <c r="I30" s="82">
        <v>1598632.0754716981</v>
      </c>
      <c r="J30" s="82">
        <v>1568421.0526315789</v>
      </c>
      <c r="K30" s="82">
        <v>1181861.6742184614</v>
      </c>
      <c r="L30" s="83">
        <v>2465520.894788594</v>
      </c>
      <c r="M30" s="82">
        <v>2121660.3395512532</v>
      </c>
      <c r="N30" s="82">
        <v>1252128.7937823543</v>
      </c>
      <c r="O30" s="82">
        <v>1700211.3061500802</v>
      </c>
      <c r="P30" s="82">
        <v>1631021.790975905</v>
      </c>
      <c r="Q30" s="82">
        <v>1188000</v>
      </c>
      <c r="R30" s="82">
        <v>990692.20833333337</v>
      </c>
      <c r="S30" s="82">
        <v>776428.23234955268</v>
      </c>
      <c r="T30" s="83">
        <v>840366.25971143169</v>
      </c>
      <c r="U30" s="82">
        <v>1939064.4151234184</v>
      </c>
      <c r="V30" s="83">
        <v>754222.48525858368</v>
      </c>
      <c r="W30" s="83">
        <v>904150.17440070165</v>
      </c>
      <c r="X30" s="82">
        <v>795246.13014452346</v>
      </c>
      <c r="Y30" s="82">
        <v>596144.84103187034</v>
      </c>
      <c r="Z30" s="82">
        <v>1005850.8142454965</v>
      </c>
      <c r="AA30" s="82">
        <v>1776579.4098603274</v>
      </c>
      <c r="AB30" s="82">
        <v>854203.93033947679</v>
      </c>
      <c r="AC30" s="82">
        <v>966195.3355644258</v>
      </c>
      <c r="AD30" s="82">
        <v>143000</v>
      </c>
      <c r="AE30" s="82">
        <v>608756.37735109718</v>
      </c>
      <c r="AF30" s="82">
        <v>1288936.1702127659</v>
      </c>
      <c r="AG30" s="82">
        <v>845033.11258278158</v>
      </c>
      <c r="AH30" s="82">
        <v>1718700.848944478</v>
      </c>
      <c r="AI30" s="82">
        <v>703594.94762355508</v>
      </c>
      <c r="AJ30" s="83">
        <v>1820760.1425804144</v>
      </c>
      <c r="AK30" s="82">
        <v>695301.80699730874</v>
      </c>
      <c r="AL30" s="82">
        <v>1624903.9445265431</v>
      </c>
      <c r="AM30" s="82">
        <v>1594505.1957111377</v>
      </c>
      <c r="AN30" s="82">
        <v>1086502.2334433873</v>
      </c>
      <c r="AO30" s="82">
        <v>859432.97760991659</v>
      </c>
      <c r="AP30" s="82">
        <v>1071775.621477474</v>
      </c>
      <c r="AQ30" s="82">
        <v>2367623.3823535829</v>
      </c>
      <c r="AR30" s="82">
        <v>1118656.6510260615</v>
      </c>
      <c r="AS30" s="82">
        <v>1669542.1238644391</v>
      </c>
      <c r="AT30" s="82">
        <v>2563019.5617099386</v>
      </c>
      <c r="AU30" s="82">
        <v>1004978.8178623875</v>
      </c>
      <c r="AV30" s="83">
        <v>653264.42006696237</v>
      </c>
      <c r="AW30" s="82">
        <v>1303959.6302584419</v>
      </c>
      <c r="AX30" s="82">
        <v>1740010.4179133896</v>
      </c>
      <c r="AY30" s="82">
        <v>1964487.3699851411</v>
      </c>
      <c r="AZ30" s="82">
        <v>1076203.2274180141</v>
      </c>
      <c r="BA30" s="82">
        <v>1097475.7281553398</v>
      </c>
      <c r="BB30" s="82">
        <v>1105993.1458854573</v>
      </c>
      <c r="BC30" s="82">
        <v>324000</v>
      </c>
    </row>
    <row r="31" spans="1:57" s="68" customFormat="1" ht="24" customHeight="1" x14ac:dyDescent="0.3">
      <c r="A31" s="133"/>
      <c r="B31" s="67" t="s">
        <v>32</v>
      </c>
      <c r="C31" s="67">
        <f t="shared" si="6"/>
        <v>6327394.5743821952</v>
      </c>
      <c r="D31" s="82">
        <v>74882.995319812791</v>
      </c>
      <c r="E31" s="83">
        <v>159126.36505460218</v>
      </c>
      <c r="F31" s="83">
        <v>131045.24180967238</v>
      </c>
      <c r="G31" s="82">
        <v>205928.23712948518</v>
      </c>
      <c r="H31" s="83">
        <v>140405.61622464898</v>
      </c>
      <c r="I31" s="82">
        <v>121684.86739469579</v>
      </c>
      <c r="J31" s="82">
        <v>121684.86739469579</v>
      </c>
      <c r="K31" s="82">
        <v>93385.21400778211</v>
      </c>
      <c r="L31" s="83">
        <v>177847.11388455538</v>
      </c>
      <c r="M31" s="82">
        <v>168486.73946957878</v>
      </c>
      <c r="N31" s="82">
        <v>140405.61622464898</v>
      </c>
      <c r="O31" s="82">
        <v>159126.36505460218</v>
      </c>
      <c r="P31" s="82">
        <v>168486.73946957878</v>
      </c>
      <c r="Q31" s="82">
        <v>93603.744149765989</v>
      </c>
      <c r="R31" s="82">
        <v>112324.49297971919</v>
      </c>
      <c r="S31" s="82">
        <v>84243.36973478939</v>
      </c>
      <c r="T31" s="83">
        <v>84243.36973478939</v>
      </c>
      <c r="U31" s="82">
        <v>196567.86271450858</v>
      </c>
      <c r="V31" s="83">
        <v>93603.744149765989</v>
      </c>
      <c r="W31" s="83">
        <v>102964.11856474259</v>
      </c>
      <c r="X31" s="82">
        <v>74882.995319812791</v>
      </c>
      <c r="Y31" s="82">
        <v>65522.620904836192</v>
      </c>
      <c r="Z31" s="82">
        <v>121684.86739469579</v>
      </c>
      <c r="AA31" s="82">
        <v>140405.61622464898</v>
      </c>
      <c r="AB31" s="82">
        <v>65522.620904836192</v>
      </c>
      <c r="AC31" s="82">
        <v>84243.36973478939</v>
      </c>
      <c r="AD31" s="82">
        <v>102964.11856474259</v>
      </c>
      <c r="AE31" s="82">
        <v>65522.620904836192</v>
      </c>
      <c r="AF31" s="82">
        <v>93603.744149765989</v>
      </c>
      <c r="AG31" s="82">
        <v>102964.11856474259</v>
      </c>
      <c r="AH31" s="82">
        <v>131045.24180967238</v>
      </c>
      <c r="AI31" s="82">
        <v>74882.995319812791</v>
      </c>
      <c r="AJ31" s="83">
        <v>159126.36505460218</v>
      </c>
      <c r="AK31" s="82">
        <v>102964.11856474259</v>
      </c>
      <c r="AL31" s="82">
        <v>131045.24180967238</v>
      </c>
      <c r="AM31" s="82">
        <v>168486.73946957878</v>
      </c>
      <c r="AN31" s="82">
        <v>84243.36973478939</v>
      </c>
      <c r="AO31" s="82">
        <v>65522.620904836192</v>
      </c>
      <c r="AP31" s="82">
        <v>93603.744149765989</v>
      </c>
      <c r="AQ31" s="82">
        <v>205928.23712948518</v>
      </c>
      <c r="AR31" s="82">
        <v>93603.744149765989</v>
      </c>
      <c r="AS31" s="82">
        <v>149765.99063962558</v>
      </c>
      <c r="AT31" s="82">
        <v>243369.73478939157</v>
      </c>
      <c r="AU31" s="82">
        <v>84243.36973478939</v>
      </c>
      <c r="AV31" s="83">
        <v>74882.995319812791</v>
      </c>
      <c r="AW31" s="82">
        <v>84243.36973478939</v>
      </c>
      <c r="AX31" s="82">
        <v>168486.73946957878</v>
      </c>
      <c r="AY31" s="82">
        <v>140405.61622464898</v>
      </c>
      <c r="AZ31" s="82">
        <v>93603.744149765989</v>
      </c>
      <c r="BA31" s="82">
        <v>84243.36973478939</v>
      </c>
      <c r="BB31" s="82">
        <v>93603.744149765989</v>
      </c>
      <c r="BC31" s="82">
        <v>252730.10920436817</v>
      </c>
    </row>
    <row r="32" spans="1:57" s="68" customFormat="1" ht="24" customHeight="1" x14ac:dyDescent="0.3">
      <c r="A32" s="133"/>
      <c r="B32" s="67" t="s">
        <v>33</v>
      </c>
      <c r="C32" s="67">
        <f t="shared" si="6"/>
        <v>10004828.811985163</v>
      </c>
      <c r="D32" s="82">
        <v>118402.49609984399</v>
      </c>
      <c r="E32" s="83">
        <v>251605.3042121685</v>
      </c>
      <c r="F32" s="83">
        <v>207204.36817472699</v>
      </c>
      <c r="G32" s="82">
        <v>325606.86427457095</v>
      </c>
      <c r="H32" s="83">
        <v>222004.68018720747</v>
      </c>
      <c r="I32" s="82">
        <v>192404.0561622465</v>
      </c>
      <c r="J32" s="82">
        <v>192404.0561622465</v>
      </c>
      <c r="K32" s="82">
        <v>147821.01167315175</v>
      </c>
      <c r="L32" s="83">
        <v>281205.92823712947</v>
      </c>
      <c r="M32" s="82">
        <v>266405.61622464901</v>
      </c>
      <c r="N32" s="82">
        <v>222004.68018720747</v>
      </c>
      <c r="O32" s="82">
        <v>251605.3042121685</v>
      </c>
      <c r="P32" s="82">
        <v>266405.61622464901</v>
      </c>
      <c r="Q32" s="82">
        <v>148003.12012480499</v>
      </c>
      <c r="R32" s="82">
        <v>177603.74414976599</v>
      </c>
      <c r="S32" s="82">
        <v>133202.80811232451</v>
      </c>
      <c r="T32" s="83">
        <v>133202.80811232451</v>
      </c>
      <c r="U32" s="82">
        <v>310806.5522620905</v>
      </c>
      <c r="V32" s="83">
        <v>148003.12012480499</v>
      </c>
      <c r="W32" s="83">
        <v>162803.43213728548</v>
      </c>
      <c r="X32" s="82">
        <v>118402.49609984399</v>
      </c>
      <c r="Y32" s="82">
        <v>103602.18408736349</v>
      </c>
      <c r="Z32" s="82">
        <v>192404.0561622465</v>
      </c>
      <c r="AA32" s="82">
        <v>222004.68018720747</v>
      </c>
      <c r="AB32" s="82">
        <v>103602.18408736349</v>
      </c>
      <c r="AC32" s="82">
        <v>133202.80811232451</v>
      </c>
      <c r="AD32" s="82">
        <v>162803.43213728548</v>
      </c>
      <c r="AE32" s="82">
        <v>103602.18408736349</v>
      </c>
      <c r="AF32" s="82">
        <v>148003.12012480499</v>
      </c>
      <c r="AG32" s="82">
        <v>162803.43213728548</v>
      </c>
      <c r="AH32" s="82">
        <v>207204.36817472699</v>
      </c>
      <c r="AI32" s="82">
        <v>118402.49609984399</v>
      </c>
      <c r="AJ32" s="83">
        <v>251605.3042121685</v>
      </c>
      <c r="AK32" s="82">
        <v>162803.43213728548</v>
      </c>
      <c r="AL32" s="82">
        <v>207204.36817472699</v>
      </c>
      <c r="AM32" s="82">
        <v>266405.61622464901</v>
      </c>
      <c r="AN32" s="82">
        <v>133202.80811232451</v>
      </c>
      <c r="AO32" s="82">
        <v>103602.18408736349</v>
      </c>
      <c r="AP32" s="82">
        <v>148003.12012480499</v>
      </c>
      <c r="AQ32" s="82">
        <v>325606.86427457095</v>
      </c>
      <c r="AR32" s="82">
        <v>148003.12012480499</v>
      </c>
      <c r="AS32" s="82">
        <v>236804.99219968799</v>
      </c>
      <c r="AT32" s="82">
        <v>384808.11232449301</v>
      </c>
      <c r="AU32" s="82">
        <v>133202.80811232451</v>
      </c>
      <c r="AV32" s="83">
        <v>118402.49609984399</v>
      </c>
      <c r="AW32" s="82">
        <v>133202.80811232451</v>
      </c>
      <c r="AX32" s="82">
        <v>266405.61622464901</v>
      </c>
      <c r="AY32" s="82">
        <v>222004.68018720747</v>
      </c>
      <c r="AZ32" s="82">
        <v>148003.12012480499</v>
      </c>
      <c r="BA32" s="82">
        <v>133202.80811232451</v>
      </c>
      <c r="BB32" s="82">
        <v>148003.12012480499</v>
      </c>
      <c r="BC32" s="82">
        <v>399608.42433697346</v>
      </c>
    </row>
    <row r="33" spans="1:57" s="68" customFormat="1" ht="24" customHeight="1" x14ac:dyDescent="0.3">
      <c r="A33" s="133"/>
      <c r="B33" s="67" t="s">
        <v>166</v>
      </c>
      <c r="C33" s="67">
        <f t="shared" si="6"/>
        <v>7598263.0495881289</v>
      </c>
      <c r="D33" s="82">
        <v>89921.996879875194</v>
      </c>
      <c r="E33" s="83">
        <v>191084.24336973479</v>
      </c>
      <c r="F33" s="83">
        <v>157363.49453978159</v>
      </c>
      <c r="G33" s="82">
        <v>247285.49141965678</v>
      </c>
      <c r="H33" s="83">
        <v>168603.74414976599</v>
      </c>
      <c r="I33" s="82">
        <v>146123.24492979719</v>
      </c>
      <c r="J33" s="82">
        <v>146123.24492979719</v>
      </c>
      <c r="K33" s="82">
        <v>112256.8093385214</v>
      </c>
      <c r="L33" s="83">
        <v>213564.74258970359</v>
      </c>
      <c r="M33" s="82">
        <v>202324.49297971919</v>
      </c>
      <c r="N33" s="82">
        <v>168603.74414976599</v>
      </c>
      <c r="O33" s="82">
        <v>191084.24336973479</v>
      </c>
      <c r="P33" s="82">
        <v>202324.49297971919</v>
      </c>
      <c r="Q33" s="82">
        <v>112402.49609984399</v>
      </c>
      <c r="R33" s="82">
        <v>134882.99531981279</v>
      </c>
      <c r="S33" s="82">
        <v>101162.24648985959</v>
      </c>
      <c r="T33" s="83">
        <v>101162.24648985959</v>
      </c>
      <c r="U33" s="82">
        <v>236045.24180967238</v>
      </c>
      <c r="V33" s="83">
        <v>112402.49609984399</v>
      </c>
      <c r="W33" s="83">
        <v>123642.74570982839</v>
      </c>
      <c r="X33" s="82">
        <v>89921.996879875194</v>
      </c>
      <c r="Y33" s="82">
        <v>78681.747269890795</v>
      </c>
      <c r="Z33" s="82">
        <v>146123.24492979719</v>
      </c>
      <c r="AA33" s="82">
        <v>168603.74414976599</v>
      </c>
      <c r="AB33" s="82">
        <v>78681.747269890795</v>
      </c>
      <c r="AC33" s="82">
        <v>101162.24648985959</v>
      </c>
      <c r="AD33" s="82">
        <v>123642.74570982839</v>
      </c>
      <c r="AE33" s="82">
        <v>78681.747269890795</v>
      </c>
      <c r="AF33" s="82">
        <v>112402.49609984399</v>
      </c>
      <c r="AG33" s="82">
        <v>123642.74570982839</v>
      </c>
      <c r="AH33" s="82">
        <v>157363.49453978159</v>
      </c>
      <c r="AI33" s="82">
        <v>89921.996879875194</v>
      </c>
      <c r="AJ33" s="83">
        <v>191084.24336973479</v>
      </c>
      <c r="AK33" s="82">
        <v>123642.74570982839</v>
      </c>
      <c r="AL33" s="82">
        <v>157363.49453978159</v>
      </c>
      <c r="AM33" s="82">
        <v>202324.49297971919</v>
      </c>
      <c r="AN33" s="82">
        <v>101162.24648985959</v>
      </c>
      <c r="AO33" s="82">
        <v>78681.747269890795</v>
      </c>
      <c r="AP33" s="82">
        <v>112402.49609984399</v>
      </c>
      <c r="AQ33" s="82">
        <v>247285.49141965678</v>
      </c>
      <c r="AR33" s="82">
        <v>112402.49609984399</v>
      </c>
      <c r="AS33" s="82">
        <v>179843.99375975039</v>
      </c>
      <c r="AT33" s="82">
        <v>292246.48985959438</v>
      </c>
      <c r="AU33" s="82">
        <v>101162.24648985959</v>
      </c>
      <c r="AV33" s="83">
        <v>89921.996879875194</v>
      </c>
      <c r="AW33" s="82">
        <v>101162.24648985959</v>
      </c>
      <c r="AX33" s="82">
        <v>202324.49297971919</v>
      </c>
      <c r="AY33" s="82">
        <v>168603.74414976599</v>
      </c>
      <c r="AZ33" s="82">
        <v>112402.49609984399</v>
      </c>
      <c r="BA33" s="82">
        <v>101162.24648985959</v>
      </c>
      <c r="BB33" s="82">
        <v>112402.49609984399</v>
      </c>
      <c r="BC33" s="82">
        <v>303486.73946957878</v>
      </c>
    </row>
    <row r="34" spans="1:57" s="68" customFormat="1" ht="24" customHeight="1" x14ac:dyDescent="0.3">
      <c r="A34" s="133"/>
      <c r="B34" s="67" t="s">
        <v>167</v>
      </c>
      <c r="C34" s="67">
        <f t="shared" si="6"/>
        <v>3163697.2871910976</v>
      </c>
      <c r="D34" s="82">
        <v>37441.497659906396</v>
      </c>
      <c r="E34" s="83">
        <v>79563.182527301091</v>
      </c>
      <c r="F34" s="83">
        <v>65522.620904836192</v>
      </c>
      <c r="G34" s="82">
        <v>102964.11856474259</v>
      </c>
      <c r="H34" s="83">
        <v>70202.808112324492</v>
      </c>
      <c r="I34" s="82">
        <v>60842.433697347893</v>
      </c>
      <c r="J34" s="82">
        <v>60842.433697347893</v>
      </c>
      <c r="K34" s="82">
        <v>46692.607003891055</v>
      </c>
      <c r="L34" s="83">
        <v>88923.55694227769</v>
      </c>
      <c r="M34" s="82">
        <v>84243.36973478939</v>
      </c>
      <c r="N34" s="82">
        <v>70202.808112324492</v>
      </c>
      <c r="O34" s="82">
        <v>79563.182527301091</v>
      </c>
      <c r="P34" s="82">
        <v>84243.36973478939</v>
      </c>
      <c r="Q34" s="82">
        <v>46801.872074882995</v>
      </c>
      <c r="R34" s="82">
        <v>56162.246489859594</v>
      </c>
      <c r="S34" s="82">
        <v>42121.684867394695</v>
      </c>
      <c r="T34" s="83">
        <v>42121.684867394695</v>
      </c>
      <c r="U34" s="82">
        <v>98283.931357254289</v>
      </c>
      <c r="V34" s="83">
        <v>46801.872074882995</v>
      </c>
      <c r="W34" s="83">
        <v>51482.059282371294</v>
      </c>
      <c r="X34" s="82">
        <v>37441.497659906396</v>
      </c>
      <c r="Y34" s="82">
        <v>32761.310452418096</v>
      </c>
      <c r="Z34" s="82">
        <v>60842.433697347893</v>
      </c>
      <c r="AA34" s="82">
        <v>70202.808112324492</v>
      </c>
      <c r="AB34" s="82">
        <v>32761.310452418096</v>
      </c>
      <c r="AC34" s="82">
        <v>42121.684867394695</v>
      </c>
      <c r="AD34" s="82">
        <v>51482.059282371294</v>
      </c>
      <c r="AE34" s="82">
        <v>32761.310452418096</v>
      </c>
      <c r="AF34" s="82">
        <v>46801.872074882995</v>
      </c>
      <c r="AG34" s="82">
        <v>51482.059282371294</v>
      </c>
      <c r="AH34" s="82">
        <v>65522.620904836192</v>
      </c>
      <c r="AI34" s="82">
        <v>37441.497659906396</v>
      </c>
      <c r="AJ34" s="83">
        <v>79563.182527301091</v>
      </c>
      <c r="AK34" s="82">
        <v>51482.059282371294</v>
      </c>
      <c r="AL34" s="82">
        <v>65522.620904836192</v>
      </c>
      <c r="AM34" s="82">
        <v>84243.36973478939</v>
      </c>
      <c r="AN34" s="82">
        <v>42121.684867394695</v>
      </c>
      <c r="AO34" s="82">
        <v>32761.310452418096</v>
      </c>
      <c r="AP34" s="82">
        <v>46801.872074882995</v>
      </c>
      <c r="AQ34" s="82">
        <v>102964.11856474259</v>
      </c>
      <c r="AR34" s="82">
        <v>46801.872074882995</v>
      </c>
      <c r="AS34" s="82">
        <v>74882.995319812791</v>
      </c>
      <c r="AT34" s="82">
        <v>121684.86739469579</v>
      </c>
      <c r="AU34" s="82">
        <v>42121.684867394695</v>
      </c>
      <c r="AV34" s="83">
        <v>37441.497659906396</v>
      </c>
      <c r="AW34" s="82">
        <v>42121.684867394695</v>
      </c>
      <c r="AX34" s="82">
        <v>84243.36973478939</v>
      </c>
      <c r="AY34" s="82">
        <v>70202.808112324492</v>
      </c>
      <c r="AZ34" s="82">
        <v>46801.872074882995</v>
      </c>
      <c r="BA34" s="82">
        <v>42121.684867394695</v>
      </c>
      <c r="BB34" s="82">
        <v>46801.872074882995</v>
      </c>
      <c r="BC34" s="82">
        <v>126365.05460218409</v>
      </c>
    </row>
    <row r="35" spans="1:57" s="68" customFormat="1" ht="21.5" customHeight="1" x14ac:dyDescent="0.3">
      <c r="A35" s="133"/>
      <c r="B35" s="67" t="s">
        <v>35</v>
      </c>
      <c r="C35" s="67">
        <f t="shared" si="6"/>
        <v>18173007.504416127</v>
      </c>
      <c r="D35" s="82">
        <v>215072.60530421216</v>
      </c>
      <c r="E35" s="83">
        <v>457029.28627145087</v>
      </c>
      <c r="F35" s="83">
        <v>376377.05928237131</v>
      </c>
      <c r="G35" s="82">
        <v>591449.6645865835</v>
      </c>
      <c r="H35" s="83">
        <v>403261.13494539779</v>
      </c>
      <c r="I35" s="82">
        <v>349492.98361934477</v>
      </c>
      <c r="J35" s="82">
        <v>349492.98361934477</v>
      </c>
      <c r="K35" s="82">
        <v>268213.1128404669</v>
      </c>
      <c r="L35" s="83">
        <v>510797.43759750389</v>
      </c>
      <c r="M35" s="82">
        <v>483913.36193447735</v>
      </c>
      <c r="N35" s="82">
        <v>403261.13494539779</v>
      </c>
      <c r="O35" s="82">
        <v>457029.28627145087</v>
      </c>
      <c r="P35" s="82">
        <v>483913.36193447735</v>
      </c>
      <c r="Q35" s="82">
        <v>268840.75663026521</v>
      </c>
      <c r="R35" s="82">
        <v>322608.90795631823</v>
      </c>
      <c r="S35" s="82">
        <v>241956.68096723867</v>
      </c>
      <c r="T35" s="83">
        <v>241956.68096723867</v>
      </c>
      <c r="U35" s="82">
        <v>564565.58892355696</v>
      </c>
      <c r="V35" s="83">
        <v>268840.75663026521</v>
      </c>
      <c r="W35" s="83">
        <v>295724.83229329175</v>
      </c>
      <c r="X35" s="82">
        <v>215072.60530421216</v>
      </c>
      <c r="Y35" s="82">
        <v>188188.52964118565</v>
      </c>
      <c r="Z35" s="82">
        <v>349492.98361934477</v>
      </c>
      <c r="AA35" s="82">
        <v>403261.13494539779</v>
      </c>
      <c r="AB35" s="82">
        <v>188188.52964118565</v>
      </c>
      <c r="AC35" s="82">
        <v>241956.68096723867</v>
      </c>
      <c r="AD35" s="82">
        <v>295724.83229329175</v>
      </c>
      <c r="AE35" s="82">
        <v>188188.52964118565</v>
      </c>
      <c r="AF35" s="82">
        <v>268840.75663026521</v>
      </c>
      <c r="AG35" s="82">
        <v>295724.83229329175</v>
      </c>
      <c r="AH35" s="82">
        <v>376377.05928237131</v>
      </c>
      <c r="AI35" s="82">
        <v>215072.60530421216</v>
      </c>
      <c r="AJ35" s="83">
        <v>457029.28627145087</v>
      </c>
      <c r="AK35" s="82">
        <v>295724.83229329175</v>
      </c>
      <c r="AL35" s="82">
        <v>376377.05928237131</v>
      </c>
      <c r="AM35" s="82">
        <v>483913.36193447735</v>
      </c>
      <c r="AN35" s="82">
        <v>241956.68096723867</v>
      </c>
      <c r="AO35" s="82">
        <v>188188.52964118565</v>
      </c>
      <c r="AP35" s="82">
        <v>268840.75663026521</v>
      </c>
      <c r="AQ35" s="82">
        <v>591449.6645865835</v>
      </c>
      <c r="AR35" s="82">
        <v>268840.75663026521</v>
      </c>
      <c r="AS35" s="82">
        <v>430145.21060842433</v>
      </c>
      <c r="AT35" s="82">
        <v>698985.96723868954</v>
      </c>
      <c r="AU35" s="82">
        <v>241956.68096723867</v>
      </c>
      <c r="AV35" s="83">
        <v>215072.60530421216</v>
      </c>
      <c r="AW35" s="82">
        <v>241956.68096723867</v>
      </c>
      <c r="AX35" s="82">
        <v>483913.36193447735</v>
      </c>
      <c r="AY35" s="82">
        <v>403261.13494539779</v>
      </c>
      <c r="AZ35" s="82">
        <v>268840.75663026521</v>
      </c>
      <c r="BA35" s="82">
        <v>241956.68096723867</v>
      </c>
      <c r="BB35" s="82">
        <v>268840.75663026521</v>
      </c>
      <c r="BC35" s="82">
        <v>725870.04290171608</v>
      </c>
    </row>
    <row r="36" spans="1:57" s="68" customFormat="1" ht="21" customHeight="1" x14ac:dyDescent="0.3">
      <c r="A36" s="133"/>
      <c r="B36" s="67" t="s">
        <v>36</v>
      </c>
      <c r="C36" s="67">
        <f t="shared" si="6"/>
        <v>22000000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370000</v>
      </c>
      <c r="J36" s="82">
        <v>370000</v>
      </c>
      <c r="K36" s="82">
        <v>370000</v>
      </c>
      <c r="L36" s="83">
        <v>370000</v>
      </c>
      <c r="M36" s="82">
        <v>370000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2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2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6"/>
        <v>8306659.2237288533</v>
      </c>
      <c r="D37" s="82">
        <v>102480.4992199688</v>
      </c>
      <c r="E37" s="83">
        <v>206521.06084243371</v>
      </c>
      <c r="F37" s="83">
        <v>171840.8736349454</v>
      </c>
      <c r="G37" s="82">
        <v>264321.37285491417</v>
      </c>
      <c r="H37" s="83">
        <v>183400.93603744148</v>
      </c>
      <c r="I37" s="82">
        <v>160280.81123244931</v>
      </c>
      <c r="J37" s="82">
        <v>160280.81123244931</v>
      </c>
      <c r="K37" s="82">
        <v>125564.20233463035</v>
      </c>
      <c r="L37" s="83">
        <v>229641.18564742588</v>
      </c>
      <c r="M37" s="82">
        <v>218081.1232449298</v>
      </c>
      <c r="N37" s="82">
        <v>183400.93603744148</v>
      </c>
      <c r="O37" s="82">
        <v>206521.06084243371</v>
      </c>
      <c r="P37" s="82">
        <v>218081.1232449298</v>
      </c>
      <c r="Q37" s="82">
        <v>125600.624024961</v>
      </c>
      <c r="R37" s="82">
        <v>148720.7488299532</v>
      </c>
      <c r="S37" s="82">
        <v>114040.5616224649</v>
      </c>
      <c r="T37" s="83">
        <v>114040.5616224649</v>
      </c>
      <c r="U37" s="82">
        <v>254854.77178423235</v>
      </c>
      <c r="V37" s="83">
        <v>125600.624024961</v>
      </c>
      <c r="W37" s="83">
        <v>137160.68642745708</v>
      </c>
      <c r="X37" s="82">
        <v>102480.4992199688</v>
      </c>
      <c r="Y37" s="82">
        <v>90920.436817472699</v>
      </c>
      <c r="Z37" s="82">
        <v>160280.81123244931</v>
      </c>
      <c r="AA37" s="82">
        <v>183400.93603744148</v>
      </c>
      <c r="AB37" s="82">
        <v>90920.436817472699</v>
      </c>
      <c r="AC37" s="82">
        <v>114040.5616224649</v>
      </c>
      <c r="AD37" s="82">
        <v>137160.68642745708</v>
      </c>
      <c r="AE37" s="82">
        <v>90920.436817472699</v>
      </c>
      <c r="AF37" s="82">
        <v>125600.624024961</v>
      </c>
      <c r="AG37" s="82">
        <v>137160.68642745708</v>
      </c>
      <c r="AH37" s="82">
        <v>171840.8736349454</v>
      </c>
      <c r="AI37" s="82">
        <v>102480.4992199688</v>
      </c>
      <c r="AJ37" s="83">
        <v>206521.06084243371</v>
      </c>
      <c r="AK37" s="82">
        <v>137160.68642745708</v>
      </c>
      <c r="AL37" s="82">
        <v>171840.8736349454</v>
      </c>
      <c r="AM37" s="82">
        <v>218081.1232449298</v>
      </c>
      <c r="AN37" s="82">
        <v>114040.5616224649</v>
      </c>
      <c r="AO37" s="82">
        <v>90920.436817472699</v>
      </c>
      <c r="AP37" s="82">
        <v>125600.624024961</v>
      </c>
      <c r="AQ37" s="82">
        <v>264321.37285491417</v>
      </c>
      <c r="AR37" s="82">
        <v>125600.624024961</v>
      </c>
      <c r="AS37" s="82">
        <v>194960.9984399376</v>
      </c>
      <c r="AT37" s="82">
        <v>290561.62246489862</v>
      </c>
      <c r="AU37" s="82">
        <v>114040.5616224649</v>
      </c>
      <c r="AV37" s="83">
        <v>102480.4992199688</v>
      </c>
      <c r="AW37" s="82">
        <v>114040.5616224649</v>
      </c>
      <c r="AX37" s="82">
        <v>218081.1232449298</v>
      </c>
      <c r="AY37" s="82">
        <v>183400.93603744148</v>
      </c>
      <c r="AZ37" s="82">
        <v>115600.624024961</v>
      </c>
      <c r="BA37" s="82">
        <v>114040.5616224649</v>
      </c>
      <c r="BB37" s="82">
        <v>125600.624024961</v>
      </c>
      <c r="BC37" s="82">
        <v>322121.68486739468</v>
      </c>
    </row>
    <row r="38" spans="1:57" s="68" customFormat="1" ht="24" customHeight="1" x14ac:dyDescent="0.3">
      <c r="A38" s="133"/>
      <c r="B38" s="67" t="s">
        <v>38</v>
      </c>
      <c r="C38" s="67">
        <f t="shared" si="6"/>
        <v>11600223.38636736</v>
      </c>
      <c r="D38" s="82">
        <v>137285.49141965678</v>
      </c>
      <c r="E38" s="83">
        <v>291731.66926677065</v>
      </c>
      <c r="F38" s="83">
        <v>240249.60998439937</v>
      </c>
      <c r="G38" s="82">
        <v>377535.10140405619</v>
      </c>
      <c r="H38" s="83">
        <v>257410.29641185649</v>
      </c>
      <c r="I38" s="82">
        <v>223088.92355694226</v>
      </c>
      <c r="J38" s="82">
        <v>223088.92355694226</v>
      </c>
      <c r="K38" s="82">
        <v>171206.22568093386</v>
      </c>
      <c r="L38" s="83">
        <v>326053.04212168488</v>
      </c>
      <c r="M38" s="82">
        <v>308892.35569422774</v>
      </c>
      <c r="N38" s="83">
        <v>257410.29641185649</v>
      </c>
      <c r="O38" s="82">
        <v>291731.66926677065</v>
      </c>
      <c r="P38" s="82">
        <v>308892.35569422774</v>
      </c>
      <c r="Q38" s="82">
        <v>171606.86427457098</v>
      </c>
      <c r="R38" s="82">
        <v>205928.23712948518</v>
      </c>
      <c r="S38" s="82">
        <v>154446.17784711387</v>
      </c>
      <c r="T38" s="83">
        <v>154446.17784711387</v>
      </c>
      <c r="U38" s="82">
        <v>360374.41497659904</v>
      </c>
      <c r="V38" s="83">
        <v>171606.86427457098</v>
      </c>
      <c r="W38" s="83">
        <v>188767.55070202809</v>
      </c>
      <c r="X38" s="82">
        <v>137285.49141965678</v>
      </c>
      <c r="Y38" s="82">
        <v>120124.80499219969</v>
      </c>
      <c r="Z38" s="82">
        <v>223088.92355694226</v>
      </c>
      <c r="AA38" s="82">
        <v>257410.29641185649</v>
      </c>
      <c r="AB38" s="82">
        <v>120124.80499219969</v>
      </c>
      <c r="AC38" s="82">
        <v>154446.17784711387</v>
      </c>
      <c r="AD38" s="82">
        <v>188767.55070202809</v>
      </c>
      <c r="AE38" s="82">
        <v>120124.80499219969</v>
      </c>
      <c r="AF38" s="82">
        <v>171606.86427457098</v>
      </c>
      <c r="AG38" s="82">
        <v>188767.55070202809</v>
      </c>
      <c r="AH38" s="82">
        <v>240249.60998439937</v>
      </c>
      <c r="AI38" s="82">
        <v>137285.49141965678</v>
      </c>
      <c r="AJ38" s="83">
        <v>291731.66926677065</v>
      </c>
      <c r="AK38" s="82">
        <v>188767.55070202809</v>
      </c>
      <c r="AL38" s="82">
        <v>240249.60998439937</v>
      </c>
      <c r="AM38" s="82">
        <v>308892.35569422774</v>
      </c>
      <c r="AN38" s="82">
        <v>154446.17784711387</v>
      </c>
      <c r="AO38" s="82">
        <v>120124.80499219969</v>
      </c>
      <c r="AP38" s="82">
        <v>171606.86427457098</v>
      </c>
      <c r="AQ38" s="82">
        <v>377535.10140405619</v>
      </c>
      <c r="AR38" s="82">
        <v>171606.86427457098</v>
      </c>
      <c r="AS38" s="82">
        <v>274570.98283931357</v>
      </c>
      <c r="AT38" s="82">
        <v>446177.84711388452</v>
      </c>
      <c r="AU38" s="82">
        <v>154446.17784711387</v>
      </c>
      <c r="AV38" s="83">
        <v>137285.49141965678</v>
      </c>
      <c r="AW38" s="82">
        <v>154446.17784711387</v>
      </c>
      <c r="AX38" s="82">
        <v>308892.35569422774</v>
      </c>
      <c r="AY38" s="82">
        <v>257410.29641185649</v>
      </c>
      <c r="AZ38" s="82">
        <v>171606.86427457098</v>
      </c>
      <c r="BA38" s="82">
        <v>154446.17784711387</v>
      </c>
      <c r="BB38" s="82">
        <v>171606.86427457098</v>
      </c>
      <c r="BC38" s="82">
        <v>463338.53354134166</v>
      </c>
    </row>
    <row r="39" spans="1:57" s="68" customFormat="1" ht="21" customHeight="1" x14ac:dyDescent="0.35">
      <c r="A39" s="133"/>
      <c r="B39" s="67" t="s">
        <v>39</v>
      </c>
      <c r="C39" s="67">
        <f t="shared" si="6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V39" s="83"/>
      <c r="W39" s="83"/>
      <c r="AJ39" s="83"/>
      <c r="AV39" s="83"/>
    </row>
    <row r="40" spans="1:57" s="68" customFormat="1" ht="25.5" customHeight="1" x14ac:dyDescent="0.3">
      <c r="A40" s="134"/>
      <c r="B40" s="67" t="s">
        <v>40</v>
      </c>
      <c r="C40" s="67">
        <f t="shared" si="6"/>
        <v>24173277.361151416</v>
      </c>
      <c r="D40" s="82">
        <v>286084.16848673945</v>
      </c>
      <c r="E40" s="83">
        <v>607928.85803432134</v>
      </c>
      <c r="F40" s="83">
        <v>500647.29485179402</v>
      </c>
      <c r="G40" s="82">
        <v>786731.46333853353</v>
      </c>
      <c r="H40" s="83">
        <v>536407.81591263646</v>
      </c>
      <c r="I40" s="82">
        <v>464886.77379095159</v>
      </c>
      <c r="J40" s="82">
        <v>464886.77379095159</v>
      </c>
      <c r="K40" s="82">
        <v>356770.33463035017</v>
      </c>
      <c r="L40" s="83">
        <v>679449.90015600622</v>
      </c>
      <c r="M40" s="82">
        <v>643689.37909516378</v>
      </c>
      <c r="N40" s="82">
        <v>536407.81591263646</v>
      </c>
      <c r="O40" s="83">
        <v>607928.85803432134</v>
      </c>
      <c r="P40" s="83">
        <v>643689.37909516378</v>
      </c>
      <c r="Q40" s="83">
        <v>357605.21060842433</v>
      </c>
      <c r="R40" s="83">
        <v>429126.25273010915</v>
      </c>
      <c r="S40" s="83">
        <v>321844.68954758189</v>
      </c>
      <c r="T40" s="83">
        <v>321844.68954758189</v>
      </c>
      <c r="U40" s="83">
        <v>750970.94227769109</v>
      </c>
      <c r="V40" s="83">
        <v>357605.21060842433</v>
      </c>
      <c r="W40" s="83">
        <v>393365.73166926677</v>
      </c>
      <c r="X40" s="83">
        <v>286084.16848673945</v>
      </c>
      <c r="Y40" s="83">
        <v>250323.64742589701</v>
      </c>
      <c r="Z40" s="83">
        <v>464886.77379095159</v>
      </c>
      <c r="AA40" s="83">
        <v>536407.81591263646</v>
      </c>
      <c r="AB40" s="83">
        <v>250323.64742589701</v>
      </c>
      <c r="AC40" s="83">
        <v>321844.68954758189</v>
      </c>
      <c r="AD40" s="83">
        <v>393365.73166926677</v>
      </c>
      <c r="AE40" s="83">
        <v>250323.64742589701</v>
      </c>
      <c r="AF40" s="83">
        <v>357605.21060842433</v>
      </c>
      <c r="AG40" s="83">
        <v>393365.73166926677</v>
      </c>
      <c r="AH40" s="83">
        <v>500647.29485179402</v>
      </c>
      <c r="AI40" s="83">
        <v>286084.16848673945</v>
      </c>
      <c r="AJ40" s="83">
        <v>607928.85803432134</v>
      </c>
      <c r="AK40" s="83">
        <v>393365.73166926677</v>
      </c>
      <c r="AL40" s="83">
        <v>500647.29485179402</v>
      </c>
      <c r="AM40" s="83">
        <v>643689.37909516378</v>
      </c>
      <c r="AN40" s="83">
        <v>321844.68954758189</v>
      </c>
      <c r="AO40" s="83">
        <v>250323.64742589701</v>
      </c>
      <c r="AP40" s="83">
        <v>357605.21060842433</v>
      </c>
      <c r="AQ40" s="83">
        <v>786731.46333853353</v>
      </c>
      <c r="AR40" s="83">
        <v>357605.21060842433</v>
      </c>
      <c r="AS40" s="83">
        <v>572168.3369734789</v>
      </c>
      <c r="AT40" s="83">
        <v>929773.54758190317</v>
      </c>
      <c r="AU40" s="83">
        <v>321844.68954758189</v>
      </c>
      <c r="AV40" s="83">
        <v>286084.16848673945</v>
      </c>
      <c r="AW40" s="83">
        <v>321844.68954758189</v>
      </c>
      <c r="AX40" s="83">
        <v>643689.37909516378</v>
      </c>
      <c r="AY40" s="83">
        <v>536407.81591263646</v>
      </c>
      <c r="AZ40" s="83">
        <v>357605.21060842433</v>
      </c>
      <c r="BA40" s="83">
        <v>321844.68954758189</v>
      </c>
      <c r="BB40" s="83">
        <v>357605.21060842433</v>
      </c>
      <c r="BC40" s="83">
        <v>965534.06864274561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6"/>
        <v>78267468.995004147</v>
      </c>
      <c r="D41" s="82">
        <v>1851019</v>
      </c>
      <c r="E41" s="82">
        <v>1299665</v>
      </c>
      <c r="F41" s="82">
        <v>176783.04524180968</v>
      </c>
      <c r="G41" s="83">
        <v>277801.92823712947</v>
      </c>
      <c r="H41" s="83">
        <v>1379410</v>
      </c>
      <c r="I41" s="82">
        <v>3174156</v>
      </c>
      <c r="J41" s="82">
        <v>1764156</v>
      </c>
      <c r="K41" s="82">
        <v>125978.80155642024</v>
      </c>
      <c r="L41" s="82">
        <v>239919.84711388455</v>
      </c>
      <c r="M41" s="82">
        <v>1732292</v>
      </c>
      <c r="N41" s="82">
        <v>189410.40561622466</v>
      </c>
      <c r="O41" s="68">
        <v>214665.1263650546</v>
      </c>
      <c r="P41" s="68">
        <v>227292.48673946958</v>
      </c>
      <c r="Q41" s="68">
        <v>126273.60374414976</v>
      </c>
      <c r="R41" s="68">
        <v>3911528</v>
      </c>
      <c r="S41" s="68">
        <v>2363646</v>
      </c>
      <c r="T41" s="83">
        <v>113646.24336973479</v>
      </c>
      <c r="U41" s="68">
        <v>265174.56786271452</v>
      </c>
      <c r="V41" s="83">
        <v>2126274</v>
      </c>
      <c r="W41" s="83">
        <v>3333901</v>
      </c>
      <c r="X41" s="68">
        <v>1701019</v>
      </c>
      <c r="Y41" s="68">
        <v>88391.522620904841</v>
      </c>
      <c r="Z41" s="68">
        <v>3099156</v>
      </c>
      <c r="AA41" s="68">
        <v>189410.40561622466</v>
      </c>
      <c r="AB41" s="68">
        <v>893392</v>
      </c>
      <c r="AC41" s="68">
        <v>1783646</v>
      </c>
      <c r="AD41" s="68">
        <v>138900.96411856473</v>
      </c>
      <c r="AE41" s="68">
        <v>1438392</v>
      </c>
      <c r="AF41" s="68">
        <v>126273.60374414976</v>
      </c>
      <c r="AG41" s="68">
        <v>138900.96411856473</v>
      </c>
      <c r="AH41" s="68">
        <v>1876783</v>
      </c>
      <c r="AI41" s="68">
        <v>1751019</v>
      </c>
      <c r="AJ41" s="68">
        <v>4124665</v>
      </c>
      <c r="AK41" s="68">
        <v>138900.96411856473</v>
      </c>
      <c r="AL41" s="68">
        <v>176783.04524180968</v>
      </c>
      <c r="AM41" s="68">
        <v>227292.48673946958</v>
      </c>
      <c r="AN41" s="68">
        <v>113646.24336973479</v>
      </c>
      <c r="AO41" s="68">
        <v>2663392</v>
      </c>
      <c r="AP41" s="68">
        <v>2276274</v>
      </c>
      <c r="AQ41" s="68">
        <v>5349469</v>
      </c>
      <c r="AR41" s="68">
        <v>126273.60374414976</v>
      </c>
      <c r="AS41" s="68">
        <v>2352038</v>
      </c>
      <c r="AT41" s="68">
        <v>2728311</v>
      </c>
      <c r="AU41" s="68">
        <v>4313646</v>
      </c>
      <c r="AV41" s="83">
        <v>101018.88299531981</v>
      </c>
      <c r="AW41" s="68">
        <v>1128646</v>
      </c>
      <c r="AX41" s="68">
        <v>4427292</v>
      </c>
      <c r="AY41" s="68">
        <v>189410.40561622466</v>
      </c>
      <c r="AZ41" s="68">
        <v>126273.60374414976</v>
      </c>
      <c r="BA41" s="68">
        <v>113646.24336973479</v>
      </c>
      <c r="BB41" s="68">
        <v>3226274</v>
      </c>
      <c r="BC41" s="68">
        <v>6245939</v>
      </c>
    </row>
    <row r="42" spans="1:57" s="68" customFormat="1" ht="33" customHeight="1" x14ac:dyDescent="0.3">
      <c r="A42" s="135"/>
      <c r="B42" s="66" t="s">
        <v>43</v>
      </c>
      <c r="C42" s="67">
        <f t="shared" si="6"/>
        <v>7255000</v>
      </c>
      <c r="D42" s="82"/>
      <c r="E42" s="82">
        <v>80000</v>
      </c>
      <c r="F42" s="82"/>
      <c r="G42" s="82"/>
      <c r="H42" s="68">
        <v>702000</v>
      </c>
      <c r="I42" s="82"/>
      <c r="L42" s="68">
        <v>952000</v>
      </c>
      <c r="O42" s="68">
        <v>771000</v>
      </c>
      <c r="P42" s="68">
        <v>300000</v>
      </c>
      <c r="R42" s="68">
        <v>100000</v>
      </c>
      <c r="S42" s="68">
        <v>180000</v>
      </c>
      <c r="U42" s="68">
        <v>80000</v>
      </c>
      <c r="Y42" s="68">
        <v>155000</v>
      </c>
      <c r="AA42" s="68">
        <v>65000</v>
      </c>
      <c r="AD42" s="68">
        <v>270000</v>
      </c>
      <c r="AG42" s="68">
        <v>95000</v>
      </c>
      <c r="AH42" s="68">
        <v>215000</v>
      </c>
      <c r="AJ42" s="68">
        <v>490000</v>
      </c>
      <c r="AK42" s="68">
        <v>240000</v>
      </c>
      <c r="AM42" s="68">
        <v>840000</v>
      </c>
      <c r="AN42" s="68">
        <v>300000</v>
      </c>
      <c r="AO42" s="68">
        <v>95000</v>
      </c>
      <c r="AP42" s="68">
        <v>30000</v>
      </c>
      <c r="AQ42" s="68">
        <v>105000</v>
      </c>
      <c r="AT42" s="68">
        <v>400000</v>
      </c>
      <c r="AX42" s="68">
        <v>225000</v>
      </c>
      <c r="BC42" s="68">
        <v>565000</v>
      </c>
    </row>
    <row r="43" spans="1:57" s="68" customFormat="1" ht="54.5" customHeight="1" x14ac:dyDescent="0.3">
      <c r="A43" s="135"/>
      <c r="B43" s="66" t="s">
        <v>44</v>
      </c>
      <c r="C43" s="67">
        <f t="shared" si="6"/>
        <v>19913800</v>
      </c>
      <c r="D43" s="82"/>
      <c r="E43" s="82">
        <v>150000</v>
      </c>
      <c r="F43" s="82"/>
      <c r="G43" s="68">
        <v>1550000</v>
      </c>
      <c r="I43" s="82">
        <v>352000</v>
      </c>
      <c r="J43" s="82">
        <v>523200</v>
      </c>
      <c r="K43" s="68">
        <v>223200</v>
      </c>
      <c r="L43" s="82">
        <v>223200</v>
      </c>
      <c r="M43" s="82">
        <v>1548200</v>
      </c>
      <c r="N43" s="68">
        <v>750000</v>
      </c>
      <c r="O43" s="68">
        <v>420000</v>
      </c>
      <c r="R43" s="68">
        <v>460000</v>
      </c>
      <c r="S43" s="68">
        <v>835000</v>
      </c>
      <c r="T43" s="68">
        <v>750000</v>
      </c>
      <c r="U43" s="68">
        <v>650000</v>
      </c>
      <c r="V43" s="68">
        <v>114000</v>
      </c>
      <c r="Z43" s="68">
        <v>750000</v>
      </c>
      <c r="AA43" s="68">
        <v>200000</v>
      </c>
      <c r="AB43" s="68">
        <v>620000</v>
      </c>
      <c r="AD43" s="68">
        <v>200000</v>
      </c>
      <c r="AE43" s="68">
        <v>610000</v>
      </c>
      <c r="AH43" s="68">
        <v>410000</v>
      </c>
      <c r="AI43" s="68">
        <v>100000</v>
      </c>
      <c r="AJ43" s="68">
        <v>150000</v>
      </c>
      <c r="AL43" s="68">
        <v>620000</v>
      </c>
      <c r="AM43" s="68">
        <v>350000</v>
      </c>
      <c r="AO43" s="68">
        <v>300000</v>
      </c>
      <c r="AP43" s="68">
        <v>760000</v>
      </c>
      <c r="AQ43" s="68">
        <v>300000</v>
      </c>
      <c r="AS43" s="68">
        <v>200000</v>
      </c>
      <c r="AT43" s="68">
        <v>2100000</v>
      </c>
      <c r="AV43" s="68">
        <v>85000</v>
      </c>
      <c r="AW43" s="68">
        <v>285000</v>
      </c>
      <c r="AX43" s="68">
        <v>870000</v>
      </c>
      <c r="AY43" s="68">
        <v>1000000</v>
      </c>
      <c r="BC43" s="68">
        <v>1455000</v>
      </c>
    </row>
    <row r="44" spans="1:57" s="93" customFormat="1" ht="13" x14ac:dyDescent="0.3">
      <c r="A44" s="91" t="s">
        <v>45</v>
      </c>
      <c r="B44" s="92"/>
      <c r="C44" s="62">
        <f t="shared" ref="C44:BC44" si="7">SUM(C30:C43)</f>
        <v>283842253.36004388</v>
      </c>
      <c r="D44" s="92">
        <f t="shared" si="7"/>
        <v>4157864.1627602018</v>
      </c>
      <c r="E44" s="92">
        <f>SUM(E30:E43)</f>
        <v>6334988.2737485301</v>
      </c>
      <c r="F44" s="92">
        <f t="shared" si="7"/>
        <v>4071736.0788569655</v>
      </c>
      <c r="G44" s="92">
        <f t="shared" si="7"/>
        <v>7121870.9577571731</v>
      </c>
      <c r="H44" s="92">
        <f t="shared" si="7"/>
        <v>6221764.2757975338</v>
      </c>
      <c r="I44" s="92">
        <f t="shared" si="7"/>
        <v>7213592.1698554736</v>
      </c>
      <c r="J44" s="92">
        <f t="shared" si="7"/>
        <v>5944581.1470153546</v>
      </c>
      <c r="K44" s="92">
        <f t="shared" si="7"/>
        <v>3222949.9932846087</v>
      </c>
      <c r="L44" s="92">
        <f t="shared" si="7"/>
        <v>6758123.6490787659</v>
      </c>
      <c r="M44" s="92">
        <f t="shared" si="7"/>
        <v>8148188.7779287882</v>
      </c>
      <c r="N44" s="92">
        <f t="shared" si="7"/>
        <v>4523236.2313798582</v>
      </c>
      <c r="O44" s="92">
        <f t="shared" si="7"/>
        <v>5900466.4020939171</v>
      </c>
      <c r="P44" s="92">
        <f t="shared" si="7"/>
        <v>5084350.7160929097</v>
      </c>
      <c r="Q44" s="92">
        <f t="shared" si="7"/>
        <v>3038738.2917316691</v>
      </c>
      <c r="R44" s="92">
        <f t="shared" si="7"/>
        <v>7449577.8339183573</v>
      </c>
      <c r="S44" s="92">
        <f t="shared" si="7"/>
        <v>5348092.4515383206</v>
      </c>
      <c r="T44" s="92">
        <f t="shared" si="7"/>
        <v>3297030.7222699341</v>
      </c>
      <c r="U44" s="92">
        <f t="shared" si="7"/>
        <v>6256708.2890917389</v>
      </c>
      <c r="V44" s="92">
        <f t="shared" si="7"/>
        <v>4718961.1732461024</v>
      </c>
      <c r="W44" s="92">
        <f t="shared" si="7"/>
        <v>6093962.3311869726</v>
      </c>
      <c r="X44" s="92">
        <f t="shared" si="7"/>
        <v>3957836.8805345385</v>
      </c>
      <c r="Y44" s="92">
        <f t="shared" si="7"/>
        <v>2169661.6452440391</v>
      </c>
      <c r="Z44" s="92">
        <f t="shared" si="7"/>
        <v>7123810.9086292721</v>
      </c>
      <c r="AA44" s="92">
        <f t="shared" si="7"/>
        <v>4762686.8474578317</v>
      </c>
      <c r="AB44" s="92">
        <f t="shared" si="7"/>
        <v>3697721.2119307406</v>
      </c>
      <c r="AC44" s="92">
        <f t="shared" si="7"/>
        <v>4342859.5547531936</v>
      </c>
      <c r="AD44" s="92">
        <f t="shared" si="7"/>
        <v>2482812.1209048359</v>
      </c>
      <c r="AE44" s="92">
        <f t="shared" si="7"/>
        <v>3862273.6589423604</v>
      </c>
      <c r="AF44" s="92">
        <f t="shared" si="7"/>
        <v>3139674.4619444353</v>
      </c>
      <c r="AG44" s="92">
        <f t="shared" si="7"/>
        <v>2934845.2334876182</v>
      </c>
      <c r="AH44" s="92">
        <f t="shared" si="7"/>
        <v>6470734.4121270049</v>
      </c>
      <c r="AI44" s="92">
        <f t="shared" si="7"/>
        <v>4016185.6980135706</v>
      </c>
      <c r="AJ44" s="92">
        <f t="shared" si="7"/>
        <v>9380015.1121591963</v>
      </c>
      <c r="AK44" s="92">
        <f t="shared" si="7"/>
        <v>2880113.9279021453</v>
      </c>
      <c r="AL44" s="92">
        <f t="shared" si="7"/>
        <v>4671937.5529508805</v>
      </c>
      <c r="AM44" s="92">
        <f t="shared" si="7"/>
        <v>5937834.1208281424</v>
      </c>
      <c r="AN44" s="92">
        <f t="shared" si="7"/>
        <v>3093166.6960018901</v>
      </c>
      <c r="AO44" s="92">
        <f t="shared" si="7"/>
        <v>5197950.2592011802</v>
      </c>
      <c r="AP44" s="92">
        <f t="shared" si="7"/>
        <v>5812514.309464993</v>
      </c>
      <c r="AQ44" s="92">
        <f t="shared" si="7"/>
        <v>11523914.695926126</v>
      </c>
      <c r="AR44" s="92">
        <f t="shared" si="7"/>
        <v>2969394.9427577308</v>
      </c>
      <c r="AS44" s="92">
        <f t="shared" si="7"/>
        <v>6884723.6246444695</v>
      </c>
      <c r="AT44" s="92">
        <f t="shared" si="7"/>
        <v>11748938.750477491</v>
      </c>
      <c r="AU44" s="92">
        <f t="shared" si="7"/>
        <v>6911643.0370511552</v>
      </c>
      <c r="AV44" s="92">
        <f t="shared" si="7"/>
        <v>2300855.053452298</v>
      </c>
      <c r="AW44" s="92">
        <f t="shared" si="7"/>
        <v>4310623.8494472094</v>
      </c>
      <c r="AX44" s="92">
        <f t="shared" si="7"/>
        <v>10188338.856290925</v>
      </c>
      <c r="AY44" s="92">
        <f t="shared" si="7"/>
        <v>5685594.8075826457</v>
      </c>
      <c r="AZ44" s="92">
        <f t="shared" si="7"/>
        <v>2916941.5191496834</v>
      </c>
      <c r="BA44" s="92">
        <f t="shared" si="7"/>
        <v>2804140.1907138424</v>
      </c>
      <c r="BB44" s="92">
        <f t="shared" si="7"/>
        <v>6056731.8338729767</v>
      </c>
      <c r="BC44" s="92">
        <f t="shared" si="7"/>
        <v>12698993.657566302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2693750023.9433775</v>
      </c>
      <c r="D45" s="95">
        <f t="shared" ref="D45:BC45" si="8">D29+D44</f>
        <v>31495864.162760202</v>
      </c>
      <c r="E45" s="95">
        <f t="shared" si="8"/>
        <v>61811604.273748532</v>
      </c>
      <c r="F45" s="95">
        <f t="shared" si="8"/>
        <v>53739893.745523632</v>
      </c>
      <c r="G45" s="95">
        <f t="shared" si="8"/>
        <v>64144330.957757175</v>
      </c>
      <c r="H45" s="95">
        <f t="shared" si="8"/>
        <v>60607663.275797531</v>
      </c>
      <c r="I45" s="95">
        <f t="shared" si="8"/>
        <v>50706576.953188814</v>
      </c>
      <c r="J45" s="95">
        <f t="shared" si="8"/>
        <v>49148141.280348688</v>
      </c>
      <c r="K45" s="95">
        <f t="shared" si="8"/>
        <v>30835828.993284609</v>
      </c>
      <c r="L45" s="95">
        <f t="shared" si="8"/>
        <v>93238682.649078771</v>
      </c>
      <c r="M45" s="95">
        <f t="shared" si="8"/>
        <v>83947063.444595441</v>
      </c>
      <c r="N45" s="95">
        <f t="shared" si="8"/>
        <v>56640951.231379859</v>
      </c>
      <c r="O45" s="95">
        <f t="shared" si="8"/>
        <v>65599888.402093917</v>
      </c>
      <c r="P45" s="95">
        <f t="shared" si="8"/>
        <v>74877877.716092914</v>
      </c>
      <c r="Q45" s="95">
        <f t="shared" si="8"/>
        <v>37637130.29173167</v>
      </c>
      <c r="R45" s="95">
        <f t="shared" si="8"/>
        <v>58001435.833918355</v>
      </c>
      <c r="S45" s="95">
        <f t="shared" si="8"/>
        <v>39123602.118204996</v>
      </c>
      <c r="T45" s="95">
        <f t="shared" si="8"/>
        <v>17119895.722269934</v>
      </c>
      <c r="U45" s="95">
        <f t="shared" si="8"/>
        <v>73765660.289091736</v>
      </c>
      <c r="V45" s="95">
        <f t="shared" si="8"/>
        <v>41583289.506579429</v>
      </c>
      <c r="W45" s="95">
        <f t="shared" si="8"/>
        <v>47884822.997853637</v>
      </c>
      <c r="X45" s="95">
        <f t="shared" si="8"/>
        <v>30689678.547201205</v>
      </c>
      <c r="Y45" s="95">
        <f t="shared" si="8"/>
        <v>19023869.64524404</v>
      </c>
      <c r="Z45" s="95">
        <f t="shared" si="8"/>
        <v>58996172.908629268</v>
      </c>
      <c r="AA45" s="95">
        <f t="shared" si="8"/>
        <v>57281819.180791169</v>
      </c>
      <c r="AB45" s="95">
        <f t="shared" si="8"/>
        <v>16711291.211930741</v>
      </c>
      <c r="AC45" s="95">
        <f t="shared" si="8"/>
        <v>38651136.554753192</v>
      </c>
      <c r="AD45" s="95">
        <f t="shared" si="8"/>
        <v>48112884.120904833</v>
      </c>
      <c r="AE45" s="95">
        <f t="shared" si="8"/>
        <v>19796321.65894236</v>
      </c>
      <c r="AF45" s="95">
        <f t="shared" si="8"/>
        <v>45300844.461944439</v>
      </c>
      <c r="AG45" s="95">
        <f t="shared" si="8"/>
        <v>37694068.900154293</v>
      </c>
      <c r="AH45" s="95">
        <f t="shared" si="8"/>
        <v>49472940.412127003</v>
      </c>
      <c r="AI45" s="95">
        <f t="shared" si="8"/>
        <v>15912726.69801357</v>
      </c>
      <c r="AJ45" s="95">
        <f t="shared" si="8"/>
        <v>84051053.112159193</v>
      </c>
      <c r="AK45" s="95">
        <f t="shared" si="8"/>
        <v>44249929.927902147</v>
      </c>
      <c r="AL45" s="95">
        <f t="shared" si="8"/>
        <v>43836953.552950881</v>
      </c>
      <c r="AM45" s="95">
        <f t="shared" si="8"/>
        <v>64728327.120828144</v>
      </c>
      <c r="AN45" s="95">
        <f t="shared" si="8"/>
        <v>24811434.696001891</v>
      </c>
      <c r="AO45" s="95">
        <f t="shared" si="8"/>
        <v>17367368.25920118</v>
      </c>
      <c r="AP45" s="95">
        <f t="shared" si="8"/>
        <v>45895741.309464991</v>
      </c>
      <c r="AQ45" s="95">
        <f t="shared" si="8"/>
        <v>102495566.69592613</v>
      </c>
      <c r="AR45" s="95">
        <f t="shared" si="8"/>
        <v>33793074.942757733</v>
      </c>
      <c r="AS45" s="95">
        <f t="shared" si="8"/>
        <v>69913463.624644473</v>
      </c>
      <c r="AT45" s="95">
        <f t="shared" si="8"/>
        <v>142569162.75047749</v>
      </c>
      <c r="AU45" s="95">
        <f t="shared" si="8"/>
        <v>35464411.70371782</v>
      </c>
      <c r="AV45" s="95">
        <f t="shared" si="8"/>
        <v>33651608.386785626</v>
      </c>
      <c r="AW45" s="95">
        <f t="shared" si="8"/>
        <v>29440675.849447209</v>
      </c>
      <c r="AX45" s="95">
        <f t="shared" si="8"/>
        <v>80942166.856290922</v>
      </c>
      <c r="AY45" s="95">
        <f t="shared" si="8"/>
        <v>64949647.807582647</v>
      </c>
      <c r="AZ45" s="95">
        <f t="shared" si="8"/>
        <v>42129879.519149683</v>
      </c>
      <c r="BA45" s="95">
        <f t="shared" si="8"/>
        <v>23799103.190713841</v>
      </c>
      <c r="BB45" s="95">
        <f t="shared" si="8"/>
        <v>52808944.833872974</v>
      </c>
      <c r="BC45" s="95">
        <f t="shared" si="8"/>
        <v>127297551.65756631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9">C4-C29</f>
        <v>701011880.41666651</v>
      </c>
      <c r="D46" s="97">
        <f t="shared" si="9"/>
        <v>7767000</v>
      </c>
      <c r="E46" s="97">
        <f t="shared" si="9"/>
        <v>10681384</v>
      </c>
      <c r="F46" s="97">
        <f t="shared" si="9"/>
        <v>14681842.333333336</v>
      </c>
      <c r="G46" s="97">
        <f t="shared" si="9"/>
        <v>11679540</v>
      </c>
      <c r="H46" s="97">
        <f t="shared" si="9"/>
        <v>18932101</v>
      </c>
      <c r="I46" s="97">
        <f t="shared" si="9"/>
        <v>21217015.216666661</v>
      </c>
      <c r="J46" s="97">
        <f t="shared" si="9"/>
        <v>15398439.866666667</v>
      </c>
      <c r="K46" s="97">
        <f t="shared" si="9"/>
        <v>8213121</v>
      </c>
      <c r="L46" s="97">
        <f t="shared" si="9"/>
        <v>19287441</v>
      </c>
      <c r="M46" s="97">
        <f t="shared" si="9"/>
        <v>23032125.333333343</v>
      </c>
      <c r="N46" s="97">
        <f t="shared" si="9"/>
        <v>6637885</v>
      </c>
      <c r="O46" s="97">
        <f t="shared" si="9"/>
        <v>7305578</v>
      </c>
      <c r="P46" s="97">
        <f t="shared" si="9"/>
        <v>15758473</v>
      </c>
      <c r="Q46" s="97">
        <f t="shared" si="9"/>
        <v>14983608</v>
      </c>
      <c r="R46" s="97">
        <f t="shared" si="9"/>
        <v>12689142</v>
      </c>
      <c r="S46" s="97">
        <f t="shared" si="9"/>
        <v>10141490.333333328</v>
      </c>
      <c r="T46" s="97">
        <f t="shared" si="9"/>
        <v>7815135</v>
      </c>
      <c r="U46" s="97">
        <f t="shared" si="9"/>
        <v>9661048</v>
      </c>
      <c r="V46" s="97">
        <f t="shared" si="9"/>
        <v>14832671.666666672</v>
      </c>
      <c r="W46" s="97">
        <f t="shared" si="9"/>
        <v>11405139.333333336</v>
      </c>
      <c r="X46" s="97">
        <f t="shared" si="9"/>
        <v>9811158.3333333321</v>
      </c>
      <c r="Y46" s="97">
        <f t="shared" si="9"/>
        <v>8427792</v>
      </c>
      <c r="Z46" s="97">
        <f t="shared" si="9"/>
        <v>19386638</v>
      </c>
      <c r="AA46" s="97">
        <f t="shared" si="9"/>
        <v>14646867.666666664</v>
      </c>
      <c r="AB46" s="97">
        <f t="shared" si="9"/>
        <v>11607097</v>
      </c>
      <c r="AC46" s="97">
        <f t="shared" si="9"/>
        <v>13903723</v>
      </c>
      <c r="AD46" s="97">
        <f t="shared" si="9"/>
        <v>-6054072</v>
      </c>
      <c r="AE46" s="97">
        <f t="shared" si="9"/>
        <v>1961952</v>
      </c>
      <c r="AF46" s="97">
        <f t="shared" si="9"/>
        <v>15115830</v>
      </c>
      <c r="AG46" s="97">
        <f t="shared" si="9"/>
        <v>6108776.3333333284</v>
      </c>
      <c r="AH46" s="97">
        <f t="shared" si="9"/>
        <v>22270294</v>
      </c>
      <c r="AI46" s="97">
        <f t="shared" si="9"/>
        <v>12941459</v>
      </c>
      <c r="AJ46" s="97">
        <f t="shared" si="9"/>
        <v>26470462</v>
      </c>
      <c r="AK46" s="97">
        <f t="shared" si="9"/>
        <v>15716184</v>
      </c>
      <c r="AL46" s="97">
        <f t="shared" si="9"/>
        <v>14792984</v>
      </c>
      <c r="AM46" s="97">
        <f t="shared" si="9"/>
        <v>8830507</v>
      </c>
      <c r="AN46" s="97">
        <f t="shared" si="9"/>
        <v>9345732</v>
      </c>
      <c r="AO46" s="97">
        <f t="shared" si="9"/>
        <v>18232582</v>
      </c>
      <c r="AP46" s="97">
        <f t="shared" si="9"/>
        <v>12642773</v>
      </c>
      <c r="AQ46" s="97">
        <f t="shared" si="9"/>
        <v>27503248</v>
      </c>
      <c r="AR46" s="97">
        <f t="shared" si="9"/>
        <v>11071320</v>
      </c>
      <c r="AS46" s="97">
        <f t="shared" si="9"/>
        <v>22145260</v>
      </c>
      <c r="AT46" s="97">
        <f t="shared" si="9"/>
        <v>19520260</v>
      </c>
      <c r="AU46" s="97">
        <f t="shared" si="9"/>
        <v>20443231.333333332</v>
      </c>
      <c r="AV46" s="97">
        <f t="shared" si="9"/>
        <v>3925246.6666666679</v>
      </c>
      <c r="AW46" s="97">
        <f t="shared" si="9"/>
        <v>14436948</v>
      </c>
      <c r="AX46" s="97">
        <f t="shared" si="9"/>
        <v>14232172</v>
      </c>
      <c r="AY46" s="97">
        <f t="shared" si="9"/>
        <v>27504947</v>
      </c>
      <c r="AZ46" s="97">
        <f t="shared" si="9"/>
        <v>6414062</v>
      </c>
      <c r="BA46" s="97">
        <f t="shared" si="9"/>
        <v>18258037</v>
      </c>
      <c r="BB46" s="97">
        <f t="shared" si="9"/>
        <v>21079787</v>
      </c>
      <c r="BC46" s="97">
        <f t="shared" si="9"/>
        <v>-3801558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417169627.05662251</v>
      </c>
      <c r="D47" s="99">
        <f t="shared" ref="D47:BC47" si="10">D4-D45</f>
        <v>3609135.8372397982</v>
      </c>
      <c r="E47" s="99">
        <f t="shared" si="10"/>
        <v>4346395.7262514681</v>
      </c>
      <c r="F47" s="99">
        <f t="shared" si="10"/>
        <v>10610106.254476368</v>
      </c>
      <c r="G47" s="99">
        <f t="shared" si="10"/>
        <v>4557669.042242825</v>
      </c>
      <c r="H47" s="99">
        <f t="shared" si="10"/>
        <v>12710336.724202469</v>
      </c>
      <c r="I47" s="99">
        <f t="shared" si="10"/>
        <v>14003423.046811186</v>
      </c>
      <c r="J47" s="99">
        <f t="shared" si="10"/>
        <v>9453858.7196513116</v>
      </c>
      <c r="K47" s="99">
        <f t="shared" si="10"/>
        <v>4990171.0067153908</v>
      </c>
      <c r="L47" s="99">
        <f t="shared" si="10"/>
        <v>12529317.350921229</v>
      </c>
      <c r="M47" s="99">
        <f t="shared" si="10"/>
        <v>14883936.555404559</v>
      </c>
      <c r="N47" s="99">
        <f t="shared" si="10"/>
        <v>2114648.7686201409</v>
      </c>
      <c r="O47" s="99">
        <f t="shared" si="10"/>
        <v>1405111.5979060829</v>
      </c>
      <c r="P47" s="99">
        <f t="shared" si="10"/>
        <v>10674122.283907086</v>
      </c>
      <c r="Q47" s="99">
        <f t="shared" si="10"/>
        <v>11944869.70826833</v>
      </c>
      <c r="R47" s="99">
        <f t="shared" si="10"/>
        <v>5239564.1660816446</v>
      </c>
      <c r="S47" s="99">
        <f t="shared" si="10"/>
        <v>4793397.881795004</v>
      </c>
      <c r="T47" s="99">
        <f t="shared" si="10"/>
        <v>4518104.2777300663</v>
      </c>
      <c r="U47" s="99">
        <f t="shared" si="10"/>
        <v>3404339.7109082639</v>
      </c>
      <c r="V47" s="99">
        <f t="shared" si="10"/>
        <v>10113710.493420571</v>
      </c>
      <c r="W47" s="99">
        <f t="shared" si="10"/>
        <v>5311177.0021463633</v>
      </c>
      <c r="X47" s="99">
        <f t="shared" si="10"/>
        <v>5853321.452798795</v>
      </c>
      <c r="Y47" s="99">
        <f t="shared" si="10"/>
        <v>6258130.3547559604</v>
      </c>
      <c r="Z47" s="99">
        <f t="shared" si="10"/>
        <v>12262827.091370732</v>
      </c>
      <c r="AA47" s="99">
        <f t="shared" si="10"/>
        <v>9884180.8192088306</v>
      </c>
      <c r="AB47" s="99">
        <f t="shared" si="10"/>
        <v>7909375.7880692594</v>
      </c>
      <c r="AC47" s="99">
        <f t="shared" si="10"/>
        <v>9560863.4452468082</v>
      </c>
      <c r="AD47" s="99">
        <f t="shared" si="10"/>
        <v>-8536884.1209048331</v>
      </c>
      <c r="AE47" s="99">
        <f t="shared" si="10"/>
        <v>-1900321.6589423604</v>
      </c>
      <c r="AF47" s="99">
        <f t="shared" si="10"/>
        <v>11976155.538055561</v>
      </c>
      <c r="AG47" s="99">
        <f t="shared" si="10"/>
        <v>3173931.0998457074</v>
      </c>
      <c r="AH47" s="99">
        <f t="shared" si="10"/>
        <v>15799559.587872997</v>
      </c>
      <c r="AI47" s="99">
        <f t="shared" si="10"/>
        <v>8925273.3019864298</v>
      </c>
      <c r="AJ47" s="99">
        <f t="shared" si="10"/>
        <v>17090446.887840807</v>
      </c>
      <c r="AK47" s="99">
        <f t="shared" si="10"/>
        <v>12836070.072097853</v>
      </c>
      <c r="AL47" s="99">
        <f t="shared" si="10"/>
        <v>10121046.447049119</v>
      </c>
      <c r="AM47" s="99">
        <f t="shared" si="10"/>
        <v>2892672.8791718557</v>
      </c>
      <c r="AN47" s="99">
        <f t="shared" si="10"/>
        <v>6252565.303998109</v>
      </c>
      <c r="AO47" s="99">
        <f t="shared" si="10"/>
        <v>13034631.74079882</v>
      </c>
      <c r="AP47" s="99">
        <f t="shared" si="10"/>
        <v>6830258.6905350089</v>
      </c>
      <c r="AQ47" s="99">
        <f t="shared" si="10"/>
        <v>15979333.30407387</v>
      </c>
      <c r="AR47" s="99">
        <f t="shared" si="10"/>
        <v>8101925.0572422668</v>
      </c>
      <c r="AS47" s="99">
        <f t="shared" si="10"/>
        <v>15260536.375355527</v>
      </c>
      <c r="AT47" s="99">
        <f t="shared" si="10"/>
        <v>7771321.2495225072</v>
      </c>
      <c r="AU47" s="99">
        <f t="shared" si="10"/>
        <v>13531588.29628218</v>
      </c>
      <c r="AV47" s="99">
        <f t="shared" si="10"/>
        <v>1624391.6132143736</v>
      </c>
      <c r="AW47" s="99">
        <f t="shared" si="10"/>
        <v>10126324.150552791</v>
      </c>
      <c r="AX47" s="99">
        <f t="shared" si="10"/>
        <v>4043833.1437090784</v>
      </c>
      <c r="AY47" s="99">
        <f t="shared" si="10"/>
        <v>21819352.192417353</v>
      </c>
      <c r="AZ47" s="99">
        <f t="shared" si="10"/>
        <v>3497120.4808503166</v>
      </c>
      <c r="BA47" s="99">
        <f t="shared" si="10"/>
        <v>15453896.809286159</v>
      </c>
      <c r="BB47" s="99">
        <f t="shared" si="10"/>
        <v>15023055.166127026</v>
      </c>
      <c r="BC47" s="99">
        <f t="shared" si="10"/>
        <v>-16500551.657566309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11">C29</f>
        <v>2409907770.5833335</v>
      </c>
      <c r="D48" s="61">
        <f t="shared" si="11"/>
        <v>27338000</v>
      </c>
      <c r="E48" s="61">
        <f t="shared" si="11"/>
        <v>55476616</v>
      </c>
      <c r="F48" s="61">
        <f t="shared" si="11"/>
        <v>49668157.666666664</v>
      </c>
      <c r="G48" s="61">
        <f t="shared" si="11"/>
        <v>57022460</v>
      </c>
      <c r="H48" s="61">
        <f t="shared" si="11"/>
        <v>54385899</v>
      </c>
      <c r="I48" s="61">
        <f t="shared" si="11"/>
        <v>43492984.783333339</v>
      </c>
      <c r="J48" s="61">
        <f t="shared" si="11"/>
        <v>43203560.133333333</v>
      </c>
      <c r="K48" s="61">
        <f t="shared" si="11"/>
        <v>27612879</v>
      </c>
      <c r="L48" s="61">
        <f t="shared" si="11"/>
        <v>86480559</v>
      </c>
      <c r="M48" s="61">
        <f t="shared" si="11"/>
        <v>75798874.666666657</v>
      </c>
      <c r="N48" s="61">
        <f t="shared" si="11"/>
        <v>52117715</v>
      </c>
      <c r="O48" s="61">
        <f t="shared" si="11"/>
        <v>59699422</v>
      </c>
      <c r="P48" s="61">
        <f t="shared" si="11"/>
        <v>69793527</v>
      </c>
      <c r="Q48" s="61">
        <f t="shared" si="11"/>
        <v>34598392</v>
      </c>
      <c r="R48" s="61">
        <f t="shared" si="11"/>
        <v>50551858</v>
      </c>
      <c r="S48" s="61">
        <f t="shared" si="11"/>
        <v>33775509.666666672</v>
      </c>
      <c r="T48" s="61">
        <f t="shared" si="11"/>
        <v>13822865</v>
      </c>
      <c r="U48" s="61">
        <f t="shared" si="11"/>
        <v>67508952</v>
      </c>
      <c r="V48" s="61">
        <f t="shared" si="11"/>
        <v>36864328.333333328</v>
      </c>
      <c r="W48" s="61">
        <f t="shared" si="11"/>
        <v>41790860.666666664</v>
      </c>
      <c r="X48" s="61">
        <f t="shared" si="11"/>
        <v>26731841.666666668</v>
      </c>
      <c r="Y48" s="61">
        <f t="shared" si="11"/>
        <v>16854208</v>
      </c>
      <c r="Z48" s="61">
        <f t="shared" si="11"/>
        <v>51872362</v>
      </c>
      <c r="AA48" s="61">
        <f t="shared" si="11"/>
        <v>52519132.333333336</v>
      </c>
      <c r="AB48" s="61">
        <f t="shared" si="11"/>
        <v>13013570</v>
      </c>
      <c r="AC48" s="61">
        <f t="shared" si="11"/>
        <v>34308277</v>
      </c>
      <c r="AD48" s="61">
        <f t="shared" si="11"/>
        <v>45630072</v>
      </c>
      <c r="AE48" s="61">
        <f t="shared" si="11"/>
        <v>15934048</v>
      </c>
      <c r="AF48" s="61">
        <f t="shared" si="11"/>
        <v>42161170</v>
      </c>
      <c r="AG48" s="61">
        <f t="shared" si="11"/>
        <v>34759223.666666672</v>
      </c>
      <c r="AH48" s="61">
        <f t="shared" si="11"/>
        <v>43002206</v>
      </c>
      <c r="AI48" s="61">
        <f t="shared" si="11"/>
        <v>11896541</v>
      </c>
      <c r="AJ48" s="61">
        <f t="shared" si="11"/>
        <v>74671038</v>
      </c>
      <c r="AK48" s="61">
        <f t="shared" si="11"/>
        <v>41369816</v>
      </c>
      <c r="AL48" s="61">
        <f t="shared" si="11"/>
        <v>39165016</v>
      </c>
      <c r="AM48" s="61">
        <f t="shared" si="11"/>
        <v>58790493</v>
      </c>
      <c r="AN48" s="61">
        <f t="shared" si="11"/>
        <v>21718268</v>
      </c>
      <c r="AO48" s="61">
        <f t="shared" si="11"/>
        <v>12169418</v>
      </c>
      <c r="AP48" s="61">
        <f t="shared" si="11"/>
        <v>40083227</v>
      </c>
      <c r="AQ48" s="61">
        <f t="shared" si="11"/>
        <v>90971652</v>
      </c>
      <c r="AR48" s="61">
        <f t="shared" si="11"/>
        <v>30823680</v>
      </c>
      <c r="AS48" s="61">
        <f t="shared" si="11"/>
        <v>63028740</v>
      </c>
      <c r="AT48" s="61">
        <f t="shared" si="11"/>
        <v>130820224</v>
      </c>
      <c r="AU48" s="61">
        <f t="shared" si="11"/>
        <v>28552768.666666668</v>
      </c>
      <c r="AV48" s="61">
        <f t="shared" si="11"/>
        <v>31350753.333333332</v>
      </c>
      <c r="AW48" s="61">
        <f t="shared" si="11"/>
        <v>25130052</v>
      </c>
      <c r="AX48" s="61">
        <f t="shared" si="11"/>
        <v>70753828</v>
      </c>
      <c r="AY48" s="61">
        <f t="shared" si="11"/>
        <v>59264053</v>
      </c>
      <c r="AZ48" s="61">
        <f t="shared" si="11"/>
        <v>39212938</v>
      </c>
      <c r="BA48" s="61">
        <f t="shared" si="11"/>
        <v>20994963</v>
      </c>
      <c r="BB48" s="61">
        <f t="shared" si="11"/>
        <v>46752213</v>
      </c>
      <c r="BC48" s="61">
        <f t="shared" si="11"/>
        <v>114598558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2">C47/C4</f>
        <v>0.13409848978983563</v>
      </c>
      <c r="D49" s="101">
        <f t="shared" si="12"/>
        <v>0.1028097375655832</v>
      </c>
      <c r="E49" s="101">
        <f t="shared" si="12"/>
        <v>6.5697205572288586E-2</v>
      </c>
      <c r="F49" s="101">
        <f t="shared" si="12"/>
        <v>0.16488121607577885</v>
      </c>
      <c r="G49" s="101">
        <f t="shared" si="12"/>
        <v>6.6339685049093544E-2</v>
      </c>
      <c r="H49" s="101">
        <f t="shared" si="12"/>
        <v>0.17335902130721609</v>
      </c>
      <c r="I49" s="101">
        <f t="shared" si="12"/>
        <v>0.21640276691100579</v>
      </c>
      <c r="J49" s="101">
        <f t="shared" si="12"/>
        <v>0.16132314118377036</v>
      </c>
      <c r="K49" s="101">
        <f t="shared" si="12"/>
        <v>0.13928909190854102</v>
      </c>
      <c r="L49" s="101">
        <f t="shared" si="12"/>
        <v>0.11846037885675467</v>
      </c>
      <c r="M49" s="101">
        <f t="shared" si="12"/>
        <v>0.15059987812937803</v>
      </c>
      <c r="N49" s="101">
        <f t="shared" si="12"/>
        <v>3.5990591001030386E-2</v>
      </c>
      <c r="O49" s="101">
        <f t="shared" si="12"/>
        <v>2.0970249950094513E-2</v>
      </c>
      <c r="P49" s="101">
        <f t="shared" si="12"/>
        <v>0.12476765340269176</v>
      </c>
      <c r="Q49" s="101">
        <f t="shared" si="12"/>
        <v>0.24091141358291979</v>
      </c>
      <c r="R49" s="101">
        <f t="shared" si="12"/>
        <v>8.2850748186803574E-2</v>
      </c>
      <c r="S49" s="101">
        <f t="shared" si="12"/>
        <v>0.10914675141277874</v>
      </c>
      <c r="T49" s="101">
        <f t="shared" si="12"/>
        <v>0.20880415369858887</v>
      </c>
      <c r="U49" s="101">
        <f t="shared" si="12"/>
        <v>4.4114807709061343E-2</v>
      </c>
      <c r="V49" s="101">
        <f t="shared" si="12"/>
        <v>0.19563437904366929</v>
      </c>
      <c r="W49" s="101">
        <f t="shared" si="12"/>
        <v>9.9841661067493107E-2</v>
      </c>
      <c r="X49" s="101">
        <f t="shared" si="12"/>
        <v>0.16017627049773678</v>
      </c>
      <c r="Y49" s="101">
        <f t="shared" si="12"/>
        <v>0.24753304148231786</v>
      </c>
      <c r="Z49" s="101">
        <f t="shared" si="12"/>
        <v>0.17208811646768452</v>
      </c>
      <c r="AA49" s="101">
        <f t="shared" si="12"/>
        <v>0.14716048029075471</v>
      </c>
      <c r="AB49" s="101">
        <f t="shared" si="12"/>
        <v>0.32124945226176282</v>
      </c>
      <c r="AC49" s="101">
        <f t="shared" si="12"/>
        <v>0.19830879128115009</v>
      </c>
      <c r="AD49" s="101">
        <f t="shared" si="12"/>
        <v>-0.21570861433456723</v>
      </c>
      <c r="AE49" s="101">
        <f t="shared" si="12"/>
        <v>-0.10618695009736033</v>
      </c>
      <c r="AF49" s="101">
        <f t="shared" si="12"/>
        <v>0.20909187873065213</v>
      </c>
      <c r="AG49" s="101">
        <f t="shared" si="12"/>
        <v>7.766299060012008E-2</v>
      </c>
      <c r="AH49" s="101">
        <f t="shared" si="12"/>
        <v>0.24205537688724957</v>
      </c>
      <c r="AI49" s="101">
        <f t="shared" si="12"/>
        <v>0.35933945172664583</v>
      </c>
      <c r="AJ49" s="101">
        <f t="shared" si="12"/>
        <v>0.16897561226440982</v>
      </c>
      <c r="AK49" s="101">
        <f t="shared" si="12"/>
        <v>0.22485495694387159</v>
      </c>
      <c r="AL49" s="101">
        <f t="shared" si="12"/>
        <v>0.18757267591551055</v>
      </c>
      <c r="AM49" s="101">
        <f t="shared" si="12"/>
        <v>4.2777729982873006E-2</v>
      </c>
      <c r="AN49" s="101">
        <f t="shared" si="12"/>
        <v>0.2012801089363285</v>
      </c>
      <c r="AO49" s="101">
        <f t="shared" si="12"/>
        <v>0.428742574199027</v>
      </c>
      <c r="AP49" s="101">
        <f t="shared" si="12"/>
        <v>0.12954251584673612</v>
      </c>
      <c r="AQ49" s="101">
        <f t="shared" si="12"/>
        <v>0.13487526306478309</v>
      </c>
      <c r="AR49" s="101">
        <f t="shared" si="12"/>
        <v>0.19338644366254368</v>
      </c>
      <c r="AS49" s="101">
        <f t="shared" si="12"/>
        <v>0.17916895267752514</v>
      </c>
      <c r="AT49" s="101">
        <f t="shared" si="12"/>
        <v>5.169147419747902E-2</v>
      </c>
      <c r="AU49" s="101">
        <f t="shared" si="12"/>
        <v>0.27617740828398601</v>
      </c>
      <c r="AV49" s="101">
        <f t="shared" si="12"/>
        <v>4.604806704882565E-2</v>
      </c>
      <c r="AW49" s="101">
        <f t="shared" si="12"/>
        <v>0.25592853010217581</v>
      </c>
      <c r="AX49" s="101">
        <f t="shared" si="12"/>
        <v>4.7582344665110472E-2</v>
      </c>
      <c r="AY49" s="101">
        <f t="shared" si="12"/>
        <v>0.25146483412759574</v>
      </c>
      <c r="AZ49" s="101">
        <f t="shared" si="12"/>
        <v>7.6645856200283094E-2</v>
      </c>
      <c r="BA49" s="101">
        <f t="shared" si="12"/>
        <v>0.39369976331200568</v>
      </c>
      <c r="BB49" s="101">
        <f t="shared" si="12"/>
        <v>0.22147445403536717</v>
      </c>
      <c r="BC49" s="101">
        <f t="shared" si="12"/>
        <v>-0.14892597865976795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3">C46/C4</f>
        <v>0.2253391148149157</v>
      </c>
      <c r="D50" s="101">
        <f t="shared" si="13"/>
        <v>0.22125053411194986</v>
      </c>
      <c r="E50" s="101">
        <f t="shared" si="13"/>
        <v>0.16145264367121134</v>
      </c>
      <c r="F50" s="101">
        <f t="shared" si="13"/>
        <v>0.22815605801605807</v>
      </c>
      <c r="G50" s="101">
        <f t="shared" si="13"/>
        <v>0.17000291112340252</v>
      </c>
      <c r="H50" s="101">
        <f t="shared" si="13"/>
        <v>0.25821900488283916</v>
      </c>
      <c r="I50" s="101">
        <f t="shared" si="13"/>
        <v>0.32787846108277952</v>
      </c>
      <c r="J50" s="101">
        <f t="shared" si="13"/>
        <v>0.26276304335460682</v>
      </c>
      <c r="K50" s="101">
        <f t="shared" si="13"/>
        <v>0.22925029308323563</v>
      </c>
      <c r="L50" s="101">
        <f t="shared" si="13"/>
        <v>0.18235610959836623</v>
      </c>
      <c r="M50" s="101">
        <f t="shared" si="13"/>
        <v>0.23304555588158921</v>
      </c>
      <c r="N50" s="101">
        <f t="shared" si="13"/>
        <v>0.11297450796179428</v>
      </c>
      <c r="O50" s="101">
        <f t="shared" si="13"/>
        <v>0.10903034101932692</v>
      </c>
      <c r="P50" s="101">
        <f t="shared" si="13"/>
        <v>0.18419759912100242</v>
      </c>
      <c r="Q50" s="101">
        <f t="shared" si="13"/>
        <v>0.3021985397926667</v>
      </c>
      <c r="R50" s="101">
        <f t="shared" si="13"/>
        <v>0.20064739646748153</v>
      </c>
      <c r="S50" s="101">
        <f t="shared" si="13"/>
        <v>0.23092402334707127</v>
      </c>
      <c r="T50" s="101">
        <f t="shared" si="13"/>
        <v>0.36117640262501155</v>
      </c>
      <c r="U50" s="101">
        <f t="shared" si="13"/>
        <v>0.12519175845535829</v>
      </c>
      <c r="V50" s="101">
        <f t="shared" si="13"/>
        <v>0.28691552056534558</v>
      </c>
      <c r="W50" s="101">
        <f t="shared" si="13"/>
        <v>0.21439843847908369</v>
      </c>
      <c r="X50" s="101">
        <f t="shared" si="13"/>
        <v>0.26848256392013059</v>
      </c>
      <c r="Y50" s="101">
        <f t="shared" si="13"/>
        <v>0.33335147535796217</v>
      </c>
      <c r="Z50" s="101">
        <f t="shared" si="13"/>
        <v>0.27205879959022722</v>
      </c>
      <c r="AA50" s="101">
        <f t="shared" si="13"/>
        <v>0.21806967314812054</v>
      </c>
      <c r="AB50" s="101">
        <f t="shared" si="13"/>
        <v>0.47143714668656217</v>
      </c>
      <c r="AC50" s="101">
        <f t="shared" si="13"/>
        <v>0.28838718576288064</v>
      </c>
      <c r="AD50" s="101">
        <f t="shared" si="13"/>
        <v>-0.15297331716191631</v>
      </c>
      <c r="AE50" s="101">
        <f t="shared" si="13"/>
        <v>0.10963075547608404</v>
      </c>
      <c r="AF50" s="101">
        <f t="shared" si="13"/>
        <v>0.26390750213872932</v>
      </c>
      <c r="AG50" s="101">
        <f t="shared" si="13"/>
        <v>0.14947578382434493</v>
      </c>
      <c r="AH50" s="101">
        <f t="shared" si="13"/>
        <v>0.34118953617526521</v>
      </c>
      <c r="AI50" s="101">
        <f t="shared" si="13"/>
        <v>0.5210346646267815</v>
      </c>
      <c r="AJ50" s="101">
        <f t="shared" si="13"/>
        <v>0.26171711908563744</v>
      </c>
      <c r="AK50" s="101">
        <f t="shared" si="13"/>
        <v>0.27530715061486177</v>
      </c>
      <c r="AL50" s="101">
        <f t="shared" si="13"/>
        <v>0.27415738166722264</v>
      </c>
      <c r="AM50" s="101">
        <f t="shared" si="13"/>
        <v>0.13058823442421733</v>
      </c>
      <c r="AN50" s="101">
        <f t="shared" si="13"/>
        <v>0.30085410764872522</v>
      </c>
      <c r="AO50" s="101">
        <f t="shared" si="13"/>
        <v>0.59971653180711793</v>
      </c>
      <c r="AP50" s="101">
        <f t="shared" si="13"/>
        <v>0.2397825171642074</v>
      </c>
      <c r="AQ50" s="101">
        <f t="shared" si="13"/>
        <v>0.23214409128009392</v>
      </c>
      <c r="AR50" s="101">
        <f t="shared" si="13"/>
        <v>0.26426351593268887</v>
      </c>
      <c r="AS50" s="101">
        <f t="shared" si="13"/>
        <v>0.2600002348134407</v>
      </c>
      <c r="AT50" s="101">
        <f t="shared" si="13"/>
        <v>0.12984034293783436</v>
      </c>
      <c r="AU50" s="101">
        <f t="shared" si="13"/>
        <v>0.4172428633629956</v>
      </c>
      <c r="AV50" s="101">
        <f t="shared" si="13"/>
        <v>0.11127244207582118</v>
      </c>
      <c r="AW50" s="101">
        <f t="shared" si="13"/>
        <v>0.36487345515202063</v>
      </c>
      <c r="AX50" s="101">
        <f t="shared" si="13"/>
        <v>0.16746490010119314</v>
      </c>
      <c r="AY50" s="101">
        <f t="shared" si="13"/>
        <v>0.31699048047113598</v>
      </c>
      <c r="AZ50" s="101">
        <f t="shared" si="13"/>
        <v>0.14057601858548666</v>
      </c>
      <c r="BA50" s="101">
        <f t="shared" si="13"/>
        <v>0.46513736529691996</v>
      </c>
      <c r="BB50" s="101">
        <f t="shared" si="13"/>
        <v>0.31076463910838542</v>
      </c>
      <c r="BC50" s="101">
        <f t="shared" si="13"/>
        <v>-3.4311019251423776E-2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0.17310605499049614</v>
      </c>
      <c r="D51" s="101">
        <f t="shared" ref="D51:BC51" si="14">D47/D48</f>
        <v>0.13201901518910666</v>
      </c>
      <c r="E51" s="101">
        <f t="shared" si="14"/>
        <v>7.8346446478485057E-2</v>
      </c>
      <c r="F51" s="101">
        <f t="shared" si="14"/>
        <v>0.21361988752800129</v>
      </c>
      <c r="G51" s="101">
        <f t="shared" si="14"/>
        <v>7.9927611720764499E-2</v>
      </c>
      <c r="H51" s="101">
        <f t="shared" si="14"/>
        <v>0.23370647461766642</v>
      </c>
      <c r="I51" s="101">
        <f t="shared" si="14"/>
        <v>0.3219696950340678</v>
      </c>
      <c r="J51" s="101">
        <f t="shared" si="14"/>
        <v>0.21882128904366074</v>
      </c>
      <c r="K51" s="101">
        <f t="shared" si="14"/>
        <v>0.18071896837397472</v>
      </c>
      <c r="L51" s="101">
        <f t="shared" si="14"/>
        <v>0.14488016145826749</v>
      </c>
      <c r="M51" s="101">
        <f>M47/M48</f>
        <v>0.19636091724129415</v>
      </c>
      <c r="N51" s="101">
        <f t="shared" si="14"/>
        <v>4.0574472012446072E-2</v>
      </c>
      <c r="O51" s="101">
        <f t="shared" si="14"/>
        <v>2.3536435543816202E-2</v>
      </c>
      <c r="P51" s="101">
        <f t="shared" si="14"/>
        <v>0.15293857099250888</v>
      </c>
      <c r="Q51" s="101">
        <f t="shared" si="14"/>
        <v>0.34524349305795282</v>
      </c>
      <c r="R51" s="101">
        <f t="shared" si="14"/>
        <v>0.10364731136255456</v>
      </c>
      <c r="S51" s="101">
        <f t="shared" si="14"/>
        <v>0.14191933531429868</v>
      </c>
      <c r="T51" s="101">
        <f t="shared" si="14"/>
        <v>0.32685729606200065</v>
      </c>
      <c r="U51" s="101">
        <f t="shared" si="14"/>
        <v>5.0427974513783946E-2</v>
      </c>
      <c r="V51" s="101">
        <f t="shared" si="14"/>
        <v>0.27434951213462333</v>
      </c>
      <c r="W51" s="101">
        <f t="shared" si="14"/>
        <v>0.12708943815513898</v>
      </c>
      <c r="X51" s="101">
        <f t="shared" si="14"/>
        <v>0.21896439182106961</v>
      </c>
      <c r="Y51" s="101">
        <f t="shared" si="14"/>
        <v>0.37130966668715376</v>
      </c>
      <c r="Z51" s="101">
        <f t="shared" si="14"/>
        <v>0.23640386939331454</v>
      </c>
      <c r="AA51" s="101">
        <f t="shared" si="14"/>
        <v>0.18820152542648627</v>
      </c>
      <c r="AB51" s="101">
        <f t="shared" si="14"/>
        <v>0.60777909428921195</v>
      </c>
      <c r="AC51" s="101">
        <f t="shared" si="14"/>
        <v>0.27867512685777862</v>
      </c>
      <c r="AD51" s="101">
        <f t="shared" si="14"/>
        <v>-0.18708899080643207</v>
      </c>
      <c r="AE51" s="101">
        <f t="shared" si="14"/>
        <v>-0.11926170041299991</v>
      </c>
      <c r="AF51" s="101">
        <f t="shared" si="14"/>
        <v>0.28405652732254733</v>
      </c>
      <c r="AG51" s="101">
        <f t="shared" si="14"/>
        <v>9.1311909905785305E-2</v>
      </c>
      <c r="AH51" s="101">
        <f t="shared" si="14"/>
        <v>0.36741276919311994</v>
      </c>
      <c r="AI51" s="101">
        <f t="shared" si="14"/>
        <v>0.75024104081904397</v>
      </c>
      <c r="AJ51" s="101">
        <f t="shared" si="14"/>
        <v>0.22887651418265817</v>
      </c>
      <c r="AK51" s="101">
        <f t="shared" si="14"/>
        <v>0.31027621858646537</v>
      </c>
      <c r="AL51" s="101">
        <f t="shared" si="14"/>
        <v>0.25842058757359165</v>
      </c>
      <c r="AM51" s="101">
        <f t="shared" si="14"/>
        <v>4.9203072326198312E-2</v>
      </c>
      <c r="AN51" s="101">
        <f t="shared" si="14"/>
        <v>0.28789428807113482</v>
      </c>
      <c r="AO51" s="101">
        <f t="shared" si="14"/>
        <v>1.0710973804005106</v>
      </c>
      <c r="AP51" s="101">
        <f t="shared" si="14"/>
        <v>0.17040191625626872</v>
      </c>
      <c r="AQ51" s="101">
        <f t="shared" si="14"/>
        <v>0.17565178770276557</v>
      </c>
      <c r="AR51" s="101">
        <f t="shared" si="14"/>
        <v>0.26284742954904367</v>
      </c>
      <c r="AS51" s="101">
        <f t="shared" si="14"/>
        <v>0.24212028314948905</v>
      </c>
      <c r="AT51" s="101">
        <f t="shared" si="14"/>
        <v>5.9404586018156541E-2</v>
      </c>
      <c r="AU51" s="101">
        <f t="shared" si="14"/>
        <v>0.4739151027437612</v>
      </c>
      <c r="AV51" s="101">
        <f t="shared" si="14"/>
        <v>5.1813479438379481E-2</v>
      </c>
      <c r="AW51" s="101">
        <f t="shared" si="14"/>
        <v>0.40295675275772569</v>
      </c>
      <c r="AX51" s="101">
        <f t="shared" si="14"/>
        <v>5.7153559856988632E-2</v>
      </c>
      <c r="AY51" s="101">
        <f t="shared" si="14"/>
        <v>0.3681717852205848</v>
      </c>
      <c r="AZ51" s="101">
        <f t="shared" si="14"/>
        <v>8.9182822283051494E-2</v>
      </c>
      <c r="BA51" s="101">
        <f t="shared" si="14"/>
        <v>0.73607640124377249</v>
      </c>
      <c r="BB51" s="101">
        <f t="shared" si="14"/>
        <v>0.32133356267278784</v>
      </c>
      <c r="BC51" s="101">
        <f t="shared" si="14"/>
        <v>-0.14398568311449703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5">C47/C46</f>
        <v>0.5950963724162075</v>
      </c>
      <c r="D52" s="101">
        <f t="shared" si="15"/>
        <v>0.46467565820005124</v>
      </c>
      <c r="E52" s="101">
        <f t="shared" si="15"/>
        <v>0.40691316090232016</v>
      </c>
      <c r="F52" s="101">
        <f t="shared" si="15"/>
        <v>0.72266858706059078</v>
      </c>
      <c r="G52" s="101">
        <f t="shared" si="15"/>
        <v>0.39022675912260457</v>
      </c>
      <c r="H52" s="101">
        <f t="shared" si="15"/>
        <v>0.67136429940884368</v>
      </c>
      <c r="I52" s="101">
        <f t="shared" si="15"/>
        <v>0.66000909665234331</v>
      </c>
      <c r="J52" s="101">
        <f t="shared" si="15"/>
        <v>0.61394912741233498</v>
      </c>
      <c r="K52" s="101">
        <f t="shared" si="15"/>
        <v>0.6075852293805718</v>
      </c>
      <c r="L52" s="101">
        <f t="shared" si="15"/>
        <v>0.64961014532312655</v>
      </c>
      <c r="M52" s="101">
        <f>M47/M46</f>
        <v>0.64622505912920325</v>
      </c>
      <c r="N52" s="101">
        <f t="shared" si="15"/>
        <v>0.3185726731662481</v>
      </c>
      <c r="O52" s="101">
        <f t="shared" si="15"/>
        <v>0.19233407649690179</v>
      </c>
      <c r="P52" s="101">
        <f t="shared" si="15"/>
        <v>0.67735765285805838</v>
      </c>
      <c r="Q52" s="101">
        <f t="shared" si="15"/>
        <v>0.79719582281305879</v>
      </c>
      <c r="R52" s="101">
        <f t="shared" si="15"/>
        <v>0.41291713545972175</v>
      </c>
      <c r="S52" s="101">
        <f t="shared" si="15"/>
        <v>0.47265221621717002</v>
      </c>
      <c r="T52" s="101">
        <f t="shared" si="15"/>
        <v>0.57812235844039372</v>
      </c>
      <c r="U52" s="101">
        <f t="shared" si="15"/>
        <v>0.3523778901531453</v>
      </c>
      <c r="V52" s="101">
        <f t="shared" si="15"/>
        <v>0.68185359459880857</v>
      </c>
      <c r="W52" s="101">
        <f t="shared" si="15"/>
        <v>0.46568278097432819</v>
      </c>
      <c r="X52" s="101">
        <f t="shared" si="15"/>
        <v>0.59659840906982231</v>
      </c>
      <c r="Y52" s="101">
        <f t="shared" si="15"/>
        <v>0.74255870989174388</v>
      </c>
      <c r="Z52" s="101">
        <f t="shared" si="15"/>
        <v>0.63254015943201347</v>
      </c>
      <c r="AA52" s="101">
        <f t="shared" si="15"/>
        <v>0.67483239721645372</v>
      </c>
      <c r="AB52" s="101">
        <f t="shared" si="15"/>
        <v>0.68142583697450443</v>
      </c>
      <c r="AC52" s="101">
        <f t="shared" si="15"/>
        <v>0.68764772178263389</v>
      </c>
      <c r="AD52" s="101">
        <f t="shared" si="15"/>
        <v>1.4101061435848192</v>
      </c>
      <c r="AE52" s="101">
        <f t="shared" si="15"/>
        <v>-0.96858723299161265</v>
      </c>
      <c r="AF52" s="101">
        <f t="shared" si="15"/>
        <v>0.79229228815457442</v>
      </c>
      <c r="AG52" s="101">
        <f t="shared" si="15"/>
        <v>0.51956904732732512</v>
      </c>
      <c r="AH52" s="101">
        <f t="shared" si="15"/>
        <v>0.70944548769194504</v>
      </c>
      <c r="AI52" s="101">
        <f t="shared" si="15"/>
        <v>0.68966515305472353</v>
      </c>
      <c r="AJ52" s="101">
        <f t="shared" si="15"/>
        <v>0.64564218364759962</v>
      </c>
      <c r="AK52" s="101">
        <f t="shared" si="15"/>
        <v>0.81674216031689706</v>
      </c>
      <c r="AL52" s="101">
        <f t="shared" si="15"/>
        <v>0.68417882741231373</v>
      </c>
      <c r="AM52" s="101">
        <f t="shared" si="15"/>
        <v>0.32757721376268156</v>
      </c>
      <c r="AN52" s="101">
        <f t="shared" si="15"/>
        <v>0.66902895396509432</v>
      </c>
      <c r="AO52" s="101">
        <f t="shared" si="15"/>
        <v>0.71490871346684848</v>
      </c>
      <c r="AP52" s="101">
        <f t="shared" si="15"/>
        <v>0.540250045661265</v>
      </c>
      <c r="AQ52" s="101">
        <f t="shared" si="15"/>
        <v>0.580998044451836</v>
      </c>
      <c r="AR52" s="101">
        <f t="shared" si="15"/>
        <v>0.73179395566583449</v>
      </c>
      <c r="AS52" s="101">
        <f t="shared" si="15"/>
        <v>0.68911073409639478</v>
      </c>
      <c r="AT52" s="101">
        <f t="shared" si="15"/>
        <v>0.39811566288166794</v>
      </c>
      <c r="AU52" s="101">
        <f t="shared" si="15"/>
        <v>0.66191044241711916</v>
      </c>
      <c r="AV52" s="101">
        <f t="shared" si="15"/>
        <v>0.41383172859141926</v>
      </c>
      <c r="AW52" s="101">
        <f t="shared" si="15"/>
        <v>0.70141723517690791</v>
      </c>
      <c r="AX52" s="101">
        <f t="shared" si="15"/>
        <v>0.28413324007811869</v>
      </c>
      <c r="AY52" s="101">
        <f t="shared" si="15"/>
        <v>0.79328828346469282</v>
      </c>
      <c r="AZ52" s="101">
        <f t="shared" si="15"/>
        <v>0.54522710894442816</v>
      </c>
      <c r="BA52" s="101">
        <f t="shared" si="15"/>
        <v>0.84641611851734988</v>
      </c>
      <c r="BB52" s="101">
        <f t="shared" si="15"/>
        <v>0.71267585228100394</v>
      </c>
      <c r="BC52" s="101">
        <f t="shared" si="15"/>
        <v>4.3404708431559662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3.8426595885112103</v>
      </c>
      <c r="D53" s="106">
        <f t="shared" ref="D53:BC53" si="16">D45/D46</f>
        <v>4.055087442096073</v>
      </c>
      <c r="E53" s="106">
        <f t="shared" si="16"/>
        <v>5.7868534895617021</v>
      </c>
      <c r="F53" s="106">
        <f t="shared" si="16"/>
        <v>3.6602963392076311</v>
      </c>
      <c r="G53" s="106">
        <f t="shared" si="16"/>
        <v>5.4920254528651959</v>
      </c>
      <c r="H53" s="106">
        <f t="shared" si="16"/>
        <v>3.2013173432677933</v>
      </c>
      <c r="I53" s="106">
        <f t="shared" si="16"/>
        <v>2.3899015217445445</v>
      </c>
      <c r="J53" s="106">
        <f t="shared" si="16"/>
        <v>3.1917610943651975</v>
      </c>
      <c r="K53" s="106">
        <f t="shared" si="16"/>
        <v>3.7544593575675567</v>
      </c>
      <c r="L53" s="106">
        <f t="shared" si="16"/>
        <v>4.8341655406271249</v>
      </c>
      <c r="M53" s="106">
        <f>M45/M46</f>
        <v>3.6447814619653309</v>
      </c>
      <c r="N53" s="106">
        <f t="shared" si="16"/>
        <v>8.5329816999510921</v>
      </c>
      <c r="O53" s="106">
        <f t="shared" si="16"/>
        <v>8.9794248178712106</v>
      </c>
      <c r="P53" s="106">
        <f t="shared" si="16"/>
        <v>4.7515947589650924</v>
      </c>
      <c r="Q53" s="106">
        <f t="shared" si="16"/>
        <v>2.5118870095728392</v>
      </c>
      <c r="R53" s="106">
        <f t="shared" si="16"/>
        <v>4.5709501740872911</v>
      </c>
      <c r="S53" s="106">
        <f t="shared" si="16"/>
        <v>3.8577764048753731</v>
      </c>
      <c r="T53" s="106">
        <f t="shared" si="16"/>
        <v>2.1906078042503339</v>
      </c>
      <c r="U53" s="106">
        <f t="shared" si="16"/>
        <v>7.6353683667746743</v>
      </c>
      <c r="V53" s="106">
        <f t="shared" si="16"/>
        <v>2.8034928865869242</v>
      </c>
      <c r="W53" s="106">
        <f t="shared" si="16"/>
        <v>4.198530293961654</v>
      </c>
      <c r="X53" s="106">
        <f t="shared" si="16"/>
        <v>3.1280382503800053</v>
      </c>
      <c r="Y53" s="106">
        <f t="shared" si="16"/>
        <v>2.2572780207727052</v>
      </c>
      <c r="Z53" s="106">
        <f t="shared" si="16"/>
        <v>3.0431358396762382</v>
      </c>
      <c r="AA53" s="106">
        <f t="shared" si="16"/>
        <v>3.910857972121446</v>
      </c>
      <c r="AB53" s="106">
        <f t="shared" si="16"/>
        <v>1.4397477002157164</v>
      </c>
      <c r="AC53" s="106">
        <f t="shared" si="16"/>
        <v>2.7799127294720409</v>
      </c>
      <c r="AD53" s="106">
        <f t="shared" si="16"/>
        <v>-7.9471939086460868</v>
      </c>
      <c r="AE53" s="106">
        <f t="shared" si="16"/>
        <v>10.090115180668212</v>
      </c>
      <c r="AF53" s="106">
        <f t="shared" si="16"/>
        <v>2.996914126577531</v>
      </c>
      <c r="AG53" s="106">
        <f t="shared" si="16"/>
        <v>6.1704778245803054</v>
      </c>
      <c r="AH53" s="106">
        <f t="shared" si="16"/>
        <v>2.2214767533884827</v>
      </c>
      <c r="AI53" s="106">
        <f t="shared" si="16"/>
        <v>1.2295929460514128</v>
      </c>
      <c r="AJ53" s="106">
        <f t="shared" si="16"/>
        <v>3.1752771490032621</v>
      </c>
      <c r="AK53" s="106">
        <f t="shared" si="16"/>
        <v>2.815564511582592</v>
      </c>
      <c r="AL53" s="106">
        <f t="shared" si="16"/>
        <v>2.9633611144952825</v>
      </c>
      <c r="AM53" s="106">
        <f t="shared" si="16"/>
        <v>7.3300804949056886</v>
      </c>
      <c r="AN53" s="106">
        <f t="shared" si="16"/>
        <v>2.6548412361922953</v>
      </c>
      <c r="AO53" s="106">
        <f t="shared" si="16"/>
        <v>0.95254573703281198</v>
      </c>
      <c r="AP53" s="106">
        <f t="shared" si="16"/>
        <v>3.6301957892833312</v>
      </c>
      <c r="AQ53" s="106">
        <f t="shared" si="16"/>
        <v>3.72667136244876</v>
      </c>
      <c r="AR53" s="106">
        <f t="shared" si="16"/>
        <v>3.0523076690726789</v>
      </c>
      <c r="AS53" s="106">
        <f t="shared" si="16"/>
        <v>3.1570396384889801</v>
      </c>
      <c r="AT53" s="106">
        <f t="shared" si="16"/>
        <v>7.3036508094911383</v>
      </c>
      <c r="AU53" s="106">
        <f t="shared" si="16"/>
        <v>1.7347752478783518</v>
      </c>
      <c r="AV53" s="106">
        <f t="shared" si="16"/>
        <v>8.5731194099357531</v>
      </c>
      <c r="AW53" s="106">
        <f t="shared" si="16"/>
        <v>2.0392589797682454</v>
      </c>
      <c r="AX53" s="106">
        <f t="shared" si="16"/>
        <v>5.6872673304040253</v>
      </c>
      <c r="AY53" s="106">
        <f t="shared" si="16"/>
        <v>2.3613805839212358</v>
      </c>
      <c r="AZ53" s="106">
        <f t="shared" si="16"/>
        <v>6.568361752529003</v>
      </c>
      <c r="BA53" s="106">
        <f t="shared" si="16"/>
        <v>1.3034864148163268</v>
      </c>
      <c r="BB53" s="106">
        <f t="shared" si="16"/>
        <v>2.5051934743872399</v>
      </c>
      <c r="BC53" s="106">
        <f t="shared" si="16"/>
        <v>-33.485626592456647</v>
      </c>
      <c r="BE53" s="123"/>
    </row>
    <row r="54" spans="1:57" s="112" customFormat="1" ht="13" x14ac:dyDescent="0.3">
      <c r="A54" s="112" t="s">
        <v>54</v>
      </c>
      <c r="C54" s="111">
        <f t="shared" ref="C54:BC54" si="17">C48/C4</f>
        <v>0.77466088518508425</v>
      </c>
      <c r="D54" s="112">
        <f t="shared" si="17"/>
        <v>0.77874946588805016</v>
      </c>
      <c r="E54" s="112">
        <f t="shared" si="17"/>
        <v>0.83854735632878863</v>
      </c>
      <c r="F54" s="112">
        <f t="shared" si="17"/>
        <v>0.77184394198394191</v>
      </c>
      <c r="G54" s="112">
        <f t="shared" si="17"/>
        <v>0.82999708887659751</v>
      </c>
      <c r="H54" s="112">
        <f t="shared" si="17"/>
        <v>0.74178099511716089</v>
      </c>
      <c r="I54" s="112">
        <f t="shared" si="17"/>
        <v>0.67212153891722048</v>
      </c>
      <c r="J54" s="112">
        <f t="shared" si="17"/>
        <v>0.73723695664539324</v>
      </c>
      <c r="K54" s="112">
        <f t="shared" si="17"/>
        <v>0.77074970691676437</v>
      </c>
      <c r="L54" s="112">
        <f t="shared" si="17"/>
        <v>0.81764389040163377</v>
      </c>
      <c r="M54" s="112">
        <f t="shared" si="17"/>
        <v>0.76695444411841074</v>
      </c>
      <c r="N54" s="112">
        <f t="shared" si="17"/>
        <v>0.88702549203820569</v>
      </c>
      <c r="O54" s="112">
        <f t="shared" si="17"/>
        <v>0.89096965898067304</v>
      </c>
      <c r="P54" s="112">
        <f t="shared" si="17"/>
        <v>0.81580240087899758</v>
      </c>
      <c r="Q54" s="112">
        <f t="shared" si="17"/>
        <v>0.69780146020733336</v>
      </c>
      <c r="R54" s="112">
        <f t="shared" si="17"/>
        <v>0.79935260353251847</v>
      </c>
      <c r="S54" s="112">
        <f t="shared" si="17"/>
        <v>0.76907597665292871</v>
      </c>
      <c r="T54" s="112">
        <f t="shared" si="17"/>
        <v>0.63882359737498839</v>
      </c>
      <c r="U54" s="112">
        <f t="shared" si="17"/>
        <v>0.87480824154464165</v>
      </c>
      <c r="V54" s="112">
        <f t="shared" si="17"/>
        <v>0.71308447943465436</v>
      </c>
      <c r="W54" s="112">
        <f t="shared" si="17"/>
        <v>0.78560156152091631</v>
      </c>
      <c r="X54" s="112">
        <f t="shared" si="17"/>
        <v>0.73151743607986941</v>
      </c>
      <c r="Y54" s="112">
        <f t="shared" si="17"/>
        <v>0.66664852464203783</v>
      </c>
      <c r="Z54" s="112">
        <f t="shared" si="17"/>
        <v>0.72794120040977284</v>
      </c>
      <c r="AA54" s="112">
        <f t="shared" si="17"/>
        <v>0.78193032685187946</v>
      </c>
      <c r="AB54" s="112">
        <f t="shared" si="17"/>
        <v>0.52856285331343789</v>
      </c>
      <c r="AC54" s="112">
        <f t="shared" si="17"/>
        <v>0.71161281423711942</v>
      </c>
      <c r="AD54" s="112">
        <f t="shared" si="17"/>
        <v>1.1529733171619163</v>
      </c>
      <c r="AE54" s="112">
        <f t="shared" si="17"/>
        <v>0.89036924452391597</v>
      </c>
      <c r="AF54" s="112">
        <f t="shared" si="17"/>
        <v>0.73609249786127062</v>
      </c>
      <c r="AG54" s="112">
        <f t="shared" si="17"/>
        <v>0.8505242161756551</v>
      </c>
      <c r="AH54" s="112">
        <f t="shared" si="17"/>
        <v>0.65881046382473474</v>
      </c>
      <c r="AI54" s="112">
        <f t="shared" si="17"/>
        <v>0.47896533537321845</v>
      </c>
      <c r="AJ54" s="112">
        <f t="shared" si="17"/>
        <v>0.73828288091436256</v>
      </c>
      <c r="AK54" s="112">
        <f t="shared" si="17"/>
        <v>0.72469284938513823</v>
      </c>
      <c r="AL54" s="112">
        <f t="shared" si="17"/>
        <v>0.7258426183327773</v>
      </c>
      <c r="AM54" s="112">
        <f t="shared" si="17"/>
        <v>0.8694117655757827</v>
      </c>
      <c r="AN54" s="112">
        <f t="shared" si="17"/>
        <v>0.69914589235127478</v>
      </c>
      <c r="AO54" s="112">
        <f t="shared" si="17"/>
        <v>0.40028346819288207</v>
      </c>
      <c r="AP54" s="112">
        <f t="shared" si="17"/>
        <v>0.7602174828357926</v>
      </c>
      <c r="AQ54" s="112">
        <f t="shared" si="17"/>
        <v>0.76785590871990606</v>
      </c>
      <c r="AR54" s="112">
        <f t="shared" si="17"/>
        <v>0.73573648406731118</v>
      </c>
      <c r="AS54" s="112">
        <f t="shared" si="17"/>
        <v>0.7399997651865593</v>
      </c>
      <c r="AT54" s="112">
        <f t="shared" si="17"/>
        <v>0.87015965706216569</v>
      </c>
      <c r="AU54" s="112">
        <f t="shared" si="17"/>
        <v>0.58275713663700446</v>
      </c>
      <c r="AV54" s="112">
        <f t="shared" si="17"/>
        <v>0.88872755792417879</v>
      </c>
      <c r="AW54" s="112">
        <f t="shared" si="17"/>
        <v>0.63512654484797937</v>
      </c>
      <c r="AX54" s="112">
        <f t="shared" si="17"/>
        <v>0.83253509989880681</v>
      </c>
      <c r="AY54" s="112">
        <f t="shared" si="17"/>
        <v>0.68300951952886402</v>
      </c>
      <c r="AZ54" s="112">
        <f t="shared" si="17"/>
        <v>0.85942398141451337</v>
      </c>
      <c r="BA54" s="112">
        <f t="shared" si="17"/>
        <v>0.53486263470308004</v>
      </c>
      <c r="BB54" s="112">
        <f t="shared" si="17"/>
        <v>0.68923536089161452</v>
      </c>
      <c r="BC54" s="112">
        <f t="shared" si="17"/>
        <v>1.0343110192514238</v>
      </c>
      <c r="BE54" s="123"/>
    </row>
    <row r="55" spans="1:57" s="112" customFormat="1" ht="13" x14ac:dyDescent="0.3">
      <c r="A55" s="112" t="s">
        <v>55</v>
      </c>
      <c r="C55" s="111">
        <f t="shared" ref="C55:BC55" si="18">C44/C4</f>
        <v>9.1240625025080041E-2</v>
      </c>
      <c r="D55" s="112">
        <f t="shared" si="18"/>
        <v>0.11844079654636666</v>
      </c>
      <c r="E55" s="112">
        <f t="shared" si="18"/>
        <v>9.5755438098922729E-2</v>
      </c>
      <c r="F55" s="112">
        <f t="shared" si="18"/>
        <v>6.3274841940279186E-2</v>
      </c>
      <c r="G55" s="112">
        <f t="shared" si="18"/>
        <v>0.10366322607430895</v>
      </c>
      <c r="H55" s="112">
        <f t="shared" si="18"/>
        <v>8.4859983575623091E-2</v>
      </c>
      <c r="I55" s="112">
        <f t="shared" si="18"/>
        <v>0.11147569417177366</v>
      </c>
      <c r="J55" s="112">
        <f t="shared" si="18"/>
        <v>0.1014399021708364</v>
      </c>
      <c r="K55" s="112">
        <f t="shared" si="18"/>
        <v>8.9961201174694597E-2</v>
      </c>
      <c r="L55" s="112">
        <f t="shared" si="18"/>
        <v>6.3895730741611506E-2</v>
      </c>
      <c r="M55" s="112">
        <f t="shared" si="18"/>
        <v>8.2445677752211233E-2</v>
      </c>
      <c r="N55" s="112">
        <f t="shared" si="18"/>
        <v>7.6983916960763885E-2</v>
      </c>
      <c r="O55" s="112">
        <f t="shared" si="18"/>
        <v>8.8060091069232405E-2</v>
      </c>
      <c r="P55" s="112">
        <f t="shared" si="18"/>
        <v>5.9429945718310617E-2</v>
      </c>
      <c r="Q55" s="112">
        <f t="shared" si="18"/>
        <v>6.1287126209746863E-2</v>
      </c>
      <c r="R55" s="112">
        <f t="shared" si="18"/>
        <v>0.117796648280678</v>
      </c>
      <c r="S55" s="112">
        <f t="shared" si="18"/>
        <v>0.12177727193429243</v>
      </c>
      <c r="T55" s="112">
        <f t="shared" si="18"/>
        <v>0.15237224892642268</v>
      </c>
      <c r="U55" s="112">
        <f t="shared" si="18"/>
        <v>8.1076950746296991E-2</v>
      </c>
      <c r="V55" s="112">
        <f t="shared" si="18"/>
        <v>9.1281141521676351E-2</v>
      </c>
      <c r="W55" s="112">
        <f t="shared" si="18"/>
        <v>0.11455677741159058</v>
      </c>
      <c r="X55" s="112">
        <f t="shared" si="18"/>
        <v>0.10830629342239385</v>
      </c>
      <c r="Y55" s="112">
        <f t="shared" si="18"/>
        <v>8.5818433875644293E-2</v>
      </c>
      <c r="Z55" s="112">
        <f t="shared" si="18"/>
        <v>9.9970683122542731E-2</v>
      </c>
      <c r="AA55" s="112">
        <f t="shared" si="18"/>
        <v>7.0909192857365799E-2</v>
      </c>
      <c r="AB55" s="112">
        <f t="shared" si="18"/>
        <v>0.15018769442479932</v>
      </c>
      <c r="AC55" s="112">
        <f t="shared" si="18"/>
        <v>9.0078394481730564E-2</v>
      </c>
      <c r="AD55" s="112">
        <f t="shared" si="18"/>
        <v>6.2735297172651E-2</v>
      </c>
      <c r="AE55" s="112">
        <f t="shared" si="18"/>
        <v>0.21581770557344437</v>
      </c>
      <c r="AF55" s="112">
        <f t="shared" si="18"/>
        <v>5.4815623408077156E-2</v>
      </c>
      <c r="AG55" s="112">
        <f t="shared" si="18"/>
        <v>7.1812793224224777E-2</v>
      </c>
      <c r="AH55" s="112">
        <f t="shared" si="18"/>
        <v>9.9134159288015708E-2</v>
      </c>
      <c r="AI55" s="112">
        <f t="shared" si="18"/>
        <v>0.16169521290013569</v>
      </c>
      <c r="AJ55" s="112">
        <f t="shared" si="18"/>
        <v>9.2741506821227643E-2</v>
      </c>
      <c r="AK55" s="112">
        <f t="shared" si="18"/>
        <v>5.0452193670990179E-2</v>
      </c>
      <c r="AL55" s="112">
        <f t="shared" si="18"/>
        <v>8.6584705751712079E-2</v>
      </c>
      <c r="AM55" s="112">
        <f t="shared" si="18"/>
        <v>8.7810504441344292E-2</v>
      </c>
      <c r="AN55" s="112">
        <f t="shared" si="18"/>
        <v>9.9573998712396666E-2</v>
      </c>
      <c r="AO55" s="112">
        <f t="shared" si="18"/>
        <v>0.17097395760809092</v>
      </c>
      <c r="AP55" s="112">
        <f t="shared" si="18"/>
        <v>0.11024000131747132</v>
      </c>
      <c r="AQ55" s="112">
        <f t="shared" si="18"/>
        <v>9.7268828215310799E-2</v>
      </c>
      <c r="AR55" s="112">
        <f t="shared" si="18"/>
        <v>7.0877072270145142E-2</v>
      </c>
      <c r="AS55" s="112">
        <f t="shared" si="18"/>
        <v>8.0831282135915533E-2</v>
      </c>
      <c r="AT55" s="112">
        <f t="shared" si="18"/>
        <v>7.8148868740355329E-2</v>
      </c>
      <c r="AU55" s="112">
        <f t="shared" si="18"/>
        <v>0.14106545507900961</v>
      </c>
      <c r="AV55" s="112">
        <f t="shared" si="18"/>
        <v>6.5224375026995629E-2</v>
      </c>
      <c r="AW55" s="112">
        <f t="shared" si="18"/>
        <v>0.10894492504984481</v>
      </c>
      <c r="AX55" s="112">
        <f t="shared" si="18"/>
        <v>0.11988255543608271</v>
      </c>
      <c r="AY55" s="112">
        <f t="shared" si="18"/>
        <v>6.5525646343540273E-2</v>
      </c>
      <c r="AZ55" s="112">
        <f t="shared" si="18"/>
        <v>6.3930162385203576E-2</v>
      </c>
      <c r="BA55" s="112">
        <f t="shared" si="18"/>
        <v>7.1437601984914334E-2</v>
      </c>
      <c r="BB55" s="112">
        <f t="shared" si="18"/>
        <v>8.9290185073018294E-2</v>
      </c>
      <c r="BC55" s="112">
        <f t="shared" si="18"/>
        <v>0.1146149594083441</v>
      </c>
      <c r="BE55" s="123"/>
    </row>
    <row r="56" spans="1:57" s="112" customFormat="1" ht="13" x14ac:dyDescent="0.3">
      <c r="A56" s="112" t="s">
        <v>56</v>
      </c>
      <c r="C56" s="111">
        <f t="shared" ref="C56:BC56" si="19">C45/C4</f>
        <v>0.86590151021016437</v>
      </c>
      <c r="D56" s="112">
        <f t="shared" si="19"/>
        <v>0.8971902624344168</v>
      </c>
      <c r="E56" s="112">
        <f t="shared" si="19"/>
        <v>0.93430279442771147</v>
      </c>
      <c r="F56" s="112">
        <f t="shared" si="19"/>
        <v>0.83511878392422112</v>
      </c>
      <c r="G56" s="112">
        <f t="shared" si="19"/>
        <v>0.9336603149509064</v>
      </c>
      <c r="H56" s="112">
        <f t="shared" si="19"/>
        <v>0.82664097869278397</v>
      </c>
      <c r="I56" s="112">
        <f t="shared" si="19"/>
        <v>0.78359723308899421</v>
      </c>
      <c r="J56" s="112">
        <f t="shared" si="19"/>
        <v>0.83867685881622966</v>
      </c>
      <c r="K56" s="112">
        <f t="shared" si="19"/>
        <v>0.860710908091459</v>
      </c>
      <c r="L56" s="112">
        <f t="shared" si="19"/>
        <v>0.88153962114324536</v>
      </c>
      <c r="M56" s="112">
        <f t="shared" si="19"/>
        <v>0.84940012187062197</v>
      </c>
      <c r="N56" s="112">
        <f t="shared" si="19"/>
        <v>0.96400940899896959</v>
      </c>
      <c r="O56" s="112">
        <f t="shared" si="19"/>
        <v>0.97902975004990545</v>
      </c>
      <c r="P56" s="112">
        <f t="shared" si="19"/>
        <v>0.8752323465973082</v>
      </c>
      <c r="Q56" s="112">
        <f t="shared" si="19"/>
        <v>0.75908858641708021</v>
      </c>
      <c r="R56" s="112">
        <f t="shared" si="19"/>
        <v>0.9171492518131964</v>
      </c>
      <c r="S56" s="112">
        <f t="shared" si="19"/>
        <v>0.89085324858722126</v>
      </c>
      <c r="T56" s="112">
        <f t="shared" si="19"/>
        <v>0.79119584630141115</v>
      </c>
      <c r="U56" s="112">
        <f t="shared" si="19"/>
        <v>0.9558851922909386</v>
      </c>
      <c r="V56" s="112">
        <f t="shared" si="19"/>
        <v>0.80436562095633068</v>
      </c>
      <c r="W56" s="112">
        <f t="shared" si="19"/>
        <v>0.90015833893250685</v>
      </c>
      <c r="X56" s="112">
        <f t="shared" si="19"/>
        <v>0.83982372950226325</v>
      </c>
      <c r="Y56" s="112">
        <f t="shared" si="19"/>
        <v>0.75246695851768208</v>
      </c>
      <c r="Z56" s="112">
        <f t="shared" si="19"/>
        <v>0.82791188353231548</v>
      </c>
      <c r="AA56" s="112">
        <f t="shared" si="19"/>
        <v>0.85283951970924532</v>
      </c>
      <c r="AB56" s="112">
        <f t="shared" si="19"/>
        <v>0.67875054773823718</v>
      </c>
      <c r="AC56" s="112">
        <f t="shared" si="19"/>
        <v>0.80169120871884991</v>
      </c>
      <c r="AD56" s="112">
        <f t="shared" si="19"/>
        <v>1.2157086143345672</v>
      </c>
      <c r="AE56" s="112">
        <f t="shared" si="19"/>
        <v>1.1061869500973602</v>
      </c>
      <c r="AF56" s="112">
        <f t="shared" si="19"/>
        <v>0.79090812126934784</v>
      </c>
      <c r="AG56" s="112">
        <f t="shared" si="19"/>
        <v>0.92233700939987995</v>
      </c>
      <c r="AH56" s="112">
        <f t="shared" si="19"/>
        <v>0.75794462311275046</v>
      </c>
      <c r="AI56" s="112">
        <f t="shared" si="19"/>
        <v>0.64066054827335417</v>
      </c>
      <c r="AJ56" s="112">
        <f t="shared" si="19"/>
        <v>0.83102438773559018</v>
      </c>
      <c r="AK56" s="112">
        <f t="shared" si="19"/>
        <v>0.77514504305612841</v>
      </c>
      <c r="AL56" s="112">
        <f t="shared" si="19"/>
        <v>0.81242732408448948</v>
      </c>
      <c r="AM56" s="112">
        <f t="shared" si="19"/>
        <v>0.95722227001712701</v>
      </c>
      <c r="AN56" s="112">
        <f t="shared" si="19"/>
        <v>0.79871989106367147</v>
      </c>
      <c r="AO56" s="112">
        <f t="shared" si="19"/>
        <v>0.57125742580097294</v>
      </c>
      <c r="AP56" s="112">
        <f t="shared" si="19"/>
        <v>0.87045748415326385</v>
      </c>
      <c r="AQ56" s="112">
        <f t="shared" si="19"/>
        <v>0.86512473693521696</v>
      </c>
      <c r="AR56" s="112">
        <f t="shared" si="19"/>
        <v>0.80661355633745635</v>
      </c>
      <c r="AS56" s="112">
        <f t="shared" si="19"/>
        <v>0.8208310473224748</v>
      </c>
      <c r="AT56" s="112">
        <f t="shared" si="19"/>
        <v>0.94830852580252101</v>
      </c>
      <c r="AU56" s="112">
        <f t="shared" si="19"/>
        <v>0.72382259171601393</v>
      </c>
      <c r="AV56" s="112">
        <f t="shared" si="19"/>
        <v>0.95395193295117431</v>
      </c>
      <c r="AW56" s="112">
        <f t="shared" si="19"/>
        <v>0.74407146989782413</v>
      </c>
      <c r="AX56" s="112">
        <f t="shared" si="19"/>
        <v>0.95241765533488953</v>
      </c>
      <c r="AY56" s="112">
        <f t="shared" si="19"/>
        <v>0.74853516587240432</v>
      </c>
      <c r="AZ56" s="112">
        <f t="shared" si="19"/>
        <v>0.92335414379971692</v>
      </c>
      <c r="BA56" s="112">
        <f t="shared" si="19"/>
        <v>0.60630023668799438</v>
      </c>
      <c r="BB56" s="112">
        <f t="shared" si="19"/>
        <v>0.77852554596463286</v>
      </c>
      <c r="BC56" s="112">
        <f t="shared" si="19"/>
        <v>1.1489259786597679</v>
      </c>
      <c r="BE56" s="123"/>
    </row>
    <row r="57" spans="1:57" s="112" customFormat="1" ht="13" x14ac:dyDescent="0.3">
      <c r="A57" s="112" t="s">
        <v>57</v>
      </c>
      <c r="C57" s="111">
        <f t="shared" ref="C57:BC57" si="20">SUM(C30:C39)/C44</f>
        <v>0.54337472725827596</v>
      </c>
      <c r="D57" s="112">
        <f t="shared" si="20"/>
        <v>0.48600938250276515</v>
      </c>
      <c r="E57" s="112">
        <f t="shared" si="20"/>
        <v>0.66257335204671697</v>
      </c>
      <c r="F57" s="112">
        <f t="shared" si="20"/>
        <v>0.83362616658499766</v>
      </c>
      <c r="G57" s="112">
        <f t="shared" si="20"/>
        <v>0.6328867221712432</v>
      </c>
      <c r="H57" s="112">
        <f t="shared" si="20"/>
        <v>0.57924831287873357</v>
      </c>
      <c r="I57" s="112">
        <f t="shared" si="20"/>
        <v>0.44673296191196882</v>
      </c>
      <c r="J57" s="112">
        <f t="shared" si="20"/>
        <v>0.53701653561028551</v>
      </c>
      <c r="K57" s="112">
        <f t="shared" si="20"/>
        <v>0.78096180900799039</v>
      </c>
      <c r="L57" s="112">
        <f t="shared" si="20"/>
        <v>0.69006637699571938</v>
      </c>
      <c r="M57" s="112">
        <f t="shared" si="20"/>
        <v>0.51839832310651701</v>
      </c>
      <c r="N57" s="112">
        <f t="shared" si="20"/>
        <v>0.67372515030490721</v>
      </c>
      <c r="O57" s="112">
        <f t="shared" si="20"/>
        <v>0.65873986102440896</v>
      </c>
      <c r="P57" s="112">
        <f t="shared" si="20"/>
        <v>0.76968900628191139</v>
      </c>
      <c r="Q57" s="112">
        <f t="shared" si="20"/>
        <v>0.8407632484609826</v>
      </c>
      <c r="R57" s="112">
        <f t="shared" si="20"/>
        <v>0.34215678230554913</v>
      </c>
      <c r="S57" s="112">
        <f t="shared" si="20"/>
        <v>0.30807278986301434</v>
      </c>
      <c r="T57" s="112">
        <f t="shared" si="20"/>
        <v>0.64043679517152574</v>
      </c>
      <c r="U57" s="112">
        <f t="shared" si="20"/>
        <v>0.72091626627619443</v>
      </c>
      <c r="V57" s="112">
        <f t="shared" si="20"/>
        <v>0.4494806981381918</v>
      </c>
      <c r="W57" s="112">
        <f t="shared" si="20"/>
        <v>0.38836728402565052</v>
      </c>
      <c r="X57" s="112">
        <f t="shared" si="20"/>
        <v>0.49793201982130075</v>
      </c>
      <c r="Y57" s="112">
        <f t="shared" si="20"/>
        <v>0.7724460073629269</v>
      </c>
      <c r="Z57" s="112">
        <f t="shared" si="20"/>
        <v>0.39441924706827486</v>
      </c>
      <c r="AA57" s="112">
        <f t="shared" si="20"/>
        <v>0.79196234116090836</v>
      </c>
      <c r="AB57" s="112">
        <f t="shared" si="20"/>
        <v>0.5230263326139224</v>
      </c>
      <c r="AC57" s="112">
        <f t="shared" si="20"/>
        <v>0.51518333415982676</v>
      </c>
      <c r="AD57" s="112">
        <f t="shared" si="20"/>
        <v>0.59631794635247504</v>
      </c>
      <c r="AE57" s="112">
        <f t="shared" si="20"/>
        <v>0.4048283859680275</v>
      </c>
      <c r="AF57" s="112">
        <f t="shared" si="20"/>
        <v>0.84588248870460847</v>
      </c>
      <c r="AG57" s="112">
        <f t="shared" si="20"/>
        <v>0.78626924219699978</v>
      </c>
      <c r="AH57" s="112">
        <f t="shared" si="20"/>
        <v>0.53599852758214817</v>
      </c>
      <c r="AI57" s="112">
        <f t="shared" si="20"/>
        <v>0.46787740179848669</v>
      </c>
      <c r="AJ57" s="112">
        <f t="shared" si="20"/>
        <v>0.42722972257583103</v>
      </c>
      <c r="AK57" s="112">
        <f t="shared" si="20"/>
        <v>0.73186244880585494</v>
      </c>
      <c r="AL57" s="112">
        <f t="shared" si="20"/>
        <v>0.72229287626626704</v>
      </c>
      <c r="AM57" s="112">
        <f t="shared" si="20"/>
        <v>0.65290679667097351</v>
      </c>
      <c r="AN57" s="112">
        <f t="shared" si="20"/>
        <v>0.76222072548887054</v>
      </c>
      <c r="AO57" s="112">
        <f t="shared" si="20"/>
        <v>0.36345761647700348</v>
      </c>
      <c r="AP57" s="112">
        <f t="shared" si="20"/>
        <v>0.41094696230974592</v>
      </c>
      <c r="AQ57" s="112">
        <f t="shared" si="20"/>
        <v>0.43238034678867032</v>
      </c>
      <c r="AR57" s="112">
        <f t="shared" si="20"/>
        <v>0.83704464253475597</v>
      </c>
      <c r="AS57" s="112">
        <f t="shared" si="20"/>
        <v>0.54621180060298868</v>
      </c>
      <c r="AT57" s="112">
        <f t="shared" si="20"/>
        <v>0.47586035825306933</v>
      </c>
      <c r="AU57" s="112">
        <f t="shared" si="20"/>
        <v>0.32932145588275213</v>
      </c>
      <c r="AV57" s="112">
        <f t="shared" si="20"/>
        <v>0.79481408410595156</v>
      </c>
      <c r="AW57" s="112">
        <f t="shared" si="20"/>
        <v>0.59739222206313836</v>
      </c>
      <c r="AX57" s="112">
        <f t="shared" si="20"/>
        <v>0.39480012727610669</v>
      </c>
      <c r="AY57" s="112">
        <f t="shared" si="20"/>
        <v>0.69645775333352844</v>
      </c>
      <c r="AZ57" s="112">
        <f t="shared" si="20"/>
        <v>0.83411432448133926</v>
      </c>
      <c r="BA57" s="112">
        <f t="shared" si="20"/>
        <v>0.84469716087680513</v>
      </c>
      <c r="BB57" s="112">
        <f t="shared" si="20"/>
        <v>0.40828167584287567</v>
      </c>
      <c r="BC57" s="112">
        <f t="shared" si="20"/>
        <v>0.27305475397710294</v>
      </c>
      <c r="BE57" s="123"/>
    </row>
    <row r="58" spans="1:57" s="112" customFormat="1" ht="13" x14ac:dyDescent="0.3">
      <c r="A58" s="112" t="s">
        <v>58</v>
      </c>
      <c r="C58" s="111">
        <f>C41/C44</f>
        <v>0.27574283979392111</v>
      </c>
      <c r="D58" s="112">
        <f t="shared" ref="D58:AM58" si="21">D41/D44</f>
        <v>0.44518505837169997</v>
      </c>
      <c r="E58" s="112">
        <f t="shared" si="21"/>
        <v>0.20515665441492034</v>
      </c>
      <c r="F58" s="112">
        <f t="shared" si="21"/>
        <v>4.341711786276603E-2</v>
      </c>
      <c r="G58" s="112">
        <f t="shared" si="21"/>
        <v>3.9006874722231015E-2</v>
      </c>
      <c r="H58" s="112">
        <f t="shared" si="21"/>
        <v>0.22170721018246564</v>
      </c>
      <c r="I58" s="112">
        <f>I41/I44</f>
        <v>0.44002432148359105</v>
      </c>
      <c r="J58" s="112">
        <f t="shared" si="21"/>
        <v>0.29676708188023382</v>
      </c>
      <c r="K58" s="112">
        <f t="shared" si="21"/>
        <v>3.9088041024189557E-2</v>
      </c>
      <c r="L58" s="112">
        <f t="shared" si="21"/>
        <v>3.5500955527291843E-2</v>
      </c>
      <c r="M58" s="112">
        <f>M41/M44</f>
        <v>0.21259841263033874</v>
      </c>
      <c r="N58" s="112">
        <f t="shared" si="21"/>
        <v>4.1874975333411481E-2</v>
      </c>
      <c r="O58" s="112">
        <f t="shared" si="21"/>
        <v>3.6381043757638502E-2</v>
      </c>
      <c r="P58" s="112">
        <f t="shared" si="21"/>
        <v>4.4704328916580605E-2</v>
      </c>
      <c r="Q58" s="112">
        <f t="shared" si="21"/>
        <v>4.1554616298394985E-2</v>
      </c>
      <c r="R58" s="112">
        <f t="shared" si="21"/>
        <v>0.52506706919559754</v>
      </c>
      <c r="S58" s="112">
        <f t="shared" si="21"/>
        <v>0.44196057218871054</v>
      </c>
      <c r="T58" s="112">
        <f t="shared" si="21"/>
        <v>3.4469270365637301E-2</v>
      </c>
      <c r="U58" s="112">
        <f t="shared" si="21"/>
        <v>4.2382440671724017E-2</v>
      </c>
      <c r="V58" s="112">
        <f t="shared" si="21"/>
        <v>0.45058094820843125</v>
      </c>
      <c r="W58" s="112">
        <f t="shared" si="21"/>
        <v>0.54708263996614304</v>
      </c>
      <c r="X58" s="112">
        <f t="shared" si="21"/>
        <v>0.42978501927807172</v>
      </c>
      <c r="Y58" s="112">
        <f t="shared" si="21"/>
        <v>4.0739772864889605E-2</v>
      </c>
      <c r="Z58" s="112">
        <f t="shared" si="21"/>
        <v>0.43504186730250033</v>
      </c>
      <c r="AA58" s="112">
        <f t="shared" si="21"/>
        <v>3.9769653492403308E-2</v>
      </c>
      <c r="AB58" s="112">
        <f t="shared" si="21"/>
        <v>0.24160609975610392</v>
      </c>
      <c r="AC58" s="112">
        <f t="shared" si="21"/>
        <v>0.41070773243123337</v>
      </c>
      <c r="AD58" s="112">
        <f t="shared" si="21"/>
        <v>5.5945016116621692E-2</v>
      </c>
      <c r="AE58" s="112">
        <f t="shared" si="21"/>
        <v>0.37242104703525519</v>
      </c>
      <c r="AF58" s="112">
        <f t="shared" si="21"/>
        <v>4.0218693139908245E-2</v>
      </c>
      <c r="AG58" s="112">
        <f t="shared" si="21"/>
        <v>4.7328207475357063E-2</v>
      </c>
      <c r="AH58" s="112">
        <f t="shared" si="21"/>
        <v>0.29004172949559831</v>
      </c>
      <c r="AI58" s="112">
        <f t="shared" si="21"/>
        <v>0.43599054716669711</v>
      </c>
      <c r="AJ58" s="112">
        <f t="shared" si="21"/>
        <v>0.43972903568707988</v>
      </c>
      <c r="AK58" s="112">
        <f t="shared" si="21"/>
        <v>4.8227593628471226E-2</v>
      </c>
      <c r="AL58" s="112">
        <f t="shared" si="21"/>
        <v>3.7839342507938765E-2</v>
      </c>
      <c r="AM58" s="112">
        <f t="shared" si="21"/>
        <v>3.8278685816128755E-2</v>
      </c>
      <c r="AN58" s="112">
        <f>AN41/AN44</f>
        <v>3.6741066531147386E-2</v>
      </c>
      <c r="AO58" s="112">
        <f>AO41/AO44</f>
        <v>0.51239274467572715</v>
      </c>
      <c r="AP58" s="112">
        <f>AP41/AP44</f>
        <v>0.39161606816061623</v>
      </c>
      <c r="AQ58" s="112">
        <f>AQ41/AQ44</f>
        <v>0.4642058832569384</v>
      </c>
      <c r="AR58" s="112">
        <f t="shared" ref="AR58:BB58" si="22">AR41/AR44</f>
        <v>4.2525028222374889E-2</v>
      </c>
      <c r="AS58" s="112">
        <f t="shared" si="22"/>
        <v>0.34163143333461848</v>
      </c>
      <c r="AT58" s="112">
        <f t="shared" si="22"/>
        <v>0.2322176545425533</v>
      </c>
      <c r="AU58" s="112">
        <f t="shared" si="22"/>
        <v>0.62411296082217993</v>
      </c>
      <c r="AV58" s="112">
        <f t="shared" si="22"/>
        <v>4.3904931274895788E-2</v>
      </c>
      <c r="AW58" s="112">
        <f t="shared" si="22"/>
        <v>0.26182892300953992</v>
      </c>
      <c r="AX58" s="112">
        <f t="shared" si="22"/>
        <v>0.43454502863009015</v>
      </c>
      <c r="AY58" s="112">
        <f t="shared" si="22"/>
        <v>3.3314087976092796E-2</v>
      </c>
      <c r="AZ58" s="112">
        <f t="shared" si="22"/>
        <v>4.328972758458309E-2</v>
      </c>
      <c r="BA58" s="112">
        <f t="shared" si="22"/>
        <v>4.0528017731097876E-2</v>
      </c>
      <c r="BB58" s="112">
        <f t="shared" si="22"/>
        <v>0.53267572157589804</v>
      </c>
      <c r="BC58" s="112">
        <f>BC41/BC44</f>
        <v>0.49184519407004751</v>
      </c>
      <c r="BE58" s="123"/>
    </row>
    <row r="59" spans="1:57" s="112" customFormat="1" ht="13" x14ac:dyDescent="0.3">
      <c r="A59" s="112" t="s">
        <v>59</v>
      </c>
      <c r="C59" s="111">
        <f>C43/C44</f>
        <v>7.0157983049620343E-2</v>
      </c>
      <c r="D59" s="112">
        <f t="shared" ref="D59:BC59" si="23">D43/D44</f>
        <v>0</v>
      </c>
      <c r="E59" s="112">
        <f t="shared" si="23"/>
        <v>2.3678023307727801E-2</v>
      </c>
      <c r="F59" s="112">
        <f t="shared" si="23"/>
        <v>0</v>
      </c>
      <c r="G59" s="112">
        <f t="shared" si="23"/>
        <v>0.21763943901731794</v>
      </c>
      <c r="H59" s="112">
        <f t="shared" si="23"/>
        <v>0</v>
      </c>
      <c r="I59" s="112">
        <f t="shared" si="23"/>
        <v>4.8796770279162099E-2</v>
      </c>
      <c r="J59" s="112">
        <f t="shared" si="23"/>
        <v>8.8012929264610573E-2</v>
      </c>
      <c r="K59" s="112">
        <f t="shared" si="23"/>
        <v>6.9253323962538416E-2</v>
      </c>
      <c r="L59" s="112">
        <f t="shared" si="23"/>
        <v>3.3026918652254246E-2</v>
      </c>
      <c r="M59" s="112">
        <f>M43/M44</f>
        <v>0.19000541619674421</v>
      </c>
      <c r="N59" s="112">
        <f t="shared" si="23"/>
        <v>0.16581048648241947</v>
      </c>
      <c r="O59" s="112">
        <f t="shared" si="23"/>
        <v>7.1180813749054356E-2</v>
      </c>
      <c r="P59" s="112">
        <f t="shared" si="23"/>
        <v>0</v>
      </c>
      <c r="Q59" s="112">
        <f t="shared" si="23"/>
        <v>0</v>
      </c>
      <c r="R59" s="112">
        <f t="shared" si="23"/>
        <v>6.1748465517816792E-2</v>
      </c>
      <c r="S59" s="112">
        <f t="shared" si="23"/>
        <v>0.15613043483566208</v>
      </c>
      <c r="T59" s="112">
        <f t="shared" si="23"/>
        <v>0.22747740715125678</v>
      </c>
      <c r="U59" s="112">
        <f t="shared" si="23"/>
        <v>0.1038884937520969</v>
      </c>
      <c r="V59" s="112">
        <f t="shared" si="23"/>
        <v>2.4157859286132059E-2</v>
      </c>
      <c r="W59" s="112">
        <f t="shared" si="23"/>
        <v>0</v>
      </c>
      <c r="X59" s="112">
        <f t="shared" si="23"/>
        <v>0</v>
      </c>
      <c r="Y59" s="112">
        <f t="shared" si="23"/>
        <v>0</v>
      </c>
      <c r="Z59" s="112">
        <f t="shared" si="23"/>
        <v>0.10528072819724958</v>
      </c>
      <c r="AA59" s="112">
        <f t="shared" si="23"/>
        <v>4.199310313814849E-2</v>
      </c>
      <c r="AB59" s="112">
        <f t="shared" si="23"/>
        <v>0.16767083413415884</v>
      </c>
      <c r="AC59" s="112">
        <f t="shared" si="23"/>
        <v>0</v>
      </c>
      <c r="AD59" s="112">
        <f t="shared" si="23"/>
        <v>8.0553819725639172E-2</v>
      </c>
      <c r="AE59" s="112">
        <f t="shared" si="23"/>
        <v>0.15793805770019972</v>
      </c>
      <c r="AF59" s="112">
        <f t="shared" si="23"/>
        <v>0</v>
      </c>
      <c r="AG59" s="112">
        <f t="shared" si="23"/>
        <v>0</v>
      </c>
      <c r="AH59" s="112">
        <f t="shared" si="23"/>
        <v>6.3362204950276779E-2</v>
      </c>
      <c r="AI59" s="112">
        <f t="shared" si="23"/>
        <v>2.4899247076513569E-2</v>
      </c>
      <c r="AJ59" s="112">
        <f t="shared" si="23"/>
        <v>1.5991445451463811E-2</v>
      </c>
      <c r="AK59" s="112">
        <f t="shared" si="23"/>
        <v>0</v>
      </c>
      <c r="AL59" s="112">
        <f t="shared" si="23"/>
        <v>0.13270725324836519</v>
      </c>
      <c r="AM59" s="112">
        <f t="shared" si="23"/>
        <v>5.894405146353026E-2</v>
      </c>
      <c r="AN59" s="112">
        <f t="shared" si="23"/>
        <v>0</v>
      </c>
      <c r="AO59" s="112">
        <f t="shared" si="23"/>
        <v>5.7715057867080075E-2</v>
      </c>
      <c r="AP59" s="112">
        <f t="shared" si="23"/>
        <v>0.13075236628018785</v>
      </c>
      <c r="AQ59" s="112">
        <f t="shared" si="23"/>
        <v>2.6032820262549706E-2</v>
      </c>
      <c r="AR59" s="112">
        <f t="shared" si="23"/>
        <v>0</v>
      </c>
      <c r="AS59" s="112">
        <f t="shared" si="23"/>
        <v>2.9049822607850596E-2</v>
      </c>
      <c r="AT59" s="112">
        <f t="shared" si="23"/>
        <v>0.17873954785189883</v>
      </c>
      <c r="AU59" s="112">
        <f t="shared" si="23"/>
        <v>0</v>
      </c>
      <c r="AV59" s="112">
        <f t="shared" si="23"/>
        <v>3.6942787800762364E-2</v>
      </c>
      <c r="AW59" s="112">
        <f t="shared" si="23"/>
        <v>6.611572012634509E-2</v>
      </c>
      <c r="AX59" s="112">
        <f t="shared" si="23"/>
        <v>8.5391741703094895E-2</v>
      </c>
      <c r="AY59" s="112">
        <f t="shared" si="23"/>
        <v>0.17588309294681725</v>
      </c>
      <c r="AZ59" s="112">
        <f t="shared" si="23"/>
        <v>0</v>
      </c>
      <c r="BA59" s="112">
        <f t="shared" si="23"/>
        <v>0</v>
      </c>
      <c r="BB59" s="112">
        <f t="shared" si="23"/>
        <v>0</v>
      </c>
      <c r="BC59" s="112">
        <f t="shared" si="23"/>
        <v>0.11457600808652135</v>
      </c>
      <c r="BE59" s="123"/>
    </row>
    <row r="60" spans="1:57" x14ac:dyDescent="0.3">
      <c r="A60" s="124"/>
    </row>
    <row r="61" spans="1:57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</row>
    <row r="62" spans="1:57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</row>
    <row r="63" spans="1:57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B65" s="119"/>
    </row>
    <row r="69" spans="1:55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218C-F6A9-45D9-86E4-F161F5D70DBD}">
  <sheetPr codeName="Sheet10">
    <tabColor rgb="FF92D050"/>
  </sheetPr>
  <dimension ref="A1:AP69"/>
  <sheetViews>
    <sheetView zoomScaleNormal="100" workbookViewId="0">
      <pane xSplit="2" ySplit="2" topLeftCell="S42" activePane="bottomRight" state="frozen"/>
      <selection activeCell="T47" sqref="T47"/>
      <selection pane="topRight" activeCell="T47" sqref="T47"/>
      <selection pane="bottomLeft" activeCell="T47" sqref="T47"/>
      <selection pane="bottomRight" activeCell="T47" sqref="T47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175</v>
      </c>
      <c r="B4" s="61"/>
      <c r="C4" s="62">
        <f>SUM(D4:AL4)</f>
        <v>2124862273</v>
      </c>
      <c r="D4" s="61">
        <v>36996000</v>
      </c>
      <c r="E4" s="60">
        <v>116782000</v>
      </c>
      <c r="F4" s="60">
        <v>46962000</v>
      </c>
      <c r="G4" s="60">
        <v>26738000</v>
      </c>
      <c r="H4" s="63">
        <v>54553000</v>
      </c>
      <c r="I4" s="61">
        <v>38390000</v>
      </c>
      <c r="J4" s="65">
        <v>34320000</v>
      </c>
      <c r="K4" s="64">
        <v>43236000</v>
      </c>
      <c r="L4" s="64">
        <v>43746000</v>
      </c>
      <c r="M4" s="64">
        <v>86936000</v>
      </c>
      <c r="N4" s="65">
        <v>88842000</v>
      </c>
      <c r="O4" s="64">
        <v>34980000</v>
      </c>
      <c r="P4" s="64">
        <v>72357000</v>
      </c>
      <c r="Q4" s="64">
        <v>52627067</v>
      </c>
      <c r="R4" s="65">
        <v>96649000</v>
      </c>
      <c r="S4" s="64">
        <v>39012000</v>
      </c>
      <c r="T4" s="64">
        <v>45084000</v>
      </c>
      <c r="U4" s="64">
        <v>162746000</v>
      </c>
      <c r="V4" s="64">
        <v>48334177</v>
      </c>
      <c r="W4" s="64">
        <v>45937000</v>
      </c>
      <c r="X4" s="64">
        <v>93410000</v>
      </c>
      <c r="Y4" s="64">
        <v>28425129</v>
      </c>
      <c r="Z4" s="64">
        <v>55830000</v>
      </c>
      <c r="AA4" s="64">
        <v>43115000</v>
      </c>
      <c r="AB4" s="64">
        <v>69658000</v>
      </c>
      <c r="AC4" s="64">
        <v>29520000</v>
      </c>
      <c r="AD4" s="64">
        <v>70989000</v>
      </c>
      <c r="AE4" s="64">
        <v>30450000</v>
      </c>
      <c r="AF4" s="64">
        <v>79148900</v>
      </c>
      <c r="AG4" s="64">
        <v>39607000</v>
      </c>
      <c r="AH4" s="64">
        <v>66405000</v>
      </c>
      <c r="AI4" s="64">
        <v>183804000</v>
      </c>
      <c r="AJ4" s="64">
        <v>41903000</v>
      </c>
      <c r="AK4" s="64">
        <v>34950000</v>
      </c>
      <c r="AL4" s="64">
        <v>42420000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62500000</v>
      </c>
      <c r="D5" s="67"/>
      <c r="E5" s="62"/>
      <c r="F5" s="67">
        <v>3300000</v>
      </c>
      <c r="G5" s="67">
        <v>3700000</v>
      </c>
      <c r="H5" s="67"/>
      <c r="I5" s="67"/>
      <c r="L5" s="68">
        <v>3600000</v>
      </c>
      <c r="N5" s="68">
        <v>4100000</v>
      </c>
      <c r="P5" s="68">
        <v>6100000</v>
      </c>
      <c r="R5" s="68">
        <v>4500000</v>
      </c>
      <c r="U5" s="68">
        <v>11800000</v>
      </c>
      <c r="X5" s="68">
        <v>2900000</v>
      </c>
      <c r="AC5" s="68">
        <v>3200000</v>
      </c>
      <c r="AG5" s="68">
        <v>5500000</v>
      </c>
      <c r="AH5" s="68">
        <v>7800000</v>
      </c>
      <c r="AI5" s="68">
        <v>6000000</v>
      </c>
    </row>
    <row r="6" spans="1:38" s="68" customFormat="1" ht="13" x14ac:dyDescent="0.3">
      <c r="A6" s="69" t="s">
        <v>4</v>
      </c>
      <c r="B6" s="67"/>
      <c r="C6" s="62">
        <f t="shared" si="0"/>
        <v>500000</v>
      </c>
      <c r="E6" s="62"/>
      <c r="F6" s="67"/>
      <c r="G6" s="67"/>
      <c r="H6" s="67"/>
      <c r="I6" s="67"/>
      <c r="R6" s="70"/>
      <c r="W6" s="70"/>
      <c r="AI6" s="70">
        <v>500000</v>
      </c>
    </row>
    <row r="7" spans="1:38" s="68" customFormat="1" ht="13" x14ac:dyDescent="0.3">
      <c r="A7" s="71" t="s">
        <v>5</v>
      </c>
      <c r="B7" s="67"/>
      <c r="C7" s="62">
        <f t="shared" si="0"/>
        <v>33389000</v>
      </c>
      <c r="E7" s="62"/>
      <c r="F7" s="67">
        <v>4400000</v>
      </c>
      <c r="G7" s="67">
        <v>2348000</v>
      </c>
      <c r="H7" s="67"/>
      <c r="I7" s="67"/>
      <c r="O7" s="72"/>
      <c r="P7" s="72">
        <v>2684000</v>
      </c>
      <c r="R7" s="70"/>
      <c r="U7" s="68">
        <v>12284000</v>
      </c>
      <c r="W7" s="70">
        <v>2544000</v>
      </c>
      <c r="X7" s="72"/>
      <c r="AH7" s="68">
        <v>2669000</v>
      </c>
      <c r="AI7" s="70">
        <v>6460000</v>
      </c>
    </row>
    <row r="8" spans="1:38" s="68" customFormat="1" ht="13" x14ac:dyDescent="0.3">
      <c r="A8" s="71"/>
      <c r="B8" s="67" t="s">
        <v>6</v>
      </c>
      <c r="C8" s="62">
        <f t="shared" si="0"/>
        <v>16</v>
      </c>
      <c r="D8" s="68">
        <v>0</v>
      </c>
      <c r="E8" s="67">
        <v>1</v>
      </c>
      <c r="F8" s="67">
        <v>0</v>
      </c>
      <c r="G8" s="67">
        <v>0</v>
      </c>
      <c r="H8" s="67">
        <v>0</v>
      </c>
      <c r="I8" s="67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2</v>
      </c>
      <c r="Q8" s="68">
        <v>0</v>
      </c>
      <c r="R8" s="68">
        <v>1</v>
      </c>
      <c r="S8" s="68">
        <v>0</v>
      </c>
      <c r="T8" s="73">
        <v>0</v>
      </c>
      <c r="U8" s="73">
        <v>1</v>
      </c>
      <c r="V8" s="73">
        <v>3</v>
      </c>
      <c r="W8" s="73">
        <v>2</v>
      </c>
      <c r="X8" s="73">
        <v>0</v>
      </c>
      <c r="Y8" s="73">
        <v>0</v>
      </c>
      <c r="Z8" s="74">
        <v>0</v>
      </c>
      <c r="AA8" s="73">
        <v>0</v>
      </c>
      <c r="AB8" s="73">
        <v>0</v>
      </c>
      <c r="AC8" s="73">
        <v>1</v>
      </c>
      <c r="AD8" s="73">
        <v>0</v>
      </c>
      <c r="AE8" s="73">
        <v>0</v>
      </c>
      <c r="AF8" s="73">
        <v>1</v>
      </c>
      <c r="AG8" s="73">
        <v>0</v>
      </c>
      <c r="AH8" s="73">
        <v>2</v>
      </c>
      <c r="AI8" s="73">
        <v>0</v>
      </c>
      <c r="AJ8" s="73">
        <v>1</v>
      </c>
      <c r="AK8" s="73">
        <v>1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17</v>
      </c>
      <c r="D9" s="68">
        <v>0</v>
      </c>
      <c r="E9" s="67">
        <v>0</v>
      </c>
      <c r="F9" s="67">
        <v>1</v>
      </c>
      <c r="G9" s="67">
        <v>1</v>
      </c>
      <c r="H9" s="67">
        <v>0</v>
      </c>
      <c r="I9" s="67">
        <v>0</v>
      </c>
      <c r="J9" s="68">
        <v>0</v>
      </c>
      <c r="K9" s="68">
        <v>0</v>
      </c>
      <c r="L9" s="68">
        <v>1</v>
      </c>
      <c r="M9" s="68">
        <v>0</v>
      </c>
      <c r="N9" s="68">
        <v>1</v>
      </c>
      <c r="O9" s="68">
        <v>0</v>
      </c>
      <c r="P9" s="68">
        <v>2</v>
      </c>
      <c r="Q9" s="68">
        <v>0</v>
      </c>
      <c r="R9" s="68">
        <v>1</v>
      </c>
      <c r="S9" s="68">
        <v>0</v>
      </c>
      <c r="T9" s="75">
        <v>0</v>
      </c>
      <c r="U9" s="75">
        <v>3</v>
      </c>
      <c r="V9" s="73">
        <v>0</v>
      </c>
      <c r="W9" s="75">
        <v>0</v>
      </c>
      <c r="X9" s="75">
        <v>1</v>
      </c>
      <c r="Y9" s="75">
        <v>0</v>
      </c>
      <c r="Z9" s="75">
        <v>0</v>
      </c>
      <c r="AA9" s="75">
        <v>0</v>
      </c>
      <c r="AB9" s="75">
        <v>0</v>
      </c>
      <c r="AC9" s="75">
        <v>1</v>
      </c>
      <c r="AD9" s="75">
        <v>0</v>
      </c>
      <c r="AE9" s="75">
        <v>0</v>
      </c>
      <c r="AF9" s="75">
        <v>0</v>
      </c>
      <c r="AG9" s="75">
        <v>1</v>
      </c>
      <c r="AH9" s="75">
        <v>2</v>
      </c>
      <c r="AI9" s="75">
        <v>2</v>
      </c>
      <c r="AJ9" s="75">
        <v>0</v>
      </c>
      <c r="AK9" s="75">
        <v>0</v>
      </c>
      <c r="AL9" s="75">
        <v>0</v>
      </c>
    </row>
    <row r="10" spans="1:38" s="68" customFormat="1" ht="13" x14ac:dyDescent="0.3">
      <c r="A10" s="71"/>
      <c r="B10" s="67" t="s">
        <v>176</v>
      </c>
      <c r="C10" s="62">
        <f t="shared" si="0"/>
        <v>41</v>
      </c>
      <c r="D10" s="68">
        <v>2</v>
      </c>
      <c r="E10" s="67">
        <v>1</v>
      </c>
      <c r="F10" s="67">
        <v>1</v>
      </c>
      <c r="G10" s="67">
        <v>2</v>
      </c>
      <c r="H10" s="67">
        <v>0</v>
      </c>
      <c r="I10" s="67">
        <v>0</v>
      </c>
      <c r="J10" s="68">
        <v>0</v>
      </c>
      <c r="K10" s="68">
        <v>0</v>
      </c>
      <c r="L10" s="68">
        <v>2</v>
      </c>
      <c r="M10" s="68">
        <v>0</v>
      </c>
      <c r="N10" s="68">
        <v>1</v>
      </c>
      <c r="O10" s="68">
        <v>2</v>
      </c>
      <c r="P10" s="68">
        <v>1</v>
      </c>
      <c r="Q10" s="68">
        <v>0</v>
      </c>
      <c r="R10" s="68">
        <v>2</v>
      </c>
      <c r="S10" s="68">
        <v>0</v>
      </c>
      <c r="T10" s="75">
        <v>0</v>
      </c>
      <c r="U10" s="75">
        <v>2</v>
      </c>
      <c r="V10" s="73">
        <v>5</v>
      </c>
      <c r="W10" s="75">
        <v>6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5">
        <v>0</v>
      </c>
      <c r="AD10" s="75">
        <v>0</v>
      </c>
      <c r="AE10" s="75">
        <v>1</v>
      </c>
      <c r="AF10" s="75">
        <v>4</v>
      </c>
      <c r="AG10" s="75">
        <v>1</v>
      </c>
      <c r="AH10" s="75">
        <v>3</v>
      </c>
      <c r="AI10" s="75">
        <v>3</v>
      </c>
      <c r="AJ10" s="75">
        <v>1</v>
      </c>
      <c r="AK10" s="75">
        <v>1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1676204838.7096772</v>
      </c>
      <c r="D11" s="68">
        <v>30000000</v>
      </c>
      <c r="E11" s="67">
        <v>91700000</v>
      </c>
      <c r="F11" s="67">
        <v>41000000</v>
      </c>
      <c r="G11" s="67">
        <v>20725806.451612905</v>
      </c>
      <c r="H11" s="67">
        <v>42900000</v>
      </c>
      <c r="I11" s="67">
        <v>30600000</v>
      </c>
      <c r="J11" s="68">
        <v>28200000</v>
      </c>
      <c r="K11" s="68">
        <v>35700000</v>
      </c>
      <c r="L11" s="68">
        <v>31854838.709677421</v>
      </c>
      <c r="M11" s="68">
        <v>65500000</v>
      </c>
      <c r="N11" s="68">
        <v>68500000</v>
      </c>
      <c r="O11" s="68">
        <v>27700000</v>
      </c>
      <c r="P11" s="68">
        <v>54245161.290322579</v>
      </c>
      <c r="Q11" s="68">
        <v>41400000</v>
      </c>
      <c r="R11" s="68">
        <v>73100000</v>
      </c>
      <c r="S11" s="68">
        <v>31500000</v>
      </c>
      <c r="T11" s="75">
        <v>35700000</v>
      </c>
      <c r="U11" s="75">
        <v>130204838.70967743</v>
      </c>
      <c r="V11" s="73">
        <v>38500000</v>
      </c>
      <c r="W11" s="75">
        <v>37400000</v>
      </c>
      <c r="X11" s="75">
        <v>74000000</v>
      </c>
      <c r="Y11" s="75">
        <v>23300000</v>
      </c>
      <c r="Z11" s="75">
        <v>46400000</v>
      </c>
      <c r="AA11" s="75">
        <v>35700000</v>
      </c>
      <c r="AB11" s="75">
        <v>57100000</v>
      </c>
      <c r="AC11" s="75">
        <v>20832258.064516127</v>
      </c>
      <c r="AD11" s="75">
        <v>55400000</v>
      </c>
      <c r="AE11" s="75">
        <v>25400000</v>
      </c>
      <c r="AF11" s="75">
        <v>61900000</v>
      </c>
      <c r="AG11" s="75">
        <v>29345161.290322579</v>
      </c>
      <c r="AH11" s="75">
        <v>50051612.903225809</v>
      </c>
      <c r="AI11" s="75">
        <v>146745161.29032257</v>
      </c>
      <c r="AJ11" s="75">
        <v>31400000</v>
      </c>
      <c r="AK11" s="75">
        <v>28700000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191320100</v>
      </c>
      <c r="D12" s="67">
        <v>3244000</v>
      </c>
      <c r="E12" s="67">
        <v>13296000</v>
      </c>
      <c r="F12" s="62">
        <v>2532000</v>
      </c>
      <c r="G12" s="62">
        <v>2120000</v>
      </c>
      <c r="H12" s="62">
        <v>6079000</v>
      </c>
      <c r="I12" s="67">
        <v>3520000</v>
      </c>
      <c r="J12" s="68">
        <v>2700000</v>
      </c>
      <c r="K12" s="68">
        <v>3856000</v>
      </c>
      <c r="L12" s="68">
        <v>3056000</v>
      </c>
      <c r="M12" s="68">
        <v>9952000</v>
      </c>
      <c r="N12" s="68">
        <v>6552000</v>
      </c>
      <c r="O12" s="68">
        <v>3820000</v>
      </c>
      <c r="P12" s="68">
        <v>5640000</v>
      </c>
      <c r="Q12" s="68">
        <v>2444000</v>
      </c>
      <c r="R12" s="68">
        <v>7964000</v>
      </c>
      <c r="S12" s="68">
        <v>3552000</v>
      </c>
      <c r="T12" s="75">
        <v>4524000</v>
      </c>
      <c r="U12" s="75">
        <v>16604000</v>
      </c>
      <c r="V12" s="73">
        <v>3529400</v>
      </c>
      <c r="W12" s="75">
        <v>4836000</v>
      </c>
      <c r="X12" s="75">
        <v>7252000</v>
      </c>
      <c r="Y12" s="75">
        <v>1719800</v>
      </c>
      <c r="Z12" s="75">
        <v>4740000</v>
      </c>
      <c r="AA12" s="75">
        <v>4140000</v>
      </c>
      <c r="AB12" s="75">
        <v>8424000</v>
      </c>
      <c r="AC12" s="75">
        <v>2036000</v>
      </c>
      <c r="AD12" s="75">
        <v>5784000</v>
      </c>
      <c r="AE12" s="75">
        <v>2460000</v>
      </c>
      <c r="AF12" s="75">
        <v>10547900</v>
      </c>
      <c r="AG12" s="75">
        <v>2892000</v>
      </c>
      <c r="AH12" s="75">
        <v>5324000</v>
      </c>
      <c r="AI12" s="75">
        <v>15132000</v>
      </c>
      <c r="AJ12" s="75">
        <v>4008000</v>
      </c>
      <c r="AK12" s="75">
        <v>3220000</v>
      </c>
      <c r="AL12" s="75">
        <v>3820000</v>
      </c>
    </row>
    <row r="13" spans="1:38" s="68" customFormat="1" ht="13" x14ac:dyDescent="0.3">
      <c r="A13" s="129"/>
      <c r="B13" s="69" t="s">
        <v>12</v>
      </c>
      <c r="C13" s="62">
        <f t="shared" si="0"/>
        <v>82498064.516129032</v>
      </c>
      <c r="D13" s="67">
        <v>1000000</v>
      </c>
      <c r="E13" s="68">
        <v>4100000</v>
      </c>
      <c r="F13" s="68">
        <v>1540000</v>
      </c>
      <c r="G13" s="68">
        <v>1170322.5806451612</v>
      </c>
      <c r="H13" s="68">
        <v>2660000</v>
      </c>
      <c r="I13" s="68">
        <v>1820000</v>
      </c>
      <c r="J13" s="68">
        <v>1220000</v>
      </c>
      <c r="K13" s="68">
        <v>1510000</v>
      </c>
      <c r="L13" s="68">
        <v>1360000</v>
      </c>
      <c r="M13" s="68">
        <v>4550000</v>
      </c>
      <c r="N13" s="68">
        <v>2050000</v>
      </c>
      <c r="O13" s="68">
        <v>1460000</v>
      </c>
      <c r="P13" s="68">
        <v>4265806.4516129028</v>
      </c>
      <c r="Q13" s="68">
        <v>2820000</v>
      </c>
      <c r="R13" s="68">
        <v>3785000</v>
      </c>
      <c r="S13" s="68">
        <v>1620000</v>
      </c>
      <c r="T13" s="73">
        <v>2030000</v>
      </c>
      <c r="U13" s="73">
        <v>6723870.9677419355</v>
      </c>
      <c r="V13" s="73">
        <v>1260000</v>
      </c>
      <c r="W13" s="73">
        <v>1745000</v>
      </c>
      <c r="X13" s="73">
        <v>3240000</v>
      </c>
      <c r="Y13" s="73">
        <v>655000</v>
      </c>
      <c r="Z13" s="73">
        <v>1850000</v>
      </c>
      <c r="AA13" s="73">
        <v>1645000</v>
      </c>
      <c r="AB13" s="73">
        <v>1760000</v>
      </c>
      <c r="AC13" s="73">
        <v>1105322.5806451612</v>
      </c>
      <c r="AD13" s="73">
        <v>2655000</v>
      </c>
      <c r="AE13" s="73">
        <v>1140000</v>
      </c>
      <c r="AF13" s="73">
        <v>1515000</v>
      </c>
      <c r="AG13" s="73">
        <v>1034516.1290322581</v>
      </c>
      <c r="AH13" s="73">
        <v>2113548.3870967743</v>
      </c>
      <c r="AI13" s="73">
        <v>9729677.4193548393</v>
      </c>
      <c r="AJ13" s="73">
        <v>2015000</v>
      </c>
      <c r="AK13" s="73">
        <v>1230000</v>
      </c>
      <c r="AL13" s="73">
        <v>2120000</v>
      </c>
    </row>
    <row r="14" spans="1:38" s="68" customFormat="1" ht="13" x14ac:dyDescent="0.3">
      <c r="A14" s="129"/>
      <c r="B14" s="69" t="s">
        <v>13</v>
      </c>
      <c r="C14" s="62">
        <f t="shared" si="0"/>
        <v>39946354.838709682</v>
      </c>
      <c r="D14" s="67">
        <v>510000</v>
      </c>
      <c r="E14" s="67">
        <v>1830000</v>
      </c>
      <c r="F14" s="68">
        <v>570000</v>
      </c>
      <c r="G14" s="68">
        <v>680161.29032258061</v>
      </c>
      <c r="H14" s="68">
        <v>1060000</v>
      </c>
      <c r="I14" s="68">
        <v>810000</v>
      </c>
      <c r="J14" s="68">
        <v>300000</v>
      </c>
      <c r="K14" s="68">
        <v>700000</v>
      </c>
      <c r="L14" s="68">
        <v>900000</v>
      </c>
      <c r="M14" s="68">
        <v>1940000</v>
      </c>
      <c r="N14" s="68">
        <v>1770000</v>
      </c>
      <c r="O14" s="68">
        <v>630000</v>
      </c>
      <c r="P14" s="68">
        <v>1692903.2258064516</v>
      </c>
      <c r="Q14" s="68">
        <v>1200000</v>
      </c>
      <c r="R14" s="68">
        <v>2070000</v>
      </c>
      <c r="S14" s="68">
        <v>630000</v>
      </c>
      <c r="T14" s="73">
        <v>900000</v>
      </c>
      <c r="U14" s="73">
        <v>2241290.3225806453</v>
      </c>
      <c r="V14" s="73">
        <v>960000</v>
      </c>
      <c r="W14" s="73">
        <v>1080000</v>
      </c>
      <c r="X14" s="73">
        <v>1530000</v>
      </c>
      <c r="Y14" s="73">
        <v>540000</v>
      </c>
      <c r="Z14" s="73">
        <v>810000</v>
      </c>
      <c r="AA14" s="73">
        <v>1230000</v>
      </c>
      <c r="AB14" s="73">
        <v>632000</v>
      </c>
      <c r="AC14" s="73">
        <v>535161.29032258061</v>
      </c>
      <c r="AD14" s="73">
        <v>1380000</v>
      </c>
      <c r="AE14" s="73">
        <v>480000</v>
      </c>
      <c r="AF14" s="73">
        <v>1650000</v>
      </c>
      <c r="AG14" s="73">
        <v>532258.06451612897</v>
      </c>
      <c r="AH14" s="73">
        <v>1076774.1935483871</v>
      </c>
      <c r="AI14" s="73">
        <v>4315806.4516129028</v>
      </c>
      <c r="AJ14" s="73">
        <v>960000</v>
      </c>
      <c r="AK14" s="73">
        <v>720000</v>
      </c>
      <c r="AL14" s="73">
        <v>1080000</v>
      </c>
    </row>
    <row r="15" spans="1:38" s="68" customFormat="1" ht="13" x14ac:dyDescent="0.3">
      <c r="A15" s="129"/>
      <c r="B15" s="69" t="s">
        <v>14</v>
      </c>
      <c r="C15" s="62">
        <f t="shared" si="0"/>
        <v>36372903.225806452</v>
      </c>
      <c r="D15" s="67">
        <v>590000</v>
      </c>
      <c r="E15" s="68">
        <v>1800000</v>
      </c>
      <c r="F15" s="68">
        <v>1000000</v>
      </c>
      <c r="G15" s="68">
        <v>370967.74193548388</v>
      </c>
      <c r="H15" s="68">
        <v>600000</v>
      </c>
      <c r="I15" s="68">
        <v>800000</v>
      </c>
      <c r="J15" s="68">
        <v>800000</v>
      </c>
      <c r="K15" s="68">
        <v>600000</v>
      </c>
      <c r="L15" s="68">
        <v>900000</v>
      </c>
      <c r="M15" s="68">
        <v>1400000</v>
      </c>
      <c r="N15" s="68">
        <v>1800000</v>
      </c>
      <c r="O15" s="68">
        <v>600000</v>
      </c>
      <c r="P15" s="68">
        <v>1390322.5806451612</v>
      </c>
      <c r="Q15" s="68">
        <v>1300000</v>
      </c>
      <c r="R15" s="68">
        <v>1500000</v>
      </c>
      <c r="S15" s="68">
        <v>900000</v>
      </c>
      <c r="T15" s="73">
        <v>700000</v>
      </c>
      <c r="U15" s="73">
        <v>2670967.7419354841</v>
      </c>
      <c r="V15" s="73">
        <v>800000</v>
      </c>
      <c r="W15" s="73">
        <v>1000000</v>
      </c>
      <c r="X15" s="73">
        <v>1400000</v>
      </c>
      <c r="Y15" s="73">
        <v>600000</v>
      </c>
      <c r="Z15" s="73">
        <v>1200000</v>
      </c>
      <c r="AA15" s="73">
        <v>400000</v>
      </c>
      <c r="AB15" s="73">
        <v>900000</v>
      </c>
      <c r="AC15" s="73">
        <v>370967.74193548388</v>
      </c>
      <c r="AD15" s="73">
        <v>1290000</v>
      </c>
      <c r="AE15" s="73">
        <v>400000</v>
      </c>
      <c r="AF15" s="73">
        <v>1100000</v>
      </c>
      <c r="AG15" s="73">
        <v>293548.38709677418</v>
      </c>
      <c r="AH15" s="73">
        <v>961290.32258064521</v>
      </c>
      <c r="AI15" s="73">
        <v>3844838.7096774196</v>
      </c>
      <c r="AJ15" s="73">
        <v>1090000</v>
      </c>
      <c r="AK15" s="73">
        <v>300000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6645161.2903225804</v>
      </c>
      <c r="D16" s="67">
        <v>0</v>
      </c>
      <c r="E16" s="68">
        <v>0</v>
      </c>
      <c r="F16" s="68">
        <v>200000</v>
      </c>
      <c r="G16" s="68">
        <v>0</v>
      </c>
      <c r="H16" s="68">
        <v>350000</v>
      </c>
      <c r="I16" s="68">
        <v>0</v>
      </c>
      <c r="J16" s="68">
        <v>0</v>
      </c>
      <c r="K16" s="68">
        <v>200000</v>
      </c>
      <c r="L16" s="68">
        <v>200000</v>
      </c>
      <c r="M16" s="68">
        <v>200000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150000</v>
      </c>
      <c r="U16" s="73">
        <v>4745161.2903225804</v>
      </c>
      <c r="V16" s="73">
        <v>0</v>
      </c>
      <c r="W16" s="73">
        <v>0</v>
      </c>
      <c r="X16" s="73">
        <v>0</v>
      </c>
      <c r="Y16" s="76">
        <v>0</v>
      </c>
      <c r="Z16" s="76">
        <v>0</v>
      </c>
      <c r="AA16" s="76">
        <v>0</v>
      </c>
      <c r="AB16" s="76">
        <v>0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0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16084645.161290323</v>
      </c>
      <c r="D17" s="67">
        <v>400000</v>
      </c>
      <c r="E17" s="68">
        <v>1950000</v>
      </c>
      <c r="F17" s="68">
        <v>400000</v>
      </c>
      <c r="G17" s="68">
        <v>0</v>
      </c>
      <c r="H17" s="68">
        <v>0</v>
      </c>
      <c r="I17" s="68">
        <v>0</v>
      </c>
      <c r="J17" s="68">
        <v>740000</v>
      </c>
      <c r="K17" s="68">
        <v>0</v>
      </c>
      <c r="L17" s="68">
        <v>850000</v>
      </c>
      <c r="M17" s="68">
        <v>1550000</v>
      </c>
      <c r="N17" s="68">
        <v>1850000</v>
      </c>
      <c r="O17" s="68">
        <v>0</v>
      </c>
      <c r="P17" s="68">
        <v>0</v>
      </c>
      <c r="Q17" s="68">
        <v>1964000</v>
      </c>
      <c r="R17" s="68">
        <v>1750000</v>
      </c>
      <c r="S17" s="68">
        <v>0</v>
      </c>
      <c r="T17" s="77">
        <v>0</v>
      </c>
      <c r="U17" s="77">
        <v>0</v>
      </c>
      <c r="V17" s="73">
        <v>0</v>
      </c>
      <c r="W17" s="70">
        <v>1100000</v>
      </c>
      <c r="X17" s="77">
        <v>1400000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1000000</v>
      </c>
      <c r="AG17" s="77">
        <v>0</v>
      </c>
      <c r="AH17" s="70">
        <v>680645.16129032255</v>
      </c>
      <c r="AI17" s="77">
        <v>0</v>
      </c>
      <c r="AJ17" s="77">
        <v>450000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43526032.258064516</v>
      </c>
      <c r="D18" s="67">
        <v>1260000</v>
      </c>
      <c r="E18" s="68">
        <v>2100000</v>
      </c>
      <c r="F18" s="68">
        <v>840000</v>
      </c>
      <c r="G18" s="68">
        <v>700161.29032258061</v>
      </c>
      <c r="H18" s="68">
        <v>940000</v>
      </c>
      <c r="I18" s="68">
        <v>840000</v>
      </c>
      <c r="J18" s="68">
        <v>360000</v>
      </c>
      <c r="K18" s="68">
        <v>670000</v>
      </c>
      <c r="L18" s="68">
        <v>1020000</v>
      </c>
      <c r="M18" s="68">
        <v>1850000</v>
      </c>
      <c r="N18" s="68">
        <v>2220000</v>
      </c>
      <c r="O18" s="68">
        <v>770000</v>
      </c>
      <c r="P18" s="68">
        <v>1772903.2258064516</v>
      </c>
      <c r="Q18" s="68">
        <v>1500000</v>
      </c>
      <c r="R18" s="68">
        <v>1980000</v>
      </c>
      <c r="S18" s="68">
        <v>660000</v>
      </c>
      <c r="T18" s="78">
        <v>1080000</v>
      </c>
      <c r="U18" s="78">
        <v>2802580.6451612902</v>
      </c>
      <c r="V18" s="73">
        <v>2090000</v>
      </c>
      <c r="W18" s="78">
        <v>1320000</v>
      </c>
      <c r="X18" s="78">
        <v>1690000</v>
      </c>
      <c r="Y18" s="78">
        <v>450000</v>
      </c>
      <c r="Z18" s="78">
        <v>840000</v>
      </c>
      <c r="AA18" s="79">
        <v>0</v>
      </c>
      <c r="AB18" s="78">
        <v>872000</v>
      </c>
      <c r="AC18" s="78">
        <v>565806.45161290327</v>
      </c>
      <c r="AD18" s="78">
        <v>1380000</v>
      </c>
      <c r="AE18" s="78">
        <v>570000</v>
      </c>
      <c r="AF18" s="78">
        <v>1380000</v>
      </c>
      <c r="AG18" s="79">
        <v>0</v>
      </c>
      <c r="AH18" s="78">
        <v>1106774.1935483871</v>
      </c>
      <c r="AI18" s="78">
        <v>4835806.4516129028</v>
      </c>
      <c r="AJ18" s="78">
        <v>1080000</v>
      </c>
      <c r="AK18" s="78">
        <v>780000</v>
      </c>
      <c r="AL18" s="78">
        <v>1200000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416393261.29032266</v>
      </c>
      <c r="D19" s="81">
        <f t="shared" ref="D19:AP19" si="1">SUM(D12:D18)</f>
        <v>7004000</v>
      </c>
      <c r="E19" s="81">
        <f>SUM(E12:E18)</f>
        <v>25076000</v>
      </c>
      <c r="F19" s="81">
        <f t="shared" si="1"/>
        <v>7082000</v>
      </c>
      <c r="G19" s="81">
        <f t="shared" si="1"/>
        <v>5041612.9032258065</v>
      </c>
      <c r="H19" s="81">
        <f>SUM(H12:H18)</f>
        <v>11689000</v>
      </c>
      <c r="I19" s="81">
        <f>SUM(I12:I18)</f>
        <v>7790000</v>
      </c>
      <c r="J19" s="81">
        <f t="shared" si="1"/>
        <v>6120000</v>
      </c>
      <c r="K19" s="81">
        <f t="shared" si="1"/>
        <v>7536000</v>
      </c>
      <c r="L19" s="81">
        <f t="shared" si="1"/>
        <v>8286000</v>
      </c>
      <c r="M19" s="81">
        <f t="shared" si="1"/>
        <v>21442000</v>
      </c>
      <c r="N19" s="81">
        <f t="shared" si="1"/>
        <v>16242000</v>
      </c>
      <c r="O19" s="81">
        <f t="shared" si="1"/>
        <v>7280000</v>
      </c>
      <c r="P19" s="81">
        <f t="shared" si="1"/>
        <v>14811935.483870968</v>
      </c>
      <c r="Q19" s="81">
        <f>SUM(Q12:Q18)</f>
        <v>11228000</v>
      </c>
      <c r="R19" s="81">
        <f>SUM(R12:R18)</f>
        <v>19049000</v>
      </c>
      <c r="S19" s="81">
        <f>SUM(S12:S18)</f>
        <v>7512000</v>
      </c>
      <c r="T19" s="81">
        <f t="shared" si="1"/>
        <v>9384000</v>
      </c>
      <c r="U19" s="81">
        <f t="shared" si="1"/>
        <v>35787870.967741936</v>
      </c>
      <c r="V19" s="81">
        <f t="shared" si="1"/>
        <v>8639400</v>
      </c>
      <c r="W19" s="81">
        <f t="shared" si="1"/>
        <v>11081000</v>
      </c>
      <c r="X19" s="81">
        <f t="shared" si="1"/>
        <v>16512000</v>
      </c>
      <c r="Y19" s="81">
        <f t="shared" si="1"/>
        <v>3964800</v>
      </c>
      <c r="Z19" s="81">
        <f t="shared" si="1"/>
        <v>9440000</v>
      </c>
      <c r="AA19" s="81">
        <f t="shared" si="1"/>
        <v>7415000</v>
      </c>
      <c r="AB19" s="81">
        <f>SUM(AB12:AB18)</f>
        <v>12588000</v>
      </c>
      <c r="AC19" s="81">
        <f t="shared" si="1"/>
        <v>4813258.064516129</v>
      </c>
      <c r="AD19" s="81">
        <f t="shared" si="1"/>
        <v>12489000</v>
      </c>
      <c r="AE19" s="81">
        <f t="shared" si="1"/>
        <v>5050000</v>
      </c>
      <c r="AF19" s="81">
        <f>SUM(AF12:AF18)</f>
        <v>17242900</v>
      </c>
      <c r="AG19" s="81">
        <f t="shared" si="1"/>
        <v>4752322.5806451607</v>
      </c>
      <c r="AH19" s="81">
        <f>SUM(AH12:AH18)</f>
        <v>11263032.258064516</v>
      </c>
      <c r="AI19" s="81">
        <f t="shared" si="1"/>
        <v>38008129.032258071</v>
      </c>
      <c r="AJ19" s="81">
        <f t="shared" si="1"/>
        <v>9603000</v>
      </c>
      <c r="AK19" s="81">
        <f>SUM(AK12:AK18)</f>
        <v>6250000</v>
      </c>
      <c r="AL19" s="81">
        <f t="shared" si="1"/>
        <v>8920000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1474516666.666667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57600000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24666666.666666668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12075000</v>
      </c>
      <c r="D22" s="67">
        <v>1500000</v>
      </c>
      <c r="E22" s="82"/>
      <c r="G22" s="82"/>
      <c r="H22" s="68">
        <v>1050000</v>
      </c>
      <c r="O22" s="82"/>
      <c r="P22" s="82">
        <v>1375000</v>
      </c>
      <c r="R22" s="68">
        <v>3000000</v>
      </c>
      <c r="T22" s="82"/>
      <c r="U22" s="82"/>
      <c r="W22" s="82"/>
      <c r="X22" s="82"/>
      <c r="Z22" s="82"/>
      <c r="AA22" s="83"/>
      <c r="AB22" s="82"/>
      <c r="AC22" s="82"/>
      <c r="AE22" s="82"/>
      <c r="AF22" s="82">
        <v>2850000</v>
      </c>
      <c r="AG22" s="82"/>
      <c r="AH22" s="82">
        <v>1500000</v>
      </c>
      <c r="AI22" s="85"/>
      <c r="AJ22" s="68">
        <v>800000</v>
      </c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121290925</v>
      </c>
      <c r="D23" s="82">
        <v>3569000</v>
      </c>
      <c r="E23" s="86">
        <v>6976066</v>
      </c>
      <c r="F23" s="82">
        <v>2203027</v>
      </c>
      <c r="G23" s="82">
        <v>1806926</v>
      </c>
      <c r="H23" s="86">
        <v>4818787</v>
      </c>
      <c r="I23" s="83">
        <v>1753013</v>
      </c>
      <c r="J23" s="83">
        <v>2509445</v>
      </c>
      <c r="K23" s="83">
        <v>2453393</v>
      </c>
      <c r="L23" s="82">
        <v>1801850</v>
      </c>
      <c r="M23" s="82">
        <v>5806534</v>
      </c>
      <c r="N23" s="83">
        <v>2752898</v>
      </c>
      <c r="O23" s="83">
        <v>2308219</v>
      </c>
      <c r="P23" s="83">
        <v>4598446</v>
      </c>
      <c r="Q23" s="83">
        <v>2835151</v>
      </c>
      <c r="R23" s="82">
        <v>6132974</v>
      </c>
      <c r="S23" s="83">
        <v>2121930</v>
      </c>
      <c r="T23" s="82">
        <v>2112869</v>
      </c>
      <c r="U23" s="83">
        <v>8700804</v>
      </c>
      <c r="V23" s="83">
        <v>2495858</v>
      </c>
      <c r="W23" s="83">
        <v>3606271</v>
      </c>
      <c r="X23" s="83">
        <v>3930118</v>
      </c>
      <c r="Y23" s="83">
        <v>881874</v>
      </c>
      <c r="Z23" s="82">
        <v>2713964</v>
      </c>
      <c r="AA23" s="82">
        <v>2670127</v>
      </c>
      <c r="AB23" s="83">
        <v>6402750</v>
      </c>
      <c r="AC23" s="82">
        <v>1597666</v>
      </c>
      <c r="AD23" s="83">
        <v>3477751</v>
      </c>
      <c r="AE23" s="83">
        <v>1433246</v>
      </c>
      <c r="AF23" s="82">
        <v>6904094</v>
      </c>
      <c r="AG23" s="82">
        <v>2001240</v>
      </c>
      <c r="AH23" s="82">
        <v>3795832</v>
      </c>
      <c r="AI23" s="83">
        <v>8469468</v>
      </c>
      <c r="AJ23" s="83">
        <v>1544810</v>
      </c>
      <c r="AK23" s="83">
        <v>1587606</v>
      </c>
      <c r="AL23" s="83">
        <v>2516918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50600651.666666672</v>
      </c>
      <c r="D24" s="82">
        <v>724500</v>
      </c>
      <c r="E24" s="82">
        <v>3813400</v>
      </c>
      <c r="F24" s="82">
        <v>1637600</v>
      </c>
      <c r="G24" s="82">
        <v>503700</v>
      </c>
      <c r="H24" s="86">
        <v>1433360</v>
      </c>
      <c r="I24" s="83">
        <v>1047650</v>
      </c>
      <c r="J24" s="83">
        <v>898150</v>
      </c>
      <c r="K24" s="83">
        <v>1008550</v>
      </c>
      <c r="L24" s="82">
        <v>1070650</v>
      </c>
      <c r="M24" s="82">
        <v>861000</v>
      </c>
      <c r="N24" s="83">
        <v>2415000</v>
      </c>
      <c r="O24" s="83">
        <v>786600</v>
      </c>
      <c r="P24" s="83">
        <v>2135090</v>
      </c>
      <c r="Q24" s="83">
        <v>2457550</v>
      </c>
      <c r="R24" s="82">
        <v>3619666.6666666665</v>
      </c>
      <c r="S24" s="83">
        <v>2834060</v>
      </c>
      <c r="T24" s="82">
        <v>1361600</v>
      </c>
      <c r="U24" s="83">
        <v>3318900</v>
      </c>
      <c r="V24" s="83">
        <v>882050</v>
      </c>
      <c r="W24" s="83">
        <v>880600</v>
      </c>
      <c r="X24" s="83">
        <v>1399205</v>
      </c>
      <c r="Y24" s="83">
        <v>230000</v>
      </c>
      <c r="Z24" s="82">
        <v>2467210</v>
      </c>
      <c r="AA24" s="82">
        <v>867215</v>
      </c>
      <c r="AB24" s="83">
        <v>966460</v>
      </c>
      <c r="AC24" s="82" t="s">
        <v>177</v>
      </c>
      <c r="AD24" s="83">
        <v>2766900</v>
      </c>
      <c r="AE24" s="83">
        <v>521525</v>
      </c>
      <c r="AF24" s="82">
        <v>1582400</v>
      </c>
      <c r="AG24" s="82">
        <v>396750</v>
      </c>
      <c r="AH24" s="82">
        <v>0</v>
      </c>
      <c r="AI24" s="83">
        <v>3226560</v>
      </c>
      <c r="AJ24" s="83">
        <v>595000</v>
      </c>
      <c r="AK24" s="83">
        <v>462300</v>
      </c>
      <c r="AL24" s="83">
        <v>1429450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14285303.666666668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204300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6550000</v>
      </c>
      <c r="D26" s="82">
        <v>100000</v>
      </c>
      <c r="E26" s="82">
        <v>200000</v>
      </c>
      <c r="F26" s="82">
        <v>200000</v>
      </c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250000</v>
      </c>
      <c r="N26" s="83">
        <v>300000</v>
      </c>
      <c r="O26" s="83">
        <v>200000</v>
      </c>
      <c r="P26" s="83">
        <v>300000</v>
      </c>
      <c r="Q26" s="83">
        <v>200000</v>
      </c>
      <c r="R26" s="82">
        <v>300000</v>
      </c>
      <c r="S26" s="83">
        <v>150000</v>
      </c>
      <c r="T26" s="82">
        <v>200000</v>
      </c>
      <c r="U26" s="83">
        <v>200000</v>
      </c>
      <c r="V26" s="83">
        <v>300000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500000</v>
      </c>
      <c r="AF26" s="82">
        <v>500000</v>
      </c>
      <c r="AG26" s="82"/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1679318547.0000005</v>
      </c>
      <c r="D29" s="60">
        <f>SUM(D21:D28)</f>
        <v>37273600</v>
      </c>
      <c r="E29" s="60">
        <f t="shared" ref="E29:AL29" si="3">SUM(E21:E28)</f>
        <v>91490466</v>
      </c>
      <c r="F29" s="60">
        <f t="shared" si="3"/>
        <v>41285627</v>
      </c>
      <c r="G29" s="60">
        <f t="shared" si="3"/>
        <v>25888959</v>
      </c>
      <c r="H29" s="60">
        <f t="shared" si="3"/>
        <v>41047147</v>
      </c>
      <c r="I29" s="60">
        <f t="shared" si="3"/>
        <v>27220663</v>
      </c>
      <c r="J29" s="60">
        <f t="shared" si="3"/>
        <v>23694096</v>
      </c>
      <c r="K29" s="60">
        <f t="shared" si="3"/>
        <v>30948444</v>
      </c>
      <c r="L29" s="60">
        <f t="shared" si="3"/>
        <v>36391500</v>
      </c>
      <c r="M29" s="60">
        <f t="shared" si="3"/>
        <v>54979035</v>
      </c>
      <c r="N29" s="60">
        <f t="shared" si="3"/>
        <v>72529399</v>
      </c>
      <c r="O29" s="60">
        <f t="shared" si="3"/>
        <v>33516319</v>
      </c>
      <c r="P29" s="60">
        <f t="shared" si="3"/>
        <v>48873535</v>
      </c>
      <c r="Q29" s="60">
        <f>SUM(Q21:Q28)</f>
        <v>29935701</v>
      </c>
      <c r="R29" s="60">
        <f t="shared" si="3"/>
        <v>73529140.666666672</v>
      </c>
      <c r="S29" s="60">
        <f t="shared" si="3"/>
        <v>28825990</v>
      </c>
      <c r="T29" s="60">
        <f t="shared" si="3"/>
        <v>28919469</v>
      </c>
      <c r="U29" s="60">
        <f t="shared" si="3"/>
        <v>123247704</v>
      </c>
      <c r="V29" s="60">
        <f t="shared" si="3"/>
        <v>53882208</v>
      </c>
      <c r="W29" s="60">
        <f t="shared" si="3"/>
        <v>62881871</v>
      </c>
      <c r="X29" s="60">
        <f t="shared" si="3"/>
        <v>75599223</v>
      </c>
      <c r="Y29" s="60">
        <f t="shared" si="3"/>
        <v>19397874</v>
      </c>
      <c r="Z29" s="60">
        <f t="shared" si="3"/>
        <v>42447674</v>
      </c>
      <c r="AA29" s="60">
        <f t="shared" si="3"/>
        <v>23952342</v>
      </c>
      <c r="AB29" s="60">
        <f>SUM(AB21:AB28)</f>
        <v>51789210</v>
      </c>
      <c r="AC29" s="60">
        <f t="shared" si="3"/>
        <v>18634166</v>
      </c>
      <c r="AD29" s="60">
        <f t="shared" si="3"/>
        <v>51789651</v>
      </c>
      <c r="AE29" s="60">
        <f t="shared" si="3"/>
        <v>27366437.666666668</v>
      </c>
      <c r="AF29" s="60">
        <f t="shared" si="3"/>
        <v>79048160.666666657</v>
      </c>
      <c r="AG29" s="60">
        <f t="shared" si="3"/>
        <v>29137991</v>
      </c>
      <c r="AH29" s="60">
        <f t="shared" si="3"/>
        <v>60895832</v>
      </c>
      <c r="AI29" s="60">
        <f t="shared" si="3"/>
        <v>143166028</v>
      </c>
      <c r="AJ29" s="60">
        <f>SUM(AJ21:AJ28)</f>
        <v>30796810</v>
      </c>
      <c r="AK29" s="60">
        <f t="shared" si="3"/>
        <v>28519906</v>
      </c>
      <c r="AL29" s="60">
        <f t="shared" si="3"/>
        <v>30416368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47471122.54540012</v>
      </c>
      <c r="D30" s="82">
        <v>661546.80147749139</v>
      </c>
      <c r="E30" s="83">
        <v>2383962.4012116184</v>
      </c>
      <c r="F30" s="82">
        <v>1112204.0866941325</v>
      </c>
      <c r="G30" s="82">
        <v>96000</v>
      </c>
      <c r="H30" s="82">
        <v>963508.5022415868</v>
      </c>
      <c r="I30" s="82">
        <v>934890.88575096289</v>
      </c>
      <c r="J30" s="83">
        <v>1000271.2829819907</v>
      </c>
      <c r="K30" s="82">
        <v>909866.7776852625</v>
      </c>
      <c r="L30" s="82">
        <v>789028.00820909603</v>
      </c>
      <c r="M30" s="82">
        <v>1933475.9797994562</v>
      </c>
      <c r="N30" s="83">
        <v>1690753.1747190191</v>
      </c>
      <c r="O30" s="83">
        <v>650730.1587301587</v>
      </c>
      <c r="P30" s="83">
        <v>1853880.2335807402</v>
      </c>
      <c r="Q30" s="83">
        <v>2178389.951799151</v>
      </c>
      <c r="R30" s="83">
        <v>1642619.0627043184</v>
      </c>
      <c r="S30" s="83">
        <v>1170000</v>
      </c>
      <c r="T30" s="82">
        <v>1220667.9819450132</v>
      </c>
      <c r="U30" s="83">
        <v>4196569.1518112849</v>
      </c>
      <c r="V30" s="83">
        <v>195000</v>
      </c>
      <c r="W30" s="83">
        <v>208000</v>
      </c>
      <c r="X30" s="83">
        <v>2792377.9898667554</v>
      </c>
      <c r="Y30" s="82">
        <v>645742.68931395083</v>
      </c>
      <c r="Z30" s="83">
        <v>1454827.1376866235</v>
      </c>
      <c r="AA30" s="82">
        <v>661389.47368421033</v>
      </c>
      <c r="AB30" s="82">
        <v>1520057.761373328</v>
      </c>
      <c r="AC30" s="82">
        <v>831029.45286317449</v>
      </c>
      <c r="AD30" s="82">
        <v>1982092.3721865781</v>
      </c>
      <c r="AE30" s="82">
        <v>695301.80699730874</v>
      </c>
      <c r="AF30" s="82">
        <v>1467220.6476498812</v>
      </c>
      <c r="AG30" s="82">
        <v>669003.84311291971</v>
      </c>
      <c r="AH30" s="82">
        <v>1168034.4786247448</v>
      </c>
      <c r="AI30" s="83">
        <v>5090969.2385131922</v>
      </c>
      <c r="AJ30" s="83">
        <v>1053840.1797545659</v>
      </c>
      <c r="AK30" s="82">
        <v>699851.30787268467</v>
      </c>
      <c r="AL30" s="83">
        <v>948019.724558922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4708268.3307332294</v>
      </c>
      <c r="D31" s="82">
        <v>93603.744149765989</v>
      </c>
      <c r="E31" s="83">
        <v>205928.23712948518</v>
      </c>
      <c r="F31" s="82">
        <v>112324.49297971919</v>
      </c>
      <c r="G31" s="82">
        <v>74882.995319812791</v>
      </c>
      <c r="H31" s="82">
        <v>84243.36973478939</v>
      </c>
      <c r="I31" s="82">
        <v>74882.995319812791</v>
      </c>
      <c r="J31" s="83">
        <v>84243.36973478939</v>
      </c>
      <c r="K31" s="82">
        <v>84243.36973478939</v>
      </c>
      <c r="L31" s="82">
        <v>102964.11856474259</v>
      </c>
      <c r="M31" s="82">
        <v>177847.11388455538</v>
      </c>
      <c r="N31" s="83">
        <v>177847.11388455538</v>
      </c>
      <c r="O31" s="83">
        <v>84243.36973478939</v>
      </c>
      <c r="P31" s="83">
        <v>177847.11388455538</v>
      </c>
      <c r="Q31" s="83">
        <v>159126.36505460218</v>
      </c>
      <c r="R31" s="83">
        <v>168486.73946957878</v>
      </c>
      <c r="S31" s="83">
        <v>84243.36973478939</v>
      </c>
      <c r="T31" s="82">
        <v>93603.744149765989</v>
      </c>
      <c r="U31" s="83">
        <v>355694.22776911076</v>
      </c>
      <c r="V31" s="83">
        <v>140405.61622464898</v>
      </c>
      <c r="W31" s="83">
        <v>149765.99063962558</v>
      </c>
      <c r="X31" s="83">
        <v>224648.98595943837</v>
      </c>
      <c r="Y31" s="82">
        <v>56162.246489859594</v>
      </c>
      <c r="Z31" s="83">
        <v>121684.86739469579</v>
      </c>
      <c r="AA31" s="82">
        <v>56162.246489859594</v>
      </c>
      <c r="AB31" s="82">
        <v>121684.86739469579</v>
      </c>
      <c r="AC31" s="82">
        <v>65522.620904836192</v>
      </c>
      <c r="AD31" s="82">
        <v>168486.73946957878</v>
      </c>
      <c r="AE31" s="82">
        <v>74882.995319812791</v>
      </c>
      <c r="AF31" s="82">
        <v>187207.48829953198</v>
      </c>
      <c r="AG31" s="82">
        <v>74882.995319812791</v>
      </c>
      <c r="AH31" s="82">
        <v>149765.99063962558</v>
      </c>
      <c r="AI31" s="83">
        <v>468018.72074882995</v>
      </c>
      <c r="AJ31" s="83">
        <v>102964.11856474259</v>
      </c>
      <c r="AK31" s="82">
        <v>74882.995319812791</v>
      </c>
      <c r="AL31" s="83">
        <v>74882.995319812791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7178556.9422776904</v>
      </c>
      <c r="D32" s="82">
        <v>148003.12012480499</v>
      </c>
      <c r="E32" s="83">
        <v>325606.86427457095</v>
      </c>
      <c r="F32" s="82">
        <v>177603.74414976599</v>
      </c>
      <c r="G32" s="82">
        <v>118402.49609984399</v>
      </c>
      <c r="H32" s="82">
        <v>133202.80811232451</v>
      </c>
      <c r="I32" s="82">
        <v>118402.49609984399</v>
      </c>
      <c r="J32" s="83">
        <v>133202.80811232451</v>
      </c>
      <c r="K32" s="82">
        <v>133202.80811232451</v>
      </c>
      <c r="L32" s="82">
        <v>162803.43213728548</v>
      </c>
      <c r="M32" s="82">
        <v>281205.92823712947</v>
      </c>
      <c r="N32" s="83">
        <v>281205.92823712947</v>
      </c>
      <c r="O32" s="83">
        <v>133202.80811232451</v>
      </c>
      <c r="P32" s="83">
        <v>281205.92823712947</v>
      </c>
      <c r="Q32" s="83">
        <v>251605.3042121685</v>
      </c>
      <c r="R32" s="83">
        <v>266405.61622464901</v>
      </c>
      <c r="S32" s="83">
        <v>133202.80811232451</v>
      </c>
      <c r="T32" s="82">
        <v>148003.12012480499</v>
      </c>
      <c r="U32" s="83">
        <v>296411.85647425894</v>
      </c>
      <c r="V32" s="83">
        <v>222004.68018720747</v>
      </c>
      <c r="W32" s="83">
        <v>236804.99219968799</v>
      </c>
      <c r="X32" s="83">
        <v>355207.48829953198</v>
      </c>
      <c r="Y32" s="82">
        <v>88801.872074882995</v>
      </c>
      <c r="Z32" s="83">
        <v>192404.0561622465</v>
      </c>
      <c r="AA32" s="82">
        <v>88801.872074882995</v>
      </c>
      <c r="AB32" s="82">
        <v>192404.0561622465</v>
      </c>
      <c r="AC32" s="82">
        <v>103602.18408736349</v>
      </c>
      <c r="AD32" s="82">
        <v>266405.61622464901</v>
      </c>
      <c r="AE32" s="82">
        <v>118402.49609984399</v>
      </c>
      <c r="AF32" s="82">
        <v>296006.24024960998</v>
      </c>
      <c r="AG32" s="82">
        <v>118402.49609984399</v>
      </c>
      <c r="AH32" s="82">
        <v>236804.99219968799</v>
      </c>
      <c r="AI32" s="83">
        <v>740015.60062402498</v>
      </c>
      <c r="AJ32" s="83">
        <v>162803.43213728548</v>
      </c>
      <c r="AK32" s="82">
        <v>118402.49609984399</v>
      </c>
      <c r="AL32" s="83">
        <v>118402.49609984399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5463845.5538221523</v>
      </c>
      <c r="D33" s="82">
        <v>112402.49609984399</v>
      </c>
      <c r="E33" s="83">
        <v>247285.49141965678</v>
      </c>
      <c r="F33" s="82">
        <v>134882.99531981279</v>
      </c>
      <c r="G33" s="82">
        <v>89921.996879875194</v>
      </c>
      <c r="H33" s="82">
        <v>101162.24648985959</v>
      </c>
      <c r="I33" s="82">
        <v>89921.996879875194</v>
      </c>
      <c r="J33" s="83">
        <v>101162.24648985959</v>
      </c>
      <c r="K33" s="82">
        <v>101162.24648985959</v>
      </c>
      <c r="L33" s="82">
        <v>123642.74570982839</v>
      </c>
      <c r="M33" s="82">
        <v>213564.74258970359</v>
      </c>
      <c r="N33" s="83">
        <v>213564.74258970359</v>
      </c>
      <c r="O33" s="83">
        <v>101162.24648985959</v>
      </c>
      <c r="P33" s="83">
        <v>213564.74258970359</v>
      </c>
      <c r="Q33" s="83">
        <v>191084.24336973479</v>
      </c>
      <c r="R33" s="83">
        <v>202324.49297971919</v>
      </c>
      <c r="S33" s="83">
        <v>101162.24648985959</v>
      </c>
      <c r="T33" s="82">
        <v>112402.49609984399</v>
      </c>
      <c r="U33" s="83">
        <v>237129.48517940717</v>
      </c>
      <c r="V33" s="83">
        <v>168603.74414976599</v>
      </c>
      <c r="W33" s="83">
        <v>179843.99375975039</v>
      </c>
      <c r="X33" s="83">
        <v>269765.99063962558</v>
      </c>
      <c r="Y33" s="82">
        <v>67441.497659906396</v>
      </c>
      <c r="Z33" s="83">
        <v>146123.24492979719</v>
      </c>
      <c r="AA33" s="82">
        <v>67441.497659906396</v>
      </c>
      <c r="AB33" s="82">
        <v>146123.24492979719</v>
      </c>
      <c r="AC33" s="82">
        <v>78681.747269890795</v>
      </c>
      <c r="AD33" s="82">
        <v>202324.49297971919</v>
      </c>
      <c r="AE33" s="82">
        <v>89921.996879875194</v>
      </c>
      <c r="AF33" s="82">
        <v>224804.99219968799</v>
      </c>
      <c r="AG33" s="82">
        <v>89921.996879875194</v>
      </c>
      <c r="AH33" s="82">
        <v>179843.99375975039</v>
      </c>
      <c r="AI33" s="83">
        <v>562012.48049921996</v>
      </c>
      <c r="AJ33" s="83">
        <v>123642.74570982839</v>
      </c>
      <c r="AK33" s="82">
        <v>89921.996879875194</v>
      </c>
      <c r="AL33" s="83">
        <v>89921.996879875194</v>
      </c>
    </row>
    <row r="34" spans="1:38" s="68" customFormat="1" ht="24" customHeight="1" x14ac:dyDescent="0.3">
      <c r="A34" s="133"/>
      <c r="B34" s="67" t="s">
        <v>167</v>
      </c>
      <c r="C34" s="62">
        <f t="shared" si="4"/>
        <v>2354134.1653666147</v>
      </c>
      <c r="D34" s="82">
        <v>46801.872074882995</v>
      </c>
      <c r="E34" s="83">
        <v>102964.11856474259</v>
      </c>
      <c r="F34" s="82">
        <v>56162.246489859594</v>
      </c>
      <c r="G34" s="82">
        <v>37441.497659906396</v>
      </c>
      <c r="H34" s="82">
        <v>42121.684867394695</v>
      </c>
      <c r="I34" s="82">
        <v>37441.497659906396</v>
      </c>
      <c r="J34" s="83">
        <v>42121.684867394695</v>
      </c>
      <c r="K34" s="82">
        <v>42121.684867394695</v>
      </c>
      <c r="L34" s="82">
        <v>51482.059282371294</v>
      </c>
      <c r="M34" s="82">
        <v>88923.55694227769</v>
      </c>
      <c r="N34" s="83">
        <v>88923.55694227769</v>
      </c>
      <c r="O34" s="83">
        <v>42121.684867394695</v>
      </c>
      <c r="P34" s="83">
        <v>88923.55694227769</v>
      </c>
      <c r="Q34" s="83">
        <v>79563.182527301091</v>
      </c>
      <c r="R34" s="83">
        <v>84243.36973478939</v>
      </c>
      <c r="S34" s="83">
        <v>42121.684867394695</v>
      </c>
      <c r="T34" s="82">
        <v>46801.872074882995</v>
      </c>
      <c r="U34" s="83">
        <v>177847.11388455538</v>
      </c>
      <c r="V34" s="83">
        <v>70202.808112324492</v>
      </c>
      <c r="W34" s="83">
        <v>74882.995319812791</v>
      </c>
      <c r="X34" s="83">
        <v>112324.49297971919</v>
      </c>
      <c r="Y34" s="82">
        <v>28081.123244929797</v>
      </c>
      <c r="Z34" s="83">
        <v>60842.433697347893</v>
      </c>
      <c r="AA34" s="82">
        <v>28081.123244929797</v>
      </c>
      <c r="AB34" s="82">
        <v>60842.433697347893</v>
      </c>
      <c r="AC34" s="82">
        <v>32761.310452418096</v>
      </c>
      <c r="AD34" s="82">
        <v>84243.36973478939</v>
      </c>
      <c r="AE34" s="82">
        <v>37441.497659906396</v>
      </c>
      <c r="AF34" s="82">
        <v>93603.744149765989</v>
      </c>
      <c r="AG34" s="82">
        <v>37441.497659906396</v>
      </c>
      <c r="AH34" s="82">
        <v>74882.995319812791</v>
      </c>
      <c r="AI34" s="82">
        <v>234009.36037441497</v>
      </c>
      <c r="AJ34" s="83">
        <v>51482.059282371294</v>
      </c>
      <c r="AK34" s="82">
        <v>37441.497659906396</v>
      </c>
      <c r="AL34" s="83">
        <v>37441.497659906396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13522690.058502339</v>
      </c>
      <c r="D35" s="82">
        <v>268840.75663026521</v>
      </c>
      <c r="E35" s="83">
        <v>591449.6645865835</v>
      </c>
      <c r="F35" s="82">
        <v>322608.90795631823</v>
      </c>
      <c r="G35" s="82">
        <v>215072.60530421216</v>
      </c>
      <c r="H35" s="82">
        <v>241956.68096723867</v>
      </c>
      <c r="I35" s="82">
        <v>215072.60530421216</v>
      </c>
      <c r="J35" s="83">
        <v>241956.68096723867</v>
      </c>
      <c r="K35" s="82">
        <v>241956.68096723867</v>
      </c>
      <c r="L35" s="82">
        <v>295724.83229329175</v>
      </c>
      <c r="M35" s="82">
        <v>510797.43759750389</v>
      </c>
      <c r="N35" s="83">
        <v>510797.43759750389</v>
      </c>
      <c r="O35" s="83">
        <v>241956.68096723867</v>
      </c>
      <c r="P35" s="83">
        <v>510797.43759750389</v>
      </c>
      <c r="Q35" s="83">
        <v>457029.28627145087</v>
      </c>
      <c r="R35" s="83">
        <v>483913.36193447735</v>
      </c>
      <c r="S35" s="83">
        <v>241956.68096723867</v>
      </c>
      <c r="T35" s="82">
        <v>268840.75663026521</v>
      </c>
      <c r="U35" s="83">
        <v>1021594.8751950078</v>
      </c>
      <c r="V35" s="83">
        <v>403261.13494539779</v>
      </c>
      <c r="W35" s="83">
        <v>430145.21060842433</v>
      </c>
      <c r="X35" s="83">
        <v>645217.81591263646</v>
      </c>
      <c r="Y35" s="82">
        <v>161304.45397815912</v>
      </c>
      <c r="Z35" s="83">
        <v>349492.98361934477</v>
      </c>
      <c r="AA35" s="82">
        <v>161304.45397815912</v>
      </c>
      <c r="AB35" s="82">
        <v>349492.98361934477</v>
      </c>
      <c r="AC35" s="82">
        <v>188188.52964118565</v>
      </c>
      <c r="AD35" s="82">
        <v>483913.36193447735</v>
      </c>
      <c r="AE35" s="82">
        <v>215072.60530421216</v>
      </c>
      <c r="AF35" s="82">
        <v>537681.51326053042</v>
      </c>
      <c r="AG35" s="82">
        <v>215072.60530421216</v>
      </c>
      <c r="AH35" s="82">
        <v>430145.21060842433</v>
      </c>
      <c r="AI35" s="82">
        <v>1344203.783151326</v>
      </c>
      <c r="AJ35" s="83">
        <v>295724.83229329175</v>
      </c>
      <c r="AK35" s="82">
        <v>215072.60530421216</v>
      </c>
      <c r="AL35" s="83">
        <v>215072.60530421216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16000000</v>
      </c>
      <c r="D36" s="82">
        <v>400000</v>
      </c>
      <c r="E36" s="83">
        <v>550000</v>
      </c>
      <c r="F36" s="82">
        <v>400000</v>
      </c>
      <c r="G36" s="82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550000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6164711.3884555399</v>
      </c>
      <c r="D37" s="82">
        <v>125600.624024961</v>
      </c>
      <c r="E37" s="83">
        <v>264321.37285491417</v>
      </c>
      <c r="F37" s="82">
        <v>148720.7488299532</v>
      </c>
      <c r="G37" s="82">
        <v>102480.4992199688</v>
      </c>
      <c r="H37" s="82">
        <v>114040.5616224649</v>
      </c>
      <c r="I37" s="82">
        <v>102480.4992199688</v>
      </c>
      <c r="J37" s="83">
        <v>114040.5616224649</v>
      </c>
      <c r="K37" s="82">
        <v>114040.5616224649</v>
      </c>
      <c r="L37" s="82">
        <v>137160.68642745708</v>
      </c>
      <c r="M37" s="82">
        <v>229641.18564742588</v>
      </c>
      <c r="N37" s="83">
        <v>229641.18564742588</v>
      </c>
      <c r="O37" s="83">
        <v>114040.5616224649</v>
      </c>
      <c r="P37" s="83">
        <v>229641.18564742588</v>
      </c>
      <c r="Q37" s="83">
        <v>206521.06084243371</v>
      </c>
      <c r="R37" s="83">
        <v>218081.1232449298</v>
      </c>
      <c r="S37" s="83">
        <v>114040.5616224649</v>
      </c>
      <c r="T37" s="82">
        <v>125600.624024961</v>
      </c>
      <c r="U37" s="83">
        <v>449282.37129485176</v>
      </c>
      <c r="V37" s="83">
        <v>183400.93603744148</v>
      </c>
      <c r="W37" s="83">
        <v>194960.9984399376</v>
      </c>
      <c r="X37" s="83">
        <v>287441.4976599064</v>
      </c>
      <c r="Y37" s="82">
        <v>79360.374414976599</v>
      </c>
      <c r="Z37" s="83">
        <v>160280.81123244931</v>
      </c>
      <c r="AA37" s="82">
        <v>79360.374414976599</v>
      </c>
      <c r="AB37" s="82">
        <v>160280.81123244931</v>
      </c>
      <c r="AC37" s="82">
        <v>90920.436817472699</v>
      </c>
      <c r="AD37" s="82">
        <v>218081.1232449298</v>
      </c>
      <c r="AE37" s="82">
        <v>102480.4992199688</v>
      </c>
      <c r="AF37" s="82">
        <v>241201.248049922</v>
      </c>
      <c r="AG37" s="82">
        <v>102480.4992199688</v>
      </c>
      <c r="AH37" s="82">
        <v>194960.9984399376</v>
      </c>
      <c r="AI37" s="82">
        <v>588003.12012480502</v>
      </c>
      <c r="AJ37" s="83">
        <v>137160.68642745708</v>
      </c>
      <c r="AK37" s="82">
        <v>102480.4992199688</v>
      </c>
      <c r="AL37" s="83">
        <v>102480.4992199688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8631825.2730109207</v>
      </c>
      <c r="D38" s="82">
        <v>171606.86427457098</v>
      </c>
      <c r="E38" s="83">
        <v>377535.10140405619</v>
      </c>
      <c r="F38" s="82">
        <v>205928.23712948518</v>
      </c>
      <c r="G38" s="82">
        <v>137285.49141965678</v>
      </c>
      <c r="H38" s="82">
        <v>154446.17784711387</v>
      </c>
      <c r="I38" s="82">
        <v>137285.49141965678</v>
      </c>
      <c r="J38" s="83">
        <v>154446.17784711387</v>
      </c>
      <c r="K38" s="82">
        <v>154446.17784711387</v>
      </c>
      <c r="L38" s="82">
        <v>188767.55070202809</v>
      </c>
      <c r="M38" s="82">
        <v>326053.04212168488</v>
      </c>
      <c r="N38" s="83">
        <v>326053.04212168488</v>
      </c>
      <c r="O38" s="83">
        <v>154446.17784711387</v>
      </c>
      <c r="P38" s="83">
        <v>326053.04212168488</v>
      </c>
      <c r="Q38" s="83">
        <v>291731.66926677065</v>
      </c>
      <c r="R38" s="83">
        <v>308892.35569422774</v>
      </c>
      <c r="S38" s="83">
        <v>154446.17784711387</v>
      </c>
      <c r="T38" s="82">
        <v>171606.86427457098</v>
      </c>
      <c r="U38" s="83">
        <v>652106.08424336975</v>
      </c>
      <c r="V38" s="83">
        <v>257410.29641185649</v>
      </c>
      <c r="W38" s="83">
        <v>274570.98283931357</v>
      </c>
      <c r="X38" s="83">
        <v>411856.47425897035</v>
      </c>
      <c r="Y38" s="82">
        <v>102964.11856474259</v>
      </c>
      <c r="Z38" s="83">
        <v>223088.92355694226</v>
      </c>
      <c r="AA38" s="83">
        <v>102964.11856474259</v>
      </c>
      <c r="AB38" s="82">
        <v>223088.92355694226</v>
      </c>
      <c r="AC38" s="82">
        <v>120124.80499219969</v>
      </c>
      <c r="AD38" s="82">
        <v>308892.35569422774</v>
      </c>
      <c r="AE38" s="82">
        <v>137285.49141965678</v>
      </c>
      <c r="AF38" s="82">
        <v>343213.72854914196</v>
      </c>
      <c r="AG38" s="82">
        <v>137285.49141965678</v>
      </c>
      <c r="AH38" s="82">
        <v>274570.98283931357</v>
      </c>
      <c r="AI38" s="82">
        <v>858034.32137285487</v>
      </c>
      <c r="AJ38" s="83">
        <v>188767.55070202809</v>
      </c>
      <c r="AK38" s="82">
        <v>137285.49141965678</v>
      </c>
      <c r="AL38" s="83">
        <v>137285.49141965678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5000000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5000000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17987542.093603741</v>
      </c>
      <c r="D40" s="82">
        <v>357605.21060842433</v>
      </c>
      <c r="E40" s="83">
        <v>786731.46333853353</v>
      </c>
      <c r="F40" s="82">
        <v>429126.25273010915</v>
      </c>
      <c r="G40" s="82">
        <v>286084.16848673945</v>
      </c>
      <c r="H40" s="82">
        <v>321844.68954758189</v>
      </c>
      <c r="I40" s="82">
        <v>286084.16848673945</v>
      </c>
      <c r="J40" s="83">
        <v>321844.68954758189</v>
      </c>
      <c r="K40" s="82">
        <v>321844.68954758189</v>
      </c>
      <c r="L40" s="82">
        <v>393365.73166926677</v>
      </c>
      <c r="M40" s="82">
        <v>679449.90015600622</v>
      </c>
      <c r="N40" s="83">
        <v>679449.90015600622</v>
      </c>
      <c r="O40" s="83">
        <v>321844.68954758189</v>
      </c>
      <c r="P40" s="83">
        <v>679449.90015600622</v>
      </c>
      <c r="Q40" s="83">
        <v>607928.85803432134</v>
      </c>
      <c r="R40" s="83">
        <v>643689.37909516378</v>
      </c>
      <c r="S40" s="83">
        <v>321844.68954758189</v>
      </c>
      <c r="T40" s="82">
        <v>357605.21060842433</v>
      </c>
      <c r="U40" s="83">
        <v>1358899.8003120124</v>
      </c>
      <c r="V40" s="83">
        <v>536407.81591263646</v>
      </c>
      <c r="W40" s="83">
        <v>572168.3369734789</v>
      </c>
      <c r="X40" s="83">
        <v>858252.50546021829</v>
      </c>
      <c r="Y40" s="82">
        <v>214563.12636505457</v>
      </c>
      <c r="Z40" s="83">
        <v>464886.77379095159</v>
      </c>
      <c r="AA40" s="82">
        <v>214563.12636505457</v>
      </c>
      <c r="AB40" s="82">
        <v>464886.77379095159</v>
      </c>
      <c r="AC40" s="82">
        <v>250323.64742589701</v>
      </c>
      <c r="AD40" s="82">
        <v>643689.37909516378</v>
      </c>
      <c r="AE40" s="82">
        <v>286084.16848673945</v>
      </c>
      <c r="AF40" s="82">
        <v>715210.42121684866</v>
      </c>
      <c r="AG40" s="82">
        <v>286084.16848673945</v>
      </c>
      <c r="AH40" s="82">
        <v>572168.3369734789</v>
      </c>
      <c r="AI40" s="82">
        <v>1788026.0530421215</v>
      </c>
      <c r="AJ40" s="83">
        <v>393365.73166926677</v>
      </c>
      <c r="AK40" s="82">
        <v>286084.16848673945</v>
      </c>
      <c r="AL40" s="83">
        <v>286084.16848673945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32546563.382215276</v>
      </c>
      <c r="D41" s="82">
        <v>126273.60374414976</v>
      </c>
      <c r="E41" s="82">
        <v>277801.92823712947</v>
      </c>
      <c r="F41" s="82">
        <v>2001528</v>
      </c>
      <c r="G41" s="82">
        <v>1396019</v>
      </c>
      <c r="H41" s="82">
        <v>113646.24336973479</v>
      </c>
      <c r="I41" s="82">
        <v>101018.88299531981</v>
      </c>
      <c r="J41" s="83">
        <v>113646.24336973479</v>
      </c>
      <c r="K41" s="68">
        <v>113646.24336973479</v>
      </c>
      <c r="L41" s="68">
        <v>1638901</v>
      </c>
      <c r="M41" s="82">
        <v>239919.84711388455</v>
      </c>
      <c r="N41" s="82">
        <v>2609920</v>
      </c>
      <c r="O41" s="82">
        <v>113646.24336973479</v>
      </c>
      <c r="P41" s="68">
        <v>2374920</v>
      </c>
      <c r="Q41" s="83">
        <v>214665.1263650546</v>
      </c>
      <c r="R41" s="83">
        <v>2477292</v>
      </c>
      <c r="S41" s="83">
        <v>113646.24336973479</v>
      </c>
      <c r="T41" s="68">
        <v>126273.60374414976</v>
      </c>
      <c r="U41" s="82">
        <v>5799840</v>
      </c>
      <c r="V41" s="83">
        <v>189410.40561622466</v>
      </c>
      <c r="W41" s="82">
        <v>202037.76599063963</v>
      </c>
      <c r="X41" s="90">
        <v>1318057</v>
      </c>
      <c r="Y41" s="82">
        <v>75764.162246489868</v>
      </c>
      <c r="Z41" s="83">
        <v>164155.68486739471</v>
      </c>
      <c r="AA41" s="82">
        <v>75764.162246489868</v>
      </c>
      <c r="AB41" s="82">
        <v>164155.68486739471</v>
      </c>
      <c r="AC41" s="82">
        <v>893392</v>
      </c>
      <c r="AD41" s="82">
        <v>227292.48673946958</v>
      </c>
      <c r="AE41" s="82">
        <v>101018.88299531981</v>
      </c>
      <c r="AF41" s="82">
        <v>252547.20748829952</v>
      </c>
      <c r="AG41" s="68">
        <v>2026019</v>
      </c>
      <c r="AH41" s="82">
        <v>3132038</v>
      </c>
      <c r="AI41" s="68">
        <v>3431368</v>
      </c>
      <c r="AJ41" s="68">
        <v>138900.96411856473</v>
      </c>
      <c r="AK41" s="68">
        <v>101018.88299531981</v>
      </c>
      <c r="AL41" s="83">
        <v>101018.88299531981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4733000</v>
      </c>
      <c r="D42" s="82">
        <v>765000</v>
      </c>
      <c r="E42" s="83">
        <v>80000</v>
      </c>
      <c r="F42" s="82"/>
      <c r="G42" s="82">
        <v>53000</v>
      </c>
      <c r="H42" s="82"/>
      <c r="I42" s="82"/>
      <c r="J42" s="82"/>
      <c r="L42" s="68">
        <v>890000</v>
      </c>
      <c r="N42" s="82"/>
      <c r="O42" s="82"/>
      <c r="P42" s="68">
        <v>125000</v>
      </c>
      <c r="Q42" s="82">
        <v>150000</v>
      </c>
      <c r="R42" s="68">
        <v>90000</v>
      </c>
      <c r="S42" s="82">
        <v>80000</v>
      </c>
      <c r="U42" s="82"/>
      <c r="V42" s="82">
        <v>45000</v>
      </c>
      <c r="W42" s="82">
        <v>80000</v>
      </c>
      <c r="X42" s="82"/>
      <c r="Y42" s="82">
        <v>400000</v>
      </c>
      <c r="Z42" s="82">
        <v>55000</v>
      </c>
      <c r="AA42" s="82"/>
      <c r="AB42" s="82"/>
      <c r="AC42" s="82"/>
      <c r="AD42" s="82"/>
      <c r="AE42" s="82">
        <v>45000</v>
      </c>
      <c r="AF42" s="82">
        <v>80000</v>
      </c>
      <c r="AG42" s="68">
        <v>250000</v>
      </c>
      <c r="AH42" s="82">
        <v>890000</v>
      </c>
      <c r="AI42" s="68">
        <v>655000</v>
      </c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19433000</v>
      </c>
      <c r="D43" s="82">
        <v>987000</v>
      </c>
      <c r="E43" s="82">
        <v>350000</v>
      </c>
      <c r="F43" s="82"/>
      <c r="G43" s="67">
        <v>855000</v>
      </c>
      <c r="H43" s="67"/>
      <c r="I43" s="67"/>
      <c r="J43" s="82"/>
      <c r="K43" s="82">
        <v>200000</v>
      </c>
      <c r="L43" s="68">
        <v>446000</v>
      </c>
      <c r="N43" s="82"/>
      <c r="O43" s="68">
        <v>70000</v>
      </c>
      <c r="P43" s="68">
        <v>1705000</v>
      </c>
      <c r="Q43" s="68">
        <v>640000</v>
      </c>
      <c r="R43" s="68">
        <v>1236000</v>
      </c>
      <c r="S43" s="82"/>
      <c r="T43" s="82"/>
      <c r="U43" s="68">
        <v>1415000</v>
      </c>
      <c r="V43" s="82">
        <v>870000</v>
      </c>
      <c r="W43" s="82">
        <v>1531000</v>
      </c>
      <c r="X43" s="83"/>
      <c r="Z43" s="82"/>
      <c r="AA43" s="82">
        <v>1870000</v>
      </c>
      <c r="AB43" s="82"/>
      <c r="AC43" s="82">
        <v>200000</v>
      </c>
      <c r="AD43" s="68">
        <v>235000</v>
      </c>
      <c r="AE43" s="82"/>
      <c r="AF43" s="68">
        <v>1531000</v>
      </c>
      <c r="AG43" s="82">
        <v>1026000</v>
      </c>
      <c r="AH43" s="68">
        <v>1440000</v>
      </c>
      <c r="AI43" s="68">
        <v>1850000</v>
      </c>
      <c r="AJ43" s="68">
        <v>670000</v>
      </c>
      <c r="AK43" s="82">
        <v>218000</v>
      </c>
      <c r="AL43" s="68">
        <v>88000</v>
      </c>
    </row>
    <row r="44" spans="1:38" s="93" customFormat="1" ht="13" x14ac:dyDescent="0.3">
      <c r="A44" s="91" t="s">
        <v>45</v>
      </c>
      <c r="B44" s="92"/>
      <c r="C44" s="62">
        <f>SUM(C30:C43)</f>
        <v>191195259.73338765</v>
      </c>
      <c r="D44" s="92">
        <f t="shared" ref="D44:AL44" si="5">SUM(D30:D43)</f>
        <v>4264285.0932091605</v>
      </c>
      <c r="E44" s="92">
        <f t="shared" si="5"/>
        <v>6543586.6430212911</v>
      </c>
      <c r="F44" s="92">
        <f t="shared" si="5"/>
        <v>5101089.7122791559</v>
      </c>
      <c r="G44" s="92">
        <f t="shared" si="5"/>
        <v>3861590.7503900155</v>
      </c>
      <c r="H44" s="92">
        <f t="shared" si="5"/>
        <v>2670172.9648000891</v>
      </c>
      <c r="I44" s="92">
        <f t="shared" si="5"/>
        <v>2447481.519136298</v>
      </c>
      <c r="J44" s="92">
        <f t="shared" si="5"/>
        <v>2706935.7455404932</v>
      </c>
      <c r="K44" s="92">
        <f t="shared" si="5"/>
        <v>2816531.2402437651</v>
      </c>
      <c r="L44" s="92">
        <f t="shared" si="5"/>
        <v>5619840.1649953676</v>
      </c>
      <c r="M44" s="92">
        <f t="shared" si="5"/>
        <v>5230878.7340896279</v>
      </c>
      <c r="N44" s="92">
        <f t="shared" si="5"/>
        <v>7358156.0818953058</v>
      </c>
      <c r="O44" s="92">
        <f t="shared" si="5"/>
        <v>2427394.6212886609</v>
      </c>
      <c r="P44" s="92">
        <f>SUM(P30:P43)</f>
        <v>9116283.140757028</v>
      </c>
      <c r="Q44" s="92">
        <f t="shared" si="5"/>
        <v>5977645.047742988</v>
      </c>
      <c r="R44" s="92">
        <f t="shared" si="5"/>
        <v>8371947.5010818532</v>
      </c>
      <c r="S44" s="92">
        <f t="shared" si="5"/>
        <v>2906664.4625585028</v>
      </c>
      <c r="T44" s="92">
        <f t="shared" si="5"/>
        <v>3071406.2736766823</v>
      </c>
      <c r="U44" s="92">
        <f t="shared" si="5"/>
        <v>21760374.966163859</v>
      </c>
      <c r="V44" s="92">
        <f t="shared" si="5"/>
        <v>3681107.4375975039</v>
      </c>
      <c r="W44" s="92">
        <f t="shared" si="5"/>
        <v>4334181.2667706702</v>
      </c>
      <c r="X44" s="92">
        <f t="shared" si="5"/>
        <v>7825150.2410368025</v>
      </c>
      <c r="Y44" s="92">
        <f t="shared" si="5"/>
        <v>2320185.6643529525</v>
      </c>
      <c r="Z44" s="92">
        <f t="shared" si="5"/>
        <v>3792786.9169377941</v>
      </c>
      <c r="AA44" s="92">
        <f t="shared" si="5"/>
        <v>3805832.4487232119</v>
      </c>
      <c r="AB44" s="92">
        <f t="shared" si="5"/>
        <v>3803017.5406244989</v>
      </c>
      <c r="AC44" s="92">
        <f t="shared" si="5"/>
        <v>3254546.7344544386</v>
      </c>
      <c r="AD44" s="92">
        <f t="shared" si="5"/>
        <v>5370421.2973035825</v>
      </c>
      <c r="AE44" s="92">
        <f t="shared" si="5"/>
        <v>2302892.4403826441</v>
      </c>
      <c r="AF44" s="92">
        <f t="shared" si="5"/>
        <v>6519697.2311132187</v>
      </c>
      <c r="AG44" s="92">
        <f t="shared" si="5"/>
        <v>5432594.593502935</v>
      </c>
      <c r="AH44" s="92">
        <f t="shared" si="5"/>
        <v>9293215.9794047754</v>
      </c>
      <c r="AI44" s="92">
        <f t="shared" si="5"/>
        <v>18409660.678450793</v>
      </c>
      <c r="AJ44" s="92">
        <f t="shared" si="5"/>
        <v>3718652.3006594023</v>
      </c>
      <c r="AK44" s="92">
        <f t="shared" si="5"/>
        <v>2480441.9412580202</v>
      </c>
      <c r="AL44" s="92">
        <f t="shared" si="5"/>
        <v>2598610.3579442571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1870513806.7333882</v>
      </c>
      <c r="D45" s="95">
        <f t="shared" si="6"/>
        <v>41537885.093209162</v>
      </c>
      <c r="E45" s="95">
        <f t="shared" si="6"/>
        <v>98034052.643021286</v>
      </c>
      <c r="F45" s="95">
        <f t="shared" si="6"/>
        <v>46386716.712279156</v>
      </c>
      <c r="G45" s="95">
        <f t="shared" si="6"/>
        <v>29750549.750390016</v>
      </c>
      <c r="H45" s="95">
        <f t="shared" si="6"/>
        <v>43717319.96480009</v>
      </c>
      <c r="I45" s="95">
        <f t="shared" si="6"/>
        <v>29668144.519136298</v>
      </c>
      <c r="J45" s="95">
        <f t="shared" si="6"/>
        <v>26401031.745540492</v>
      </c>
      <c r="K45" s="95">
        <f t="shared" si="6"/>
        <v>33764975.240243763</v>
      </c>
      <c r="L45" s="95">
        <f t="shared" si="6"/>
        <v>42011340.164995365</v>
      </c>
      <c r="M45" s="95">
        <f t="shared" si="6"/>
        <v>60209913.734089628</v>
      </c>
      <c r="N45" s="95">
        <f t="shared" si="6"/>
        <v>79887555.081895307</v>
      </c>
      <c r="O45" s="95">
        <f t="shared" si="6"/>
        <v>35943713.621288657</v>
      </c>
      <c r="P45" s="95">
        <f t="shared" si="6"/>
        <v>57989818.140757024</v>
      </c>
      <c r="Q45" s="95">
        <f t="shared" si="6"/>
        <v>35913346.047742985</v>
      </c>
      <c r="R45" s="95">
        <f t="shared" si="6"/>
        <v>81901088.167748526</v>
      </c>
      <c r="S45" s="95">
        <f t="shared" si="6"/>
        <v>31732654.462558504</v>
      </c>
      <c r="T45" s="95">
        <f t="shared" si="6"/>
        <v>31990875.273676682</v>
      </c>
      <c r="U45" s="95">
        <f t="shared" si="6"/>
        <v>145008078.96616387</v>
      </c>
      <c r="V45" s="95">
        <f t="shared" si="6"/>
        <v>57563315.437597506</v>
      </c>
      <c r="W45" s="95">
        <f t="shared" si="6"/>
        <v>67216052.266770676</v>
      </c>
      <c r="X45" s="95">
        <f t="shared" si="6"/>
        <v>83424373.241036803</v>
      </c>
      <c r="Y45" s="95">
        <f t="shared" si="6"/>
        <v>21718059.664352953</v>
      </c>
      <c r="Z45" s="95">
        <f t="shared" si="6"/>
        <v>46240460.916937791</v>
      </c>
      <c r="AA45" s="95">
        <f t="shared" si="6"/>
        <v>27758174.448723212</v>
      </c>
      <c r="AB45" s="95">
        <f t="shared" si="6"/>
        <v>55592227.540624499</v>
      </c>
      <c r="AC45" s="95">
        <f t="shared" si="6"/>
        <v>21888712.734454438</v>
      </c>
      <c r="AD45" s="95">
        <f t="shared" si="6"/>
        <v>57160072.29730358</v>
      </c>
      <c r="AE45" s="95">
        <f t="shared" si="6"/>
        <v>29669330.107049312</v>
      </c>
      <c r="AF45" s="95">
        <f t="shared" si="6"/>
        <v>85567857.897779882</v>
      </c>
      <c r="AG45" s="95">
        <f t="shared" si="6"/>
        <v>34570585.593502939</v>
      </c>
      <c r="AH45" s="95">
        <f t="shared" si="6"/>
        <v>70189047.979404777</v>
      </c>
      <c r="AI45" s="95">
        <f t="shared" si="6"/>
        <v>161575688.67845079</v>
      </c>
      <c r="AJ45" s="95">
        <f t="shared" si="6"/>
        <v>34515462.300659403</v>
      </c>
      <c r="AK45" s="95">
        <f t="shared" si="6"/>
        <v>31000347.941258021</v>
      </c>
      <c r="AL45" s="95">
        <f t="shared" si="6"/>
        <v>33014978.357944258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445543725.99999952</v>
      </c>
      <c r="D46" s="97">
        <f t="shared" si="7"/>
        <v>-277600</v>
      </c>
      <c r="E46" s="97">
        <f t="shared" si="7"/>
        <v>25291534</v>
      </c>
      <c r="F46" s="97">
        <f t="shared" si="7"/>
        <v>5676373</v>
      </c>
      <c r="G46" s="97">
        <f t="shared" si="7"/>
        <v>849041</v>
      </c>
      <c r="H46" s="97">
        <f t="shared" si="7"/>
        <v>13505853</v>
      </c>
      <c r="I46" s="97">
        <f t="shared" si="7"/>
        <v>11169337</v>
      </c>
      <c r="J46" s="97">
        <f t="shared" si="7"/>
        <v>10625904</v>
      </c>
      <c r="K46" s="97">
        <f t="shared" si="7"/>
        <v>12287556</v>
      </c>
      <c r="L46" s="97">
        <f t="shared" si="7"/>
        <v>7354500</v>
      </c>
      <c r="M46" s="97">
        <f t="shared" si="7"/>
        <v>31956965</v>
      </c>
      <c r="N46" s="97">
        <f t="shared" si="7"/>
        <v>16312601</v>
      </c>
      <c r="O46" s="97">
        <f t="shared" si="7"/>
        <v>1463681</v>
      </c>
      <c r="P46" s="97">
        <f t="shared" si="7"/>
        <v>23483465</v>
      </c>
      <c r="Q46" s="97">
        <f t="shared" si="7"/>
        <v>22691366</v>
      </c>
      <c r="R46" s="97">
        <f t="shared" si="7"/>
        <v>23119859.333333328</v>
      </c>
      <c r="S46" s="97">
        <f t="shared" si="7"/>
        <v>10186010</v>
      </c>
      <c r="T46" s="97">
        <f t="shared" si="7"/>
        <v>16164531</v>
      </c>
      <c r="U46" s="97">
        <f t="shared" si="7"/>
        <v>39498296</v>
      </c>
      <c r="V46" s="97">
        <f t="shared" si="7"/>
        <v>-5548031</v>
      </c>
      <c r="W46" s="97">
        <f t="shared" si="7"/>
        <v>-16944871</v>
      </c>
      <c r="X46" s="97">
        <f t="shared" si="7"/>
        <v>17810777</v>
      </c>
      <c r="Y46" s="97">
        <f t="shared" si="7"/>
        <v>9027255</v>
      </c>
      <c r="Z46" s="97">
        <f t="shared" si="7"/>
        <v>13382326</v>
      </c>
      <c r="AA46" s="97">
        <f t="shared" si="7"/>
        <v>19162658</v>
      </c>
      <c r="AB46" s="97">
        <f t="shared" si="7"/>
        <v>17868790</v>
      </c>
      <c r="AC46" s="97">
        <f t="shared" si="7"/>
        <v>10885834</v>
      </c>
      <c r="AD46" s="97">
        <f t="shared" si="7"/>
        <v>19199349</v>
      </c>
      <c r="AE46" s="97">
        <f t="shared" si="7"/>
        <v>3083562.3333333321</v>
      </c>
      <c r="AF46" s="97">
        <f t="shared" si="7"/>
        <v>100739.33333334327</v>
      </c>
      <c r="AG46" s="97">
        <f t="shared" si="7"/>
        <v>10469009</v>
      </c>
      <c r="AH46" s="97">
        <f t="shared" si="7"/>
        <v>5509168</v>
      </c>
      <c r="AI46" s="97">
        <f t="shared" si="7"/>
        <v>40637972</v>
      </c>
      <c r="AJ46" s="97">
        <f t="shared" si="7"/>
        <v>11106190</v>
      </c>
      <c r="AK46" s="97">
        <f t="shared" si="7"/>
        <v>6430094</v>
      </c>
      <c r="AL46" s="97">
        <f t="shared" si="7"/>
        <v>12003632</v>
      </c>
    </row>
    <row r="47" spans="1:38" s="100" customFormat="1" ht="13" x14ac:dyDescent="0.3">
      <c r="A47" s="98" t="s">
        <v>48</v>
      </c>
      <c r="B47" s="98"/>
      <c r="C47" s="62">
        <f>C4-C45</f>
        <v>254348466.26661181</v>
      </c>
      <c r="D47" s="99">
        <f t="shared" ref="D47:AL47" si="8">D4-D45</f>
        <v>-4541885.0932091624</v>
      </c>
      <c r="E47" s="99">
        <f t="shared" si="8"/>
        <v>18747947.356978714</v>
      </c>
      <c r="F47" s="99">
        <f t="shared" si="8"/>
        <v>575283.28772084415</v>
      </c>
      <c r="G47" s="99">
        <f t="shared" si="8"/>
        <v>-3012549.7503900155</v>
      </c>
      <c r="H47" s="99">
        <f t="shared" si="8"/>
        <v>10835680.03519991</v>
      </c>
      <c r="I47" s="99">
        <f t="shared" si="8"/>
        <v>8721855.4808637016</v>
      </c>
      <c r="J47" s="99">
        <f t="shared" si="8"/>
        <v>7918968.2544595078</v>
      </c>
      <c r="K47" s="99">
        <f t="shared" si="8"/>
        <v>9471024.7597562373</v>
      </c>
      <c r="L47" s="99">
        <f t="shared" si="8"/>
        <v>1734659.8350046352</v>
      </c>
      <c r="M47" s="99">
        <f t="shared" si="8"/>
        <v>26726086.265910372</v>
      </c>
      <c r="N47" s="99">
        <f t="shared" si="8"/>
        <v>8954444.9181046933</v>
      </c>
      <c r="O47" s="99">
        <f t="shared" si="8"/>
        <v>-963713.62128865719</v>
      </c>
      <c r="P47" s="99">
        <f t="shared" si="8"/>
        <v>14367181.859242976</v>
      </c>
      <c r="Q47" s="99">
        <f t="shared" si="8"/>
        <v>16713720.952257015</v>
      </c>
      <c r="R47" s="99">
        <f t="shared" si="8"/>
        <v>14747911.832251474</v>
      </c>
      <c r="S47" s="99">
        <f t="shared" si="8"/>
        <v>7279345.5374414958</v>
      </c>
      <c r="T47" s="99">
        <f t="shared" si="8"/>
        <v>13093124.726323318</v>
      </c>
      <c r="U47" s="99">
        <f t="shared" si="8"/>
        <v>17737921.033836126</v>
      </c>
      <c r="V47" s="99">
        <f t="shared" si="8"/>
        <v>-9229138.4375975057</v>
      </c>
      <c r="W47" s="99">
        <f t="shared" si="8"/>
        <v>-21279052.266770676</v>
      </c>
      <c r="X47" s="99">
        <f t="shared" si="8"/>
        <v>9985626.7589631975</v>
      </c>
      <c r="Y47" s="99">
        <f t="shared" si="8"/>
        <v>6707069.3356470466</v>
      </c>
      <c r="Z47" s="99">
        <f t="shared" si="8"/>
        <v>9589539.0830622092</v>
      </c>
      <c r="AA47" s="99">
        <f t="shared" si="8"/>
        <v>15356825.551276788</v>
      </c>
      <c r="AB47" s="99">
        <f t="shared" si="8"/>
        <v>14065772.459375501</v>
      </c>
      <c r="AC47" s="99">
        <f t="shared" si="8"/>
        <v>7631287.2655455619</v>
      </c>
      <c r="AD47" s="99">
        <f t="shared" si="8"/>
        <v>13828927.70269642</v>
      </c>
      <c r="AE47" s="99">
        <f t="shared" si="8"/>
        <v>780669.89295068756</v>
      </c>
      <c r="AF47" s="99">
        <f t="shared" si="8"/>
        <v>-6418957.897779882</v>
      </c>
      <c r="AG47" s="99">
        <f t="shared" si="8"/>
        <v>5036414.4064970613</v>
      </c>
      <c r="AH47" s="99">
        <f t="shared" si="8"/>
        <v>-3784047.9794047773</v>
      </c>
      <c r="AI47" s="99">
        <f t="shared" si="8"/>
        <v>22228311.321549207</v>
      </c>
      <c r="AJ47" s="99">
        <f t="shared" si="8"/>
        <v>7387537.6993405968</v>
      </c>
      <c r="AK47" s="99">
        <f t="shared" si="8"/>
        <v>3949652.0587419793</v>
      </c>
      <c r="AL47" s="99">
        <f t="shared" si="8"/>
        <v>9405021.6420557424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1679318547.0000005</v>
      </c>
      <c r="D48" s="61">
        <f t="shared" si="9"/>
        <v>37273600</v>
      </c>
      <c r="E48" s="61">
        <f t="shared" si="9"/>
        <v>91490466</v>
      </c>
      <c r="F48" s="61">
        <f t="shared" si="9"/>
        <v>41285627</v>
      </c>
      <c r="G48" s="61">
        <f t="shared" si="9"/>
        <v>25888959</v>
      </c>
      <c r="H48" s="61">
        <f t="shared" si="9"/>
        <v>41047147</v>
      </c>
      <c r="I48" s="61">
        <f t="shared" si="9"/>
        <v>27220663</v>
      </c>
      <c r="J48" s="61">
        <f t="shared" si="9"/>
        <v>23694096</v>
      </c>
      <c r="K48" s="61">
        <f t="shared" si="9"/>
        <v>30948444</v>
      </c>
      <c r="L48" s="61">
        <f t="shared" si="9"/>
        <v>36391500</v>
      </c>
      <c r="M48" s="61">
        <f t="shared" si="9"/>
        <v>54979035</v>
      </c>
      <c r="N48" s="61">
        <f t="shared" si="9"/>
        <v>72529399</v>
      </c>
      <c r="O48" s="61">
        <f t="shared" si="9"/>
        <v>33516319</v>
      </c>
      <c r="P48" s="61">
        <f t="shared" si="9"/>
        <v>48873535</v>
      </c>
      <c r="Q48" s="61">
        <f t="shared" si="9"/>
        <v>29935701</v>
      </c>
      <c r="R48" s="61">
        <f t="shared" si="9"/>
        <v>73529140.666666672</v>
      </c>
      <c r="S48" s="61">
        <f t="shared" si="9"/>
        <v>28825990</v>
      </c>
      <c r="T48" s="61">
        <f t="shared" si="9"/>
        <v>28919469</v>
      </c>
      <c r="U48" s="61">
        <f t="shared" si="9"/>
        <v>123247704</v>
      </c>
      <c r="V48" s="61">
        <f t="shared" si="9"/>
        <v>53882208</v>
      </c>
      <c r="W48" s="61">
        <f t="shared" si="9"/>
        <v>62881871</v>
      </c>
      <c r="X48" s="61">
        <f t="shared" si="9"/>
        <v>75599223</v>
      </c>
      <c r="Y48" s="61">
        <f t="shared" si="9"/>
        <v>19397874</v>
      </c>
      <c r="Z48" s="61">
        <f t="shared" si="9"/>
        <v>42447674</v>
      </c>
      <c r="AA48" s="61">
        <f t="shared" si="9"/>
        <v>23952342</v>
      </c>
      <c r="AB48" s="61">
        <f t="shared" si="9"/>
        <v>51789210</v>
      </c>
      <c r="AC48" s="61">
        <f t="shared" si="9"/>
        <v>18634166</v>
      </c>
      <c r="AD48" s="61">
        <f t="shared" si="9"/>
        <v>51789651</v>
      </c>
      <c r="AE48" s="61">
        <f t="shared" si="9"/>
        <v>27366437.666666668</v>
      </c>
      <c r="AF48" s="61">
        <f t="shared" si="9"/>
        <v>79048160.666666657</v>
      </c>
      <c r="AG48" s="61">
        <f t="shared" si="9"/>
        <v>29137991</v>
      </c>
      <c r="AH48" s="61">
        <f t="shared" si="9"/>
        <v>60895832</v>
      </c>
      <c r="AI48" s="61">
        <f t="shared" si="9"/>
        <v>143166028</v>
      </c>
      <c r="AJ48" s="61">
        <f t="shared" si="9"/>
        <v>30796810</v>
      </c>
      <c r="AK48" s="61">
        <f t="shared" si="9"/>
        <v>28519906</v>
      </c>
      <c r="AL48" s="61">
        <f t="shared" si="9"/>
        <v>30416368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0.11970115404586122</v>
      </c>
      <c r="D49" s="101">
        <f t="shared" si="10"/>
        <v>-0.12276692326762792</v>
      </c>
      <c r="E49" s="101">
        <f t="shared" si="10"/>
        <v>0.16053798836275038</v>
      </c>
      <c r="F49" s="101">
        <f t="shared" si="10"/>
        <v>1.2249974185955541E-2</v>
      </c>
      <c r="G49" s="101">
        <f t="shared" si="10"/>
        <v>-0.11266922546151603</v>
      </c>
      <c r="H49" s="101">
        <f t="shared" si="10"/>
        <v>0.19862665729107309</v>
      </c>
      <c r="I49" s="101">
        <f t="shared" si="10"/>
        <v>0.22719081742286276</v>
      </c>
      <c r="J49" s="101">
        <f t="shared" si="10"/>
        <v>0.23073916825348217</v>
      </c>
      <c r="K49" s="101">
        <f t="shared" si="10"/>
        <v>0.21905413913766855</v>
      </c>
      <c r="L49" s="101">
        <f t="shared" si="10"/>
        <v>3.9652993073758407E-2</v>
      </c>
      <c r="M49" s="101">
        <f t="shared" si="10"/>
        <v>0.30742254377830097</v>
      </c>
      <c r="N49" s="101">
        <f t="shared" si="10"/>
        <v>0.10079067240837322</v>
      </c>
      <c r="O49" s="101">
        <f t="shared" si="10"/>
        <v>-2.7550417989955896E-2</v>
      </c>
      <c r="P49" s="101">
        <f t="shared" si="10"/>
        <v>0.19855966747160572</v>
      </c>
      <c r="Q49" s="101">
        <f t="shared" si="10"/>
        <v>0.31758792395283997</v>
      </c>
      <c r="R49" s="101">
        <f t="shared" si="10"/>
        <v>0.15259249275472558</v>
      </c>
      <c r="S49" s="101">
        <f t="shared" si="10"/>
        <v>0.18659247250695929</v>
      </c>
      <c r="T49" s="101">
        <f t="shared" si="10"/>
        <v>0.29041621697993342</v>
      </c>
      <c r="U49" s="101">
        <f t="shared" si="10"/>
        <v>0.10899144085775457</v>
      </c>
      <c r="V49" s="101">
        <f t="shared" si="10"/>
        <v>-0.19094435884565711</v>
      </c>
      <c r="W49" s="101">
        <f t="shared" si="10"/>
        <v>-0.46322250618827254</v>
      </c>
      <c r="X49" s="101">
        <f t="shared" si="10"/>
        <v>0.10690104655779036</v>
      </c>
      <c r="Y49" s="101">
        <f t="shared" si="10"/>
        <v>0.23595563403237491</v>
      </c>
      <c r="Z49" s="101">
        <f t="shared" si="10"/>
        <v>0.17176319332011838</v>
      </c>
      <c r="AA49" s="101">
        <f t="shared" si="10"/>
        <v>0.35618289577355416</v>
      </c>
      <c r="AB49" s="101">
        <f t="shared" si="10"/>
        <v>0.20192616008750611</v>
      </c>
      <c r="AC49" s="101">
        <f t="shared" si="10"/>
        <v>0.25851244124476835</v>
      </c>
      <c r="AD49" s="101">
        <f t="shared" si="10"/>
        <v>0.1948038104874899</v>
      </c>
      <c r="AE49" s="101">
        <f t="shared" si="10"/>
        <v>2.5637763315293514E-2</v>
      </c>
      <c r="AF49" s="101">
        <f t="shared" si="10"/>
        <v>-8.1099773942276923E-2</v>
      </c>
      <c r="AG49" s="101">
        <f t="shared" si="10"/>
        <v>0.12715970425674908</v>
      </c>
      <c r="AH49" s="101">
        <f t="shared" si="10"/>
        <v>-5.6984383395900569E-2</v>
      </c>
      <c r="AI49" s="101">
        <f t="shared" si="10"/>
        <v>0.12093486170893564</v>
      </c>
      <c r="AJ49" s="101">
        <f t="shared" si="10"/>
        <v>0.17630092593228638</v>
      </c>
      <c r="AK49" s="101">
        <f t="shared" si="10"/>
        <v>0.11300864259633703</v>
      </c>
      <c r="AL49" s="101">
        <f t="shared" si="10"/>
        <v>0.2217119670451613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0.20968122577232068</v>
      </c>
      <c r="D50" s="101">
        <f t="shared" si="11"/>
        <v>-7.5035138933938804E-3</v>
      </c>
      <c r="E50" s="101">
        <f t="shared" si="11"/>
        <v>0.21657048175232485</v>
      </c>
      <c r="F50" s="101">
        <f t="shared" si="11"/>
        <v>0.12087161960734211</v>
      </c>
      <c r="G50" s="101">
        <f t="shared" si="11"/>
        <v>3.1754095295085646E-2</v>
      </c>
      <c r="H50" s="101">
        <f t="shared" si="11"/>
        <v>0.2475730573937272</v>
      </c>
      <c r="I50" s="101">
        <f t="shared" si="11"/>
        <v>0.29094391768689765</v>
      </c>
      <c r="J50" s="101">
        <f t="shared" si="11"/>
        <v>0.3096125874125874</v>
      </c>
      <c r="K50" s="101">
        <f t="shared" si="11"/>
        <v>0.28419733555370524</v>
      </c>
      <c r="L50" s="101">
        <f t="shared" si="11"/>
        <v>0.16811822795226991</v>
      </c>
      <c r="M50" s="101">
        <f t="shared" si="11"/>
        <v>0.36759184917640564</v>
      </c>
      <c r="N50" s="101">
        <f t="shared" si="11"/>
        <v>0.18361361743319601</v>
      </c>
      <c r="O50" s="101">
        <f t="shared" si="11"/>
        <v>4.184336763865066E-2</v>
      </c>
      <c r="P50" s="101">
        <f t="shared" si="11"/>
        <v>0.32455000898323588</v>
      </c>
      <c r="Q50" s="101">
        <f t="shared" si="11"/>
        <v>0.43117291716066941</v>
      </c>
      <c r="R50" s="101">
        <f t="shared" si="11"/>
        <v>0.23921467716513703</v>
      </c>
      <c r="S50" s="101">
        <f t="shared" si="11"/>
        <v>0.26109940531118631</v>
      </c>
      <c r="T50" s="101">
        <f t="shared" si="11"/>
        <v>0.35854252062816078</v>
      </c>
      <c r="U50" s="101">
        <f t="shared" si="11"/>
        <v>0.24269902793309819</v>
      </c>
      <c r="V50" s="101">
        <f t="shared" si="11"/>
        <v>-0.11478484468660757</v>
      </c>
      <c r="W50" s="101">
        <f t="shared" si="11"/>
        <v>-0.36887195506889869</v>
      </c>
      <c r="X50" s="101">
        <f t="shared" si="11"/>
        <v>0.19067312921528745</v>
      </c>
      <c r="Y50" s="101">
        <f t="shared" si="11"/>
        <v>0.31758008908244534</v>
      </c>
      <c r="Z50" s="101">
        <f t="shared" si="11"/>
        <v>0.23969776106036181</v>
      </c>
      <c r="AA50" s="101">
        <f t="shared" si="11"/>
        <v>0.44445455178012294</v>
      </c>
      <c r="AB50" s="101">
        <f t="shared" si="11"/>
        <v>0.25652172040540927</v>
      </c>
      <c r="AC50" s="101">
        <f t="shared" si="11"/>
        <v>0.36876131436314363</v>
      </c>
      <c r="AD50" s="101">
        <f t="shared" si="11"/>
        <v>0.2704552677175337</v>
      </c>
      <c r="AE50" s="101">
        <f t="shared" si="11"/>
        <v>0.10126641488779416</v>
      </c>
      <c r="AF50" s="101">
        <f t="shared" si="11"/>
        <v>1.2727824812896107E-3</v>
      </c>
      <c r="AG50" s="101">
        <f t="shared" si="11"/>
        <v>0.26432219052187744</v>
      </c>
      <c r="AH50" s="101">
        <f t="shared" si="11"/>
        <v>8.2963150365183341E-2</v>
      </c>
      <c r="AI50" s="101">
        <f t="shared" si="11"/>
        <v>0.22109405671258514</v>
      </c>
      <c r="AJ50" s="101">
        <f t="shared" si="11"/>
        <v>0.26504522349235138</v>
      </c>
      <c r="AK50" s="101">
        <f t="shared" si="11"/>
        <v>0.18397979971387696</v>
      </c>
      <c r="AL50" s="101">
        <f t="shared" si="11"/>
        <v>0.28297105139085338</v>
      </c>
    </row>
    <row r="51" spans="1:38" s="104" customFormat="1" ht="13" x14ac:dyDescent="0.3">
      <c r="A51" s="101" t="s">
        <v>51</v>
      </c>
      <c r="B51" s="102"/>
      <c r="C51" s="103">
        <f>C47/C48</f>
        <v>0.15145933254949737</v>
      </c>
      <c r="D51" s="101">
        <f t="shared" ref="D51:AL51" si="12">D47/D48</f>
        <v>-0.12185260058618332</v>
      </c>
      <c r="E51" s="101">
        <f t="shared" si="12"/>
        <v>0.20491695120427864</v>
      </c>
      <c r="F51" s="101">
        <f t="shared" si="12"/>
        <v>1.3934226739994627E-2</v>
      </c>
      <c r="G51" s="101">
        <f t="shared" si="12"/>
        <v>-0.11636426750067531</v>
      </c>
      <c r="H51" s="101">
        <f t="shared" si="12"/>
        <v>0.26398131970536004</v>
      </c>
      <c r="I51" s="101">
        <f t="shared" si="12"/>
        <v>0.32041304360822148</v>
      </c>
      <c r="J51" s="101">
        <f t="shared" si="12"/>
        <v>0.33421693971610089</v>
      </c>
      <c r="K51" s="101">
        <f t="shared" si="12"/>
        <v>0.30602587838523437</v>
      </c>
      <c r="L51" s="101">
        <f t="shared" si="12"/>
        <v>4.7666620914351844E-2</v>
      </c>
      <c r="M51" s="101">
        <f t="shared" si="12"/>
        <v>0.48611413906974488</v>
      </c>
      <c r="N51" s="101">
        <f t="shared" si="12"/>
        <v>0.12345952181548744</v>
      </c>
      <c r="O51" s="101">
        <f t="shared" si="12"/>
        <v>-2.8753563936679837E-2</v>
      </c>
      <c r="P51" s="101">
        <f t="shared" si="12"/>
        <v>0.29396649657617308</v>
      </c>
      <c r="Q51" s="101">
        <f t="shared" si="12"/>
        <v>0.55832068045632255</v>
      </c>
      <c r="R51" s="101">
        <f t="shared" si="12"/>
        <v>0.20057234041546765</v>
      </c>
      <c r="S51" s="101">
        <f t="shared" si="12"/>
        <v>0.25252716515344298</v>
      </c>
      <c r="T51" s="101">
        <f t="shared" si="12"/>
        <v>0.45274429922358939</v>
      </c>
      <c r="U51" s="101">
        <f t="shared" si="12"/>
        <v>0.14392090447247705</v>
      </c>
      <c r="V51" s="101">
        <f t="shared" si="12"/>
        <v>-0.17128359768770993</v>
      </c>
      <c r="W51" s="101">
        <f t="shared" si="12"/>
        <v>-0.33839725072383225</v>
      </c>
      <c r="X51" s="101">
        <f t="shared" si="12"/>
        <v>0.13208636759352935</v>
      </c>
      <c r="Y51" s="101">
        <f t="shared" si="12"/>
        <v>0.34576311484686656</v>
      </c>
      <c r="Z51" s="101">
        <f t="shared" si="12"/>
        <v>0.22591435947850075</v>
      </c>
      <c r="AA51" s="101">
        <f t="shared" si="12"/>
        <v>0.64114087679930376</v>
      </c>
      <c r="AB51" s="101">
        <f t="shared" si="12"/>
        <v>0.2715965827510306</v>
      </c>
      <c r="AC51" s="101">
        <f t="shared" si="12"/>
        <v>0.40953199974420973</v>
      </c>
      <c r="AD51" s="101">
        <f t="shared" si="12"/>
        <v>0.26702106377771151</v>
      </c>
      <c r="AE51" s="101">
        <f t="shared" si="12"/>
        <v>2.8526544172812536E-2</v>
      </c>
      <c r="AF51" s="101">
        <f t="shared" si="12"/>
        <v>-8.1203127860844132E-2</v>
      </c>
      <c r="AG51" s="101">
        <f t="shared" si="12"/>
        <v>0.1728470026123991</v>
      </c>
      <c r="AH51" s="101">
        <f t="shared" si="12"/>
        <v>-6.2139687645695968E-2</v>
      </c>
      <c r="AI51" s="101">
        <f t="shared" si="12"/>
        <v>0.15526247135632767</v>
      </c>
      <c r="AJ51" s="101">
        <f t="shared" si="12"/>
        <v>0.23987996481910293</v>
      </c>
      <c r="AK51" s="101">
        <f t="shared" si="12"/>
        <v>0.1384875552795293</v>
      </c>
      <c r="AL51" s="101">
        <f t="shared" si="12"/>
        <v>0.3092092271521617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0.57087206355726372</v>
      </c>
      <c r="D52" s="101">
        <f t="shared" si="13"/>
        <v>16.361257540378826</v>
      </c>
      <c r="E52" s="101">
        <f t="shared" si="13"/>
        <v>0.74127363555641645</v>
      </c>
      <c r="F52" s="101">
        <f t="shared" si="13"/>
        <v>0.10134698472437315</v>
      </c>
      <c r="G52" s="101">
        <f t="shared" si="13"/>
        <v>-3.5481793581111107</v>
      </c>
      <c r="H52" s="101">
        <f t="shared" si="13"/>
        <v>0.80229512606126474</v>
      </c>
      <c r="I52" s="101">
        <f t="shared" si="13"/>
        <v>0.78087495084656333</v>
      </c>
      <c r="J52" s="101">
        <f t="shared" si="13"/>
        <v>0.74525125151323668</v>
      </c>
      <c r="K52" s="101">
        <f t="shared" si="13"/>
        <v>0.77078181859405059</v>
      </c>
      <c r="L52" s="101">
        <f t="shared" si="13"/>
        <v>0.23586373444892722</v>
      </c>
      <c r="M52" s="101">
        <f t="shared" si="13"/>
        <v>0.83631490868767955</v>
      </c>
      <c r="N52" s="101">
        <f t="shared" si="13"/>
        <v>0.54892809050529057</v>
      </c>
      <c r="O52" s="101">
        <f t="shared" si="13"/>
        <v>-0.6584177982010132</v>
      </c>
      <c r="P52" s="101">
        <f t="shared" si="13"/>
        <v>0.61179991365171094</v>
      </c>
      <c r="Q52" s="101">
        <f t="shared" si="13"/>
        <v>0.73656742182277679</v>
      </c>
      <c r="R52" s="101">
        <f t="shared" si="13"/>
        <v>0.63788934091776672</v>
      </c>
      <c r="S52" s="101">
        <f t="shared" si="13"/>
        <v>0.71464150707111973</v>
      </c>
      <c r="T52" s="101">
        <f t="shared" si="13"/>
        <v>0.80999100600712248</v>
      </c>
      <c r="U52" s="101">
        <f t="shared" si="13"/>
        <v>0.44908066499466526</v>
      </c>
      <c r="V52" s="101">
        <f t="shared" si="13"/>
        <v>1.6634979937202055</v>
      </c>
      <c r="W52" s="101">
        <f t="shared" si="13"/>
        <v>1.2557813079114426</v>
      </c>
      <c r="X52" s="101">
        <f t="shared" si="13"/>
        <v>0.56065082163249802</v>
      </c>
      <c r="Y52" s="101">
        <f t="shared" si="13"/>
        <v>0.74297993527900197</v>
      </c>
      <c r="Z52" s="101">
        <f t="shared" si="13"/>
        <v>0.71658238508479088</v>
      </c>
      <c r="AA52" s="101">
        <f t="shared" si="13"/>
        <v>0.80139329060075004</v>
      </c>
      <c r="AB52" s="101">
        <f t="shared" si="13"/>
        <v>0.78716983407245267</v>
      </c>
      <c r="AC52" s="101">
        <f t="shared" si="13"/>
        <v>0.70102917843001844</v>
      </c>
      <c r="AD52" s="101">
        <f t="shared" si="13"/>
        <v>0.72028107321224377</v>
      </c>
      <c r="AE52" s="101">
        <f t="shared" si="13"/>
        <v>0.25317143244086238</v>
      </c>
      <c r="AF52" s="101">
        <f t="shared" si="13"/>
        <v>-63.718486964170722</v>
      </c>
      <c r="AG52" s="101">
        <f t="shared" si="13"/>
        <v>0.48107842934293604</v>
      </c>
      <c r="AH52" s="101">
        <f t="shared" si="13"/>
        <v>-0.68686378404230497</v>
      </c>
      <c r="AI52" s="101">
        <f t="shared" si="13"/>
        <v>0.54698377472057924</v>
      </c>
      <c r="AJ52" s="101">
        <f t="shared" si="13"/>
        <v>0.6651729980614951</v>
      </c>
      <c r="AK52" s="101">
        <f t="shared" si="13"/>
        <v>0.61424483977092392</v>
      </c>
      <c r="AL52" s="101">
        <f t="shared" si="13"/>
        <v>0.7835146597342989</v>
      </c>
    </row>
    <row r="53" spans="1:38" s="108" customFormat="1" ht="13" x14ac:dyDescent="0.3">
      <c r="A53" s="106" t="s">
        <v>53</v>
      </c>
      <c r="B53" s="107"/>
      <c r="C53" s="87">
        <f>C45/C46</f>
        <v>4.1982721281398767</v>
      </c>
      <c r="D53" s="106">
        <f t="shared" ref="D53:AL53" si="14">D45/D46</f>
        <v>-149.63215091213675</v>
      </c>
      <c r="E53" s="106">
        <f t="shared" si="14"/>
        <v>3.8761607992232219</v>
      </c>
      <c r="F53" s="106">
        <f t="shared" si="14"/>
        <v>8.1718936920246712</v>
      </c>
      <c r="G53" s="106">
        <f t="shared" si="14"/>
        <v>35.040180333329033</v>
      </c>
      <c r="H53" s="106">
        <f t="shared" si="14"/>
        <v>3.2369166142116379</v>
      </c>
      <c r="I53" s="106">
        <f t="shared" si="14"/>
        <v>2.6562135710594368</v>
      </c>
      <c r="J53" s="106">
        <f t="shared" si="14"/>
        <v>2.4845915929167526</v>
      </c>
      <c r="K53" s="106">
        <f t="shared" si="14"/>
        <v>2.7479000087766652</v>
      </c>
      <c r="L53" s="106">
        <f t="shared" si="14"/>
        <v>5.7123312482147481</v>
      </c>
      <c r="M53" s="106">
        <f t="shared" si="14"/>
        <v>1.8840936157138084</v>
      </c>
      <c r="N53" s="106">
        <f t="shared" si="14"/>
        <v>4.8972910624060075</v>
      </c>
      <c r="O53" s="106">
        <f t="shared" si="14"/>
        <v>24.557067845581557</v>
      </c>
      <c r="P53" s="106">
        <f t="shared" si="14"/>
        <v>2.4693893401487825</v>
      </c>
      <c r="Q53" s="106">
        <f t="shared" si="14"/>
        <v>1.582687708079936</v>
      </c>
      <c r="R53" s="106">
        <f t="shared" si="14"/>
        <v>3.5424561623377468</v>
      </c>
      <c r="S53" s="106">
        <f t="shared" si="14"/>
        <v>3.1153174267999448</v>
      </c>
      <c r="T53" s="106">
        <f t="shared" si="14"/>
        <v>1.9790784696244315</v>
      </c>
      <c r="U53" s="106">
        <f t="shared" si="14"/>
        <v>3.6712489816311029</v>
      </c>
      <c r="V53" s="106">
        <f t="shared" si="14"/>
        <v>-10.375449495072667</v>
      </c>
      <c r="W53" s="106">
        <f t="shared" si="14"/>
        <v>-3.9667491282034946</v>
      </c>
      <c r="X53" s="106">
        <f t="shared" si="14"/>
        <v>4.6839266608658789</v>
      </c>
      <c r="Y53" s="106">
        <f t="shared" si="14"/>
        <v>2.4058320790044099</v>
      </c>
      <c r="Z53" s="106">
        <f t="shared" si="14"/>
        <v>3.4553381016826066</v>
      </c>
      <c r="AA53" s="106">
        <f t="shared" si="14"/>
        <v>1.4485555421759972</v>
      </c>
      <c r="AB53" s="106">
        <f t="shared" si="14"/>
        <v>3.1111355352334713</v>
      </c>
      <c r="AC53" s="106">
        <f t="shared" si="14"/>
        <v>2.010752022716352</v>
      </c>
      <c r="AD53" s="106">
        <f t="shared" si="14"/>
        <v>2.9771880441000151</v>
      </c>
      <c r="AE53" s="106">
        <f t="shared" si="14"/>
        <v>9.6217708286041859</v>
      </c>
      <c r="AF53" s="106">
        <f t="shared" si="14"/>
        <v>849.39869131988939</v>
      </c>
      <c r="AG53" s="106">
        <f t="shared" si="14"/>
        <v>3.3021831955157301</v>
      </c>
      <c r="AH53" s="106">
        <f t="shared" si="14"/>
        <v>12.740407985271965</v>
      </c>
      <c r="AI53" s="106">
        <f t="shared" si="14"/>
        <v>3.975978148674614</v>
      </c>
      <c r="AJ53" s="106">
        <f t="shared" si="14"/>
        <v>3.1077680375231651</v>
      </c>
      <c r="AK53" s="106">
        <f t="shared" si="14"/>
        <v>4.8211344874986306</v>
      </c>
      <c r="AL53" s="106">
        <f t="shared" si="14"/>
        <v>2.7504157373321889</v>
      </c>
    </row>
    <row r="54" spans="1:38" s="110" customFormat="1" x14ac:dyDescent="0.3">
      <c r="A54" s="109" t="s">
        <v>54</v>
      </c>
      <c r="C54" s="111">
        <f t="shared" ref="C54:AL54" si="15">C48/C4</f>
        <v>0.79031877422767927</v>
      </c>
      <c r="D54" s="112">
        <f t="shared" si="15"/>
        <v>1.0075035138933939</v>
      </c>
      <c r="E54" s="112">
        <f t="shared" si="15"/>
        <v>0.78342951824767515</v>
      </c>
      <c r="F54" s="112">
        <f t="shared" si="15"/>
        <v>0.87912838039265795</v>
      </c>
      <c r="G54" s="112">
        <f t="shared" si="15"/>
        <v>0.96824590470491434</v>
      </c>
      <c r="H54" s="112">
        <f t="shared" si="15"/>
        <v>0.75242694260627285</v>
      </c>
      <c r="I54" s="112">
        <f t="shared" si="15"/>
        <v>0.70905608231310235</v>
      </c>
      <c r="J54" s="112">
        <f t="shared" si="15"/>
        <v>0.69038741258741254</v>
      </c>
      <c r="K54" s="112">
        <f t="shared" si="15"/>
        <v>0.7158026644462947</v>
      </c>
      <c r="L54" s="112">
        <f t="shared" si="15"/>
        <v>0.83188177204773006</v>
      </c>
      <c r="M54" s="112">
        <f t="shared" si="15"/>
        <v>0.63240815082359436</v>
      </c>
      <c r="N54" s="112">
        <f t="shared" si="15"/>
        <v>0.81638638256680396</v>
      </c>
      <c r="O54" s="112">
        <f t="shared" si="15"/>
        <v>0.95815663236134929</v>
      </c>
      <c r="P54" s="112">
        <f t="shared" si="15"/>
        <v>0.67544999101676406</v>
      </c>
      <c r="Q54" s="112">
        <f t="shared" si="15"/>
        <v>0.56882708283933059</v>
      </c>
      <c r="R54" s="112">
        <f t="shared" si="15"/>
        <v>0.760785322834863</v>
      </c>
      <c r="S54" s="112">
        <f t="shared" si="15"/>
        <v>0.73890059468881375</v>
      </c>
      <c r="T54" s="112">
        <f t="shared" si="15"/>
        <v>0.64145747937183928</v>
      </c>
      <c r="U54" s="112">
        <f t="shared" si="15"/>
        <v>0.75730097206690183</v>
      </c>
      <c r="V54" s="112">
        <f t="shared" si="15"/>
        <v>1.1147848446866075</v>
      </c>
      <c r="W54" s="112">
        <f t="shared" si="15"/>
        <v>1.3688719550688988</v>
      </c>
      <c r="X54" s="112">
        <f t="shared" si="15"/>
        <v>0.80932687078471255</v>
      </c>
      <c r="Y54" s="112">
        <f t="shared" si="15"/>
        <v>0.68241991091755472</v>
      </c>
      <c r="Z54" s="112">
        <f t="shared" si="15"/>
        <v>0.76030223893963822</v>
      </c>
      <c r="AA54" s="112">
        <f t="shared" si="15"/>
        <v>0.55554544821987706</v>
      </c>
      <c r="AB54" s="112">
        <f t="shared" si="15"/>
        <v>0.74347827959459067</v>
      </c>
      <c r="AC54" s="112">
        <f t="shared" si="15"/>
        <v>0.63123868563685637</v>
      </c>
      <c r="AD54" s="112">
        <f t="shared" si="15"/>
        <v>0.7295447322824663</v>
      </c>
      <c r="AE54" s="112">
        <f t="shared" si="15"/>
        <v>0.8987335851122058</v>
      </c>
      <c r="AF54" s="112">
        <f t="shared" si="15"/>
        <v>0.99872721751871041</v>
      </c>
      <c r="AG54" s="112">
        <f t="shared" si="15"/>
        <v>0.73567780947812256</v>
      </c>
      <c r="AH54" s="112">
        <f t="shared" si="15"/>
        <v>0.91703684963481669</v>
      </c>
      <c r="AI54" s="112">
        <f t="shared" si="15"/>
        <v>0.7789059432874148</v>
      </c>
      <c r="AJ54" s="112">
        <f t="shared" si="15"/>
        <v>0.73495477650764862</v>
      </c>
      <c r="AK54" s="112">
        <f t="shared" si="15"/>
        <v>0.81602020028612299</v>
      </c>
      <c r="AL54" s="112">
        <f t="shared" si="15"/>
        <v>0.71702894860914668</v>
      </c>
    </row>
    <row r="55" spans="1:38" s="110" customFormat="1" x14ac:dyDescent="0.3">
      <c r="A55" s="109" t="s">
        <v>55</v>
      </c>
      <c r="C55" s="111">
        <f t="shared" ref="C55:AL55" si="16">C44/C4</f>
        <v>8.9980071726459443E-2</v>
      </c>
      <c r="D55" s="112">
        <f t="shared" si="16"/>
        <v>0.11526340937423399</v>
      </c>
      <c r="E55" s="112">
        <f t="shared" si="16"/>
        <v>5.6032493389574514E-2</v>
      </c>
      <c r="F55" s="112">
        <f t="shared" si="16"/>
        <v>0.10862164542138657</v>
      </c>
      <c r="G55" s="112">
        <f t="shared" si="16"/>
        <v>0.14442332075660166</v>
      </c>
      <c r="H55" s="112">
        <f t="shared" si="16"/>
        <v>4.8946400102654102E-2</v>
      </c>
      <c r="I55" s="112">
        <f t="shared" si="16"/>
        <v>6.3753100264034857E-2</v>
      </c>
      <c r="J55" s="112">
        <f t="shared" si="16"/>
        <v>7.8873419159105285E-2</v>
      </c>
      <c r="K55" s="112">
        <f t="shared" si="16"/>
        <v>6.5143196416036747E-2</v>
      </c>
      <c r="L55" s="112">
        <f t="shared" si="16"/>
        <v>0.12846523487851158</v>
      </c>
      <c r="M55" s="112">
        <f t="shared" si="16"/>
        <v>6.0169305398104674E-2</v>
      </c>
      <c r="N55" s="112">
        <f t="shared" si="16"/>
        <v>8.2822945024822778E-2</v>
      </c>
      <c r="O55" s="112">
        <f t="shared" si="16"/>
        <v>6.9393785628606652E-2</v>
      </c>
      <c r="P55" s="112">
        <f t="shared" si="16"/>
        <v>0.12599034151163022</v>
      </c>
      <c r="Q55" s="112">
        <f t="shared" si="16"/>
        <v>0.1135849932078295</v>
      </c>
      <c r="R55" s="112">
        <f t="shared" si="16"/>
        <v>8.6622184410411418E-2</v>
      </c>
      <c r="S55" s="112">
        <f t="shared" si="16"/>
        <v>7.4506932804226975E-2</v>
      </c>
      <c r="T55" s="112">
        <f t="shared" si="16"/>
        <v>6.812630364822736E-2</v>
      </c>
      <c r="U55" s="112">
        <f t="shared" si="16"/>
        <v>0.13370758707534353</v>
      </c>
      <c r="V55" s="112">
        <f t="shared" si="16"/>
        <v>7.615951415904948E-2</v>
      </c>
      <c r="W55" s="112">
        <f t="shared" si="16"/>
        <v>9.435055111937371E-2</v>
      </c>
      <c r="X55" s="112">
        <f t="shared" si="16"/>
        <v>8.3772082657497082E-2</v>
      </c>
      <c r="Y55" s="112">
        <f t="shared" si="16"/>
        <v>8.1624455050070391E-2</v>
      </c>
      <c r="Z55" s="112">
        <f t="shared" si="16"/>
        <v>6.7934567740243493E-2</v>
      </c>
      <c r="AA55" s="112">
        <f t="shared" si="16"/>
        <v>8.8271656006568749E-2</v>
      </c>
      <c r="AB55" s="112">
        <f t="shared" si="16"/>
        <v>5.459556031790317E-2</v>
      </c>
      <c r="AC55" s="112">
        <f t="shared" si="16"/>
        <v>0.11024887311837529</v>
      </c>
      <c r="AD55" s="112">
        <f t="shared" si="16"/>
        <v>7.565145723004385E-2</v>
      </c>
      <c r="AE55" s="112">
        <f t="shared" si="16"/>
        <v>7.5628651572500621E-2</v>
      </c>
      <c r="AF55" s="112">
        <f t="shared" si="16"/>
        <v>8.2372556423566445E-2</v>
      </c>
      <c r="AG55" s="112">
        <f t="shared" si="16"/>
        <v>0.13716248626512825</v>
      </c>
      <c r="AH55" s="112">
        <f t="shared" si="16"/>
        <v>0.13994753376108388</v>
      </c>
      <c r="AI55" s="112">
        <f t="shared" si="16"/>
        <v>0.1001591950036495</v>
      </c>
      <c r="AJ55" s="112">
        <f t="shared" si="16"/>
        <v>8.8744297560064966E-2</v>
      </c>
      <c r="AK55" s="112">
        <f t="shared" si="16"/>
        <v>7.0971157117539915E-2</v>
      </c>
      <c r="AL55" s="112">
        <f t="shared" si="16"/>
        <v>6.1259084345692057E-2</v>
      </c>
    </row>
    <row r="56" spans="1:38" s="110" customFormat="1" x14ac:dyDescent="0.3">
      <c r="A56" s="113" t="s">
        <v>56</v>
      </c>
      <c r="C56" s="111">
        <f t="shared" ref="C56:AL56" si="17">C45/C4</f>
        <v>0.88029884595413876</v>
      </c>
      <c r="D56" s="112">
        <f t="shared" si="17"/>
        <v>1.1227669232676278</v>
      </c>
      <c r="E56" s="112">
        <f t="shared" si="17"/>
        <v>0.83946201163724965</v>
      </c>
      <c r="F56" s="112">
        <f t="shared" si="17"/>
        <v>0.98775002581404447</v>
      </c>
      <c r="G56" s="112">
        <f t="shared" si="17"/>
        <v>1.112669225461516</v>
      </c>
      <c r="H56" s="112">
        <f t="shared" si="17"/>
        <v>0.80137334270892691</v>
      </c>
      <c r="I56" s="112">
        <f t="shared" si="17"/>
        <v>0.77280918257713727</v>
      </c>
      <c r="J56" s="112">
        <f t="shared" si="17"/>
        <v>0.76926083174651783</v>
      </c>
      <c r="K56" s="112">
        <f t="shared" si="17"/>
        <v>0.78094586086233142</v>
      </c>
      <c r="L56" s="112">
        <f t="shared" si="17"/>
        <v>0.96034700692624164</v>
      </c>
      <c r="M56" s="112">
        <f t="shared" si="17"/>
        <v>0.69257745622169908</v>
      </c>
      <c r="N56" s="112">
        <f t="shared" si="17"/>
        <v>0.89920932759162675</v>
      </c>
      <c r="O56" s="112">
        <f t="shared" si="17"/>
        <v>1.0275504179899559</v>
      </c>
      <c r="P56" s="112">
        <f t="shared" si="17"/>
        <v>0.80144033252839431</v>
      </c>
      <c r="Q56" s="112">
        <f t="shared" si="17"/>
        <v>0.68241207604716003</v>
      </c>
      <c r="R56" s="112">
        <f t="shared" si="17"/>
        <v>0.84740750724527436</v>
      </c>
      <c r="S56" s="112">
        <f t="shared" si="17"/>
        <v>0.81340752749304068</v>
      </c>
      <c r="T56" s="112">
        <f t="shared" si="17"/>
        <v>0.70958378302006664</v>
      </c>
      <c r="U56" s="112">
        <f t="shared" si="17"/>
        <v>0.89100855914224542</v>
      </c>
      <c r="V56" s="112">
        <f t="shared" si="17"/>
        <v>1.1909443588456572</v>
      </c>
      <c r="W56" s="112">
        <f t="shared" si="17"/>
        <v>1.4632225061882724</v>
      </c>
      <c r="X56" s="112">
        <f t="shared" si="17"/>
        <v>0.89309895344220969</v>
      </c>
      <c r="Y56" s="112">
        <f t="shared" si="17"/>
        <v>0.76404436596762515</v>
      </c>
      <c r="Z56" s="112">
        <f t="shared" si="17"/>
        <v>0.82823680667988164</v>
      </c>
      <c r="AA56" s="112">
        <f t="shared" si="17"/>
        <v>0.64381710422644578</v>
      </c>
      <c r="AB56" s="112">
        <f t="shared" si="17"/>
        <v>0.79807383991249392</v>
      </c>
      <c r="AC56" s="112">
        <f t="shared" si="17"/>
        <v>0.74148755875523165</v>
      </c>
      <c r="AD56" s="112">
        <f t="shared" si="17"/>
        <v>0.80519618951251015</v>
      </c>
      <c r="AE56" s="112">
        <f t="shared" si="17"/>
        <v>0.97436223668470645</v>
      </c>
      <c r="AF56" s="112">
        <f t="shared" si="17"/>
        <v>1.081099773942277</v>
      </c>
      <c r="AG56" s="112">
        <f t="shared" si="17"/>
        <v>0.87284029574325095</v>
      </c>
      <c r="AH56" s="112">
        <f t="shared" si="17"/>
        <v>1.0569843833959005</v>
      </c>
      <c r="AI56" s="112">
        <f t="shared" si="17"/>
        <v>0.87906513829106436</v>
      </c>
      <c r="AJ56" s="112">
        <f t="shared" si="17"/>
        <v>0.82369907406771359</v>
      </c>
      <c r="AK56" s="112">
        <f t="shared" si="17"/>
        <v>0.88699135740366297</v>
      </c>
      <c r="AL56" s="112">
        <f t="shared" si="17"/>
        <v>0.77828803295483873</v>
      </c>
    </row>
    <row r="57" spans="1:38" s="110" customFormat="1" x14ac:dyDescent="0.3">
      <c r="A57" s="113" t="s">
        <v>104</v>
      </c>
      <c r="C57" s="111">
        <f t="shared" ref="C57:AL57" si="18">SUM(C30:C39)/C44</f>
        <v>0.60929938545555651</v>
      </c>
      <c r="D57" s="112">
        <f t="shared" si="18"/>
        <v>0.47567323350092305</v>
      </c>
      <c r="E57" s="112">
        <f t="shared" si="18"/>
        <v>0.77160333115332447</v>
      </c>
      <c r="F57" s="112">
        <f t="shared" si="18"/>
        <v>0.52350293960148808</v>
      </c>
      <c r="G57" s="112">
        <f t="shared" si="18"/>
        <v>0.32926523396474822</v>
      </c>
      <c r="H57" s="112">
        <f t="shared" si="18"/>
        <v>0.83690534708491393</v>
      </c>
      <c r="I57" s="112">
        <f t="shared" si="18"/>
        <v>0.84183616977068498</v>
      </c>
      <c r="J57" s="112">
        <f t="shared" si="18"/>
        <v>0.83912032872048736</v>
      </c>
      <c r="K57" s="112">
        <f t="shared" si="18"/>
        <v>0.77437106898117825</v>
      </c>
      <c r="L57" s="112">
        <f t="shared" si="18"/>
        <v>0.40064723679342523</v>
      </c>
      <c r="M57" s="112">
        <f t="shared" si="18"/>
        <v>0.82424181595372115</v>
      </c>
      <c r="N57" s="112">
        <f t="shared" si="18"/>
        <v>0.5529627445319516</v>
      </c>
      <c r="O57" s="112">
        <f t="shared" si="18"/>
        <v>0.79175576625074651</v>
      </c>
      <c r="P57" s="112">
        <f t="shared" si="18"/>
        <v>0.4642147655200623</v>
      </c>
      <c r="Q57" s="112">
        <f t="shared" si="18"/>
        <v>0.73022921710477751</v>
      </c>
      <c r="R57" s="112">
        <f t="shared" si="18"/>
        <v>0.4688235469082303</v>
      </c>
      <c r="S57" s="112">
        <f t="shared" si="18"/>
        <v>0.82265206749609765</v>
      </c>
      <c r="T57" s="112">
        <f t="shared" si="18"/>
        <v>0.84245691672260015</v>
      </c>
      <c r="U57" s="112">
        <f t="shared" si="18"/>
        <v>0.60599301190150956</v>
      </c>
      <c r="V57" s="112">
        <f t="shared" si="18"/>
        <v>0.55425962177301979</v>
      </c>
      <c r="W57" s="112">
        <f t="shared" si="18"/>
        <v>0.44967550820935159</v>
      </c>
      <c r="X57" s="112">
        <f t="shared" si="18"/>
        <v>0.72188271938253978</v>
      </c>
      <c r="Y57" s="112">
        <f t="shared" si="18"/>
        <v>0.70246894495658341</v>
      </c>
      <c r="Z57" s="112">
        <f t="shared" si="18"/>
        <v>0.81964648327498824</v>
      </c>
      <c r="AA57" s="112">
        <f t="shared" si="18"/>
        <v>0.43236405760944752</v>
      </c>
      <c r="AB57" s="112">
        <f t="shared" si="18"/>
        <v>0.83459385818266552</v>
      </c>
      <c r="AC57" s="112">
        <f t="shared" si="18"/>
        <v>0.58712663941784049</v>
      </c>
      <c r="AD57" s="112">
        <f t="shared" si="18"/>
        <v>0.79406050203362399</v>
      </c>
      <c r="AE57" s="112">
        <f t="shared" si="18"/>
        <v>0.81236507450158546</v>
      </c>
      <c r="AF57" s="112">
        <f t="shared" si="18"/>
        <v>0.60446665891188434</v>
      </c>
      <c r="AG57" s="112">
        <f t="shared" si="18"/>
        <v>0.3395231124409871</v>
      </c>
      <c r="AH57" s="112">
        <f t="shared" si="18"/>
        <v>0.35068695806207162</v>
      </c>
      <c r="AI57" s="112">
        <f t="shared" si="18"/>
        <v>0.58041627230621262</v>
      </c>
      <c r="AJ57" s="112">
        <f t="shared" si="18"/>
        <v>0.67669289877554772</v>
      </c>
      <c r="AK57" s="112">
        <f t="shared" si="18"/>
        <v>0.7560503064324231</v>
      </c>
      <c r="AL57" s="112">
        <f t="shared" si="18"/>
        <v>0.81717033874293088</v>
      </c>
    </row>
    <row r="58" spans="1:38" s="110" customFormat="1" x14ac:dyDescent="0.3">
      <c r="A58" s="113" t="s">
        <v>58</v>
      </c>
      <c r="C58" s="111">
        <f>C41/C44</f>
        <v>0.17022683212753209</v>
      </c>
      <c r="D58" s="112">
        <f t="shared" ref="D58:AL58" si="19">D41/D44</f>
        <v>2.961190468837073E-2</v>
      </c>
      <c r="E58" s="112">
        <f t="shared" si="19"/>
        <v>4.2454076547363225E-2</v>
      </c>
      <c r="F58" s="112">
        <f t="shared" si="19"/>
        <v>0.39237263269101019</v>
      </c>
      <c r="G58" s="112">
        <f t="shared" si="19"/>
        <v>0.36151396930371349</v>
      </c>
      <c r="H58" s="112">
        <f t="shared" si="19"/>
        <v>4.2561378932335671E-2</v>
      </c>
      <c r="I58" s="112">
        <f t="shared" si="19"/>
        <v>4.1274625448844568E-2</v>
      </c>
      <c r="J58" s="112">
        <f t="shared" si="19"/>
        <v>4.1983354631509019E-2</v>
      </c>
      <c r="K58" s="112">
        <f t="shared" si="19"/>
        <v>4.0349718741233963E-2</v>
      </c>
      <c r="L58" s="112">
        <f t="shared" si="19"/>
        <v>0.29162768902367009</v>
      </c>
      <c r="M58" s="112">
        <f t="shared" si="19"/>
        <v>4.5866069413983412E-2</v>
      </c>
      <c r="N58" s="112">
        <f t="shared" si="19"/>
        <v>0.35469755886555476</v>
      </c>
      <c r="O58" s="112">
        <f t="shared" si="19"/>
        <v>4.6818198562787454E-2</v>
      </c>
      <c r="P58" s="112">
        <f t="shared" si="19"/>
        <v>0.2605140673376215</v>
      </c>
      <c r="Q58" s="112">
        <f t="shared" si="19"/>
        <v>3.5911320369567089E-2</v>
      </c>
      <c r="R58" s="112">
        <f t="shared" si="19"/>
        <v>0.29590391001375432</v>
      </c>
      <c r="S58" s="112">
        <f t="shared" si="19"/>
        <v>3.9098507871700175E-2</v>
      </c>
      <c r="T58" s="112">
        <f t="shared" si="19"/>
        <v>4.1112634569503453E-2</v>
      </c>
      <c r="U58" s="112">
        <f t="shared" si="19"/>
        <v>0.26653217184990702</v>
      </c>
      <c r="V58" s="112">
        <f t="shared" si="19"/>
        <v>5.145473443172429E-2</v>
      </c>
      <c r="W58" s="112">
        <f t="shared" si="19"/>
        <v>4.6614978367338744E-2</v>
      </c>
      <c r="X58" s="112">
        <f t="shared" si="19"/>
        <v>0.16843855509480449</v>
      </c>
      <c r="Y58" s="112">
        <f t="shared" si="19"/>
        <v>3.2654353231519849E-2</v>
      </c>
      <c r="Z58" s="112">
        <f t="shared" si="19"/>
        <v>4.3281019593879561E-2</v>
      </c>
      <c r="AA58" s="112">
        <f t="shared" si="19"/>
        <v>1.9907382489186401E-2</v>
      </c>
      <c r="AB58" s="112">
        <f t="shared" si="19"/>
        <v>4.3164587886817499E-2</v>
      </c>
      <c r="AC58" s="112">
        <f t="shared" si="19"/>
        <v>0.27450581383332318</v>
      </c>
      <c r="AD58" s="112">
        <f t="shared" si="19"/>
        <v>4.2323027218291072E-2</v>
      </c>
      <c r="AE58" s="112">
        <f t="shared" si="19"/>
        <v>4.3866088239246953E-2</v>
      </c>
      <c r="AF58" s="112">
        <f t="shared" si="19"/>
        <v>3.8736033060415266E-2</v>
      </c>
      <c r="AG58" s="112">
        <f t="shared" si="19"/>
        <v>0.37293763875239283</v>
      </c>
      <c r="AH58" s="112">
        <f t="shared" si="19"/>
        <v>0.33702412673299398</v>
      </c>
      <c r="AI58" s="112">
        <f t="shared" si="19"/>
        <v>0.1863895299285199</v>
      </c>
      <c r="AJ58" s="112">
        <f t="shared" si="19"/>
        <v>3.7352501091305154E-2</v>
      </c>
      <c r="AK58" s="112">
        <f t="shared" si="19"/>
        <v>4.0726163074022798E-2</v>
      </c>
      <c r="AL58" s="112">
        <f t="shared" si="19"/>
        <v>3.8874193926955312E-2</v>
      </c>
    </row>
    <row r="59" spans="1:38" s="110" customFormat="1" x14ac:dyDescent="0.3">
      <c r="A59" s="113" t="s">
        <v>59</v>
      </c>
      <c r="C59" s="111">
        <f>C43/C44</f>
        <v>0.10163954915565564</v>
      </c>
      <c r="D59" s="112">
        <f t="shared" ref="D59:AL59" si="20">D43/D44</f>
        <v>0.23145732014301518</v>
      </c>
      <c r="E59" s="112">
        <f t="shared" si="20"/>
        <v>5.3487486159180544E-2</v>
      </c>
      <c r="F59" s="112">
        <f t="shared" si="20"/>
        <v>0</v>
      </c>
      <c r="G59" s="112">
        <f t="shared" si="20"/>
        <v>0.22141134451227026</v>
      </c>
      <c r="H59" s="112">
        <f t="shared" si="20"/>
        <v>0</v>
      </c>
      <c r="I59" s="112">
        <f t="shared" si="20"/>
        <v>0</v>
      </c>
      <c r="J59" s="112">
        <f t="shared" si="20"/>
        <v>0</v>
      </c>
      <c r="K59" s="112">
        <f t="shared" si="20"/>
        <v>7.1009331315881441E-2</v>
      </c>
      <c r="L59" s="112">
        <f t="shared" si="20"/>
        <v>7.9361687682512158E-2</v>
      </c>
      <c r="M59" s="112">
        <f t="shared" si="20"/>
        <v>0</v>
      </c>
      <c r="N59" s="112">
        <f t="shared" si="20"/>
        <v>0</v>
      </c>
      <c r="O59" s="112">
        <f t="shared" si="20"/>
        <v>2.8837503134466962E-2</v>
      </c>
      <c r="P59" s="112">
        <f t="shared" si="20"/>
        <v>0.1870279777047836</v>
      </c>
      <c r="Q59" s="112">
        <f t="shared" si="20"/>
        <v>0.10706557430030883</v>
      </c>
      <c r="R59" s="112">
        <f t="shared" si="20"/>
        <v>0.14763589951325898</v>
      </c>
      <c r="S59" s="112">
        <f t="shared" si="20"/>
        <v>0</v>
      </c>
      <c r="T59" s="112">
        <f t="shared" si="20"/>
        <v>0</v>
      </c>
      <c r="U59" s="112">
        <f t="shared" si="20"/>
        <v>6.502645300001697E-2</v>
      </c>
      <c r="V59" s="112">
        <f t="shared" si="20"/>
        <v>0.2363419201282021</v>
      </c>
      <c r="W59" s="112">
        <f t="shared" si="20"/>
        <v>0.3532385716623993</v>
      </c>
      <c r="X59" s="112">
        <f t="shared" si="20"/>
        <v>0</v>
      </c>
      <c r="Y59" s="112">
        <f t="shared" si="20"/>
        <v>0</v>
      </c>
      <c r="Z59" s="112">
        <f t="shared" si="20"/>
        <v>0</v>
      </c>
      <c r="AA59" s="112">
        <f t="shared" si="20"/>
        <v>0.4913511104850008</v>
      </c>
      <c r="AB59" s="112">
        <f t="shared" si="20"/>
        <v>0</v>
      </c>
      <c r="AC59" s="112">
        <f t="shared" si="20"/>
        <v>6.1452489799175093E-2</v>
      </c>
      <c r="AD59" s="112">
        <f t="shared" si="20"/>
        <v>4.3758205732945081E-2</v>
      </c>
      <c r="AE59" s="112">
        <f t="shared" si="20"/>
        <v>0</v>
      </c>
      <c r="AF59" s="112">
        <f t="shared" si="20"/>
        <v>0.23482685556221547</v>
      </c>
      <c r="AG59" s="112">
        <f t="shared" si="20"/>
        <v>0.18886003406678567</v>
      </c>
      <c r="AH59" s="112">
        <f t="shared" si="20"/>
        <v>0.154951741484462</v>
      </c>
      <c r="AI59" s="112">
        <f t="shared" si="20"/>
        <v>0.10049071692915532</v>
      </c>
      <c r="AJ59" s="112">
        <f t="shared" si="20"/>
        <v>0.18017280074321379</v>
      </c>
      <c r="AK59" s="112">
        <f t="shared" si="20"/>
        <v>8.7887564056200268E-2</v>
      </c>
      <c r="AL59" s="112">
        <f t="shared" si="20"/>
        <v>3.3864253534960968E-2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6469-81A5-4A97-925A-2D058E81BAF2}">
  <sheetPr codeName="Sheet14">
    <tabColor theme="4" tint="0.39997558519241921"/>
  </sheetPr>
  <dimension ref="A1:AP69"/>
  <sheetViews>
    <sheetView zoomScaleNormal="100" workbookViewId="0">
      <pane xSplit="2" ySplit="2" topLeftCell="AI10" activePane="bottomRight" state="frozen"/>
      <selection activeCell="P23" sqref="P23"/>
      <selection pane="topRight" activeCell="P23" sqref="P23"/>
      <selection pane="bottomLeft" activeCell="P23" sqref="P23"/>
      <selection pane="bottomRight" activeCell="P23" sqref="P23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175</v>
      </c>
      <c r="B4" s="61"/>
      <c r="C4" s="62">
        <f>SUM(D4:AL4)</f>
        <v>2191342885</v>
      </c>
      <c r="D4" s="61">
        <v>47595000</v>
      </c>
      <c r="E4" s="60">
        <v>125622220</v>
      </c>
      <c r="F4" s="60">
        <v>47604999</v>
      </c>
      <c r="G4" s="60">
        <v>28158000</v>
      </c>
      <c r="H4" s="63">
        <v>54321000</v>
      </c>
      <c r="I4" s="61">
        <v>38918000</v>
      </c>
      <c r="J4" s="65">
        <v>36197000</v>
      </c>
      <c r="K4" s="64">
        <v>45711000</v>
      </c>
      <c r="L4" s="64">
        <v>48337000</v>
      </c>
      <c r="M4" s="64">
        <v>78037000</v>
      </c>
      <c r="N4" s="65">
        <v>93209000</v>
      </c>
      <c r="O4" s="64">
        <v>42802000</v>
      </c>
      <c r="P4" s="64">
        <v>77355999</v>
      </c>
      <c r="Q4" s="64">
        <v>53600667</v>
      </c>
      <c r="R4" s="65">
        <v>105456000</v>
      </c>
      <c r="S4" s="64">
        <v>38732000</v>
      </c>
      <c r="T4" s="64">
        <v>45255000</v>
      </c>
      <c r="U4" s="64">
        <v>170058000</v>
      </c>
      <c r="V4" s="64">
        <v>80755000</v>
      </c>
      <c r="W4" s="64">
        <v>59627000</v>
      </c>
      <c r="X4" s="64">
        <v>91246000</v>
      </c>
      <c r="Y4" s="64">
        <v>27706400</v>
      </c>
      <c r="Z4" s="64">
        <v>55283000</v>
      </c>
      <c r="AA4" s="64">
        <v>44195000</v>
      </c>
      <c r="AB4" s="64">
        <v>68880000</v>
      </c>
      <c r="AC4" s="64">
        <v>24737000</v>
      </c>
      <c r="AD4" s="64">
        <v>65316000</v>
      </c>
      <c r="AE4" s="64">
        <v>34910000</v>
      </c>
      <c r="AF4" s="64">
        <v>78431600</v>
      </c>
      <c r="AG4" s="64">
        <v>37508000</v>
      </c>
      <c r="AH4" s="64">
        <v>63096000</v>
      </c>
      <c r="AI4" s="64">
        <v>170576000</v>
      </c>
      <c r="AJ4" s="64">
        <v>33682000</v>
      </c>
      <c r="AK4" s="64">
        <v>34478000</v>
      </c>
      <c r="AL4" s="64">
        <v>43946000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110500000</v>
      </c>
      <c r="D5" s="67">
        <v>7400000</v>
      </c>
      <c r="E5" s="62">
        <v>4500000</v>
      </c>
      <c r="F5" s="67"/>
      <c r="G5" s="67">
        <v>6800000</v>
      </c>
      <c r="H5" s="67"/>
      <c r="I5" s="67"/>
      <c r="J5" s="68">
        <v>3100000</v>
      </c>
      <c r="K5" s="68">
        <v>4200000</v>
      </c>
      <c r="L5" s="68">
        <v>7400000</v>
      </c>
      <c r="M5" s="68">
        <v>3600000</v>
      </c>
      <c r="N5" s="68">
        <v>3600000</v>
      </c>
      <c r="O5" s="68">
        <v>3800000</v>
      </c>
      <c r="P5" s="68">
        <v>6100000</v>
      </c>
      <c r="Q5" s="68">
        <v>2500000</v>
      </c>
      <c r="R5" s="68">
        <v>4500000</v>
      </c>
      <c r="U5" s="68">
        <v>11300000</v>
      </c>
      <c r="V5" s="68">
        <v>15100000</v>
      </c>
      <c r="W5" s="68">
        <v>6700000</v>
      </c>
      <c r="AA5" s="68">
        <v>5500000</v>
      </c>
      <c r="AE5" s="68">
        <v>7500000</v>
      </c>
      <c r="AG5" s="68">
        <v>3100000</v>
      </c>
      <c r="AH5" s="68">
        <v>3800000</v>
      </c>
    </row>
    <row r="6" spans="1:38" s="68" customFormat="1" ht="13" x14ac:dyDescent="0.3">
      <c r="A6" s="69" t="s">
        <v>4</v>
      </c>
      <c r="B6" s="67"/>
      <c r="C6" s="62">
        <f t="shared" si="0"/>
        <v>9900000</v>
      </c>
      <c r="E6" s="62"/>
      <c r="F6" s="67"/>
      <c r="G6" s="67"/>
      <c r="H6" s="67"/>
      <c r="I6" s="67"/>
      <c r="K6" s="68">
        <v>2000000</v>
      </c>
      <c r="O6" s="68">
        <v>1900000</v>
      </c>
      <c r="R6" s="70">
        <v>2000000</v>
      </c>
      <c r="V6" s="68">
        <v>1000000</v>
      </c>
      <c r="W6" s="70"/>
      <c r="AH6" s="68">
        <v>2000000</v>
      </c>
      <c r="AI6" s="70">
        <v>1000000</v>
      </c>
    </row>
    <row r="7" spans="1:38" s="68" customFormat="1" ht="13" x14ac:dyDescent="0.3">
      <c r="A7" s="71" t="s">
        <v>5</v>
      </c>
      <c r="B7" s="67"/>
      <c r="C7" s="62">
        <f t="shared" si="0"/>
        <v>20780000</v>
      </c>
      <c r="E7" s="62"/>
      <c r="F7" s="67"/>
      <c r="G7" s="67"/>
      <c r="H7" s="67"/>
      <c r="I7" s="67"/>
      <c r="L7" s="68">
        <v>2876000</v>
      </c>
      <c r="M7" s="68">
        <v>3352000</v>
      </c>
      <c r="O7" s="72"/>
      <c r="P7" s="72">
        <v>2372000</v>
      </c>
      <c r="R7" s="70"/>
      <c r="U7" s="68">
        <v>6524000</v>
      </c>
      <c r="W7" s="70"/>
      <c r="X7" s="72"/>
      <c r="AE7" s="68">
        <v>2956000</v>
      </c>
      <c r="AI7" s="70"/>
      <c r="AJ7" s="68">
        <v>2700000</v>
      </c>
    </row>
    <row r="8" spans="1:38" s="68" customFormat="1" ht="13" x14ac:dyDescent="0.3">
      <c r="A8" s="71"/>
      <c r="B8" s="67" t="s">
        <v>6</v>
      </c>
      <c r="C8" s="62">
        <f t="shared" si="0"/>
        <v>18</v>
      </c>
      <c r="D8" s="68">
        <v>1</v>
      </c>
      <c r="E8" s="67">
        <v>0</v>
      </c>
      <c r="F8" s="67">
        <v>0</v>
      </c>
      <c r="G8" s="67">
        <v>3</v>
      </c>
      <c r="H8" s="67">
        <v>0</v>
      </c>
      <c r="I8" s="67">
        <v>0</v>
      </c>
      <c r="J8" s="68">
        <v>1</v>
      </c>
      <c r="K8" s="68">
        <v>1</v>
      </c>
      <c r="L8" s="68">
        <v>0</v>
      </c>
      <c r="M8" s="68">
        <v>1</v>
      </c>
      <c r="N8" s="68">
        <v>0</v>
      </c>
      <c r="O8" s="68">
        <v>0</v>
      </c>
      <c r="P8" s="68">
        <v>0</v>
      </c>
      <c r="Q8" s="68">
        <v>1</v>
      </c>
      <c r="R8" s="68">
        <v>0</v>
      </c>
      <c r="S8" s="68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4">
        <v>0</v>
      </c>
      <c r="AA8" s="73">
        <v>1</v>
      </c>
      <c r="AB8" s="73">
        <v>0</v>
      </c>
      <c r="AC8" s="73">
        <v>1</v>
      </c>
      <c r="AD8" s="73">
        <v>1</v>
      </c>
      <c r="AE8" s="73">
        <v>0</v>
      </c>
      <c r="AF8" s="73">
        <v>0</v>
      </c>
      <c r="AG8" s="73">
        <v>0</v>
      </c>
      <c r="AH8" s="73">
        <v>2</v>
      </c>
      <c r="AI8" s="73">
        <v>5</v>
      </c>
      <c r="AJ8" s="73">
        <v>0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30</v>
      </c>
      <c r="D9" s="68">
        <v>2</v>
      </c>
      <c r="E9" s="67">
        <v>1</v>
      </c>
      <c r="F9" s="67">
        <v>0</v>
      </c>
      <c r="G9" s="67">
        <v>2</v>
      </c>
      <c r="H9" s="67">
        <v>0</v>
      </c>
      <c r="I9" s="67">
        <v>0</v>
      </c>
      <c r="J9" s="68">
        <v>1</v>
      </c>
      <c r="K9" s="68">
        <v>1</v>
      </c>
      <c r="L9" s="68">
        <v>2</v>
      </c>
      <c r="M9" s="68">
        <v>1</v>
      </c>
      <c r="N9" s="68">
        <v>1</v>
      </c>
      <c r="O9" s="68">
        <v>1</v>
      </c>
      <c r="P9" s="68">
        <v>2</v>
      </c>
      <c r="Q9" s="68">
        <v>1</v>
      </c>
      <c r="R9" s="68">
        <v>1</v>
      </c>
      <c r="S9" s="68">
        <v>0</v>
      </c>
      <c r="T9" s="75">
        <v>0</v>
      </c>
      <c r="U9" s="75">
        <v>3</v>
      </c>
      <c r="V9" s="73">
        <v>4</v>
      </c>
      <c r="W9" s="75">
        <v>2</v>
      </c>
      <c r="X9" s="75">
        <v>0</v>
      </c>
      <c r="Y9" s="75">
        <v>0</v>
      </c>
      <c r="Z9" s="75">
        <v>0</v>
      </c>
      <c r="AA9" s="75">
        <v>1</v>
      </c>
      <c r="AB9" s="75">
        <v>0</v>
      </c>
      <c r="AC9" s="75">
        <v>0</v>
      </c>
      <c r="AD9" s="75">
        <v>0</v>
      </c>
      <c r="AE9" s="75">
        <v>2</v>
      </c>
      <c r="AF9" s="75">
        <v>0</v>
      </c>
      <c r="AG9" s="75">
        <v>1</v>
      </c>
      <c r="AH9" s="75">
        <v>1</v>
      </c>
      <c r="AI9" s="75">
        <v>0</v>
      </c>
      <c r="AJ9" s="75">
        <v>0</v>
      </c>
      <c r="AK9" s="75">
        <v>0</v>
      </c>
      <c r="AL9" s="75">
        <v>0</v>
      </c>
    </row>
    <row r="10" spans="1:38" s="68" customFormat="1" ht="13" x14ac:dyDescent="0.3">
      <c r="A10" s="71"/>
      <c r="B10" s="67" t="s">
        <v>176</v>
      </c>
      <c r="C10" s="62">
        <f t="shared" si="0"/>
        <v>35</v>
      </c>
      <c r="D10" s="68">
        <v>1</v>
      </c>
      <c r="E10" s="67">
        <v>0</v>
      </c>
      <c r="F10" s="67">
        <v>0</v>
      </c>
      <c r="G10" s="67">
        <v>3</v>
      </c>
      <c r="H10" s="67">
        <v>0</v>
      </c>
      <c r="I10" s="67">
        <v>0</v>
      </c>
      <c r="J10" s="68">
        <v>0</v>
      </c>
      <c r="K10" s="68">
        <v>0</v>
      </c>
      <c r="L10" s="68">
        <v>1</v>
      </c>
      <c r="M10" s="68">
        <v>1</v>
      </c>
      <c r="N10" s="68">
        <v>0</v>
      </c>
      <c r="O10" s="68">
        <v>1</v>
      </c>
      <c r="P10" s="68">
        <v>0</v>
      </c>
      <c r="Q10" s="68">
        <v>0</v>
      </c>
      <c r="R10" s="68">
        <v>1</v>
      </c>
      <c r="S10" s="68">
        <v>0</v>
      </c>
      <c r="T10" s="75">
        <v>0</v>
      </c>
      <c r="U10" s="75">
        <v>1</v>
      </c>
      <c r="V10" s="73">
        <v>1</v>
      </c>
      <c r="W10" s="75">
        <v>4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5">
        <v>1</v>
      </c>
      <c r="AD10" s="75">
        <v>1</v>
      </c>
      <c r="AE10" s="75">
        <v>0</v>
      </c>
      <c r="AF10" s="75">
        <v>4</v>
      </c>
      <c r="AG10" s="75">
        <v>0</v>
      </c>
      <c r="AH10" s="75">
        <v>4</v>
      </c>
      <c r="AI10" s="75">
        <v>8</v>
      </c>
      <c r="AJ10" s="75">
        <v>2</v>
      </c>
      <c r="AK10" s="75">
        <v>1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1673006666.6666667</v>
      </c>
      <c r="D11" s="68">
        <v>33900000</v>
      </c>
      <c r="E11" s="67">
        <v>96200000</v>
      </c>
      <c r="F11" s="67">
        <v>41000000</v>
      </c>
      <c r="G11" s="67">
        <v>17400000</v>
      </c>
      <c r="H11" s="67">
        <v>42900000</v>
      </c>
      <c r="I11" s="67">
        <v>30600000</v>
      </c>
      <c r="J11" s="68">
        <v>25200000</v>
      </c>
      <c r="K11" s="68">
        <v>33120000</v>
      </c>
      <c r="L11" s="68">
        <v>34393333.333333336</v>
      </c>
      <c r="M11" s="68">
        <v>58000000</v>
      </c>
      <c r="N11" s="68">
        <v>70780000</v>
      </c>
      <c r="O11" s="68">
        <v>30106666.666666668</v>
      </c>
      <c r="P11" s="68">
        <v>59000000</v>
      </c>
      <c r="Q11" s="68">
        <v>38900000</v>
      </c>
      <c r="R11" s="68">
        <v>77600000</v>
      </c>
      <c r="S11" s="68">
        <v>31500000</v>
      </c>
      <c r="T11" s="75">
        <v>35700000</v>
      </c>
      <c r="U11" s="75">
        <v>131583333.33333334</v>
      </c>
      <c r="V11" s="73">
        <v>54000000</v>
      </c>
      <c r="W11" s="75">
        <v>41206666.666666664</v>
      </c>
      <c r="X11" s="75">
        <v>74000000</v>
      </c>
      <c r="Y11" s="75">
        <v>23300000</v>
      </c>
      <c r="Z11" s="75">
        <v>46400000</v>
      </c>
      <c r="AA11" s="75">
        <v>29500000</v>
      </c>
      <c r="AB11" s="75">
        <v>57100000</v>
      </c>
      <c r="AC11" s="75">
        <v>20100000</v>
      </c>
      <c r="AD11" s="75">
        <v>52100000</v>
      </c>
      <c r="AE11" s="75">
        <v>25616666.666666668</v>
      </c>
      <c r="AF11" s="75">
        <v>61900000</v>
      </c>
      <c r="AG11" s="75">
        <v>29700000</v>
      </c>
      <c r="AH11" s="75">
        <v>47600000</v>
      </c>
      <c r="AI11" s="75">
        <v>132000000</v>
      </c>
      <c r="AJ11" s="75">
        <v>28400000</v>
      </c>
      <c r="AK11" s="75">
        <v>28700000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186683400</v>
      </c>
      <c r="D12" s="67">
        <v>2580000</v>
      </c>
      <c r="E12" s="67">
        <v>12924000</v>
      </c>
      <c r="F12" s="62">
        <v>2004000</v>
      </c>
      <c r="G12" s="62">
        <v>1528000</v>
      </c>
      <c r="H12" s="62">
        <v>6255200</v>
      </c>
      <c r="I12" s="67">
        <v>4148000</v>
      </c>
      <c r="J12" s="68">
        <v>1992000</v>
      </c>
      <c r="K12" s="68">
        <v>2964000</v>
      </c>
      <c r="L12" s="68">
        <v>3580000</v>
      </c>
      <c r="M12" s="68">
        <v>9112000</v>
      </c>
      <c r="N12" s="68">
        <v>8232000</v>
      </c>
      <c r="O12" s="68">
        <v>2928000</v>
      </c>
      <c r="P12" s="68">
        <v>5256000</v>
      </c>
      <c r="Q12" s="68">
        <v>2988000</v>
      </c>
      <c r="R12" s="68">
        <v>9276000</v>
      </c>
      <c r="S12" s="68">
        <v>3272000</v>
      </c>
      <c r="T12" s="75">
        <v>4240000</v>
      </c>
      <c r="U12" s="75">
        <v>15856000</v>
      </c>
      <c r="V12" s="73">
        <v>3417200</v>
      </c>
      <c r="W12" s="75">
        <v>4972000</v>
      </c>
      <c r="X12" s="75">
        <v>7596000</v>
      </c>
      <c r="Y12" s="75">
        <v>1836400</v>
      </c>
      <c r="Z12" s="75">
        <v>4308000</v>
      </c>
      <c r="AA12" s="75">
        <v>3404000</v>
      </c>
      <c r="AB12" s="75">
        <v>7496000</v>
      </c>
      <c r="AC12" s="75">
        <v>1852000</v>
      </c>
      <c r="AD12" s="75">
        <v>6476000</v>
      </c>
      <c r="AE12" s="75">
        <v>2692000</v>
      </c>
      <c r="AF12" s="75">
        <v>8582600</v>
      </c>
      <c r="AG12" s="75">
        <v>2828000</v>
      </c>
      <c r="AH12" s="75">
        <v>4720000</v>
      </c>
      <c r="AI12" s="75">
        <v>16192000</v>
      </c>
      <c r="AJ12" s="75">
        <v>3652000</v>
      </c>
      <c r="AK12" s="75">
        <v>2908000</v>
      </c>
      <c r="AL12" s="75">
        <v>4616000</v>
      </c>
    </row>
    <row r="13" spans="1:38" s="68" customFormat="1" ht="13" x14ac:dyDescent="0.3">
      <c r="A13" s="129"/>
      <c r="B13" s="69" t="s">
        <v>12</v>
      </c>
      <c r="C13" s="62">
        <f t="shared" si="0"/>
        <v>83927000</v>
      </c>
      <c r="D13" s="67">
        <v>895000</v>
      </c>
      <c r="E13" s="68">
        <v>4305000</v>
      </c>
      <c r="F13" s="68">
        <v>1540000</v>
      </c>
      <c r="G13" s="68">
        <v>800000</v>
      </c>
      <c r="H13" s="68">
        <v>2540000</v>
      </c>
      <c r="I13" s="68">
        <v>1820000</v>
      </c>
      <c r="J13" s="68">
        <v>1240000</v>
      </c>
      <c r="K13" s="68">
        <v>1425000</v>
      </c>
      <c r="L13" s="68">
        <v>1825000</v>
      </c>
      <c r="M13" s="68">
        <v>4270000</v>
      </c>
      <c r="N13" s="68">
        <v>2990000</v>
      </c>
      <c r="O13" s="68">
        <v>1752000</v>
      </c>
      <c r="P13" s="68">
        <v>4440000</v>
      </c>
      <c r="Q13" s="68">
        <v>2490000</v>
      </c>
      <c r="R13" s="68">
        <v>4340000</v>
      </c>
      <c r="S13" s="68">
        <v>1620000</v>
      </c>
      <c r="T13" s="73">
        <v>2235000</v>
      </c>
      <c r="U13" s="73">
        <v>6690000</v>
      </c>
      <c r="V13" s="73">
        <v>1085000</v>
      </c>
      <c r="W13" s="73">
        <v>1955000</v>
      </c>
      <c r="X13" s="73">
        <v>3360000</v>
      </c>
      <c r="Y13" s="73">
        <v>840000</v>
      </c>
      <c r="Z13" s="73">
        <v>1755000</v>
      </c>
      <c r="AA13" s="73">
        <v>1705000</v>
      </c>
      <c r="AB13" s="73">
        <v>1730000</v>
      </c>
      <c r="AC13" s="73">
        <v>1035000</v>
      </c>
      <c r="AD13" s="73">
        <v>2690000</v>
      </c>
      <c r="AE13" s="73">
        <v>1096000</v>
      </c>
      <c r="AF13" s="73">
        <v>2555000</v>
      </c>
      <c r="AG13" s="73">
        <v>1134000</v>
      </c>
      <c r="AH13" s="73">
        <v>1720000</v>
      </c>
      <c r="AI13" s="73">
        <v>8840000</v>
      </c>
      <c r="AJ13" s="73">
        <v>1530000</v>
      </c>
      <c r="AK13" s="73">
        <v>950000</v>
      </c>
      <c r="AL13" s="73">
        <v>2730000</v>
      </c>
    </row>
    <row r="14" spans="1:38" s="68" customFormat="1" ht="13" x14ac:dyDescent="0.3">
      <c r="A14" s="129"/>
      <c r="B14" s="69" t="s">
        <v>13</v>
      </c>
      <c r="C14" s="62">
        <f t="shared" si="0"/>
        <v>39269666.666666672</v>
      </c>
      <c r="D14" s="67">
        <v>600000</v>
      </c>
      <c r="E14" s="67">
        <v>1830000</v>
      </c>
      <c r="F14" s="68">
        <v>570000</v>
      </c>
      <c r="G14" s="68">
        <v>630000</v>
      </c>
      <c r="H14" s="68">
        <v>880000</v>
      </c>
      <c r="I14" s="68">
        <v>810000</v>
      </c>
      <c r="J14" s="68">
        <v>326666.66666666669</v>
      </c>
      <c r="K14" s="68">
        <v>595000</v>
      </c>
      <c r="L14" s="68">
        <v>944000</v>
      </c>
      <c r="M14" s="68">
        <v>1700000</v>
      </c>
      <c r="N14" s="68">
        <v>1778000</v>
      </c>
      <c r="O14" s="68">
        <v>736000</v>
      </c>
      <c r="P14" s="68">
        <v>1810000</v>
      </c>
      <c r="Q14" s="68">
        <v>1080000</v>
      </c>
      <c r="R14" s="68">
        <v>2190000</v>
      </c>
      <c r="S14" s="68">
        <v>630000</v>
      </c>
      <c r="T14" s="73">
        <v>900000</v>
      </c>
      <c r="U14" s="73">
        <v>2210000</v>
      </c>
      <c r="V14" s="73">
        <v>1400000</v>
      </c>
      <c r="W14" s="73">
        <v>1208000</v>
      </c>
      <c r="X14" s="73">
        <v>1590000</v>
      </c>
      <c r="Y14" s="73">
        <v>540000</v>
      </c>
      <c r="Z14" s="73">
        <v>780000</v>
      </c>
      <c r="AA14" s="73">
        <v>910000</v>
      </c>
      <c r="AB14" s="73">
        <v>632000</v>
      </c>
      <c r="AC14" s="73">
        <v>570000</v>
      </c>
      <c r="AD14" s="73">
        <v>1380000</v>
      </c>
      <c r="AE14" s="73">
        <v>458000</v>
      </c>
      <c r="AF14" s="73">
        <v>1650000</v>
      </c>
      <c r="AG14" s="73">
        <v>582000</v>
      </c>
      <c r="AH14" s="73">
        <v>830000</v>
      </c>
      <c r="AI14" s="73">
        <v>3850000</v>
      </c>
      <c r="AJ14" s="73">
        <v>750000</v>
      </c>
      <c r="AK14" s="73">
        <v>780000</v>
      </c>
      <c r="AL14" s="73">
        <v>1140000</v>
      </c>
    </row>
    <row r="15" spans="1:38" s="68" customFormat="1" ht="13" x14ac:dyDescent="0.3">
      <c r="A15" s="129"/>
      <c r="B15" s="69" t="s">
        <v>14</v>
      </c>
      <c r="C15" s="62">
        <f t="shared" si="0"/>
        <v>36556666.666666664</v>
      </c>
      <c r="D15" s="67">
        <v>640000</v>
      </c>
      <c r="E15" s="68">
        <v>1700000</v>
      </c>
      <c r="F15" s="68">
        <v>1100000</v>
      </c>
      <c r="G15" s="68">
        <v>400000</v>
      </c>
      <c r="H15" s="68">
        <v>600000</v>
      </c>
      <c r="I15" s="68">
        <v>700000</v>
      </c>
      <c r="J15" s="68">
        <v>700000</v>
      </c>
      <c r="K15" s="68">
        <v>500000</v>
      </c>
      <c r="L15" s="68">
        <v>936666.66666666674</v>
      </c>
      <c r="M15" s="68">
        <v>1200000</v>
      </c>
      <c r="N15" s="68">
        <v>1800000</v>
      </c>
      <c r="O15" s="68">
        <v>663333.33333333326</v>
      </c>
      <c r="P15" s="68">
        <v>1600000</v>
      </c>
      <c r="Q15" s="68">
        <v>1300000</v>
      </c>
      <c r="R15" s="68">
        <v>1600000</v>
      </c>
      <c r="S15" s="68">
        <v>900000</v>
      </c>
      <c r="T15" s="73">
        <v>800000</v>
      </c>
      <c r="U15" s="73">
        <v>2733333.3333333335</v>
      </c>
      <c r="V15" s="73">
        <v>1400000</v>
      </c>
      <c r="W15" s="73">
        <v>1100000</v>
      </c>
      <c r="X15" s="73">
        <v>1400000</v>
      </c>
      <c r="Y15" s="73">
        <v>600000</v>
      </c>
      <c r="Z15" s="73">
        <v>1200000</v>
      </c>
      <c r="AA15" s="73">
        <v>333333.33333333331</v>
      </c>
      <c r="AB15" s="73">
        <v>900000</v>
      </c>
      <c r="AC15" s="73">
        <v>500000</v>
      </c>
      <c r="AD15" s="73">
        <v>1290000</v>
      </c>
      <c r="AE15" s="73">
        <v>400000</v>
      </c>
      <c r="AF15" s="73">
        <v>1100000</v>
      </c>
      <c r="AG15" s="73">
        <v>370000</v>
      </c>
      <c r="AH15" s="73">
        <v>700000</v>
      </c>
      <c r="AI15" s="73">
        <v>3490000</v>
      </c>
      <c r="AJ15" s="73">
        <v>900000</v>
      </c>
      <c r="AK15" s="73">
        <v>300000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7050000</v>
      </c>
      <c r="D16" s="67">
        <v>0</v>
      </c>
      <c r="E16" s="68">
        <v>0</v>
      </c>
      <c r="F16" s="68">
        <v>150000</v>
      </c>
      <c r="G16" s="68">
        <v>0</v>
      </c>
      <c r="H16" s="68">
        <v>350000</v>
      </c>
      <c r="I16" s="68">
        <v>0</v>
      </c>
      <c r="J16" s="68">
        <v>0</v>
      </c>
      <c r="K16" s="68">
        <v>200000</v>
      </c>
      <c r="L16" s="68">
        <v>200000</v>
      </c>
      <c r="M16" s="68">
        <v>150000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300000</v>
      </c>
      <c r="U16" s="73">
        <v>4900000</v>
      </c>
      <c r="V16" s="73">
        <v>0</v>
      </c>
      <c r="W16" s="73">
        <v>0</v>
      </c>
      <c r="X16" s="73">
        <v>200000</v>
      </c>
      <c r="Y16" s="76">
        <v>0</v>
      </c>
      <c r="Z16" s="76">
        <v>0</v>
      </c>
      <c r="AA16" s="76">
        <v>0</v>
      </c>
      <c r="AB16" s="76">
        <v>0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0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15524199.999999998</v>
      </c>
      <c r="D17" s="67">
        <v>450000</v>
      </c>
      <c r="E17" s="68">
        <v>1950000</v>
      </c>
      <c r="F17" s="68">
        <v>400000</v>
      </c>
      <c r="G17" s="68">
        <v>0</v>
      </c>
      <c r="H17" s="68">
        <v>0</v>
      </c>
      <c r="I17" s="68">
        <v>0</v>
      </c>
      <c r="J17" s="68">
        <v>746666.66666666663</v>
      </c>
      <c r="K17" s="68">
        <v>0</v>
      </c>
      <c r="L17" s="68">
        <v>894000</v>
      </c>
      <c r="M17" s="68">
        <v>1350000</v>
      </c>
      <c r="N17" s="68">
        <v>1831666.6666666665</v>
      </c>
      <c r="O17" s="68">
        <v>0</v>
      </c>
      <c r="P17" s="68">
        <v>0</v>
      </c>
      <c r="Q17" s="68">
        <v>1235200</v>
      </c>
      <c r="R17" s="68">
        <v>1850000</v>
      </c>
      <c r="S17" s="68">
        <v>0</v>
      </c>
      <c r="T17" s="77">
        <v>0</v>
      </c>
      <c r="U17" s="77">
        <v>0</v>
      </c>
      <c r="V17" s="73">
        <v>0</v>
      </c>
      <c r="W17" s="70">
        <v>1206666.6666666665</v>
      </c>
      <c r="X17" s="77">
        <v>1450000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1000000</v>
      </c>
      <c r="AG17" s="77">
        <v>0</v>
      </c>
      <c r="AH17" s="70">
        <v>750000</v>
      </c>
      <c r="AI17" s="77">
        <v>0</v>
      </c>
      <c r="AJ17" s="77">
        <v>410000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43792666.666666672</v>
      </c>
      <c r="D18" s="67">
        <v>1140000</v>
      </c>
      <c r="E18" s="68">
        <v>2100000</v>
      </c>
      <c r="F18" s="68">
        <v>840000</v>
      </c>
      <c r="G18" s="68">
        <v>600000</v>
      </c>
      <c r="H18" s="68">
        <v>760000</v>
      </c>
      <c r="I18" s="68">
        <v>840000</v>
      </c>
      <c r="J18" s="68">
        <v>356666.66666666669</v>
      </c>
      <c r="K18" s="68">
        <v>670000</v>
      </c>
      <c r="L18" s="68">
        <v>1064000</v>
      </c>
      <c r="M18" s="68">
        <v>1730000</v>
      </c>
      <c r="N18" s="68">
        <v>2198000</v>
      </c>
      <c r="O18" s="68">
        <v>916000</v>
      </c>
      <c r="P18" s="68">
        <v>1890000</v>
      </c>
      <c r="Q18" s="68">
        <v>1260000</v>
      </c>
      <c r="R18" s="68">
        <v>2100000</v>
      </c>
      <c r="S18" s="68">
        <v>660000</v>
      </c>
      <c r="T18" s="78">
        <v>1080000</v>
      </c>
      <c r="U18" s="78">
        <v>2980000</v>
      </c>
      <c r="V18" s="73">
        <v>3330000</v>
      </c>
      <c r="W18" s="78">
        <v>1448000</v>
      </c>
      <c r="X18" s="78">
        <v>1750000</v>
      </c>
      <c r="Y18" s="78">
        <v>450000</v>
      </c>
      <c r="Z18" s="78">
        <v>840000</v>
      </c>
      <c r="AA18" s="79">
        <v>0</v>
      </c>
      <c r="AB18" s="78">
        <v>872000</v>
      </c>
      <c r="AC18" s="78">
        <v>480000</v>
      </c>
      <c r="AD18" s="78">
        <v>1380000</v>
      </c>
      <c r="AE18" s="78">
        <v>548000</v>
      </c>
      <c r="AF18" s="78">
        <v>1380000</v>
      </c>
      <c r="AG18" s="79">
        <v>0</v>
      </c>
      <c r="AH18" s="78">
        <v>860000</v>
      </c>
      <c r="AI18" s="78">
        <v>4330000</v>
      </c>
      <c r="AJ18" s="78">
        <v>840000</v>
      </c>
      <c r="AK18" s="78">
        <v>840000</v>
      </c>
      <c r="AL18" s="78">
        <v>1260000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412803600.00000006</v>
      </c>
      <c r="D19" s="81">
        <f t="shared" ref="D19:AP19" si="1">SUM(D12:D18)</f>
        <v>6305000</v>
      </c>
      <c r="E19" s="81">
        <f>SUM(E12:E18)</f>
        <v>24809000</v>
      </c>
      <c r="F19" s="81">
        <f t="shared" si="1"/>
        <v>6604000</v>
      </c>
      <c r="G19" s="81">
        <f t="shared" si="1"/>
        <v>3958000</v>
      </c>
      <c r="H19" s="81">
        <f>SUM(H12:H18)</f>
        <v>11385200</v>
      </c>
      <c r="I19" s="81">
        <f>SUM(I12:I18)</f>
        <v>8318000</v>
      </c>
      <c r="J19" s="81">
        <f t="shared" si="1"/>
        <v>5362000</v>
      </c>
      <c r="K19" s="81">
        <f t="shared" si="1"/>
        <v>6354000</v>
      </c>
      <c r="L19" s="81">
        <f t="shared" si="1"/>
        <v>9443666.6666666679</v>
      </c>
      <c r="M19" s="81">
        <f t="shared" si="1"/>
        <v>19512000</v>
      </c>
      <c r="N19" s="81">
        <f t="shared" si="1"/>
        <v>18829666.666666664</v>
      </c>
      <c r="O19" s="81">
        <f t="shared" si="1"/>
        <v>6995333.333333333</v>
      </c>
      <c r="P19" s="81">
        <f t="shared" si="1"/>
        <v>15046000</v>
      </c>
      <c r="Q19" s="81">
        <f>SUM(Q12:Q18)</f>
        <v>10353200</v>
      </c>
      <c r="R19" s="81">
        <f>SUM(R12:R18)</f>
        <v>21356000</v>
      </c>
      <c r="S19" s="81">
        <f>SUM(S12:S18)</f>
        <v>7232000</v>
      </c>
      <c r="T19" s="81">
        <f t="shared" si="1"/>
        <v>9555000</v>
      </c>
      <c r="U19" s="81">
        <f t="shared" si="1"/>
        <v>35369333.333333328</v>
      </c>
      <c r="V19" s="81">
        <f t="shared" si="1"/>
        <v>10632200</v>
      </c>
      <c r="W19" s="81">
        <f t="shared" si="1"/>
        <v>11889666.666666666</v>
      </c>
      <c r="X19" s="81">
        <f t="shared" si="1"/>
        <v>17346000</v>
      </c>
      <c r="Y19" s="81">
        <f t="shared" si="1"/>
        <v>4266400</v>
      </c>
      <c r="Z19" s="81">
        <f t="shared" si="1"/>
        <v>8883000</v>
      </c>
      <c r="AA19" s="81">
        <f t="shared" si="1"/>
        <v>6352333.333333333</v>
      </c>
      <c r="AB19" s="81">
        <f>SUM(AB12:AB18)</f>
        <v>11630000</v>
      </c>
      <c r="AC19" s="81">
        <f t="shared" si="1"/>
        <v>4637000</v>
      </c>
      <c r="AD19" s="81">
        <f t="shared" si="1"/>
        <v>13216000</v>
      </c>
      <c r="AE19" s="81">
        <f t="shared" si="1"/>
        <v>5194000</v>
      </c>
      <c r="AF19" s="81">
        <f>SUM(AF12:AF18)</f>
        <v>16317600</v>
      </c>
      <c r="AG19" s="81">
        <f t="shared" si="1"/>
        <v>4914000</v>
      </c>
      <c r="AH19" s="81">
        <f>SUM(AH12:AH18)</f>
        <v>9580000</v>
      </c>
      <c r="AI19" s="81">
        <f t="shared" si="1"/>
        <v>36852000</v>
      </c>
      <c r="AJ19" s="81">
        <f t="shared" si="1"/>
        <v>8082000</v>
      </c>
      <c r="AK19" s="81">
        <f>SUM(AK12:AK18)</f>
        <v>5778000</v>
      </c>
      <c r="AL19" s="81">
        <f t="shared" si="1"/>
        <v>10446000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1466916666.666667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50000000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24666666.666666668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63761000</v>
      </c>
      <c r="D22" s="67">
        <v>1300000</v>
      </c>
      <c r="E22" s="82"/>
      <c r="G22" s="82"/>
      <c r="O22" s="82"/>
      <c r="P22" s="82"/>
      <c r="Q22" s="68">
        <v>8928000</v>
      </c>
      <c r="R22" s="68">
        <v>14810000</v>
      </c>
      <c r="T22" s="82"/>
      <c r="U22" s="82"/>
      <c r="W22" s="82"/>
      <c r="X22" s="82"/>
      <c r="Z22" s="82"/>
      <c r="AA22" s="83">
        <v>10000000</v>
      </c>
      <c r="AB22" s="82"/>
      <c r="AC22" s="82"/>
      <c r="AD22" s="68">
        <v>1565000</v>
      </c>
      <c r="AE22" s="82">
        <v>1500000</v>
      </c>
      <c r="AF22" s="82">
        <v>1300000</v>
      </c>
      <c r="AG22" s="82"/>
      <c r="AH22" s="82"/>
      <c r="AI22" s="85">
        <v>23268000</v>
      </c>
      <c r="AJ22" s="68">
        <v>1090000</v>
      </c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211395139</v>
      </c>
      <c r="D23" s="82">
        <v>4333997</v>
      </c>
      <c r="E23" s="86">
        <v>11906093</v>
      </c>
      <c r="F23" s="82">
        <v>3211963</v>
      </c>
      <c r="G23" s="82">
        <v>2516918</v>
      </c>
      <c r="H23" s="86">
        <v>8820900</v>
      </c>
      <c r="I23" s="83">
        <v>3960986</v>
      </c>
      <c r="J23" s="83">
        <v>3266393</v>
      </c>
      <c r="K23" s="83">
        <v>4045810</v>
      </c>
      <c r="L23" s="82">
        <v>4146163</v>
      </c>
      <c r="M23" s="82">
        <v>12849430</v>
      </c>
      <c r="N23" s="83">
        <v>4505911</v>
      </c>
      <c r="O23" s="83">
        <v>3137512</v>
      </c>
      <c r="P23" s="83">
        <v>8191865</v>
      </c>
      <c r="Q23" s="83">
        <v>5135031</v>
      </c>
      <c r="R23" s="82">
        <v>11158106</v>
      </c>
      <c r="S23" s="83">
        <v>3812472</v>
      </c>
      <c r="T23" s="82">
        <v>3981550</v>
      </c>
      <c r="U23" s="83">
        <v>13648824</v>
      </c>
      <c r="V23" s="83">
        <v>4312500</v>
      </c>
      <c r="W23" s="83">
        <v>5780830</v>
      </c>
      <c r="X23" s="83">
        <v>7313374</v>
      </c>
      <c r="Y23" s="83">
        <v>1814400</v>
      </c>
      <c r="Z23" s="82">
        <v>4719298</v>
      </c>
      <c r="AA23" s="82">
        <v>4183531</v>
      </c>
      <c r="AB23" s="83">
        <v>10545500</v>
      </c>
      <c r="AC23" s="82">
        <v>2509445</v>
      </c>
      <c r="AD23" s="83">
        <v>5875934</v>
      </c>
      <c r="AE23" s="83">
        <v>3305383</v>
      </c>
      <c r="AF23" s="82">
        <v>10487232</v>
      </c>
      <c r="AG23" s="82">
        <v>3669770</v>
      </c>
      <c r="AH23" s="82">
        <v>5829019</v>
      </c>
      <c r="AI23" s="83">
        <v>16062430</v>
      </c>
      <c r="AJ23" s="83">
        <v>3445618</v>
      </c>
      <c r="AK23" s="83">
        <v>3251384</v>
      </c>
      <c r="AL23" s="83">
        <v>5659567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81828930</v>
      </c>
      <c r="D24" s="82">
        <v>1259250</v>
      </c>
      <c r="E24" s="82">
        <v>5577500</v>
      </c>
      <c r="F24" s="82">
        <v>2041250</v>
      </c>
      <c r="G24" s="82">
        <v>448500</v>
      </c>
      <c r="H24" s="86">
        <v>3167560</v>
      </c>
      <c r="I24" s="83">
        <v>2351750</v>
      </c>
      <c r="J24" s="83">
        <v>1165755</v>
      </c>
      <c r="K24" s="83">
        <v>1481200</v>
      </c>
      <c r="L24" s="82">
        <v>1101700</v>
      </c>
      <c r="M24" s="82">
        <v>791000</v>
      </c>
      <c r="N24" s="83">
        <v>6810300</v>
      </c>
      <c r="O24" s="83">
        <v>851000</v>
      </c>
      <c r="P24" s="83">
        <v>3296475</v>
      </c>
      <c r="Q24" s="83">
        <v>2488600</v>
      </c>
      <c r="R24" s="82">
        <v>3200000</v>
      </c>
      <c r="S24" s="83">
        <v>2400510</v>
      </c>
      <c r="T24" s="82">
        <v>3286700</v>
      </c>
      <c r="U24" s="83">
        <v>6330750</v>
      </c>
      <c r="V24" s="83">
        <v>1008550</v>
      </c>
      <c r="W24" s="83">
        <v>179100</v>
      </c>
      <c r="X24" s="83">
        <v>2449500</v>
      </c>
      <c r="Y24" s="83">
        <v>1202900</v>
      </c>
      <c r="Z24" s="82">
        <v>3767860</v>
      </c>
      <c r="AA24" s="82">
        <v>1377700</v>
      </c>
      <c r="AB24" s="83">
        <v>2300460</v>
      </c>
      <c r="AC24" s="82">
        <v>878600</v>
      </c>
      <c r="AD24" s="83">
        <v>4192900</v>
      </c>
      <c r="AE24" s="83">
        <v>1263850</v>
      </c>
      <c r="AF24" s="82">
        <v>1334000</v>
      </c>
      <c r="AG24" s="82">
        <v>693450</v>
      </c>
      <c r="AH24" s="82">
        <v>0</v>
      </c>
      <c r="AI24" s="83">
        <v>6856810</v>
      </c>
      <c r="AJ24" s="83">
        <v>980000</v>
      </c>
      <c r="AK24" s="83">
        <v>1562850</v>
      </c>
      <c r="AL24" s="83">
        <v>3730600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14285303.666666668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204300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6200000</v>
      </c>
      <c r="D26" s="82">
        <v>150000</v>
      </c>
      <c r="E26" s="82">
        <v>200000</v>
      </c>
      <c r="F26" s="82">
        <v>200000</v>
      </c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250000</v>
      </c>
      <c r="N26" s="83">
        <v>250000</v>
      </c>
      <c r="O26" s="83">
        <v>200000</v>
      </c>
      <c r="P26" s="83">
        <v>300000</v>
      </c>
      <c r="Q26" s="83">
        <v>200000</v>
      </c>
      <c r="R26" s="82">
        <v>300000</v>
      </c>
      <c r="S26" s="83">
        <v>150000</v>
      </c>
      <c r="T26" s="82">
        <v>200000</v>
      </c>
      <c r="U26" s="83">
        <v>200000</v>
      </c>
      <c r="V26" s="83">
        <v>250000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500000</v>
      </c>
      <c r="AF26" s="82">
        <v>200000</v>
      </c>
      <c r="AG26" s="82"/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3240000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>
        <v>972000</v>
      </c>
      <c r="P27" s="83"/>
      <c r="Q27" s="82"/>
      <c r="R27" s="82"/>
      <c r="S27" s="82"/>
      <c r="T27" s="82"/>
      <c r="U27" s="82"/>
      <c r="V27" s="83">
        <v>1620000</v>
      </c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>
        <v>648000</v>
      </c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1847627039.3333337</v>
      </c>
      <c r="D29" s="60">
        <f>SUM(D21:D28)</f>
        <v>38423347</v>
      </c>
      <c r="E29" s="60">
        <f t="shared" ref="E29:AL29" si="3">SUM(E21:E28)</f>
        <v>98184593</v>
      </c>
      <c r="F29" s="60">
        <f t="shared" si="3"/>
        <v>42698213</v>
      </c>
      <c r="G29" s="60">
        <f t="shared" si="3"/>
        <v>26543751</v>
      </c>
      <c r="H29" s="60">
        <f t="shared" si="3"/>
        <v>45733460</v>
      </c>
      <c r="I29" s="60">
        <f t="shared" si="3"/>
        <v>30732736</v>
      </c>
      <c r="J29" s="60">
        <f t="shared" si="3"/>
        <v>24718649</v>
      </c>
      <c r="K29" s="60">
        <f t="shared" si="3"/>
        <v>33013511</v>
      </c>
      <c r="L29" s="60">
        <f t="shared" si="3"/>
        <v>38766863</v>
      </c>
      <c r="M29" s="60">
        <f t="shared" si="3"/>
        <v>61951931</v>
      </c>
      <c r="N29" s="60">
        <f t="shared" si="3"/>
        <v>78627712</v>
      </c>
      <c r="O29" s="60">
        <f t="shared" si="3"/>
        <v>35382012</v>
      </c>
      <c r="P29" s="60">
        <f t="shared" si="3"/>
        <v>52253339</v>
      </c>
      <c r="Q29" s="60">
        <f>SUM(Q21:Q28)</f>
        <v>41194631</v>
      </c>
      <c r="R29" s="60">
        <f t="shared" si="3"/>
        <v>89944606</v>
      </c>
      <c r="S29" s="60">
        <f t="shared" si="3"/>
        <v>30082982</v>
      </c>
      <c r="T29" s="60">
        <f t="shared" si="3"/>
        <v>32713250</v>
      </c>
      <c r="U29" s="60">
        <f t="shared" si="3"/>
        <v>131207574</v>
      </c>
      <c r="V29" s="60">
        <f t="shared" si="3"/>
        <v>57395350</v>
      </c>
      <c r="W29" s="60">
        <f t="shared" si="3"/>
        <v>56754930</v>
      </c>
      <c r="X29" s="60">
        <f t="shared" si="3"/>
        <v>80032774</v>
      </c>
      <c r="Y29" s="60">
        <f t="shared" si="3"/>
        <v>21303300</v>
      </c>
      <c r="Z29" s="60">
        <f t="shared" si="3"/>
        <v>45753658</v>
      </c>
      <c r="AA29" s="60">
        <f t="shared" si="3"/>
        <v>35976231</v>
      </c>
      <c r="AB29" s="60">
        <f>SUM(AB21:AB28)</f>
        <v>57265960</v>
      </c>
      <c r="AC29" s="60">
        <f t="shared" si="3"/>
        <v>20424545</v>
      </c>
      <c r="AD29" s="60">
        <f t="shared" si="3"/>
        <v>57178834</v>
      </c>
      <c r="AE29" s="60">
        <f t="shared" si="3"/>
        <v>31480899.666666668</v>
      </c>
      <c r="AF29" s="60">
        <f t="shared" si="3"/>
        <v>80532898.666666657</v>
      </c>
      <c r="AG29" s="60">
        <f t="shared" si="3"/>
        <v>31103221</v>
      </c>
      <c r="AH29" s="60">
        <f t="shared" si="3"/>
        <v>62077019</v>
      </c>
      <c r="AI29" s="60">
        <f t="shared" si="3"/>
        <v>177657240</v>
      </c>
      <c r="AJ29" s="60">
        <f>SUM(AJ21:AJ28)</f>
        <v>33372618</v>
      </c>
      <c r="AK29" s="60">
        <f t="shared" si="3"/>
        <v>31284234</v>
      </c>
      <c r="AL29" s="60">
        <f t="shared" si="3"/>
        <v>35860167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47748274.576043233</v>
      </c>
      <c r="D30" s="82">
        <v>776837.17483796284</v>
      </c>
      <c r="E30" s="83">
        <v>2484880.5558348056</v>
      </c>
      <c r="F30" s="82">
        <v>1112690.2572713518</v>
      </c>
      <c r="G30" s="82">
        <v>96000</v>
      </c>
      <c r="H30" s="82">
        <v>964949.84929276363</v>
      </c>
      <c r="I30" s="82">
        <v>776837.17483796284</v>
      </c>
      <c r="J30" s="83">
        <v>1005492.1466341744</v>
      </c>
      <c r="K30" s="82">
        <v>980933.86159333214</v>
      </c>
      <c r="L30" s="82">
        <v>906947.48858447489</v>
      </c>
      <c r="M30" s="82">
        <v>1642473.7145629204</v>
      </c>
      <c r="N30" s="83">
        <v>1757430.1266815101</v>
      </c>
      <c r="O30" s="83">
        <v>842752.57647058833</v>
      </c>
      <c r="P30" s="83">
        <v>2101980.757640617</v>
      </c>
      <c r="Q30" s="83">
        <v>2067711.0970346893</v>
      </c>
      <c r="R30" s="83">
        <v>1946532.4898394502</v>
      </c>
      <c r="S30" s="83">
        <v>1170000</v>
      </c>
      <c r="T30" s="82">
        <v>1273545.3974439502</v>
      </c>
      <c r="U30" s="83">
        <v>4244772.7965086801</v>
      </c>
      <c r="V30" s="83">
        <v>1584399.9466580774</v>
      </c>
      <c r="W30" s="83">
        <v>192000</v>
      </c>
      <c r="X30" s="83">
        <v>2788789.8688726537</v>
      </c>
      <c r="Y30" s="82">
        <v>592572.46616989898</v>
      </c>
      <c r="Z30" s="83">
        <v>1455087.7192982456</v>
      </c>
      <c r="AA30" s="82">
        <v>576185.69402803015</v>
      </c>
      <c r="AB30" s="82">
        <v>1519823.6426170531</v>
      </c>
      <c r="AC30" s="82">
        <v>711903.30705375643</v>
      </c>
      <c r="AD30" s="82">
        <v>1808625.8398413898</v>
      </c>
      <c r="AE30" s="82">
        <v>701232.85915673466</v>
      </c>
      <c r="AF30" s="82">
        <v>1344930.1677434936</v>
      </c>
      <c r="AG30" s="82">
        <v>664667.99242780753</v>
      </c>
      <c r="AH30" s="82">
        <v>1062398.9644534392</v>
      </c>
      <c r="AI30" s="83">
        <v>4149062.7544033714</v>
      </c>
      <c r="AJ30" s="83">
        <v>779607.84313725494</v>
      </c>
      <c r="AK30" s="82">
        <v>697000</v>
      </c>
      <c r="AL30" s="83">
        <v>967218.04511278204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4668213.4570765663</v>
      </c>
      <c r="D31" s="82">
        <v>92807.424593967517</v>
      </c>
      <c r="E31" s="83">
        <v>204176.33410672855</v>
      </c>
      <c r="F31" s="82">
        <v>111368.90951276102</v>
      </c>
      <c r="G31" s="82">
        <v>74245.939675174013</v>
      </c>
      <c r="H31" s="82">
        <v>83526.682134570758</v>
      </c>
      <c r="I31" s="82">
        <v>74245.939675174013</v>
      </c>
      <c r="J31" s="83">
        <v>83526.682134570758</v>
      </c>
      <c r="K31" s="82">
        <v>83526.682134570758</v>
      </c>
      <c r="L31" s="82">
        <v>102088.16705336428</v>
      </c>
      <c r="M31" s="82">
        <v>176334.10672853829</v>
      </c>
      <c r="N31" s="83">
        <v>176334.10672853829</v>
      </c>
      <c r="O31" s="83">
        <v>83526.682134570758</v>
      </c>
      <c r="P31" s="83">
        <v>176334.10672853829</v>
      </c>
      <c r="Q31" s="83">
        <v>157772.62180974477</v>
      </c>
      <c r="R31" s="83">
        <v>167053.36426914152</v>
      </c>
      <c r="S31" s="83">
        <v>83526.682134570758</v>
      </c>
      <c r="T31" s="82">
        <v>92807.424593967517</v>
      </c>
      <c r="U31" s="83">
        <v>352668.21345707658</v>
      </c>
      <c r="V31" s="83">
        <v>139211.13689095128</v>
      </c>
      <c r="W31" s="83">
        <v>148491.87935034803</v>
      </c>
      <c r="X31" s="83">
        <v>222737.81902552204</v>
      </c>
      <c r="Y31" s="82">
        <v>55684.45475638051</v>
      </c>
      <c r="Z31" s="83">
        <v>120649.65197215776</v>
      </c>
      <c r="AA31" s="82">
        <v>55684.45475638051</v>
      </c>
      <c r="AB31" s="82">
        <v>120649.65197215776</v>
      </c>
      <c r="AC31" s="82">
        <v>64965.197215777262</v>
      </c>
      <c r="AD31" s="82">
        <v>167053.36426914152</v>
      </c>
      <c r="AE31" s="82">
        <v>74245.939675174013</v>
      </c>
      <c r="AF31" s="82">
        <v>185614.84918793503</v>
      </c>
      <c r="AG31" s="82">
        <v>74245.939675174013</v>
      </c>
      <c r="AH31" s="82">
        <v>148491.87935034803</v>
      </c>
      <c r="AI31" s="83">
        <v>464037.12296983757</v>
      </c>
      <c r="AJ31" s="83">
        <v>102088.16705336428</v>
      </c>
      <c r="AK31" s="82">
        <v>74245.939675174013</v>
      </c>
      <c r="AL31" s="83">
        <v>74245.939675174013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7145177.8808971383</v>
      </c>
      <c r="D32" s="82">
        <v>147339.52049497294</v>
      </c>
      <c r="E32" s="83">
        <v>324146.94508894044</v>
      </c>
      <c r="F32" s="82">
        <v>176807.4245939675</v>
      </c>
      <c r="G32" s="82">
        <v>117871.61639597834</v>
      </c>
      <c r="H32" s="82">
        <v>132605.56844547566</v>
      </c>
      <c r="I32" s="82">
        <v>117871.61639597834</v>
      </c>
      <c r="J32" s="83">
        <v>132605.56844547566</v>
      </c>
      <c r="K32" s="82">
        <v>132605.56844547566</v>
      </c>
      <c r="L32" s="82">
        <v>162073.47254447022</v>
      </c>
      <c r="M32" s="82">
        <v>279945.08894044859</v>
      </c>
      <c r="N32" s="83">
        <v>279945.08894044859</v>
      </c>
      <c r="O32" s="83">
        <v>132605.56844547566</v>
      </c>
      <c r="P32" s="83">
        <v>279945.08894044859</v>
      </c>
      <c r="Q32" s="83">
        <v>250477.18484145397</v>
      </c>
      <c r="R32" s="83">
        <v>265211.13689095131</v>
      </c>
      <c r="S32" s="83">
        <v>132605.56844547566</v>
      </c>
      <c r="T32" s="82">
        <v>147339.52049497294</v>
      </c>
      <c r="U32" s="83">
        <v>293890.17788089713</v>
      </c>
      <c r="V32" s="83">
        <v>221009.28074245941</v>
      </c>
      <c r="W32" s="83">
        <v>235743.23279195669</v>
      </c>
      <c r="X32" s="83">
        <v>353614.849187935</v>
      </c>
      <c r="Y32" s="82">
        <v>88403.712296983751</v>
      </c>
      <c r="Z32" s="83">
        <v>191541.37664346481</v>
      </c>
      <c r="AA32" s="82">
        <v>88403.712296983751</v>
      </c>
      <c r="AB32" s="82">
        <v>191541.37664346481</v>
      </c>
      <c r="AC32" s="82">
        <v>103137.66434648105</v>
      </c>
      <c r="AD32" s="82">
        <v>265211.13689095131</v>
      </c>
      <c r="AE32" s="82">
        <v>117871.61639597834</v>
      </c>
      <c r="AF32" s="82">
        <v>294679.04098994588</v>
      </c>
      <c r="AG32" s="82">
        <v>117871.61639597834</v>
      </c>
      <c r="AH32" s="82">
        <v>235743.23279195669</v>
      </c>
      <c r="AI32" s="83">
        <v>736697.60247486457</v>
      </c>
      <c r="AJ32" s="83">
        <v>162073.47254447022</v>
      </c>
      <c r="AK32" s="82">
        <v>117871.61639597834</v>
      </c>
      <c r="AL32" s="83">
        <v>117871.61639597834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5437142.3047177112</v>
      </c>
      <c r="D33" s="82">
        <v>111871.61639597834</v>
      </c>
      <c r="E33" s="83">
        <v>246117.55607115236</v>
      </c>
      <c r="F33" s="82">
        <v>134245.93967517401</v>
      </c>
      <c r="G33" s="82">
        <v>89497.293116782675</v>
      </c>
      <c r="H33" s="82">
        <v>100684.45475638051</v>
      </c>
      <c r="I33" s="82">
        <v>89497.293116782675</v>
      </c>
      <c r="J33" s="83">
        <v>100684.45475638051</v>
      </c>
      <c r="K33" s="82">
        <v>100684.45475638051</v>
      </c>
      <c r="L33" s="82">
        <v>123058.77803557618</v>
      </c>
      <c r="M33" s="82">
        <v>212556.07115235884</v>
      </c>
      <c r="N33" s="83">
        <v>212556.07115235884</v>
      </c>
      <c r="O33" s="83">
        <v>100684.45475638051</v>
      </c>
      <c r="P33" s="83">
        <v>212556.07115235884</v>
      </c>
      <c r="Q33" s="83">
        <v>190181.7478731632</v>
      </c>
      <c r="R33" s="83">
        <v>201368.90951276102</v>
      </c>
      <c r="S33" s="83">
        <v>100684.45475638051</v>
      </c>
      <c r="T33" s="82">
        <v>111871.61639597834</v>
      </c>
      <c r="U33" s="83">
        <v>235112.14230471771</v>
      </c>
      <c r="V33" s="83">
        <v>167807.4245939675</v>
      </c>
      <c r="W33" s="83">
        <v>178994.58623356535</v>
      </c>
      <c r="X33" s="83">
        <v>268491.87935034803</v>
      </c>
      <c r="Y33" s="82">
        <v>67122.969837587007</v>
      </c>
      <c r="Z33" s="83">
        <v>145433.10131477186</v>
      </c>
      <c r="AA33" s="82">
        <v>67122.969837587007</v>
      </c>
      <c r="AB33" s="82">
        <v>145433.10131477186</v>
      </c>
      <c r="AC33" s="82">
        <v>78310.131477184841</v>
      </c>
      <c r="AD33" s="82">
        <v>201368.90951276102</v>
      </c>
      <c r="AE33" s="82">
        <v>89497.293116782675</v>
      </c>
      <c r="AF33" s="82">
        <v>223743.23279195669</v>
      </c>
      <c r="AG33" s="82">
        <v>89497.293116782675</v>
      </c>
      <c r="AH33" s="82">
        <v>178994.58623356535</v>
      </c>
      <c r="AI33" s="83">
        <v>559358.08197989175</v>
      </c>
      <c r="AJ33" s="83">
        <v>123058.77803557618</v>
      </c>
      <c r="AK33" s="82">
        <v>89497.293116782675</v>
      </c>
      <c r="AL33" s="83">
        <v>89497.293116782675</v>
      </c>
    </row>
    <row r="34" spans="1:38" s="68" customFormat="1" ht="24" customHeight="1" x14ac:dyDescent="0.3">
      <c r="A34" s="133"/>
      <c r="B34" s="67" t="s">
        <v>167</v>
      </c>
      <c r="C34" s="62">
        <f t="shared" si="4"/>
        <v>1167053.3642691416</v>
      </c>
      <c r="D34" s="82">
        <v>23201.856148491879</v>
      </c>
      <c r="E34" s="83">
        <v>51044.083526682138</v>
      </c>
      <c r="F34" s="82">
        <v>27842.227378190255</v>
      </c>
      <c r="G34" s="82">
        <v>18561.484918793503</v>
      </c>
      <c r="H34" s="82">
        <v>20881.670533642689</v>
      </c>
      <c r="I34" s="82">
        <v>18561.484918793503</v>
      </c>
      <c r="J34" s="83">
        <v>20881.670533642689</v>
      </c>
      <c r="K34" s="82">
        <v>20881.670533642689</v>
      </c>
      <c r="L34" s="82">
        <v>25522.041763341069</v>
      </c>
      <c r="M34" s="82">
        <v>44083.526682134572</v>
      </c>
      <c r="N34" s="83">
        <v>44083.526682134572</v>
      </c>
      <c r="O34" s="83">
        <v>20881.670533642689</v>
      </c>
      <c r="P34" s="83">
        <v>44083.526682134572</v>
      </c>
      <c r="Q34" s="83">
        <v>39443.155452436193</v>
      </c>
      <c r="R34" s="83">
        <v>41763.341067285379</v>
      </c>
      <c r="S34" s="83">
        <v>20881.670533642689</v>
      </c>
      <c r="T34" s="82">
        <v>23201.856148491879</v>
      </c>
      <c r="U34" s="83">
        <v>88167.053364269144</v>
      </c>
      <c r="V34" s="83">
        <v>34802.784222737821</v>
      </c>
      <c r="W34" s="83">
        <v>37122.969837587007</v>
      </c>
      <c r="X34" s="83">
        <v>55684.45475638051</v>
      </c>
      <c r="Y34" s="82">
        <v>13921.113689095127</v>
      </c>
      <c r="Z34" s="83">
        <v>30162.412993039441</v>
      </c>
      <c r="AA34" s="82">
        <v>13921.113689095127</v>
      </c>
      <c r="AB34" s="82">
        <v>30162.412993039441</v>
      </c>
      <c r="AC34" s="82">
        <v>16241.299303944315</v>
      </c>
      <c r="AD34" s="82">
        <v>41763.341067285379</v>
      </c>
      <c r="AE34" s="82">
        <v>18561.484918793503</v>
      </c>
      <c r="AF34" s="82">
        <v>46403.712296983758</v>
      </c>
      <c r="AG34" s="82">
        <v>18561.484918793503</v>
      </c>
      <c r="AH34" s="82">
        <v>37122.969837587007</v>
      </c>
      <c r="AI34" s="82">
        <v>116009.28074245939</v>
      </c>
      <c r="AJ34" s="83">
        <v>25522.041763341069</v>
      </c>
      <c r="AK34" s="82">
        <v>18561.484918793503</v>
      </c>
      <c r="AL34" s="83">
        <v>18561.484918793503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16768162.829079662</v>
      </c>
      <c r="D35" s="82">
        <v>333363.07811291568</v>
      </c>
      <c r="E35" s="83">
        <v>733398.77184841456</v>
      </c>
      <c r="F35" s="82">
        <v>400035.69373549882</v>
      </c>
      <c r="G35" s="82">
        <v>266690.46249033255</v>
      </c>
      <c r="H35" s="82">
        <v>300026.77030162408</v>
      </c>
      <c r="I35" s="82">
        <v>266690.46249033255</v>
      </c>
      <c r="J35" s="83">
        <v>300026.77030162408</v>
      </c>
      <c r="K35" s="82">
        <v>300026.77030162408</v>
      </c>
      <c r="L35" s="82">
        <v>366699.38592420728</v>
      </c>
      <c r="M35" s="82">
        <v>633389.84841453983</v>
      </c>
      <c r="N35" s="83">
        <v>633389.84841453983</v>
      </c>
      <c r="O35" s="83">
        <v>300026.77030162408</v>
      </c>
      <c r="P35" s="83">
        <v>633389.84841453983</v>
      </c>
      <c r="Q35" s="83">
        <v>566717.23279195663</v>
      </c>
      <c r="R35" s="83">
        <v>600053.54060324817</v>
      </c>
      <c r="S35" s="83">
        <v>300026.77030162408</v>
      </c>
      <c r="T35" s="82">
        <v>333363.07811291568</v>
      </c>
      <c r="U35" s="83">
        <v>1266779.6968290797</v>
      </c>
      <c r="V35" s="83">
        <v>500044.61716937355</v>
      </c>
      <c r="W35" s="83">
        <v>533380.92498066509</v>
      </c>
      <c r="X35" s="83">
        <v>800071.38747099764</v>
      </c>
      <c r="Y35" s="82">
        <v>200017.84686774941</v>
      </c>
      <c r="Z35" s="83">
        <v>433372.00154679036</v>
      </c>
      <c r="AA35" s="82">
        <v>200017.84686774941</v>
      </c>
      <c r="AB35" s="82">
        <v>433372.00154679036</v>
      </c>
      <c r="AC35" s="82">
        <v>233354.15467904098</v>
      </c>
      <c r="AD35" s="82">
        <v>600053.54060324817</v>
      </c>
      <c r="AE35" s="82">
        <v>266690.46249033255</v>
      </c>
      <c r="AF35" s="82">
        <v>666726.15622583136</v>
      </c>
      <c r="AG35" s="82">
        <v>266690.46249033255</v>
      </c>
      <c r="AH35" s="82">
        <v>533380.92498066509</v>
      </c>
      <c r="AI35" s="82">
        <v>1666815.3905645784</v>
      </c>
      <c r="AJ35" s="83">
        <v>366699.38592420728</v>
      </c>
      <c r="AK35" s="82">
        <v>266690.46249033255</v>
      </c>
      <c r="AL35" s="83">
        <v>266690.46249033255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16000000</v>
      </c>
      <c r="D36" s="82">
        <v>400000</v>
      </c>
      <c r="E36" s="83">
        <v>550000</v>
      </c>
      <c r="F36" s="82">
        <v>400000</v>
      </c>
      <c r="G36" s="82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550000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6158035.576179428</v>
      </c>
      <c r="D37" s="82">
        <v>125467.90409899459</v>
      </c>
      <c r="E37" s="83">
        <v>264029.38901778811</v>
      </c>
      <c r="F37" s="82">
        <v>148561.48491879349</v>
      </c>
      <c r="G37" s="82">
        <v>102374.32327919567</v>
      </c>
      <c r="H37" s="82">
        <v>113921.11368909513</v>
      </c>
      <c r="I37" s="82">
        <v>102374.32327919567</v>
      </c>
      <c r="J37" s="83">
        <v>113921.11368909513</v>
      </c>
      <c r="K37" s="82">
        <v>113921.11368909513</v>
      </c>
      <c r="L37" s="82">
        <v>137014.69450889406</v>
      </c>
      <c r="M37" s="82">
        <v>229389.01778808972</v>
      </c>
      <c r="N37" s="83">
        <v>229389.01778808972</v>
      </c>
      <c r="O37" s="83">
        <v>113921.11368909513</v>
      </c>
      <c r="P37" s="83">
        <v>229389.01778808972</v>
      </c>
      <c r="Q37" s="83">
        <v>206295.4369682908</v>
      </c>
      <c r="R37" s="83">
        <v>217842.22737819026</v>
      </c>
      <c r="S37" s="83">
        <v>113921.11368909513</v>
      </c>
      <c r="T37" s="82">
        <v>125467.90409899459</v>
      </c>
      <c r="U37" s="83">
        <v>448778.03557617945</v>
      </c>
      <c r="V37" s="83">
        <v>183201.85614849188</v>
      </c>
      <c r="W37" s="83">
        <v>194748.64655839134</v>
      </c>
      <c r="X37" s="83">
        <v>287122.96983758698</v>
      </c>
      <c r="Y37" s="82">
        <v>79280.742459396744</v>
      </c>
      <c r="Z37" s="83">
        <v>160108.27532869295</v>
      </c>
      <c r="AA37" s="82">
        <v>79280.742459396744</v>
      </c>
      <c r="AB37" s="82">
        <v>160108.27532869295</v>
      </c>
      <c r="AC37" s="82">
        <v>90827.532869296207</v>
      </c>
      <c r="AD37" s="82">
        <v>217842.22737819026</v>
      </c>
      <c r="AE37" s="82">
        <v>102374.32327919567</v>
      </c>
      <c r="AF37" s="82">
        <v>240935.80819798919</v>
      </c>
      <c r="AG37" s="82">
        <v>102374.32327919567</v>
      </c>
      <c r="AH37" s="82">
        <v>194748.64655839134</v>
      </c>
      <c r="AI37" s="82">
        <v>587339.52049497294</v>
      </c>
      <c r="AJ37" s="83">
        <v>137014.69450889406</v>
      </c>
      <c r="AK37" s="82">
        <v>102374.32327919567</v>
      </c>
      <c r="AL37" s="83">
        <v>102374.32327919567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8558391.3379737046</v>
      </c>
      <c r="D38" s="82">
        <v>170146.94508894044</v>
      </c>
      <c r="E38" s="83">
        <v>374323.27919566899</v>
      </c>
      <c r="F38" s="82">
        <v>204176.33410672855</v>
      </c>
      <c r="G38" s="82">
        <v>136117.55607115236</v>
      </c>
      <c r="H38" s="82">
        <v>153132.25058004641</v>
      </c>
      <c r="I38" s="82">
        <v>136117.55607115236</v>
      </c>
      <c r="J38" s="83">
        <v>153132.25058004641</v>
      </c>
      <c r="K38" s="82">
        <v>153132.25058004641</v>
      </c>
      <c r="L38" s="82">
        <v>187161.6395978345</v>
      </c>
      <c r="M38" s="82">
        <v>323279.19566898682</v>
      </c>
      <c r="N38" s="83">
        <v>323279.19566898682</v>
      </c>
      <c r="O38" s="83">
        <v>153132.25058004641</v>
      </c>
      <c r="P38" s="83">
        <v>323279.19566898682</v>
      </c>
      <c r="Q38" s="83">
        <v>289249.80665119877</v>
      </c>
      <c r="R38" s="83">
        <v>306264.50116009283</v>
      </c>
      <c r="S38" s="83">
        <v>153132.25058004641</v>
      </c>
      <c r="T38" s="82">
        <v>170146.94508894044</v>
      </c>
      <c r="U38" s="83">
        <v>646558.39133797365</v>
      </c>
      <c r="V38" s="83">
        <v>255220.41763341066</v>
      </c>
      <c r="W38" s="83">
        <v>272235.11214230472</v>
      </c>
      <c r="X38" s="83">
        <v>408352.6682134571</v>
      </c>
      <c r="Y38" s="82">
        <v>102088.16705336428</v>
      </c>
      <c r="Z38" s="83">
        <v>221191.02861562258</v>
      </c>
      <c r="AA38" s="83">
        <v>102088.16705336428</v>
      </c>
      <c r="AB38" s="82">
        <v>221191.02861562258</v>
      </c>
      <c r="AC38" s="82">
        <v>119102.86156225832</v>
      </c>
      <c r="AD38" s="82">
        <v>306264.50116009283</v>
      </c>
      <c r="AE38" s="82">
        <v>136117.55607115236</v>
      </c>
      <c r="AF38" s="82">
        <v>340293.89017788088</v>
      </c>
      <c r="AG38" s="82">
        <v>136117.55607115236</v>
      </c>
      <c r="AH38" s="82">
        <v>272235.11214230472</v>
      </c>
      <c r="AI38" s="82">
        <v>850734.7254447022</v>
      </c>
      <c r="AJ38" s="83">
        <v>187161.6395978345</v>
      </c>
      <c r="AK38" s="82">
        <v>136117.55607115236</v>
      </c>
      <c r="AL38" s="83">
        <v>136117.55607115236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5000000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5000000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37494311.67362722</v>
      </c>
      <c r="D40" s="82">
        <v>745413.75096674403</v>
      </c>
      <c r="E40" s="83">
        <v>1639910.2521268367</v>
      </c>
      <c r="F40" s="82">
        <v>894496.50116009277</v>
      </c>
      <c r="G40" s="82">
        <v>596331.00077339518</v>
      </c>
      <c r="H40" s="82">
        <v>670872.37587006961</v>
      </c>
      <c r="I40" s="82">
        <v>596331.00077339518</v>
      </c>
      <c r="J40" s="83">
        <v>670872.37587006961</v>
      </c>
      <c r="K40" s="82">
        <v>670872.37587006961</v>
      </c>
      <c r="L40" s="82">
        <v>819955.12606341834</v>
      </c>
      <c r="M40" s="82">
        <v>1416286.1268368135</v>
      </c>
      <c r="N40" s="83">
        <v>1416286.1268368135</v>
      </c>
      <c r="O40" s="83">
        <v>670872.37587006961</v>
      </c>
      <c r="P40" s="83">
        <v>1416286.1268368135</v>
      </c>
      <c r="Q40" s="83">
        <v>1267203.3766434647</v>
      </c>
      <c r="R40" s="83">
        <v>1341744.7517401392</v>
      </c>
      <c r="S40" s="83">
        <v>670872.37587006961</v>
      </c>
      <c r="T40" s="82">
        <v>745413.75096674403</v>
      </c>
      <c r="U40" s="83">
        <v>2832572.253673627</v>
      </c>
      <c r="V40" s="83">
        <v>1118120.626450116</v>
      </c>
      <c r="W40" s="83">
        <v>1192662.0015467904</v>
      </c>
      <c r="X40" s="83">
        <v>1788993.0023201855</v>
      </c>
      <c r="Y40" s="82">
        <v>447248.25058004638</v>
      </c>
      <c r="Z40" s="83">
        <v>969037.87625676719</v>
      </c>
      <c r="AA40" s="82">
        <v>447248.25058004638</v>
      </c>
      <c r="AB40" s="82">
        <v>969037.87625676719</v>
      </c>
      <c r="AC40" s="82">
        <v>521789.62567672075</v>
      </c>
      <c r="AD40" s="82">
        <v>1341744.7517401392</v>
      </c>
      <c r="AE40" s="82">
        <v>596331.00077339518</v>
      </c>
      <c r="AF40" s="82">
        <v>1490827.5019334881</v>
      </c>
      <c r="AG40" s="82">
        <v>596331.00077339518</v>
      </c>
      <c r="AH40" s="82">
        <v>1192662.0015467904</v>
      </c>
      <c r="AI40" s="82">
        <v>3727068.7548337197</v>
      </c>
      <c r="AJ40" s="83">
        <v>819955.12606341834</v>
      </c>
      <c r="AK40" s="82">
        <v>596331.00077339518</v>
      </c>
      <c r="AL40" s="83">
        <v>596331.00077339518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61894729.983758688</v>
      </c>
      <c r="D41" s="82">
        <v>2844842</v>
      </c>
      <c r="E41" s="82">
        <v>2810653</v>
      </c>
      <c r="F41" s="82">
        <v>305810.67285382829</v>
      </c>
      <c r="G41" s="82">
        <v>4158874</v>
      </c>
      <c r="H41" s="82">
        <v>229358.00464037122</v>
      </c>
      <c r="I41" s="82">
        <v>203873.7819025522</v>
      </c>
      <c r="J41" s="83">
        <v>929358</v>
      </c>
      <c r="K41" s="68">
        <v>3329358</v>
      </c>
      <c r="L41" s="68">
        <v>3440326</v>
      </c>
      <c r="M41" s="82">
        <v>2284200</v>
      </c>
      <c r="N41" s="82">
        <v>2284200</v>
      </c>
      <c r="O41" s="82">
        <v>2382691</v>
      </c>
      <c r="P41" s="68">
        <v>3534200</v>
      </c>
      <c r="Q41" s="83">
        <v>1683232</v>
      </c>
      <c r="R41" s="83">
        <v>970716</v>
      </c>
      <c r="S41" s="83">
        <v>229358.00464037122</v>
      </c>
      <c r="T41" s="68">
        <v>254842.22737819026</v>
      </c>
      <c r="U41" s="82">
        <v>6513400</v>
      </c>
      <c r="V41" s="83">
        <v>7345597</v>
      </c>
      <c r="W41" s="82">
        <v>2750248</v>
      </c>
      <c r="X41" s="90">
        <v>611621.34570765658</v>
      </c>
      <c r="Y41" s="82">
        <v>152905.33642691415</v>
      </c>
      <c r="Z41" s="83">
        <v>331294.89559164731</v>
      </c>
      <c r="AA41" s="82">
        <v>2077905</v>
      </c>
      <c r="AB41" s="82">
        <v>331294.89559164731</v>
      </c>
      <c r="AC41" s="82">
        <v>178389.55916473319</v>
      </c>
      <c r="AD41" s="82">
        <v>458716.00928074244</v>
      </c>
      <c r="AE41" s="82">
        <v>3353874</v>
      </c>
      <c r="AF41" s="82">
        <v>509684.45475638052</v>
      </c>
      <c r="AG41" s="68">
        <v>203873.7819025522</v>
      </c>
      <c r="AH41" s="82">
        <v>2737748</v>
      </c>
      <c r="AI41" s="68">
        <v>1774211</v>
      </c>
      <c r="AJ41" s="68">
        <v>280326.45011600928</v>
      </c>
      <c r="AK41" s="68">
        <v>203873.7819025522</v>
      </c>
      <c r="AL41" s="83">
        <v>203873.7819025522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7299000</v>
      </c>
      <c r="D42" s="82">
        <v>625000</v>
      </c>
      <c r="E42" s="83">
        <v>150000</v>
      </c>
      <c r="F42" s="82">
        <v>1000000</v>
      </c>
      <c r="G42" s="82">
        <v>90000</v>
      </c>
      <c r="H42" s="82">
        <v>40000</v>
      </c>
      <c r="I42" s="82"/>
      <c r="J42" s="82">
        <v>35000</v>
      </c>
      <c r="L42" s="68">
        <v>880000</v>
      </c>
      <c r="N42" s="82"/>
      <c r="O42" s="82"/>
      <c r="P42" s="68">
        <v>25000</v>
      </c>
      <c r="Q42" s="82"/>
      <c r="R42" s="68">
        <v>295000</v>
      </c>
      <c r="S42" s="82"/>
      <c r="T42" s="68">
        <v>265000</v>
      </c>
      <c r="U42" s="82">
        <v>461000</v>
      </c>
      <c r="V42" s="82">
        <v>50000</v>
      </c>
      <c r="W42" s="82">
        <v>160000</v>
      </c>
      <c r="X42" s="82"/>
      <c r="Y42" s="82"/>
      <c r="Z42" s="82"/>
      <c r="AA42" s="82"/>
      <c r="AB42" s="82">
        <v>255000</v>
      </c>
      <c r="AC42" s="82"/>
      <c r="AD42" s="82">
        <v>260000</v>
      </c>
      <c r="AE42" s="82"/>
      <c r="AF42" s="82">
        <v>40000</v>
      </c>
      <c r="AG42" s="68">
        <v>600000</v>
      </c>
      <c r="AH42" s="82">
        <v>845000</v>
      </c>
      <c r="AI42" s="68">
        <v>1025000</v>
      </c>
      <c r="AJ42" s="68">
        <v>110000</v>
      </c>
      <c r="AK42" s="68">
        <v>88000</v>
      </c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28521500</v>
      </c>
      <c r="D43" s="82">
        <v>440000</v>
      </c>
      <c r="E43" s="82">
        <v>270000</v>
      </c>
      <c r="F43" s="82">
        <v>700000</v>
      </c>
      <c r="G43" s="67">
        <v>2065000</v>
      </c>
      <c r="H43" s="67"/>
      <c r="I43" s="67">
        <v>200000</v>
      </c>
      <c r="J43" s="82">
        <v>100000</v>
      </c>
      <c r="K43" s="82"/>
      <c r="L43" s="68">
        <v>1638000</v>
      </c>
      <c r="M43" s="68">
        <v>800000</v>
      </c>
      <c r="N43" s="82"/>
      <c r="O43" s="68">
        <v>2065000</v>
      </c>
      <c r="P43" s="68">
        <v>3675000</v>
      </c>
      <c r="Q43" s="68">
        <v>716000</v>
      </c>
      <c r="R43" s="68">
        <v>185000</v>
      </c>
      <c r="S43" s="82"/>
      <c r="T43" s="82"/>
      <c r="U43" s="68">
        <v>1126500</v>
      </c>
      <c r="V43" s="82">
        <v>602500</v>
      </c>
      <c r="W43" s="82">
        <v>378000</v>
      </c>
      <c r="X43" s="83">
        <v>340000</v>
      </c>
      <c r="Y43" s="68">
        <v>80000</v>
      </c>
      <c r="Z43" s="82"/>
      <c r="AA43" s="82">
        <v>615000</v>
      </c>
      <c r="AB43" s="82">
        <v>914500</v>
      </c>
      <c r="AC43" s="82">
        <v>834500</v>
      </c>
      <c r="AD43" s="68">
        <v>1185000</v>
      </c>
      <c r="AE43" s="82"/>
      <c r="AF43" s="68">
        <v>438000</v>
      </c>
      <c r="AG43" s="82"/>
      <c r="AH43" s="68">
        <v>2700000</v>
      </c>
      <c r="AI43" s="68">
        <v>2980000</v>
      </c>
      <c r="AJ43" s="68">
        <v>3045000</v>
      </c>
      <c r="AK43" s="82">
        <v>328500</v>
      </c>
      <c r="AL43" s="68">
        <v>100000</v>
      </c>
    </row>
    <row r="44" spans="1:38" s="93" customFormat="1" ht="13" x14ac:dyDescent="0.3">
      <c r="A44" s="91" t="s">
        <v>45</v>
      </c>
      <c r="B44" s="92"/>
      <c r="C44" s="62">
        <f>SUM(C30:C43)</f>
        <v>253859992.98362249</v>
      </c>
      <c r="D44" s="92">
        <f t="shared" ref="D44:AL44" si="5">SUM(D30:D43)</f>
        <v>6836291.2707389686</v>
      </c>
      <c r="E44" s="92">
        <f t="shared" si="5"/>
        <v>10102680.166817017</v>
      </c>
      <c r="F44" s="92">
        <f t="shared" si="5"/>
        <v>5616035.445206387</v>
      </c>
      <c r="G44" s="92">
        <f t="shared" si="5"/>
        <v>8211563.6767208045</v>
      </c>
      <c r="H44" s="92">
        <f t="shared" si="5"/>
        <v>3209958.7402440393</v>
      </c>
      <c r="I44" s="92">
        <f t="shared" si="5"/>
        <v>2932400.6334613194</v>
      </c>
      <c r="J44" s="92">
        <f t="shared" si="5"/>
        <v>4045501.0329450793</v>
      </c>
      <c r="K44" s="92">
        <f t="shared" si="5"/>
        <v>6285942.7479042374</v>
      </c>
      <c r="L44" s="92">
        <f t="shared" si="5"/>
        <v>9188846.7940755803</v>
      </c>
      <c r="M44" s="92">
        <f t="shared" si="5"/>
        <v>8591936.696774831</v>
      </c>
      <c r="N44" s="92">
        <f t="shared" si="5"/>
        <v>7906893.1088934205</v>
      </c>
      <c r="O44" s="92">
        <f t="shared" si="5"/>
        <v>7266094.4627814926</v>
      </c>
      <c r="P44" s="92">
        <f>SUM(P30:P43)</f>
        <v>13201443.739852527</v>
      </c>
      <c r="Q44" s="92">
        <f t="shared" si="5"/>
        <v>7984283.6600663988</v>
      </c>
      <c r="R44" s="92">
        <f t="shared" si="5"/>
        <v>7088550.26246126</v>
      </c>
      <c r="S44" s="92">
        <f t="shared" si="5"/>
        <v>3325008.8909512758</v>
      </c>
      <c r="T44" s="92">
        <f t="shared" si="5"/>
        <v>3942999.7207231456</v>
      </c>
      <c r="U44" s="92">
        <f t="shared" si="5"/>
        <v>24310198.760932501</v>
      </c>
      <c r="V44" s="92">
        <f t="shared" si="5"/>
        <v>12601915.090509586</v>
      </c>
      <c r="W44" s="92">
        <f t="shared" si="5"/>
        <v>6473627.3534416081</v>
      </c>
      <c r="X44" s="92">
        <f t="shared" si="5"/>
        <v>8475480.2447427232</v>
      </c>
      <c r="Y44" s="92">
        <f t="shared" si="5"/>
        <v>2279245.0601374162</v>
      </c>
      <c r="Z44" s="92">
        <f t="shared" si="5"/>
        <v>4457878.3395611998</v>
      </c>
      <c r="AA44" s="92">
        <f t="shared" si="5"/>
        <v>4722857.9515686333</v>
      </c>
      <c r="AB44" s="92">
        <f t="shared" si="5"/>
        <v>5692114.2628800077</v>
      </c>
      <c r="AC44" s="92">
        <f t="shared" si="5"/>
        <v>3352521.3333491934</v>
      </c>
      <c r="AD44" s="92">
        <f t="shared" si="5"/>
        <v>7403643.6217439417</v>
      </c>
      <c r="AE44" s="92">
        <f t="shared" si="5"/>
        <v>5856796.5358775388</v>
      </c>
      <c r="AF44" s="92">
        <f t="shared" si="5"/>
        <v>6371838.8143018857</v>
      </c>
      <c r="AG44" s="92">
        <f t="shared" si="5"/>
        <v>3270231.451051164</v>
      </c>
      <c r="AH44" s="92">
        <f t="shared" si="5"/>
        <v>10688526.317895047</v>
      </c>
      <c r="AI44" s="92">
        <f t="shared" si="5"/>
        <v>19436334.2339084</v>
      </c>
      <c r="AJ44" s="92">
        <f t="shared" si="5"/>
        <v>6538507.59874437</v>
      </c>
      <c r="AK44" s="92">
        <f t="shared" si="5"/>
        <v>3119063.4586233567</v>
      </c>
      <c r="AL44" s="92">
        <f t="shared" si="5"/>
        <v>3072781.5037361379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2101487032.3169563</v>
      </c>
      <c r="D45" s="95">
        <f t="shared" si="6"/>
        <v>45259638.270738967</v>
      </c>
      <c r="E45" s="95">
        <f t="shared" si="6"/>
        <v>108287273.16681701</v>
      </c>
      <c r="F45" s="95">
        <f t="shared" si="6"/>
        <v>48314248.445206389</v>
      </c>
      <c r="G45" s="95">
        <f t="shared" si="6"/>
        <v>34755314.676720805</v>
      </c>
      <c r="H45" s="95">
        <f t="shared" si="6"/>
        <v>48943418.740244038</v>
      </c>
      <c r="I45" s="95">
        <f t="shared" si="6"/>
        <v>33665136.633461319</v>
      </c>
      <c r="J45" s="95">
        <f t="shared" si="6"/>
        <v>28764150.032945078</v>
      </c>
      <c r="K45" s="95">
        <f t="shared" si="6"/>
        <v>39299453.747904241</v>
      </c>
      <c r="L45" s="95">
        <f t="shared" si="6"/>
        <v>47955709.794075578</v>
      </c>
      <c r="M45" s="95">
        <f t="shared" si="6"/>
        <v>70543867.696774825</v>
      </c>
      <c r="N45" s="95">
        <f t="shared" si="6"/>
        <v>86534605.108893424</v>
      </c>
      <c r="O45" s="95">
        <f t="shared" si="6"/>
        <v>42648106.462781489</v>
      </c>
      <c r="P45" s="95">
        <f t="shared" si="6"/>
        <v>65454782.739852525</v>
      </c>
      <c r="Q45" s="95">
        <f t="shared" si="6"/>
        <v>49178914.660066396</v>
      </c>
      <c r="R45" s="95">
        <f t="shared" si="6"/>
        <v>97033156.26246126</v>
      </c>
      <c r="S45" s="95">
        <f t="shared" si="6"/>
        <v>33407990.890951276</v>
      </c>
      <c r="T45" s="95">
        <f t="shared" si="6"/>
        <v>36656249.720723145</v>
      </c>
      <c r="U45" s="95">
        <f t="shared" si="6"/>
        <v>155517772.76093251</v>
      </c>
      <c r="V45" s="95">
        <f t="shared" si="6"/>
        <v>69997265.090509593</v>
      </c>
      <c r="W45" s="95">
        <f t="shared" si="6"/>
        <v>63228557.353441611</v>
      </c>
      <c r="X45" s="95">
        <f t="shared" si="6"/>
        <v>88508254.244742721</v>
      </c>
      <c r="Y45" s="95">
        <f t="shared" si="6"/>
        <v>23582545.060137417</v>
      </c>
      <c r="Z45" s="95">
        <f t="shared" si="6"/>
        <v>50211536.339561202</v>
      </c>
      <c r="AA45" s="95">
        <f t="shared" si="6"/>
        <v>40699088.951568633</v>
      </c>
      <c r="AB45" s="95">
        <f t="shared" si="6"/>
        <v>62958074.262880005</v>
      </c>
      <c r="AC45" s="95">
        <f t="shared" si="6"/>
        <v>23777066.333349194</v>
      </c>
      <c r="AD45" s="95">
        <f t="shared" si="6"/>
        <v>64582477.62174394</v>
      </c>
      <c r="AE45" s="95">
        <f t="shared" si="6"/>
        <v>37337696.202544205</v>
      </c>
      <c r="AF45" s="95">
        <f t="shared" si="6"/>
        <v>86904737.480968535</v>
      </c>
      <c r="AG45" s="95">
        <f t="shared" si="6"/>
        <v>34373452.451051161</v>
      </c>
      <c r="AH45" s="95">
        <f t="shared" si="6"/>
        <v>72765545.317895055</v>
      </c>
      <c r="AI45" s="95">
        <f t="shared" si="6"/>
        <v>197093574.23390841</v>
      </c>
      <c r="AJ45" s="95">
        <f t="shared" si="6"/>
        <v>39911125.59874437</v>
      </c>
      <c r="AK45" s="95">
        <f t="shared" si="6"/>
        <v>34403297.458623357</v>
      </c>
      <c r="AL45" s="95">
        <f t="shared" si="6"/>
        <v>38932948.503736138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343715845.66666627</v>
      </c>
      <c r="D46" s="97">
        <f t="shared" si="7"/>
        <v>9171653</v>
      </c>
      <c r="E46" s="97">
        <f t="shared" si="7"/>
        <v>27437627</v>
      </c>
      <c r="F46" s="97">
        <f t="shared" si="7"/>
        <v>4906786</v>
      </c>
      <c r="G46" s="97">
        <f t="shared" si="7"/>
        <v>1614249</v>
      </c>
      <c r="H46" s="97">
        <f t="shared" si="7"/>
        <v>8587540</v>
      </c>
      <c r="I46" s="97">
        <f t="shared" si="7"/>
        <v>8185264</v>
      </c>
      <c r="J46" s="97">
        <f t="shared" si="7"/>
        <v>11478351</v>
      </c>
      <c r="K46" s="97">
        <f t="shared" si="7"/>
        <v>12697489</v>
      </c>
      <c r="L46" s="97">
        <f t="shared" si="7"/>
        <v>9570137</v>
      </c>
      <c r="M46" s="97">
        <f t="shared" si="7"/>
        <v>16085069</v>
      </c>
      <c r="N46" s="97">
        <f t="shared" si="7"/>
        <v>14581288</v>
      </c>
      <c r="O46" s="97">
        <f t="shared" si="7"/>
        <v>7419988</v>
      </c>
      <c r="P46" s="97">
        <f t="shared" si="7"/>
        <v>25102660</v>
      </c>
      <c r="Q46" s="97">
        <f t="shared" si="7"/>
        <v>12406036</v>
      </c>
      <c r="R46" s="97">
        <f t="shared" si="7"/>
        <v>15511394</v>
      </c>
      <c r="S46" s="97">
        <f t="shared" si="7"/>
        <v>8649018</v>
      </c>
      <c r="T46" s="97">
        <f t="shared" si="7"/>
        <v>12541750</v>
      </c>
      <c r="U46" s="97">
        <f t="shared" si="7"/>
        <v>38850426</v>
      </c>
      <c r="V46" s="97">
        <f t="shared" si="7"/>
        <v>23359650</v>
      </c>
      <c r="W46" s="97">
        <f t="shared" si="7"/>
        <v>2872070</v>
      </c>
      <c r="X46" s="97">
        <f t="shared" si="7"/>
        <v>11213226</v>
      </c>
      <c r="Y46" s="97">
        <f t="shared" si="7"/>
        <v>6403100</v>
      </c>
      <c r="Z46" s="97">
        <f t="shared" si="7"/>
        <v>9529342</v>
      </c>
      <c r="AA46" s="97">
        <f t="shared" si="7"/>
        <v>8218769</v>
      </c>
      <c r="AB46" s="97">
        <f t="shared" si="7"/>
        <v>11614040</v>
      </c>
      <c r="AC46" s="97">
        <f t="shared" si="7"/>
        <v>4312455</v>
      </c>
      <c r="AD46" s="97">
        <f t="shared" si="7"/>
        <v>8137166</v>
      </c>
      <c r="AE46" s="97">
        <f t="shared" si="7"/>
        <v>3429100.3333333321</v>
      </c>
      <c r="AF46" s="97">
        <f t="shared" si="7"/>
        <v>-2101298.6666666567</v>
      </c>
      <c r="AG46" s="97">
        <f t="shared" si="7"/>
        <v>6404779</v>
      </c>
      <c r="AH46" s="97">
        <f t="shared" si="7"/>
        <v>1018981</v>
      </c>
      <c r="AI46" s="97">
        <f t="shared" si="7"/>
        <v>-7081240</v>
      </c>
      <c r="AJ46" s="97">
        <f t="shared" si="7"/>
        <v>309382</v>
      </c>
      <c r="AK46" s="97">
        <f t="shared" si="7"/>
        <v>3193766</v>
      </c>
      <c r="AL46" s="97">
        <f t="shared" si="7"/>
        <v>8085833</v>
      </c>
    </row>
    <row r="47" spans="1:38" s="100" customFormat="1" ht="13" x14ac:dyDescent="0.3">
      <c r="A47" s="98" t="s">
        <v>48</v>
      </c>
      <c r="B47" s="98"/>
      <c r="C47" s="62">
        <f>C4-C45</f>
        <v>89855852.683043718</v>
      </c>
      <c r="D47" s="99">
        <f t="shared" ref="D47:AL47" si="8">D4-D45</f>
        <v>2335361.7292610332</v>
      </c>
      <c r="E47" s="99">
        <f t="shared" si="8"/>
        <v>17334946.833182991</v>
      </c>
      <c r="F47" s="99">
        <f t="shared" si="8"/>
        <v>-709249.44520638883</v>
      </c>
      <c r="G47" s="99">
        <f t="shared" si="8"/>
        <v>-6597314.6767208055</v>
      </c>
      <c r="H47" s="99">
        <f t="shared" si="8"/>
        <v>5377581.2597559616</v>
      </c>
      <c r="I47" s="99">
        <f t="shared" si="8"/>
        <v>5252863.3665386811</v>
      </c>
      <c r="J47" s="99">
        <f t="shared" si="8"/>
        <v>7432849.9670549221</v>
      </c>
      <c r="K47" s="99">
        <f t="shared" si="8"/>
        <v>6411546.2520957589</v>
      </c>
      <c r="L47" s="99">
        <f t="shared" si="8"/>
        <v>381290.20592442155</v>
      </c>
      <c r="M47" s="99">
        <f t="shared" si="8"/>
        <v>7493132.3032251745</v>
      </c>
      <c r="N47" s="99">
        <f t="shared" si="8"/>
        <v>6674394.8911065757</v>
      </c>
      <c r="O47" s="99">
        <f t="shared" si="8"/>
        <v>153893.5372185111</v>
      </c>
      <c r="P47" s="99">
        <f t="shared" si="8"/>
        <v>11901216.260147475</v>
      </c>
      <c r="Q47" s="99">
        <f t="shared" si="8"/>
        <v>4421752.339933604</v>
      </c>
      <c r="R47" s="99">
        <f t="shared" si="8"/>
        <v>8422843.73753874</v>
      </c>
      <c r="S47" s="99">
        <f t="shared" si="8"/>
        <v>5324009.1090487242</v>
      </c>
      <c r="T47" s="99">
        <f t="shared" si="8"/>
        <v>8598750.2792768553</v>
      </c>
      <c r="U47" s="99">
        <f t="shared" si="8"/>
        <v>14540227.239067495</v>
      </c>
      <c r="V47" s="99">
        <f t="shared" si="8"/>
        <v>10757734.909490407</v>
      </c>
      <c r="W47" s="99">
        <f t="shared" si="8"/>
        <v>-3601557.3534416109</v>
      </c>
      <c r="X47" s="99">
        <f t="shared" si="8"/>
        <v>2737745.7552572787</v>
      </c>
      <c r="Y47" s="99">
        <f t="shared" si="8"/>
        <v>4123854.9398625828</v>
      </c>
      <c r="Z47" s="99">
        <f t="shared" si="8"/>
        <v>5071463.6604387984</v>
      </c>
      <c r="AA47" s="99">
        <f t="shared" si="8"/>
        <v>3495911.0484313667</v>
      </c>
      <c r="AB47" s="99">
        <f t="shared" si="8"/>
        <v>5921925.7371199951</v>
      </c>
      <c r="AC47" s="99">
        <f t="shared" si="8"/>
        <v>959933.66665080562</v>
      </c>
      <c r="AD47" s="99">
        <f t="shared" si="8"/>
        <v>733522.37825606018</v>
      </c>
      <c r="AE47" s="99">
        <f t="shared" si="8"/>
        <v>-2427696.2025442049</v>
      </c>
      <c r="AF47" s="99">
        <f t="shared" si="8"/>
        <v>-8473137.4809685349</v>
      </c>
      <c r="AG47" s="99">
        <f t="shared" si="8"/>
        <v>3134547.5489488393</v>
      </c>
      <c r="AH47" s="99">
        <f t="shared" si="8"/>
        <v>-9669545.3178950548</v>
      </c>
      <c r="AI47" s="99">
        <f t="shared" si="8"/>
        <v>-26517574.233908415</v>
      </c>
      <c r="AJ47" s="99">
        <f t="shared" si="8"/>
        <v>-6229125.59874437</v>
      </c>
      <c r="AK47" s="99">
        <f t="shared" si="8"/>
        <v>74702.541376642883</v>
      </c>
      <c r="AL47" s="99">
        <f t="shared" si="8"/>
        <v>5013051.4962638617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1847627039.3333337</v>
      </c>
      <c r="D48" s="61">
        <f t="shared" si="9"/>
        <v>38423347</v>
      </c>
      <c r="E48" s="61">
        <f t="shared" si="9"/>
        <v>98184593</v>
      </c>
      <c r="F48" s="61">
        <f t="shared" si="9"/>
        <v>42698213</v>
      </c>
      <c r="G48" s="61">
        <f t="shared" si="9"/>
        <v>26543751</v>
      </c>
      <c r="H48" s="61">
        <f t="shared" si="9"/>
        <v>45733460</v>
      </c>
      <c r="I48" s="61">
        <f t="shared" si="9"/>
        <v>30732736</v>
      </c>
      <c r="J48" s="61">
        <f t="shared" si="9"/>
        <v>24718649</v>
      </c>
      <c r="K48" s="61">
        <f t="shared" si="9"/>
        <v>33013511</v>
      </c>
      <c r="L48" s="61">
        <f t="shared" si="9"/>
        <v>38766863</v>
      </c>
      <c r="M48" s="61">
        <f t="shared" si="9"/>
        <v>61951931</v>
      </c>
      <c r="N48" s="61">
        <f t="shared" si="9"/>
        <v>78627712</v>
      </c>
      <c r="O48" s="61">
        <f t="shared" si="9"/>
        <v>35382012</v>
      </c>
      <c r="P48" s="61">
        <f t="shared" si="9"/>
        <v>52253339</v>
      </c>
      <c r="Q48" s="61">
        <f t="shared" si="9"/>
        <v>41194631</v>
      </c>
      <c r="R48" s="61">
        <f t="shared" si="9"/>
        <v>89944606</v>
      </c>
      <c r="S48" s="61">
        <f t="shared" si="9"/>
        <v>30082982</v>
      </c>
      <c r="T48" s="61">
        <f t="shared" si="9"/>
        <v>32713250</v>
      </c>
      <c r="U48" s="61">
        <f t="shared" si="9"/>
        <v>131207574</v>
      </c>
      <c r="V48" s="61">
        <f t="shared" si="9"/>
        <v>57395350</v>
      </c>
      <c r="W48" s="61">
        <f t="shared" si="9"/>
        <v>56754930</v>
      </c>
      <c r="X48" s="61">
        <f t="shared" si="9"/>
        <v>80032774</v>
      </c>
      <c r="Y48" s="61">
        <f t="shared" si="9"/>
        <v>21303300</v>
      </c>
      <c r="Z48" s="61">
        <f t="shared" si="9"/>
        <v>45753658</v>
      </c>
      <c r="AA48" s="61">
        <f t="shared" si="9"/>
        <v>35976231</v>
      </c>
      <c r="AB48" s="61">
        <f t="shared" si="9"/>
        <v>57265960</v>
      </c>
      <c r="AC48" s="61">
        <f t="shared" si="9"/>
        <v>20424545</v>
      </c>
      <c r="AD48" s="61">
        <f t="shared" si="9"/>
        <v>57178834</v>
      </c>
      <c r="AE48" s="61">
        <f t="shared" si="9"/>
        <v>31480899.666666668</v>
      </c>
      <c r="AF48" s="61">
        <f t="shared" si="9"/>
        <v>80532898.666666657</v>
      </c>
      <c r="AG48" s="61">
        <f t="shared" si="9"/>
        <v>31103221</v>
      </c>
      <c r="AH48" s="61">
        <f t="shared" si="9"/>
        <v>62077019</v>
      </c>
      <c r="AI48" s="61">
        <f t="shared" si="9"/>
        <v>177657240</v>
      </c>
      <c r="AJ48" s="61">
        <f t="shared" si="9"/>
        <v>33372618</v>
      </c>
      <c r="AK48" s="61">
        <f t="shared" si="9"/>
        <v>31284234</v>
      </c>
      <c r="AL48" s="61">
        <f t="shared" si="9"/>
        <v>35860167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4.100492592835088E-2</v>
      </c>
      <c r="D49" s="101">
        <f t="shared" si="10"/>
        <v>4.9067375339027906E-2</v>
      </c>
      <c r="E49" s="101">
        <f t="shared" si="10"/>
        <v>0.13799268022156422</v>
      </c>
      <c r="F49" s="101">
        <f t="shared" si="10"/>
        <v>-1.4898633759164427E-2</v>
      </c>
      <c r="G49" s="101">
        <f t="shared" si="10"/>
        <v>-0.23429628086940854</v>
      </c>
      <c r="H49" s="101">
        <f t="shared" si="10"/>
        <v>9.899635978269844E-2</v>
      </c>
      <c r="I49" s="101">
        <f t="shared" si="10"/>
        <v>0.13497259279867108</v>
      </c>
      <c r="J49" s="101">
        <f t="shared" si="10"/>
        <v>0.20534436464499606</v>
      </c>
      <c r="K49" s="101">
        <f t="shared" si="10"/>
        <v>0.14026265564296905</v>
      </c>
      <c r="L49" s="101">
        <f t="shared" si="10"/>
        <v>7.8881644687179911E-3</v>
      </c>
      <c r="M49" s="101">
        <f t="shared" si="10"/>
        <v>9.6020250691661327E-2</v>
      </c>
      <c r="N49" s="101">
        <f t="shared" si="10"/>
        <v>7.1606764272833912E-2</v>
      </c>
      <c r="O49" s="101">
        <f t="shared" si="10"/>
        <v>3.5954753800876383E-3</v>
      </c>
      <c r="P49" s="101">
        <f t="shared" si="10"/>
        <v>0.15384994588651715</v>
      </c>
      <c r="Q49" s="101">
        <f t="shared" si="10"/>
        <v>8.2494352914183028E-2</v>
      </c>
      <c r="R49" s="101">
        <f t="shared" si="10"/>
        <v>7.9870692398144635E-2</v>
      </c>
      <c r="S49" s="101">
        <f t="shared" si="10"/>
        <v>0.13745763474772085</v>
      </c>
      <c r="T49" s="101">
        <f t="shared" si="10"/>
        <v>0.19000663527293901</v>
      </c>
      <c r="U49" s="101">
        <f t="shared" si="10"/>
        <v>8.5501577338716758E-2</v>
      </c>
      <c r="V49" s="101">
        <f t="shared" si="10"/>
        <v>0.13321447476305376</v>
      </c>
      <c r="W49" s="101">
        <f t="shared" si="10"/>
        <v>-6.0401451581357624E-2</v>
      </c>
      <c r="X49" s="101">
        <f t="shared" si="10"/>
        <v>3.0004008452505081E-2</v>
      </c>
      <c r="Y49" s="101">
        <f t="shared" si="10"/>
        <v>0.14884124028609214</v>
      </c>
      <c r="Z49" s="101">
        <f t="shared" si="10"/>
        <v>9.1736404689304094E-2</v>
      </c>
      <c r="AA49" s="101">
        <f t="shared" si="10"/>
        <v>7.910195833083758E-2</v>
      </c>
      <c r="AB49" s="101">
        <f t="shared" si="10"/>
        <v>8.5974531607433152E-2</v>
      </c>
      <c r="AC49" s="101">
        <f t="shared" si="10"/>
        <v>3.8805581382172681E-2</v>
      </c>
      <c r="AD49" s="101">
        <f t="shared" si="10"/>
        <v>1.123036282466869E-2</v>
      </c>
      <c r="AE49" s="101">
        <f t="shared" si="10"/>
        <v>-6.9541569823666716E-2</v>
      </c>
      <c r="AF49" s="101">
        <f t="shared" si="10"/>
        <v>-0.10803218958899902</v>
      </c>
      <c r="AG49" s="101">
        <f t="shared" si="10"/>
        <v>8.3570106349281206E-2</v>
      </c>
      <c r="AH49" s="101">
        <f t="shared" si="10"/>
        <v>-0.15325132049408924</v>
      </c>
      <c r="AI49" s="101">
        <f t="shared" si="10"/>
        <v>-0.15545899912008967</v>
      </c>
      <c r="AJ49" s="101">
        <f t="shared" si="10"/>
        <v>-0.1849393028544733</v>
      </c>
      <c r="AK49" s="101">
        <f t="shared" si="10"/>
        <v>2.166672700755348E-3</v>
      </c>
      <c r="AL49" s="101">
        <f t="shared" si="10"/>
        <v>0.11407298721758206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0.15685169492161255</v>
      </c>
      <c r="D50" s="101">
        <f t="shared" si="11"/>
        <v>0.19270202752389956</v>
      </c>
      <c r="E50" s="101">
        <f t="shared" si="11"/>
        <v>0.21841380450050954</v>
      </c>
      <c r="F50" s="101">
        <f t="shared" si="11"/>
        <v>0.10307291467436014</v>
      </c>
      <c r="G50" s="101">
        <f t="shared" si="11"/>
        <v>5.7328254847645428E-2</v>
      </c>
      <c r="H50" s="101">
        <f t="shared" si="11"/>
        <v>0.15808876861618895</v>
      </c>
      <c r="I50" s="101">
        <f t="shared" si="11"/>
        <v>0.21032077701834626</v>
      </c>
      <c r="J50" s="101">
        <f t="shared" si="11"/>
        <v>0.31710779898886648</v>
      </c>
      <c r="K50" s="101">
        <f t="shared" si="11"/>
        <v>0.27777753713548159</v>
      </c>
      <c r="L50" s="101">
        <f t="shared" si="11"/>
        <v>0.19798781471750418</v>
      </c>
      <c r="M50" s="101">
        <f t="shared" si="11"/>
        <v>0.2061210579596858</v>
      </c>
      <c r="N50" s="101">
        <f t="shared" si="11"/>
        <v>0.15643648145565342</v>
      </c>
      <c r="O50" s="101">
        <f t="shared" si="11"/>
        <v>0.17335610485491332</v>
      </c>
      <c r="P50" s="101">
        <f t="shared" si="11"/>
        <v>0.3245082517776029</v>
      </c>
      <c r="Q50" s="101">
        <f t="shared" si="11"/>
        <v>0.23145301531415644</v>
      </c>
      <c r="R50" s="101">
        <f t="shared" si="11"/>
        <v>0.14708877636170536</v>
      </c>
      <c r="S50" s="101">
        <f t="shared" si="11"/>
        <v>0.22330419291541878</v>
      </c>
      <c r="T50" s="101">
        <f t="shared" si="11"/>
        <v>0.27713512319080763</v>
      </c>
      <c r="U50" s="101">
        <f t="shared" si="11"/>
        <v>0.22845397452633806</v>
      </c>
      <c r="V50" s="101">
        <f t="shared" si="11"/>
        <v>0.28926568014364434</v>
      </c>
      <c r="W50" s="101">
        <f t="shared" si="11"/>
        <v>4.816727321515421E-2</v>
      </c>
      <c r="X50" s="101">
        <f t="shared" si="11"/>
        <v>0.12289005545448567</v>
      </c>
      <c r="Y50" s="101">
        <f t="shared" si="11"/>
        <v>0.23110544856062137</v>
      </c>
      <c r="Z50" s="101">
        <f t="shared" si="11"/>
        <v>0.1723738219705877</v>
      </c>
      <c r="AA50" s="101">
        <f t="shared" si="11"/>
        <v>0.18596603688200022</v>
      </c>
      <c r="AB50" s="101">
        <f t="shared" si="11"/>
        <v>0.16861265969802555</v>
      </c>
      <c r="AC50" s="101">
        <f t="shared" si="11"/>
        <v>0.17433217447548208</v>
      </c>
      <c r="AD50" s="101">
        <f t="shared" si="11"/>
        <v>0.12458151142139752</v>
      </c>
      <c r="AE50" s="101">
        <f t="shared" si="11"/>
        <v>9.8226878640313153E-2</v>
      </c>
      <c r="AF50" s="101">
        <f t="shared" si="11"/>
        <v>-2.6791480304706988E-2</v>
      </c>
      <c r="AG50" s="101">
        <f t="shared" si="11"/>
        <v>0.17075767836194944</v>
      </c>
      <c r="AH50" s="101">
        <f t="shared" si="11"/>
        <v>1.6149692532014707E-2</v>
      </c>
      <c r="AI50" s="101">
        <f t="shared" si="11"/>
        <v>-4.1513694775349406E-2</v>
      </c>
      <c r="AJ50" s="101">
        <f t="shared" si="11"/>
        <v>9.1853809156225881E-3</v>
      </c>
      <c r="AK50" s="101">
        <f t="shared" si="11"/>
        <v>9.2631997215615755E-2</v>
      </c>
      <c r="AL50" s="101">
        <f t="shared" si="11"/>
        <v>0.18399474354890091</v>
      </c>
    </row>
    <row r="51" spans="1:38" s="104" customFormat="1" ht="13" x14ac:dyDescent="0.3">
      <c r="A51" s="101" t="s">
        <v>51</v>
      </c>
      <c r="B51" s="102"/>
      <c r="C51" s="103">
        <f>C47/C48</f>
        <v>4.8633111970187326E-2</v>
      </c>
      <c r="D51" s="101">
        <f t="shared" ref="D51:AL51" si="12">D47/D48</f>
        <v>6.077975792324998E-2</v>
      </c>
      <c r="E51" s="101">
        <f t="shared" si="12"/>
        <v>0.17655465387714131</v>
      </c>
      <c r="F51" s="101">
        <f t="shared" si="12"/>
        <v>-1.6610752426720735E-2</v>
      </c>
      <c r="G51" s="101">
        <f t="shared" si="12"/>
        <v>-0.24854492783332716</v>
      </c>
      <c r="H51" s="101">
        <f t="shared" si="12"/>
        <v>0.11758527038531442</v>
      </c>
      <c r="I51" s="101">
        <f t="shared" si="12"/>
        <v>0.17092078513734282</v>
      </c>
      <c r="J51" s="101">
        <f t="shared" si="12"/>
        <v>0.30069806675336191</v>
      </c>
      <c r="K51" s="101">
        <f t="shared" si="12"/>
        <v>0.19420976618014846</v>
      </c>
      <c r="L51" s="101">
        <f t="shared" si="12"/>
        <v>9.8354671081955104E-3</v>
      </c>
      <c r="M51" s="101">
        <f t="shared" si="12"/>
        <v>0.12095074652677371</v>
      </c>
      <c r="N51" s="101">
        <f t="shared" si="12"/>
        <v>8.4886037267707548E-2</v>
      </c>
      <c r="O51" s="101">
        <f t="shared" si="12"/>
        <v>4.3494851909074905E-3</v>
      </c>
      <c r="P51" s="101">
        <f t="shared" si="12"/>
        <v>0.22775991903880966</v>
      </c>
      <c r="Q51" s="101">
        <f t="shared" si="12"/>
        <v>0.1073380737391143</v>
      </c>
      <c r="R51" s="101">
        <f t="shared" si="12"/>
        <v>9.364478996704638E-2</v>
      </c>
      <c r="S51" s="101">
        <f t="shared" si="12"/>
        <v>0.17697743890711115</v>
      </c>
      <c r="T51" s="101">
        <f t="shared" si="12"/>
        <v>0.26285221674021553</v>
      </c>
      <c r="U51" s="101">
        <f t="shared" si="12"/>
        <v>0.11081850533314101</v>
      </c>
      <c r="V51" s="101">
        <f t="shared" si="12"/>
        <v>0.18743216845076136</v>
      </c>
      <c r="W51" s="101">
        <f t="shared" si="12"/>
        <v>-6.3458052955780428E-2</v>
      </c>
      <c r="X51" s="101">
        <f t="shared" si="12"/>
        <v>3.4207807857032153E-2</v>
      </c>
      <c r="Y51" s="101">
        <f t="shared" si="12"/>
        <v>0.1935782221469248</v>
      </c>
      <c r="Z51" s="101">
        <f t="shared" si="12"/>
        <v>0.11084280213046131</v>
      </c>
      <c r="AA51" s="101">
        <f t="shared" si="12"/>
        <v>9.7172798574463426E-2</v>
      </c>
      <c r="AB51" s="101">
        <f t="shared" si="12"/>
        <v>0.10341092224979717</v>
      </c>
      <c r="AC51" s="101">
        <f t="shared" si="12"/>
        <v>4.6999023314879505E-2</v>
      </c>
      <c r="AD51" s="101">
        <f t="shared" si="12"/>
        <v>1.2828564819213701E-2</v>
      </c>
      <c r="AE51" s="101">
        <f t="shared" si="12"/>
        <v>-7.7116481048816854E-2</v>
      </c>
      <c r="AF51" s="101">
        <f t="shared" si="12"/>
        <v>-0.10521336771993839</v>
      </c>
      <c r="AG51" s="101">
        <f t="shared" si="12"/>
        <v>0.10077887267523962</v>
      </c>
      <c r="AH51" s="101">
        <f t="shared" si="12"/>
        <v>-0.15576690816765951</v>
      </c>
      <c r="AI51" s="101">
        <f t="shared" si="12"/>
        <v>-0.14926255881217346</v>
      </c>
      <c r="AJ51" s="101">
        <f t="shared" si="12"/>
        <v>-0.18665378900583615</v>
      </c>
      <c r="AK51" s="101">
        <f t="shared" si="12"/>
        <v>2.3878654461107433E-3</v>
      </c>
      <c r="AL51" s="101">
        <f t="shared" si="12"/>
        <v>0.13979442695467262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0.2614248188318482</v>
      </c>
      <c r="D52" s="101">
        <f t="shared" si="13"/>
        <v>0.25462822560568232</v>
      </c>
      <c r="E52" s="101">
        <f t="shared" si="13"/>
        <v>0.63179468228731994</v>
      </c>
      <c r="F52" s="101">
        <f t="shared" si="13"/>
        <v>-0.14454460520723522</v>
      </c>
      <c r="G52" s="101">
        <f t="shared" si="13"/>
        <v>-4.0869250510428099</v>
      </c>
      <c r="H52" s="101">
        <f t="shared" si="13"/>
        <v>0.62620741909277411</v>
      </c>
      <c r="I52" s="101">
        <f t="shared" si="13"/>
        <v>0.64174635864386065</v>
      </c>
      <c r="J52" s="101">
        <f t="shared" si="13"/>
        <v>0.64755381387578426</v>
      </c>
      <c r="K52" s="101">
        <f t="shared" si="13"/>
        <v>0.50494599775560023</v>
      </c>
      <c r="L52" s="101">
        <f t="shared" si="13"/>
        <v>3.9841666417567645E-2</v>
      </c>
      <c r="M52" s="101">
        <f t="shared" si="13"/>
        <v>0.46584396394104211</v>
      </c>
      <c r="N52" s="101">
        <f t="shared" si="13"/>
        <v>0.457736990799892</v>
      </c>
      <c r="O52" s="101">
        <f t="shared" si="13"/>
        <v>2.0740402439803286E-2</v>
      </c>
      <c r="P52" s="101">
        <f t="shared" si="13"/>
        <v>0.47410179877939129</v>
      </c>
      <c r="Q52" s="101">
        <f t="shared" si="13"/>
        <v>0.35641943485683936</v>
      </c>
      <c r="R52" s="101">
        <f t="shared" si="13"/>
        <v>0.54301010841054909</v>
      </c>
      <c r="S52" s="101">
        <f t="shared" si="13"/>
        <v>0.61556226487778432</v>
      </c>
      <c r="T52" s="101">
        <f t="shared" si="13"/>
        <v>0.68561008465938611</v>
      </c>
      <c r="U52" s="101">
        <f t="shared" si="13"/>
        <v>0.37426171952573944</v>
      </c>
      <c r="V52" s="101">
        <f t="shared" si="13"/>
        <v>0.46052637387505407</v>
      </c>
      <c r="W52" s="101">
        <f t="shared" si="13"/>
        <v>-1.2539935842237866</v>
      </c>
      <c r="X52" s="101">
        <f t="shared" si="13"/>
        <v>0.24415326644243848</v>
      </c>
      <c r="Y52" s="101">
        <f t="shared" si="13"/>
        <v>0.6440403772957759</v>
      </c>
      <c r="Z52" s="101">
        <f t="shared" si="13"/>
        <v>0.53219452722326455</v>
      </c>
      <c r="AA52" s="101">
        <f t="shared" si="13"/>
        <v>0.42535701495337885</v>
      </c>
      <c r="AB52" s="101">
        <f t="shared" si="13"/>
        <v>0.50989369221390624</v>
      </c>
      <c r="AC52" s="101">
        <f t="shared" si="13"/>
        <v>0.22259563674306296</v>
      </c>
      <c r="AD52" s="101">
        <f t="shared" si="13"/>
        <v>9.0144698812345742E-2</v>
      </c>
      <c r="AE52" s="101">
        <f t="shared" si="13"/>
        <v>-0.70796884504814406</v>
      </c>
      <c r="AF52" s="101">
        <f t="shared" si="13"/>
        <v>4.0323337255097043</v>
      </c>
      <c r="AG52" s="101">
        <f t="shared" si="13"/>
        <v>0.48940760468844269</v>
      </c>
      <c r="AH52" s="101">
        <f t="shared" si="13"/>
        <v>-9.4894265132471123</v>
      </c>
      <c r="AI52" s="101">
        <f t="shared" si="13"/>
        <v>3.7447642268738828</v>
      </c>
      <c r="AJ52" s="101">
        <f t="shared" si="13"/>
        <v>-20.134091830631291</v>
      </c>
      <c r="AK52" s="101">
        <f t="shared" si="13"/>
        <v>2.3390111040271229E-2</v>
      </c>
      <c r="AL52" s="101">
        <f t="shared" si="13"/>
        <v>0.61997959842404138</v>
      </c>
    </row>
    <row r="53" spans="1:38" s="108" customFormat="1" ht="13" x14ac:dyDescent="0.3">
      <c r="A53" s="106" t="s">
        <v>53</v>
      </c>
      <c r="B53" s="107"/>
      <c r="C53" s="87">
        <f>C45/C46</f>
        <v>6.1140242988825335</v>
      </c>
      <c r="D53" s="106">
        <f t="shared" ref="D53:AL53" si="14">D45/D46</f>
        <v>4.9347307699864968</v>
      </c>
      <c r="E53" s="106">
        <f t="shared" si="14"/>
        <v>3.9466705034956924</v>
      </c>
      <c r="F53" s="106">
        <f t="shared" si="14"/>
        <v>9.8464144238624609</v>
      </c>
      <c r="G53" s="106">
        <f t="shared" si="14"/>
        <v>21.530330622302262</v>
      </c>
      <c r="H53" s="106">
        <f t="shared" si="14"/>
        <v>5.6993526365226872</v>
      </c>
      <c r="I53" s="106">
        <f t="shared" si="14"/>
        <v>4.1128956419073743</v>
      </c>
      <c r="J53" s="106">
        <f t="shared" si="14"/>
        <v>2.5059479391199204</v>
      </c>
      <c r="K53" s="106">
        <f t="shared" si="14"/>
        <v>3.0950571209712598</v>
      </c>
      <c r="L53" s="106">
        <f t="shared" si="14"/>
        <v>5.0109742205441341</v>
      </c>
      <c r="M53" s="106">
        <f t="shared" si="14"/>
        <v>4.3856739251025179</v>
      </c>
      <c r="N53" s="106">
        <f t="shared" si="14"/>
        <v>5.9346338340545381</v>
      </c>
      <c r="O53" s="106">
        <f t="shared" si="14"/>
        <v>5.7477325384867859</v>
      </c>
      <c r="P53" s="106">
        <f t="shared" si="14"/>
        <v>2.6074839375529337</v>
      </c>
      <c r="Q53" s="106">
        <f t="shared" si="14"/>
        <v>3.9641118774817676</v>
      </c>
      <c r="R53" s="106">
        <f t="shared" si="14"/>
        <v>6.2556051546663864</v>
      </c>
      <c r="S53" s="106">
        <f t="shared" si="14"/>
        <v>3.8626339881534846</v>
      </c>
      <c r="T53" s="106">
        <f t="shared" si="14"/>
        <v>2.922738032628871</v>
      </c>
      <c r="U53" s="106">
        <f t="shared" si="14"/>
        <v>4.0029875801344499</v>
      </c>
      <c r="V53" s="106">
        <f t="shared" si="14"/>
        <v>2.9965031620983016</v>
      </c>
      <c r="W53" s="106">
        <f t="shared" si="14"/>
        <v>22.014977822073142</v>
      </c>
      <c r="X53" s="106">
        <f t="shared" si="14"/>
        <v>7.8932016749455265</v>
      </c>
      <c r="Y53" s="106">
        <f t="shared" si="14"/>
        <v>3.6829887179861966</v>
      </c>
      <c r="Z53" s="106">
        <f t="shared" si="14"/>
        <v>5.2691504134872273</v>
      </c>
      <c r="AA53" s="106">
        <f t="shared" si="14"/>
        <v>4.9519689568557812</v>
      </c>
      <c r="AB53" s="106">
        <f t="shared" si="14"/>
        <v>5.4208590863196617</v>
      </c>
      <c r="AC53" s="106">
        <f t="shared" si="14"/>
        <v>5.5135801610333779</v>
      </c>
      <c r="AD53" s="106">
        <f t="shared" si="14"/>
        <v>7.9367285393641893</v>
      </c>
      <c r="AE53" s="106">
        <f t="shared" si="14"/>
        <v>10.888481692878692</v>
      </c>
      <c r="AF53" s="106">
        <f t="shared" si="14"/>
        <v>-41.357632239317851</v>
      </c>
      <c r="AG53" s="106">
        <f t="shared" si="14"/>
        <v>5.3668444221184153</v>
      </c>
      <c r="AH53" s="106">
        <f t="shared" si="14"/>
        <v>71.410110019612787</v>
      </c>
      <c r="AI53" s="106">
        <f t="shared" si="14"/>
        <v>-27.83320071539849</v>
      </c>
      <c r="AJ53" s="106">
        <f t="shared" si="14"/>
        <v>129.00273965112504</v>
      </c>
      <c r="AK53" s="106">
        <f t="shared" si="14"/>
        <v>10.772015688883705</v>
      </c>
      <c r="AL53" s="106">
        <f t="shared" si="14"/>
        <v>4.8149582737778704</v>
      </c>
    </row>
    <row r="54" spans="1:38" s="110" customFormat="1" x14ac:dyDescent="0.3">
      <c r="A54" s="109" t="s">
        <v>54</v>
      </c>
      <c r="C54" s="111">
        <f t="shared" ref="C54:AL54" si="15">C48/C4</f>
        <v>0.84314830507838745</v>
      </c>
      <c r="D54" s="112">
        <f t="shared" si="15"/>
        <v>0.80729797247610047</v>
      </c>
      <c r="E54" s="112">
        <f t="shared" si="15"/>
        <v>0.78158619549949049</v>
      </c>
      <c r="F54" s="112">
        <f t="shared" si="15"/>
        <v>0.89692708532563981</v>
      </c>
      <c r="G54" s="112">
        <f t="shared" si="15"/>
        <v>0.94267174515235452</v>
      </c>
      <c r="H54" s="112">
        <f t="shared" si="15"/>
        <v>0.84191123138381108</v>
      </c>
      <c r="I54" s="112">
        <f t="shared" si="15"/>
        <v>0.78967922298165372</v>
      </c>
      <c r="J54" s="112">
        <f t="shared" si="15"/>
        <v>0.68289220101113357</v>
      </c>
      <c r="K54" s="112">
        <f t="shared" si="15"/>
        <v>0.72222246286451841</v>
      </c>
      <c r="L54" s="112">
        <f t="shared" si="15"/>
        <v>0.80201218528249585</v>
      </c>
      <c r="M54" s="112">
        <f t="shared" si="15"/>
        <v>0.79387894204031417</v>
      </c>
      <c r="N54" s="112">
        <f t="shared" si="15"/>
        <v>0.84356351854434652</v>
      </c>
      <c r="O54" s="112">
        <f t="shared" si="15"/>
        <v>0.82664389514508663</v>
      </c>
      <c r="P54" s="112">
        <f t="shared" si="15"/>
        <v>0.6754917482223971</v>
      </c>
      <c r="Q54" s="112">
        <f t="shared" si="15"/>
        <v>0.76854698468584359</v>
      </c>
      <c r="R54" s="112">
        <f t="shared" si="15"/>
        <v>0.85291122363829464</v>
      </c>
      <c r="S54" s="112">
        <f t="shared" si="15"/>
        <v>0.77669580708458119</v>
      </c>
      <c r="T54" s="112">
        <f t="shared" si="15"/>
        <v>0.72286487680919231</v>
      </c>
      <c r="U54" s="112">
        <f t="shared" si="15"/>
        <v>0.77154602547366191</v>
      </c>
      <c r="V54" s="112">
        <f t="shared" si="15"/>
        <v>0.7107343198563556</v>
      </c>
      <c r="W54" s="112">
        <f t="shared" si="15"/>
        <v>0.95183272678484576</v>
      </c>
      <c r="X54" s="112">
        <f t="shared" si="15"/>
        <v>0.87710994454551428</v>
      </c>
      <c r="Y54" s="112">
        <f t="shared" si="15"/>
        <v>0.76889455143937868</v>
      </c>
      <c r="Z54" s="112">
        <f t="shared" si="15"/>
        <v>0.8276261780294123</v>
      </c>
      <c r="AA54" s="112">
        <f t="shared" si="15"/>
        <v>0.8140339631179998</v>
      </c>
      <c r="AB54" s="112">
        <f t="shared" si="15"/>
        <v>0.83138734030197448</v>
      </c>
      <c r="AC54" s="112">
        <f t="shared" si="15"/>
        <v>0.8256678255245179</v>
      </c>
      <c r="AD54" s="112">
        <f t="shared" si="15"/>
        <v>0.87541848857860249</v>
      </c>
      <c r="AE54" s="112">
        <f t="shared" si="15"/>
        <v>0.9017731213596869</v>
      </c>
      <c r="AF54" s="112">
        <f t="shared" si="15"/>
        <v>1.0267914803047069</v>
      </c>
      <c r="AG54" s="112">
        <f t="shared" si="15"/>
        <v>0.82924232163805056</v>
      </c>
      <c r="AH54" s="112">
        <f t="shared" si="15"/>
        <v>0.9838503074679853</v>
      </c>
      <c r="AI54" s="112">
        <f t="shared" si="15"/>
        <v>1.0415136947753494</v>
      </c>
      <c r="AJ54" s="112">
        <f t="shared" si="15"/>
        <v>0.9908146190843774</v>
      </c>
      <c r="AK54" s="112">
        <f t="shared" si="15"/>
        <v>0.90736800278438423</v>
      </c>
      <c r="AL54" s="112">
        <f t="shared" si="15"/>
        <v>0.81600525645109911</v>
      </c>
    </row>
    <row r="55" spans="1:38" s="110" customFormat="1" x14ac:dyDescent="0.3">
      <c r="A55" s="109" t="s">
        <v>55</v>
      </c>
      <c r="C55" s="111">
        <f t="shared" ref="C55:AL55" si="16">C44/C4</f>
        <v>0.11584676899326163</v>
      </c>
      <c r="D55" s="112">
        <f t="shared" si="16"/>
        <v>0.1436346521848717</v>
      </c>
      <c r="E55" s="112">
        <f t="shared" si="16"/>
        <v>8.0421124278945377E-2</v>
      </c>
      <c r="F55" s="112">
        <f t="shared" si="16"/>
        <v>0.11797154843352453</v>
      </c>
      <c r="G55" s="112">
        <f t="shared" si="16"/>
        <v>0.29162453571705393</v>
      </c>
      <c r="H55" s="112">
        <f t="shared" si="16"/>
        <v>5.9092408833490533E-2</v>
      </c>
      <c r="I55" s="112">
        <f t="shared" si="16"/>
        <v>7.5348184219675193E-2</v>
      </c>
      <c r="J55" s="112">
        <f t="shared" si="16"/>
        <v>0.11176343434387047</v>
      </c>
      <c r="K55" s="112">
        <f t="shared" si="16"/>
        <v>0.13751488149251245</v>
      </c>
      <c r="L55" s="112">
        <f t="shared" si="16"/>
        <v>0.19009965024878622</v>
      </c>
      <c r="M55" s="112">
        <f t="shared" si="16"/>
        <v>0.11010080726802454</v>
      </c>
      <c r="N55" s="112">
        <f t="shared" si="16"/>
        <v>8.4829717182819481E-2</v>
      </c>
      <c r="O55" s="112">
        <f t="shared" si="16"/>
        <v>0.16976062947482576</v>
      </c>
      <c r="P55" s="112">
        <f t="shared" si="16"/>
        <v>0.1706583058910858</v>
      </c>
      <c r="Q55" s="112">
        <f t="shared" si="16"/>
        <v>0.14895866239997346</v>
      </c>
      <c r="R55" s="112">
        <f t="shared" si="16"/>
        <v>6.7218083963560729E-2</v>
      </c>
      <c r="S55" s="112">
        <f t="shared" si="16"/>
        <v>8.5846558167697914E-2</v>
      </c>
      <c r="T55" s="112">
        <f t="shared" si="16"/>
        <v>8.7128487917868647E-2</v>
      </c>
      <c r="U55" s="112">
        <f t="shared" si="16"/>
        <v>0.14295239718762129</v>
      </c>
      <c r="V55" s="112">
        <f t="shared" si="16"/>
        <v>0.1560512053805905</v>
      </c>
      <c r="W55" s="112">
        <f t="shared" si="16"/>
        <v>0.10856872479651178</v>
      </c>
      <c r="X55" s="112">
        <f t="shared" si="16"/>
        <v>9.2886047001980609E-2</v>
      </c>
      <c r="Y55" s="112">
        <f t="shared" si="16"/>
        <v>8.226420827452921E-2</v>
      </c>
      <c r="Z55" s="112">
        <f t="shared" si="16"/>
        <v>8.0637417281283569E-2</v>
      </c>
      <c r="AA55" s="112">
        <f t="shared" si="16"/>
        <v>0.10686407855116264</v>
      </c>
      <c r="AB55" s="112">
        <f t="shared" si="16"/>
        <v>8.2638128090592441E-2</v>
      </c>
      <c r="AC55" s="112">
        <f t="shared" si="16"/>
        <v>0.13552659309330936</v>
      </c>
      <c r="AD55" s="112">
        <f t="shared" si="16"/>
        <v>0.11335114859672885</v>
      </c>
      <c r="AE55" s="112">
        <f t="shared" si="16"/>
        <v>0.16776844846397992</v>
      </c>
      <c r="AF55" s="112">
        <f t="shared" si="16"/>
        <v>8.1240709284292112E-2</v>
      </c>
      <c r="AG55" s="112">
        <f t="shared" si="16"/>
        <v>8.718757201266833E-2</v>
      </c>
      <c r="AH55" s="112">
        <f t="shared" si="16"/>
        <v>0.16940101302610383</v>
      </c>
      <c r="AI55" s="112">
        <f t="shared" si="16"/>
        <v>0.11394530434474018</v>
      </c>
      <c r="AJ55" s="112">
        <f t="shared" si="16"/>
        <v>0.1941246837700959</v>
      </c>
      <c r="AK55" s="112">
        <f t="shared" si="16"/>
        <v>9.046532451486039E-2</v>
      </c>
      <c r="AL55" s="112">
        <f t="shared" si="16"/>
        <v>6.9921756331318849E-2</v>
      </c>
    </row>
    <row r="56" spans="1:38" s="110" customFormat="1" x14ac:dyDescent="0.3">
      <c r="A56" s="113" t="s">
        <v>56</v>
      </c>
      <c r="C56" s="111">
        <f t="shared" ref="C56:AL56" si="17">C45/C4</f>
        <v>0.95899507407164908</v>
      </c>
      <c r="D56" s="112">
        <f t="shared" si="17"/>
        <v>0.95093262466097206</v>
      </c>
      <c r="E56" s="112">
        <f t="shared" si="17"/>
        <v>0.86200731977843581</v>
      </c>
      <c r="F56" s="112">
        <f t="shared" si="17"/>
        <v>1.0148986337591643</v>
      </c>
      <c r="G56" s="112">
        <f t="shared" si="17"/>
        <v>1.2342962808694085</v>
      </c>
      <c r="H56" s="112">
        <f t="shared" si="17"/>
        <v>0.90100364021730162</v>
      </c>
      <c r="I56" s="112">
        <f t="shared" si="17"/>
        <v>0.86502740720132887</v>
      </c>
      <c r="J56" s="112">
        <f t="shared" si="17"/>
        <v>0.79465563535500394</v>
      </c>
      <c r="K56" s="112">
        <f t="shared" si="17"/>
        <v>0.85973734435703097</v>
      </c>
      <c r="L56" s="112">
        <f t="shared" si="17"/>
        <v>0.99211183553128202</v>
      </c>
      <c r="M56" s="112">
        <f t="shared" si="17"/>
        <v>0.90397974930833869</v>
      </c>
      <c r="N56" s="112">
        <f t="shared" si="17"/>
        <v>0.92839323572716614</v>
      </c>
      <c r="O56" s="112">
        <f t="shared" si="17"/>
        <v>0.99640452461991236</v>
      </c>
      <c r="P56" s="112">
        <f t="shared" si="17"/>
        <v>0.84615005411348287</v>
      </c>
      <c r="Q56" s="112">
        <f t="shared" si="17"/>
        <v>0.91750564708581694</v>
      </c>
      <c r="R56" s="112">
        <f t="shared" si="17"/>
        <v>0.92012930760185541</v>
      </c>
      <c r="S56" s="112">
        <f t="shared" si="17"/>
        <v>0.86254236525227912</v>
      </c>
      <c r="T56" s="112">
        <f t="shared" si="17"/>
        <v>0.80999336472706096</v>
      </c>
      <c r="U56" s="112">
        <f t="shared" si="17"/>
        <v>0.91449842266128323</v>
      </c>
      <c r="V56" s="112">
        <f t="shared" si="17"/>
        <v>0.86678552523694619</v>
      </c>
      <c r="W56" s="112">
        <f t="shared" si="17"/>
        <v>1.0604014515813576</v>
      </c>
      <c r="X56" s="112">
        <f t="shared" si="17"/>
        <v>0.96999599154749494</v>
      </c>
      <c r="Y56" s="112">
        <f t="shared" si="17"/>
        <v>0.85115875971390786</v>
      </c>
      <c r="Z56" s="112">
        <f t="shared" si="17"/>
        <v>0.90826359531069589</v>
      </c>
      <c r="AA56" s="112">
        <f t="shared" si="17"/>
        <v>0.92089804166916245</v>
      </c>
      <c r="AB56" s="112">
        <f t="shared" si="17"/>
        <v>0.91402546839256682</v>
      </c>
      <c r="AC56" s="112">
        <f t="shared" si="17"/>
        <v>0.96119441861782728</v>
      </c>
      <c r="AD56" s="112">
        <f t="shared" si="17"/>
        <v>0.98876963717533128</v>
      </c>
      <c r="AE56" s="112">
        <f t="shared" si="17"/>
        <v>1.0695415698236668</v>
      </c>
      <c r="AF56" s="112">
        <f t="shared" si="17"/>
        <v>1.1080321895889991</v>
      </c>
      <c r="AG56" s="112">
        <f t="shared" si="17"/>
        <v>0.91642989365071881</v>
      </c>
      <c r="AH56" s="112">
        <f t="shared" si="17"/>
        <v>1.1532513204940893</v>
      </c>
      <c r="AI56" s="112">
        <f t="shared" si="17"/>
        <v>1.1554589991200896</v>
      </c>
      <c r="AJ56" s="112">
        <f t="shared" si="17"/>
        <v>1.1849393028544732</v>
      </c>
      <c r="AK56" s="112">
        <f t="shared" si="17"/>
        <v>0.99783332729924468</v>
      </c>
      <c r="AL56" s="112">
        <f t="shared" si="17"/>
        <v>0.88592701278241792</v>
      </c>
    </row>
    <row r="57" spans="1:38" s="110" customFormat="1" x14ac:dyDescent="0.3">
      <c r="A57" s="113" t="s">
        <v>104</v>
      </c>
      <c r="C57" s="111">
        <f t="shared" ref="C57:AL57" si="18">SUM(C30:C39)/C44</f>
        <v>0.46738538803115459</v>
      </c>
      <c r="D57" s="112">
        <f t="shared" si="18"/>
        <v>0.31903782817265264</v>
      </c>
      <c r="E57" s="112">
        <f t="shared" si="18"/>
        <v>0.51789394777392306</v>
      </c>
      <c r="F57" s="112">
        <f t="shared" si="18"/>
        <v>0.48356679684251236</v>
      </c>
      <c r="G57" s="112">
        <f t="shared" si="18"/>
        <v>0.15847879005513504</v>
      </c>
      <c r="H57" s="112">
        <f t="shared" si="18"/>
        <v>0.70708957447878007</v>
      </c>
      <c r="I57" s="112">
        <f t="shared" si="18"/>
        <v>0.65891264267824989</v>
      </c>
      <c r="J57" s="112">
        <f t="shared" si="18"/>
        <v>0.57107157760213412</v>
      </c>
      <c r="K57" s="112">
        <f t="shared" si="18"/>
        <v>0.3636228428577773</v>
      </c>
      <c r="L57" s="112">
        <f t="shared" si="18"/>
        <v>0.26233603868184535</v>
      </c>
      <c r="M57" s="112">
        <f t="shared" si="18"/>
        <v>0.47619654500874431</v>
      </c>
      <c r="N57" s="112">
        <f t="shared" si="18"/>
        <v>0.53199239247655628</v>
      </c>
      <c r="O57" s="112">
        <f t="shared" si="18"/>
        <v>0.29555507403757852</v>
      </c>
      <c r="P57" s="112">
        <f t="shared" si="18"/>
        <v>0.34473181136069841</v>
      </c>
      <c r="Q57" s="112">
        <f t="shared" si="18"/>
        <v>0.54079344713399446</v>
      </c>
      <c r="R57" s="112">
        <f t="shared" si="18"/>
        <v>0.60606038634893578</v>
      </c>
      <c r="S57" s="112">
        <f t="shared" si="18"/>
        <v>0.72925474486388908</v>
      </c>
      <c r="T57" s="112">
        <f t="shared" si="18"/>
        <v>0.67911334822187452</v>
      </c>
      <c r="U57" s="112">
        <f t="shared" si="18"/>
        <v>0.55025163055251647</v>
      </c>
      <c r="V57" s="112">
        <f t="shared" si="18"/>
        <v>0.27660061498783817</v>
      </c>
      <c r="W57" s="112">
        <f t="shared" si="18"/>
        <v>0.30782083105778701</v>
      </c>
      <c r="X57" s="112">
        <f t="shared" si="18"/>
        <v>0.67664199916838641</v>
      </c>
      <c r="Y57" s="112">
        <f t="shared" si="18"/>
        <v>0.70158821493027446</v>
      </c>
      <c r="Z57" s="112">
        <f t="shared" si="18"/>
        <v>0.70830680588371353</v>
      </c>
      <c r="AA57" s="112">
        <f t="shared" si="18"/>
        <v>0.33511588051529539</v>
      </c>
      <c r="AB57" s="112">
        <f t="shared" si="18"/>
        <v>0.56609571456515928</v>
      </c>
      <c r="AC57" s="112">
        <f t="shared" si="18"/>
        <v>0.54223134404090478</v>
      </c>
      <c r="AD57" s="112">
        <f t="shared" si="18"/>
        <v>0.56164006172728143</v>
      </c>
      <c r="AE57" s="112">
        <f t="shared" si="18"/>
        <v>0.32553487617757487</v>
      </c>
      <c r="AF57" s="112">
        <f t="shared" si="18"/>
        <v>0.61102092678070652</v>
      </c>
      <c r="AG57" s="112">
        <f t="shared" si="18"/>
        <v>0.57183312446405787</v>
      </c>
      <c r="AH57" s="112">
        <f t="shared" si="18"/>
        <v>0.30061359450168201</v>
      </c>
      <c r="AI57" s="112">
        <f t="shared" si="18"/>
        <v>0.51090161136202439</v>
      </c>
      <c r="AJ57" s="112">
        <f t="shared" si="18"/>
        <v>0.34919681411755255</v>
      </c>
      <c r="AK57" s="112">
        <f t="shared" si="18"/>
        <v>0.60991342471340504</v>
      </c>
      <c r="AL57" s="112">
        <f t="shared" si="18"/>
        <v>0.70703911697548139</v>
      </c>
    </row>
    <row r="58" spans="1:38" s="110" customFormat="1" x14ac:dyDescent="0.3">
      <c r="A58" s="113" t="s">
        <v>58</v>
      </c>
      <c r="C58" s="111">
        <f>C41/C44</f>
        <v>0.24381443194852589</v>
      </c>
      <c r="D58" s="112">
        <f t="shared" ref="D58:AL58" si="19">D41/D44</f>
        <v>0.41613820817972358</v>
      </c>
      <c r="E58" s="112">
        <f t="shared" si="19"/>
        <v>0.27820864895157155</v>
      </c>
      <c r="F58" s="112">
        <f t="shared" si="19"/>
        <v>5.4453123709334042E-2</v>
      </c>
      <c r="G58" s="112">
        <f t="shared" si="19"/>
        <v>0.50646553613048273</v>
      </c>
      <c r="H58" s="112">
        <f t="shared" si="19"/>
        <v>7.1452010197157273E-2</v>
      </c>
      <c r="I58" s="112">
        <f t="shared" si="19"/>
        <v>6.9524532076609732E-2</v>
      </c>
      <c r="J58" s="112">
        <f t="shared" si="19"/>
        <v>0.22972630396869231</v>
      </c>
      <c r="K58" s="112">
        <f t="shared" si="19"/>
        <v>0.52965134006510373</v>
      </c>
      <c r="L58" s="112">
        <f t="shared" si="19"/>
        <v>0.37440236812067829</v>
      </c>
      <c r="M58" s="112">
        <f t="shared" si="19"/>
        <v>0.26585391403749797</v>
      </c>
      <c r="N58" s="112">
        <f t="shared" si="19"/>
        <v>0.28888717332359087</v>
      </c>
      <c r="O58" s="112">
        <f t="shared" si="19"/>
        <v>0.32791907842716039</v>
      </c>
      <c r="P58" s="112">
        <f t="shared" si="19"/>
        <v>0.26771314332317719</v>
      </c>
      <c r="Q58" s="112">
        <f t="shared" si="19"/>
        <v>0.21081816123576977</v>
      </c>
      <c r="R58" s="112">
        <f t="shared" si="19"/>
        <v>0.13694140043565856</v>
      </c>
      <c r="S58" s="112">
        <f t="shared" si="19"/>
        <v>6.8979666570080214E-2</v>
      </c>
      <c r="T58" s="112">
        <f t="shared" si="19"/>
        <v>6.4631561102787047E-2</v>
      </c>
      <c r="U58" s="112">
        <f t="shared" si="19"/>
        <v>0.26792870202555907</v>
      </c>
      <c r="V58" s="112">
        <f t="shared" si="19"/>
        <v>0.58289529386941497</v>
      </c>
      <c r="W58" s="112">
        <f t="shared" si="19"/>
        <v>0.42483878818540138</v>
      </c>
      <c r="X58" s="112">
        <f t="shared" si="19"/>
        <v>7.2163621180881252E-2</v>
      </c>
      <c r="Y58" s="112">
        <f t="shared" si="19"/>
        <v>6.7085957144816827E-2</v>
      </c>
      <c r="Z58" s="112">
        <f t="shared" si="19"/>
        <v>7.4316719828710603E-2</v>
      </c>
      <c r="AA58" s="112">
        <f t="shared" si="19"/>
        <v>0.43996771050669692</v>
      </c>
      <c r="AB58" s="112">
        <f t="shared" si="19"/>
        <v>5.820243239882255E-2</v>
      </c>
      <c r="AC58" s="112">
        <f t="shared" si="19"/>
        <v>5.3210566444485741E-2</v>
      </c>
      <c r="AD58" s="112">
        <f t="shared" si="19"/>
        <v>6.1958142870832976E-2</v>
      </c>
      <c r="AE58" s="112">
        <f t="shared" si="19"/>
        <v>0.57264649360018793</v>
      </c>
      <c r="AF58" s="112">
        <f t="shared" si="19"/>
        <v>7.9990167612584664E-2</v>
      </c>
      <c r="AG58" s="112">
        <f t="shared" si="19"/>
        <v>6.2342309697076707E-2</v>
      </c>
      <c r="AH58" s="112">
        <f t="shared" si="19"/>
        <v>0.25613895859678815</v>
      </c>
      <c r="AI58" s="112">
        <f t="shared" si="19"/>
        <v>9.1283211054517283E-2</v>
      </c>
      <c r="AJ58" s="112">
        <f t="shared" si="19"/>
        <v>4.2873155056031759E-2</v>
      </c>
      <c r="AK58" s="112">
        <f t="shared" si="19"/>
        <v>6.5363781342408084E-2</v>
      </c>
      <c r="AL58" s="112">
        <f t="shared" si="19"/>
        <v>6.6348284658270001E-2</v>
      </c>
    </row>
    <row r="59" spans="1:38" s="110" customFormat="1" x14ac:dyDescent="0.3">
      <c r="A59" s="113" t="s">
        <v>59</v>
      </c>
      <c r="C59" s="111">
        <f>C43/C44</f>
        <v>0.11235129909516713</v>
      </c>
      <c r="D59" s="112">
        <f t="shared" ref="D59:AL59" si="20">D43/D44</f>
        <v>6.4362383429054537E-2</v>
      </c>
      <c r="E59" s="112">
        <f t="shared" si="20"/>
        <v>2.6725581285531982E-2</v>
      </c>
      <c r="F59" s="112">
        <f t="shared" si="20"/>
        <v>0.12464308796296696</v>
      </c>
      <c r="G59" s="112">
        <f t="shared" si="20"/>
        <v>0.25147463763255312</v>
      </c>
      <c r="H59" s="112">
        <f t="shared" si="20"/>
        <v>0</v>
      </c>
      <c r="I59" s="112">
        <f t="shared" si="20"/>
        <v>6.820350456817556E-2</v>
      </c>
      <c r="J59" s="112">
        <f t="shared" si="20"/>
        <v>2.4718817072505138E-2</v>
      </c>
      <c r="K59" s="112">
        <f t="shared" si="20"/>
        <v>0</v>
      </c>
      <c r="L59" s="112">
        <f t="shared" si="20"/>
        <v>0.17825958324346911</v>
      </c>
      <c r="M59" s="112">
        <f t="shared" si="20"/>
        <v>9.3110555656246541E-2</v>
      </c>
      <c r="N59" s="112">
        <f t="shared" si="20"/>
        <v>0</v>
      </c>
      <c r="O59" s="112">
        <f t="shared" si="20"/>
        <v>0.28419669061245717</v>
      </c>
      <c r="P59" s="112">
        <f t="shared" si="20"/>
        <v>0.27837864345896557</v>
      </c>
      <c r="Q59" s="112">
        <f t="shared" si="20"/>
        <v>8.9676172651667233E-2</v>
      </c>
      <c r="R59" s="112">
        <f t="shared" si="20"/>
        <v>2.6098425369105727E-2</v>
      </c>
      <c r="S59" s="112">
        <f t="shared" si="20"/>
        <v>0</v>
      </c>
      <c r="T59" s="112">
        <f t="shared" si="20"/>
        <v>0</v>
      </c>
      <c r="U59" s="112">
        <f t="shared" si="20"/>
        <v>4.6338576293762444E-2</v>
      </c>
      <c r="V59" s="112">
        <f t="shared" si="20"/>
        <v>4.7810193583492602E-2</v>
      </c>
      <c r="W59" s="112">
        <f t="shared" si="20"/>
        <v>5.8390756736876721E-2</v>
      </c>
      <c r="X59" s="112">
        <f t="shared" si="20"/>
        <v>4.0115720900995487E-2</v>
      </c>
      <c r="Y59" s="112">
        <f t="shared" si="20"/>
        <v>3.5099341180617402E-2</v>
      </c>
      <c r="Z59" s="112">
        <f t="shared" si="20"/>
        <v>0</v>
      </c>
      <c r="AA59" s="112">
        <f t="shared" si="20"/>
        <v>0.1302177635462731</v>
      </c>
      <c r="AB59" s="112">
        <f t="shared" si="20"/>
        <v>0.16066086479741457</v>
      </c>
      <c r="AC59" s="112">
        <f t="shared" si="20"/>
        <v>0.24891713341204255</v>
      </c>
      <c r="AD59" s="112">
        <f t="shared" si="20"/>
        <v>0.16005632639039305</v>
      </c>
      <c r="AE59" s="112">
        <f t="shared" si="20"/>
        <v>0</v>
      </c>
      <c r="AF59" s="112">
        <f t="shared" si="20"/>
        <v>6.8739968596959619E-2</v>
      </c>
      <c r="AG59" s="112">
        <f t="shared" si="20"/>
        <v>0</v>
      </c>
      <c r="AH59" s="112">
        <f t="shared" si="20"/>
        <v>0.25260732113084478</v>
      </c>
      <c r="AI59" s="112">
        <f t="shared" si="20"/>
        <v>0.15332109255464063</v>
      </c>
      <c r="AJ59" s="112">
        <f t="shared" si="20"/>
        <v>0.46570260170451588</v>
      </c>
      <c r="AK59" s="112">
        <f t="shared" si="20"/>
        <v>0.10532007583615761</v>
      </c>
      <c r="AL59" s="112">
        <f t="shared" si="20"/>
        <v>3.2543804327906774E-2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0D79-F199-48F1-AF4C-2AD78E5CBD39}">
  <sheetPr codeName="Sheet11">
    <tabColor rgb="FF92D050"/>
  </sheetPr>
  <dimension ref="A1:AP69"/>
  <sheetViews>
    <sheetView zoomScaleNormal="100"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/>
      <c r="G2" s="58"/>
      <c r="H2" s="58"/>
      <c r="I2" s="58"/>
    </row>
    <row r="3" spans="1:38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</row>
    <row r="4" spans="1:38" s="64" customFormat="1" ht="13" x14ac:dyDescent="0.3">
      <c r="A4" s="60" t="s">
        <v>175</v>
      </c>
      <c r="B4" s="61"/>
      <c r="C4" s="62">
        <f>SUM(D4:AL4)</f>
        <v>106798000</v>
      </c>
      <c r="D4" s="61">
        <v>74940000</v>
      </c>
      <c r="E4" s="61">
        <v>31858000</v>
      </c>
      <c r="F4" s="60"/>
      <c r="G4" s="60"/>
      <c r="H4" s="63"/>
      <c r="I4" s="61"/>
      <c r="N4" s="65"/>
      <c r="R4" s="65"/>
    </row>
    <row r="5" spans="1:38" s="68" customFormat="1" ht="13" x14ac:dyDescent="0.3">
      <c r="A5" s="66" t="s">
        <v>3</v>
      </c>
      <c r="B5" s="67"/>
      <c r="C5" s="62">
        <f t="shared" ref="C5:C18" si="0">SUM(D5:AL5)</f>
        <v>14100000</v>
      </c>
      <c r="D5" s="67">
        <v>3500000</v>
      </c>
      <c r="E5" s="67">
        <v>10600000</v>
      </c>
      <c r="F5" s="67"/>
      <c r="G5" s="67"/>
      <c r="H5" s="67"/>
      <c r="I5" s="67"/>
    </row>
    <row r="6" spans="1:38" s="68" customFormat="1" ht="13" x14ac:dyDescent="0.3">
      <c r="A6" s="69" t="s">
        <v>4</v>
      </c>
      <c r="B6" s="67"/>
      <c r="C6" s="62">
        <f t="shared" si="0"/>
        <v>0</v>
      </c>
      <c r="E6" s="67"/>
      <c r="F6" s="67"/>
      <c r="G6" s="67"/>
      <c r="H6" s="67"/>
      <c r="I6" s="67"/>
      <c r="R6" s="70"/>
      <c r="W6" s="70"/>
      <c r="AI6" s="70"/>
    </row>
    <row r="7" spans="1:38" s="68" customFormat="1" ht="13" x14ac:dyDescent="0.3">
      <c r="A7" s="71" t="s">
        <v>5</v>
      </c>
      <c r="B7" s="67"/>
      <c r="C7" s="62">
        <f t="shared" si="0"/>
        <v>7200000</v>
      </c>
      <c r="E7" s="67">
        <v>7200000</v>
      </c>
      <c r="F7" s="67"/>
      <c r="G7" s="67"/>
      <c r="H7" s="67"/>
      <c r="I7" s="67"/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0</v>
      </c>
      <c r="D8" s="68">
        <v>0</v>
      </c>
      <c r="E8" s="67">
        <v>0</v>
      </c>
      <c r="F8" s="67"/>
      <c r="G8" s="67"/>
      <c r="H8" s="67"/>
      <c r="I8" s="67"/>
      <c r="T8" s="73"/>
      <c r="U8" s="73"/>
      <c r="V8" s="73"/>
      <c r="W8" s="73"/>
      <c r="X8" s="73"/>
      <c r="Y8" s="73"/>
      <c r="Z8" s="74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</row>
    <row r="9" spans="1:38" s="68" customFormat="1" ht="13" x14ac:dyDescent="0.3">
      <c r="A9" s="71"/>
      <c r="B9" s="67" t="s">
        <v>7</v>
      </c>
      <c r="C9" s="62">
        <f t="shared" si="0"/>
        <v>2</v>
      </c>
      <c r="D9" s="68">
        <v>0</v>
      </c>
      <c r="E9" s="67">
        <v>2</v>
      </c>
      <c r="F9" s="67"/>
      <c r="G9" s="67"/>
      <c r="H9" s="67"/>
      <c r="I9" s="67"/>
      <c r="T9" s="75"/>
      <c r="U9" s="75"/>
      <c r="V9" s="73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</row>
    <row r="10" spans="1:38" s="68" customFormat="1" ht="13" x14ac:dyDescent="0.3">
      <c r="A10" s="71"/>
      <c r="B10" s="67" t="s">
        <v>176</v>
      </c>
      <c r="C10" s="62">
        <f t="shared" si="0"/>
        <v>0</v>
      </c>
      <c r="D10" s="68">
        <v>0</v>
      </c>
      <c r="E10" s="67">
        <v>0</v>
      </c>
      <c r="F10" s="67"/>
      <c r="G10" s="67"/>
      <c r="H10" s="67"/>
      <c r="I10" s="67"/>
      <c r="T10" s="75"/>
      <c r="U10" s="75"/>
      <c r="V10" s="73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68" customFormat="1" ht="16.5" customHeight="1" x14ac:dyDescent="0.3">
      <c r="A11" s="71"/>
      <c r="B11" s="67" t="s">
        <v>9</v>
      </c>
      <c r="C11" s="62">
        <f t="shared" si="0"/>
        <v>82874193.548387095</v>
      </c>
      <c r="D11" s="68">
        <v>57500000</v>
      </c>
      <c r="E11" s="67">
        <v>25374193.548387095</v>
      </c>
      <c r="F11" s="67"/>
      <c r="G11" s="67"/>
      <c r="H11" s="67"/>
      <c r="I11" s="67"/>
      <c r="T11" s="75"/>
      <c r="U11" s="75"/>
      <c r="V11" s="73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6456000</v>
      </c>
      <c r="D12" s="67">
        <v>4100000</v>
      </c>
      <c r="E12" s="67">
        <v>2356000</v>
      </c>
      <c r="F12" s="62"/>
      <c r="G12" s="62"/>
      <c r="H12" s="62"/>
      <c r="I12" s="67"/>
      <c r="T12" s="75"/>
      <c r="U12" s="75"/>
      <c r="V12" s="73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</row>
    <row r="13" spans="1:38" s="68" customFormat="1" ht="13" x14ac:dyDescent="0.3">
      <c r="A13" s="129"/>
      <c r="B13" s="69" t="s">
        <v>12</v>
      </c>
      <c r="C13" s="62">
        <f t="shared" si="0"/>
        <v>3870000</v>
      </c>
      <c r="D13" s="67">
        <v>3240000</v>
      </c>
      <c r="E13" s="68">
        <v>630000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</row>
    <row r="14" spans="1:38" s="68" customFormat="1" ht="13" x14ac:dyDescent="0.3">
      <c r="A14" s="129"/>
      <c r="B14" s="69" t="s">
        <v>13</v>
      </c>
      <c r="C14" s="62">
        <f t="shared" si="0"/>
        <v>2328387.0967741935</v>
      </c>
      <c r="D14" s="67">
        <v>1620000</v>
      </c>
      <c r="E14" s="67">
        <v>708387.09677419357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</row>
    <row r="15" spans="1:38" s="68" customFormat="1" ht="13" x14ac:dyDescent="0.3">
      <c r="A15" s="129"/>
      <c r="B15" s="69" t="s">
        <v>14</v>
      </c>
      <c r="C15" s="62">
        <f t="shared" si="0"/>
        <v>1300000</v>
      </c>
      <c r="D15" s="67">
        <v>1100000</v>
      </c>
      <c r="E15" s="68">
        <v>200000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</row>
    <row r="16" spans="1:38" s="68" customFormat="1" ht="13" x14ac:dyDescent="0.3">
      <c r="A16" s="129"/>
      <c r="B16" s="69" t="s">
        <v>15</v>
      </c>
      <c r="C16" s="62">
        <f t="shared" si="0"/>
        <v>700000</v>
      </c>
      <c r="D16" s="67">
        <v>700000</v>
      </c>
      <c r="E16" s="68">
        <v>0</v>
      </c>
      <c r="T16" s="76"/>
      <c r="U16" s="73"/>
      <c r="V16" s="73"/>
      <c r="W16" s="73"/>
      <c r="X16" s="73"/>
      <c r="Y16" s="76"/>
      <c r="Z16" s="76"/>
      <c r="AA16" s="76"/>
      <c r="AB16" s="76"/>
      <c r="AC16" s="73"/>
      <c r="AD16" s="76"/>
      <c r="AE16" s="76"/>
      <c r="AF16" s="76"/>
      <c r="AG16" s="76"/>
      <c r="AH16" s="76"/>
      <c r="AI16" s="73"/>
      <c r="AJ16" s="76"/>
      <c r="AK16" s="73"/>
      <c r="AL16" s="73"/>
    </row>
    <row r="17" spans="1:42" s="68" customFormat="1" ht="13" x14ac:dyDescent="0.3">
      <c r="A17" s="129"/>
      <c r="B17" s="69" t="s">
        <v>102</v>
      </c>
      <c r="C17" s="62">
        <f t="shared" si="0"/>
        <v>2050322.5806451612</v>
      </c>
      <c r="D17" s="67">
        <v>1560000</v>
      </c>
      <c r="E17" s="68">
        <v>490322.58064516127</v>
      </c>
      <c r="T17" s="77"/>
      <c r="U17" s="77"/>
      <c r="V17" s="73"/>
      <c r="W17" s="70"/>
      <c r="X17" s="77"/>
      <c r="Y17" s="77"/>
      <c r="Z17" s="77"/>
      <c r="AA17" s="77"/>
      <c r="AB17" s="77"/>
      <c r="AC17" s="77"/>
      <c r="AD17" s="77"/>
      <c r="AE17" s="77"/>
      <c r="AF17" s="70"/>
      <c r="AG17" s="77"/>
      <c r="AH17" s="70"/>
      <c r="AI17" s="77"/>
      <c r="AJ17" s="77"/>
      <c r="AK17" s="77"/>
      <c r="AL17" s="77"/>
    </row>
    <row r="18" spans="1:42" s="68" customFormat="1" ht="13.5" thickBot="1" x14ac:dyDescent="0.35">
      <c r="A18" s="129"/>
      <c r="B18" s="69" t="s">
        <v>17</v>
      </c>
      <c r="C18" s="62">
        <f t="shared" si="0"/>
        <v>1620000</v>
      </c>
      <c r="D18" s="67">
        <v>1620000</v>
      </c>
      <c r="E18" s="68">
        <v>0</v>
      </c>
      <c r="T18" s="78"/>
      <c r="U18" s="78"/>
      <c r="V18" s="73"/>
      <c r="W18" s="78"/>
      <c r="X18" s="78"/>
      <c r="Y18" s="78"/>
      <c r="Z18" s="78"/>
      <c r="AA18" s="79"/>
      <c r="AB18" s="78"/>
      <c r="AC18" s="78"/>
      <c r="AD18" s="78"/>
      <c r="AE18" s="78"/>
      <c r="AF18" s="78"/>
      <c r="AG18" s="79"/>
      <c r="AH18" s="78"/>
      <c r="AI18" s="78"/>
      <c r="AJ18" s="78"/>
      <c r="AK18" s="78"/>
      <c r="AL18" s="78"/>
    </row>
    <row r="19" spans="1:42" s="68" customFormat="1" ht="12" customHeight="1" x14ac:dyDescent="0.3">
      <c r="A19" s="130"/>
      <c r="B19" s="80" t="s">
        <v>18</v>
      </c>
      <c r="C19" s="81">
        <f>SUM(C12:C18)</f>
        <v>18324709.677419357</v>
      </c>
      <c r="D19" s="81">
        <f t="shared" ref="D19:AP19" si="1">SUM(D12:D18)</f>
        <v>13940000</v>
      </c>
      <c r="E19" s="81">
        <f>SUM(E12:E18)</f>
        <v>4384709.6774193551</v>
      </c>
      <c r="F19" s="81">
        <f t="shared" si="1"/>
        <v>0</v>
      </c>
      <c r="G19" s="81">
        <f t="shared" si="1"/>
        <v>0</v>
      </c>
      <c r="H19" s="81">
        <f>SUM(H12:H18)</f>
        <v>0</v>
      </c>
      <c r="I19" s="81">
        <f>SUM(I12:I18)</f>
        <v>0</v>
      </c>
      <c r="J19" s="81">
        <f t="shared" si="1"/>
        <v>0</v>
      </c>
      <c r="K19" s="81">
        <f t="shared" si="1"/>
        <v>0</v>
      </c>
      <c r="L19" s="81">
        <f t="shared" si="1"/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>SUM(Q12:Q18)</f>
        <v>0</v>
      </c>
      <c r="R19" s="81">
        <f>SUM(R12:R18)</f>
        <v>0</v>
      </c>
      <c r="S19" s="81">
        <f>SUM(S12:S18)</f>
        <v>0</v>
      </c>
      <c r="T19" s="81">
        <f t="shared" si="1"/>
        <v>0</v>
      </c>
      <c r="U19" s="81">
        <f t="shared" si="1"/>
        <v>0</v>
      </c>
      <c r="V19" s="81">
        <f t="shared" si="1"/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>SUM(AB12:AB18)</f>
        <v>0</v>
      </c>
      <c r="AC19" s="81">
        <f t="shared" si="1"/>
        <v>0</v>
      </c>
      <c r="AD19" s="81">
        <f t="shared" si="1"/>
        <v>0</v>
      </c>
      <c r="AE19" s="81">
        <f t="shared" si="1"/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>SUM(AK12:AK18)</f>
        <v>0</v>
      </c>
      <c r="AL19" s="81">
        <f t="shared" si="1"/>
        <v>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65000000</v>
      </c>
      <c r="D21" s="67">
        <v>48000000</v>
      </c>
      <c r="E21" s="68">
        <v>17000000</v>
      </c>
      <c r="O21" s="82"/>
      <c r="P21" s="82"/>
      <c r="U21" s="82"/>
      <c r="AA21" s="83"/>
      <c r="AC21" s="82"/>
      <c r="AE21" s="82"/>
      <c r="AF21" s="82"/>
      <c r="AI21" s="82"/>
      <c r="AJ21" s="82"/>
      <c r="AL21" s="82"/>
    </row>
    <row r="22" spans="1:42" s="68" customFormat="1" ht="39" customHeight="1" x14ac:dyDescent="0.3">
      <c r="A22" s="84" t="s">
        <v>21</v>
      </c>
      <c r="C22" s="62">
        <f t="shared" si="2"/>
        <v>0</v>
      </c>
      <c r="D22" s="67"/>
      <c r="E22" s="82"/>
      <c r="G22" s="82"/>
      <c r="O22" s="82"/>
      <c r="P22" s="82"/>
      <c r="T22" s="82"/>
      <c r="U22" s="82"/>
      <c r="W22" s="82"/>
      <c r="X22" s="82"/>
      <c r="Z22" s="82"/>
      <c r="AA22" s="83"/>
      <c r="AB22" s="82"/>
      <c r="AC22" s="82"/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9080791</v>
      </c>
      <c r="D23" s="82">
        <v>5921143</v>
      </c>
      <c r="E23" s="86">
        <v>3159648</v>
      </c>
      <c r="F23" s="82"/>
      <c r="G23" s="82"/>
      <c r="H23" s="86"/>
      <c r="I23" s="83"/>
      <c r="J23" s="83"/>
      <c r="K23" s="83"/>
      <c r="L23" s="82"/>
      <c r="M23" s="82"/>
      <c r="N23" s="83"/>
      <c r="O23" s="83"/>
      <c r="P23" s="83"/>
      <c r="Q23" s="83"/>
      <c r="R23" s="82"/>
      <c r="S23" s="83"/>
      <c r="T23" s="82"/>
      <c r="U23" s="83"/>
      <c r="V23" s="83"/>
      <c r="W23" s="83"/>
      <c r="X23" s="83"/>
      <c r="Y23" s="83"/>
      <c r="Z23" s="82"/>
      <c r="AA23" s="82"/>
      <c r="AB23" s="83"/>
      <c r="AC23" s="82"/>
      <c r="AD23" s="83"/>
      <c r="AE23" s="83"/>
      <c r="AF23" s="82"/>
      <c r="AG23" s="82"/>
      <c r="AH23" s="82"/>
      <c r="AI23" s="83"/>
      <c r="AJ23" s="83"/>
      <c r="AK23" s="83"/>
      <c r="AL23" s="83"/>
    </row>
    <row r="24" spans="1:42" s="68" customFormat="1" ht="20.5" customHeight="1" x14ac:dyDescent="0.3">
      <c r="A24" s="131"/>
      <c r="B24" s="68" t="s">
        <v>24</v>
      </c>
      <c r="C24" s="87">
        <f t="shared" si="2"/>
        <v>340400</v>
      </c>
      <c r="D24" s="82">
        <v>0</v>
      </c>
      <c r="E24" s="82">
        <v>340400</v>
      </c>
      <c r="F24" s="82"/>
      <c r="G24" s="82"/>
      <c r="H24" s="86"/>
      <c r="I24" s="83"/>
      <c r="J24" s="83"/>
      <c r="K24" s="83"/>
      <c r="L24" s="82"/>
      <c r="M24" s="82"/>
      <c r="N24" s="83"/>
      <c r="O24" s="83"/>
      <c r="P24" s="83"/>
      <c r="Q24" s="83"/>
      <c r="R24" s="82"/>
      <c r="S24" s="83"/>
      <c r="T24" s="82"/>
      <c r="U24" s="83"/>
      <c r="V24" s="83"/>
      <c r="W24" s="83"/>
      <c r="X24" s="83"/>
      <c r="Y24" s="83"/>
      <c r="Z24" s="82"/>
      <c r="AA24" s="82"/>
      <c r="AB24" s="83"/>
      <c r="AC24" s="82"/>
      <c r="AD24" s="83"/>
      <c r="AE24" s="83"/>
      <c r="AF24" s="82"/>
      <c r="AG24" s="82"/>
      <c r="AH24" s="82"/>
      <c r="AI24" s="83"/>
      <c r="AJ24" s="83"/>
      <c r="AK24" s="83"/>
      <c r="AL24" s="83"/>
    </row>
    <row r="25" spans="1:42" s="68" customFormat="1" ht="19" customHeight="1" x14ac:dyDescent="0.3">
      <c r="A25" s="131"/>
      <c r="B25" s="67" t="s">
        <v>25</v>
      </c>
      <c r="C25" s="62">
        <f t="shared" si="2"/>
        <v>400000</v>
      </c>
      <c r="D25" s="82">
        <v>0</v>
      </c>
      <c r="E25" s="82">
        <v>400000</v>
      </c>
      <c r="F25" s="82"/>
      <c r="G25" s="82"/>
      <c r="H25" s="82"/>
      <c r="I25" s="83"/>
      <c r="J25" s="83"/>
      <c r="K25" s="83"/>
      <c r="L25" s="82"/>
      <c r="M25" s="82"/>
      <c r="N25" s="82"/>
      <c r="O25" s="83"/>
      <c r="P25" s="83"/>
      <c r="Q25" s="83"/>
      <c r="R25" s="82"/>
      <c r="S25" s="83"/>
      <c r="T25" s="82"/>
      <c r="U25" s="83"/>
      <c r="V25" s="83"/>
      <c r="W25" s="83"/>
      <c r="X25" s="83"/>
      <c r="Y25" s="83"/>
      <c r="Z25" s="82"/>
      <c r="AA25" s="82"/>
      <c r="AB25" s="83"/>
      <c r="AC25" s="82"/>
      <c r="AD25" s="83"/>
      <c r="AE25" s="83"/>
      <c r="AF25" s="82"/>
      <c r="AG25" s="82"/>
      <c r="AH25" s="82"/>
      <c r="AI25" s="83"/>
      <c r="AJ25" s="83"/>
      <c r="AK25" s="83"/>
      <c r="AL25" s="83"/>
    </row>
    <row r="26" spans="1:42" s="68" customFormat="1" ht="18.5" customHeight="1" x14ac:dyDescent="0.3">
      <c r="A26" s="131"/>
      <c r="B26" s="67" t="s">
        <v>26</v>
      </c>
      <c r="C26" s="62">
        <f t="shared" si="2"/>
        <v>500000</v>
      </c>
      <c r="D26" s="82">
        <v>300000</v>
      </c>
      <c r="E26" s="82">
        <v>200000</v>
      </c>
      <c r="F26" s="82"/>
      <c r="G26" s="82"/>
      <c r="H26" s="82"/>
      <c r="I26" s="83"/>
      <c r="J26" s="82"/>
      <c r="K26" s="83"/>
      <c r="L26" s="82"/>
      <c r="N26" s="83"/>
      <c r="O26" s="83"/>
      <c r="P26" s="83"/>
      <c r="Q26" s="83"/>
      <c r="R26" s="82"/>
      <c r="S26" s="83"/>
      <c r="T26" s="82"/>
      <c r="U26" s="83"/>
      <c r="V26" s="83"/>
      <c r="W26" s="83"/>
      <c r="X26" s="82"/>
      <c r="Y26" s="82"/>
      <c r="Z26" s="82"/>
      <c r="AA26" s="82"/>
      <c r="AB26" s="83"/>
      <c r="AC26" s="82"/>
      <c r="AD26" s="82"/>
      <c r="AE26" s="83"/>
      <c r="AF26" s="82"/>
      <c r="AG26" s="82"/>
      <c r="AH26" s="82"/>
      <c r="AI26" s="83"/>
      <c r="AJ26" s="83"/>
      <c r="AK26" s="83"/>
      <c r="AL26" s="83"/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75321191</v>
      </c>
      <c r="D29" s="60">
        <f>SUM(D21:D28)</f>
        <v>54221143</v>
      </c>
      <c r="E29" s="60">
        <f t="shared" ref="E29:AL29" si="3">SUM(E21:E28)</f>
        <v>21100048</v>
      </c>
      <c r="F29" s="60">
        <f t="shared" si="3"/>
        <v>0</v>
      </c>
      <c r="G29" s="60">
        <f t="shared" si="3"/>
        <v>0</v>
      </c>
      <c r="H29" s="60">
        <f t="shared" si="3"/>
        <v>0</v>
      </c>
      <c r="I29" s="60">
        <f t="shared" si="3"/>
        <v>0</v>
      </c>
      <c r="J29" s="60">
        <f t="shared" si="3"/>
        <v>0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>SUM(Q21:Q28)</f>
        <v>0</v>
      </c>
      <c r="R29" s="60">
        <f t="shared" si="3"/>
        <v>0</v>
      </c>
      <c r="S29" s="60">
        <f t="shared" si="3"/>
        <v>0</v>
      </c>
      <c r="T29" s="60">
        <f t="shared" si="3"/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>SUM(AB21:AB28)</f>
        <v>0</v>
      </c>
      <c r="AC29" s="60">
        <f t="shared" si="3"/>
        <v>0</v>
      </c>
      <c r="AD29" s="60">
        <f t="shared" si="3"/>
        <v>0</v>
      </c>
      <c r="AE29" s="60">
        <f t="shared" si="3"/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>SUM(AJ21:AJ28)</f>
        <v>0</v>
      </c>
      <c r="AK29" s="60">
        <f t="shared" si="3"/>
        <v>0</v>
      </c>
      <c r="AL29" s="60">
        <f t="shared" si="3"/>
        <v>0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2273744.8955427818</v>
      </c>
      <c r="D30" s="82">
        <v>1604489.7635779723</v>
      </c>
      <c r="E30" s="83">
        <v>669255.13196480938</v>
      </c>
      <c r="F30" s="82"/>
      <c r="G30" s="82"/>
      <c r="H30" s="82"/>
      <c r="I30" s="82"/>
      <c r="J30" s="83"/>
      <c r="K30" s="82"/>
      <c r="L30" s="82"/>
      <c r="M30" s="82"/>
      <c r="N30" s="83"/>
      <c r="O30" s="83"/>
      <c r="P30" s="83"/>
      <c r="Q30" s="83"/>
      <c r="R30" s="83"/>
      <c r="S30" s="83"/>
      <c r="T30" s="82"/>
      <c r="U30" s="83"/>
      <c r="V30" s="83"/>
      <c r="W30" s="83"/>
      <c r="X30" s="83"/>
      <c r="Y30" s="82"/>
      <c r="Z30" s="83"/>
      <c r="AA30" s="82"/>
      <c r="AB30" s="82"/>
      <c r="AC30" s="82"/>
      <c r="AD30" s="82"/>
      <c r="AE30" s="82"/>
      <c r="AF30" s="82"/>
      <c r="AG30" s="82"/>
      <c r="AH30" s="82"/>
      <c r="AI30" s="83"/>
      <c r="AJ30" s="83"/>
      <c r="AK30" s="82"/>
      <c r="AL30" s="83"/>
    </row>
    <row r="31" spans="1:42" s="68" customFormat="1" ht="24" customHeight="1" x14ac:dyDescent="0.3">
      <c r="A31" s="133"/>
      <c r="B31" s="67" t="s">
        <v>32</v>
      </c>
      <c r="C31" s="62">
        <f t="shared" si="4"/>
        <v>187207.48829953198</v>
      </c>
      <c r="D31" s="82">
        <v>140405.61622464898</v>
      </c>
      <c r="E31" s="83">
        <v>46801.872074882995</v>
      </c>
      <c r="F31" s="82"/>
      <c r="G31" s="82"/>
      <c r="H31" s="82"/>
      <c r="I31" s="82"/>
      <c r="J31" s="83"/>
      <c r="K31" s="82"/>
      <c r="L31" s="82"/>
      <c r="M31" s="82"/>
      <c r="N31" s="83"/>
      <c r="O31" s="83"/>
      <c r="P31" s="83"/>
      <c r="Q31" s="83"/>
      <c r="R31" s="83"/>
      <c r="S31" s="83"/>
      <c r="T31" s="82"/>
      <c r="U31" s="83"/>
      <c r="V31" s="83"/>
      <c r="W31" s="83"/>
      <c r="X31" s="83"/>
      <c r="Y31" s="82"/>
      <c r="Z31" s="83"/>
      <c r="AA31" s="82"/>
      <c r="AB31" s="82"/>
      <c r="AC31" s="82"/>
      <c r="AD31" s="82"/>
      <c r="AE31" s="82"/>
      <c r="AF31" s="82"/>
      <c r="AG31" s="82"/>
      <c r="AH31" s="82"/>
      <c r="AI31" s="83"/>
      <c r="AJ31" s="83"/>
      <c r="AK31" s="82"/>
      <c r="AL31" s="83"/>
    </row>
    <row r="32" spans="1:42" s="68" customFormat="1" ht="24" customHeight="1" x14ac:dyDescent="0.3">
      <c r="A32" s="133"/>
      <c r="B32" s="67" t="s">
        <v>33</v>
      </c>
      <c r="C32" s="62">
        <f t="shared" si="4"/>
        <v>296006.24024960998</v>
      </c>
      <c r="D32" s="82">
        <v>222004.68018720747</v>
      </c>
      <c r="E32" s="83">
        <v>74001.560062402496</v>
      </c>
      <c r="F32" s="82"/>
      <c r="G32" s="82"/>
      <c r="H32" s="82"/>
      <c r="I32" s="82"/>
      <c r="J32" s="83"/>
      <c r="K32" s="82"/>
      <c r="L32" s="82"/>
      <c r="M32" s="82"/>
      <c r="N32" s="83"/>
      <c r="O32" s="83"/>
      <c r="P32" s="83"/>
      <c r="Q32" s="83"/>
      <c r="R32" s="83"/>
      <c r="S32" s="83"/>
      <c r="T32" s="82"/>
      <c r="U32" s="83"/>
      <c r="V32" s="83"/>
      <c r="W32" s="83"/>
      <c r="X32" s="83"/>
      <c r="Y32" s="82"/>
      <c r="Z32" s="83"/>
      <c r="AA32" s="82"/>
      <c r="AB32" s="82"/>
      <c r="AC32" s="82"/>
      <c r="AD32" s="82"/>
      <c r="AE32" s="82"/>
      <c r="AF32" s="82"/>
      <c r="AG32" s="82"/>
      <c r="AH32" s="82"/>
      <c r="AI32" s="83"/>
      <c r="AJ32" s="83"/>
      <c r="AK32" s="82"/>
      <c r="AL32" s="83"/>
    </row>
    <row r="33" spans="1:38" s="68" customFormat="1" ht="24" customHeight="1" x14ac:dyDescent="0.3">
      <c r="A33" s="133"/>
      <c r="B33" s="67" t="s">
        <v>34</v>
      </c>
      <c r="C33" s="62">
        <f t="shared" si="4"/>
        <v>224804.99219968799</v>
      </c>
      <c r="D33" s="82">
        <v>168603.74414976599</v>
      </c>
      <c r="E33" s="83">
        <v>56201.248049921996</v>
      </c>
      <c r="F33" s="82"/>
      <c r="G33" s="82"/>
      <c r="H33" s="82"/>
      <c r="I33" s="82"/>
      <c r="J33" s="83"/>
      <c r="K33" s="82"/>
      <c r="L33" s="82"/>
      <c r="M33" s="82"/>
      <c r="N33" s="83"/>
      <c r="O33" s="83"/>
      <c r="P33" s="83"/>
      <c r="Q33" s="83"/>
      <c r="R33" s="83"/>
      <c r="S33" s="83"/>
      <c r="T33" s="82"/>
      <c r="U33" s="83"/>
      <c r="V33" s="83"/>
      <c r="W33" s="83"/>
      <c r="X33" s="83"/>
      <c r="Y33" s="82"/>
      <c r="Z33" s="83"/>
      <c r="AA33" s="82"/>
      <c r="AB33" s="82"/>
      <c r="AC33" s="82"/>
      <c r="AD33" s="82"/>
      <c r="AE33" s="82"/>
      <c r="AF33" s="82"/>
      <c r="AG33" s="82"/>
      <c r="AH33" s="82"/>
      <c r="AI33" s="83"/>
      <c r="AJ33" s="83"/>
      <c r="AK33" s="82"/>
      <c r="AL33" s="83"/>
    </row>
    <row r="34" spans="1:38" s="68" customFormat="1" ht="24" customHeight="1" x14ac:dyDescent="0.3">
      <c r="A34" s="133"/>
      <c r="B34" s="67" t="s">
        <v>167</v>
      </c>
      <c r="C34" s="62">
        <f t="shared" si="4"/>
        <v>93603.744149765989</v>
      </c>
      <c r="D34" s="82">
        <v>70202.808112324492</v>
      </c>
      <c r="E34" s="83">
        <v>23400.936037441497</v>
      </c>
      <c r="F34" s="82"/>
      <c r="G34" s="82"/>
      <c r="H34" s="82"/>
      <c r="I34" s="82"/>
      <c r="J34" s="83"/>
      <c r="K34" s="82"/>
      <c r="L34" s="82"/>
      <c r="M34" s="82"/>
      <c r="N34" s="83"/>
      <c r="O34" s="83"/>
      <c r="P34" s="83"/>
      <c r="Q34" s="83"/>
      <c r="R34" s="83"/>
      <c r="S34" s="83"/>
      <c r="T34" s="82"/>
      <c r="U34" s="83"/>
      <c r="V34" s="83"/>
      <c r="W34" s="83"/>
      <c r="X34" s="83"/>
      <c r="Y34" s="82"/>
      <c r="Z34" s="83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2"/>
      <c r="AL34" s="83"/>
    </row>
    <row r="35" spans="1:38" s="68" customFormat="1" ht="21.5" customHeight="1" x14ac:dyDescent="0.3">
      <c r="A35" s="133"/>
      <c r="B35" s="67" t="s">
        <v>35</v>
      </c>
      <c r="C35" s="62">
        <f t="shared" si="4"/>
        <v>537681.51326053042</v>
      </c>
      <c r="D35" s="82">
        <v>403261.13494539779</v>
      </c>
      <c r="E35" s="83">
        <v>134420.37831513261</v>
      </c>
      <c r="F35" s="82"/>
      <c r="G35" s="82"/>
      <c r="H35" s="82"/>
      <c r="I35" s="82"/>
      <c r="J35" s="83"/>
      <c r="K35" s="82"/>
      <c r="L35" s="82"/>
      <c r="M35" s="82"/>
      <c r="N35" s="83"/>
      <c r="O35" s="83"/>
      <c r="P35" s="83"/>
      <c r="Q35" s="83"/>
      <c r="R35" s="83"/>
      <c r="S35" s="83"/>
      <c r="T35" s="82"/>
      <c r="U35" s="83"/>
      <c r="V35" s="83"/>
      <c r="W35" s="83"/>
      <c r="X35" s="83"/>
      <c r="Y35" s="82"/>
      <c r="Z35" s="83"/>
      <c r="AA35" s="82"/>
      <c r="AB35" s="82"/>
      <c r="AC35" s="82"/>
      <c r="AD35" s="82"/>
      <c r="AE35" s="82"/>
      <c r="AF35" s="82"/>
      <c r="AG35" s="82"/>
      <c r="AH35" s="82"/>
      <c r="AI35" s="82"/>
      <c r="AJ35" s="83"/>
      <c r="AK35" s="82"/>
      <c r="AL35" s="83"/>
    </row>
    <row r="36" spans="1:38" s="68" customFormat="1" ht="21" customHeight="1" x14ac:dyDescent="0.3">
      <c r="A36" s="133"/>
      <c r="B36" s="67" t="s">
        <v>36</v>
      </c>
      <c r="C36" s="62">
        <f t="shared" si="4"/>
        <v>950000</v>
      </c>
      <c r="D36" s="82">
        <v>550000</v>
      </c>
      <c r="E36" s="83">
        <v>400000</v>
      </c>
      <c r="F36" s="82"/>
      <c r="G36" s="82"/>
      <c r="H36" s="82"/>
      <c r="I36" s="82"/>
      <c r="J36" s="83"/>
      <c r="K36" s="82"/>
      <c r="L36" s="82"/>
      <c r="M36" s="82"/>
      <c r="N36" s="83"/>
      <c r="O36" s="83"/>
      <c r="P36" s="83"/>
      <c r="Q36" s="83"/>
      <c r="R36" s="83"/>
      <c r="S36" s="83"/>
      <c r="T36" s="82"/>
      <c r="U36" s="83"/>
      <c r="V36" s="83"/>
      <c r="W36" s="83"/>
      <c r="X36" s="83"/>
      <c r="Y36" s="82"/>
      <c r="Z36" s="83"/>
      <c r="AA36" s="82"/>
      <c r="AB36" s="82"/>
      <c r="AC36" s="82"/>
      <c r="AD36" s="82"/>
      <c r="AE36" s="82"/>
      <c r="AF36" s="82"/>
      <c r="AG36" s="82"/>
      <c r="AH36" s="82"/>
      <c r="AI36" s="82"/>
      <c r="AJ36" s="83"/>
      <c r="AK36" s="82"/>
      <c r="AL36" s="83"/>
    </row>
    <row r="37" spans="1:38" s="68" customFormat="1" ht="21.5" customHeight="1" x14ac:dyDescent="0.3">
      <c r="A37" s="133"/>
      <c r="B37" s="67" t="s">
        <v>37</v>
      </c>
      <c r="C37" s="62">
        <f t="shared" si="4"/>
        <v>351201.248049922</v>
      </c>
      <c r="D37" s="82">
        <v>183400.93603744148</v>
      </c>
      <c r="E37" s="83">
        <v>167800.31201248051</v>
      </c>
      <c r="F37" s="82"/>
      <c r="G37" s="82"/>
      <c r="H37" s="82"/>
      <c r="I37" s="82"/>
      <c r="J37" s="83"/>
      <c r="K37" s="82"/>
      <c r="L37" s="82"/>
      <c r="M37" s="82"/>
      <c r="N37" s="83"/>
      <c r="O37" s="83"/>
      <c r="P37" s="83"/>
      <c r="Q37" s="83"/>
      <c r="R37" s="83"/>
      <c r="S37" s="83"/>
      <c r="T37" s="82"/>
      <c r="U37" s="83"/>
      <c r="V37" s="83"/>
      <c r="W37" s="83"/>
      <c r="X37" s="83"/>
      <c r="Y37" s="82"/>
      <c r="Z37" s="83"/>
      <c r="AA37" s="82"/>
      <c r="AB37" s="82"/>
      <c r="AC37" s="82"/>
      <c r="AD37" s="82"/>
      <c r="AE37" s="82"/>
      <c r="AF37" s="82"/>
      <c r="AG37" s="82"/>
      <c r="AH37" s="82"/>
      <c r="AI37" s="82"/>
      <c r="AJ37" s="83"/>
      <c r="AK37" s="82"/>
      <c r="AL37" s="83"/>
    </row>
    <row r="38" spans="1:38" s="68" customFormat="1" ht="24" customHeight="1" x14ac:dyDescent="0.3">
      <c r="A38" s="133"/>
      <c r="B38" s="67" t="s">
        <v>38</v>
      </c>
      <c r="C38" s="62">
        <f t="shared" si="4"/>
        <v>343213.72854914196</v>
      </c>
      <c r="D38" s="82">
        <v>257410.29641185649</v>
      </c>
      <c r="E38" s="83">
        <v>85803.43213728549</v>
      </c>
      <c r="F38" s="82"/>
      <c r="G38" s="82"/>
      <c r="H38" s="82"/>
      <c r="I38" s="82"/>
      <c r="J38" s="83"/>
      <c r="K38" s="82"/>
      <c r="L38" s="82"/>
      <c r="M38" s="82"/>
      <c r="N38" s="83"/>
      <c r="O38" s="83"/>
      <c r="P38" s="83"/>
      <c r="Q38" s="83"/>
      <c r="R38" s="83"/>
      <c r="S38" s="83"/>
      <c r="T38" s="82"/>
      <c r="U38" s="83"/>
      <c r="V38" s="83"/>
      <c r="W38" s="83"/>
      <c r="X38" s="83"/>
      <c r="Y38" s="82"/>
      <c r="Z38" s="83"/>
      <c r="AA38" s="83"/>
      <c r="AB38" s="82"/>
      <c r="AC38" s="82"/>
      <c r="AD38" s="82"/>
      <c r="AE38" s="82"/>
      <c r="AF38" s="82"/>
      <c r="AG38" s="82"/>
      <c r="AH38" s="82"/>
      <c r="AI38" s="82"/>
      <c r="AJ38" s="83"/>
      <c r="AK38" s="82"/>
      <c r="AL38" s="83"/>
    </row>
    <row r="39" spans="1:38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/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715210.42121684866</v>
      </c>
      <c r="D40" s="82">
        <v>536407.81591263646</v>
      </c>
      <c r="E40" s="83">
        <v>178802.60530421216</v>
      </c>
      <c r="F40" s="82"/>
      <c r="G40" s="82"/>
      <c r="H40" s="82"/>
      <c r="I40" s="82"/>
      <c r="J40" s="83"/>
      <c r="K40" s="82"/>
      <c r="L40" s="82"/>
      <c r="M40" s="82"/>
      <c r="N40" s="83"/>
      <c r="O40" s="83"/>
      <c r="P40" s="83"/>
      <c r="Q40" s="83"/>
      <c r="R40" s="83"/>
      <c r="S40" s="83"/>
      <c r="T40" s="82"/>
      <c r="U40" s="83"/>
      <c r="V40" s="83"/>
      <c r="W40" s="83"/>
      <c r="X40" s="83"/>
      <c r="Y40" s="82"/>
      <c r="Z40" s="83"/>
      <c r="AA40" s="82"/>
      <c r="AB40" s="82"/>
      <c r="AC40" s="82"/>
      <c r="AD40" s="82"/>
      <c r="AE40" s="82"/>
      <c r="AF40" s="82"/>
      <c r="AG40" s="82"/>
      <c r="AH40" s="82"/>
      <c r="AI40" s="82"/>
      <c r="AJ40" s="83"/>
      <c r="AK40" s="82"/>
      <c r="AL40" s="83"/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6482547</v>
      </c>
      <c r="D41" s="82">
        <v>1714410</v>
      </c>
      <c r="E41" s="82">
        <v>4768137</v>
      </c>
      <c r="F41" s="82"/>
      <c r="G41" s="82"/>
      <c r="H41" s="82"/>
      <c r="I41" s="82"/>
      <c r="J41" s="83"/>
      <c r="M41" s="82"/>
      <c r="N41" s="82"/>
      <c r="O41" s="82"/>
      <c r="Q41" s="83"/>
      <c r="R41" s="83"/>
      <c r="S41" s="83"/>
      <c r="U41" s="82"/>
      <c r="V41" s="83"/>
      <c r="W41" s="82"/>
      <c r="X41" s="90"/>
      <c r="Y41" s="82"/>
      <c r="Z41" s="83"/>
      <c r="AA41" s="82"/>
      <c r="AB41" s="82"/>
      <c r="AC41" s="82"/>
      <c r="AD41" s="82"/>
      <c r="AE41" s="82"/>
      <c r="AF41" s="82"/>
      <c r="AH41" s="82"/>
      <c r="AL41" s="83"/>
    </row>
    <row r="42" spans="1:38" s="68" customFormat="1" ht="33" customHeight="1" x14ac:dyDescent="0.3">
      <c r="A42" s="135"/>
      <c r="B42" s="69" t="s">
        <v>43</v>
      </c>
      <c r="C42" s="62">
        <f t="shared" si="4"/>
        <v>615000</v>
      </c>
      <c r="D42" s="82">
        <v>175000</v>
      </c>
      <c r="E42" s="83">
        <v>440000</v>
      </c>
      <c r="F42" s="82"/>
      <c r="G42" s="82"/>
      <c r="H42" s="82"/>
      <c r="I42" s="82"/>
      <c r="J42" s="82"/>
      <c r="N42" s="82"/>
      <c r="O42" s="82"/>
      <c r="Q42" s="82"/>
      <c r="S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H42" s="82"/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240000</v>
      </c>
      <c r="D43" s="82">
        <v>240000</v>
      </c>
      <c r="E43" s="82"/>
      <c r="F43" s="82"/>
      <c r="G43" s="67"/>
      <c r="H43" s="67"/>
      <c r="I43" s="67"/>
      <c r="J43" s="82"/>
      <c r="K43" s="82"/>
      <c r="N43" s="82"/>
      <c r="S43" s="82"/>
      <c r="T43" s="82"/>
      <c r="V43" s="82"/>
      <c r="W43" s="82"/>
      <c r="X43" s="83"/>
      <c r="Z43" s="82"/>
      <c r="AA43" s="82"/>
      <c r="AB43" s="82"/>
      <c r="AC43" s="82"/>
      <c r="AE43" s="82"/>
      <c r="AG43" s="82"/>
      <c r="AK43" s="82"/>
    </row>
    <row r="44" spans="1:38" s="93" customFormat="1" ht="13" x14ac:dyDescent="0.3">
      <c r="A44" s="91" t="s">
        <v>45</v>
      </c>
      <c r="B44" s="92"/>
      <c r="C44" s="62">
        <f>SUM(C30:C43)</f>
        <v>13310221.271517821</v>
      </c>
      <c r="D44" s="92">
        <f t="shared" ref="D44:AL44" si="5">SUM(D30:D43)</f>
        <v>6265596.7955592517</v>
      </c>
      <c r="E44" s="92">
        <f t="shared" si="5"/>
        <v>7044624.475958569</v>
      </c>
      <c r="F44" s="92">
        <f t="shared" si="5"/>
        <v>0</v>
      </c>
      <c r="G44" s="92">
        <f t="shared" si="5"/>
        <v>0</v>
      </c>
      <c r="H44" s="92">
        <f t="shared" si="5"/>
        <v>0</v>
      </c>
      <c r="I44" s="92">
        <f t="shared" si="5"/>
        <v>0</v>
      </c>
      <c r="J44" s="92">
        <f t="shared" si="5"/>
        <v>0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>SUM(P30:P43)</f>
        <v>0</v>
      </c>
      <c r="Q44" s="92">
        <f t="shared" si="5"/>
        <v>0</v>
      </c>
      <c r="R44" s="92">
        <f t="shared" si="5"/>
        <v>0</v>
      </c>
      <c r="S44" s="92">
        <f t="shared" si="5"/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88631412.271517813</v>
      </c>
      <c r="D45" s="95">
        <f t="shared" si="6"/>
        <v>60486739.79555925</v>
      </c>
      <c r="E45" s="95">
        <f t="shared" si="6"/>
        <v>28144672.475958571</v>
      </c>
      <c r="F45" s="95">
        <f t="shared" si="6"/>
        <v>0</v>
      </c>
      <c r="G45" s="95">
        <f t="shared" si="6"/>
        <v>0</v>
      </c>
      <c r="H45" s="95">
        <f t="shared" si="6"/>
        <v>0</v>
      </c>
      <c r="I45" s="95">
        <f t="shared" si="6"/>
        <v>0</v>
      </c>
      <c r="J45" s="95">
        <f t="shared" si="6"/>
        <v>0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31476809</v>
      </c>
      <c r="D46" s="97">
        <f t="shared" si="7"/>
        <v>20718857</v>
      </c>
      <c r="E46" s="97">
        <f t="shared" si="7"/>
        <v>10757952</v>
      </c>
      <c r="F46" s="97">
        <f t="shared" si="7"/>
        <v>0</v>
      </c>
      <c r="G46" s="97">
        <f t="shared" si="7"/>
        <v>0</v>
      </c>
      <c r="H46" s="97">
        <f t="shared" si="7"/>
        <v>0</v>
      </c>
      <c r="I46" s="97">
        <f t="shared" si="7"/>
        <v>0</v>
      </c>
      <c r="J46" s="97">
        <f t="shared" si="7"/>
        <v>0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</row>
    <row r="47" spans="1:38" s="100" customFormat="1" ht="13" x14ac:dyDescent="0.3">
      <c r="A47" s="98" t="s">
        <v>48</v>
      </c>
      <c r="B47" s="98"/>
      <c r="C47" s="62">
        <f>C4-C45</f>
        <v>18166587.728482187</v>
      </c>
      <c r="D47" s="99">
        <f t="shared" ref="D47:AL47" si="8">D4-D45</f>
        <v>14453260.20444075</v>
      </c>
      <c r="E47" s="99">
        <f t="shared" si="8"/>
        <v>3713327.5240414292</v>
      </c>
      <c r="F47" s="99">
        <f t="shared" si="8"/>
        <v>0</v>
      </c>
      <c r="G47" s="99">
        <f t="shared" si="8"/>
        <v>0</v>
      </c>
      <c r="H47" s="99">
        <f t="shared" si="8"/>
        <v>0</v>
      </c>
      <c r="I47" s="99">
        <f t="shared" si="8"/>
        <v>0</v>
      </c>
      <c r="J47" s="99">
        <f t="shared" si="8"/>
        <v>0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75321191</v>
      </c>
      <c r="D48" s="61">
        <f t="shared" si="9"/>
        <v>54221143</v>
      </c>
      <c r="E48" s="61">
        <f t="shared" si="9"/>
        <v>21100048</v>
      </c>
      <c r="F48" s="61">
        <f t="shared" si="9"/>
        <v>0</v>
      </c>
      <c r="G48" s="61">
        <f t="shared" si="9"/>
        <v>0</v>
      </c>
      <c r="H48" s="61">
        <f t="shared" si="9"/>
        <v>0</v>
      </c>
      <c r="I48" s="61">
        <f t="shared" si="9"/>
        <v>0</v>
      </c>
      <c r="J48" s="61">
        <f t="shared" si="9"/>
        <v>0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0.17010232147120907</v>
      </c>
      <c r="D49" s="101">
        <f t="shared" si="10"/>
        <v>0.19286442760129102</v>
      </c>
      <c r="E49" s="101">
        <f t="shared" si="10"/>
        <v>0.11655871442154024</v>
      </c>
      <c r="F49" s="101" t="e">
        <f t="shared" si="10"/>
        <v>#DIV/0!</v>
      </c>
      <c r="G49" s="101" t="e">
        <f t="shared" si="10"/>
        <v>#DIV/0!</v>
      </c>
      <c r="H49" s="101" t="e">
        <f t="shared" si="10"/>
        <v>#DIV/0!</v>
      </c>
      <c r="I49" s="101" t="e">
        <f t="shared" si="10"/>
        <v>#DIV/0!</v>
      </c>
      <c r="J49" s="101" t="e">
        <f t="shared" si="10"/>
        <v>#DIV/0!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0.29473219535946366</v>
      </c>
      <c r="D50" s="101">
        <f t="shared" si="11"/>
        <v>0.27647260475046703</v>
      </c>
      <c r="E50" s="101">
        <f t="shared" si="11"/>
        <v>0.33768447485717873</v>
      </c>
      <c r="F50" s="101" t="e">
        <f t="shared" si="11"/>
        <v>#DIV/0!</v>
      </c>
      <c r="G50" s="101" t="e">
        <f t="shared" si="11"/>
        <v>#DIV/0!</v>
      </c>
      <c r="H50" s="101" t="e">
        <f t="shared" si="11"/>
        <v>#DIV/0!</v>
      </c>
      <c r="I50" s="101" t="e">
        <f t="shared" si="11"/>
        <v>#DIV/0!</v>
      </c>
      <c r="J50" s="101" t="e">
        <f t="shared" si="11"/>
        <v>#DIV/0!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</row>
    <row r="51" spans="1:38" s="104" customFormat="1" ht="13" x14ac:dyDescent="0.3">
      <c r="A51" s="101" t="s">
        <v>51</v>
      </c>
      <c r="B51" s="102"/>
      <c r="C51" s="103">
        <f>C47/C48</f>
        <v>0.24118826969268431</v>
      </c>
      <c r="D51" s="101">
        <f t="shared" ref="D51:AL51" si="12">D47/D48</f>
        <v>0.26656133391435055</v>
      </c>
      <c r="E51" s="101">
        <f t="shared" si="12"/>
        <v>0.17598668609860171</v>
      </c>
      <c r="F51" s="101" t="e">
        <f t="shared" si="12"/>
        <v>#DIV/0!</v>
      </c>
      <c r="G51" s="101" t="e">
        <f t="shared" si="12"/>
        <v>#DIV/0!</v>
      </c>
      <c r="H51" s="101" t="e">
        <f t="shared" si="12"/>
        <v>#DIV/0!</v>
      </c>
      <c r="I51" s="101" t="e">
        <f t="shared" si="12"/>
        <v>#DIV/0!</v>
      </c>
      <c r="J51" s="101" t="e">
        <f t="shared" si="12"/>
        <v>#DIV/0!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0.57714197549320156</v>
      </c>
      <c r="D52" s="101">
        <f t="shared" si="13"/>
        <v>0.69758965006808771</v>
      </c>
      <c r="E52" s="101">
        <f t="shared" si="13"/>
        <v>0.34517048635664382</v>
      </c>
      <c r="F52" s="101" t="e">
        <f t="shared" si="13"/>
        <v>#DIV/0!</v>
      </c>
      <c r="G52" s="101" t="e">
        <f t="shared" si="13"/>
        <v>#DIV/0!</v>
      </c>
      <c r="H52" s="101" t="e">
        <f t="shared" si="13"/>
        <v>#DIV/0!</v>
      </c>
      <c r="I52" s="101" t="e">
        <f t="shared" si="13"/>
        <v>#DIV/0!</v>
      </c>
      <c r="J52" s="101" t="e">
        <f t="shared" si="13"/>
        <v>#DIV/0!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</row>
    <row r="53" spans="1:38" s="108" customFormat="1" ht="13" x14ac:dyDescent="0.3">
      <c r="A53" s="106" t="s">
        <v>53</v>
      </c>
      <c r="B53" s="107"/>
      <c r="C53" s="87">
        <f>C45/C46</f>
        <v>2.8157686591267179</v>
      </c>
      <c r="D53" s="106">
        <f t="shared" ref="D53:AL53" si="14">D45/D46</f>
        <v>2.9194052449688344</v>
      </c>
      <c r="E53" s="106">
        <f t="shared" si="14"/>
        <v>2.6161738289925975</v>
      </c>
      <c r="F53" s="106" t="e">
        <f t="shared" si="14"/>
        <v>#DIV/0!</v>
      </c>
      <c r="G53" s="106" t="e">
        <f t="shared" si="14"/>
        <v>#DIV/0!</v>
      </c>
      <c r="H53" s="106" t="e">
        <f t="shared" si="14"/>
        <v>#DIV/0!</v>
      </c>
      <c r="I53" s="106" t="e">
        <f t="shared" si="14"/>
        <v>#DIV/0!</v>
      </c>
      <c r="J53" s="106" t="e">
        <f t="shared" si="14"/>
        <v>#DIV/0!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</row>
    <row r="54" spans="1:38" s="110" customFormat="1" x14ac:dyDescent="0.3">
      <c r="A54" s="109" t="s">
        <v>54</v>
      </c>
      <c r="C54" s="111">
        <f t="shared" ref="C54:AL54" si="15">C48/C4</f>
        <v>0.70526780464053629</v>
      </c>
      <c r="D54" s="112">
        <f t="shared" si="15"/>
        <v>0.72352739524953291</v>
      </c>
      <c r="E54" s="112">
        <f t="shared" si="15"/>
        <v>0.66231552514282122</v>
      </c>
      <c r="F54" s="112" t="e">
        <f t="shared" si="15"/>
        <v>#DIV/0!</v>
      </c>
      <c r="G54" s="112" t="e">
        <f t="shared" si="15"/>
        <v>#DIV/0!</v>
      </c>
      <c r="H54" s="112" t="e">
        <f t="shared" si="15"/>
        <v>#DIV/0!</v>
      </c>
      <c r="I54" s="112" t="e">
        <f t="shared" si="15"/>
        <v>#DIV/0!</v>
      </c>
      <c r="J54" s="112" t="e">
        <f t="shared" si="15"/>
        <v>#DIV/0!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</row>
    <row r="55" spans="1:38" s="110" customFormat="1" x14ac:dyDescent="0.3">
      <c r="A55" s="109" t="s">
        <v>55</v>
      </c>
      <c r="C55" s="111">
        <f t="shared" ref="C55:AL55" si="16">C44/C4</f>
        <v>0.12462987388825465</v>
      </c>
      <c r="D55" s="112">
        <f t="shared" si="16"/>
        <v>8.3608177149176025E-2</v>
      </c>
      <c r="E55" s="112">
        <f t="shared" si="16"/>
        <v>0.22112576043563842</v>
      </c>
      <c r="F55" s="112" t="e">
        <f t="shared" si="16"/>
        <v>#DIV/0!</v>
      </c>
      <c r="G55" s="112" t="e">
        <f t="shared" si="16"/>
        <v>#DIV/0!</v>
      </c>
      <c r="H55" s="112" t="e">
        <f t="shared" si="16"/>
        <v>#DIV/0!</v>
      </c>
      <c r="I55" s="112" t="e">
        <f t="shared" si="16"/>
        <v>#DIV/0!</v>
      </c>
      <c r="J55" s="112" t="e">
        <f t="shared" si="16"/>
        <v>#DIV/0!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</row>
    <row r="56" spans="1:38" s="110" customFormat="1" x14ac:dyDescent="0.3">
      <c r="A56" s="113" t="s">
        <v>56</v>
      </c>
      <c r="C56" s="111">
        <f t="shared" ref="C56:AL56" si="17">C45/C4</f>
        <v>0.82989767852879093</v>
      </c>
      <c r="D56" s="112">
        <f t="shared" si="17"/>
        <v>0.80713557239870892</v>
      </c>
      <c r="E56" s="112">
        <f t="shared" si="17"/>
        <v>0.8834412855784598</v>
      </c>
      <c r="F56" s="112" t="e">
        <f t="shared" si="17"/>
        <v>#DIV/0!</v>
      </c>
      <c r="G56" s="112" t="e">
        <f t="shared" si="17"/>
        <v>#DIV/0!</v>
      </c>
      <c r="H56" s="112" t="e">
        <f t="shared" si="17"/>
        <v>#DIV/0!</v>
      </c>
      <c r="I56" s="112" t="e">
        <f t="shared" si="17"/>
        <v>#DIV/0!</v>
      </c>
      <c r="J56" s="112" t="e">
        <f t="shared" si="17"/>
        <v>#DIV/0!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</row>
    <row r="57" spans="1:38" s="110" customFormat="1" x14ac:dyDescent="0.3">
      <c r="A57" s="113" t="s">
        <v>104</v>
      </c>
      <c r="C57" s="111">
        <f t="shared" ref="C57:AL57" si="18">SUM(C30:C39)/C44</f>
        <v>0.39499447402510701</v>
      </c>
      <c r="D57" s="112">
        <f t="shared" si="18"/>
        <v>0.57453090217965552</v>
      </c>
      <c r="E57" s="112">
        <f t="shared" si="18"/>
        <v>0.23531202781803273</v>
      </c>
      <c r="F57" s="112" t="e">
        <f t="shared" si="18"/>
        <v>#DIV/0!</v>
      </c>
      <c r="G57" s="112" t="e">
        <f t="shared" si="18"/>
        <v>#DIV/0!</v>
      </c>
      <c r="H57" s="112" t="e">
        <f t="shared" si="18"/>
        <v>#DIV/0!</v>
      </c>
      <c r="I57" s="112" t="e">
        <f t="shared" si="18"/>
        <v>#DIV/0!</v>
      </c>
      <c r="J57" s="112" t="e">
        <f t="shared" si="18"/>
        <v>#DIV/0!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</row>
    <row r="58" spans="1:38" s="110" customFormat="1" x14ac:dyDescent="0.3">
      <c r="A58" s="113" t="s">
        <v>58</v>
      </c>
      <c r="C58" s="111">
        <f>C41/C44</f>
        <v>0.48703525416754906</v>
      </c>
      <c r="D58" s="112">
        <f t="shared" ref="D58:AL58" si="19">D41/D44</f>
        <v>0.27362277783579847</v>
      </c>
      <c r="E58" s="112">
        <f t="shared" si="19"/>
        <v>0.67684757594565681</v>
      </c>
      <c r="F58" s="112" t="e">
        <f t="shared" si="19"/>
        <v>#DIV/0!</v>
      </c>
      <c r="G58" s="112" t="e">
        <f t="shared" si="19"/>
        <v>#DIV/0!</v>
      </c>
      <c r="H58" s="112" t="e">
        <f t="shared" si="19"/>
        <v>#DIV/0!</v>
      </c>
      <c r="I58" s="112" t="e">
        <f t="shared" si="19"/>
        <v>#DIV/0!</v>
      </c>
      <c r="J58" s="112" t="e">
        <f t="shared" si="19"/>
        <v>#DIV/0!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</row>
    <row r="59" spans="1:38" s="110" customFormat="1" x14ac:dyDescent="0.3">
      <c r="A59" s="113" t="s">
        <v>59</v>
      </c>
      <c r="C59" s="111">
        <f>C43/C44</f>
        <v>1.8031255461813354E-2</v>
      </c>
      <c r="D59" s="112">
        <f t="shared" ref="D59:AL59" si="20">D43/D44</f>
        <v>3.8304411827154321E-2</v>
      </c>
      <c r="E59" s="112">
        <f t="shared" si="20"/>
        <v>0</v>
      </c>
      <c r="F59" s="112" t="e">
        <f t="shared" si="20"/>
        <v>#DIV/0!</v>
      </c>
      <c r="G59" s="112" t="e">
        <f t="shared" si="20"/>
        <v>#DIV/0!</v>
      </c>
      <c r="H59" s="112" t="e">
        <f t="shared" si="20"/>
        <v>#DIV/0!</v>
      </c>
      <c r="I59" s="112" t="e">
        <f t="shared" si="20"/>
        <v>#DIV/0!</v>
      </c>
      <c r="J59" s="112" t="e">
        <f t="shared" si="20"/>
        <v>#DIV/0!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FA61-2339-45B6-84F6-E91AE733CAAF}">
  <sheetPr codeName="Sheet12">
    <tabColor rgb="FF92D050"/>
  </sheetPr>
  <dimension ref="A1:Z68"/>
  <sheetViews>
    <sheetView topLeftCell="A16" workbookViewId="0">
      <selection activeCell="A4" sqref="A4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136" t="s">
        <v>179</v>
      </c>
      <c r="B1" s="137"/>
      <c r="C1" s="137"/>
      <c r="D1" s="137"/>
      <c r="E1" s="137"/>
      <c r="F1" s="138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175</v>
      </c>
      <c r="B3" s="7"/>
      <c r="C3" s="8">
        <f>SUM(D3:F3)</f>
        <v>5342579924</v>
      </c>
      <c r="D3" s="9">
        <v>2124862273</v>
      </c>
      <c r="E3" s="9">
        <v>3110919651</v>
      </c>
      <c r="F3" s="9">
        <v>106798000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233400000</v>
      </c>
      <c r="D4" s="12">
        <v>62500000</v>
      </c>
      <c r="E4" s="12">
        <v>156800000</v>
      </c>
      <c r="F4" s="12">
        <v>14100000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9300000</v>
      </c>
      <c r="D5" s="12">
        <v>500000</v>
      </c>
      <c r="E5" s="12">
        <v>8800000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96889000</v>
      </c>
      <c r="D6" s="12">
        <v>33389000</v>
      </c>
      <c r="E6" s="12">
        <v>56300000</v>
      </c>
      <c r="F6" s="12">
        <v>7200000</v>
      </c>
    </row>
    <row r="7" spans="1:26" s="1" customFormat="1" ht="15.5" x14ac:dyDescent="0.35">
      <c r="A7" s="13"/>
      <c r="B7" s="11" t="s">
        <v>6</v>
      </c>
      <c r="C7" s="3">
        <f t="shared" si="0"/>
        <v>32</v>
      </c>
      <c r="D7" s="12">
        <v>16</v>
      </c>
      <c r="E7" s="12">
        <v>16</v>
      </c>
      <c r="F7" s="12">
        <v>0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59</v>
      </c>
      <c r="D8" s="12">
        <v>17</v>
      </c>
      <c r="E8" s="12">
        <v>40</v>
      </c>
      <c r="F8" s="12">
        <v>2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81</v>
      </c>
      <c r="D9" s="12">
        <v>41</v>
      </c>
      <c r="E9" s="12">
        <v>40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4167609903.2258058</v>
      </c>
      <c r="D10" s="12">
        <v>1676204838.7096772</v>
      </c>
      <c r="E10" s="12">
        <v>2408530870.9677415</v>
      </c>
      <c r="F10" s="12">
        <v>82874193.548387095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473657833.33333337</v>
      </c>
      <c r="D11" s="12">
        <v>191320100</v>
      </c>
      <c r="E11" s="12">
        <v>275881733.33333337</v>
      </c>
      <c r="F11" s="12">
        <v>6456000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201717096.77419356</v>
      </c>
      <c r="D12" s="12">
        <v>82498064.516129032</v>
      </c>
      <c r="E12" s="12">
        <v>115349032.25806452</v>
      </c>
      <c r="F12" s="12">
        <v>3870000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100255763.44086021</v>
      </c>
      <c r="D13" s="12">
        <v>39946354.838709682</v>
      </c>
      <c r="E13" s="12">
        <v>57981021.505376346</v>
      </c>
      <c r="F13" s="12">
        <v>2328387.0967741935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90357419.354838714</v>
      </c>
      <c r="D14" s="12">
        <v>36372903.225806452</v>
      </c>
      <c r="E14" s="12">
        <v>52684516.129032262</v>
      </c>
      <c r="F14" s="12">
        <v>1300000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9545161.2903225794</v>
      </c>
      <c r="D15" s="12">
        <v>6645161.2903225804</v>
      </c>
      <c r="E15" s="12">
        <v>2200000</v>
      </c>
      <c r="F15" s="12">
        <v>700000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47248924.731182791</v>
      </c>
      <c r="D16" s="12">
        <v>16084645.161290323</v>
      </c>
      <c r="E16" s="12">
        <v>29113956.989247311</v>
      </c>
      <c r="F16" s="12">
        <v>2050322.5806451612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104677053.76344086</v>
      </c>
      <c r="D17" s="12">
        <v>43526032.258064516</v>
      </c>
      <c r="E17" s="12">
        <v>59531021.505376346</v>
      </c>
      <c r="F17" s="12">
        <v>1620000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1027459252.688172</v>
      </c>
      <c r="D18" s="16">
        <f>SUM(D11:D17)</f>
        <v>416393261.29032266</v>
      </c>
      <c r="E18" s="16">
        <f>SUM(E11:E17)</f>
        <v>592741281.72043014</v>
      </c>
      <c r="F18" s="16">
        <f>SUM(F11:F17)</f>
        <v>18324709.677419357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3600416666.666667</v>
      </c>
      <c r="D20" s="17">
        <v>1474516666.666667</v>
      </c>
      <c r="E20" s="17">
        <v>2060900000</v>
      </c>
      <c r="F20" s="12">
        <v>65000000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42335000</v>
      </c>
      <c r="D21" s="17">
        <v>12075000</v>
      </c>
      <c r="E21" s="17">
        <v>30260000</v>
      </c>
      <c r="F21" s="12">
        <v>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322244264</v>
      </c>
      <c r="D22" s="17">
        <v>121290925</v>
      </c>
      <c r="E22" s="17">
        <v>191872548</v>
      </c>
      <c r="F22" s="18">
        <v>9080791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142684711.66666669</v>
      </c>
      <c r="D23" s="17">
        <v>50600651.666666672</v>
      </c>
      <c r="E23" s="17">
        <v>91743660</v>
      </c>
      <c r="F23" s="18">
        <v>340400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31107532.916666672</v>
      </c>
      <c r="D24" s="17">
        <v>14285303.666666668</v>
      </c>
      <c r="E24" s="17">
        <v>16422229.250000002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17910000</v>
      </c>
      <c r="D25" s="17">
        <v>6550000</v>
      </c>
      <c r="E25" s="17">
        <v>10860000</v>
      </c>
      <c r="F25" s="12">
        <v>500000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3516000</v>
      </c>
      <c r="D26" s="12">
        <v>0</v>
      </c>
      <c r="E26" s="12">
        <v>3516000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4333333.333333333</v>
      </c>
      <c r="D27" s="12">
        <v>0</v>
      </c>
      <c r="E27" s="12">
        <v>4333333.333333333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4164547508.5833335</v>
      </c>
      <c r="D28" s="8">
        <f>SUM(D20:D27)</f>
        <v>1679318547.0000005</v>
      </c>
      <c r="E28" s="8">
        <f>SUM(E20:E27)</f>
        <v>2409907770.5833335</v>
      </c>
      <c r="F28" s="8">
        <f>SUM(F20:F27)</f>
        <v>75321191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116803500.60717231</v>
      </c>
      <c r="D29" s="17">
        <v>47471122.54540012</v>
      </c>
      <c r="E29" s="17">
        <v>67058633.166229405</v>
      </c>
      <c r="F29" s="17">
        <v>2273744.8955427818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11222870.393414957</v>
      </c>
      <c r="D30" s="17">
        <v>4708268.3307332294</v>
      </c>
      <c r="E30" s="17">
        <v>6327394.5743821952</v>
      </c>
      <c r="F30" s="17">
        <v>187207.48829953198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17479391.994512465</v>
      </c>
      <c r="D31" s="17">
        <v>7178556.9422776904</v>
      </c>
      <c r="E31" s="17">
        <v>10004828.811985163</v>
      </c>
      <c r="F31" s="17">
        <v>296006.24024960998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13286913.595609969</v>
      </c>
      <c r="D32" s="17">
        <v>5463845.5538221523</v>
      </c>
      <c r="E32" s="17">
        <v>7598263.0495881289</v>
      </c>
      <c r="F32" s="17">
        <v>224804.99219968799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5611435.1967074787</v>
      </c>
      <c r="D33" s="17">
        <v>2354134.1653666147</v>
      </c>
      <c r="E33" s="17">
        <v>3163697.2871910976</v>
      </c>
      <c r="F33" s="17">
        <v>93603.744149765989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32233379.076178998</v>
      </c>
      <c r="D34" s="17">
        <v>13522690.058502339</v>
      </c>
      <c r="E34" s="17">
        <v>18173007.504416127</v>
      </c>
      <c r="F34" s="17">
        <v>537681.51326053042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38950000</v>
      </c>
      <c r="D35" s="17">
        <v>16000000</v>
      </c>
      <c r="E35" s="17">
        <v>22000000</v>
      </c>
      <c r="F35" s="17">
        <v>950000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14822571.860234316</v>
      </c>
      <c r="D36" s="17">
        <v>6164711.3884555399</v>
      </c>
      <c r="E36" s="17">
        <v>8306659.2237288533</v>
      </c>
      <c r="F36" s="17">
        <v>351201.248049922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20575262.387927424</v>
      </c>
      <c r="D37" s="17">
        <v>8631825.2730109207</v>
      </c>
      <c r="E37" s="17">
        <v>11600223.38636736</v>
      </c>
      <c r="F37" s="17">
        <v>343213.72854914196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42876029.875972003</v>
      </c>
      <c r="D39" s="17">
        <v>17987542.093603741</v>
      </c>
      <c r="E39" s="17">
        <v>24173277.361151416</v>
      </c>
      <c r="F39" s="17">
        <v>715210.42121684866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117296579.37721942</v>
      </c>
      <c r="D40" s="17">
        <v>32546563.382215276</v>
      </c>
      <c r="E40" s="17">
        <v>78267468.995004147</v>
      </c>
      <c r="F40" s="12">
        <v>6482547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12603000</v>
      </c>
      <c r="D41" s="17">
        <v>4733000</v>
      </c>
      <c r="E41" s="17">
        <v>7255000</v>
      </c>
      <c r="F41" s="12">
        <v>615000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39586800</v>
      </c>
      <c r="D42" s="12">
        <v>19433000</v>
      </c>
      <c r="E42" s="12">
        <v>19913800</v>
      </c>
      <c r="F42" s="12">
        <v>240000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488347734.36494935</v>
      </c>
      <c r="D43" s="21">
        <f>SUM(D29:D42)</f>
        <v>191195259.73338765</v>
      </c>
      <c r="E43" s="21">
        <f>SUM(E29:E42)</f>
        <v>283842253.36004388</v>
      </c>
      <c r="F43" s="21">
        <f>SUM(F29:F42)</f>
        <v>13310221.271517821</v>
      </c>
    </row>
    <row r="44" spans="1:26" s="25" customFormat="1" ht="18.5" customHeight="1" x14ac:dyDescent="0.35">
      <c r="A44" s="23" t="s">
        <v>46</v>
      </c>
      <c r="B44" s="23"/>
      <c r="C44" s="24">
        <f>C28+C43</f>
        <v>4652895242.9482832</v>
      </c>
      <c r="D44" s="24">
        <f>D28+D43</f>
        <v>1870513806.7333882</v>
      </c>
      <c r="E44" s="24">
        <f>E28+E43</f>
        <v>2693750023.9433775</v>
      </c>
      <c r="F44" s="24">
        <f>F28+F43</f>
        <v>88631412.271517813</v>
      </c>
    </row>
    <row r="45" spans="1:26" s="22" customFormat="1" ht="18" customHeight="1" x14ac:dyDescent="0.35">
      <c r="A45" s="19" t="s">
        <v>47</v>
      </c>
      <c r="B45" s="19"/>
      <c r="C45" s="20">
        <f>C3-C28</f>
        <v>1178032415.4166665</v>
      </c>
      <c r="D45" s="26">
        <f>D3-D28</f>
        <v>445543725.99999952</v>
      </c>
      <c r="E45" s="26">
        <f>E3-E28</f>
        <v>701011880.41666651</v>
      </c>
      <c r="F45" s="26">
        <f>F3-F28</f>
        <v>31476809</v>
      </c>
    </row>
    <row r="46" spans="1:26" s="30" customFormat="1" ht="15.5" x14ac:dyDescent="0.35">
      <c r="A46" s="27" t="s">
        <v>48</v>
      </c>
      <c r="B46" s="27"/>
      <c r="C46" s="28">
        <f>C3-C44</f>
        <v>689684681.0517168</v>
      </c>
      <c r="D46" s="29">
        <f>D3-D44</f>
        <v>254348466.26661181</v>
      </c>
      <c r="E46" s="29">
        <f>E3-E44</f>
        <v>417169627.05662251</v>
      </c>
      <c r="F46" s="29">
        <f>F3-F44</f>
        <v>18166587.728482187</v>
      </c>
    </row>
    <row r="47" spans="1:26" s="10" customFormat="1" ht="15.5" x14ac:dyDescent="0.35">
      <c r="A47" s="6" t="s">
        <v>29</v>
      </c>
      <c r="B47" s="6"/>
      <c r="C47" s="8">
        <f>C28</f>
        <v>4164547508.5833335</v>
      </c>
      <c r="D47" s="31">
        <f>D28</f>
        <v>1679318547.0000005</v>
      </c>
      <c r="E47" s="31">
        <f>E28</f>
        <v>2409907770.5833335</v>
      </c>
      <c r="F47" s="31">
        <f>F28</f>
        <v>75321191</v>
      </c>
    </row>
    <row r="48" spans="1:26" s="35" customFormat="1" ht="15" x14ac:dyDescent="0.35">
      <c r="A48" s="32" t="s">
        <v>49</v>
      </c>
      <c r="B48" s="33"/>
      <c r="C48" s="34">
        <f>C46/C3</f>
        <v>0.12909206616704175</v>
      </c>
      <c r="D48" s="34">
        <f>D46/D3</f>
        <v>0.11970115404586122</v>
      </c>
      <c r="E48" s="34">
        <f>E46/E3</f>
        <v>0.13409848978983563</v>
      </c>
      <c r="F48" s="34">
        <f>F46/F3</f>
        <v>0.17010232147120907</v>
      </c>
    </row>
    <row r="49" spans="1:6" s="35" customFormat="1" ht="15" x14ac:dyDescent="0.35">
      <c r="A49" s="32" t="s">
        <v>50</v>
      </c>
      <c r="B49" s="33"/>
      <c r="C49" s="34">
        <f>C45/C3</f>
        <v>0.22049879125339716</v>
      </c>
      <c r="D49" s="34">
        <f>D45/D3</f>
        <v>0.20968122577232068</v>
      </c>
      <c r="E49" s="34">
        <f>E45/E3</f>
        <v>0.2253391148149157</v>
      </c>
      <c r="F49" s="34">
        <f>F45/F3</f>
        <v>0.29473219535946366</v>
      </c>
    </row>
    <row r="50" spans="1:6" s="35" customFormat="1" ht="15" x14ac:dyDescent="0.35">
      <c r="A50" s="32" t="s">
        <v>51</v>
      </c>
      <c r="B50" s="33"/>
      <c r="C50" s="34">
        <f>C46/C47</f>
        <v>0.16560855162061267</v>
      </c>
      <c r="D50" s="34">
        <f>D46/D47</f>
        <v>0.15145933254949737</v>
      </c>
      <c r="E50" s="34">
        <f>E46/E47</f>
        <v>0.17310605499049614</v>
      </c>
      <c r="F50" s="34">
        <f>F46/F47</f>
        <v>0.24118826969268431</v>
      </c>
    </row>
    <row r="51" spans="1:6" s="35" customFormat="1" ht="15" x14ac:dyDescent="0.35">
      <c r="A51" s="32" t="s">
        <v>52</v>
      </c>
      <c r="B51" s="33"/>
      <c r="C51" s="34">
        <f>C46/C45</f>
        <v>0.58545475661446666</v>
      </c>
      <c r="D51" s="34">
        <f>D46/D45</f>
        <v>0.57087206355726372</v>
      </c>
      <c r="E51" s="34">
        <f>E46/E45</f>
        <v>0.5950963724162075</v>
      </c>
      <c r="F51" s="34">
        <f>F46/F45</f>
        <v>0.57714197549320156</v>
      </c>
    </row>
    <row r="52" spans="1:6" s="39" customFormat="1" ht="15" x14ac:dyDescent="0.35">
      <c r="A52" s="36" t="s">
        <v>53</v>
      </c>
      <c r="B52" s="37"/>
      <c r="C52" s="38">
        <f>C44/C45</f>
        <v>3.9497174967826063</v>
      </c>
      <c r="D52" s="38">
        <f>D44/D45</f>
        <v>4.1982721281398767</v>
      </c>
      <c r="E52" s="38">
        <f>E44/E45</f>
        <v>3.8426595885112103</v>
      </c>
      <c r="F52" s="38">
        <f>F44/F45</f>
        <v>2.8157686591267179</v>
      </c>
    </row>
    <row r="53" spans="1:6" s="42" customFormat="1" ht="15" x14ac:dyDescent="0.35">
      <c r="A53" s="40" t="s">
        <v>54</v>
      </c>
      <c r="B53" s="40"/>
      <c r="C53" s="41">
        <f>C47/C3</f>
        <v>0.77950120874660278</v>
      </c>
      <c r="D53" s="41">
        <f>D47/D3</f>
        <v>0.79031877422767927</v>
      </c>
      <c r="E53" s="41">
        <f>E47/E3</f>
        <v>0.77466088518508425</v>
      </c>
      <c r="F53" s="41">
        <f>F47/F3</f>
        <v>0.70526780464053629</v>
      </c>
    </row>
    <row r="54" spans="1:6" s="42" customFormat="1" ht="15" x14ac:dyDescent="0.35">
      <c r="A54" s="40" t="s">
        <v>55</v>
      </c>
      <c r="B54" s="40"/>
      <c r="C54" s="41">
        <f>C43/C3</f>
        <v>9.1406725086355362E-2</v>
      </c>
      <c r="D54" s="41">
        <f>D43/D3</f>
        <v>8.9980071726459443E-2</v>
      </c>
      <c r="E54" s="41">
        <f>E43/E3</f>
        <v>9.1240625025080041E-2</v>
      </c>
      <c r="F54" s="41">
        <f>F43/F3</f>
        <v>0.12462987388825465</v>
      </c>
    </row>
    <row r="55" spans="1:6" s="42" customFormat="1" ht="15" x14ac:dyDescent="0.35">
      <c r="A55" s="40" t="s">
        <v>56</v>
      </c>
      <c r="B55" s="40"/>
      <c r="C55" s="41">
        <f>C44/C3</f>
        <v>0.87090793383295828</v>
      </c>
      <c r="D55" s="41">
        <f>D44/D3</f>
        <v>0.88029884595413876</v>
      </c>
      <c r="E55" s="41">
        <f>E44/E3</f>
        <v>0.86590151021016437</v>
      </c>
      <c r="F55" s="41">
        <f>F44/F3</f>
        <v>0.82989767852879093</v>
      </c>
    </row>
    <row r="56" spans="1:6" s="42" customFormat="1" ht="15" x14ac:dyDescent="0.35">
      <c r="A56" s="40" t="s">
        <v>57</v>
      </c>
      <c r="B56" s="40"/>
      <c r="C56" s="41">
        <f>SUM(C29:C38)/C43</f>
        <v>0.56514099624246461</v>
      </c>
      <c r="D56" s="41">
        <f>SUM(D29:D38)/D43</f>
        <v>0.60929938545555651</v>
      </c>
      <c r="E56" s="41">
        <f>SUM(E29:E38)/E43</f>
        <v>0.54337472725827596</v>
      </c>
      <c r="F56" s="41">
        <f>SUM(F29:F38)/F43</f>
        <v>0.39499447402510701</v>
      </c>
    </row>
    <row r="57" spans="1:6" s="42" customFormat="1" ht="15" x14ac:dyDescent="0.35">
      <c r="A57" s="40" t="s">
        <v>58</v>
      </c>
      <c r="B57" s="40"/>
      <c r="C57" s="41">
        <f>C40/C43</f>
        <v>0.24019069020511108</v>
      </c>
      <c r="D57" s="41">
        <f>D40/D43</f>
        <v>0.17022683212753209</v>
      </c>
      <c r="E57" s="41">
        <f>E40/E43</f>
        <v>0.27574283979392111</v>
      </c>
      <c r="F57" s="41">
        <f>F40/F43</f>
        <v>0.48703525416754906</v>
      </c>
    </row>
    <row r="58" spans="1:6" s="42" customFormat="1" ht="15" x14ac:dyDescent="0.35">
      <c r="A58" s="40" t="s">
        <v>59</v>
      </c>
      <c r="B58" s="40"/>
      <c r="C58" s="41">
        <f>C42/C43</f>
        <v>8.106272890050148E-2</v>
      </c>
      <c r="D58" s="41">
        <f>D42/D43</f>
        <v>0.10163954915565564</v>
      </c>
      <c r="E58" s="41">
        <f>E42/E43</f>
        <v>7.0157983049620343E-2</v>
      </c>
      <c r="F58" s="41">
        <f>F42/F43</f>
        <v>1.8031255461813354E-2</v>
      </c>
    </row>
    <row r="59" spans="1:6" s="46" customFormat="1" x14ac:dyDescent="0.35">
      <c r="A59" s="43" t="s">
        <v>60</v>
      </c>
      <c r="B59" s="44"/>
      <c r="C59" s="45">
        <f>C46/C3</f>
        <v>0.12909206616704175</v>
      </c>
      <c r="D59" s="45">
        <f>D46/D3</f>
        <v>0.11970115404586122</v>
      </c>
      <c r="E59" s="45">
        <f>E46/E3</f>
        <v>0.13409848978983563</v>
      </c>
      <c r="F59" s="45">
        <f>F46/F3</f>
        <v>0.17010232147120907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5">
    <mergeCell ref="A1:F1"/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7786-FDE9-4292-B50C-A2A5557FD5BA}">
  <sheetPr codeName="Sheet13">
    <tabColor rgb="FF92D050"/>
  </sheetPr>
  <dimension ref="A1:Z68"/>
  <sheetViews>
    <sheetView topLeftCell="B1" workbookViewId="0">
      <selection activeCell="F4" sqref="F4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136" t="s">
        <v>179</v>
      </c>
      <c r="B1" s="137"/>
      <c r="C1" s="137"/>
      <c r="D1" s="137"/>
      <c r="E1" s="137"/>
      <c r="F1" s="138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175</v>
      </c>
      <c r="B3" s="7"/>
      <c r="C3" s="8">
        <f>SUM(D3:F3)</f>
        <v>5109179924</v>
      </c>
      <c r="D3" s="9">
        <f>2124862273-D4</f>
        <v>2062362273</v>
      </c>
      <c r="E3" s="9">
        <f>3110919651-E4</f>
        <v>2954119651</v>
      </c>
      <c r="F3" s="9">
        <f>106798000-F4</f>
        <v>92698000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233400000</v>
      </c>
      <c r="D4" s="12">
        <v>62500000</v>
      </c>
      <c r="E4" s="12">
        <v>156800000</v>
      </c>
      <c r="F4" s="12">
        <v>14100000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9300000</v>
      </c>
      <c r="D5" s="12">
        <v>500000</v>
      </c>
      <c r="E5" s="12">
        <v>8800000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96889000</v>
      </c>
      <c r="D6" s="12">
        <v>33389000</v>
      </c>
      <c r="E6" s="12">
        <v>56300000</v>
      </c>
      <c r="F6" s="12">
        <v>7200000</v>
      </c>
    </row>
    <row r="7" spans="1:26" s="1" customFormat="1" ht="15.5" x14ac:dyDescent="0.35">
      <c r="A7" s="13"/>
      <c r="B7" s="11" t="s">
        <v>6</v>
      </c>
      <c r="C7" s="3">
        <f t="shared" si="0"/>
        <v>32</v>
      </c>
      <c r="D7" s="12">
        <v>16</v>
      </c>
      <c r="E7" s="12">
        <v>16</v>
      </c>
      <c r="F7" s="12">
        <v>0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59</v>
      </c>
      <c r="D8" s="12">
        <v>17</v>
      </c>
      <c r="E8" s="12">
        <v>40</v>
      </c>
      <c r="F8" s="12">
        <v>2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81</v>
      </c>
      <c r="D9" s="12">
        <v>41</v>
      </c>
      <c r="E9" s="12">
        <v>40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4167609903.2258058</v>
      </c>
      <c r="D10" s="12">
        <v>1676204838.7096772</v>
      </c>
      <c r="E10" s="12">
        <v>2408530870.9677415</v>
      </c>
      <c r="F10" s="12">
        <v>82874193.548387095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473657833.33333337</v>
      </c>
      <c r="D11" s="12">
        <v>191320100</v>
      </c>
      <c r="E11" s="12">
        <v>275881733.33333337</v>
      </c>
      <c r="F11" s="12">
        <v>6456000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201717096.77419356</v>
      </c>
      <c r="D12" s="12">
        <v>82498064.516129032</v>
      </c>
      <c r="E12" s="12">
        <v>115349032.25806452</v>
      </c>
      <c r="F12" s="12">
        <v>3870000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100255763.44086021</v>
      </c>
      <c r="D13" s="12">
        <v>39946354.838709682</v>
      </c>
      <c r="E13" s="12">
        <v>57981021.505376346</v>
      </c>
      <c r="F13" s="12">
        <v>2328387.0967741935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90357419.354838714</v>
      </c>
      <c r="D14" s="12">
        <v>36372903.225806452</v>
      </c>
      <c r="E14" s="12">
        <v>52684516.129032262</v>
      </c>
      <c r="F14" s="12">
        <v>1300000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9545161.2903225794</v>
      </c>
      <c r="D15" s="12">
        <v>6645161.2903225804</v>
      </c>
      <c r="E15" s="12">
        <v>2200000</v>
      </c>
      <c r="F15" s="12">
        <v>700000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47248924.731182791</v>
      </c>
      <c r="D16" s="12">
        <v>16084645.161290323</v>
      </c>
      <c r="E16" s="12">
        <v>29113956.989247311</v>
      </c>
      <c r="F16" s="12">
        <v>2050322.5806451612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104677053.76344086</v>
      </c>
      <c r="D17" s="12">
        <v>43526032.258064516</v>
      </c>
      <c r="E17" s="12">
        <v>59531021.505376346</v>
      </c>
      <c r="F17" s="12">
        <v>1620000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1027459252.688172</v>
      </c>
      <c r="D18" s="16">
        <f>SUM(D11:D17)</f>
        <v>416393261.29032266</v>
      </c>
      <c r="E18" s="16">
        <f>SUM(E11:E17)</f>
        <v>592741281.72043014</v>
      </c>
      <c r="F18" s="16">
        <f>SUM(F11:F17)</f>
        <v>18324709.677419357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3600416666.666667</v>
      </c>
      <c r="D20" s="17">
        <v>1474516666.666667</v>
      </c>
      <c r="E20" s="17">
        <v>2060900000</v>
      </c>
      <c r="F20" s="12">
        <v>65000000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322244264</v>
      </c>
      <c r="D22" s="17">
        <v>121290925</v>
      </c>
      <c r="E22" s="17">
        <v>191872548</v>
      </c>
      <c r="F22" s="18">
        <v>9080791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142684711.66666669</v>
      </c>
      <c r="D23" s="17">
        <v>50600651.666666672</v>
      </c>
      <c r="E23" s="17">
        <v>91743660</v>
      </c>
      <c r="F23" s="18">
        <v>340400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31107532.916666672</v>
      </c>
      <c r="D24" s="17">
        <v>14285303.666666668</v>
      </c>
      <c r="E24" s="17">
        <v>16422229.250000002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17910000</v>
      </c>
      <c r="D25" s="17">
        <v>6550000</v>
      </c>
      <c r="E25" s="17">
        <v>10860000</v>
      </c>
      <c r="F25" s="12">
        <v>500000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3516000</v>
      </c>
      <c r="D26" s="12">
        <v>0</v>
      </c>
      <c r="E26" s="12">
        <v>3516000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4333333.333333333</v>
      </c>
      <c r="D27" s="12">
        <v>0</v>
      </c>
      <c r="E27" s="12">
        <v>4333333.333333333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4122212508.5833335</v>
      </c>
      <c r="D28" s="8">
        <f>SUM(D20:D27)</f>
        <v>1667243547.0000005</v>
      </c>
      <c r="E28" s="8">
        <f>SUM(E20:E27)</f>
        <v>2379647770.5833335</v>
      </c>
      <c r="F28" s="8">
        <f>SUM(F20:F27)</f>
        <v>75321191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116803500.60717231</v>
      </c>
      <c r="D29" s="17">
        <v>47471122.54540012</v>
      </c>
      <c r="E29" s="17">
        <v>67058633.166229405</v>
      </c>
      <c r="F29" s="17">
        <v>2273744.8955427818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11222870.393414957</v>
      </c>
      <c r="D30" s="17">
        <v>4708268.3307332294</v>
      </c>
      <c r="E30" s="17">
        <v>6327394.5743821952</v>
      </c>
      <c r="F30" s="17">
        <v>187207.48829953198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17479391.994512465</v>
      </c>
      <c r="D31" s="17">
        <v>7178556.9422776904</v>
      </c>
      <c r="E31" s="17">
        <v>10004828.811985163</v>
      </c>
      <c r="F31" s="17">
        <v>296006.24024960998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13286913.595609969</v>
      </c>
      <c r="D32" s="17">
        <v>5463845.5538221523</v>
      </c>
      <c r="E32" s="17">
        <v>7598263.0495881289</v>
      </c>
      <c r="F32" s="17">
        <v>224804.99219968799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5611435.1967074787</v>
      </c>
      <c r="D33" s="17">
        <v>2354134.1653666147</v>
      </c>
      <c r="E33" s="17">
        <v>3163697.2871910976</v>
      </c>
      <c r="F33" s="17">
        <v>93603.744149765989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32233379.076178998</v>
      </c>
      <c r="D34" s="17">
        <v>13522690.058502339</v>
      </c>
      <c r="E34" s="17">
        <v>18173007.504416127</v>
      </c>
      <c r="F34" s="17">
        <v>537681.51326053042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38950000</v>
      </c>
      <c r="D35" s="17">
        <v>16000000</v>
      </c>
      <c r="E35" s="17">
        <v>22000000</v>
      </c>
      <c r="F35" s="17">
        <v>950000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14822571.860234316</v>
      </c>
      <c r="D36" s="17">
        <v>6164711.3884555399</v>
      </c>
      <c r="E36" s="17">
        <v>8306659.2237288533</v>
      </c>
      <c r="F36" s="17">
        <v>351201.248049922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20575262.387927424</v>
      </c>
      <c r="D37" s="17">
        <v>8631825.2730109207</v>
      </c>
      <c r="E37" s="17">
        <v>11600223.38636736</v>
      </c>
      <c r="F37" s="17">
        <v>343213.72854914196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42876029.875972003</v>
      </c>
      <c r="D39" s="17">
        <v>17987542.093603741</v>
      </c>
      <c r="E39" s="17">
        <v>24173277.361151416</v>
      </c>
      <c r="F39" s="17">
        <v>715210.42121684866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117296579.37721942</v>
      </c>
      <c r="D40" s="17">
        <v>32546563.382215276</v>
      </c>
      <c r="E40" s="17">
        <v>78267468.995004147</v>
      </c>
      <c r="F40" s="12">
        <v>6482547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12603000</v>
      </c>
      <c r="D41" s="17">
        <v>4733000</v>
      </c>
      <c r="E41" s="17">
        <v>7255000</v>
      </c>
      <c r="F41" s="12">
        <v>615000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39586800</v>
      </c>
      <c r="D42" s="12">
        <v>19433000</v>
      </c>
      <c r="E42" s="12">
        <v>19913800</v>
      </c>
      <c r="F42" s="12">
        <v>240000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488347734.36494935</v>
      </c>
      <c r="D43" s="21">
        <f>SUM(D29:D42)</f>
        <v>191195259.73338765</v>
      </c>
      <c r="E43" s="21">
        <f>SUM(E29:E42)</f>
        <v>283842253.36004388</v>
      </c>
      <c r="F43" s="21">
        <f>SUM(F29:F42)</f>
        <v>13310221.271517821</v>
      </c>
    </row>
    <row r="44" spans="1:26" s="25" customFormat="1" ht="18.5" customHeight="1" x14ac:dyDescent="0.35">
      <c r="A44" s="23" t="s">
        <v>46</v>
      </c>
      <c r="B44" s="23"/>
      <c r="C44" s="24">
        <f>C28+C43</f>
        <v>4610560242.9482832</v>
      </c>
      <c r="D44" s="24">
        <f>D28+D43</f>
        <v>1858438806.7333882</v>
      </c>
      <c r="E44" s="24">
        <f>E28+E43</f>
        <v>2663490023.9433775</v>
      </c>
      <c r="F44" s="24">
        <f>F28+F43</f>
        <v>88631412.271517813</v>
      </c>
    </row>
    <row r="45" spans="1:26" s="22" customFormat="1" ht="18" customHeight="1" x14ac:dyDescent="0.35">
      <c r="A45" s="19" t="s">
        <v>47</v>
      </c>
      <c r="B45" s="19"/>
      <c r="C45" s="20">
        <f>C3-C28</f>
        <v>986967415.41666651</v>
      </c>
      <c r="D45" s="26">
        <f>D3-D28</f>
        <v>395118725.99999952</v>
      </c>
      <c r="E45" s="26">
        <f>E3-E28</f>
        <v>574471880.41666651</v>
      </c>
      <c r="F45" s="26">
        <f>F3-F28</f>
        <v>17376809</v>
      </c>
    </row>
    <row r="46" spans="1:26" s="30" customFormat="1" ht="15.5" x14ac:dyDescent="0.35">
      <c r="A46" s="27" t="s">
        <v>48</v>
      </c>
      <c r="B46" s="27"/>
      <c r="C46" s="28">
        <f>C3-C44</f>
        <v>498619681.0517168</v>
      </c>
      <c r="D46" s="29">
        <f>D3-D44</f>
        <v>203923466.26661181</v>
      </c>
      <c r="E46" s="29">
        <f>E3-E44</f>
        <v>290629627.05662251</v>
      </c>
      <c r="F46" s="29">
        <f>F3-F44</f>
        <v>4066587.7284821868</v>
      </c>
    </row>
    <row r="47" spans="1:26" s="10" customFormat="1" ht="15.5" x14ac:dyDescent="0.35">
      <c r="A47" s="6" t="s">
        <v>29</v>
      </c>
      <c r="B47" s="6"/>
      <c r="C47" s="8">
        <f>C28</f>
        <v>4122212508.5833335</v>
      </c>
      <c r="D47" s="31">
        <f>D28</f>
        <v>1667243547.0000005</v>
      </c>
      <c r="E47" s="31">
        <f>E28</f>
        <v>2379647770.5833335</v>
      </c>
      <c r="F47" s="31">
        <f>F28</f>
        <v>75321191</v>
      </c>
    </row>
    <row r="48" spans="1:26" s="35" customFormat="1" ht="15" x14ac:dyDescent="0.35">
      <c r="A48" s="32" t="s">
        <v>49</v>
      </c>
      <c r="B48" s="33"/>
      <c r="C48" s="34">
        <f>C46/C3</f>
        <v>9.7592899147960557E-2</v>
      </c>
      <c r="D48" s="34">
        <f>D46/D3</f>
        <v>9.8878586432817189E-2</v>
      </c>
      <c r="E48" s="34">
        <f>E46/E3</f>
        <v>9.838112919977407E-2</v>
      </c>
      <c r="F48" s="34">
        <f>F46/F3</f>
        <v>4.3869206762629037E-2</v>
      </c>
    </row>
    <row r="49" spans="1:6" s="35" customFormat="1" ht="15" x14ac:dyDescent="0.35">
      <c r="A49" s="32" t="s">
        <v>50</v>
      </c>
      <c r="B49" s="33"/>
      <c r="C49" s="34">
        <f>C45/C3</f>
        <v>0.19317530995149712</v>
      </c>
      <c r="D49" s="34">
        <f>D45/D3</f>
        <v>0.1915855090896533</v>
      </c>
      <c r="E49" s="34">
        <f>E45/E3</f>
        <v>0.1944646623308578</v>
      </c>
      <c r="F49" s="34">
        <f>F45/F3</f>
        <v>0.18745613713348724</v>
      </c>
    </row>
    <row r="50" spans="1:6" s="35" customFormat="1" ht="15" x14ac:dyDescent="0.35">
      <c r="A50" s="32" t="s">
        <v>51</v>
      </c>
      <c r="B50" s="33"/>
      <c r="C50" s="34">
        <f>C46/C47</f>
        <v>0.12095923730605429</v>
      </c>
      <c r="D50" s="34">
        <f>D46/D47</f>
        <v>0.12231174421610268</v>
      </c>
      <c r="E50" s="34">
        <f>E46/E47</f>
        <v>0.12213136357797154</v>
      </c>
      <c r="F50" s="34">
        <f>F46/F47</f>
        <v>5.3989955210376146E-2</v>
      </c>
    </row>
    <row r="51" spans="1:6" s="35" customFormat="1" ht="15" x14ac:dyDescent="0.35">
      <c r="A51" s="32" t="s">
        <v>52</v>
      </c>
      <c r="B51" s="33"/>
      <c r="C51" s="34">
        <f>C46/C45</f>
        <v>0.50520379220545519</v>
      </c>
      <c r="D51" s="34">
        <f>D46/D45</f>
        <v>0.51610681258020674</v>
      </c>
      <c r="E51" s="34">
        <f>E46/E45</f>
        <v>0.50590748992940748</v>
      </c>
      <c r="F51" s="34">
        <f>F46/F45</f>
        <v>0.23402384917059207</v>
      </c>
    </row>
    <row r="52" spans="1:6" s="39" customFormat="1" ht="15" x14ac:dyDescent="0.35">
      <c r="A52" s="36" t="s">
        <v>53</v>
      </c>
      <c r="B52" s="37"/>
      <c r="C52" s="38">
        <f>C44/C45</f>
        <v>4.6714411954541077</v>
      </c>
      <c r="D52" s="38">
        <f>D44/D45</f>
        <v>4.7034946319739612</v>
      </c>
      <c r="E52" s="38">
        <f>E44/E45</f>
        <v>4.6364149660581102</v>
      </c>
      <c r="F52" s="38">
        <f>F44/F45</f>
        <v>5.100557430971234</v>
      </c>
    </row>
    <row r="53" spans="1:6" s="42" customFormat="1" ht="15" x14ac:dyDescent="0.35">
      <c r="A53" s="40" t="s">
        <v>54</v>
      </c>
      <c r="B53" s="40"/>
      <c r="C53" s="41">
        <f>C47/C3</f>
        <v>0.80682469004850288</v>
      </c>
      <c r="D53" s="41">
        <f>D47/D3</f>
        <v>0.80841449091034667</v>
      </c>
      <c r="E53" s="41">
        <f>E47/E3</f>
        <v>0.8055353376691422</v>
      </c>
      <c r="F53" s="41">
        <f>F47/F3</f>
        <v>0.81254386286651281</v>
      </c>
    </row>
    <row r="54" spans="1:6" s="42" customFormat="1" ht="15" x14ac:dyDescent="0.35">
      <c r="A54" s="40" t="s">
        <v>55</v>
      </c>
      <c r="B54" s="40"/>
      <c r="C54" s="41">
        <f>C43/C3</f>
        <v>9.5582410803536494E-2</v>
      </c>
      <c r="D54" s="41">
        <f>D43/D3</f>
        <v>9.2706922656836083E-2</v>
      </c>
      <c r="E54" s="41">
        <f>E43/E3</f>
        <v>9.6083533131083684E-2</v>
      </c>
      <c r="F54" s="41">
        <f>F43/F3</f>
        <v>0.14358693037085829</v>
      </c>
    </row>
    <row r="55" spans="1:6" s="42" customFormat="1" ht="15" x14ac:dyDescent="0.35">
      <c r="A55" s="40" t="s">
        <v>56</v>
      </c>
      <c r="B55" s="40"/>
      <c r="C55" s="41">
        <f>C44/C3</f>
        <v>0.90240710085203946</v>
      </c>
      <c r="D55" s="41">
        <f>D44/D3</f>
        <v>0.90112141356718278</v>
      </c>
      <c r="E55" s="41">
        <f>E44/E3</f>
        <v>0.90161887080022596</v>
      </c>
      <c r="F55" s="41">
        <f>F44/F3</f>
        <v>0.95613079323737094</v>
      </c>
    </row>
    <row r="56" spans="1:6" s="42" customFormat="1" ht="15" x14ac:dyDescent="0.35">
      <c r="A56" s="40" t="s">
        <v>57</v>
      </c>
      <c r="B56" s="40"/>
      <c r="C56" s="41">
        <f>SUM(C29:C38)/C43</f>
        <v>0.56514099624246461</v>
      </c>
      <c r="D56" s="41">
        <f>SUM(D29:D38)/D43</f>
        <v>0.60929938545555651</v>
      </c>
      <c r="E56" s="41">
        <f>SUM(E29:E38)/E43</f>
        <v>0.54337472725827596</v>
      </c>
      <c r="F56" s="41">
        <f>SUM(F29:F38)/F43</f>
        <v>0.39499447402510701</v>
      </c>
    </row>
    <row r="57" spans="1:6" s="42" customFormat="1" ht="15" x14ac:dyDescent="0.35">
      <c r="A57" s="40" t="s">
        <v>58</v>
      </c>
      <c r="B57" s="40"/>
      <c r="C57" s="41">
        <f>C40/C43</f>
        <v>0.24019069020511108</v>
      </c>
      <c r="D57" s="41">
        <f>D40/D43</f>
        <v>0.17022683212753209</v>
      </c>
      <c r="E57" s="41">
        <f>E40/E43</f>
        <v>0.27574283979392111</v>
      </c>
      <c r="F57" s="41">
        <f>F40/F43</f>
        <v>0.48703525416754906</v>
      </c>
    </row>
    <row r="58" spans="1:6" s="42" customFormat="1" ht="15" x14ac:dyDescent="0.35">
      <c r="A58" s="40" t="s">
        <v>59</v>
      </c>
      <c r="B58" s="40"/>
      <c r="C58" s="41">
        <f>C42/C43</f>
        <v>8.106272890050148E-2</v>
      </c>
      <c r="D58" s="41">
        <f>D42/D43</f>
        <v>0.10163954915565564</v>
      </c>
      <c r="E58" s="41">
        <f>E42/E43</f>
        <v>7.0157983049620343E-2</v>
      </c>
      <c r="F58" s="41">
        <f>F42/F43</f>
        <v>1.8031255461813354E-2</v>
      </c>
    </row>
    <row r="59" spans="1:6" s="46" customFormat="1" x14ac:dyDescent="0.35">
      <c r="A59" s="43" t="s">
        <v>60</v>
      </c>
      <c r="B59" s="44"/>
      <c r="C59" s="45">
        <f>C46/C3</f>
        <v>9.7592899147960557E-2</v>
      </c>
      <c r="D59" s="45">
        <f>D46/D3</f>
        <v>9.8878586432817189E-2</v>
      </c>
      <c r="E59" s="45">
        <f>E46/E3</f>
        <v>9.838112919977407E-2</v>
      </c>
      <c r="F59" s="45">
        <f>F46/F3</f>
        <v>4.3869206762629037E-2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5">
    <mergeCell ref="A1:F1"/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9A98-E32E-458A-B8B3-A5F25E2BAC10}">
  <sheetPr codeName="Sheet15">
    <tabColor theme="7" tint="0.39997558519241921"/>
  </sheetPr>
  <dimension ref="A1:BE69"/>
  <sheetViews>
    <sheetView zoomScale="110" zoomScaleNormal="110" workbookViewId="0">
      <pane xSplit="2" ySplit="2" topLeftCell="C45" activePane="bottomRight" state="frozen"/>
      <selection activeCell="P23" sqref="P23"/>
      <selection pane="topRight" activeCell="P23" sqref="P23"/>
      <selection pane="bottomLeft" activeCell="P23" sqref="P23"/>
      <selection pane="bottomRight" activeCell="P23" sqref="P23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180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181</v>
      </c>
      <c r="B4" s="61"/>
      <c r="C4" s="62">
        <f>SUM(D4:BC4)</f>
        <v>3088538811</v>
      </c>
      <c r="D4" s="64">
        <v>35959080</v>
      </c>
      <c r="E4" s="64">
        <v>61661000</v>
      </c>
      <c r="F4" s="64">
        <v>49620000</v>
      </c>
      <c r="G4" s="64">
        <v>65617000</v>
      </c>
      <c r="H4" s="64">
        <v>70747000</v>
      </c>
      <c r="I4" s="64">
        <v>54477000</v>
      </c>
      <c r="J4" s="64">
        <v>57885000</v>
      </c>
      <c r="K4" s="64">
        <v>39420000</v>
      </c>
      <c r="L4" s="64">
        <v>107392000</v>
      </c>
      <c r="M4" s="64">
        <v>91082500</v>
      </c>
      <c r="N4" s="64">
        <v>53972400</v>
      </c>
      <c r="O4" s="64">
        <v>64233400</v>
      </c>
      <c r="P4" s="64">
        <v>89578000</v>
      </c>
      <c r="Q4" s="64">
        <v>50267000</v>
      </c>
      <c r="R4" s="64">
        <v>70895000</v>
      </c>
      <c r="S4" s="64">
        <v>49384000</v>
      </c>
      <c r="T4" s="64">
        <v>23266000</v>
      </c>
      <c r="U4" s="64">
        <v>70676000</v>
      </c>
      <c r="V4" s="64">
        <v>46550000</v>
      </c>
      <c r="W4" s="64">
        <v>55170000</v>
      </c>
      <c r="X4" s="64">
        <v>33543000</v>
      </c>
      <c r="Y4" s="64">
        <v>28730000</v>
      </c>
      <c r="Z4" s="64">
        <v>65341000</v>
      </c>
      <c r="AA4" s="64">
        <v>66650000</v>
      </c>
      <c r="AB4" s="64">
        <v>22841667</v>
      </c>
      <c r="AC4" s="64">
        <v>43998000</v>
      </c>
      <c r="AD4" s="64">
        <v>43022000</v>
      </c>
      <c r="AE4" s="64">
        <v>23984000</v>
      </c>
      <c r="AF4" s="64">
        <v>56493000</v>
      </c>
      <c r="AG4" s="64">
        <v>39009000</v>
      </c>
      <c r="AH4" s="64">
        <v>54802000</v>
      </c>
      <c r="AI4" s="74">
        <v>21875664</v>
      </c>
      <c r="AJ4" s="64">
        <v>87311500</v>
      </c>
      <c r="AK4" s="64">
        <v>56284000</v>
      </c>
      <c r="AL4" s="64">
        <v>48670000</v>
      </c>
      <c r="AM4" s="64">
        <v>74014000</v>
      </c>
      <c r="AN4" s="64">
        <v>31568000</v>
      </c>
      <c r="AO4" s="64">
        <v>24619000</v>
      </c>
      <c r="AP4" s="64">
        <v>53312000</v>
      </c>
      <c r="AQ4" s="64">
        <v>114551000</v>
      </c>
      <c r="AR4" s="65">
        <v>42366000</v>
      </c>
      <c r="AS4" s="64">
        <v>78908000</v>
      </c>
      <c r="AT4" s="64">
        <v>173012000</v>
      </c>
      <c r="AU4" s="64">
        <v>42450000</v>
      </c>
      <c r="AV4" s="64">
        <v>40677400</v>
      </c>
      <c r="AW4" s="64">
        <v>36544000</v>
      </c>
      <c r="AX4" s="64">
        <v>95247000</v>
      </c>
      <c r="AY4" s="64">
        <v>85661000</v>
      </c>
      <c r="AZ4" s="64">
        <v>45572200</v>
      </c>
      <c r="BA4" s="64">
        <v>39058000</v>
      </c>
      <c r="BB4" s="64">
        <v>60853000</v>
      </c>
      <c r="BC4" s="64">
        <v>149719000</v>
      </c>
    </row>
    <row r="5" spans="1:55" s="68" customFormat="1" ht="13" x14ac:dyDescent="0.3">
      <c r="A5" s="66" t="s">
        <v>3</v>
      </c>
      <c r="B5" s="67"/>
      <c r="C5" s="62">
        <f t="shared" ref="C5:C18" si="0">SUM(D5:BC5)</f>
        <v>186300000</v>
      </c>
      <c r="E5" s="68">
        <v>3500000</v>
      </c>
      <c r="G5" s="68">
        <v>3000000</v>
      </c>
      <c r="H5" s="68">
        <v>7100000</v>
      </c>
      <c r="J5" s="68">
        <v>6500000</v>
      </c>
      <c r="K5" s="68">
        <v>3800000</v>
      </c>
      <c r="P5" s="68">
        <v>4300000</v>
      </c>
      <c r="R5" s="68">
        <v>9300000</v>
      </c>
      <c r="S5" s="68">
        <v>4000000</v>
      </c>
      <c r="U5" s="68">
        <v>7200000</v>
      </c>
      <c r="V5" s="68">
        <v>3600000</v>
      </c>
      <c r="W5" s="68">
        <v>4000000</v>
      </c>
      <c r="Y5" s="68">
        <v>3200000</v>
      </c>
      <c r="Z5" s="68">
        <v>3900000</v>
      </c>
      <c r="AB5" s="68">
        <v>3000000</v>
      </c>
      <c r="AC5" s="68">
        <v>4000000</v>
      </c>
      <c r="AD5" s="68">
        <v>4000000</v>
      </c>
      <c r="AE5" s="68">
        <v>4600000</v>
      </c>
      <c r="AI5" s="83"/>
      <c r="AM5" s="68">
        <v>6800000</v>
      </c>
      <c r="AP5" s="68">
        <v>4200000</v>
      </c>
      <c r="AQ5" s="68">
        <v>23500000</v>
      </c>
      <c r="AR5" s="68">
        <v>6900000</v>
      </c>
      <c r="AS5" s="68">
        <v>4300000</v>
      </c>
      <c r="AT5" s="68">
        <v>24600000</v>
      </c>
      <c r="AV5" s="68">
        <v>3700000</v>
      </c>
      <c r="AW5" s="68">
        <v>2800000</v>
      </c>
      <c r="AX5" s="68">
        <v>7800000</v>
      </c>
      <c r="BB5" s="68">
        <v>5800000</v>
      </c>
      <c r="BC5" s="68">
        <v>16900000</v>
      </c>
    </row>
    <row r="6" spans="1:55" s="68" customFormat="1" ht="13" x14ac:dyDescent="0.3">
      <c r="A6" s="69" t="s">
        <v>4</v>
      </c>
      <c r="B6" s="67"/>
      <c r="C6" s="62">
        <f t="shared" si="0"/>
        <v>10500000</v>
      </c>
      <c r="D6" s="72"/>
      <c r="M6" s="68">
        <v>2000000</v>
      </c>
      <c r="O6" s="83"/>
      <c r="AQ6" s="68">
        <v>4500000</v>
      </c>
      <c r="AR6" s="68">
        <v>2000000</v>
      </c>
      <c r="BC6" s="68">
        <v>2000000</v>
      </c>
    </row>
    <row r="7" spans="1:55" s="68" customFormat="1" ht="13" x14ac:dyDescent="0.3">
      <c r="A7" s="71" t="s">
        <v>158</v>
      </c>
      <c r="B7" s="67"/>
      <c r="C7" s="62">
        <f t="shared" si="0"/>
        <v>83019000</v>
      </c>
      <c r="F7" s="68">
        <v>5246000</v>
      </c>
      <c r="G7" s="68">
        <v>4716000</v>
      </c>
      <c r="H7" s="72">
        <v>2936000</v>
      </c>
      <c r="J7" s="68">
        <v>3800000</v>
      </c>
      <c r="M7" s="68">
        <v>4500000</v>
      </c>
      <c r="P7" s="68">
        <v>928000</v>
      </c>
      <c r="U7" s="68">
        <v>8537000</v>
      </c>
      <c r="V7" s="68">
        <v>3065000</v>
      </c>
      <c r="AB7" s="68">
        <v>2356000</v>
      </c>
      <c r="AC7" s="68">
        <v>3094000</v>
      </c>
      <c r="AD7" s="68">
        <v>3280000</v>
      </c>
      <c r="AH7" s="68">
        <v>2892000</v>
      </c>
      <c r="AL7" s="68">
        <v>2576000</v>
      </c>
      <c r="AM7" s="68">
        <v>2540000</v>
      </c>
      <c r="AP7" s="68">
        <v>2908000</v>
      </c>
      <c r="AQ7" s="68">
        <v>9107000</v>
      </c>
      <c r="AR7" s="68">
        <v>5350000</v>
      </c>
      <c r="AS7" s="68">
        <v>3621000</v>
      </c>
      <c r="AT7" s="68">
        <v>4220000</v>
      </c>
      <c r="AW7" s="68">
        <v>1908000</v>
      </c>
      <c r="BB7" s="68">
        <v>5439000</v>
      </c>
    </row>
    <row r="8" spans="1:55" s="68" customFormat="1" ht="13" x14ac:dyDescent="0.3">
      <c r="A8" s="71"/>
      <c r="B8" s="67" t="s">
        <v>6</v>
      </c>
      <c r="C8" s="62">
        <f t="shared" si="0"/>
        <v>20</v>
      </c>
      <c r="D8" s="68">
        <v>0</v>
      </c>
      <c r="E8" s="68">
        <v>2</v>
      </c>
      <c r="F8" s="68">
        <v>0</v>
      </c>
      <c r="G8" s="68">
        <v>0</v>
      </c>
      <c r="H8" s="68">
        <v>1</v>
      </c>
      <c r="I8" s="68">
        <v>1</v>
      </c>
      <c r="J8" s="68">
        <v>1</v>
      </c>
      <c r="K8" s="68">
        <v>1</v>
      </c>
      <c r="L8" s="68">
        <v>0</v>
      </c>
      <c r="M8" s="68">
        <v>0</v>
      </c>
      <c r="N8" s="68">
        <v>1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1</v>
      </c>
      <c r="V8" s="68">
        <v>0</v>
      </c>
      <c r="W8" s="68">
        <v>0</v>
      </c>
      <c r="X8" s="68">
        <v>0</v>
      </c>
      <c r="Y8" s="68">
        <v>1</v>
      </c>
      <c r="Z8" s="68">
        <v>2</v>
      </c>
      <c r="AA8" s="68">
        <v>0</v>
      </c>
      <c r="AB8" s="68">
        <v>0</v>
      </c>
      <c r="AC8" s="68">
        <v>0</v>
      </c>
      <c r="AD8" s="68">
        <v>0</v>
      </c>
      <c r="AE8" s="68">
        <v>1</v>
      </c>
      <c r="AF8" s="68">
        <v>0</v>
      </c>
      <c r="AG8" s="68">
        <v>1</v>
      </c>
      <c r="AH8" s="68">
        <v>0</v>
      </c>
      <c r="AI8" s="68">
        <v>0</v>
      </c>
      <c r="AJ8" s="68">
        <v>1</v>
      </c>
      <c r="AK8" s="68">
        <v>0</v>
      </c>
      <c r="AL8" s="68">
        <v>0</v>
      </c>
      <c r="AM8" s="68">
        <v>0</v>
      </c>
      <c r="AN8" s="68">
        <v>0</v>
      </c>
      <c r="AO8" s="68">
        <v>0</v>
      </c>
      <c r="AP8" s="68">
        <v>0</v>
      </c>
      <c r="AQ8" s="68">
        <v>3</v>
      </c>
      <c r="AR8" s="68">
        <v>0</v>
      </c>
      <c r="AS8" s="68">
        <v>1</v>
      </c>
      <c r="AT8" s="68">
        <v>1</v>
      </c>
      <c r="AU8" s="68">
        <v>0</v>
      </c>
      <c r="AV8" s="68">
        <v>0</v>
      </c>
      <c r="AW8" s="68">
        <v>0</v>
      </c>
      <c r="AX8" s="68">
        <v>1</v>
      </c>
      <c r="AY8" s="68">
        <v>0</v>
      </c>
      <c r="AZ8" s="68">
        <v>0</v>
      </c>
      <c r="BA8" s="68">
        <v>0</v>
      </c>
      <c r="BB8" s="68">
        <v>0</v>
      </c>
      <c r="BC8" s="68">
        <v>0</v>
      </c>
    </row>
    <row r="9" spans="1:55" s="68" customFormat="1" ht="13" x14ac:dyDescent="0.3">
      <c r="A9" s="71"/>
      <c r="B9" s="67" t="s">
        <v>7</v>
      </c>
      <c r="C9" s="62">
        <f t="shared" si="0"/>
        <v>44</v>
      </c>
      <c r="D9" s="68">
        <v>0</v>
      </c>
      <c r="E9" s="68">
        <v>1</v>
      </c>
      <c r="F9" s="68">
        <v>0</v>
      </c>
      <c r="G9" s="68">
        <v>1</v>
      </c>
      <c r="H9" s="68">
        <v>2</v>
      </c>
      <c r="I9" s="68">
        <v>0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1</v>
      </c>
      <c r="Q9" s="68">
        <v>0</v>
      </c>
      <c r="R9" s="68">
        <v>2</v>
      </c>
      <c r="S9" s="68">
        <v>1</v>
      </c>
      <c r="T9" s="68">
        <v>0</v>
      </c>
      <c r="U9" s="68">
        <v>2</v>
      </c>
      <c r="V9" s="68">
        <v>1</v>
      </c>
      <c r="W9" s="68">
        <v>1</v>
      </c>
      <c r="X9" s="68">
        <v>0</v>
      </c>
      <c r="Y9" s="68">
        <v>1</v>
      </c>
      <c r="Z9" s="68">
        <v>1</v>
      </c>
      <c r="AA9" s="68">
        <v>0</v>
      </c>
      <c r="AB9" s="68">
        <v>1</v>
      </c>
      <c r="AC9" s="68">
        <v>1</v>
      </c>
      <c r="AD9" s="68">
        <v>1</v>
      </c>
      <c r="AE9" s="68">
        <v>2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>
        <v>0</v>
      </c>
      <c r="AL9" s="68">
        <v>0</v>
      </c>
      <c r="AM9" s="68">
        <v>2</v>
      </c>
      <c r="AN9" s="68">
        <v>0</v>
      </c>
      <c r="AO9" s="68">
        <v>0</v>
      </c>
      <c r="AP9" s="68">
        <v>0</v>
      </c>
      <c r="AQ9" s="68">
        <v>5</v>
      </c>
      <c r="AR9" s="68">
        <v>2</v>
      </c>
      <c r="AS9" s="68">
        <v>1</v>
      </c>
      <c r="AT9" s="68">
        <v>5</v>
      </c>
      <c r="AU9" s="68">
        <v>0</v>
      </c>
      <c r="AV9" s="68">
        <v>1</v>
      </c>
      <c r="AW9" s="68">
        <v>1</v>
      </c>
      <c r="AX9" s="68">
        <v>2</v>
      </c>
      <c r="AY9" s="68">
        <v>0</v>
      </c>
      <c r="AZ9" s="68">
        <v>0</v>
      </c>
      <c r="BA9" s="68">
        <v>0</v>
      </c>
      <c r="BB9" s="68">
        <v>1</v>
      </c>
      <c r="BC9" s="68">
        <v>4</v>
      </c>
    </row>
    <row r="10" spans="1:55" s="68" customFormat="1" ht="13" x14ac:dyDescent="0.3">
      <c r="A10" s="71"/>
      <c r="B10" s="67" t="s">
        <v>182</v>
      </c>
      <c r="C10" s="62">
        <f t="shared" si="0"/>
        <v>40</v>
      </c>
      <c r="D10" s="68">
        <v>0</v>
      </c>
      <c r="E10" s="68">
        <v>2</v>
      </c>
      <c r="F10" s="68">
        <v>2</v>
      </c>
      <c r="G10" s="68">
        <v>4</v>
      </c>
      <c r="H10" s="68">
        <v>0</v>
      </c>
      <c r="I10" s="68">
        <v>1</v>
      </c>
      <c r="J10" s="68">
        <v>0</v>
      </c>
      <c r="K10" s="68">
        <v>0</v>
      </c>
      <c r="L10" s="68">
        <v>0</v>
      </c>
      <c r="M10" s="68">
        <v>1</v>
      </c>
      <c r="N10" s="68">
        <v>3</v>
      </c>
      <c r="O10" s="68">
        <v>3</v>
      </c>
      <c r="P10" s="68">
        <v>1</v>
      </c>
      <c r="Q10" s="68">
        <v>0</v>
      </c>
      <c r="R10" s="68">
        <v>0</v>
      </c>
      <c r="S10" s="68">
        <v>0</v>
      </c>
      <c r="T10" s="68">
        <v>1</v>
      </c>
      <c r="U10" s="68">
        <v>4</v>
      </c>
      <c r="V10" s="68">
        <v>0</v>
      </c>
      <c r="W10" s="68">
        <v>0</v>
      </c>
      <c r="X10" s="68">
        <v>1</v>
      </c>
      <c r="Y10" s="68">
        <v>1</v>
      </c>
      <c r="Z10" s="68">
        <v>2</v>
      </c>
      <c r="AA10" s="68">
        <v>0</v>
      </c>
      <c r="AB10" s="68">
        <v>0</v>
      </c>
      <c r="AC10" s="68">
        <v>0</v>
      </c>
      <c r="AD10" s="68">
        <v>3</v>
      </c>
      <c r="AE10" s="68">
        <v>0</v>
      </c>
      <c r="AF10" s="68">
        <v>0</v>
      </c>
      <c r="AG10" s="68">
        <v>3</v>
      </c>
      <c r="AH10" s="68">
        <v>1</v>
      </c>
      <c r="AI10" s="68">
        <v>0</v>
      </c>
      <c r="AJ10" s="68">
        <v>1</v>
      </c>
      <c r="AK10" s="68">
        <v>0</v>
      </c>
      <c r="AL10" s="68">
        <v>0</v>
      </c>
      <c r="AM10" s="68">
        <v>1</v>
      </c>
      <c r="AN10" s="68">
        <v>0</v>
      </c>
      <c r="AO10" s="68">
        <v>0</v>
      </c>
      <c r="AP10" s="68">
        <v>0</v>
      </c>
      <c r="AQ10" s="68">
        <v>2</v>
      </c>
      <c r="AR10" s="68">
        <v>0</v>
      </c>
      <c r="AS10" s="68">
        <v>1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1</v>
      </c>
      <c r="BA10" s="68">
        <v>0</v>
      </c>
      <c r="BB10" s="68">
        <v>0</v>
      </c>
      <c r="BC10" s="68">
        <v>1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2412652666.6666665</v>
      </c>
      <c r="D11" s="68">
        <v>28800000</v>
      </c>
      <c r="E11" s="68">
        <v>46316666.666666664</v>
      </c>
      <c r="F11" s="68">
        <v>45000000</v>
      </c>
      <c r="G11" s="68">
        <v>52600000</v>
      </c>
      <c r="H11" s="68">
        <v>53933333.333333336</v>
      </c>
      <c r="I11" s="68">
        <v>43600000</v>
      </c>
      <c r="J11" s="68">
        <v>44440000</v>
      </c>
      <c r="K11" s="68">
        <v>28300000</v>
      </c>
      <c r="L11" s="68">
        <v>87300000</v>
      </c>
      <c r="M11" s="68">
        <v>73900000</v>
      </c>
      <c r="N11" s="68">
        <v>43650000</v>
      </c>
      <c r="O11" s="68">
        <v>51500000</v>
      </c>
      <c r="P11" s="68">
        <v>68200000</v>
      </c>
      <c r="Q11" s="68">
        <v>39600000</v>
      </c>
      <c r="R11" s="68">
        <v>50666666.666666664</v>
      </c>
      <c r="S11" s="68">
        <v>38000000</v>
      </c>
      <c r="T11" s="68">
        <v>17900000</v>
      </c>
      <c r="U11" s="68">
        <v>58383333.333333336</v>
      </c>
      <c r="V11" s="68">
        <v>37820000</v>
      </c>
      <c r="W11" s="68">
        <v>40736000</v>
      </c>
      <c r="X11" s="68">
        <v>27100000</v>
      </c>
      <c r="Y11" s="68">
        <v>19800000</v>
      </c>
      <c r="Z11" s="68">
        <v>43290000</v>
      </c>
      <c r="AA11" s="68">
        <v>53800000</v>
      </c>
      <c r="AB11" s="68">
        <v>18600000</v>
      </c>
      <c r="AC11" s="68">
        <v>35700000</v>
      </c>
      <c r="AD11" s="68">
        <v>32900000</v>
      </c>
      <c r="AE11" s="68">
        <v>15710000</v>
      </c>
      <c r="AF11" s="68">
        <v>46400000</v>
      </c>
      <c r="AG11" s="68">
        <v>31000000</v>
      </c>
      <c r="AH11" s="68">
        <v>44900000</v>
      </c>
      <c r="AI11" s="68">
        <v>16700000</v>
      </c>
      <c r="AJ11" s="68">
        <v>69950000</v>
      </c>
      <c r="AK11" s="68">
        <v>48000000</v>
      </c>
      <c r="AL11" s="68">
        <v>40000000</v>
      </c>
      <c r="AM11" s="68">
        <v>56903333.333333336</v>
      </c>
      <c r="AN11" s="68">
        <v>25900000</v>
      </c>
      <c r="AO11" s="68">
        <v>19300000</v>
      </c>
      <c r="AP11" s="68">
        <v>42000000</v>
      </c>
      <c r="AQ11" s="68">
        <v>77370000</v>
      </c>
      <c r="AR11" s="68">
        <v>32883333.333333336</v>
      </c>
      <c r="AS11" s="68">
        <v>64300000</v>
      </c>
      <c r="AT11" s="68">
        <v>133520000</v>
      </c>
      <c r="AU11" s="68">
        <v>34500000</v>
      </c>
      <c r="AV11" s="68">
        <v>30820000</v>
      </c>
      <c r="AW11" s="68">
        <v>29060000</v>
      </c>
      <c r="AX11" s="68">
        <v>72900000</v>
      </c>
      <c r="AY11" s="68">
        <v>67800000</v>
      </c>
      <c r="AZ11" s="68">
        <v>36700000</v>
      </c>
      <c r="BA11" s="68">
        <v>31400000</v>
      </c>
      <c r="BB11" s="68">
        <v>51900000</v>
      </c>
      <c r="BC11" s="68">
        <v>110900000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264096000</v>
      </c>
      <c r="D12" s="68">
        <v>3124000</v>
      </c>
      <c r="E12" s="68">
        <v>5216000</v>
      </c>
      <c r="F12" s="68">
        <v>5800000</v>
      </c>
      <c r="G12" s="68">
        <v>6964000</v>
      </c>
      <c r="H12" s="68">
        <v>6804000</v>
      </c>
      <c r="I12" s="68">
        <v>4912000</v>
      </c>
      <c r="J12" s="68">
        <v>6048000</v>
      </c>
      <c r="K12" s="68">
        <v>3400000</v>
      </c>
      <c r="L12" s="68">
        <v>9792000</v>
      </c>
      <c r="M12" s="68">
        <v>7708000</v>
      </c>
      <c r="N12" s="68">
        <v>5606400</v>
      </c>
      <c r="O12" s="68">
        <v>4988000</v>
      </c>
      <c r="P12" s="68">
        <v>7228000</v>
      </c>
      <c r="Q12" s="68">
        <v>5352000</v>
      </c>
      <c r="R12" s="68">
        <v>4332000</v>
      </c>
      <c r="S12" s="68">
        <v>2744000</v>
      </c>
      <c r="T12" s="68">
        <v>1304000</v>
      </c>
      <c r="U12" s="68">
        <v>6464000</v>
      </c>
      <c r="V12" s="68">
        <v>4148000</v>
      </c>
      <c r="W12" s="68">
        <v>4924000</v>
      </c>
      <c r="X12" s="68">
        <v>3208000</v>
      </c>
      <c r="Y12" s="68">
        <v>2820000</v>
      </c>
      <c r="Z12" s="68">
        <v>11472500</v>
      </c>
      <c r="AA12" s="68">
        <v>6760000</v>
      </c>
      <c r="AB12" s="68">
        <v>1752000</v>
      </c>
      <c r="AC12" s="68">
        <v>3553100</v>
      </c>
      <c r="AD12" s="68">
        <v>5163000</v>
      </c>
      <c r="AE12" s="68">
        <v>1504000</v>
      </c>
      <c r="AF12" s="68">
        <v>5068000</v>
      </c>
      <c r="AG12" s="68">
        <v>3224000</v>
      </c>
      <c r="AH12" s="68">
        <v>6922600</v>
      </c>
      <c r="AI12" s="68">
        <v>1756000</v>
      </c>
      <c r="AJ12" s="68">
        <v>7341500</v>
      </c>
      <c r="AK12" s="68">
        <v>3880000</v>
      </c>
      <c r="AL12" s="68">
        <v>5060000</v>
      </c>
      <c r="AM12" s="68">
        <v>5411800</v>
      </c>
      <c r="AN12" s="68">
        <v>2288000</v>
      </c>
      <c r="AO12" s="68">
        <v>2459000</v>
      </c>
      <c r="AP12" s="68">
        <v>4372000</v>
      </c>
      <c r="AQ12" s="68">
        <v>12276500</v>
      </c>
      <c r="AR12" s="68">
        <v>3256000</v>
      </c>
      <c r="AS12" s="68">
        <v>5856000</v>
      </c>
      <c r="AT12" s="68">
        <v>10456000</v>
      </c>
      <c r="AU12" s="68">
        <v>3740000</v>
      </c>
      <c r="AV12" s="68">
        <v>2379400</v>
      </c>
      <c r="AW12" s="68">
        <v>3336000</v>
      </c>
      <c r="AX12" s="68">
        <v>4668000</v>
      </c>
      <c r="AY12" s="68">
        <v>7326000</v>
      </c>
      <c r="AZ12" s="68">
        <v>4322200</v>
      </c>
      <c r="BA12" s="68">
        <v>3858000</v>
      </c>
      <c r="BB12" s="68">
        <v>4312000</v>
      </c>
      <c r="BC12" s="68">
        <v>7436000</v>
      </c>
    </row>
    <row r="13" spans="1:55" s="68" customFormat="1" ht="13" x14ac:dyDescent="0.3">
      <c r="A13" s="129"/>
      <c r="B13" s="69" t="s">
        <v>12</v>
      </c>
      <c r="C13" s="62">
        <f t="shared" si="0"/>
        <v>113452000</v>
      </c>
      <c r="D13" s="68">
        <v>1725000</v>
      </c>
      <c r="E13" s="68">
        <v>2627000</v>
      </c>
      <c r="F13" s="68">
        <v>2100000</v>
      </c>
      <c r="G13" s="68">
        <v>3722000</v>
      </c>
      <c r="H13" s="68">
        <v>2240000</v>
      </c>
      <c r="I13" s="68">
        <v>2515000</v>
      </c>
      <c r="J13" s="68">
        <v>2143000</v>
      </c>
      <c r="K13" s="68">
        <v>1390000</v>
      </c>
      <c r="L13" s="68">
        <v>3560000</v>
      </c>
      <c r="M13" s="68">
        <v>3565000</v>
      </c>
      <c r="N13" s="68">
        <v>1910000</v>
      </c>
      <c r="O13" s="68">
        <v>2585000</v>
      </c>
      <c r="P13" s="68">
        <v>4510000</v>
      </c>
      <c r="Q13" s="68">
        <v>1770000</v>
      </c>
      <c r="R13" s="68">
        <v>2285000</v>
      </c>
      <c r="S13" s="68">
        <v>1410000</v>
      </c>
      <c r="T13" s="68">
        <v>1360000</v>
      </c>
      <c r="U13" s="68">
        <v>3075000</v>
      </c>
      <c r="V13" s="68">
        <v>1405000</v>
      </c>
      <c r="W13" s="68">
        <v>1500000</v>
      </c>
      <c r="X13" s="68">
        <v>1545000</v>
      </c>
      <c r="Y13" s="68">
        <v>1280000</v>
      </c>
      <c r="Z13" s="68">
        <v>2684000</v>
      </c>
      <c r="AA13" s="68">
        <v>2520000</v>
      </c>
      <c r="AB13" s="68">
        <v>720000</v>
      </c>
      <c r="AC13" s="68">
        <v>1645000</v>
      </c>
      <c r="AD13" s="68">
        <v>2060000</v>
      </c>
      <c r="AE13" s="68">
        <v>888000</v>
      </c>
      <c r="AF13" s="68">
        <v>1645000</v>
      </c>
      <c r="AG13" s="68">
        <v>1735000</v>
      </c>
      <c r="AH13" s="68">
        <v>2970000</v>
      </c>
      <c r="AI13" s="68">
        <v>1320000</v>
      </c>
      <c r="AJ13" s="68">
        <v>3160000</v>
      </c>
      <c r="AK13" s="68">
        <v>1280000</v>
      </c>
      <c r="AL13" s="68">
        <v>2800000</v>
      </c>
      <c r="AM13" s="68">
        <v>3219000</v>
      </c>
      <c r="AN13" s="68">
        <v>1320000</v>
      </c>
      <c r="AO13" s="68">
        <v>1080000</v>
      </c>
      <c r="AP13" s="68">
        <v>1850000</v>
      </c>
      <c r="AQ13" s="68">
        <v>3650000</v>
      </c>
      <c r="AR13" s="68">
        <v>1068000</v>
      </c>
      <c r="AS13" s="68">
        <v>2855000</v>
      </c>
      <c r="AT13" s="68">
        <v>3395000</v>
      </c>
      <c r="AU13" s="68">
        <v>1550000</v>
      </c>
      <c r="AV13" s="68">
        <v>1464000</v>
      </c>
      <c r="AW13" s="68">
        <v>1534000</v>
      </c>
      <c r="AX13" s="68">
        <v>2958000</v>
      </c>
      <c r="AY13" s="68">
        <v>4045000</v>
      </c>
      <c r="AZ13" s="68">
        <v>2150000</v>
      </c>
      <c r="BA13" s="68">
        <v>1640000</v>
      </c>
      <c r="BB13" s="68">
        <v>1330000</v>
      </c>
      <c r="BC13" s="68">
        <v>2695000</v>
      </c>
    </row>
    <row r="14" spans="1:55" s="68" customFormat="1" ht="13" x14ac:dyDescent="0.3">
      <c r="A14" s="129"/>
      <c r="B14" s="69" t="s">
        <v>13</v>
      </c>
      <c r="C14" s="62">
        <f t="shared" si="0"/>
        <v>57493333.333333336</v>
      </c>
      <c r="D14" s="68">
        <v>810000</v>
      </c>
      <c r="E14" s="68">
        <v>1366000</v>
      </c>
      <c r="F14" s="68">
        <v>1080000</v>
      </c>
      <c r="G14" s="68">
        <v>1491000</v>
      </c>
      <c r="H14" s="68">
        <v>1450000</v>
      </c>
      <c r="I14" s="68">
        <v>1020000</v>
      </c>
      <c r="J14" s="68">
        <v>914000</v>
      </c>
      <c r="K14" s="68">
        <v>570000</v>
      </c>
      <c r="L14" s="68">
        <v>1800000</v>
      </c>
      <c r="M14" s="68">
        <v>2505000</v>
      </c>
      <c r="N14" s="68">
        <v>840000</v>
      </c>
      <c r="O14" s="68">
        <v>1260000</v>
      </c>
      <c r="P14" s="68">
        <v>2010000</v>
      </c>
      <c r="Q14" s="68">
        <v>840000</v>
      </c>
      <c r="R14" s="68">
        <v>930000</v>
      </c>
      <c r="S14" s="68">
        <v>750000</v>
      </c>
      <c r="T14" s="68">
        <v>390000</v>
      </c>
      <c r="U14" s="68">
        <v>1460000</v>
      </c>
      <c r="V14" s="68">
        <v>750000</v>
      </c>
      <c r="W14" s="68">
        <v>1155000</v>
      </c>
      <c r="X14" s="68">
        <v>750000</v>
      </c>
      <c r="Y14" s="68">
        <v>540000</v>
      </c>
      <c r="Z14" s="68">
        <v>1222000</v>
      </c>
      <c r="AA14" s="68">
        <v>1260000</v>
      </c>
      <c r="AB14" s="68">
        <v>335000</v>
      </c>
      <c r="AC14" s="68">
        <v>900000</v>
      </c>
      <c r="AD14" s="68">
        <v>894000</v>
      </c>
      <c r="AE14" s="68">
        <v>404000</v>
      </c>
      <c r="AF14" s="68">
        <v>710000</v>
      </c>
      <c r="AG14" s="68">
        <v>900000</v>
      </c>
      <c r="AH14" s="68">
        <v>1270000</v>
      </c>
      <c r="AI14" s="68">
        <v>600000</v>
      </c>
      <c r="AJ14" s="68">
        <v>1800000</v>
      </c>
      <c r="AK14" s="68">
        <v>713333.33333333337</v>
      </c>
      <c r="AL14" s="68">
        <v>1205000</v>
      </c>
      <c r="AM14" s="68">
        <v>1452000</v>
      </c>
      <c r="AN14" s="68">
        <v>630000</v>
      </c>
      <c r="AO14" s="68">
        <v>540000</v>
      </c>
      <c r="AP14" s="68">
        <v>1380000</v>
      </c>
      <c r="AQ14" s="68">
        <v>1708000</v>
      </c>
      <c r="AR14" s="68">
        <v>734000</v>
      </c>
      <c r="AS14" s="68">
        <v>1440000</v>
      </c>
      <c r="AT14" s="68">
        <v>1802000</v>
      </c>
      <c r="AU14" s="68">
        <v>930000</v>
      </c>
      <c r="AV14" s="68">
        <v>732000</v>
      </c>
      <c r="AW14" s="68">
        <v>942000</v>
      </c>
      <c r="AX14" s="68">
        <v>1824000</v>
      </c>
      <c r="AY14" s="68">
        <v>1895000</v>
      </c>
      <c r="AZ14" s="68">
        <v>900000</v>
      </c>
      <c r="BA14" s="68">
        <v>780000</v>
      </c>
      <c r="BB14" s="68">
        <v>750000</v>
      </c>
      <c r="BC14" s="68">
        <v>2160000</v>
      </c>
    </row>
    <row r="15" spans="1:55" s="68" customFormat="1" ht="13" x14ac:dyDescent="0.3">
      <c r="A15" s="129"/>
      <c r="B15" s="69" t="s">
        <v>14</v>
      </c>
      <c r="C15" s="62">
        <f t="shared" si="0"/>
        <v>52376666.666666664</v>
      </c>
      <c r="D15" s="68">
        <v>600000</v>
      </c>
      <c r="E15" s="68">
        <v>1463333.3333333333</v>
      </c>
      <c r="F15" s="68">
        <v>900000</v>
      </c>
      <c r="G15" s="68">
        <v>1553333.3333333335</v>
      </c>
      <c r="H15" s="68">
        <v>900000</v>
      </c>
      <c r="I15" s="68">
        <v>1200000</v>
      </c>
      <c r="J15" s="68">
        <v>1286666.6666666667</v>
      </c>
      <c r="K15" s="68">
        <v>1000000</v>
      </c>
      <c r="L15" s="68">
        <v>1900000</v>
      </c>
      <c r="M15" s="68">
        <v>1300000</v>
      </c>
      <c r="N15" s="68">
        <v>1000000</v>
      </c>
      <c r="O15" s="68">
        <v>1000000</v>
      </c>
      <c r="P15" s="68">
        <v>1700000</v>
      </c>
      <c r="Q15" s="68">
        <v>900000</v>
      </c>
      <c r="R15" s="68">
        <v>1000000</v>
      </c>
      <c r="S15" s="68">
        <v>700000</v>
      </c>
      <c r="T15" s="68">
        <v>800000</v>
      </c>
      <c r="U15" s="68">
        <v>1666666.6666666667</v>
      </c>
      <c r="V15" s="68">
        <v>800000</v>
      </c>
      <c r="W15" s="68">
        <v>900000</v>
      </c>
      <c r="X15" s="68">
        <v>500000</v>
      </c>
      <c r="Y15" s="68">
        <v>400000</v>
      </c>
      <c r="Z15" s="68">
        <v>700000</v>
      </c>
      <c r="AA15" s="68">
        <v>900000</v>
      </c>
      <c r="AB15" s="68">
        <v>400000</v>
      </c>
      <c r="AC15" s="68">
        <v>800000</v>
      </c>
      <c r="AD15" s="68">
        <v>600000</v>
      </c>
      <c r="AE15" s="68">
        <v>470000</v>
      </c>
      <c r="AF15" s="68">
        <v>900000</v>
      </c>
      <c r="AG15" s="68">
        <v>600000</v>
      </c>
      <c r="AH15" s="68">
        <v>900000</v>
      </c>
      <c r="AI15" s="68">
        <v>500000</v>
      </c>
      <c r="AJ15" s="68">
        <v>1200000</v>
      </c>
      <c r="AK15" s="68">
        <v>820000</v>
      </c>
      <c r="AL15" s="68">
        <v>900000</v>
      </c>
      <c r="AM15" s="68">
        <v>1476666.6666666667</v>
      </c>
      <c r="AN15" s="68">
        <v>800000</v>
      </c>
      <c r="AO15" s="68">
        <v>700000</v>
      </c>
      <c r="AP15" s="68">
        <v>700000</v>
      </c>
      <c r="AQ15" s="68">
        <v>1193333.3333333335</v>
      </c>
      <c r="AR15" s="68">
        <v>936666.66666666674</v>
      </c>
      <c r="AS15" s="68">
        <v>1500000</v>
      </c>
      <c r="AT15" s="68">
        <v>2470000</v>
      </c>
      <c r="AU15" s="68">
        <v>800000</v>
      </c>
      <c r="AV15" s="68">
        <v>700000</v>
      </c>
      <c r="AW15" s="68">
        <v>770000</v>
      </c>
      <c r="AX15" s="68">
        <v>1770000</v>
      </c>
      <c r="AY15" s="68">
        <v>1100000</v>
      </c>
      <c r="AZ15" s="68">
        <v>600000</v>
      </c>
      <c r="BA15" s="68">
        <v>600000</v>
      </c>
      <c r="BB15" s="68">
        <v>800000</v>
      </c>
      <c r="BC15" s="68">
        <v>2300000</v>
      </c>
    </row>
    <row r="16" spans="1:55" s="68" customFormat="1" ht="13" x14ac:dyDescent="0.3">
      <c r="A16" s="129"/>
      <c r="B16" s="69" t="s">
        <v>15</v>
      </c>
      <c r="C16" s="62">
        <f t="shared" si="0"/>
        <v>2050000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200000</v>
      </c>
      <c r="K16" s="68">
        <v>0</v>
      </c>
      <c r="L16" s="68">
        <v>50000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400000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150000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0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29270333.333333328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1650000</v>
      </c>
      <c r="M17" s="68">
        <v>1850000</v>
      </c>
      <c r="N17" s="68">
        <v>0</v>
      </c>
      <c r="O17" s="68">
        <v>1320000</v>
      </c>
      <c r="P17" s="68">
        <v>1330000</v>
      </c>
      <c r="Q17" s="68">
        <v>750000</v>
      </c>
      <c r="R17" s="68">
        <v>1100000</v>
      </c>
      <c r="S17" s="68">
        <v>760000</v>
      </c>
      <c r="T17" s="68">
        <v>972000</v>
      </c>
      <c r="U17" s="68">
        <v>1316666.6666666667</v>
      </c>
      <c r="V17" s="68">
        <v>600000</v>
      </c>
      <c r="W17" s="68">
        <v>800000</v>
      </c>
      <c r="X17" s="68">
        <v>0</v>
      </c>
      <c r="Y17" s="68">
        <v>0</v>
      </c>
      <c r="Z17" s="68">
        <v>932000</v>
      </c>
      <c r="AA17" s="68">
        <v>0</v>
      </c>
      <c r="AB17" s="68">
        <v>568000</v>
      </c>
      <c r="AC17" s="68">
        <v>500000</v>
      </c>
      <c r="AD17" s="68">
        <v>640000</v>
      </c>
      <c r="AE17" s="68">
        <v>0</v>
      </c>
      <c r="AF17" s="68">
        <v>1010000</v>
      </c>
      <c r="AG17" s="68">
        <v>650000</v>
      </c>
      <c r="AH17" s="68">
        <v>0</v>
      </c>
      <c r="AI17" s="68">
        <v>0</v>
      </c>
      <c r="AJ17" s="68">
        <v>1550000</v>
      </c>
      <c r="AK17" s="68">
        <v>763333.33333333337</v>
      </c>
      <c r="AL17" s="68">
        <v>0</v>
      </c>
      <c r="AM17" s="68">
        <v>0</v>
      </c>
      <c r="AN17" s="68">
        <v>0</v>
      </c>
      <c r="AO17" s="68">
        <v>0</v>
      </c>
      <c r="AP17" s="68">
        <v>1200000</v>
      </c>
      <c r="AQ17" s="68">
        <v>1073333.3333333335</v>
      </c>
      <c r="AR17" s="68">
        <v>0</v>
      </c>
      <c r="AS17" s="68">
        <v>1200000</v>
      </c>
      <c r="AT17" s="68">
        <v>1615000</v>
      </c>
      <c r="AU17" s="68">
        <v>0</v>
      </c>
      <c r="AV17" s="68">
        <v>0</v>
      </c>
      <c r="AW17" s="68">
        <v>0</v>
      </c>
      <c r="AX17" s="68">
        <v>1070000</v>
      </c>
      <c r="AY17" s="68">
        <v>1600000</v>
      </c>
      <c r="AZ17" s="68">
        <v>0</v>
      </c>
      <c r="BA17" s="68">
        <v>0</v>
      </c>
      <c r="BB17" s="68">
        <v>650000</v>
      </c>
      <c r="BC17" s="68">
        <v>1800000</v>
      </c>
    </row>
    <row r="18" spans="1:57" s="68" customFormat="1" ht="13" x14ac:dyDescent="0.3">
      <c r="A18" s="129"/>
      <c r="B18" s="121" t="s">
        <v>17</v>
      </c>
      <c r="C18" s="62">
        <f t="shared" si="0"/>
        <v>58689333.333333336</v>
      </c>
      <c r="D18" s="68">
        <v>900000</v>
      </c>
      <c r="E18" s="68">
        <v>1336000</v>
      </c>
      <c r="F18" s="68">
        <v>1020000</v>
      </c>
      <c r="G18" s="68">
        <v>1881000</v>
      </c>
      <c r="H18" s="68">
        <v>1720000</v>
      </c>
      <c r="I18" s="68">
        <v>840000</v>
      </c>
      <c r="J18" s="68">
        <v>810000</v>
      </c>
      <c r="K18" s="68">
        <v>960000</v>
      </c>
      <c r="L18" s="68">
        <v>1440000</v>
      </c>
      <c r="M18" s="68">
        <v>2505000</v>
      </c>
      <c r="N18" s="68">
        <v>1050000</v>
      </c>
      <c r="O18" s="68">
        <v>1380000</v>
      </c>
      <c r="P18" s="68">
        <v>2100000</v>
      </c>
      <c r="Q18" s="68">
        <v>1020000</v>
      </c>
      <c r="R18" s="68">
        <v>930000</v>
      </c>
      <c r="S18" s="68">
        <v>1020000</v>
      </c>
      <c r="T18" s="68">
        <v>540000</v>
      </c>
      <c r="U18" s="68">
        <v>1580000</v>
      </c>
      <c r="V18" s="68">
        <v>750000</v>
      </c>
      <c r="W18" s="68">
        <v>1155000</v>
      </c>
      <c r="X18" s="68">
        <v>240000</v>
      </c>
      <c r="Y18" s="68">
        <v>690000</v>
      </c>
      <c r="Z18" s="68">
        <v>1142000</v>
      </c>
      <c r="AA18" s="68">
        <v>1260000</v>
      </c>
      <c r="AB18" s="68">
        <v>335000</v>
      </c>
      <c r="AC18" s="68">
        <v>900000</v>
      </c>
      <c r="AD18" s="68">
        <v>864000</v>
      </c>
      <c r="AE18" s="68">
        <v>404000</v>
      </c>
      <c r="AF18" s="68">
        <v>710000</v>
      </c>
      <c r="AG18" s="68">
        <v>900000</v>
      </c>
      <c r="AH18" s="68">
        <v>1230000</v>
      </c>
      <c r="AI18" s="68">
        <v>600000</v>
      </c>
      <c r="AJ18" s="68">
        <v>2310000</v>
      </c>
      <c r="AK18" s="68">
        <v>783333.33333333337</v>
      </c>
      <c r="AL18" s="68">
        <v>1205000</v>
      </c>
      <c r="AM18" s="68">
        <v>1392000</v>
      </c>
      <c r="AN18" s="68">
        <v>630000</v>
      </c>
      <c r="AO18" s="68">
        <v>540000</v>
      </c>
      <c r="AP18" s="68">
        <v>1380000</v>
      </c>
      <c r="AQ18" s="68">
        <v>1348000</v>
      </c>
      <c r="AR18" s="68">
        <v>734000</v>
      </c>
      <c r="AS18" s="68">
        <v>1440000</v>
      </c>
      <c r="AT18" s="68">
        <v>1802000</v>
      </c>
      <c r="AU18" s="68">
        <v>930000</v>
      </c>
      <c r="AV18" s="68">
        <v>732000</v>
      </c>
      <c r="AW18" s="68">
        <v>942000</v>
      </c>
      <c r="AX18" s="68">
        <v>1824000</v>
      </c>
      <c r="AY18" s="68">
        <v>1895000</v>
      </c>
      <c r="AZ18" s="68">
        <v>900000</v>
      </c>
      <c r="BA18" s="68">
        <v>780000</v>
      </c>
      <c r="BB18" s="68">
        <v>750000</v>
      </c>
      <c r="BC18" s="68">
        <v>2160000</v>
      </c>
    </row>
    <row r="19" spans="1:57" s="68" customFormat="1" ht="13" x14ac:dyDescent="0.3">
      <c r="A19" s="130"/>
      <c r="B19" s="80" t="s">
        <v>18</v>
      </c>
      <c r="C19" s="62">
        <f>SUM(C12:C18)</f>
        <v>577427666.66666663</v>
      </c>
      <c r="D19" s="81">
        <f t="shared" ref="D19:R19" si="1">SUM(D12:D18)</f>
        <v>7159000</v>
      </c>
      <c r="E19" s="81">
        <f t="shared" si="1"/>
        <v>12008333.333333334</v>
      </c>
      <c r="F19" s="81">
        <f t="shared" si="1"/>
        <v>11050000</v>
      </c>
      <c r="G19" s="81">
        <f t="shared" si="1"/>
        <v>15611333.333333334</v>
      </c>
      <c r="H19" s="81">
        <f t="shared" si="1"/>
        <v>13114000</v>
      </c>
      <c r="I19" s="81">
        <f t="shared" si="1"/>
        <v>10637000</v>
      </c>
      <c r="J19" s="81">
        <f t="shared" si="1"/>
        <v>11401666.666666666</v>
      </c>
      <c r="K19" s="81">
        <f>SUM(K12:K18)</f>
        <v>7320000</v>
      </c>
      <c r="L19" s="81">
        <f t="shared" si="1"/>
        <v>20192000</v>
      </c>
      <c r="M19" s="81">
        <f t="shared" si="1"/>
        <v>19433000</v>
      </c>
      <c r="N19" s="81">
        <f>SUM(N12:N18)</f>
        <v>10406400</v>
      </c>
      <c r="O19" s="81">
        <f t="shared" si="1"/>
        <v>12533000</v>
      </c>
      <c r="P19" s="81">
        <f t="shared" si="1"/>
        <v>18878000</v>
      </c>
      <c r="Q19" s="81">
        <f t="shared" si="1"/>
        <v>10632000</v>
      </c>
      <c r="R19" s="81">
        <f t="shared" si="1"/>
        <v>10627000</v>
      </c>
      <c r="S19" s="81">
        <f>SUM(S12:S18)</f>
        <v>7384000</v>
      </c>
      <c r="T19" s="81">
        <f>SUM(T12:T18)</f>
        <v>5366000</v>
      </c>
      <c r="U19" s="81">
        <f>SUM(U12:U18)</f>
        <v>15612333.333333332</v>
      </c>
      <c r="V19" s="81">
        <f>SUM(V12:V18)</f>
        <v>8453000</v>
      </c>
      <c r="W19" s="81">
        <f>SUM(W12:W18)+350000</f>
        <v>10784000</v>
      </c>
      <c r="X19" s="81">
        <f t="shared" ref="X19:AE19" si="2">SUM(X12:X18)</f>
        <v>6443000</v>
      </c>
      <c r="Y19" s="81">
        <f t="shared" si="2"/>
        <v>5730000</v>
      </c>
      <c r="Z19" s="81">
        <f t="shared" si="2"/>
        <v>18152500</v>
      </c>
      <c r="AA19" s="81">
        <f t="shared" si="2"/>
        <v>12850000</v>
      </c>
      <c r="AB19" s="81">
        <f t="shared" si="2"/>
        <v>4110000</v>
      </c>
      <c r="AC19" s="81">
        <f t="shared" si="2"/>
        <v>8298100</v>
      </c>
      <c r="AD19" s="81">
        <f t="shared" si="2"/>
        <v>10221000</v>
      </c>
      <c r="AE19" s="81">
        <f t="shared" si="2"/>
        <v>3670000</v>
      </c>
      <c r="AF19" s="81">
        <f t="shared" ref="AF19:BC19" si="3">SUM(AF12:AF18)</f>
        <v>10093000</v>
      </c>
      <c r="AG19" s="81">
        <f t="shared" si="3"/>
        <v>8009000</v>
      </c>
      <c r="AH19" s="81">
        <f t="shared" si="3"/>
        <v>13292600</v>
      </c>
      <c r="AI19" s="81">
        <f t="shared" si="3"/>
        <v>5176000</v>
      </c>
      <c r="AJ19" s="81">
        <f t="shared" si="3"/>
        <v>17361500</v>
      </c>
      <c r="AK19" s="81">
        <f t="shared" si="3"/>
        <v>8239999.9999999991</v>
      </c>
      <c r="AL19" s="81">
        <f t="shared" si="3"/>
        <v>11170000</v>
      </c>
      <c r="AM19" s="81">
        <f t="shared" si="3"/>
        <v>12951466.666666666</v>
      </c>
      <c r="AN19" s="81">
        <f t="shared" si="3"/>
        <v>5668000</v>
      </c>
      <c r="AO19" s="81">
        <f t="shared" si="3"/>
        <v>5319000</v>
      </c>
      <c r="AP19" s="81">
        <f t="shared" si="3"/>
        <v>10882000</v>
      </c>
      <c r="AQ19" s="81">
        <f t="shared" si="3"/>
        <v>21249166.666666664</v>
      </c>
      <c r="AR19" s="81">
        <f t="shared" si="3"/>
        <v>6728666.666666667</v>
      </c>
      <c r="AS19" s="81">
        <f t="shared" si="3"/>
        <v>14291000</v>
      </c>
      <c r="AT19" s="81">
        <f t="shared" si="3"/>
        <v>21540000</v>
      </c>
      <c r="AU19" s="81">
        <f t="shared" si="3"/>
        <v>7950000</v>
      </c>
      <c r="AV19" s="81">
        <f>SUM(AV12:AV18)</f>
        <v>6157400</v>
      </c>
      <c r="AW19" s="81">
        <f t="shared" si="3"/>
        <v>7524000</v>
      </c>
      <c r="AX19" s="81">
        <f>SUM(AX12:AX18)</f>
        <v>14414000</v>
      </c>
      <c r="AY19" s="81">
        <f t="shared" si="3"/>
        <v>17861000</v>
      </c>
      <c r="AZ19" s="81">
        <f t="shared" si="3"/>
        <v>8872200</v>
      </c>
      <c r="BA19" s="81">
        <f t="shared" si="3"/>
        <v>7658000</v>
      </c>
      <c r="BB19" s="81">
        <f t="shared" si="3"/>
        <v>8592000</v>
      </c>
      <c r="BC19" s="81">
        <f t="shared" si="3"/>
        <v>18701000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4">SUM(D21:BC21)</f>
        <v>2060900000</v>
      </c>
      <c r="D21" s="82">
        <v>24000000</v>
      </c>
      <c r="E21" s="83">
        <v>51000000</v>
      </c>
      <c r="F21" s="83">
        <f>128000000/3</f>
        <v>42666666.666666664</v>
      </c>
      <c r="G21" s="82">
        <v>50700000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51000000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40000000</v>
      </c>
      <c r="AE21" s="82">
        <v>12500000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22000000</v>
      </c>
      <c r="AX21" s="82">
        <v>60000000</v>
      </c>
      <c r="AY21" s="82">
        <v>50000000</v>
      </c>
      <c r="AZ21" s="82">
        <v>32000000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4"/>
        <v>6120000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3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>
        <v>1405000</v>
      </c>
      <c r="AN22" s="82"/>
      <c r="AO22" s="82"/>
      <c r="AP22" s="82"/>
      <c r="AQ22" s="82"/>
      <c r="AR22" s="82"/>
      <c r="AS22" s="82">
        <v>905000</v>
      </c>
      <c r="AT22" s="82">
        <v>905000</v>
      </c>
      <c r="AU22" s="82"/>
      <c r="AV22" s="82"/>
      <c r="AW22" s="82"/>
      <c r="AX22" s="82">
        <v>2905000</v>
      </c>
      <c r="AY22" s="82"/>
      <c r="AZ22" s="82"/>
      <c r="BA22" s="82"/>
      <c r="BB22" s="82"/>
      <c r="BC22" s="82"/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4"/>
        <v>328779504</v>
      </c>
      <c r="D23" s="82">
        <v>3079339</v>
      </c>
      <c r="E23" s="83">
        <v>5762837</v>
      </c>
      <c r="F23" s="83">
        <v>7847648</v>
      </c>
      <c r="G23" s="83">
        <v>10788509</v>
      </c>
      <c r="H23" s="82">
        <v>9583207</v>
      </c>
      <c r="I23" s="83">
        <v>4638936.8</v>
      </c>
      <c r="J23" s="82">
        <v>6958405.2000000002</v>
      </c>
      <c r="K23" s="83">
        <v>6616188</v>
      </c>
      <c r="L23" s="83">
        <v>8150738</v>
      </c>
      <c r="M23" s="83">
        <v>8438623</v>
      </c>
      <c r="N23" s="82">
        <v>5922202</v>
      </c>
      <c r="O23" s="82">
        <v>7826911</v>
      </c>
      <c r="P23" s="82">
        <v>9106927</v>
      </c>
      <c r="Q23" s="82">
        <v>5539284</v>
      </c>
      <c r="R23" s="82">
        <v>5452259</v>
      </c>
      <c r="S23" s="82">
        <v>3819614</v>
      </c>
      <c r="T23" s="83">
        <v>4004165</v>
      </c>
      <c r="U23" s="82">
        <v>10151201</v>
      </c>
      <c r="V23" s="82">
        <v>3945564</v>
      </c>
      <c r="W23" s="83">
        <v>4256582</v>
      </c>
      <c r="X23" s="82">
        <v>2778602</v>
      </c>
      <c r="Y23" s="83">
        <v>3365172</v>
      </c>
      <c r="Z23" s="83">
        <v>9842062</v>
      </c>
      <c r="AA23" s="83">
        <v>5013101</v>
      </c>
      <c r="AB23" s="83">
        <v>2703758</v>
      </c>
      <c r="AC23" s="83">
        <v>5375570</v>
      </c>
      <c r="AD23" s="83">
        <v>4947446.5999999996</v>
      </c>
      <c r="AE23" s="83">
        <v>2700976.4000000004</v>
      </c>
      <c r="AF23" s="83">
        <v>5426114</v>
      </c>
      <c r="AG23" s="83">
        <v>3850459</v>
      </c>
      <c r="AH23" s="83">
        <v>6870679</v>
      </c>
      <c r="AI23" s="83">
        <v>2602865</v>
      </c>
      <c r="AJ23" s="83">
        <v>12714646</v>
      </c>
      <c r="AK23" s="83">
        <v>4906894</v>
      </c>
      <c r="AL23" s="83">
        <v>5965985</v>
      </c>
      <c r="AM23" s="83">
        <v>7048629</v>
      </c>
      <c r="AN23" s="83">
        <v>3761273</v>
      </c>
      <c r="AO23" s="83">
        <v>3405780</v>
      </c>
      <c r="AP23" s="122">
        <v>4765522</v>
      </c>
      <c r="AQ23" s="83">
        <v>10913946</v>
      </c>
      <c r="AR23" s="83">
        <v>4815050</v>
      </c>
      <c r="AS23" s="83">
        <v>7140571</v>
      </c>
      <c r="AT23" s="83">
        <v>14215155</v>
      </c>
      <c r="AU23" s="83">
        <v>2883989</v>
      </c>
      <c r="AV23" s="83">
        <v>3459592</v>
      </c>
      <c r="AW23" s="83">
        <v>4028638</v>
      </c>
      <c r="AX23" s="83">
        <v>10532354</v>
      </c>
      <c r="AY23" s="83">
        <v>10139990</v>
      </c>
      <c r="AZ23" s="83">
        <v>6066878</v>
      </c>
      <c r="BA23" s="83">
        <v>4731156</v>
      </c>
      <c r="BB23" s="83">
        <v>6459242</v>
      </c>
      <c r="BC23" s="83">
        <v>13458269</v>
      </c>
    </row>
    <row r="24" spans="1:57" s="68" customFormat="1" ht="20.5" customHeight="1" x14ac:dyDescent="0.3">
      <c r="A24" s="131"/>
      <c r="B24" s="68" t="s">
        <v>24</v>
      </c>
      <c r="C24" s="67">
        <f t="shared" si="4"/>
        <v>131715575.33333333</v>
      </c>
      <c r="D24" s="82">
        <v>1792850</v>
      </c>
      <c r="E24" s="83">
        <v>2510450</v>
      </c>
      <c r="F24" s="83">
        <v>5580950</v>
      </c>
      <c r="G24" s="83">
        <v>0</v>
      </c>
      <c r="H24" s="82">
        <v>7070200</v>
      </c>
      <c r="I24" s="83">
        <v>2581333.3333333335</v>
      </c>
      <c r="J24" s="82">
        <v>2825000</v>
      </c>
      <c r="K24" s="83">
        <v>1562000</v>
      </c>
      <c r="L24" s="83">
        <v>3166666.6666666665</v>
      </c>
      <c r="M24" s="83">
        <v>3458333.3333333335</v>
      </c>
      <c r="N24" s="82">
        <v>1000000</v>
      </c>
      <c r="O24" s="82">
        <v>4900150</v>
      </c>
      <c r="P24" s="82">
        <v>8282300</v>
      </c>
      <c r="Q24" s="82">
        <v>612950</v>
      </c>
      <c r="R24" s="82">
        <v>0</v>
      </c>
      <c r="S24" s="82">
        <v>2467900</v>
      </c>
      <c r="T24" s="82">
        <v>0</v>
      </c>
      <c r="U24" s="82">
        <v>3749000</v>
      </c>
      <c r="V24" s="82">
        <v>1016600</v>
      </c>
      <c r="W24" s="83">
        <v>1544450</v>
      </c>
      <c r="X24" s="82">
        <v>2444900</v>
      </c>
      <c r="Y24" s="82">
        <v>622050</v>
      </c>
      <c r="Z24" s="83">
        <v>1659000</v>
      </c>
      <c r="AA24" s="83">
        <v>4474650</v>
      </c>
      <c r="AB24" s="83">
        <v>706100</v>
      </c>
      <c r="AC24" s="83">
        <v>1730750</v>
      </c>
      <c r="AD24" s="83">
        <v>844680</v>
      </c>
      <c r="AE24" s="83">
        <v>563120</v>
      </c>
      <c r="AF24" s="83">
        <v>2041250</v>
      </c>
      <c r="AG24" s="83">
        <v>791000</v>
      </c>
      <c r="AH24" s="83">
        <v>3621350</v>
      </c>
      <c r="AI24" s="83">
        <v>581900</v>
      </c>
      <c r="AJ24" s="83">
        <v>3585700</v>
      </c>
      <c r="AK24" s="83">
        <v>1420250</v>
      </c>
      <c r="AL24" s="83">
        <v>847000</v>
      </c>
      <c r="AM24" s="83">
        <v>3421250</v>
      </c>
      <c r="AN24" s="83">
        <v>799250</v>
      </c>
      <c r="AO24" s="83">
        <v>0</v>
      </c>
      <c r="AP24" s="83">
        <v>1979150</v>
      </c>
      <c r="AQ24" s="83">
        <v>5848000</v>
      </c>
      <c r="AR24" s="83">
        <v>967150</v>
      </c>
      <c r="AS24" s="83">
        <v>4641400</v>
      </c>
      <c r="AT24" s="83">
        <v>14935300</v>
      </c>
      <c r="AU24" s="83">
        <v>1184000</v>
      </c>
      <c r="AV24" s="83">
        <v>2300000</v>
      </c>
      <c r="AW24" s="83">
        <v>1886000</v>
      </c>
      <c r="AX24" s="83">
        <v>0</v>
      </c>
      <c r="AY24" s="83">
        <v>4257917</v>
      </c>
      <c r="AZ24" s="83">
        <v>2738550</v>
      </c>
      <c r="BA24" s="83">
        <v>1189675</v>
      </c>
      <c r="BB24" s="83">
        <v>1542150</v>
      </c>
      <c r="BC24" s="83">
        <v>3970950</v>
      </c>
    </row>
    <row r="25" spans="1:57" s="68" customFormat="1" ht="19" customHeight="1" x14ac:dyDescent="0.3">
      <c r="A25" s="131"/>
      <c r="B25" s="67" t="s">
        <v>25</v>
      </c>
      <c r="C25" s="67">
        <f t="shared" si="4"/>
        <v>17157895.916666668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2">
        <v>545000</v>
      </c>
      <c r="V25" s="82">
        <v>299999.66666666669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537500</v>
      </c>
      <c r="AK25" s="83">
        <v>245000</v>
      </c>
      <c r="AL25" s="83">
        <v>450000</v>
      </c>
      <c r="AM25" s="83">
        <v>639996</v>
      </c>
      <c r="AN25" s="83">
        <v>336500</v>
      </c>
      <c r="AO25" s="83">
        <v>268166.66666666669</v>
      </c>
      <c r="AP25" s="83">
        <v>215000</v>
      </c>
      <c r="AQ25" s="83">
        <v>470000</v>
      </c>
      <c r="AR25" s="83">
        <v>470000</v>
      </c>
      <c r="AS25" s="83">
        <v>270000</v>
      </c>
      <c r="AT25" s="83">
        <v>785000</v>
      </c>
      <c r="AU25" s="83">
        <v>235000</v>
      </c>
      <c r="AV25" s="83">
        <v>289833.33333333331</v>
      </c>
      <c r="AW25" s="83">
        <v>235000</v>
      </c>
      <c r="AX25" s="83">
        <v>235000</v>
      </c>
      <c r="AY25" s="83">
        <v>235000</v>
      </c>
      <c r="AZ25" s="83">
        <v>235000</v>
      </c>
      <c r="BA25" s="83">
        <v>240000</v>
      </c>
      <c r="BB25" s="83">
        <v>0</v>
      </c>
      <c r="BC25" s="83"/>
    </row>
    <row r="26" spans="1:57" s="68" customFormat="1" ht="18.5" customHeight="1" x14ac:dyDescent="0.3">
      <c r="A26" s="131"/>
      <c r="B26" s="67" t="s">
        <v>26</v>
      </c>
      <c r="C26" s="67">
        <f t="shared" si="4"/>
        <v>10960000</v>
      </c>
      <c r="D26" s="82">
        <v>250000</v>
      </c>
      <c r="E26" s="82">
        <v>300000</v>
      </c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200000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2">
        <v>300000</v>
      </c>
      <c r="V26" s="82">
        <v>166666.66666666666</v>
      </c>
      <c r="W26" s="83">
        <v>166666.66666666666</v>
      </c>
      <c r="X26" s="82">
        <v>166666.66666666666</v>
      </c>
      <c r="Y26" s="82"/>
      <c r="Z26" s="83">
        <v>300000</v>
      </c>
      <c r="AA26" s="83">
        <v>500000</v>
      </c>
      <c r="AB26" s="83">
        <v>200000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>
        <v>250000</v>
      </c>
      <c r="AJ26" s="83">
        <v>250000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250000</v>
      </c>
      <c r="AQ26" s="83">
        <v>400000</v>
      </c>
      <c r="AR26" s="83">
        <v>200000</v>
      </c>
      <c r="AS26" s="83"/>
      <c r="AT26" s="83">
        <v>400000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/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4"/>
        <v>0</v>
      </c>
      <c r="D27" s="82"/>
      <c r="F27" s="83"/>
      <c r="H27" s="82"/>
      <c r="I27" s="82"/>
      <c r="J27" s="83"/>
      <c r="K27" s="83"/>
      <c r="L27" s="82"/>
      <c r="M27" s="83"/>
      <c r="N27" s="82"/>
      <c r="W27" s="83"/>
      <c r="AA27" s="83"/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4"/>
        <v>1266666.6666666665</v>
      </c>
      <c r="F28" s="82"/>
      <c r="I28" s="82"/>
      <c r="L28" s="82"/>
      <c r="M28" s="82">
        <v>333333.33333333331</v>
      </c>
      <c r="N28" s="82"/>
      <c r="S28" s="68">
        <v>333333.33333333331</v>
      </c>
      <c r="AD28" s="68">
        <v>300000</v>
      </c>
      <c r="AK28" s="68">
        <v>300000</v>
      </c>
    </row>
    <row r="29" spans="1:57" s="64" customFormat="1" ht="13" x14ac:dyDescent="0.3">
      <c r="A29" s="88" t="s">
        <v>29</v>
      </c>
      <c r="B29" s="60"/>
      <c r="C29" s="62">
        <f>SUM(C21:C28)</f>
        <v>2556899641.9166665</v>
      </c>
      <c r="D29" s="60">
        <f t="shared" ref="D29:BC29" si="5">SUM(D21:D28)</f>
        <v>29402189</v>
      </c>
      <c r="E29" s="60">
        <f t="shared" si="5"/>
        <v>60011187</v>
      </c>
      <c r="F29" s="60">
        <f t="shared" si="5"/>
        <v>56555264.666666664</v>
      </c>
      <c r="G29" s="60">
        <f t="shared" si="5"/>
        <v>62033509</v>
      </c>
      <c r="H29" s="60">
        <f t="shared" si="5"/>
        <v>62113407</v>
      </c>
      <c r="I29" s="60">
        <f>SUM(I21:I28)</f>
        <v>45632770.383333333</v>
      </c>
      <c r="J29" s="60">
        <f t="shared" si="5"/>
        <v>46195905.200000003</v>
      </c>
      <c r="K29" s="60">
        <f t="shared" si="5"/>
        <v>30590688</v>
      </c>
      <c r="L29" s="60">
        <f t="shared" si="5"/>
        <v>85629904.666666672</v>
      </c>
      <c r="M29" s="60">
        <f t="shared" si="5"/>
        <v>77830289.666666657</v>
      </c>
      <c r="N29" s="60">
        <f t="shared" si="5"/>
        <v>53567202</v>
      </c>
      <c r="O29" s="60">
        <f t="shared" si="5"/>
        <v>64227061</v>
      </c>
      <c r="P29" s="60">
        <f t="shared" si="5"/>
        <v>79084227</v>
      </c>
      <c r="Q29" s="60">
        <f t="shared" si="5"/>
        <v>37322234</v>
      </c>
      <c r="R29" s="60">
        <f t="shared" si="5"/>
        <v>51022259</v>
      </c>
      <c r="S29" s="60">
        <f t="shared" si="5"/>
        <v>32219014</v>
      </c>
      <c r="T29" s="60">
        <f t="shared" si="5"/>
        <v>15224165</v>
      </c>
      <c r="U29" s="60">
        <f t="shared" si="5"/>
        <v>74745201</v>
      </c>
      <c r="V29" s="60">
        <f t="shared" si="5"/>
        <v>38428830.333333328</v>
      </c>
      <c r="W29" s="60">
        <f t="shared" si="5"/>
        <v>44797698.666666664</v>
      </c>
      <c r="X29" s="60">
        <f t="shared" si="5"/>
        <v>29720168.666666668</v>
      </c>
      <c r="Y29" s="60">
        <f t="shared" si="5"/>
        <v>18207222</v>
      </c>
      <c r="Z29" s="60">
        <f t="shared" si="5"/>
        <v>55366062</v>
      </c>
      <c r="AA29" s="60">
        <f t="shared" si="5"/>
        <v>52517584.333333336</v>
      </c>
      <c r="AB29" s="60">
        <f t="shared" si="5"/>
        <v>14354858</v>
      </c>
      <c r="AC29" s="60">
        <f t="shared" si="5"/>
        <v>36306320</v>
      </c>
      <c r="AD29" s="60">
        <f t="shared" si="5"/>
        <v>46562126.600000001</v>
      </c>
      <c r="AE29" s="60">
        <f t="shared" si="5"/>
        <v>16234096.4</v>
      </c>
      <c r="AF29" s="60">
        <f t="shared" si="5"/>
        <v>44947364</v>
      </c>
      <c r="AG29" s="60">
        <f t="shared" si="5"/>
        <v>36453125.666666672</v>
      </c>
      <c r="AH29" s="60">
        <f t="shared" si="5"/>
        <v>47337029</v>
      </c>
      <c r="AI29" s="60">
        <f t="shared" si="5"/>
        <v>13654765</v>
      </c>
      <c r="AJ29" s="60">
        <f t="shared" si="5"/>
        <v>79087846</v>
      </c>
      <c r="AK29" s="60">
        <f t="shared" si="5"/>
        <v>44172144</v>
      </c>
      <c r="AL29" s="60">
        <f t="shared" si="5"/>
        <v>42262985</v>
      </c>
      <c r="AM29" s="60">
        <f t="shared" si="5"/>
        <v>62814875</v>
      </c>
      <c r="AN29" s="60">
        <f t="shared" si="5"/>
        <v>24197023</v>
      </c>
      <c r="AO29" s="60">
        <f t="shared" si="5"/>
        <v>13673946.666666666</v>
      </c>
      <c r="AP29" s="60">
        <f t="shared" si="5"/>
        <v>43209672</v>
      </c>
      <c r="AQ29" s="60">
        <f t="shared" si="5"/>
        <v>97631946</v>
      </c>
      <c r="AR29" s="60">
        <f t="shared" si="5"/>
        <v>32452200</v>
      </c>
      <c r="AS29" s="60">
        <f t="shared" si="5"/>
        <v>66256971</v>
      </c>
      <c r="AT29" s="60">
        <f t="shared" si="5"/>
        <v>136240455</v>
      </c>
      <c r="AU29" s="60">
        <f t="shared" si="5"/>
        <v>31269655.666666668</v>
      </c>
      <c r="AV29" s="60">
        <f t="shared" si="5"/>
        <v>32349425.333333332</v>
      </c>
      <c r="AW29" s="60">
        <f t="shared" si="5"/>
        <v>28399638</v>
      </c>
      <c r="AX29" s="60">
        <f t="shared" si="5"/>
        <v>74172354</v>
      </c>
      <c r="AY29" s="60">
        <f t="shared" si="5"/>
        <v>64932907</v>
      </c>
      <c r="AZ29" s="60">
        <f t="shared" si="5"/>
        <v>41040428</v>
      </c>
      <c r="BA29" s="60">
        <f t="shared" si="5"/>
        <v>22460831</v>
      </c>
      <c r="BB29" s="60">
        <f t="shared" si="5"/>
        <v>49251392</v>
      </c>
      <c r="BC29" s="60">
        <f t="shared" si="5"/>
        <v>112729219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6">SUM(D30:BC30)</f>
        <v>67110009.565543711</v>
      </c>
      <c r="D30" s="82">
        <v>820514.64595361811</v>
      </c>
      <c r="E30" s="83">
        <v>1530570.4468273493</v>
      </c>
      <c r="F30" s="83">
        <v>1211424.3052283188</v>
      </c>
      <c r="G30" s="82">
        <v>1515699.8152830156</v>
      </c>
      <c r="H30" s="83">
        <v>1472458.4666089113</v>
      </c>
      <c r="I30" s="82">
        <v>1398456.4616885858</v>
      </c>
      <c r="J30" s="82">
        <v>1455986.8797699891</v>
      </c>
      <c r="K30" s="82">
        <v>1129023.2827999252</v>
      </c>
      <c r="L30" s="83">
        <v>2436339.2900355542</v>
      </c>
      <c r="M30" s="82">
        <v>2108932.4192871787</v>
      </c>
      <c r="N30" s="82">
        <v>1076174.2816315601</v>
      </c>
      <c r="O30" s="82">
        <v>1487368.4748793284</v>
      </c>
      <c r="P30" s="82">
        <v>1649507.3156166021</v>
      </c>
      <c r="Q30" s="82">
        <v>1188827.7591973245</v>
      </c>
      <c r="R30" s="82">
        <v>1164944.8186646446</v>
      </c>
      <c r="S30" s="82">
        <v>1140000</v>
      </c>
      <c r="T30" s="83">
        <v>795665.92674805771</v>
      </c>
      <c r="U30" s="82">
        <v>1518473.7743621401</v>
      </c>
      <c r="V30" s="83">
        <v>807759.64305635763</v>
      </c>
      <c r="W30" s="83">
        <v>992886.66172012093</v>
      </c>
      <c r="X30" s="82">
        <v>723925.88565593597</v>
      </c>
      <c r="Y30" s="82">
        <v>540688.17204301071</v>
      </c>
      <c r="Z30" s="82">
        <v>789401.02869088482</v>
      </c>
      <c r="AA30" s="82">
        <v>1765810.6464457205</v>
      </c>
      <c r="AB30" s="82">
        <v>889386.36332691042</v>
      </c>
      <c r="AC30" s="82">
        <v>960812.58513741521</v>
      </c>
      <c r="AD30" s="82">
        <v>132000</v>
      </c>
      <c r="AE30" s="82">
        <v>705772.76226929761</v>
      </c>
      <c r="AF30" s="82">
        <v>1283404.255319149</v>
      </c>
      <c r="AG30" s="82">
        <v>132000</v>
      </c>
      <c r="AH30" s="82">
        <v>1628147.0799872179</v>
      </c>
      <c r="AI30" s="82">
        <v>770319.77855845145</v>
      </c>
      <c r="AJ30" s="83">
        <v>1667328.6222788014</v>
      </c>
      <c r="AK30" s="82">
        <v>1667328.6222788014</v>
      </c>
      <c r="AL30" s="82">
        <v>1426502.3504002034</v>
      </c>
      <c r="AM30" s="82">
        <v>1648434.4011115956</v>
      </c>
      <c r="AN30" s="82">
        <v>1086502.2334433873</v>
      </c>
      <c r="AO30" s="82">
        <v>851023.62204724399</v>
      </c>
      <c r="AP30" s="82">
        <v>1169506.0322403281</v>
      </c>
      <c r="AQ30" s="82">
        <v>1833276.5849434093</v>
      </c>
      <c r="AR30" s="82">
        <v>1189204.5454545452</v>
      </c>
      <c r="AS30" s="82">
        <v>1604580.610699055</v>
      </c>
      <c r="AT30" s="82">
        <v>2769103.2227424476</v>
      </c>
      <c r="AU30" s="82">
        <v>1064571.4285714286</v>
      </c>
      <c r="AV30" s="83">
        <v>788631.60730113904</v>
      </c>
      <c r="AW30" s="82">
        <v>1173974.6442937714</v>
      </c>
      <c r="AX30" s="82">
        <v>2116430.1446869303</v>
      </c>
      <c r="AY30" s="82">
        <v>2116430.1446869303</v>
      </c>
      <c r="AZ30" s="82">
        <v>971218.70834278315</v>
      </c>
      <c r="BA30" s="82">
        <v>1097349.284385134</v>
      </c>
      <c r="BB30" s="82">
        <v>1018176.2474389001</v>
      </c>
      <c r="BC30" s="82">
        <v>2627753.2814043043</v>
      </c>
    </row>
    <row r="31" spans="1:57" s="68" customFormat="1" ht="24" customHeight="1" x14ac:dyDescent="0.3">
      <c r="A31" s="133"/>
      <c r="B31" s="67" t="s">
        <v>32</v>
      </c>
      <c r="C31" s="67">
        <f t="shared" si="6"/>
        <v>6273781.9025522023</v>
      </c>
      <c r="D31" s="82">
        <v>74245.939675174013</v>
      </c>
      <c r="E31" s="83">
        <v>157772.62180974477</v>
      </c>
      <c r="F31" s="83">
        <v>129930.39443155452</v>
      </c>
      <c r="G31" s="82">
        <v>204176.33410672855</v>
      </c>
      <c r="H31" s="83">
        <v>139211.13689095128</v>
      </c>
      <c r="I31" s="82">
        <v>120649.65197215776</v>
      </c>
      <c r="J31" s="82">
        <v>120649.65197215776</v>
      </c>
      <c r="K31" s="82">
        <v>92807.424593967517</v>
      </c>
      <c r="L31" s="83">
        <v>176334.10672853829</v>
      </c>
      <c r="M31" s="82">
        <v>167053.36426914152</v>
      </c>
      <c r="N31" s="82">
        <v>139211.13689095128</v>
      </c>
      <c r="O31" s="82">
        <v>157772.62180974477</v>
      </c>
      <c r="P31" s="82">
        <v>167053.36426914152</v>
      </c>
      <c r="Q31" s="82">
        <v>92807.424593967517</v>
      </c>
      <c r="R31" s="82">
        <v>111368.90951276102</v>
      </c>
      <c r="S31" s="82">
        <v>83526.682134570758</v>
      </c>
      <c r="T31" s="83">
        <v>83526.682134570758</v>
      </c>
      <c r="U31" s="82">
        <v>194895.59164733178</v>
      </c>
      <c r="V31" s="83">
        <v>92807.424593967517</v>
      </c>
      <c r="W31" s="83">
        <v>102088.16705336428</v>
      </c>
      <c r="X31" s="82">
        <v>74245.939675174013</v>
      </c>
      <c r="Y31" s="82">
        <v>64965.197215777262</v>
      </c>
      <c r="Z31" s="82">
        <v>120649.65197215776</v>
      </c>
      <c r="AA31" s="82">
        <v>139211.13689095128</v>
      </c>
      <c r="AB31" s="82">
        <v>64965.197215777262</v>
      </c>
      <c r="AC31" s="82">
        <v>83526.682134570758</v>
      </c>
      <c r="AD31" s="82">
        <v>102088.16705336428</v>
      </c>
      <c r="AE31" s="82">
        <v>64965.197215777262</v>
      </c>
      <c r="AF31" s="82">
        <v>92807.424593967517</v>
      </c>
      <c r="AG31" s="82">
        <v>102088.16705336428</v>
      </c>
      <c r="AH31" s="82">
        <v>129930.39443155452</v>
      </c>
      <c r="AI31" s="82">
        <v>74245.939675174013</v>
      </c>
      <c r="AJ31" s="83">
        <v>157772.62180974477</v>
      </c>
      <c r="AK31" s="82">
        <v>102088.16705336428</v>
      </c>
      <c r="AL31" s="82">
        <v>129930.39443155452</v>
      </c>
      <c r="AM31" s="82">
        <v>167053.36426914152</v>
      </c>
      <c r="AN31" s="82">
        <v>83526.682134570758</v>
      </c>
      <c r="AO31" s="82">
        <v>64965.197215777262</v>
      </c>
      <c r="AP31" s="82">
        <v>92807.424593967517</v>
      </c>
      <c r="AQ31" s="82">
        <v>204176.33410672855</v>
      </c>
      <c r="AR31" s="82">
        <v>92807.424593967517</v>
      </c>
      <c r="AS31" s="82">
        <v>148491.87935034803</v>
      </c>
      <c r="AT31" s="82">
        <v>241299.30394431553</v>
      </c>
      <c r="AU31" s="82">
        <v>83526.682134570758</v>
      </c>
      <c r="AV31" s="83">
        <v>74245.939675174013</v>
      </c>
      <c r="AW31" s="82">
        <v>83526.682134570758</v>
      </c>
      <c r="AX31" s="82">
        <v>167053.36426914152</v>
      </c>
      <c r="AY31" s="82">
        <v>139211.13689095128</v>
      </c>
      <c r="AZ31" s="82">
        <v>92807.424593967517</v>
      </c>
      <c r="BA31" s="82">
        <v>83526.682134570758</v>
      </c>
      <c r="BB31" s="82">
        <v>92807.424593967517</v>
      </c>
      <c r="BC31" s="82">
        <v>250580.0464037123</v>
      </c>
    </row>
    <row r="32" spans="1:57" s="68" customFormat="1" ht="24" customHeight="1" x14ac:dyDescent="0.3">
      <c r="A32" s="133"/>
      <c r="B32" s="67" t="s">
        <v>33</v>
      </c>
      <c r="C32" s="67">
        <f t="shared" si="6"/>
        <v>9960151.5854601711</v>
      </c>
      <c r="D32" s="82">
        <v>117871.61639597834</v>
      </c>
      <c r="E32" s="83">
        <v>250477.18484145397</v>
      </c>
      <c r="F32" s="83">
        <v>206275.3286929621</v>
      </c>
      <c r="G32" s="82">
        <v>324146.94508894044</v>
      </c>
      <c r="H32" s="83">
        <v>221009.28074245941</v>
      </c>
      <c r="I32" s="82">
        <v>191541.37664346481</v>
      </c>
      <c r="J32" s="82">
        <v>191541.37664346481</v>
      </c>
      <c r="K32" s="82">
        <v>147339.52049497294</v>
      </c>
      <c r="L32" s="83">
        <v>279945.08894044859</v>
      </c>
      <c r="M32" s="82">
        <v>265211.13689095131</v>
      </c>
      <c r="N32" s="82">
        <v>221009.28074245941</v>
      </c>
      <c r="O32" s="82">
        <v>250477.18484145397</v>
      </c>
      <c r="P32" s="82">
        <v>265211.13689095131</v>
      </c>
      <c r="Q32" s="82">
        <v>147339.52049497294</v>
      </c>
      <c r="R32" s="82">
        <v>176807.4245939675</v>
      </c>
      <c r="S32" s="82">
        <v>132605.56844547566</v>
      </c>
      <c r="T32" s="83">
        <v>132605.56844547566</v>
      </c>
      <c r="U32" s="82">
        <v>309412.99303944316</v>
      </c>
      <c r="V32" s="83">
        <v>147339.52049497294</v>
      </c>
      <c r="W32" s="83">
        <v>162073.47254447022</v>
      </c>
      <c r="X32" s="82">
        <v>117871.61639597834</v>
      </c>
      <c r="Y32" s="82">
        <v>103137.66434648105</v>
      </c>
      <c r="Z32" s="82">
        <v>191541.37664346481</v>
      </c>
      <c r="AA32" s="82">
        <v>221009.28074245941</v>
      </c>
      <c r="AB32" s="82">
        <v>103137.66434648105</v>
      </c>
      <c r="AC32" s="82">
        <v>132605.56844547566</v>
      </c>
      <c r="AD32" s="82">
        <v>162073.47254447022</v>
      </c>
      <c r="AE32" s="82">
        <v>103137.66434648105</v>
      </c>
      <c r="AF32" s="82">
        <v>147339.52049497294</v>
      </c>
      <c r="AG32" s="82">
        <v>162073.47254447022</v>
      </c>
      <c r="AH32" s="82">
        <v>206275.3286929621</v>
      </c>
      <c r="AI32" s="82">
        <v>117871.61639597834</v>
      </c>
      <c r="AJ32" s="83">
        <v>250477.18484145397</v>
      </c>
      <c r="AK32" s="82">
        <v>162073.47254447022</v>
      </c>
      <c r="AL32" s="82">
        <v>206275.3286929621</v>
      </c>
      <c r="AM32" s="82">
        <v>265211.13689095131</v>
      </c>
      <c r="AN32" s="82">
        <v>132605.56844547566</v>
      </c>
      <c r="AO32" s="82">
        <v>103137.66434648105</v>
      </c>
      <c r="AP32" s="82">
        <v>147339.52049497294</v>
      </c>
      <c r="AQ32" s="82">
        <v>324146.94508894044</v>
      </c>
      <c r="AR32" s="82">
        <v>147339.52049497294</v>
      </c>
      <c r="AS32" s="82">
        <v>235743.23279195669</v>
      </c>
      <c r="AT32" s="82">
        <v>383082.75328692963</v>
      </c>
      <c r="AU32" s="82">
        <v>132605.56844547566</v>
      </c>
      <c r="AV32" s="83">
        <v>117871.61639597834</v>
      </c>
      <c r="AW32" s="82">
        <v>132605.56844547566</v>
      </c>
      <c r="AX32" s="82">
        <v>265211.13689095131</v>
      </c>
      <c r="AY32" s="82">
        <v>221009.28074245941</v>
      </c>
      <c r="AZ32" s="82">
        <v>147339.52049497294</v>
      </c>
      <c r="BA32" s="82">
        <v>132605.56844547566</v>
      </c>
      <c r="BB32" s="82">
        <v>147339.52049497294</v>
      </c>
      <c r="BC32" s="82">
        <v>397816.70533642691</v>
      </c>
    </row>
    <row r="33" spans="1:57" s="68" customFormat="1" ht="24" customHeight="1" x14ac:dyDescent="0.3">
      <c r="A33" s="133"/>
      <c r="B33" s="67" t="s">
        <v>166</v>
      </c>
      <c r="C33" s="67">
        <f t="shared" si="6"/>
        <v>7562521.2683681352</v>
      </c>
      <c r="D33" s="82">
        <v>89497.293116782675</v>
      </c>
      <c r="E33" s="83">
        <v>190181.7478731632</v>
      </c>
      <c r="F33" s="83">
        <v>156620.26295436968</v>
      </c>
      <c r="G33" s="82">
        <v>246117.55607115236</v>
      </c>
      <c r="H33" s="83">
        <v>167807.4245939675</v>
      </c>
      <c r="I33" s="82">
        <v>145433.10131477186</v>
      </c>
      <c r="J33" s="82">
        <v>145433.10131477186</v>
      </c>
      <c r="K33" s="82">
        <v>111871.61639597834</v>
      </c>
      <c r="L33" s="83">
        <v>212556.07115235884</v>
      </c>
      <c r="M33" s="82">
        <v>201368.90951276102</v>
      </c>
      <c r="N33" s="82">
        <v>167807.4245939675</v>
      </c>
      <c r="O33" s="82">
        <v>190181.7478731632</v>
      </c>
      <c r="P33" s="82">
        <v>201368.90951276102</v>
      </c>
      <c r="Q33" s="82">
        <v>111871.61639597834</v>
      </c>
      <c r="R33" s="82">
        <v>134245.93967517401</v>
      </c>
      <c r="S33" s="82">
        <v>100684.45475638051</v>
      </c>
      <c r="T33" s="83">
        <v>100684.45475638051</v>
      </c>
      <c r="U33" s="82">
        <v>234930.39443155454</v>
      </c>
      <c r="V33" s="83">
        <v>111871.61639597834</v>
      </c>
      <c r="W33" s="83">
        <v>123058.77803557618</v>
      </c>
      <c r="X33" s="82">
        <v>89497.293116782675</v>
      </c>
      <c r="Y33" s="82">
        <v>78310.131477184841</v>
      </c>
      <c r="Z33" s="82">
        <v>145433.10131477186</v>
      </c>
      <c r="AA33" s="82">
        <v>167807.4245939675</v>
      </c>
      <c r="AB33" s="82">
        <v>78310.131477184841</v>
      </c>
      <c r="AC33" s="82">
        <v>100684.45475638051</v>
      </c>
      <c r="AD33" s="82">
        <v>123058.77803557618</v>
      </c>
      <c r="AE33" s="82">
        <v>78310.131477184841</v>
      </c>
      <c r="AF33" s="82">
        <v>111871.61639597834</v>
      </c>
      <c r="AG33" s="82">
        <v>123058.77803557618</v>
      </c>
      <c r="AH33" s="82">
        <v>156620.26295436968</v>
      </c>
      <c r="AI33" s="82">
        <v>89497.293116782675</v>
      </c>
      <c r="AJ33" s="83">
        <v>190181.7478731632</v>
      </c>
      <c r="AK33" s="82">
        <v>123058.77803557618</v>
      </c>
      <c r="AL33" s="82">
        <v>156620.26295436968</v>
      </c>
      <c r="AM33" s="82">
        <v>201368.90951276102</v>
      </c>
      <c r="AN33" s="82">
        <v>100684.45475638051</v>
      </c>
      <c r="AO33" s="82">
        <v>78310.131477184841</v>
      </c>
      <c r="AP33" s="82">
        <v>111871.61639597834</v>
      </c>
      <c r="AQ33" s="82">
        <v>246117.55607115236</v>
      </c>
      <c r="AR33" s="82">
        <v>111871.61639597834</v>
      </c>
      <c r="AS33" s="82">
        <v>178994.58623356535</v>
      </c>
      <c r="AT33" s="82">
        <v>290866.20262954372</v>
      </c>
      <c r="AU33" s="82">
        <v>100684.45475638051</v>
      </c>
      <c r="AV33" s="83">
        <v>89497.293116782675</v>
      </c>
      <c r="AW33" s="82">
        <v>100684.45475638051</v>
      </c>
      <c r="AX33" s="82">
        <v>201368.90951276102</v>
      </c>
      <c r="AY33" s="82">
        <v>167807.4245939675</v>
      </c>
      <c r="AZ33" s="82">
        <v>111871.61639597834</v>
      </c>
      <c r="BA33" s="82">
        <v>100684.45475638051</v>
      </c>
      <c r="BB33" s="82">
        <v>111871.61639597834</v>
      </c>
      <c r="BC33" s="82">
        <v>302053.36426914152</v>
      </c>
    </row>
    <row r="34" spans="1:57" s="68" customFormat="1" ht="24" customHeight="1" x14ac:dyDescent="0.3">
      <c r="A34" s="133"/>
      <c r="B34" s="67" t="s">
        <v>167</v>
      </c>
      <c r="C34" s="67">
        <f t="shared" si="6"/>
        <v>1568445.4756380506</v>
      </c>
      <c r="D34" s="82">
        <v>18561.484918793503</v>
      </c>
      <c r="E34" s="83">
        <v>39443.155452436193</v>
      </c>
      <c r="F34" s="83">
        <v>32482.598607888631</v>
      </c>
      <c r="G34" s="82">
        <v>51044.083526682138</v>
      </c>
      <c r="H34" s="83">
        <v>34802.784222737821</v>
      </c>
      <c r="I34" s="82">
        <v>30162.412993039441</v>
      </c>
      <c r="J34" s="82">
        <v>30162.412993039441</v>
      </c>
      <c r="K34" s="82">
        <v>23201.856148491879</v>
      </c>
      <c r="L34" s="83">
        <v>44083.526682134572</v>
      </c>
      <c r="M34" s="82">
        <v>41763.341067285379</v>
      </c>
      <c r="N34" s="82">
        <v>34802.784222737821</v>
      </c>
      <c r="O34" s="82">
        <v>39443.155452436193</v>
      </c>
      <c r="P34" s="82">
        <v>41763.341067285379</v>
      </c>
      <c r="Q34" s="82">
        <v>23201.856148491879</v>
      </c>
      <c r="R34" s="82">
        <v>27842.227378190255</v>
      </c>
      <c r="S34" s="82">
        <v>20881.670533642689</v>
      </c>
      <c r="T34" s="83">
        <v>20881.670533642689</v>
      </c>
      <c r="U34" s="82">
        <v>48723.897911832944</v>
      </c>
      <c r="V34" s="83">
        <v>23201.856148491879</v>
      </c>
      <c r="W34" s="83">
        <v>25522.041763341069</v>
      </c>
      <c r="X34" s="82">
        <v>18561.484918793503</v>
      </c>
      <c r="Y34" s="82">
        <v>16241.299303944315</v>
      </c>
      <c r="Z34" s="82">
        <v>30162.412993039441</v>
      </c>
      <c r="AA34" s="82">
        <v>34802.784222737821</v>
      </c>
      <c r="AB34" s="82">
        <v>16241.299303944315</v>
      </c>
      <c r="AC34" s="82">
        <v>20881.670533642689</v>
      </c>
      <c r="AD34" s="82">
        <v>25522.041763341069</v>
      </c>
      <c r="AE34" s="82">
        <v>16241.299303944315</v>
      </c>
      <c r="AF34" s="82">
        <v>23201.856148491879</v>
      </c>
      <c r="AG34" s="82">
        <v>25522.041763341069</v>
      </c>
      <c r="AH34" s="82">
        <v>32482.598607888631</v>
      </c>
      <c r="AI34" s="82">
        <v>18561.484918793503</v>
      </c>
      <c r="AJ34" s="83">
        <v>39443.155452436193</v>
      </c>
      <c r="AK34" s="82">
        <v>25522.041763341069</v>
      </c>
      <c r="AL34" s="82">
        <v>32482.598607888631</v>
      </c>
      <c r="AM34" s="82">
        <v>41763.341067285379</v>
      </c>
      <c r="AN34" s="82">
        <v>20881.670533642689</v>
      </c>
      <c r="AO34" s="82">
        <v>16241.299303944315</v>
      </c>
      <c r="AP34" s="82">
        <v>23201.856148491879</v>
      </c>
      <c r="AQ34" s="82">
        <v>51044.083526682138</v>
      </c>
      <c r="AR34" s="82">
        <v>23201.856148491879</v>
      </c>
      <c r="AS34" s="82">
        <v>37122.969837587007</v>
      </c>
      <c r="AT34" s="82">
        <v>60324.825986078882</v>
      </c>
      <c r="AU34" s="82">
        <v>20881.670533642689</v>
      </c>
      <c r="AV34" s="83">
        <v>18561.484918793503</v>
      </c>
      <c r="AW34" s="82">
        <v>20881.670533642689</v>
      </c>
      <c r="AX34" s="82">
        <v>41763.341067285379</v>
      </c>
      <c r="AY34" s="82">
        <v>34802.784222737821</v>
      </c>
      <c r="AZ34" s="82">
        <v>23201.856148491879</v>
      </c>
      <c r="BA34" s="82">
        <v>20881.670533642689</v>
      </c>
      <c r="BB34" s="82">
        <v>23201.856148491879</v>
      </c>
      <c r="BC34" s="82">
        <v>62645.011600928075</v>
      </c>
    </row>
    <row r="35" spans="1:57" s="68" customFormat="1" ht="21.5" customHeight="1" x14ac:dyDescent="0.3">
      <c r="A35" s="133"/>
      <c r="B35" s="67" t="s">
        <v>35</v>
      </c>
      <c r="C35" s="67">
        <f t="shared" si="6"/>
        <v>22535344.0804331</v>
      </c>
      <c r="D35" s="82">
        <v>266690.46249033255</v>
      </c>
      <c r="E35" s="83">
        <v>566717.23279195663</v>
      </c>
      <c r="F35" s="83">
        <v>466708.30935808195</v>
      </c>
      <c r="G35" s="82">
        <v>733398.77184841456</v>
      </c>
      <c r="H35" s="83">
        <v>500044.61716937355</v>
      </c>
      <c r="I35" s="82">
        <v>433372.00154679036</v>
      </c>
      <c r="J35" s="82">
        <v>433372.00154679036</v>
      </c>
      <c r="K35" s="82">
        <v>333363.07811291568</v>
      </c>
      <c r="L35" s="83">
        <v>633389.84841453983</v>
      </c>
      <c r="M35" s="82">
        <v>600053.54060324817</v>
      </c>
      <c r="N35" s="82">
        <v>500044.61716937355</v>
      </c>
      <c r="O35" s="82">
        <v>566717.23279195663</v>
      </c>
      <c r="P35" s="82">
        <v>600053.54060324817</v>
      </c>
      <c r="Q35" s="82">
        <v>333363.07811291568</v>
      </c>
      <c r="R35" s="82">
        <v>400035.69373549882</v>
      </c>
      <c r="S35" s="82">
        <v>300026.77030162408</v>
      </c>
      <c r="T35" s="83">
        <v>300026.77030162408</v>
      </c>
      <c r="U35" s="82">
        <v>700062.4640371229</v>
      </c>
      <c r="V35" s="83">
        <v>333363.07811291568</v>
      </c>
      <c r="W35" s="83">
        <v>366699.38592420728</v>
      </c>
      <c r="X35" s="82">
        <v>266690.46249033255</v>
      </c>
      <c r="Y35" s="82">
        <v>233354.15467904098</v>
      </c>
      <c r="Z35" s="82">
        <v>433372.00154679036</v>
      </c>
      <c r="AA35" s="82">
        <v>500044.61716937355</v>
      </c>
      <c r="AB35" s="82">
        <v>233354.15467904098</v>
      </c>
      <c r="AC35" s="82">
        <v>300026.77030162408</v>
      </c>
      <c r="AD35" s="82">
        <v>366699.38592420728</v>
      </c>
      <c r="AE35" s="82">
        <v>233354.15467904098</v>
      </c>
      <c r="AF35" s="82">
        <v>333363.07811291568</v>
      </c>
      <c r="AG35" s="82">
        <v>366699.38592420728</v>
      </c>
      <c r="AH35" s="82">
        <v>466708.30935808195</v>
      </c>
      <c r="AI35" s="82">
        <v>266690.46249033255</v>
      </c>
      <c r="AJ35" s="83">
        <v>566717.23279195663</v>
      </c>
      <c r="AK35" s="82">
        <v>366699.38592420728</v>
      </c>
      <c r="AL35" s="82">
        <v>466708.30935808195</v>
      </c>
      <c r="AM35" s="82">
        <v>600053.54060324817</v>
      </c>
      <c r="AN35" s="82">
        <v>300026.77030162408</v>
      </c>
      <c r="AO35" s="82">
        <v>233354.15467904098</v>
      </c>
      <c r="AP35" s="82">
        <v>333363.07811291568</v>
      </c>
      <c r="AQ35" s="82">
        <v>733398.77184841456</v>
      </c>
      <c r="AR35" s="82">
        <v>333363.07811291568</v>
      </c>
      <c r="AS35" s="82">
        <v>533380.92498066509</v>
      </c>
      <c r="AT35" s="82">
        <v>866744.00309358072</v>
      </c>
      <c r="AU35" s="82">
        <v>300026.77030162408</v>
      </c>
      <c r="AV35" s="83">
        <v>266690.46249033255</v>
      </c>
      <c r="AW35" s="82">
        <v>300026.77030162408</v>
      </c>
      <c r="AX35" s="82">
        <v>600053.54060324817</v>
      </c>
      <c r="AY35" s="82">
        <v>500044.61716937355</v>
      </c>
      <c r="AZ35" s="82">
        <v>333363.07811291568</v>
      </c>
      <c r="BA35" s="82">
        <v>300026.77030162408</v>
      </c>
      <c r="BB35" s="82">
        <v>333363.07811291568</v>
      </c>
      <c r="BC35" s="82">
        <v>900080.31090487237</v>
      </c>
    </row>
    <row r="36" spans="1:57" s="68" customFormat="1" ht="21" customHeight="1" x14ac:dyDescent="0.3">
      <c r="A36" s="133"/>
      <c r="B36" s="67" t="s">
        <v>36</v>
      </c>
      <c r="C36" s="67">
        <f t="shared" si="6"/>
        <v>22450000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460000</v>
      </c>
      <c r="J36" s="82">
        <v>460000</v>
      </c>
      <c r="K36" s="82">
        <v>460000</v>
      </c>
      <c r="L36" s="83">
        <v>460000</v>
      </c>
      <c r="M36" s="82">
        <v>460000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2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2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6"/>
        <v>8295630.317092034</v>
      </c>
      <c r="D37" s="82">
        <v>102374.32327919567</v>
      </c>
      <c r="E37" s="83">
        <v>206295.4369682908</v>
      </c>
      <c r="F37" s="83">
        <v>171655.06573859241</v>
      </c>
      <c r="G37" s="82">
        <v>264029.38901778811</v>
      </c>
      <c r="H37" s="83">
        <v>183201.85614849188</v>
      </c>
      <c r="I37" s="82">
        <v>160108.27532869295</v>
      </c>
      <c r="J37" s="82">
        <v>160108.27532869295</v>
      </c>
      <c r="K37" s="82">
        <v>125467.90409899459</v>
      </c>
      <c r="L37" s="83">
        <v>229389.01778808972</v>
      </c>
      <c r="M37" s="82">
        <v>217842.22737819026</v>
      </c>
      <c r="N37" s="82">
        <v>183201.85614849188</v>
      </c>
      <c r="O37" s="82">
        <v>206295.4369682908</v>
      </c>
      <c r="P37" s="82">
        <v>217842.22737819026</v>
      </c>
      <c r="Q37" s="82">
        <v>125467.90409899459</v>
      </c>
      <c r="R37" s="82">
        <v>148561.48491879349</v>
      </c>
      <c r="S37" s="82">
        <v>113921.11368909513</v>
      </c>
      <c r="T37" s="83">
        <v>113921.11368909513</v>
      </c>
      <c r="U37" s="82">
        <v>252482.59860788862</v>
      </c>
      <c r="V37" s="83">
        <v>125467.90409899459</v>
      </c>
      <c r="W37" s="83">
        <v>137014.69450889406</v>
      </c>
      <c r="X37" s="82">
        <v>102374.32327919567</v>
      </c>
      <c r="Y37" s="82">
        <v>90827.532869296207</v>
      </c>
      <c r="Z37" s="82">
        <v>160108.27532869295</v>
      </c>
      <c r="AA37" s="82">
        <v>183201.85614849188</v>
      </c>
      <c r="AB37" s="82">
        <v>90827.532869296207</v>
      </c>
      <c r="AC37" s="82">
        <v>113921.11368909513</v>
      </c>
      <c r="AD37" s="82">
        <v>137014.69450889406</v>
      </c>
      <c r="AE37" s="82">
        <v>90827.532869296207</v>
      </c>
      <c r="AF37" s="82">
        <v>125467.90409899459</v>
      </c>
      <c r="AG37" s="82">
        <v>137014.69450889406</v>
      </c>
      <c r="AH37" s="82">
        <v>171655.06573859241</v>
      </c>
      <c r="AI37" s="82">
        <v>102374.32327919567</v>
      </c>
      <c r="AJ37" s="83">
        <v>206295.4369682908</v>
      </c>
      <c r="AK37" s="82">
        <v>137014.69450889406</v>
      </c>
      <c r="AL37" s="82">
        <v>171655.06573859241</v>
      </c>
      <c r="AM37" s="82">
        <v>217842.22737819026</v>
      </c>
      <c r="AN37" s="82">
        <v>113921.11368909513</v>
      </c>
      <c r="AO37" s="82">
        <v>90827.532869296207</v>
      </c>
      <c r="AP37" s="82">
        <v>125467.90409899459</v>
      </c>
      <c r="AQ37" s="82">
        <v>264029.38901778811</v>
      </c>
      <c r="AR37" s="82">
        <v>125467.90409899459</v>
      </c>
      <c r="AS37" s="82">
        <v>194748.64655839134</v>
      </c>
      <c r="AT37" s="82">
        <v>290216.5506573859</v>
      </c>
      <c r="AU37" s="82">
        <v>113921.11368909513</v>
      </c>
      <c r="AV37" s="83">
        <v>102374.32327919567</v>
      </c>
      <c r="AW37" s="82">
        <v>113921.11368909513</v>
      </c>
      <c r="AX37" s="82">
        <v>217842.22737819026</v>
      </c>
      <c r="AY37" s="82">
        <v>183201.85614849188</v>
      </c>
      <c r="AZ37" s="82">
        <v>115467.90409899459</v>
      </c>
      <c r="BA37" s="82">
        <v>113921.11368909513</v>
      </c>
      <c r="BB37" s="82">
        <v>125467.90409899459</v>
      </c>
      <c r="BC37" s="82">
        <v>321763.34106728539</v>
      </c>
    </row>
    <row r="38" spans="1:57" s="68" customFormat="1" ht="24" customHeight="1" x14ac:dyDescent="0.3">
      <c r="A38" s="133"/>
      <c r="B38" s="67" t="s">
        <v>38</v>
      </c>
      <c r="C38" s="67">
        <f t="shared" si="6"/>
        <v>11501933.488012368</v>
      </c>
      <c r="D38" s="82">
        <v>136117.55607115236</v>
      </c>
      <c r="E38" s="83">
        <v>289249.80665119877</v>
      </c>
      <c r="F38" s="83">
        <v>238205.72312451663</v>
      </c>
      <c r="G38" s="82">
        <v>374323.27919566899</v>
      </c>
      <c r="H38" s="83">
        <v>255220.41763341066</v>
      </c>
      <c r="I38" s="82">
        <v>221191.02861562258</v>
      </c>
      <c r="J38" s="82">
        <v>221191.02861562258</v>
      </c>
      <c r="K38" s="82">
        <v>170146.94508894044</v>
      </c>
      <c r="L38" s="83">
        <v>323279.19566898682</v>
      </c>
      <c r="M38" s="82">
        <v>306264.50116009283</v>
      </c>
      <c r="N38" s="83">
        <v>255220.41763341066</v>
      </c>
      <c r="O38" s="82">
        <v>289249.80665119877</v>
      </c>
      <c r="P38" s="82">
        <v>306264.50116009283</v>
      </c>
      <c r="Q38" s="82">
        <v>170146.94508894044</v>
      </c>
      <c r="R38" s="82">
        <v>204176.33410672855</v>
      </c>
      <c r="S38" s="82">
        <v>153132.25058004641</v>
      </c>
      <c r="T38" s="83">
        <v>153132.25058004641</v>
      </c>
      <c r="U38" s="82">
        <v>357308.58468677494</v>
      </c>
      <c r="V38" s="83">
        <v>170146.94508894044</v>
      </c>
      <c r="W38" s="83">
        <v>187161.6395978345</v>
      </c>
      <c r="X38" s="82">
        <v>136117.55607115236</v>
      </c>
      <c r="Y38" s="82">
        <v>119102.86156225832</v>
      </c>
      <c r="Z38" s="82">
        <v>221191.02861562258</v>
      </c>
      <c r="AA38" s="82">
        <v>255220.41763341066</v>
      </c>
      <c r="AB38" s="82">
        <v>119102.86156225832</v>
      </c>
      <c r="AC38" s="82">
        <v>153132.25058004641</v>
      </c>
      <c r="AD38" s="82">
        <v>187161.6395978345</v>
      </c>
      <c r="AE38" s="82">
        <v>119102.86156225832</v>
      </c>
      <c r="AF38" s="82">
        <v>170146.94508894044</v>
      </c>
      <c r="AG38" s="82">
        <v>187161.6395978345</v>
      </c>
      <c r="AH38" s="82">
        <v>238205.72312451663</v>
      </c>
      <c r="AI38" s="82">
        <v>136117.55607115236</v>
      </c>
      <c r="AJ38" s="83">
        <v>289249.80665119877</v>
      </c>
      <c r="AK38" s="82">
        <v>187161.6395978345</v>
      </c>
      <c r="AL38" s="82">
        <v>238205.72312451663</v>
      </c>
      <c r="AM38" s="82">
        <v>306264.50116009283</v>
      </c>
      <c r="AN38" s="82">
        <v>153132.25058004641</v>
      </c>
      <c r="AO38" s="82">
        <v>119102.86156225832</v>
      </c>
      <c r="AP38" s="82">
        <v>170146.94508894044</v>
      </c>
      <c r="AQ38" s="82">
        <v>374323.27919566899</v>
      </c>
      <c r="AR38" s="82">
        <v>170146.94508894044</v>
      </c>
      <c r="AS38" s="82">
        <v>272235.11214230472</v>
      </c>
      <c r="AT38" s="82">
        <v>442382.05723124515</v>
      </c>
      <c r="AU38" s="82">
        <v>153132.25058004641</v>
      </c>
      <c r="AV38" s="83">
        <v>136117.55607115236</v>
      </c>
      <c r="AW38" s="82">
        <v>153132.25058004641</v>
      </c>
      <c r="AX38" s="82">
        <v>306264.50116009283</v>
      </c>
      <c r="AY38" s="82">
        <v>255220.41763341066</v>
      </c>
      <c r="AZ38" s="82">
        <v>170146.94508894044</v>
      </c>
      <c r="BA38" s="82">
        <v>153132.25058004641</v>
      </c>
      <c r="BB38" s="82">
        <v>170146.94508894044</v>
      </c>
      <c r="BC38" s="82">
        <v>459396.75174013921</v>
      </c>
    </row>
    <row r="39" spans="1:57" s="68" customFormat="1" ht="21" customHeight="1" x14ac:dyDescent="0.35">
      <c r="A39" s="133"/>
      <c r="B39" s="67" t="s">
        <v>39</v>
      </c>
      <c r="C39" s="67">
        <f t="shared" si="6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V39" s="83"/>
      <c r="W39" s="83"/>
      <c r="AJ39" s="83"/>
      <c r="AV39" s="83"/>
    </row>
    <row r="40" spans="1:57" s="68" customFormat="1" ht="25.5" customHeight="1" x14ac:dyDescent="0.3">
      <c r="A40" s="134"/>
      <c r="B40" s="67" t="s">
        <v>40</v>
      </c>
      <c r="C40" s="67">
        <f t="shared" si="6"/>
        <v>50389969.565351903</v>
      </c>
      <c r="D40" s="82">
        <v>596331.00077339518</v>
      </c>
      <c r="E40" s="83">
        <v>1267203.3766434647</v>
      </c>
      <c r="F40" s="83">
        <v>1043579.2513534415</v>
      </c>
      <c r="G40" s="82">
        <v>1639910.2521268367</v>
      </c>
      <c r="H40" s="83">
        <v>1118120.626450116</v>
      </c>
      <c r="I40" s="82">
        <v>969037.87625676719</v>
      </c>
      <c r="J40" s="82">
        <v>969037.87625676719</v>
      </c>
      <c r="K40" s="82">
        <v>745413.75096674403</v>
      </c>
      <c r="L40" s="83">
        <v>1416286.1268368135</v>
      </c>
      <c r="M40" s="82">
        <v>1341744.7517401392</v>
      </c>
      <c r="N40" s="82">
        <v>1118120.626450116</v>
      </c>
      <c r="O40" s="83">
        <v>1267203.3766434647</v>
      </c>
      <c r="P40" s="83">
        <v>1341744.7517401392</v>
      </c>
      <c r="Q40" s="83">
        <v>745413.75096674403</v>
      </c>
      <c r="R40" s="83">
        <v>894496.50116009277</v>
      </c>
      <c r="S40" s="83">
        <v>670872.37587006961</v>
      </c>
      <c r="T40" s="83">
        <v>670872.37587006961</v>
      </c>
      <c r="U40" s="83">
        <v>1565368.8770301624</v>
      </c>
      <c r="V40" s="83">
        <v>745413.75096674403</v>
      </c>
      <c r="W40" s="83">
        <v>819955.12606341834</v>
      </c>
      <c r="X40" s="83">
        <v>596331.00077339518</v>
      </c>
      <c r="Y40" s="83">
        <v>521789.62567672075</v>
      </c>
      <c r="Z40" s="83">
        <v>969037.87625676719</v>
      </c>
      <c r="AA40" s="83">
        <v>1118120.626450116</v>
      </c>
      <c r="AB40" s="83">
        <v>521789.62567672075</v>
      </c>
      <c r="AC40" s="83">
        <v>670872.37587006961</v>
      </c>
      <c r="AD40" s="83">
        <v>819955.12606341834</v>
      </c>
      <c r="AE40" s="83">
        <v>521789.62567672075</v>
      </c>
      <c r="AF40" s="83">
        <v>745413.75096674403</v>
      </c>
      <c r="AG40" s="83">
        <v>819955.12606341834</v>
      </c>
      <c r="AH40" s="83">
        <v>1043579.2513534415</v>
      </c>
      <c r="AI40" s="83">
        <v>596331.00077339518</v>
      </c>
      <c r="AJ40" s="83">
        <v>1267203.3766434647</v>
      </c>
      <c r="AK40" s="83">
        <v>819955.12606341834</v>
      </c>
      <c r="AL40" s="83">
        <v>1043579.2513534415</v>
      </c>
      <c r="AM40" s="83">
        <v>1341744.7517401392</v>
      </c>
      <c r="AN40" s="83">
        <v>670872.37587006961</v>
      </c>
      <c r="AO40" s="83">
        <v>521789.62567672075</v>
      </c>
      <c r="AP40" s="83">
        <v>745413.75096674403</v>
      </c>
      <c r="AQ40" s="83">
        <v>1639910.2521268367</v>
      </c>
      <c r="AR40" s="83">
        <v>745413.75096674403</v>
      </c>
      <c r="AS40" s="83">
        <v>1192662.0015467904</v>
      </c>
      <c r="AT40" s="83">
        <v>1938075.7525135344</v>
      </c>
      <c r="AU40" s="83">
        <v>670872.37587006961</v>
      </c>
      <c r="AV40" s="83">
        <v>596331.00077339518</v>
      </c>
      <c r="AW40" s="83">
        <v>670872.37587006961</v>
      </c>
      <c r="AX40" s="83">
        <v>1341744.7517401392</v>
      </c>
      <c r="AY40" s="83">
        <v>1118120.626450116</v>
      </c>
      <c r="AZ40" s="83">
        <v>745413.75096674403</v>
      </c>
      <c r="BA40" s="83">
        <v>670872.37587006961</v>
      </c>
      <c r="BB40" s="83">
        <v>745413.75096674403</v>
      </c>
      <c r="BC40" s="83">
        <v>2012617.1276102087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6"/>
        <v>110907383.08012348</v>
      </c>
      <c r="D41" s="82">
        <v>203873.7819025522</v>
      </c>
      <c r="E41" s="82">
        <v>2183232</v>
      </c>
      <c r="F41" s="82">
        <v>356503.40030911902</v>
      </c>
      <c r="G41" s="83">
        <v>1610653</v>
      </c>
      <c r="H41" s="83">
        <v>2867263</v>
      </c>
      <c r="I41" s="82">
        <v>331294.89559164731</v>
      </c>
      <c r="J41" s="82">
        <v>2131295</v>
      </c>
      <c r="K41" s="82">
        <v>754842</v>
      </c>
      <c r="L41" s="82">
        <v>484200.23201856151</v>
      </c>
      <c r="M41" s="82">
        <v>1458716</v>
      </c>
      <c r="N41" s="82">
        <v>382263.34106728539</v>
      </c>
      <c r="O41" s="68">
        <v>1443555</v>
      </c>
      <c r="P41" s="68">
        <v>2608716</v>
      </c>
      <c r="Q41" s="68">
        <v>254842.22737819026</v>
      </c>
      <c r="R41" s="68">
        <v>4955811</v>
      </c>
      <c r="S41" s="68">
        <v>1629358</v>
      </c>
      <c r="T41" s="83">
        <v>229358.00464037122</v>
      </c>
      <c r="U41" s="68">
        <v>4135169</v>
      </c>
      <c r="V41" s="83">
        <v>2214842</v>
      </c>
      <c r="W41" s="83">
        <v>2280326</v>
      </c>
      <c r="X41" s="68">
        <v>203873.7819025522</v>
      </c>
      <c r="Y41" s="68">
        <v>1778390</v>
      </c>
      <c r="Z41" s="68">
        <v>2281295</v>
      </c>
      <c r="AA41" s="68">
        <v>382263.34106728539</v>
      </c>
      <c r="AB41" s="68">
        <v>1678390</v>
      </c>
      <c r="AC41" s="68">
        <v>1629358</v>
      </c>
      <c r="AD41" s="68">
        <v>2280326</v>
      </c>
      <c r="AE41" s="68">
        <v>2133390</v>
      </c>
      <c r="AF41" s="68">
        <v>254842.22737819026</v>
      </c>
      <c r="AG41" s="68">
        <v>280326.45011600928</v>
      </c>
      <c r="AH41" s="68">
        <v>356779.11832946638</v>
      </c>
      <c r="AI41" s="68">
        <v>203873.7819025522</v>
      </c>
      <c r="AJ41" s="68">
        <v>433231.78654292342</v>
      </c>
      <c r="AK41" s="68">
        <v>280326.45011600928</v>
      </c>
      <c r="AL41" s="68">
        <v>356779.11832946638</v>
      </c>
      <c r="AM41" s="68">
        <v>3858716</v>
      </c>
      <c r="AN41" s="68">
        <v>229358.00464037122</v>
      </c>
      <c r="AO41" s="68">
        <v>178389.55916473319</v>
      </c>
      <c r="AP41" s="68">
        <v>2304842</v>
      </c>
      <c r="AQ41" s="68">
        <v>16150653</v>
      </c>
      <c r="AR41" s="68">
        <v>4804842</v>
      </c>
      <c r="AS41" s="68">
        <v>1912748</v>
      </c>
      <c r="AT41" s="68">
        <v>12962590</v>
      </c>
      <c r="AU41" s="68">
        <v>229358.00464037122</v>
      </c>
      <c r="AV41" s="83">
        <v>1498874</v>
      </c>
      <c r="AW41" s="68">
        <v>1209358</v>
      </c>
      <c r="AX41" s="68">
        <v>4358716</v>
      </c>
      <c r="AY41" s="68">
        <v>382263.34106728539</v>
      </c>
      <c r="AZ41" s="68">
        <v>254842.22737819026</v>
      </c>
      <c r="BA41" s="68">
        <v>229358.00464037122</v>
      </c>
      <c r="BB41" s="68">
        <v>3154842</v>
      </c>
      <c r="BC41" s="68">
        <v>10138074</v>
      </c>
    </row>
    <row r="42" spans="1:57" s="68" customFormat="1" ht="33" customHeight="1" x14ac:dyDescent="0.3">
      <c r="A42" s="135"/>
      <c r="B42" s="66" t="s">
        <v>43</v>
      </c>
      <c r="C42" s="67">
        <f t="shared" si="6"/>
        <v>16432000</v>
      </c>
      <c r="D42" s="82"/>
      <c r="E42" s="82">
        <v>8100000</v>
      </c>
      <c r="F42" s="82"/>
      <c r="G42" s="82">
        <v>1480000</v>
      </c>
      <c r="I42" s="82"/>
      <c r="J42" s="68">
        <v>40000</v>
      </c>
      <c r="M42" s="68">
        <v>400000</v>
      </c>
      <c r="O42" s="68">
        <v>335000</v>
      </c>
      <c r="S42" s="68">
        <v>120000</v>
      </c>
      <c r="T42" s="68">
        <v>1300000</v>
      </c>
      <c r="U42" s="68">
        <v>700000</v>
      </c>
      <c r="X42" s="68">
        <v>310000</v>
      </c>
      <c r="Y42" s="68">
        <v>150000</v>
      </c>
      <c r="Z42" s="68">
        <v>71000</v>
      </c>
      <c r="AA42" s="68">
        <v>65000</v>
      </c>
      <c r="AD42" s="68">
        <v>445000</v>
      </c>
      <c r="AH42" s="68">
        <v>80000</v>
      </c>
      <c r="AJ42" s="68">
        <v>60000</v>
      </c>
      <c r="AK42" s="68">
        <v>365000</v>
      </c>
      <c r="AL42" s="68">
        <v>200000</v>
      </c>
      <c r="AM42" s="68">
        <v>778000</v>
      </c>
      <c r="AN42" s="68">
        <v>1000000</v>
      </c>
      <c r="AX42" s="68">
        <v>150000</v>
      </c>
      <c r="AZ42" s="68">
        <v>120000</v>
      </c>
      <c r="BA42" s="68">
        <v>163000</v>
      </c>
    </row>
    <row r="43" spans="1:57" s="68" customFormat="1" ht="54.5" customHeight="1" x14ac:dyDescent="0.3">
      <c r="A43" s="135"/>
      <c r="B43" s="66" t="s">
        <v>44</v>
      </c>
      <c r="C43" s="67">
        <f t="shared" si="6"/>
        <v>27408000</v>
      </c>
      <c r="D43" s="82"/>
      <c r="E43" s="82">
        <v>1140000</v>
      </c>
      <c r="F43" s="82">
        <v>1250000</v>
      </c>
      <c r="G43" s="68">
        <v>1500000</v>
      </c>
      <c r="H43" s="68">
        <v>1100000</v>
      </c>
      <c r="I43" s="82">
        <v>1721500</v>
      </c>
      <c r="J43" s="82">
        <v>470000</v>
      </c>
      <c r="K43" s="68">
        <v>150000</v>
      </c>
      <c r="L43" s="82"/>
      <c r="M43" s="82">
        <v>517500</v>
      </c>
      <c r="N43" s="68">
        <v>700000</v>
      </c>
      <c r="O43" s="68">
        <v>1680000</v>
      </c>
      <c r="R43" s="68">
        <v>760000</v>
      </c>
      <c r="T43" s="68">
        <v>262000</v>
      </c>
      <c r="U43" s="68">
        <v>750000</v>
      </c>
      <c r="V43" s="68">
        <v>505000</v>
      </c>
      <c r="W43" s="68">
        <v>220000</v>
      </c>
      <c r="X43" s="68">
        <v>1170000</v>
      </c>
      <c r="Y43" s="68">
        <v>712667</v>
      </c>
      <c r="AA43" s="68">
        <v>500000</v>
      </c>
      <c r="AB43" s="68">
        <v>200000</v>
      </c>
      <c r="AD43" s="68">
        <v>570000</v>
      </c>
      <c r="AG43" s="68">
        <v>320000</v>
      </c>
      <c r="AH43" s="68">
        <v>525000</v>
      </c>
      <c r="AJ43" s="68">
        <v>1450000</v>
      </c>
      <c r="AK43" s="68">
        <v>893333</v>
      </c>
      <c r="AM43" s="68">
        <v>1320000</v>
      </c>
      <c r="AN43" s="68">
        <v>35000</v>
      </c>
      <c r="AP43" s="68">
        <v>50000</v>
      </c>
      <c r="AQ43" s="68">
        <v>4499000</v>
      </c>
      <c r="AR43" s="68">
        <v>470000</v>
      </c>
      <c r="AS43" s="68">
        <v>208000</v>
      </c>
      <c r="AT43" s="68">
        <v>300000</v>
      </c>
      <c r="AV43" s="68">
        <v>484000</v>
      </c>
      <c r="AW43" s="68">
        <v>200000</v>
      </c>
      <c r="AX43" s="68">
        <v>415000</v>
      </c>
      <c r="AZ43" s="68">
        <v>260000</v>
      </c>
      <c r="BB43" s="68">
        <v>100000</v>
      </c>
    </row>
    <row r="44" spans="1:57" s="93" customFormat="1" ht="13" x14ac:dyDescent="0.3">
      <c r="A44" s="91" t="s">
        <v>45</v>
      </c>
      <c r="B44" s="92"/>
      <c r="C44" s="62">
        <f t="shared" ref="C44:BC44" si="7">SUM(C30:C43)</f>
        <v>362395170.32857513</v>
      </c>
      <c r="D44" s="92">
        <f t="shared" si="7"/>
        <v>2826078.1045769746</v>
      </c>
      <c r="E44" s="92">
        <f>SUM(E30:E43)</f>
        <v>16471143.009859059</v>
      </c>
      <c r="F44" s="92">
        <f t="shared" si="7"/>
        <v>5613384.6397988452</v>
      </c>
      <c r="G44" s="92">
        <f t="shared" si="7"/>
        <v>10543499.426265227</v>
      </c>
      <c r="H44" s="92">
        <f t="shared" si="7"/>
        <v>8459139.6104604192</v>
      </c>
      <c r="I44" s="92">
        <f t="shared" si="7"/>
        <v>6182747.08195154</v>
      </c>
      <c r="J44" s="92">
        <f t="shared" si="7"/>
        <v>6828777.6044412963</v>
      </c>
      <c r="K44" s="92">
        <f t="shared" si="7"/>
        <v>4243477.3787009306</v>
      </c>
      <c r="L44" s="92">
        <f t="shared" si="7"/>
        <v>6695802.5042660264</v>
      </c>
      <c r="M44" s="92">
        <f t="shared" si="7"/>
        <v>8086450.1919089882</v>
      </c>
      <c r="N44" s="92">
        <f t="shared" si="7"/>
        <v>5127855.7665503537</v>
      </c>
      <c r="O44" s="92">
        <f t="shared" si="7"/>
        <v>8463264.037911037</v>
      </c>
      <c r="P44" s="92">
        <f t="shared" si="7"/>
        <v>7949525.0882384116</v>
      </c>
      <c r="Q44" s="92">
        <f t="shared" si="7"/>
        <v>3593282.08247652</v>
      </c>
      <c r="R44" s="92">
        <f t="shared" si="7"/>
        <v>9378290.3337458521</v>
      </c>
      <c r="S44" s="92">
        <f t="shared" si="7"/>
        <v>4465008.8863109052</v>
      </c>
      <c r="T44" s="92">
        <f t="shared" si="7"/>
        <v>4562674.8176993337</v>
      </c>
      <c r="U44" s="92">
        <f t="shared" si="7"/>
        <v>11316828.175754251</v>
      </c>
      <c r="V44" s="92">
        <f t="shared" si="7"/>
        <v>5677213.7389573622</v>
      </c>
      <c r="W44" s="92">
        <f t="shared" si="7"/>
        <v>5816785.9672112269</v>
      </c>
      <c r="X44" s="92">
        <f t="shared" si="7"/>
        <v>4209489.344279293</v>
      </c>
      <c r="Y44" s="92">
        <f t="shared" si="7"/>
        <v>4809473.6391737144</v>
      </c>
      <c r="Z44" s="92">
        <f t="shared" si="7"/>
        <v>5963191.7533621918</v>
      </c>
      <c r="AA44" s="92">
        <f t="shared" si="7"/>
        <v>5882492.1313645141</v>
      </c>
      <c r="AB44" s="92">
        <f t="shared" si="7"/>
        <v>4395504.8304576138</v>
      </c>
      <c r="AC44" s="92">
        <f t="shared" si="7"/>
        <v>4565821.47144832</v>
      </c>
      <c r="AD44" s="92">
        <f t="shared" si="7"/>
        <v>5625899.3054911066</v>
      </c>
      <c r="AE44" s="92">
        <f t="shared" si="7"/>
        <v>4341891.2294000015</v>
      </c>
      <c r="AF44" s="92">
        <f t="shared" si="7"/>
        <v>3687858.5785983438</v>
      </c>
      <c r="AG44" s="92">
        <f t="shared" si="7"/>
        <v>3055899.7556071156</v>
      </c>
      <c r="AH44" s="92">
        <f t="shared" si="7"/>
        <v>5435383.1325780917</v>
      </c>
      <c r="AI44" s="92">
        <f t="shared" si="7"/>
        <v>2775883.2371818079</v>
      </c>
      <c r="AJ44" s="92">
        <f t="shared" si="7"/>
        <v>7127900.9718534332</v>
      </c>
      <c r="AK44" s="92">
        <f t="shared" si="7"/>
        <v>5479561.3778859163</v>
      </c>
      <c r="AL44" s="92">
        <f t="shared" si="7"/>
        <v>4828738.4029910769</v>
      </c>
      <c r="AM44" s="92">
        <f t="shared" si="7"/>
        <v>11296452.173733406</v>
      </c>
      <c r="AN44" s="92">
        <f t="shared" si="7"/>
        <v>4326511.1243946627</v>
      </c>
      <c r="AO44" s="92">
        <f t="shared" si="7"/>
        <v>2607141.6483426807</v>
      </c>
      <c r="AP44" s="92">
        <f t="shared" si="7"/>
        <v>5623960.1281413324</v>
      </c>
      <c r="AQ44" s="92">
        <f t="shared" si="7"/>
        <v>26820076.195925623</v>
      </c>
      <c r="AR44" s="92">
        <f t="shared" si="7"/>
        <v>8613658.6413555499</v>
      </c>
      <c r="AS44" s="92">
        <f t="shared" si="7"/>
        <v>7068707.9641406639</v>
      </c>
      <c r="AT44" s="92">
        <f t="shared" si="7"/>
        <v>21094684.672085062</v>
      </c>
      <c r="AU44" s="92">
        <f t="shared" si="7"/>
        <v>3269580.3195227045</v>
      </c>
      <c r="AV44" s="92">
        <f t="shared" si="7"/>
        <v>4573195.2840219438</v>
      </c>
      <c r="AW44" s="92">
        <f t="shared" si="7"/>
        <v>4558983.5306046763</v>
      </c>
      <c r="AX44" s="92">
        <f t="shared" si="7"/>
        <v>10731447.91730874</v>
      </c>
      <c r="AY44" s="92">
        <f t="shared" si="7"/>
        <v>5668111.6296057235</v>
      </c>
      <c r="AZ44" s="92">
        <f t="shared" si="7"/>
        <v>3745673.0316219786</v>
      </c>
      <c r="BA44" s="92">
        <f t="shared" si="7"/>
        <v>3465358.1753364098</v>
      </c>
      <c r="BB44" s="92">
        <f t="shared" si="7"/>
        <v>6422630.3433399051</v>
      </c>
      <c r="BC44" s="92">
        <f t="shared" si="7"/>
        <v>18022779.940337017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2919294812.2452416</v>
      </c>
      <c r="D45" s="95">
        <f t="shared" ref="D45:BC45" si="8">D29+D44</f>
        <v>32228267.104576975</v>
      </c>
      <c r="E45" s="95">
        <f t="shared" si="8"/>
        <v>76482330.009859055</v>
      </c>
      <c r="F45" s="95">
        <f t="shared" si="8"/>
        <v>62168649.306465507</v>
      </c>
      <c r="G45" s="95">
        <f t="shared" si="8"/>
        <v>72577008.426265225</v>
      </c>
      <c r="H45" s="95">
        <f t="shared" si="8"/>
        <v>70572546.610460415</v>
      </c>
      <c r="I45" s="95">
        <f t="shared" si="8"/>
        <v>51815517.465284869</v>
      </c>
      <c r="J45" s="95">
        <f t="shared" si="8"/>
        <v>53024682.804441303</v>
      </c>
      <c r="K45" s="95">
        <f t="shared" si="8"/>
        <v>34834165.378700927</v>
      </c>
      <c r="L45" s="95">
        <f t="shared" si="8"/>
        <v>92325707.170932695</v>
      </c>
      <c r="M45" s="95">
        <f t="shared" si="8"/>
        <v>85916739.858575642</v>
      </c>
      <c r="N45" s="95">
        <f t="shared" si="8"/>
        <v>58695057.766550355</v>
      </c>
      <c r="O45" s="95">
        <f t="shared" si="8"/>
        <v>72690325.037911043</v>
      </c>
      <c r="P45" s="95">
        <f t="shared" si="8"/>
        <v>87033752.088238418</v>
      </c>
      <c r="Q45" s="95">
        <f t="shared" si="8"/>
        <v>40915516.082476519</v>
      </c>
      <c r="R45" s="95">
        <f t="shared" si="8"/>
        <v>60400549.333745852</v>
      </c>
      <c r="S45" s="95">
        <f t="shared" si="8"/>
        <v>36684022.886310905</v>
      </c>
      <c r="T45" s="95">
        <f t="shared" si="8"/>
        <v>19786839.817699336</v>
      </c>
      <c r="U45" s="95">
        <f t="shared" si="8"/>
        <v>86062029.175754249</v>
      </c>
      <c r="V45" s="95">
        <f t="shared" si="8"/>
        <v>44106044.072290689</v>
      </c>
      <c r="W45" s="95">
        <f t="shared" si="8"/>
        <v>50614484.633877888</v>
      </c>
      <c r="X45" s="95">
        <f t="shared" si="8"/>
        <v>33929658.010945961</v>
      </c>
      <c r="Y45" s="95">
        <f t="shared" si="8"/>
        <v>23016695.639173716</v>
      </c>
      <c r="Z45" s="95">
        <f t="shared" si="8"/>
        <v>61329253.753362194</v>
      </c>
      <c r="AA45" s="95">
        <f t="shared" si="8"/>
        <v>58400076.464697853</v>
      </c>
      <c r="AB45" s="95">
        <f t="shared" si="8"/>
        <v>18750362.830457613</v>
      </c>
      <c r="AC45" s="95">
        <f t="shared" si="8"/>
        <v>40872141.471448317</v>
      </c>
      <c r="AD45" s="95">
        <f t="shared" si="8"/>
        <v>52188025.905491106</v>
      </c>
      <c r="AE45" s="95">
        <f t="shared" si="8"/>
        <v>20575987.6294</v>
      </c>
      <c r="AF45" s="95">
        <f t="shared" si="8"/>
        <v>48635222.578598343</v>
      </c>
      <c r="AG45" s="95">
        <f t="shared" si="8"/>
        <v>39509025.422273785</v>
      </c>
      <c r="AH45" s="95">
        <f t="shared" si="8"/>
        <v>52772412.13257809</v>
      </c>
      <c r="AI45" s="95">
        <f t="shared" si="8"/>
        <v>16430648.237181809</v>
      </c>
      <c r="AJ45" s="95">
        <f t="shared" si="8"/>
        <v>86215746.971853435</v>
      </c>
      <c r="AK45" s="95">
        <f t="shared" si="8"/>
        <v>49651705.377885915</v>
      </c>
      <c r="AL45" s="95">
        <f t="shared" si="8"/>
        <v>47091723.402991079</v>
      </c>
      <c r="AM45" s="95">
        <f t="shared" si="8"/>
        <v>74111327.173733413</v>
      </c>
      <c r="AN45" s="95">
        <f t="shared" si="8"/>
        <v>28523534.124394663</v>
      </c>
      <c r="AO45" s="95">
        <f t="shared" si="8"/>
        <v>16281088.315009346</v>
      </c>
      <c r="AP45" s="95">
        <f t="shared" si="8"/>
        <v>48833632.128141329</v>
      </c>
      <c r="AQ45" s="95">
        <f t="shared" si="8"/>
        <v>124452022.19592562</v>
      </c>
      <c r="AR45" s="95">
        <f t="shared" si="8"/>
        <v>41065858.641355552</v>
      </c>
      <c r="AS45" s="95">
        <f t="shared" si="8"/>
        <v>73325678.964140669</v>
      </c>
      <c r="AT45" s="95">
        <f t="shared" si="8"/>
        <v>157335139.67208505</v>
      </c>
      <c r="AU45" s="95">
        <f t="shared" si="8"/>
        <v>34539235.986189373</v>
      </c>
      <c r="AV45" s="95">
        <f t="shared" si="8"/>
        <v>36922620.617355272</v>
      </c>
      <c r="AW45" s="95">
        <f t="shared" si="8"/>
        <v>32958621.530604675</v>
      </c>
      <c r="AX45" s="95">
        <f t="shared" si="8"/>
        <v>84903801.917308748</v>
      </c>
      <c r="AY45" s="95">
        <f t="shared" si="8"/>
        <v>70601018.629605725</v>
      </c>
      <c r="AZ45" s="95">
        <f t="shared" si="8"/>
        <v>44786101.031621978</v>
      </c>
      <c r="BA45" s="95">
        <f t="shared" si="8"/>
        <v>25926189.175336409</v>
      </c>
      <c r="BB45" s="95">
        <f t="shared" si="8"/>
        <v>55674022.343339905</v>
      </c>
      <c r="BC45" s="95">
        <f t="shared" si="8"/>
        <v>130751998.94033702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9">C4-C29</f>
        <v>531639169.08333349</v>
      </c>
      <c r="D46" s="97">
        <f t="shared" si="9"/>
        <v>6556891</v>
      </c>
      <c r="E46" s="97">
        <f t="shared" si="9"/>
        <v>1649813</v>
      </c>
      <c r="F46" s="97">
        <f t="shared" si="9"/>
        <v>-6935264.6666666642</v>
      </c>
      <c r="G46" s="97">
        <f t="shared" si="9"/>
        <v>3583491</v>
      </c>
      <c r="H46" s="97">
        <f t="shared" si="9"/>
        <v>8633593</v>
      </c>
      <c r="I46" s="97">
        <f t="shared" si="9"/>
        <v>8844229.6166666672</v>
      </c>
      <c r="J46" s="97">
        <f t="shared" si="9"/>
        <v>11689094.799999997</v>
      </c>
      <c r="K46" s="97">
        <f t="shared" si="9"/>
        <v>8829312</v>
      </c>
      <c r="L46" s="97">
        <f t="shared" si="9"/>
        <v>21762095.333333328</v>
      </c>
      <c r="M46" s="97">
        <f t="shared" si="9"/>
        <v>13252210.333333343</v>
      </c>
      <c r="N46" s="97">
        <f t="shared" si="9"/>
        <v>405198</v>
      </c>
      <c r="O46" s="97">
        <f t="shared" si="9"/>
        <v>6339</v>
      </c>
      <c r="P46" s="97">
        <f t="shared" si="9"/>
        <v>10493773</v>
      </c>
      <c r="Q46" s="97">
        <f t="shared" si="9"/>
        <v>12944766</v>
      </c>
      <c r="R46" s="97">
        <f t="shared" si="9"/>
        <v>19872741</v>
      </c>
      <c r="S46" s="97">
        <f t="shared" si="9"/>
        <v>17164986</v>
      </c>
      <c r="T46" s="97">
        <f t="shared" si="9"/>
        <v>8041835</v>
      </c>
      <c r="U46" s="97">
        <f t="shared" si="9"/>
        <v>-4069201</v>
      </c>
      <c r="V46" s="97">
        <f t="shared" si="9"/>
        <v>8121169.6666666716</v>
      </c>
      <c r="W46" s="97">
        <f t="shared" si="9"/>
        <v>10372301.333333336</v>
      </c>
      <c r="X46" s="97">
        <f t="shared" si="9"/>
        <v>3822831.3333333321</v>
      </c>
      <c r="Y46" s="97">
        <f t="shared" si="9"/>
        <v>10522778</v>
      </c>
      <c r="Z46" s="97">
        <f t="shared" si="9"/>
        <v>9974938</v>
      </c>
      <c r="AA46" s="97">
        <f t="shared" si="9"/>
        <v>14132415.666666664</v>
      </c>
      <c r="AB46" s="97">
        <f t="shared" si="9"/>
        <v>8486809</v>
      </c>
      <c r="AC46" s="97">
        <f t="shared" si="9"/>
        <v>7691680</v>
      </c>
      <c r="AD46" s="97">
        <f t="shared" si="9"/>
        <v>-3540126.6000000015</v>
      </c>
      <c r="AE46" s="97">
        <f t="shared" si="9"/>
        <v>7749903.5999999996</v>
      </c>
      <c r="AF46" s="97">
        <f t="shared" si="9"/>
        <v>11545636</v>
      </c>
      <c r="AG46" s="97">
        <f t="shared" si="9"/>
        <v>2555874.3333333284</v>
      </c>
      <c r="AH46" s="97">
        <f t="shared" si="9"/>
        <v>7464971</v>
      </c>
      <c r="AI46" s="97">
        <f t="shared" si="9"/>
        <v>8220899</v>
      </c>
      <c r="AJ46" s="97">
        <f t="shared" si="9"/>
        <v>8223654</v>
      </c>
      <c r="AK46" s="97">
        <f t="shared" si="9"/>
        <v>12111856</v>
      </c>
      <c r="AL46" s="97">
        <f t="shared" si="9"/>
        <v>6407015</v>
      </c>
      <c r="AM46" s="97">
        <f t="shared" si="9"/>
        <v>11199125</v>
      </c>
      <c r="AN46" s="97">
        <f t="shared" si="9"/>
        <v>7370977</v>
      </c>
      <c r="AO46" s="97">
        <f t="shared" si="9"/>
        <v>10945053.333333334</v>
      </c>
      <c r="AP46" s="97">
        <f t="shared" si="9"/>
        <v>10102328</v>
      </c>
      <c r="AQ46" s="97">
        <f t="shared" si="9"/>
        <v>16919054</v>
      </c>
      <c r="AR46" s="97">
        <f t="shared" si="9"/>
        <v>9913800</v>
      </c>
      <c r="AS46" s="97">
        <f t="shared" si="9"/>
        <v>12651029</v>
      </c>
      <c r="AT46" s="97">
        <f t="shared" si="9"/>
        <v>36771545</v>
      </c>
      <c r="AU46" s="97">
        <f t="shared" si="9"/>
        <v>11180344.333333332</v>
      </c>
      <c r="AV46" s="97">
        <f t="shared" si="9"/>
        <v>8327974.6666666679</v>
      </c>
      <c r="AW46" s="97">
        <f t="shared" si="9"/>
        <v>8144362</v>
      </c>
      <c r="AX46" s="97">
        <f t="shared" si="9"/>
        <v>21074646</v>
      </c>
      <c r="AY46" s="97">
        <f t="shared" si="9"/>
        <v>20728093</v>
      </c>
      <c r="AZ46" s="97">
        <f t="shared" si="9"/>
        <v>4531772</v>
      </c>
      <c r="BA46" s="97">
        <f t="shared" si="9"/>
        <v>16597169</v>
      </c>
      <c r="BB46" s="97">
        <f t="shared" si="9"/>
        <v>11601608</v>
      </c>
      <c r="BC46" s="97">
        <f t="shared" si="9"/>
        <v>36989781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169243998.75475836</v>
      </c>
      <c r="D47" s="99">
        <f t="shared" ref="D47:BC47" si="10">D4-D45</f>
        <v>3730812.8954230249</v>
      </c>
      <c r="E47" s="99">
        <f t="shared" si="10"/>
        <v>-14821330.009859055</v>
      </c>
      <c r="F47" s="99">
        <f t="shared" si="10"/>
        <v>-12548649.306465507</v>
      </c>
      <c r="G47" s="99">
        <f t="shared" si="10"/>
        <v>-6960008.4262652248</v>
      </c>
      <c r="H47" s="99">
        <f t="shared" si="10"/>
        <v>174453.38953958452</v>
      </c>
      <c r="I47" s="99">
        <f t="shared" si="10"/>
        <v>2661482.5347151309</v>
      </c>
      <c r="J47" s="99">
        <f t="shared" si="10"/>
        <v>4860317.195558697</v>
      </c>
      <c r="K47" s="99">
        <f t="shared" si="10"/>
        <v>4585834.6212990731</v>
      </c>
      <c r="L47" s="99">
        <f t="shared" si="10"/>
        <v>15066292.829067305</v>
      </c>
      <c r="M47" s="99">
        <f t="shared" si="10"/>
        <v>5165760.1414243579</v>
      </c>
      <c r="N47" s="99">
        <f t="shared" si="10"/>
        <v>-4722657.7665503547</v>
      </c>
      <c r="O47" s="99">
        <f t="shared" si="10"/>
        <v>-8456925.0379110426</v>
      </c>
      <c r="P47" s="99">
        <f t="shared" si="10"/>
        <v>2544247.9117615819</v>
      </c>
      <c r="Q47" s="99">
        <f t="shared" si="10"/>
        <v>9351483.917523481</v>
      </c>
      <c r="R47" s="99">
        <f t="shared" si="10"/>
        <v>10494450.666254148</v>
      </c>
      <c r="S47" s="99">
        <f t="shared" si="10"/>
        <v>12699977.113689095</v>
      </c>
      <c r="T47" s="99">
        <f t="shared" si="10"/>
        <v>3479160.1823006645</v>
      </c>
      <c r="U47" s="99">
        <f t="shared" si="10"/>
        <v>-15386029.175754249</v>
      </c>
      <c r="V47" s="99">
        <f t="shared" si="10"/>
        <v>2443955.9277093112</v>
      </c>
      <c r="W47" s="99">
        <f t="shared" si="10"/>
        <v>4555515.3661221117</v>
      </c>
      <c r="X47" s="99">
        <f t="shared" si="10"/>
        <v>-386658.01094596088</v>
      </c>
      <c r="Y47" s="99">
        <f t="shared" si="10"/>
        <v>5713304.3608262837</v>
      </c>
      <c r="Z47" s="99">
        <f t="shared" si="10"/>
        <v>4011746.2466378063</v>
      </c>
      <c r="AA47" s="99">
        <f t="shared" si="10"/>
        <v>8249923.5353021473</v>
      </c>
      <c r="AB47" s="99">
        <f t="shared" si="10"/>
        <v>4091304.1695423871</v>
      </c>
      <c r="AC47" s="99">
        <f t="shared" si="10"/>
        <v>3125858.5285516828</v>
      </c>
      <c r="AD47" s="99">
        <f t="shared" si="10"/>
        <v>-9166025.9054911062</v>
      </c>
      <c r="AE47" s="99">
        <f t="shared" si="10"/>
        <v>3408012.3706</v>
      </c>
      <c r="AF47" s="99">
        <f t="shared" si="10"/>
        <v>7857777.4214016572</v>
      </c>
      <c r="AG47" s="99">
        <f t="shared" si="10"/>
        <v>-500025.42227378488</v>
      </c>
      <c r="AH47" s="99">
        <f t="shared" si="10"/>
        <v>2029587.8674219102</v>
      </c>
      <c r="AI47" s="99">
        <f t="shared" si="10"/>
        <v>5445015.7628181912</v>
      </c>
      <c r="AJ47" s="99">
        <f t="shared" si="10"/>
        <v>1095753.028146565</v>
      </c>
      <c r="AK47" s="99">
        <f t="shared" si="10"/>
        <v>6632294.6221140847</v>
      </c>
      <c r="AL47" s="99">
        <f t="shared" si="10"/>
        <v>1578276.5970089212</v>
      </c>
      <c r="AM47" s="99">
        <f t="shared" si="10"/>
        <v>-97327.173733413219</v>
      </c>
      <c r="AN47" s="99">
        <f t="shared" si="10"/>
        <v>3044465.8756053373</v>
      </c>
      <c r="AO47" s="99">
        <f t="shared" si="10"/>
        <v>8337911.6849906538</v>
      </c>
      <c r="AP47" s="99">
        <f t="shared" si="10"/>
        <v>4478367.8718586713</v>
      </c>
      <c r="AQ47" s="99">
        <f t="shared" si="10"/>
        <v>-9901022.1959256232</v>
      </c>
      <c r="AR47" s="99">
        <f t="shared" si="10"/>
        <v>1300141.3586444482</v>
      </c>
      <c r="AS47" s="99">
        <f t="shared" si="10"/>
        <v>5582321.0358593315</v>
      </c>
      <c r="AT47" s="99">
        <f t="shared" si="10"/>
        <v>15676860.327914953</v>
      </c>
      <c r="AU47" s="99">
        <f t="shared" si="10"/>
        <v>7910764.0138106272</v>
      </c>
      <c r="AV47" s="99">
        <f t="shared" si="10"/>
        <v>3754779.3826447278</v>
      </c>
      <c r="AW47" s="99">
        <f t="shared" si="10"/>
        <v>3585378.4693953246</v>
      </c>
      <c r="AX47" s="99">
        <f t="shared" si="10"/>
        <v>10343198.082691252</v>
      </c>
      <c r="AY47" s="99">
        <f t="shared" si="10"/>
        <v>15059981.370394275</v>
      </c>
      <c r="AZ47" s="99">
        <f t="shared" si="10"/>
        <v>786098.96837802231</v>
      </c>
      <c r="BA47" s="99">
        <f t="shared" si="10"/>
        <v>13131810.824663591</v>
      </c>
      <c r="BB47" s="99">
        <f t="shared" si="10"/>
        <v>5178977.6566600949</v>
      </c>
      <c r="BC47" s="99">
        <f t="shared" si="10"/>
        <v>18967001.059662983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11">C29</f>
        <v>2556899641.9166665</v>
      </c>
      <c r="D48" s="61">
        <f t="shared" si="11"/>
        <v>29402189</v>
      </c>
      <c r="E48" s="61">
        <f t="shared" si="11"/>
        <v>60011187</v>
      </c>
      <c r="F48" s="61">
        <f t="shared" si="11"/>
        <v>56555264.666666664</v>
      </c>
      <c r="G48" s="61">
        <f t="shared" si="11"/>
        <v>62033509</v>
      </c>
      <c r="H48" s="61">
        <f t="shared" si="11"/>
        <v>62113407</v>
      </c>
      <c r="I48" s="61">
        <f t="shared" si="11"/>
        <v>45632770.383333333</v>
      </c>
      <c r="J48" s="61">
        <f t="shared" si="11"/>
        <v>46195905.200000003</v>
      </c>
      <c r="K48" s="61">
        <f t="shared" si="11"/>
        <v>30590688</v>
      </c>
      <c r="L48" s="61">
        <f t="shared" si="11"/>
        <v>85629904.666666672</v>
      </c>
      <c r="M48" s="61">
        <f t="shared" si="11"/>
        <v>77830289.666666657</v>
      </c>
      <c r="N48" s="61">
        <f t="shared" si="11"/>
        <v>53567202</v>
      </c>
      <c r="O48" s="61">
        <f t="shared" si="11"/>
        <v>64227061</v>
      </c>
      <c r="P48" s="61">
        <f t="shared" si="11"/>
        <v>79084227</v>
      </c>
      <c r="Q48" s="61">
        <f t="shared" si="11"/>
        <v>37322234</v>
      </c>
      <c r="R48" s="61">
        <f t="shared" si="11"/>
        <v>51022259</v>
      </c>
      <c r="S48" s="61">
        <f t="shared" si="11"/>
        <v>32219014</v>
      </c>
      <c r="T48" s="61">
        <f t="shared" si="11"/>
        <v>15224165</v>
      </c>
      <c r="U48" s="61">
        <f t="shared" si="11"/>
        <v>74745201</v>
      </c>
      <c r="V48" s="61">
        <f t="shared" si="11"/>
        <v>38428830.333333328</v>
      </c>
      <c r="W48" s="61">
        <f t="shared" si="11"/>
        <v>44797698.666666664</v>
      </c>
      <c r="X48" s="61">
        <f t="shared" si="11"/>
        <v>29720168.666666668</v>
      </c>
      <c r="Y48" s="61">
        <f t="shared" si="11"/>
        <v>18207222</v>
      </c>
      <c r="Z48" s="61">
        <f t="shared" si="11"/>
        <v>55366062</v>
      </c>
      <c r="AA48" s="61">
        <f t="shared" si="11"/>
        <v>52517584.333333336</v>
      </c>
      <c r="AB48" s="61">
        <f t="shared" si="11"/>
        <v>14354858</v>
      </c>
      <c r="AC48" s="61">
        <f t="shared" si="11"/>
        <v>36306320</v>
      </c>
      <c r="AD48" s="61">
        <f t="shared" si="11"/>
        <v>46562126.600000001</v>
      </c>
      <c r="AE48" s="61">
        <f t="shared" si="11"/>
        <v>16234096.4</v>
      </c>
      <c r="AF48" s="61">
        <f t="shared" si="11"/>
        <v>44947364</v>
      </c>
      <c r="AG48" s="61">
        <f t="shared" si="11"/>
        <v>36453125.666666672</v>
      </c>
      <c r="AH48" s="61">
        <f t="shared" si="11"/>
        <v>47337029</v>
      </c>
      <c r="AI48" s="61">
        <f t="shared" si="11"/>
        <v>13654765</v>
      </c>
      <c r="AJ48" s="61">
        <f t="shared" si="11"/>
        <v>79087846</v>
      </c>
      <c r="AK48" s="61">
        <f t="shared" si="11"/>
        <v>44172144</v>
      </c>
      <c r="AL48" s="61">
        <f t="shared" si="11"/>
        <v>42262985</v>
      </c>
      <c r="AM48" s="61">
        <f t="shared" si="11"/>
        <v>62814875</v>
      </c>
      <c r="AN48" s="61">
        <f t="shared" si="11"/>
        <v>24197023</v>
      </c>
      <c r="AO48" s="61">
        <f t="shared" si="11"/>
        <v>13673946.666666666</v>
      </c>
      <c r="AP48" s="61">
        <f t="shared" si="11"/>
        <v>43209672</v>
      </c>
      <c r="AQ48" s="61">
        <f t="shared" si="11"/>
        <v>97631946</v>
      </c>
      <c r="AR48" s="61">
        <f t="shared" si="11"/>
        <v>32452200</v>
      </c>
      <c r="AS48" s="61">
        <f t="shared" si="11"/>
        <v>66256971</v>
      </c>
      <c r="AT48" s="61">
        <f t="shared" si="11"/>
        <v>136240455</v>
      </c>
      <c r="AU48" s="61">
        <f t="shared" si="11"/>
        <v>31269655.666666668</v>
      </c>
      <c r="AV48" s="61">
        <f t="shared" si="11"/>
        <v>32349425.333333332</v>
      </c>
      <c r="AW48" s="61">
        <f t="shared" si="11"/>
        <v>28399638</v>
      </c>
      <c r="AX48" s="61">
        <f t="shared" si="11"/>
        <v>74172354</v>
      </c>
      <c r="AY48" s="61">
        <f t="shared" si="11"/>
        <v>64932907</v>
      </c>
      <c r="AZ48" s="61">
        <f t="shared" si="11"/>
        <v>41040428</v>
      </c>
      <c r="BA48" s="61">
        <f t="shared" si="11"/>
        <v>22460831</v>
      </c>
      <c r="BB48" s="61">
        <f t="shared" si="11"/>
        <v>49251392</v>
      </c>
      <c r="BC48" s="61">
        <f t="shared" si="11"/>
        <v>112729219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2">C47/C4</f>
        <v>5.4797433061869447E-2</v>
      </c>
      <c r="D49" s="101">
        <f t="shared" si="12"/>
        <v>0.10375162255049419</v>
      </c>
      <c r="E49" s="101">
        <f t="shared" si="12"/>
        <v>-0.24036797992019357</v>
      </c>
      <c r="F49" s="101">
        <f t="shared" si="12"/>
        <v>-0.25289498803840199</v>
      </c>
      <c r="G49" s="101">
        <f t="shared" si="12"/>
        <v>-0.10607020172006072</v>
      </c>
      <c r="H49" s="101">
        <f t="shared" si="12"/>
        <v>2.4658768504612848E-3</v>
      </c>
      <c r="I49" s="101">
        <f t="shared" si="12"/>
        <v>4.8855159695194869E-2</v>
      </c>
      <c r="J49" s="101">
        <f t="shared" si="12"/>
        <v>8.3965054773407571E-2</v>
      </c>
      <c r="K49" s="101">
        <f t="shared" si="12"/>
        <v>0.11633268953067157</v>
      </c>
      <c r="L49" s="101">
        <f t="shared" si="12"/>
        <v>0.14029250623014103</v>
      </c>
      <c r="M49" s="101">
        <f t="shared" si="12"/>
        <v>5.6715177354863533E-2</v>
      </c>
      <c r="N49" s="101">
        <f t="shared" si="12"/>
        <v>-8.7501348217799368E-2</v>
      </c>
      <c r="O49" s="101">
        <f t="shared" si="12"/>
        <v>-0.13165930867603212</v>
      </c>
      <c r="P49" s="101">
        <f t="shared" si="12"/>
        <v>2.8402597867351158E-2</v>
      </c>
      <c r="Q49" s="101">
        <f t="shared" si="12"/>
        <v>0.18603624480322042</v>
      </c>
      <c r="R49" s="101">
        <f t="shared" si="12"/>
        <v>0.14802807907827276</v>
      </c>
      <c r="S49" s="101">
        <f t="shared" si="12"/>
        <v>0.25716785018809929</v>
      </c>
      <c r="T49" s="101">
        <f t="shared" si="12"/>
        <v>0.14953839002409802</v>
      </c>
      <c r="U49" s="101">
        <f t="shared" si="12"/>
        <v>-0.21769807538279259</v>
      </c>
      <c r="V49" s="101">
        <f t="shared" si="12"/>
        <v>5.250173851147822E-2</v>
      </c>
      <c r="W49" s="101">
        <f t="shared" si="12"/>
        <v>8.2572328550337346E-2</v>
      </c>
      <c r="X49" s="101">
        <f t="shared" si="12"/>
        <v>-1.1527234026353066E-2</v>
      </c>
      <c r="Y49" s="101">
        <f t="shared" si="12"/>
        <v>0.19886196870262038</v>
      </c>
      <c r="Z49" s="101">
        <f t="shared" si="12"/>
        <v>6.1397074526527089E-2</v>
      </c>
      <c r="AA49" s="101">
        <f t="shared" si="12"/>
        <v>0.12377979797902697</v>
      </c>
      <c r="AB49" s="101">
        <f t="shared" si="12"/>
        <v>0.17911583114938096</v>
      </c>
      <c r="AC49" s="101">
        <f t="shared" si="12"/>
        <v>7.1045468624748462E-2</v>
      </c>
      <c r="AD49" s="101">
        <f t="shared" si="12"/>
        <v>-0.21305438858005454</v>
      </c>
      <c r="AE49" s="101">
        <f t="shared" si="12"/>
        <v>0.1420952456054036</v>
      </c>
      <c r="AF49" s="101">
        <f t="shared" si="12"/>
        <v>0.1390929393270256</v>
      </c>
      <c r="AG49" s="101">
        <f t="shared" si="12"/>
        <v>-1.2818206626003867E-2</v>
      </c>
      <c r="AH49" s="101">
        <f t="shared" si="12"/>
        <v>3.7034923313417581E-2</v>
      </c>
      <c r="AI49" s="101">
        <f t="shared" si="12"/>
        <v>0.24890745089237937</v>
      </c>
      <c r="AJ49" s="101">
        <f t="shared" si="12"/>
        <v>1.2549927880594938E-2</v>
      </c>
      <c r="AK49" s="101">
        <f t="shared" si="12"/>
        <v>0.11783623449140226</v>
      </c>
      <c r="AL49" s="101">
        <f t="shared" si="12"/>
        <v>3.2428119930325072E-2</v>
      </c>
      <c r="AM49" s="101">
        <f t="shared" si="12"/>
        <v>-1.3149832968548276E-3</v>
      </c>
      <c r="AN49" s="101">
        <f t="shared" si="12"/>
        <v>9.6441519120797556E-2</v>
      </c>
      <c r="AO49" s="101">
        <f t="shared" si="12"/>
        <v>0.33867791888340931</v>
      </c>
      <c r="AP49" s="101">
        <f t="shared" si="12"/>
        <v>8.400299879686883E-2</v>
      </c>
      <c r="AQ49" s="101">
        <f t="shared" si="12"/>
        <v>-8.6433310891442447E-2</v>
      </c>
      <c r="AR49" s="101">
        <f t="shared" si="12"/>
        <v>3.0688319847152156E-2</v>
      </c>
      <c r="AS49" s="101">
        <f t="shared" si="12"/>
        <v>7.0744677800214567E-2</v>
      </c>
      <c r="AT49" s="101">
        <f t="shared" si="12"/>
        <v>9.0611404572601625E-2</v>
      </c>
      <c r="AU49" s="101">
        <f t="shared" si="12"/>
        <v>0.18635486487186401</v>
      </c>
      <c r="AV49" s="101">
        <f t="shared" si="12"/>
        <v>9.2306277752381607E-2</v>
      </c>
      <c r="AW49" s="101">
        <f t="shared" si="12"/>
        <v>9.8111275979513038E-2</v>
      </c>
      <c r="AX49" s="101">
        <f t="shared" si="12"/>
        <v>0.10859342638289135</v>
      </c>
      <c r="AY49" s="101">
        <f t="shared" si="12"/>
        <v>0.17580907729765324</v>
      </c>
      <c r="AZ49" s="101">
        <f t="shared" si="12"/>
        <v>1.7249528624425029E-2</v>
      </c>
      <c r="BA49" s="101">
        <f t="shared" si="12"/>
        <v>0.33621308885922452</v>
      </c>
      <c r="BB49" s="101">
        <f t="shared" si="12"/>
        <v>8.5106365448870139E-2</v>
      </c>
      <c r="BC49" s="101">
        <f t="shared" si="12"/>
        <v>0.12668399508187325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3">C46/C4</f>
        <v>0.17213290867185205</v>
      </c>
      <c r="D50" s="101">
        <f t="shared" si="13"/>
        <v>0.18234312446258358</v>
      </c>
      <c r="E50" s="101">
        <f t="shared" si="13"/>
        <v>2.6756183000600054E-2</v>
      </c>
      <c r="F50" s="101">
        <f t="shared" si="13"/>
        <v>-0.13976752653499927</v>
      </c>
      <c r="G50" s="101">
        <f t="shared" si="13"/>
        <v>5.4612234634317323E-2</v>
      </c>
      <c r="H50" s="101">
        <f t="shared" si="13"/>
        <v>0.12203475765756852</v>
      </c>
      <c r="I50" s="101">
        <f t="shared" si="13"/>
        <v>0.16234795632407562</v>
      </c>
      <c r="J50" s="101">
        <f t="shared" si="13"/>
        <v>0.20193650859462722</v>
      </c>
      <c r="K50" s="101">
        <f t="shared" si="13"/>
        <v>0.22398051750380518</v>
      </c>
      <c r="L50" s="101">
        <f t="shared" si="13"/>
        <v>0.20264168032379812</v>
      </c>
      <c r="M50" s="101">
        <f t="shared" si="13"/>
        <v>0.1454967785615606</v>
      </c>
      <c r="N50" s="101">
        <f t="shared" si="13"/>
        <v>7.5075038352935943E-3</v>
      </c>
      <c r="O50" s="101">
        <f t="shared" si="13"/>
        <v>9.8686975934638371E-5</v>
      </c>
      <c r="P50" s="101">
        <f t="shared" si="13"/>
        <v>0.11714676594699591</v>
      </c>
      <c r="Q50" s="101">
        <f t="shared" si="13"/>
        <v>0.25752016233314101</v>
      </c>
      <c r="R50" s="101">
        <f t="shared" si="13"/>
        <v>0.28031230693278791</v>
      </c>
      <c r="S50" s="101">
        <f t="shared" si="13"/>
        <v>0.3475819293698364</v>
      </c>
      <c r="T50" s="101">
        <f t="shared" si="13"/>
        <v>0.34564751139001115</v>
      </c>
      <c r="U50" s="101">
        <f t="shared" si="13"/>
        <v>-5.7575428716961911E-2</v>
      </c>
      <c r="V50" s="101">
        <f t="shared" si="13"/>
        <v>0.17446121732903699</v>
      </c>
      <c r="W50" s="101">
        <f t="shared" si="13"/>
        <v>0.18800618693734522</v>
      </c>
      <c r="X50" s="101">
        <f t="shared" si="13"/>
        <v>0.11396808077194444</v>
      </c>
      <c r="Y50" s="101">
        <f t="shared" si="13"/>
        <v>0.36626446223459797</v>
      </c>
      <c r="Z50" s="101">
        <f t="shared" si="13"/>
        <v>0.15265970829953629</v>
      </c>
      <c r="AA50" s="101">
        <f t="shared" si="13"/>
        <v>0.21203924481120276</v>
      </c>
      <c r="AB50" s="101">
        <f t="shared" si="13"/>
        <v>0.37154945827727898</v>
      </c>
      <c r="AC50" s="101">
        <f t="shared" si="13"/>
        <v>0.17481885540251829</v>
      </c>
      <c r="AD50" s="101">
        <f t="shared" si="13"/>
        <v>-8.2286425549718781E-2</v>
      </c>
      <c r="AE50" s="101">
        <f t="shared" si="13"/>
        <v>0.32312806871247496</v>
      </c>
      <c r="AF50" s="101">
        <f t="shared" si="13"/>
        <v>0.20437286035438018</v>
      </c>
      <c r="AG50" s="101">
        <f t="shared" si="13"/>
        <v>6.5520119288711029E-2</v>
      </c>
      <c r="AH50" s="101">
        <f t="shared" si="13"/>
        <v>0.1362171271121492</v>
      </c>
      <c r="AI50" s="101">
        <f t="shared" si="13"/>
        <v>0.37580111853976184</v>
      </c>
      <c r="AJ50" s="101">
        <f t="shared" si="13"/>
        <v>9.4187523980231697E-2</v>
      </c>
      <c r="AK50" s="101">
        <f t="shared" si="13"/>
        <v>0.21519181294861772</v>
      </c>
      <c r="AL50" s="101">
        <f t="shared" si="13"/>
        <v>0.13164197657694679</v>
      </c>
      <c r="AM50" s="101">
        <f t="shared" si="13"/>
        <v>0.15131090064041938</v>
      </c>
      <c r="AN50" s="101">
        <f t="shared" si="13"/>
        <v>0.23349521667511403</v>
      </c>
      <c r="AO50" s="101">
        <f t="shared" si="13"/>
        <v>0.44457749434718447</v>
      </c>
      <c r="AP50" s="101">
        <f t="shared" si="13"/>
        <v>0.18949444777911165</v>
      </c>
      <c r="AQ50" s="101">
        <f t="shared" si="13"/>
        <v>0.14769887648296393</v>
      </c>
      <c r="AR50" s="101">
        <f t="shared" si="13"/>
        <v>0.23400368219798895</v>
      </c>
      <c r="AS50" s="101">
        <f t="shared" si="13"/>
        <v>0.16032631672327266</v>
      </c>
      <c r="AT50" s="101">
        <f t="shared" si="13"/>
        <v>0.21253754074861858</v>
      </c>
      <c r="AU50" s="101">
        <f t="shared" si="13"/>
        <v>0.26337678052610913</v>
      </c>
      <c r="AV50" s="101">
        <f t="shared" si="13"/>
        <v>0.20473222641237315</v>
      </c>
      <c r="AW50" s="101">
        <f t="shared" si="13"/>
        <v>0.22286454684763574</v>
      </c>
      <c r="AX50" s="101">
        <f t="shared" si="13"/>
        <v>0.22126309490062679</v>
      </c>
      <c r="AY50" s="101">
        <f t="shared" si="13"/>
        <v>0.24197818143612612</v>
      </c>
      <c r="AZ50" s="101">
        <f t="shared" si="13"/>
        <v>9.9441589390022858E-2</v>
      </c>
      <c r="BA50" s="101">
        <f t="shared" si="13"/>
        <v>0.42493647908239029</v>
      </c>
      <c r="BB50" s="101">
        <f t="shared" si="13"/>
        <v>0.19064972967643337</v>
      </c>
      <c r="BC50" s="101">
        <f t="shared" si="13"/>
        <v>0.24706136829660899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6.6191099556763236E-2</v>
      </c>
      <c r="D51" s="101">
        <f t="shared" ref="D51:BC51" si="14">D47/D48</f>
        <v>0.12688895018745117</v>
      </c>
      <c r="E51" s="101">
        <f t="shared" si="14"/>
        <v>-0.24697611813375822</v>
      </c>
      <c r="F51" s="101">
        <f t="shared" si="14"/>
        <v>-0.22188295608598937</v>
      </c>
      <c r="G51" s="101">
        <f t="shared" si="14"/>
        <v>-0.11219756126104723</v>
      </c>
      <c r="H51" s="101">
        <f t="shared" si="14"/>
        <v>2.808626960997076E-3</v>
      </c>
      <c r="I51" s="101">
        <f t="shared" si="14"/>
        <v>5.8323930639267003E-2</v>
      </c>
      <c r="J51" s="101">
        <f t="shared" si="14"/>
        <v>0.10521099596417685</v>
      </c>
      <c r="K51" s="101">
        <f t="shared" si="14"/>
        <v>0.14990949603026493</v>
      </c>
      <c r="L51" s="101">
        <f t="shared" si="14"/>
        <v>0.17594662621330923</v>
      </c>
      <c r="M51" s="101">
        <f>M47/M48</f>
        <v>6.6372104787845373E-2</v>
      </c>
      <c r="N51" s="101">
        <f t="shared" si="14"/>
        <v>-8.8163234035452412E-2</v>
      </c>
      <c r="O51" s="101">
        <f t="shared" si="14"/>
        <v>-0.13167230301743127</v>
      </c>
      <c r="P51" s="101">
        <f t="shared" si="14"/>
        <v>3.2171369794909699E-2</v>
      </c>
      <c r="Q51" s="101">
        <f t="shared" si="14"/>
        <v>0.25056066894397266</v>
      </c>
      <c r="R51" s="101">
        <f t="shared" si="14"/>
        <v>0.20568377159180953</v>
      </c>
      <c r="S51" s="101">
        <f t="shared" si="14"/>
        <v>0.39417646715349808</v>
      </c>
      <c r="T51" s="101">
        <f t="shared" si="14"/>
        <v>0.22852880156650066</v>
      </c>
      <c r="U51" s="101">
        <f t="shared" si="14"/>
        <v>-0.20584638170622149</v>
      </c>
      <c r="V51" s="101">
        <f t="shared" si="14"/>
        <v>6.3596937677007928E-2</v>
      </c>
      <c r="W51" s="101">
        <f t="shared" si="14"/>
        <v>0.10169083461226562</v>
      </c>
      <c r="X51" s="101">
        <f t="shared" si="14"/>
        <v>-1.3009953452236831E-2</v>
      </c>
      <c r="Y51" s="101">
        <f t="shared" si="14"/>
        <v>0.31379330470218264</v>
      </c>
      <c r="Z51" s="101">
        <f t="shared" si="14"/>
        <v>7.2458580251523144E-2</v>
      </c>
      <c r="AA51" s="101">
        <f t="shared" si="14"/>
        <v>0.15708878540450791</v>
      </c>
      <c r="AB51" s="101">
        <f t="shared" si="14"/>
        <v>0.28501181757021821</v>
      </c>
      <c r="AC51" s="101">
        <f t="shared" si="14"/>
        <v>8.6096815335503105E-2</v>
      </c>
      <c r="AD51" s="101">
        <f t="shared" si="14"/>
        <v>-0.19685582628631712</v>
      </c>
      <c r="AE51" s="101">
        <f t="shared" si="14"/>
        <v>0.20992929243662739</v>
      </c>
      <c r="AF51" s="101">
        <f t="shared" si="14"/>
        <v>0.17482176310498782</v>
      </c>
      <c r="AG51" s="101">
        <f t="shared" si="14"/>
        <v>-1.3716942323303052E-2</v>
      </c>
      <c r="AH51" s="101">
        <f t="shared" si="14"/>
        <v>4.2875269325033265E-2</v>
      </c>
      <c r="AI51" s="101">
        <f t="shared" si="14"/>
        <v>0.39876305178581917</v>
      </c>
      <c r="AJ51" s="101">
        <f t="shared" si="14"/>
        <v>1.3854885213924842E-2</v>
      </c>
      <c r="AK51" s="101">
        <f t="shared" si="14"/>
        <v>0.15014654081798892</v>
      </c>
      <c r="AL51" s="101">
        <f t="shared" si="14"/>
        <v>3.7344181841602556E-2</v>
      </c>
      <c r="AM51" s="101">
        <f t="shared" si="14"/>
        <v>-1.549428757653553E-3</v>
      </c>
      <c r="AN51" s="101">
        <f t="shared" si="14"/>
        <v>0.12581985294659337</v>
      </c>
      <c r="AO51" s="101">
        <f t="shared" si="14"/>
        <v>0.60976628681141465</v>
      </c>
      <c r="AP51" s="101">
        <f t="shared" si="14"/>
        <v>0.1036427185066036</v>
      </c>
      <c r="AQ51" s="101">
        <f t="shared" si="14"/>
        <v>-0.10141170591770877</v>
      </c>
      <c r="AR51" s="101">
        <f t="shared" si="14"/>
        <v>4.0063273326444687E-2</v>
      </c>
      <c r="AS51" s="101">
        <f t="shared" si="14"/>
        <v>8.4252584318400728E-2</v>
      </c>
      <c r="AT51" s="101">
        <f t="shared" si="14"/>
        <v>0.11506758640753918</v>
      </c>
      <c r="AU51" s="101">
        <f t="shared" si="14"/>
        <v>0.25298532539465957</v>
      </c>
      <c r="AV51" s="101">
        <f t="shared" si="14"/>
        <v>0.11606943072264554</v>
      </c>
      <c r="AW51" s="101">
        <f t="shared" si="14"/>
        <v>0.12624732996228066</v>
      </c>
      <c r="AX51" s="101">
        <f t="shared" si="14"/>
        <v>0.13944815722973081</v>
      </c>
      <c r="AY51" s="101">
        <f t="shared" si="14"/>
        <v>0.23193142069543066</v>
      </c>
      <c r="AZ51" s="101">
        <f t="shared" si="14"/>
        <v>1.9154258536924183E-2</v>
      </c>
      <c r="BA51" s="101">
        <f t="shared" si="14"/>
        <v>0.5846538280201472</v>
      </c>
      <c r="BB51" s="101">
        <f t="shared" si="14"/>
        <v>0.10515393466767589</v>
      </c>
      <c r="BC51" s="101">
        <f t="shared" si="14"/>
        <v>0.16825274962352912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5">C47/C46</f>
        <v>0.31834373499336666</v>
      </c>
      <c r="D52" s="101">
        <f t="shared" si="15"/>
        <v>0.56899114159790443</v>
      </c>
      <c r="E52" s="101">
        <f t="shared" si="15"/>
        <v>-8.9836423945374744</v>
      </c>
      <c r="F52" s="101">
        <f t="shared" si="15"/>
        <v>1.8093973207365475</v>
      </c>
      <c r="G52" s="101">
        <f t="shared" si="15"/>
        <v>-1.942242474242359</v>
      </c>
      <c r="H52" s="101">
        <f t="shared" si="15"/>
        <v>2.02063485665336E-2</v>
      </c>
      <c r="I52" s="101">
        <f t="shared" si="15"/>
        <v>0.30092870154565554</v>
      </c>
      <c r="J52" s="101">
        <f t="shared" si="15"/>
        <v>0.41579927947531903</v>
      </c>
      <c r="K52" s="101">
        <f t="shared" si="15"/>
        <v>0.51938753793037029</v>
      </c>
      <c r="L52" s="101">
        <f t="shared" si="15"/>
        <v>0.69231811543395083</v>
      </c>
      <c r="M52" s="101">
        <f>M47/M46</f>
        <v>0.38980366380322978</v>
      </c>
      <c r="N52" s="101">
        <f t="shared" si="15"/>
        <v>-11.655185283615305</v>
      </c>
      <c r="O52" s="101">
        <f t="shared" si="15"/>
        <v>-1334.11027573924</v>
      </c>
      <c r="P52" s="101">
        <f t="shared" si="15"/>
        <v>0.24245311116998453</v>
      </c>
      <c r="Q52" s="101">
        <f t="shared" si="15"/>
        <v>0.72241428833271149</v>
      </c>
      <c r="R52" s="101">
        <f t="shared" si="15"/>
        <v>0.52808269711028533</v>
      </c>
      <c r="S52" s="101">
        <f t="shared" si="15"/>
        <v>0.73987692816580775</v>
      </c>
      <c r="T52" s="101">
        <f t="shared" si="15"/>
        <v>0.43263262455654267</v>
      </c>
      <c r="U52" s="101">
        <f t="shared" si="15"/>
        <v>3.7810934322866454</v>
      </c>
      <c r="V52" s="101">
        <f t="shared" si="15"/>
        <v>0.30093644487450183</v>
      </c>
      <c r="W52" s="101">
        <f t="shared" si="15"/>
        <v>0.43920005982492127</v>
      </c>
      <c r="X52" s="101">
        <f t="shared" si="15"/>
        <v>-0.10114440769972788</v>
      </c>
      <c r="Y52" s="101">
        <f t="shared" si="15"/>
        <v>0.54294639313176463</v>
      </c>
      <c r="Z52" s="101">
        <f t="shared" si="15"/>
        <v>0.40218257463232415</v>
      </c>
      <c r="AA52" s="101">
        <f t="shared" si="15"/>
        <v>0.58375890788160012</v>
      </c>
      <c r="AB52" s="101">
        <f t="shared" si="15"/>
        <v>0.48207803068766919</v>
      </c>
      <c r="AC52" s="101">
        <f t="shared" si="15"/>
        <v>0.40639477052499362</v>
      </c>
      <c r="AD52" s="101">
        <f t="shared" si="15"/>
        <v>2.589180258550952</v>
      </c>
      <c r="AE52" s="101">
        <f t="shared" si="15"/>
        <v>0.43974900160048447</v>
      </c>
      <c r="AF52" s="101">
        <f t="shared" si="15"/>
        <v>0.68058419834140427</v>
      </c>
      <c r="AG52" s="101">
        <f t="shared" si="15"/>
        <v>-0.19563771808047389</v>
      </c>
      <c r="AH52" s="101">
        <f t="shared" si="15"/>
        <v>0.27188154748650867</v>
      </c>
      <c r="AI52" s="101">
        <f t="shared" si="15"/>
        <v>0.66233823853305962</v>
      </c>
      <c r="AJ52" s="101">
        <f t="shared" si="15"/>
        <v>0.13324405770799269</v>
      </c>
      <c r="AK52" s="101">
        <f t="shared" si="15"/>
        <v>0.547586977760806</v>
      </c>
      <c r="AL52" s="101">
        <f t="shared" si="15"/>
        <v>0.24633571124914194</v>
      </c>
      <c r="AM52" s="101">
        <f t="shared" si="15"/>
        <v>-8.6906051797272753E-3</v>
      </c>
      <c r="AN52" s="101">
        <f t="shared" si="15"/>
        <v>0.41303423896253338</v>
      </c>
      <c r="AO52" s="101">
        <f t="shared" si="15"/>
        <v>0.76179726412089843</v>
      </c>
      <c r="AP52" s="101">
        <f t="shared" si="15"/>
        <v>0.44330058100060415</v>
      </c>
      <c r="AQ52" s="101">
        <f t="shared" si="15"/>
        <v>-0.58519951505123291</v>
      </c>
      <c r="AR52" s="101">
        <f t="shared" si="15"/>
        <v>0.1311446023365862</v>
      </c>
      <c r="AS52" s="101">
        <f t="shared" si="15"/>
        <v>0.44125430712864</v>
      </c>
      <c r="AT52" s="101">
        <f t="shared" si="15"/>
        <v>0.42633129306682527</v>
      </c>
      <c r="AU52" s="101">
        <f t="shared" si="15"/>
        <v>0.70755996219412454</v>
      </c>
      <c r="AV52" s="101">
        <f t="shared" si="15"/>
        <v>0.4508634491497085</v>
      </c>
      <c r="AW52" s="101">
        <f t="shared" si="15"/>
        <v>0.4402282793170692</v>
      </c>
      <c r="AX52" s="101">
        <f t="shared" si="15"/>
        <v>0.49078869854759372</v>
      </c>
      <c r="AY52" s="101">
        <f t="shared" si="15"/>
        <v>0.72654929570193816</v>
      </c>
      <c r="AZ52" s="101">
        <f t="shared" si="15"/>
        <v>0.17346392721832041</v>
      </c>
      <c r="BA52" s="101">
        <f t="shared" si="15"/>
        <v>0.79120787555176375</v>
      </c>
      <c r="BB52" s="101">
        <f t="shared" si="15"/>
        <v>0.44640171057840389</v>
      </c>
      <c r="BC52" s="101">
        <f t="shared" si="15"/>
        <v>0.51276326993293042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5.4911206359733953</v>
      </c>
      <c r="D53" s="106">
        <f t="shared" ref="D53:BC53" si="16">D45/D46</f>
        <v>4.915175058511263</v>
      </c>
      <c r="E53" s="106">
        <f t="shared" si="16"/>
        <v>46.358181205905794</v>
      </c>
      <c r="F53" s="106">
        <f t="shared" si="16"/>
        <v>-8.9641350827272728</v>
      </c>
      <c r="G53" s="106">
        <f t="shared" si="16"/>
        <v>20.25315772420392</v>
      </c>
      <c r="H53" s="106">
        <f t="shared" si="16"/>
        <v>8.1741803916932856</v>
      </c>
      <c r="I53" s="106">
        <f t="shared" si="16"/>
        <v>5.8586807117309787</v>
      </c>
      <c r="J53" s="106">
        <f t="shared" si="16"/>
        <v>4.5362522686052058</v>
      </c>
      <c r="K53" s="106">
        <f t="shared" si="16"/>
        <v>3.9452864932965248</v>
      </c>
      <c r="L53" s="106">
        <f t="shared" si="16"/>
        <v>4.2425008142261014</v>
      </c>
      <c r="M53" s="106">
        <f>M45/M46</f>
        <v>6.4832007414241595</v>
      </c>
      <c r="N53" s="106">
        <f t="shared" si="16"/>
        <v>144.85525043694776</v>
      </c>
      <c r="O53" s="106">
        <f t="shared" si="16"/>
        <v>11467.159652612563</v>
      </c>
      <c r="P53" s="106">
        <f t="shared" si="16"/>
        <v>8.2938474167716816</v>
      </c>
      <c r="Q53" s="106">
        <f t="shared" si="16"/>
        <v>3.1607768021821729</v>
      </c>
      <c r="R53" s="106">
        <f t="shared" si="16"/>
        <v>3.0393668057036445</v>
      </c>
      <c r="S53" s="106">
        <f t="shared" si="16"/>
        <v>2.1371426045037789</v>
      </c>
      <c r="T53" s="106">
        <f t="shared" si="16"/>
        <v>2.4604881619306211</v>
      </c>
      <c r="U53" s="106">
        <f t="shared" si="16"/>
        <v>-21.149613689703273</v>
      </c>
      <c r="V53" s="106">
        <f t="shared" si="16"/>
        <v>5.4309965045212492</v>
      </c>
      <c r="W53" s="106">
        <f t="shared" si="16"/>
        <v>4.8797738329505282</v>
      </c>
      <c r="X53" s="106">
        <f t="shared" si="16"/>
        <v>8.8755310010920283</v>
      </c>
      <c r="Y53" s="106">
        <f t="shared" si="16"/>
        <v>2.1873212225111769</v>
      </c>
      <c r="Z53" s="106">
        <f t="shared" si="16"/>
        <v>6.1483343308361613</v>
      </c>
      <c r="AA53" s="106">
        <f t="shared" si="16"/>
        <v>4.1323491922504685</v>
      </c>
      <c r="AB53" s="106">
        <f t="shared" si="16"/>
        <v>2.2093536958894222</v>
      </c>
      <c r="AC53" s="106">
        <f t="shared" si="16"/>
        <v>5.3138119983473464</v>
      </c>
      <c r="AD53" s="106">
        <f t="shared" si="16"/>
        <v>-14.741852990650415</v>
      </c>
      <c r="AE53" s="106">
        <f t="shared" si="16"/>
        <v>2.6549991704929079</v>
      </c>
      <c r="AF53" s="106">
        <f t="shared" si="16"/>
        <v>4.2124333885632925</v>
      </c>
      <c r="AG53" s="106">
        <f t="shared" si="16"/>
        <v>15.458125193012435</v>
      </c>
      <c r="AH53" s="106">
        <f t="shared" si="16"/>
        <v>7.0693392020649632</v>
      </c>
      <c r="AI53" s="106">
        <f t="shared" si="16"/>
        <v>1.9986437294974442</v>
      </c>
      <c r="AJ53" s="106">
        <f t="shared" si="16"/>
        <v>10.4838733453345</v>
      </c>
      <c r="AK53" s="106">
        <f t="shared" si="16"/>
        <v>4.0994299616744057</v>
      </c>
      <c r="AL53" s="106">
        <f t="shared" si="16"/>
        <v>7.3500254647431102</v>
      </c>
      <c r="AM53" s="106">
        <f t="shared" si="16"/>
        <v>6.6175997833521292</v>
      </c>
      <c r="AN53" s="106">
        <f t="shared" si="16"/>
        <v>3.869708740699457</v>
      </c>
      <c r="AO53" s="106">
        <f t="shared" si="16"/>
        <v>1.4875293723261296</v>
      </c>
      <c r="AP53" s="106">
        <f t="shared" si="16"/>
        <v>4.8338988922297244</v>
      </c>
      <c r="AQ53" s="106">
        <f t="shared" si="16"/>
        <v>7.3557317209298834</v>
      </c>
      <c r="AR53" s="106">
        <f t="shared" si="16"/>
        <v>4.142292424837656</v>
      </c>
      <c r="AS53" s="106">
        <f t="shared" si="16"/>
        <v>5.7960248896861017</v>
      </c>
      <c r="AT53" s="106">
        <f t="shared" si="16"/>
        <v>4.2787198544985001</v>
      </c>
      <c r="AU53" s="106">
        <f t="shared" si="16"/>
        <v>3.0892819537957621</v>
      </c>
      <c r="AV53" s="106">
        <f t="shared" si="16"/>
        <v>4.4335654339993109</v>
      </c>
      <c r="AW53" s="106">
        <f t="shared" si="16"/>
        <v>4.046802135097221</v>
      </c>
      <c r="AX53" s="106">
        <f t="shared" si="16"/>
        <v>4.0287178212772234</v>
      </c>
      <c r="AY53" s="106">
        <f t="shared" si="16"/>
        <v>3.4060547021670411</v>
      </c>
      <c r="AZ53" s="106">
        <f t="shared" si="16"/>
        <v>9.882690707216069</v>
      </c>
      <c r="BA53" s="106">
        <f t="shared" si="16"/>
        <v>1.5620850263883201</v>
      </c>
      <c r="BB53" s="106">
        <f t="shared" si="16"/>
        <v>4.798819469106343</v>
      </c>
      <c r="BC53" s="106">
        <f t="shared" si="16"/>
        <v>3.5348140866348201</v>
      </c>
      <c r="BE53" s="123"/>
    </row>
    <row r="54" spans="1:57" s="112" customFormat="1" ht="13" x14ac:dyDescent="0.3">
      <c r="A54" s="112" t="s">
        <v>54</v>
      </c>
      <c r="C54" s="111">
        <f t="shared" ref="C54:BC54" si="17">C48/C4</f>
        <v>0.82786709132814795</v>
      </c>
      <c r="D54" s="112">
        <f t="shared" si="17"/>
        <v>0.81765687553741639</v>
      </c>
      <c r="E54" s="112">
        <f t="shared" si="17"/>
        <v>0.97324381699939999</v>
      </c>
      <c r="F54" s="112">
        <f t="shared" si="17"/>
        <v>1.1397675265349994</v>
      </c>
      <c r="G54" s="112">
        <f t="shared" si="17"/>
        <v>0.9453877653656827</v>
      </c>
      <c r="H54" s="112">
        <f t="shared" si="17"/>
        <v>0.87796524234243145</v>
      </c>
      <c r="I54" s="112">
        <f t="shared" si="17"/>
        <v>0.83765204367592438</v>
      </c>
      <c r="J54" s="112">
        <f t="shared" si="17"/>
        <v>0.7980634914053728</v>
      </c>
      <c r="K54" s="112">
        <f t="shared" si="17"/>
        <v>0.77601948249619479</v>
      </c>
      <c r="L54" s="112">
        <f t="shared" si="17"/>
        <v>0.79735831967620185</v>
      </c>
      <c r="M54" s="112">
        <f t="shared" si="17"/>
        <v>0.85450322143843938</v>
      </c>
      <c r="N54" s="112">
        <f t="shared" si="17"/>
        <v>0.99249249616470636</v>
      </c>
      <c r="O54" s="112">
        <f t="shared" si="17"/>
        <v>0.99990131302406537</v>
      </c>
      <c r="P54" s="112">
        <f t="shared" si="17"/>
        <v>0.88285323405300409</v>
      </c>
      <c r="Q54" s="112">
        <f t="shared" si="17"/>
        <v>0.74247983766685899</v>
      </c>
      <c r="R54" s="112">
        <f t="shared" si="17"/>
        <v>0.71968769306721203</v>
      </c>
      <c r="S54" s="112">
        <f t="shared" si="17"/>
        <v>0.65241807063016366</v>
      </c>
      <c r="T54" s="112">
        <f t="shared" si="17"/>
        <v>0.65435248860998885</v>
      </c>
      <c r="U54" s="112">
        <f t="shared" si="17"/>
        <v>1.0575754287169619</v>
      </c>
      <c r="V54" s="112">
        <f t="shared" si="17"/>
        <v>0.82553878267096303</v>
      </c>
      <c r="W54" s="112">
        <f t="shared" si="17"/>
        <v>0.81199381306265483</v>
      </c>
      <c r="X54" s="112">
        <f t="shared" si="17"/>
        <v>0.88603191922805558</v>
      </c>
      <c r="Y54" s="112">
        <f t="shared" si="17"/>
        <v>0.63373553776540203</v>
      </c>
      <c r="Z54" s="112">
        <f t="shared" si="17"/>
        <v>0.84734029170046377</v>
      </c>
      <c r="AA54" s="112">
        <f t="shared" si="17"/>
        <v>0.78796075518879727</v>
      </c>
      <c r="AB54" s="112">
        <f t="shared" si="17"/>
        <v>0.62845054172272108</v>
      </c>
      <c r="AC54" s="112">
        <f t="shared" si="17"/>
        <v>0.82518114459748171</v>
      </c>
      <c r="AD54" s="112">
        <f t="shared" si="17"/>
        <v>1.0822864255497189</v>
      </c>
      <c r="AE54" s="112">
        <f t="shared" si="17"/>
        <v>0.67687193128752499</v>
      </c>
      <c r="AF54" s="112">
        <f t="shared" si="17"/>
        <v>0.79562713964561982</v>
      </c>
      <c r="AG54" s="112">
        <f t="shared" si="17"/>
        <v>0.93447988071128896</v>
      </c>
      <c r="AH54" s="112">
        <f t="shared" si="17"/>
        <v>0.86378287288785083</v>
      </c>
      <c r="AI54" s="112">
        <f t="shared" si="17"/>
        <v>0.62419888146023816</v>
      </c>
      <c r="AJ54" s="112">
        <f t="shared" si="17"/>
        <v>0.90581247601976833</v>
      </c>
      <c r="AK54" s="112">
        <f t="shared" si="17"/>
        <v>0.78480818705138222</v>
      </c>
      <c r="AL54" s="112">
        <f t="shared" si="17"/>
        <v>0.86835802342305324</v>
      </c>
      <c r="AM54" s="112">
        <f t="shared" si="17"/>
        <v>0.84868909935958059</v>
      </c>
      <c r="AN54" s="112">
        <f t="shared" si="17"/>
        <v>0.76650478332488592</v>
      </c>
      <c r="AO54" s="112">
        <f t="shared" si="17"/>
        <v>0.55542250565281559</v>
      </c>
      <c r="AP54" s="112">
        <f t="shared" si="17"/>
        <v>0.81050555222088838</v>
      </c>
      <c r="AQ54" s="112">
        <f t="shared" si="17"/>
        <v>0.85230112351703613</v>
      </c>
      <c r="AR54" s="112">
        <f t="shared" si="17"/>
        <v>0.76599631780201105</v>
      </c>
      <c r="AS54" s="112">
        <f t="shared" si="17"/>
        <v>0.83967368327672731</v>
      </c>
      <c r="AT54" s="112">
        <f t="shared" si="17"/>
        <v>0.78746245925138136</v>
      </c>
      <c r="AU54" s="112">
        <f t="shared" si="17"/>
        <v>0.73662321947389087</v>
      </c>
      <c r="AV54" s="112">
        <f t="shared" si="17"/>
        <v>0.79526777358762679</v>
      </c>
      <c r="AW54" s="112">
        <f t="shared" si="17"/>
        <v>0.77713545315236432</v>
      </c>
      <c r="AX54" s="112">
        <f t="shared" si="17"/>
        <v>0.77873690509937321</v>
      </c>
      <c r="AY54" s="112">
        <f t="shared" si="17"/>
        <v>0.75802181856387385</v>
      </c>
      <c r="AZ54" s="112">
        <f t="shared" si="17"/>
        <v>0.9005584106099771</v>
      </c>
      <c r="BA54" s="112">
        <f t="shared" si="17"/>
        <v>0.57506352091760971</v>
      </c>
      <c r="BB54" s="112">
        <f t="shared" si="17"/>
        <v>0.80935027032356666</v>
      </c>
      <c r="BC54" s="112">
        <f t="shared" si="17"/>
        <v>0.75293863170339104</v>
      </c>
      <c r="BE54" s="123"/>
    </row>
    <row r="55" spans="1:57" s="112" customFormat="1" ht="13" x14ac:dyDescent="0.3">
      <c r="A55" s="112" t="s">
        <v>55</v>
      </c>
      <c r="C55" s="111">
        <f t="shared" ref="C55:BC55" si="18">C44/C4</f>
        <v>0.11733547560998259</v>
      </c>
      <c r="D55" s="112">
        <f t="shared" si="18"/>
        <v>7.859150191208937E-2</v>
      </c>
      <c r="E55" s="112">
        <f t="shared" si="18"/>
        <v>0.26712416292079366</v>
      </c>
      <c r="F55" s="112">
        <f t="shared" si="18"/>
        <v>0.11312746150340276</v>
      </c>
      <c r="G55" s="112">
        <f t="shared" si="18"/>
        <v>0.16068243635437809</v>
      </c>
      <c r="H55" s="112">
        <f t="shared" si="18"/>
        <v>0.11956888080710729</v>
      </c>
      <c r="I55" s="112">
        <f t="shared" si="18"/>
        <v>0.11349279662888082</v>
      </c>
      <c r="J55" s="112">
        <f t="shared" si="18"/>
        <v>0.1179714538212196</v>
      </c>
      <c r="K55" s="112">
        <f t="shared" si="18"/>
        <v>0.1076478279731337</v>
      </c>
      <c r="L55" s="112">
        <f t="shared" si="18"/>
        <v>6.2349174093657131E-2</v>
      </c>
      <c r="M55" s="112">
        <f t="shared" si="18"/>
        <v>8.8781601206697092E-2</v>
      </c>
      <c r="N55" s="112">
        <f t="shared" si="18"/>
        <v>9.5008852053092951E-2</v>
      </c>
      <c r="O55" s="112">
        <f t="shared" si="18"/>
        <v>0.13175799565196669</v>
      </c>
      <c r="P55" s="112">
        <f t="shared" si="18"/>
        <v>8.8744168079644678E-2</v>
      </c>
      <c r="Q55" s="112">
        <f t="shared" si="18"/>
        <v>7.1483917529920629E-2</v>
      </c>
      <c r="R55" s="112">
        <f t="shared" si="18"/>
        <v>0.13228422785451516</v>
      </c>
      <c r="S55" s="112">
        <f t="shared" si="18"/>
        <v>9.0414079181737106E-2</v>
      </c>
      <c r="T55" s="112">
        <f t="shared" si="18"/>
        <v>0.19610912136591307</v>
      </c>
      <c r="U55" s="112">
        <f t="shared" si="18"/>
        <v>0.1601226466658307</v>
      </c>
      <c r="V55" s="112">
        <f t="shared" si="18"/>
        <v>0.12195947881755881</v>
      </c>
      <c r="W55" s="112">
        <f t="shared" si="18"/>
        <v>0.10543385838700792</v>
      </c>
      <c r="X55" s="112">
        <f t="shared" si="18"/>
        <v>0.12549531479829751</v>
      </c>
      <c r="Y55" s="112">
        <f t="shared" si="18"/>
        <v>0.16740249353197753</v>
      </c>
      <c r="Z55" s="112">
        <f t="shared" si="18"/>
        <v>9.1262633773009166E-2</v>
      </c>
      <c r="AA55" s="112">
        <f t="shared" si="18"/>
        <v>8.825944683217575E-2</v>
      </c>
      <c r="AB55" s="112">
        <f t="shared" si="18"/>
        <v>0.19243362712789805</v>
      </c>
      <c r="AC55" s="112">
        <f t="shared" si="18"/>
        <v>0.1037733867777699</v>
      </c>
      <c r="AD55" s="112">
        <f t="shared" si="18"/>
        <v>0.1307679630303358</v>
      </c>
      <c r="AE55" s="112">
        <f t="shared" si="18"/>
        <v>0.18103282310707144</v>
      </c>
      <c r="AF55" s="112">
        <f t="shared" si="18"/>
        <v>6.5279921027354609E-2</v>
      </c>
      <c r="AG55" s="112">
        <f t="shared" si="18"/>
        <v>7.8338325914714957E-2</v>
      </c>
      <c r="AH55" s="112">
        <f t="shared" si="18"/>
        <v>9.9182203798731647E-2</v>
      </c>
      <c r="AI55" s="112">
        <f t="shared" si="18"/>
        <v>0.12689366764738241</v>
      </c>
      <c r="AJ55" s="112">
        <f t="shared" si="18"/>
        <v>8.1637596099636736E-2</v>
      </c>
      <c r="AK55" s="112">
        <f t="shared" si="18"/>
        <v>9.7355578457215486E-2</v>
      </c>
      <c r="AL55" s="112">
        <f t="shared" si="18"/>
        <v>9.9213856646621676E-2</v>
      </c>
      <c r="AM55" s="112">
        <f t="shared" si="18"/>
        <v>0.15262588393727411</v>
      </c>
      <c r="AN55" s="112">
        <f t="shared" si="18"/>
        <v>0.13705369755431648</v>
      </c>
      <c r="AO55" s="112">
        <f t="shared" si="18"/>
        <v>0.10589957546377515</v>
      </c>
      <c r="AP55" s="112">
        <f t="shared" si="18"/>
        <v>0.10549144898224289</v>
      </c>
      <c r="AQ55" s="112">
        <f t="shared" si="18"/>
        <v>0.23413218737440636</v>
      </c>
      <c r="AR55" s="112">
        <f t="shared" si="18"/>
        <v>0.20331536235083675</v>
      </c>
      <c r="AS55" s="112">
        <f t="shared" si="18"/>
        <v>8.9581638923058038E-2</v>
      </c>
      <c r="AT55" s="112">
        <f t="shared" si="18"/>
        <v>0.12192613617601705</v>
      </c>
      <c r="AU55" s="112">
        <f t="shared" si="18"/>
        <v>7.7021915654245099E-2</v>
      </c>
      <c r="AV55" s="112">
        <f t="shared" si="18"/>
        <v>0.11242594865999164</v>
      </c>
      <c r="AW55" s="112">
        <f t="shared" si="18"/>
        <v>0.12475327086812271</v>
      </c>
      <c r="AX55" s="112">
        <f t="shared" si="18"/>
        <v>0.11266966851773537</v>
      </c>
      <c r="AY55" s="112">
        <f t="shared" si="18"/>
        <v>6.6169104138472865E-2</v>
      </c>
      <c r="AZ55" s="112">
        <f t="shared" si="18"/>
        <v>8.219206076559786E-2</v>
      </c>
      <c r="BA55" s="112">
        <f t="shared" si="18"/>
        <v>8.8723390223165804E-2</v>
      </c>
      <c r="BB55" s="112">
        <f t="shared" si="18"/>
        <v>0.10554336422756323</v>
      </c>
      <c r="BC55" s="112">
        <f t="shared" si="18"/>
        <v>0.12037737321473573</v>
      </c>
      <c r="BE55" s="123"/>
    </row>
    <row r="56" spans="1:57" s="112" customFormat="1" ht="13" x14ac:dyDescent="0.3">
      <c r="A56" s="112" t="s">
        <v>56</v>
      </c>
      <c r="C56" s="111">
        <f t="shared" ref="C56:BC56" si="19">C45/C4</f>
        <v>0.94520256693813054</v>
      </c>
      <c r="D56" s="112">
        <f t="shared" si="19"/>
        <v>0.89624837744950581</v>
      </c>
      <c r="E56" s="112">
        <f t="shared" si="19"/>
        <v>1.2403679799201937</v>
      </c>
      <c r="F56" s="112">
        <f t="shared" si="19"/>
        <v>1.2528949880384019</v>
      </c>
      <c r="G56" s="112">
        <f t="shared" si="19"/>
        <v>1.1060702017200608</v>
      </c>
      <c r="H56" s="112">
        <f t="shared" si="19"/>
        <v>0.99753412314953871</v>
      </c>
      <c r="I56" s="112">
        <f t="shared" si="19"/>
        <v>0.95114484030480517</v>
      </c>
      <c r="J56" s="112">
        <f t="shared" si="19"/>
        <v>0.91603494522659246</v>
      </c>
      <c r="K56" s="112">
        <f t="shared" si="19"/>
        <v>0.88366731046932845</v>
      </c>
      <c r="L56" s="112">
        <f t="shared" si="19"/>
        <v>0.859707493769859</v>
      </c>
      <c r="M56" s="112">
        <f t="shared" si="19"/>
        <v>0.94328482264513647</v>
      </c>
      <c r="N56" s="112">
        <f t="shared" si="19"/>
        <v>1.0875013482177993</v>
      </c>
      <c r="O56" s="112">
        <f t="shared" si="19"/>
        <v>1.131659308676032</v>
      </c>
      <c r="P56" s="112">
        <f t="shared" si="19"/>
        <v>0.97159740213264889</v>
      </c>
      <c r="Q56" s="112">
        <f t="shared" si="19"/>
        <v>0.81396375519677955</v>
      </c>
      <c r="R56" s="112">
        <f t="shared" si="19"/>
        <v>0.85197192092172724</v>
      </c>
      <c r="S56" s="112">
        <f t="shared" si="19"/>
        <v>0.74283214981190071</v>
      </c>
      <c r="T56" s="112">
        <f t="shared" si="19"/>
        <v>0.85046160997590203</v>
      </c>
      <c r="U56" s="112">
        <f t="shared" si="19"/>
        <v>1.2176980753827926</v>
      </c>
      <c r="V56" s="112">
        <f t="shared" si="19"/>
        <v>0.94749826148852179</v>
      </c>
      <c r="W56" s="112">
        <f t="shared" si="19"/>
        <v>0.91742767144966264</v>
      </c>
      <c r="X56" s="112">
        <f t="shared" si="19"/>
        <v>1.011527234026353</v>
      </c>
      <c r="Y56" s="112">
        <f t="shared" si="19"/>
        <v>0.80113803129737959</v>
      </c>
      <c r="Z56" s="112">
        <f t="shared" si="19"/>
        <v>0.9386029254734729</v>
      </c>
      <c r="AA56" s="112">
        <f t="shared" si="19"/>
        <v>0.87622020202097306</v>
      </c>
      <c r="AB56" s="112">
        <f t="shared" si="19"/>
        <v>0.82088416885061899</v>
      </c>
      <c r="AC56" s="112">
        <f t="shared" si="19"/>
        <v>0.92895453137525152</v>
      </c>
      <c r="AD56" s="112">
        <f t="shared" si="19"/>
        <v>1.2130543885800544</v>
      </c>
      <c r="AE56" s="112">
        <f t="shared" si="19"/>
        <v>0.85790475439459635</v>
      </c>
      <c r="AF56" s="112">
        <f t="shared" si="19"/>
        <v>0.8609070606729744</v>
      </c>
      <c r="AG56" s="112">
        <f t="shared" si="19"/>
        <v>1.0128182066260039</v>
      </c>
      <c r="AH56" s="112">
        <f t="shared" si="19"/>
        <v>0.96296507668658238</v>
      </c>
      <c r="AI56" s="112">
        <f t="shared" si="19"/>
        <v>0.75109254910762058</v>
      </c>
      <c r="AJ56" s="112">
        <f t="shared" si="19"/>
        <v>0.98745007211940505</v>
      </c>
      <c r="AK56" s="112">
        <f t="shared" si="19"/>
        <v>0.88216376550859776</v>
      </c>
      <c r="AL56" s="112">
        <f t="shared" si="19"/>
        <v>0.96757188006967498</v>
      </c>
      <c r="AM56" s="112">
        <f t="shared" si="19"/>
        <v>1.0013149832968549</v>
      </c>
      <c r="AN56" s="112">
        <f t="shared" si="19"/>
        <v>0.90355848087920243</v>
      </c>
      <c r="AO56" s="112">
        <f t="shared" si="19"/>
        <v>0.66132208111659074</v>
      </c>
      <c r="AP56" s="112">
        <f t="shared" si="19"/>
        <v>0.91599700120313121</v>
      </c>
      <c r="AQ56" s="112">
        <f t="shared" si="19"/>
        <v>1.0864333108914423</v>
      </c>
      <c r="AR56" s="112">
        <f t="shared" si="19"/>
        <v>0.96931168015284785</v>
      </c>
      <c r="AS56" s="112">
        <f t="shared" si="19"/>
        <v>0.92925532219978546</v>
      </c>
      <c r="AT56" s="112">
        <f t="shared" si="19"/>
        <v>0.90938859542739836</v>
      </c>
      <c r="AU56" s="112">
        <f t="shared" si="19"/>
        <v>0.81364513512813597</v>
      </c>
      <c r="AV56" s="112">
        <f t="shared" si="19"/>
        <v>0.90769372224761835</v>
      </c>
      <c r="AW56" s="112">
        <f t="shared" si="19"/>
        <v>0.90188872402048692</v>
      </c>
      <c r="AX56" s="112">
        <f t="shared" si="19"/>
        <v>0.89140657361710862</v>
      </c>
      <c r="AY56" s="112">
        <f t="shared" si="19"/>
        <v>0.82419092270234673</v>
      </c>
      <c r="AZ56" s="112">
        <f t="shared" si="19"/>
        <v>0.98275047137557492</v>
      </c>
      <c r="BA56" s="112">
        <f t="shared" si="19"/>
        <v>0.66378691114077548</v>
      </c>
      <c r="BB56" s="112">
        <f t="shared" si="19"/>
        <v>0.91489363455112982</v>
      </c>
      <c r="BC56" s="112">
        <f t="shared" si="19"/>
        <v>0.87331600491812678</v>
      </c>
      <c r="BE56" s="123"/>
    </row>
    <row r="57" spans="1:57" s="112" customFormat="1" ht="13" x14ac:dyDescent="0.3">
      <c r="A57" s="112" t="s">
        <v>57</v>
      </c>
      <c r="C57" s="111">
        <f t="shared" ref="C57:BC57" si="20">SUM(C30:C39)/C44</f>
        <v>0.43394015858577206</v>
      </c>
      <c r="D57" s="112">
        <f t="shared" si="20"/>
        <v>0.71684972847000383</v>
      </c>
      <c r="E57" s="112">
        <f t="shared" si="20"/>
        <v>0.22953523206935866</v>
      </c>
      <c r="F57" s="112">
        <f t="shared" si="20"/>
        <v>0.52789932959991748</v>
      </c>
      <c r="G57" s="112">
        <f t="shared" si="20"/>
        <v>0.40906116648465934</v>
      </c>
      <c r="H57" s="112">
        <f t="shared" si="20"/>
        <v>0.3988296847398497</v>
      </c>
      <c r="I57" s="112">
        <f t="shared" si="20"/>
        <v>0.51124755197092842</v>
      </c>
      <c r="J57" s="112">
        <f t="shared" si="20"/>
        <v>0.47130612748192574</v>
      </c>
      <c r="K57" s="112">
        <f t="shared" si="20"/>
        <v>0.61110768275806326</v>
      </c>
      <c r="L57" s="112">
        <f t="shared" si="20"/>
        <v>0.71616750081195824</v>
      </c>
      <c r="M57" s="112">
        <f t="shared" si="20"/>
        <v>0.54022337818141797</v>
      </c>
      <c r="N57" s="112">
        <f t="shared" si="20"/>
        <v>0.57089589339255953</v>
      </c>
      <c r="O57" s="112">
        <f t="shared" si="20"/>
        <v>0.44161515516064298</v>
      </c>
      <c r="P57" s="112">
        <f t="shared" si="20"/>
        <v>0.50305701184779228</v>
      </c>
      <c r="Q57" s="112">
        <f t="shared" si="20"/>
        <v>0.72163165724647216</v>
      </c>
      <c r="R57" s="112">
        <f t="shared" si="20"/>
        <v>0.29514791439392113</v>
      </c>
      <c r="S57" s="112">
        <f t="shared" si="20"/>
        <v>0.45795620176923746</v>
      </c>
      <c r="T57" s="112">
        <f t="shared" si="20"/>
        <v>0.46035374448359512</v>
      </c>
      <c r="U57" s="112">
        <f t="shared" si="20"/>
        <v>0.36815000051429264</v>
      </c>
      <c r="V57" s="112">
        <f t="shared" si="20"/>
        <v>0.38962034718052585</v>
      </c>
      <c r="W57" s="112">
        <f t="shared" si="20"/>
        <v>0.42918973729142063</v>
      </c>
      <c r="X57" s="112">
        <f t="shared" si="20"/>
        <v>0.45831795826380889</v>
      </c>
      <c r="Y57" s="112">
        <f t="shared" si="20"/>
        <v>0.34237156434022797</v>
      </c>
      <c r="Z57" s="112">
        <f t="shared" si="20"/>
        <v>0.44302765806849681</v>
      </c>
      <c r="AA57" s="112">
        <f t="shared" si="20"/>
        <v>0.64889303353163841</v>
      </c>
      <c r="AB57" s="112">
        <f t="shared" si="20"/>
        <v>0.45394676646804205</v>
      </c>
      <c r="AC57" s="112">
        <f t="shared" si="20"/>
        <v>0.49620667600469809</v>
      </c>
      <c r="AD57" s="112">
        <f t="shared" si="20"/>
        <v>0.2685114143357068</v>
      </c>
      <c r="AE57" s="112">
        <f t="shared" si="20"/>
        <v>0.3884739424843594</v>
      </c>
      <c r="AF57" s="112">
        <f t="shared" si="20"/>
        <v>0.72877051626933465</v>
      </c>
      <c r="AG57" s="112">
        <f t="shared" si="20"/>
        <v>0.53523292981930282</v>
      </c>
      <c r="AH57" s="112">
        <f t="shared" si="20"/>
        <v>0.63105482708967131</v>
      </c>
      <c r="AI57" s="112">
        <f t="shared" si="20"/>
        <v>0.71172966789181358</v>
      </c>
      <c r="AJ57" s="112">
        <f t="shared" si="20"/>
        <v>0.5495959924438184</v>
      </c>
      <c r="AK57" s="112">
        <f t="shared" si="20"/>
        <v>0.56956142772701079</v>
      </c>
      <c r="AL57" s="112">
        <f t="shared" si="20"/>
        <v>0.6685762954788369</v>
      </c>
      <c r="AM57" s="112">
        <f t="shared" si="20"/>
        <v>0.35391566843344191</v>
      </c>
      <c r="AN57" s="112">
        <f t="shared" si="20"/>
        <v>0.55270417089677426</v>
      </c>
      <c r="AO57" s="112">
        <f t="shared" si="20"/>
        <v>0.73143799636412288</v>
      </c>
      <c r="AP57" s="112">
        <f t="shared" si="20"/>
        <v>0.44874151303925586</v>
      </c>
      <c r="AQ57" s="112">
        <f t="shared" si="20"/>
        <v>0.16892244864267156</v>
      </c>
      <c r="AR57" s="112">
        <f t="shared" si="20"/>
        <v>0.30108029565247285</v>
      </c>
      <c r="AS57" s="112">
        <f t="shared" si="20"/>
        <v>0.53125662874239299</v>
      </c>
      <c r="AT57" s="112">
        <f t="shared" si="20"/>
        <v>0.27940777552229445</v>
      </c>
      <c r="AU57" s="112">
        <f t="shared" si="20"/>
        <v>0.72466485220284882</v>
      </c>
      <c r="AV57" s="112">
        <f t="shared" si="20"/>
        <v>0.43601686772818343</v>
      </c>
      <c r="AW57" s="112">
        <f t="shared" si="20"/>
        <v>0.54370741593923677</v>
      </c>
      <c r="AX57" s="112">
        <f t="shared" si="20"/>
        <v>0.4161588631824244</v>
      </c>
      <c r="AY57" s="112">
        <f t="shared" si="20"/>
        <v>0.73529385700864036</v>
      </c>
      <c r="AZ57" s="112">
        <f t="shared" si="20"/>
        <v>0.63150654990640076</v>
      </c>
      <c r="BA57" s="112">
        <f t="shared" si="20"/>
        <v>0.69318312084515643</v>
      </c>
      <c r="BB57" s="112">
        <f t="shared" si="20"/>
        <v>0.37716238719625178</v>
      </c>
      <c r="BC57" s="112">
        <f t="shared" si="20"/>
        <v>0.32581482058627437</v>
      </c>
      <c r="BE57" s="123"/>
    </row>
    <row r="58" spans="1:57" s="112" customFormat="1" ht="13" x14ac:dyDescent="0.3">
      <c r="A58" s="112" t="s">
        <v>58</v>
      </c>
      <c r="C58" s="111">
        <f>C41/C44</f>
        <v>0.30603990384189278</v>
      </c>
      <c r="D58" s="112">
        <f t="shared" ref="D58:AM58" si="21">D41/D44</f>
        <v>7.2140179555677683E-2</v>
      </c>
      <c r="E58" s="112">
        <f t="shared" si="21"/>
        <v>0.13254890681801454</v>
      </c>
      <c r="F58" s="112">
        <f t="shared" si="21"/>
        <v>6.3509526459582549E-2</v>
      </c>
      <c r="G58" s="112">
        <f t="shared" si="21"/>
        <v>0.15276265828664573</v>
      </c>
      <c r="H58" s="112">
        <f t="shared" si="21"/>
        <v>0.33895444832881044</v>
      </c>
      <c r="I58" s="112">
        <f>I41/I44</f>
        <v>5.3583769673961244E-2</v>
      </c>
      <c r="J58" s="112">
        <f t="shared" si="21"/>
        <v>0.31210490712332611</v>
      </c>
      <c r="K58" s="112">
        <f t="shared" si="21"/>
        <v>0.17788288534039084</v>
      </c>
      <c r="L58" s="112">
        <f t="shared" si="21"/>
        <v>7.2313995478520771E-2</v>
      </c>
      <c r="M58" s="112">
        <f>M41/M44</f>
        <v>0.1803901545649213</v>
      </c>
      <c r="N58" s="112">
        <f t="shared" si="21"/>
        <v>7.454643002262995E-2</v>
      </c>
      <c r="O58" s="112">
        <f t="shared" si="21"/>
        <v>0.17056717048335271</v>
      </c>
      <c r="P58" s="112">
        <f t="shared" si="21"/>
        <v>0.32815998075906228</v>
      </c>
      <c r="Q58" s="112">
        <f t="shared" si="21"/>
        <v>7.0921854040067706E-2</v>
      </c>
      <c r="R58" s="112">
        <f t="shared" si="21"/>
        <v>0.52843437595096965</v>
      </c>
      <c r="S58" s="112">
        <f t="shared" si="21"/>
        <v>0.36491707888765562</v>
      </c>
      <c r="T58" s="112">
        <f t="shared" si="21"/>
        <v>5.0268321500944013E-2</v>
      </c>
      <c r="U58" s="112">
        <f t="shared" si="21"/>
        <v>0.3653999986373741</v>
      </c>
      <c r="V58" s="112">
        <f t="shared" si="21"/>
        <v>0.39012834496640997</v>
      </c>
      <c r="W58" s="112">
        <f t="shared" si="21"/>
        <v>0.39202508272678788</v>
      </c>
      <c r="X58" s="112">
        <f t="shared" si="21"/>
        <v>4.8431951058295751E-2</v>
      </c>
      <c r="Y58" s="112">
        <f t="shared" si="21"/>
        <v>0.36976811464664439</v>
      </c>
      <c r="Z58" s="112">
        <f t="shared" si="21"/>
        <v>0.38256274397242895</v>
      </c>
      <c r="AA58" s="112">
        <f t="shared" si="21"/>
        <v>6.4983230326670208E-2</v>
      </c>
      <c r="AB58" s="112">
        <f t="shared" si="21"/>
        <v>0.38184237413868649</v>
      </c>
      <c r="AC58" s="112">
        <f t="shared" si="21"/>
        <v>0.35685976996449509</v>
      </c>
      <c r="AD58" s="112">
        <f t="shared" si="21"/>
        <v>0.4053264866959686</v>
      </c>
      <c r="AE58" s="112">
        <f t="shared" si="21"/>
        <v>0.4913504017683118</v>
      </c>
      <c r="AF58" s="112">
        <f t="shared" si="21"/>
        <v>6.9103036883548005E-2</v>
      </c>
      <c r="AG58" s="112">
        <f t="shared" si="21"/>
        <v>9.1732868397156178E-2</v>
      </c>
      <c r="AH58" s="112">
        <f t="shared" si="21"/>
        <v>6.5640104777717881E-2</v>
      </c>
      <c r="AI58" s="112">
        <f t="shared" si="21"/>
        <v>7.3444653280709801E-2</v>
      </c>
      <c r="AJ58" s="112">
        <f t="shared" si="21"/>
        <v>6.0779714568659653E-2</v>
      </c>
      <c r="AK58" s="112">
        <f t="shared" si="21"/>
        <v>5.1158556458065031E-2</v>
      </c>
      <c r="AL58" s="112">
        <f t="shared" si="21"/>
        <v>7.3886611481886411E-2</v>
      </c>
      <c r="AM58" s="112">
        <f t="shared" si="21"/>
        <v>0.34158653891106761</v>
      </c>
      <c r="AN58" s="112">
        <f>AN41/AN44</f>
        <v>5.301223041983083E-2</v>
      </c>
      <c r="AO58" s="112">
        <f>AO41/AO44</f>
        <v>6.8423424280814452E-2</v>
      </c>
      <c r="AP58" s="112">
        <f>AP41/AP44</f>
        <v>0.40982545172519375</v>
      </c>
      <c r="AQ58" s="112">
        <f>AQ41/AQ44</f>
        <v>0.60218520193665703</v>
      </c>
      <c r="AR58" s="112">
        <f t="shared" ref="AR58:BB58" si="22">AR41/AR44</f>
        <v>0.55781662590286396</v>
      </c>
      <c r="AS58" s="112">
        <f t="shared" si="22"/>
        <v>0.27059372231860634</v>
      </c>
      <c r="AT58" s="112">
        <f t="shared" si="22"/>
        <v>0.61449555665335953</v>
      </c>
      <c r="AU58" s="112">
        <f t="shared" si="22"/>
        <v>7.0149065698393076E-2</v>
      </c>
      <c r="AV58" s="112">
        <f t="shared" si="22"/>
        <v>0.32775202170719459</v>
      </c>
      <c r="AW58" s="112">
        <f t="shared" si="22"/>
        <v>0.2652692188689697</v>
      </c>
      <c r="AX58" s="112">
        <f t="shared" si="22"/>
        <v>0.40616289932040128</v>
      </c>
      <c r="AY58" s="112">
        <f t="shared" si="22"/>
        <v>6.7441039634901445E-2</v>
      </c>
      <c r="AZ58" s="112">
        <f t="shared" si="22"/>
        <v>6.803643169778667E-2</v>
      </c>
      <c r="BA58" s="112">
        <f t="shared" si="22"/>
        <v>6.6185944723623158E-2</v>
      </c>
      <c r="BB58" s="112">
        <f t="shared" si="22"/>
        <v>0.49120715833684658</v>
      </c>
      <c r="BC58" s="112">
        <f>BC41/BC44</f>
        <v>0.56251444192079636</v>
      </c>
      <c r="BE58" s="123"/>
    </row>
    <row r="59" spans="1:57" s="112" customFormat="1" ht="13" x14ac:dyDescent="0.3">
      <c r="A59" s="112" t="s">
        <v>59</v>
      </c>
      <c r="C59" s="111">
        <f>C43/C44</f>
        <v>7.5630146988851468E-2</v>
      </c>
      <c r="D59" s="112">
        <f t="shared" ref="D59:BC59" si="23">D43/D44</f>
        <v>0</v>
      </c>
      <c r="E59" s="112">
        <f t="shared" si="23"/>
        <v>6.9211954465918685E-2</v>
      </c>
      <c r="F59" s="112">
        <f t="shared" si="23"/>
        <v>0.22268205017299394</v>
      </c>
      <c r="G59" s="112">
        <f t="shared" si="23"/>
        <v>0.14226775564318855</v>
      </c>
      <c r="H59" s="112">
        <f t="shared" si="23"/>
        <v>0.13003686552705193</v>
      </c>
      <c r="I59" s="112">
        <f t="shared" si="23"/>
        <v>0.27843610246088552</v>
      </c>
      <c r="J59" s="112">
        <f t="shared" si="23"/>
        <v>6.882637379994945E-2</v>
      </c>
      <c r="K59" s="112">
        <f t="shared" si="23"/>
        <v>3.5348368004242778E-2</v>
      </c>
      <c r="L59" s="112">
        <f t="shared" si="23"/>
        <v>0</v>
      </c>
      <c r="M59" s="112">
        <f>M43/M44</f>
        <v>6.399594231320338E-2</v>
      </c>
      <c r="N59" s="112">
        <f t="shared" si="23"/>
        <v>0.13650929976739748</v>
      </c>
      <c r="O59" s="112">
        <f t="shared" si="23"/>
        <v>0.19850497307829115</v>
      </c>
      <c r="P59" s="112">
        <f t="shared" si="23"/>
        <v>0</v>
      </c>
      <c r="Q59" s="112">
        <f t="shared" si="23"/>
        <v>0</v>
      </c>
      <c r="R59" s="112">
        <f t="shared" si="23"/>
        <v>8.103822476739668E-2</v>
      </c>
      <c r="S59" s="112">
        <f t="shared" si="23"/>
        <v>0</v>
      </c>
      <c r="T59" s="112">
        <f t="shared" si="23"/>
        <v>5.7422457323423701E-2</v>
      </c>
      <c r="U59" s="112">
        <f t="shared" si="23"/>
        <v>6.6272986419183971E-2</v>
      </c>
      <c r="V59" s="112">
        <f t="shared" si="23"/>
        <v>8.8952085163653674E-2</v>
      </c>
      <c r="W59" s="112">
        <f t="shared" si="23"/>
        <v>3.7821573845096414E-2</v>
      </c>
      <c r="X59" s="112">
        <f t="shared" si="23"/>
        <v>0.27794345211730564</v>
      </c>
      <c r="Y59" s="112">
        <f t="shared" si="23"/>
        <v>0.1481798328605537</v>
      </c>
      <c r="Z59" s="112">
        <f t="shared" si="23"/>
        <v>0</v>
      </c>
      <c r="AA59" s="112">
        <f t="shared" si="23"/>
        <v>8.4997988749373657E-2</v>
      </c>
      <c r="AB59" s="112">
        <f t="shared" si="23"/>
        <v>4.5501030647070888E-2</v>
      </c>
      <c r="AC59" s="112">
        <f t="shared" si="23"/>
        <v>0</v>
      </c>
      <c r="AD59" s="112">
        <f t="shared" si="23"/>
        <v>0.10131713510116629</v>
      </c>
      <c r="AE59" s="112">
        <f t="shared" si="23"/>
        <v>0</v>
      </c>
      <c r="AF59" s="112">
        <f t="shared" si="23"/>
        <v>0</v>
      </c>
      <c r="AG59" s="112">
        <f t="shared" si="23"/>
        <v>0.10471547681263046</v>
      </c>
      <c r="AH59" s="112">
        <f t="shared" si="23"/>
        <v>9.6589327227606839E-2</v>
      </c>
      <c r="AI59" s="112">
        <f t="shared" si="23"/>
        <v>0</v>
      </c>
      <c r="AJ59" s="112">
        <f t="shared" si="23"/>
        <v>0.20342594625342608</v>
      </c>
      <c r="AK59" s="112">
        <f t="shared" si="23"/>
        <v>0.16303001981239951</v>
      </c>
      <c r="AL59" s="112">
        <f t="shared" si="23"/>
        <v>0</v>
      </c>
      <c r="AM59" s="112">
        <f t="shared" si="23"/>
        <v>0.11685084659316965</v>
      </c>
      <c r="AN59" s="112">
        <f t="shared" si="23"/>
        <v>8.0896590794960616E-3</v>
      </c>
      <c r="AO59" s="112">
        <f t="shared" si="23"/>
        <v>0</v>
      </c>
      <c r="AP59" s="112">
        <f t="shared" si="23"/>
        <v>8.8905324470222626E-3</v>
      </c>
      <c r="AQ59" s="112">
        <f t="shared" si="23"/>
        <v>0.16774747271909191</v>
      </c>
      <c r="AR59" s="112">
        <f t="shared" si="23"/>
        <v>5.4564502677579417E-2</v>
      </c>
      <c r="AS59" s="112">
        <f t="shared" si="23"/>
        <v>2.9425462341233721E-2</v>
      </c>
      <c r="AT59" s="112">
        <f t="shared" si="23"/>
        <v>1.4221592058069247E-2</v>
      </c>
      <c r="AU59" s="112">
        <f t="shared" si="23"/>
        <v>0</v>
      </c>
      <c r="AV59" s="112">
        <f t="shared" si="23"/>
        <v>0.10583409846743767</v>
      </c>
      <c r="AW59" s="112">
        <f t="shared" si="23"/>
        <v>4.3869428055045678E-2</v>
      </c>
      <c r="AX59" s="112">
        <f t="shared" si="23"/>
        <v>3.8671389284818405E-2</v>
      </c>
      <c r="AY59" s="112">
        <f t="shared" si="23"/>
        <v>0</v>
      </c>
      <c r="AZ59" s="112">
        <f t="shared" si="23"/>
        <v>6.9413426587160737E-2</v>
      </c>
      <c r="BA59" s="112">
        <f t="shared" si="23"/>
        <v>0</v>
      </c>
      <c r="BB59" s="112">
        <f t="shared" si="23"/>
        <v>1.5569944812984186E-2</v>
      </c>
      <c r="BC59" s="112">
        <f t="shared" si="23"/>
        <v>0</v>
      </c>
      <c r="BE59" s="123"/>
    </row>
    <row r="60" spans="1:57" x14ac:dyDescent="0.3">
      <c r="A60" s="124"/>
    </row>
    <row r="61" spans="1:57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</row>
    <row r="62" spans="1:57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</row>
    <row r="63" spans="1:57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B65" s="119"/>
    </row>
    <row r="69" spans="1:55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535A-9BAB-4EB5-94AB-CC5572D6AA8B}">
  <sheetPr codeName="Sheet16">
    <tabColor theme="4" tint="0.39997558519241921"/>
  </sheetPr>
  <dimension ref="A1:AP69"/>
  <sheetViews>
    <sheetView zoomScaleNormal="100" workbookViewId="0">
      <pane xSplit="2" ySplit="2" topLeftCell="C40" activePane="bottomRight" state="frozen"/>
      <selection activeCell="P23" sqref="P23"/>
      <selection pane="topRight" activeCell="P23" sqref="P23"/>
      <selection pane="bottomLeft" activeCell="P23" sqref="P23"/>
      <selection pane="bottomRight" activeCell="P23" sqref="P23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180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 t="s">
        <v>183</v>
      </c>
      <c r="G2" s="58" t="s">
        <v>184</v>
      </c>
      <c r="H2" s="58"/>
      <c r="I2" s="58"/>
    </row>
    <row r="3" spans="1:38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</row>
    <row r="4" spans="1:38" s="64" customFormat="1" ht="13" x14ac:dyDescent="0.3">
      <c r="A4" s="60" t="s">
        <v>181</v>
      </c>
      <c r="B4" s="61"/>
      <c r="C4" s="62">
        <f>SUM(D4:AL4)</f>
        <v>309575000</v>
      </c>
      <c r="D4" s="61">
        <v>77595000</v>
      </c>
      <c r="E4" s="61">
        <v>31014000</v>
      </c>
      <c r="F4" s="60">
        <v>94346000</v>
      </c>
      <c r="G4" s="60">
        <v>106620000</v>
      </c>
      <c r="H4" s="63"/>
      <c r="I4" s="61"/>
      <c r="N4" s="65"/>
      <c r="R4" s="65"/>
    </row>
    <row r="5" spans="1:38" s="68" customFormat="1" ht="13" x14ac:dyDescent="0.3">
      <c r="A5" s="66" t="s">
        <v>3</v>
      </c>
      <c r="B5" s="67"/>
      <c r="C5" s="62">
        <f t="shared" ref="C5:C18" si="0">SUM(D5:AL5)</f>
        <v>25300000</v>
      </c>
      <c r="D5" s="67">
        <v>3800000</v>
      </c>
      <c r="E5" s="67"/>
      <c r="F5" s="67">
        <v>8500000</v>
      </c>
      <c r="G5" s="67">
        <v>13000000</v>
      </c>
      <c r="H5" s="67"/>
      <c r="I5" s="67"/>
    </row>
    <row r="6" spans="1:38" s="68" customFormat="1" ht="13" x14ac:dyDescent="0.3">
      <c r="A6" s="69" t="s">
        <v>4</v>
      </c>
      <c r="B6" s="67"/>
      <c r="C6" s="62">
        <f>SUM(D6:AL6)</f>
        <v>0</v>
      </c>
      <c r="E6" s="67"/>
      <c r="F6" s="67"/>
      <c r="G6" s="67"/>
      <c r="H6" s="67"/>
      <c r="I6" s="67"/>
      <c r="R6" s="70"/>
      <c r="W6" s="70"/>
      <c r="AI6" s="70"/>
    </row>
    <row r="7" spans="1:38" s="68" customFormat="1" ht="13" x14ac:dyDescent="0.3">
      <c r="A7" s="71" t="s">
        <v>5</v>
      </c>
      <c r="B7" s="67"/>
      <c r="C7" s="62">
        <f t="shared" si="0"/>
        <v>0</v>
      </c>
      <c r="E7" s="67"/>
      <c r="F7" s="67"/>
      <c r="G7" s="67"/>
      <c r="H7" s="67"/>
      <c r="I7" s="67"/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3</v>
      </c>
      <c r="D8" s="68">
        <v>1</v>
      </c>
      <c r="E8" s="67">
        <v>0</v>
      </c>
      <c r="F8" s="67">
        <v>2</v>
      </c>
      <c r="G8" s="67">
        <v>0</v>
      </c>
      <c r="H8" s="67"/>
      <c r="I8" s="67"/>
      <c r="T8" s="73"/>
      <c r="U8" s="73"/>
      <c r="V8" s="73"/>
      <c r="W8" s="73"/>
      <c r="X8" s="73"/>
      <c r="Y8" s="73"/>
      <c r="Z8" s="74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</row>
    <row r="9" spans="1:38" s="68" customFormat="1" ht="13" x14ac:dyDescent="0.3">
      <c r="A9" s="71"/>
      <c r="B9" s="67" t="s">
        <v>7</v>
      </c>
      <c r="C9" s="62">
        <f t="shared" si="0"/>
        <v>6</v>
      </c>
      <c r="D9" s="68">
        <v>1</v>
      </c>
      <c r="E9" s="67">
        <v>0</v>
      </c>
      <c r="F9" s="67">
        <v>2</v>
      </c>
      <c r="G9" s="67">
        <v>3</v>
      </c>
      <c r="H9" s="67"/>
      <c r="I9" s="67"/>
      <c r="T9" s="75"/>
      <c r="U9" s="75"/>
      <c r="V9" s="73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</row>
    <row r="10" spans="1:38" s="68" customFormat="1" ht="13" x14ac:dyDescent="0.3">
      <c r="A10" s="71"/>
      <c r="B10" s="67" t="s">
        <v>176</v>
      </c>
      <c r="C10" s="62">
        <f t="shared" si="0"/>
        <v>0</v>
      </c>
      <c r="D10" s="68">
        <v>0</v>
      </c>
      <c r="E10" s="67">
        <v>0</v>
      </c>
      <c r="F10" s="67">
        <v>0</v>
      </c>
      <c r="G10" s="67">
        <v>0</v>
      </c>
      <c r="H10" s="67"/>
      <c r="I10" s="67"/>
      <c r="T10" s="75"/>
      <c r="U10" s="75"/>
      <c r="V10" s="73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68" customFormat="1" ht="16.5" customHeight="1" x14ac:dyDescent="0.3">
      <c r="A11" s="71"/>
      <c r="B11" s="67" t="s">
        <v>9</v>
      </c>
      <c r="C11" s="62">
        <f t="shared" si="0"/>
        <v>235764838.7096774</v>
      </c>
      <c r="D11" s="68">
        <v>55726666.666666664</v>
      </c>
      <c r="E11" s="67">
        <v>26400000</v>
      </c>
      <c r="F11" s="67">
        <v>73483333.333333328</v>
      </c>
      <c r="G11" s="67">
        <v>80154838.709677413</v>
      </c>
      <c r="H11" s="67"/>
      <c r="I11" s="67"/>
      <c r="T11" s="75"/>
      <c r="U11" s="75"/>
      <c r="V11" s="73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20201500</v>
      </c>
      <c r="D12" s="67">
        <v>8265500</v>
      </c>
      <c r="E12" s="67">
        <v>2424000</v>
      </c>
      <c r="F12" s="62">
        <v>4704000</v>
      </c>
      <c r="G12" s="62">
        <v>4808000</v>
      </c>
      <c r="H12" s="62"/>
      <c r="I12" s="67"/>
      <c r="T12" s="75"/>
      <c r="U12" s="75"/>
      <c r="V12" s="73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</row>
    <row r="13" spans="1:38" s="68" customFormat="1" ht="13" x14ac:dyDescent="0.3">
      <c r="A13" s="129"/>
      <c r="B13" s="69" t="s">
        <v>12</v>
      </c>
      <c r="C13" s="62">
        <f t="shared" si="0"/>
        <v>9075000</v>
      </c>
      <c r="D13" s="67">
        <v>3240000</v>
      </c>
      <c r="E13" s="68">
        <v>1050000</v>
      </c>
      <c r="F13" s="68">
        <v>2205000</v>
      </c>
      <c r="G13" s="68">
        <v>2580000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</row>
    <row r="14" spans="1:38" s="68" customFormat="1" ht="13" x14ac:dyDescent="0.3">
      <c r="A14" s="129"/>
      <c r="B14" s="69" t="s">
        <v>13</v>
      </c>
      <c r="C14" s="62">
        <f t="shared" si="0"/>
        <v>5160000</v>
      </c>
      <c r="D14" s="67">
        <v>1620000</v>
      </c>
      <c r="E14" s="67">
        <v>540000</v>
      </c>
      <c r="F14" s="68">
        <v>1380000</v>
      </c>
      <c r="G14" s="68">
        <v>1620000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</row>
    <row r="15" spans="1:38" s="68" customFormat="1" ht="13" x14ac:dyDescent="0.3">
      <c r="A15" s="129"/>
      <c r="B15" s="69" t="s">
        <v>14</v>
      </c>
      <c r="C15" s="62">
        <f t="shared" si="0"/>
        <v>4100000</v>
      </c>
      <c r="D15" s="67">
        <v>1100000</v>
      </c>
      <c r="E15" s="68">
        <v>200000</v>
      </c>
      <c r="F15" s="68">
        <v>1200000</v>
      </c>
      <c r="G15" s="68">
        <v>1600000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</row>
    <row r="16" spans="1:38" s="68" customFormat="1" ht="13" x14ac:dyDescent="0.3">
      <c r="A16" s="129"/>
      <c r="B16" s="69" t="s">
        <v>15</v>
      </c>
      <c r="C16" s="62">
        <f t="shared" si="0"/>
        <v>850000</v>
      </c>
      <c r="D16" s="67">
        <v>700000</v>
      </c>
      <c r="E16" s="68">
        <v>0</v>
      </c>
      <c r="F16" s="68">
        <v>0</v>
      </c>
      <c r="G16" s="68">
        <v>150000</v>
      </c>
      <c r="T16" s="76"/>
      <c r="U16" s="73"/>
      <c r="V16" s="73"/>
      <c r="W16" s="73"/>
      <c r="X16" s="73"/>
      <c r="Y16" s="76"/>
      <c r="Z16" s="76"/>
      <c r="AA16" s="76"/>
      <c r="AB16" s="76"/>
      <c r="AC16" s="73"/>
      <c r="AD16" s="76"/>
      <c r="AE16" s="76"/>
      <c r="AF16" s="76"/>
      <c r="AG16" s="76"/>
      <c r="AH16" s="76"/>
      <c r="AI16" s="73"/>
      <c r="AJ16" s="76"/>
      <c r="AK16" s="73"/>
      <c r="AL16" s="73"/>
    </row>
    <row r="17" spans="1:42" s="68" customFormat="1" ht="13" x14ac:dyDescent="0.3">
      <c r="A17" s="129"/>
      <c r="B17" s="69" t="s">
        <v>102</v>
      </c>
      <c r="C17" s="62">
        <f t="shared" si="0"/>
        <v>4700000</v>
      </c>
      <c r="D17" s="67">
        <v>1560000</v>
      </c>
      <c r="E17" s="68">
        <v>400000</v>
      </c>
      <c r="F17" s="68">
        <v>1380000</v>
      </c>
      <c r="G17" s="68">
        <v>1360000</v>
      </c>
      <c r="T17" s="77"/>
      <c r="U17" s="77"/>
      <c r="V17" s="73"/>
      <c r="W17" s="70"/>
      <c r="X17" s="77"/>
      <c r="Y17" s="77"/>
      <c r="Z17" s="77"/>
      <c r="AA17" s="77"/>
      <c r="AB17" s="77"/>
      <c r="AC17" s="77"/>
      <c r="AD17" s="77"/>
      <c r="AE17" s="77"/>
      <c r="AF17" s="70"/>
      <c r="AG17" s="77"/>
      <c r="AH17" s="70"/>
      <c r="AI17" s="77"/>
      <c r="AJ17" s="77"/>
      <c r="AK17" s="77"/>
      <c r="AL17" s="77"/>
    </row>
    <row r="18" spans="1:42" s="68" customFormat="1" ht="13.5" thickBot="1" x14ac:dyDescent="0.35">
      <c r="A18" s="129"/>
      <c r="B18" s="69" t="s">
        <v>17</v>
      </c>
      <c r="C18" s="62">
        <f t="shared" si="0"/>
        <v>4620000</v>
      </c>
      <c r="D18" s="67">
        <v>1620000</v>
      </c>
      <c r="E18" s="68">
        <v>0</v>
      </c>
      <c r="F18" s="68">
        <v>1380000</v>
      </c>
      <c r="G18" s="68">
        <v>1620000</v>
      </c>
      <c r="T18" s="78"/>
      <c r="U18" s="78"/>
      <c r="V18" s="73"/>
      <c r="W18" s="78"/>
      <c r="X18" s="78"/>
      <c r="Y18" s="78"/>
      <c r="Z18" s="78"/>
      <c r="AA18" s="79"/>
      <c r="AB18" s="78"/>
      <c r="AC18" s="78"/>
      <c r="AD18" s="78"/>
      <c r="AE18" s="78"/>
      <c r="AF18" s="78"/>
      <c r="AG18" s="79"/>
      <c r="AH18" s="78"/>
      <c r="AI18" s="78"/>
      <c r="AJ18" s="78"/>
      <c r="AK18" s="78"/>
      <c r="AL18" s="78"/>
    </row>
    <row r="19" spans="1:42" s="68" customFormat="1" ht="12" customHeight="1" x14ac:dyDescent="0.3">
      <c r="A19" s="130"/>
      <c r="B19" s="80" t="s">
        <v>18</v>
      </c>
      <c r="C19" s="81">
        <f>SUM(C12:C18)</f>
        <v>48706500</v>
      </c>
      <c r="D19" s="81">
        <f t="shared" ref="D19:AP19" si="1">SUM(D12:D18)</f>
        <v>18105500</v>
      </c>
      <c r="E19" s="81">
        <f>SUM(E12:E18)</f>
        <v>4614000</v>
      </c>
      <c r="F19" s="81">
        <f t="shared" si="1"/>
        <v>12249000</v>
      </c>
      <c r="G19" s="81">
        <f t="shared" si="1"/>
        <v>13738000</v>
      </c>
      <c r="H19" s="81">
        <f>SUM(H12:H18)</f>
        <v>0</v>
      </c>
      <c r="I19" s="81">
        <f>SUM(I12:I18)</f>
        <v>0</v>
      </c>
      <c r="J19" s="81">
        <f t="shared" si="1"/>
        <v>0</v>
      </c>
      <c r="K19" s="81">
        <f t="shared" si="1"/>
        <v>0</v>
      </c>
      <c r="L19" s="81">
        <f t="shared" si="1"/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>SUM(Q12:Q18)</f>
        <v>0</v>
      </c>
      <c r="R19" s="81">
        <f>SUM(R12:R18)</f>
        <v>0</v>
      </c>
      <c r="S19" s="81">
        <f>SUM(S12:S18)</f>
        <v>0</v>
      </c>
      <c r="T19" s="81">
        <f t="shared" si="1"/>
        <v>0</v>
      </c>
      <c r="U19" s="81">
        <f t="shared" si="1"/>
        <v>0</v>
      </c>
      <c r="V19" s="81">
        <f t="shared" si="1"/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>SUM(AB12:AB18)</f>
        <v>0</v>
      </c>
      <c r="AC19" s="81">
        <f t="shared" si="1"/>
        <v>0</v>
      </c>
      <c r="AD19" s="81">
        <f t="shared" si="1"/>
        <v>0</v>
      </c>
      <c r="AE19" s="81">
        <f t="shared" si="1"/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>SUM(AK12:AK18)</f>
        <v>0</v>
      </c>
      <c r="AL19" s="81">
        <f t="shared" si="1"/>
        <v>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185500000</v>
      </c>
      <c r="D21" s="67">
        <v>48000000</v>
      </c>
      <c r="E21" s="68">
        <v>17000000</v>
      </c>
      <c r="F21" s="68">
        <v>62000000</v>
      </c>
      <c r="G21" s="68">
        <v>58500000</v>
      </c>
      <c r="O21" s="82"/>
      <c r="P21" s="82"/>
      <c r="U21" s="82"/>
      <c r="AA21" s="83"/>
      <c r="AC21" s="82"/>
      <c r="AE21" s="82"/>
      <c r="AF21" s="82"/>
      <c r="AI21" s="82"/>
      <c r="AJ21" s="82"/>
      <c r="AL21" s="82"/>
    </row>
    <row r="22" spans="1:42" s="68" customFormat="1" ht="39" customHeight="1" x14ac:dyDescent="0.3">
      <c r="A22" s="84" t="s">
        <v>21</v>
      </c>
      <c r="C22" s="62">
        <f t="shared" si="2"/>
        <v>6400000</v>
      </c>
      <c r="D22" s="67">
        <v>2400000</v>
      </c>
      <c r="E22" s="82"/>
      <c r="G22" s="82">
        <v>4000000</v>
      </c>
      <c r="O22" s="82"/>
      <c r="P22" s="82"/>
      <c r="T22" s="82"/>
      <c r="U22" s="82"/>
      <c r="W22" s="82"/>
      <c r="X22" s="82"/>
      <c r="Z22" s="82"/>
      <c r="AA22" s="83"/>
      <c r="AB22" s="82"/>
      <c r="AC22" s="82"/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28434046</v>
      </c>
      <c r="D23" s="82">
        <v>10603354</v>
      </c>
      <c r="E23" s="86">
        <v>3850956</v>
      </c>
      <c r="F23" s="82">
        <v>6563873</v>
      </c>
      <c r="G23" s="82">
        <v>7415863</v>
      </c>
      <c r="H23" s="86"/>
      <c r="I23" s="83"/>
      <c r="J23" s="83"/>
      <c r="K23" s="83"/>
      <c r="L23" s="82"/>
      <c r="M23" s="82"/>
      <c r="N23" s="83"/>
      <c r="O23" s="83"/>
      <c r="P23" s="83"/>
      <c r="Q23" s="83"/>
      <c r="R23" s="82"/>
      <c r="S23" s="83"/>
      <c r="T23" s="82"/>
      <c r="U23" s="83"/>
      <c r="V23" s="83"/>
      <c r="W23" s="83"/>
      <c r="X23" s="83"/>
      <c r="Y23" s="83"/>
      <c r="Z23" s="82"/>
      <c r="AA23" s="82"/>
      <c r="AB23" s="83"/>
      <c r="AC23" s="82"/>
      <c r="AD23" s="83"/>
      <c r="AE23" s="83"/>
      <c r="AF23" s="82"/>
      <c r="AG23" s="82"/>
      <c r="AH23" s="82"/>
      <c r="AI23" s="83"/>
      <c r="AJ23" s="83"/>
      <c r="AK23" s="83"/>
      <c r="AL23" s="83"/>
    </row>
    <row r="24" spans="1:42" s="68" customFormat="1" ht="20.5" customHeight="1" x14ac:dyDescent="0.3">
      <c r="A24" s="131"/>
      <c r="B24" s="68" t="s">
        <v>24</v>
      </c>
      <c r="C24" s="87">
        <f t="shared" si="2"/>
        <v>6071700</v>
      </c>
      <c r="D24" s="82">
        <v>600000</v>
      </c>
      <c r="E24" s="82">
        <v>830300</v>
      </c>
      <c r="F24" s="82">
        <v>2475950</v>
      </c>
      <c r="G24" s="82">
        <v>2165450</v>
      </c>
      <c r="H24" s="86"/>
      <c r="I24" s="83"/>
      <c r="J24" s="83"/>
      <c r="K24" s="83"/>
      <c r="L24" s="82"/>
      <c r="M24" s="82"/>
      <c r="N24" s="83"/>
      <c r="O24" s="83"/>
      <c r="P24" s="83"/>
      <c r="Q24" s="83"/>
      <c r="R24" s="82"/>
      <c r="S24" s="83"/>
      <c r="T24" s="82"/>
      <c r="U24" s="83"/>
      <c r="V24" s="83"/>
      <c r="W24" s="83"/>
      <c r="X24" s="83"/>
      <c r="Y24" s="83"/>
      <c r="Z24" s="82"/>
      <c r="AA24" s="82"/>
      <c r="AB24" s="83"/>
      <c r="AC24" s="82"/>
      <c r="AD24" s="83"/>
      <c r="AE24" s="83"/>
      <c r="AF24" s="82"/>
      <c r="AG24" s="82"/>
      <c r="AH24" s="82"/>
      <c r="AI24" s="83"/>
      <c r="AJ24" s="83"/>
      <c r="AK24" s="83"/>
      <c r="AL24" s="83"/>
    </row>
    <row r="25" spans="1:42" s="68" customFormat="1" ht="19" customHeight="1" x14ac:dyDescent="0.3">
      <c r="A25" s="131"/>
      <c r="B25" s="67" t="s">
        <v>25</v>
      </c>
      <c r="C25" s="62">
        <f t="shared" si="2"/>
        <v>400000</v>
      </c>
      <c r="D25" s="82">
        <v>0</v>
      </c>
      <c r="E25" s="82">
        <v>400000</v>
      </c>
      <c r="F25" s="82"/>
      <c r="G25" s="82">
        <v>0</v>
      </c>
      <c r="H25" s="82"/>
      <c r="I25" s="83"/>
      <c r="J25" s="83"/>
      <c r="K25" s="83"/>
      <c r="L25" s="82"/>
      <c r="M25" s="82"/>
      <c r="N25" s="82"/>
      <c r="O25" s="83"/>
      <c r="P25" s="83"/>
      <c r="Q25" s="83"/>
      <c r="R25" s="82"/>
      <c r="S25" s="83"/>
      <c r="T25" s="82"/>
      <c r="U25" s="83"/>
      <c r="V25" s="83"/>
      <c r="W25" s="83"/>
      <c r="X25" s="83"/>
      <c r="Y25" s="83"/>
      <c r="Z25" s="82"/>
      <c r="AA25" s="82"/>
      <c r="AB25" s="83"/>
      <c r="AC25" s="82"/>
      <c r="AD25" s="83"/>
      <c r="AE25" s="83"/>
      <c r="AF25" s="82"/>
      <c r="AG25" s="82"/>
      <c r="AH25" s="82"/>
      <c r="AI25" s="83"/>
      <c r="AJ25" s="83"/>
      <c r="AK25" s="83"/>
      <c r="AL25" s="83"/>
    </row>
    <row r="26" spans="1:42" s="68" customFormat="1" ht="18.5" customHeight="1" x14ac:dyDescent="0.3">
      <c r="A26" s="131"/>
      <c r="B26" s="67" t="s">
        <v>26</v>
      </c>
      <c r="C26" s="62">
        <f t="shared" si="2"/>
        <v>1150000</v>
      </c>
      <c r="D26" s="82">
        <v>300000</v>
      </c>
      <c r="E26" s="82">
        <v>200000</v>
      </c>
      <c r="F26" s="82">
        <v>350000</v>
      </c>
      <c r="G26" s="82">
        <v>300000</v>
      </c>
      <c r="H26" s="82"/>
      <c r="I26" s="83"/>
      <c r="J26" s="82"/>
      <c r="K26" s="83"/>
      <c r="L26" s="82"/>
      <c r="N26" s="83"/>
      <c r="O26" s="83"/>
      <c r="P26" s="83"/>
      <c r="Q26" s="83"/>
      <c r="R26" s="82"/>
      <c r="S26" s="83"/>
      <c r="T26" s="82"/>
      <c r="U26" s="83"/>
      <c r="V26" s="83"/>
      <c r="W26" s="83"/>
      <c r="X26" s="82"/>
      <c r="Y26" s="82"/>
      <c r="Z26" s="82"/>
      <c r="AA26" s="82"/>
      <c r="AB26" s="83"/>
      <c r="AC26" s="82"/>
      <c r="AD26" s="82"/>
      <c r="AE26" s="83"/>
      <c r="AF26" s="82"/>
      <c r="AG26" s="82"/>
      <c r="AH26" s="82"/>
      <c r="AI26" s="83"/>
      <c r="AJ26" s="83"/>
      <c r="AK26" s="83"/>
      <c r="AL26" s="83"/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227955746</v>
      </c>
      <c r="D29" s="60">
        <f>SUM(D21:D28)</f>
        <v>61903354</v>
      </c>
      <c r="E29" s="60">
        <f t="shared" ref="E29:AL29" si="3">SUM(E21:E28)</f>
        <v>22281256</v>
      </c>
      <c r="F29" s="60">
        <f t="shared" si="3"/>
        <v>71389823</v>
      </c>
      <c r="G29" s="60">
        <f t="shared" si="3"/>
        <v>72381313</v>
      </c>
      <c r="H29" s="60">
        <f t="shared" si="3"/>
        <v>0</v>
      </c>
      <c r="I29" s="60">
        <f t="shared" si="3"/>
        <v>0</v>
      </c>
      <c r="J29" s="60">
        <f t="shared" si="3"/>
        <v>0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>SUM(Q21:Q28)</f>
        <v>0</v>
      </c>
      <c r="R29" s="60">
        <f t="shared" si="3"/>
        <v>0</v>
      </c>
      <c r="S29" s="60">
        <f t="shared" si="3"/>
        <v>0</v>
      </c>
      <c r="T29" s="60">
        <f t="shared" si="3"/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>SUM(AB21:AB28)</f>
        <v>0</v>
      </c>
      <c r="AC29" s="60">
        <f t="shared" si="3"/>
        <v>0</v>
      </c>
      <c r="AD29" s="60">
        <f t="shared" si="3"/>
        <v>0</v>
      </c>
      <c r="AE29" s="60">
        <f t="shared" si="3"/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>SUM(AJ21:AJ28)</f>
        <v>0</v>
      </c>
      <c r="AK29" s="60">
        <f t="shared" si="3"/>
        <v>0</v>
      </c>
      <c r="AL29" s="60">
        <f t="shared" si="3"/>
        <v>0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2" si="4">SUM(D30:AL30)</f>
        <v>6362017.0823174138</v>
      </c>
      <c r="D30" s="82">
        <v>1453103.8690127791</v>
      </c>
      <c r="E30" s="83">
        <v>555789.47368421056</v>
      </c>
      <c r="F30" s="82">
        <v>2073229.6610885165</v>
      </c>
      <c r="G30" s="82">
        <v>2279894.0785319079</v>
      </c>
      <c r="H30" s="82"/>
      <c r="I30" s="82"/>
      <c r="J30" s="83"/>
      <c r="K30" s="82"/>
      <c r="L30" s="82"/>
      <c r="M30" s="82"/>
      <c r="N30" s="83"/>
      <c r="O30" s="83"/>
      <c r="P30" s="83"/>
      <c r="Q30" s="83"/>
      <c r="R30" s="83"/>
      <c r="S30" s="83"/>
      <c r="T30" s="82"/>
      <c r="U30" s="83"/>
      <c r="V30" s="83"/>
      <c r="W30" s="83"/>
      <c r="X30" s="83"/>
      <c r="Y30" s="82"/>
      <c r="Z30" s="83"/>
      <c r="AA30" s="82"/>
      <c r="AB30" s="82"/>
      <c r="AC30" s="82"/>
      <c r="AD30" s="82"/>
      <c r="AE30" s="82"/>
      <c r="AF30" s="82"/>
      <c r="AG30" s="82"/>
      <c r="AH30" s="82"/>
      <c r="AI30" s="83"/>
      <c r="AJ30" s="83"/>
      <c r="AK30" s="82"/>
      <c r="AL30" s="83"/>
    </row>
    <row r="31" spans="1:42" s="68" customFormat="1" ht="24" customHeight="1" x14ac:dyDescent="0.3">
      <c r="A31" s="133"/>
      <c r="B31" s="67" t="s">
        <v>32</v>
      </c>
      <c r="C31" s="62">
        <f t="shared" si="4"/>
        <v>501160.0928074246</v>
      </c>
      <c r="D31" s="82">
        <v>139211.13689095128</v>
      </c>
      <c r="E31" s="83">
        <v>46403.712296983758</v>
      </c>
      <c r="F31" s="82">
        <v>157772.62180974477</v>
      </c>
      <c r="G31" s="82">
        <v>157772.62180974477</v>
      </c>
      <c r="H31" s="82"/>
      <c r="I31" s="82"/>
      <c r="J31" s="83"/>
      <c r="K31" s="82"/>
      <c r="L31" s="82"/>
      <c r="M31" s="82"/>
      <c r="N31" s="83"/>
      <c r="O31" s="83"/>
      <c r="P31" s="83"/>
      <c r="Q31" s="83"/>
      <c r="R31" s="83"/>
      <c r="S31" s="83"/>
      <c r="T31" s="82"/>
      <c r="U31" s="83"/>
      <c r="V31" s="83"/>
      <c r="W31" s="83"/>
      <c r="X31" s="83"/>
      <c r="Y31" s="82"/>
      <c r="Z31" s="83"/>
      <c r="AA31" s="82"/>
      <c r="AB31" s="82"/>
      <c r="AC31" s="82"/>
      <c r="AD31" s="82"/>
      <c r="AE31" s="82"/>
      <c r="AF31" s="82"/>
      <c r="AG31" s="82"/>
      <c r="AH31" s="82"/>
      <c r="AI31" s="83"/>
      <c r="AJ31" s="83"/>
      <c r="AK31" s="82"/>
      <c r="AL31" s="83"/>
    </row>
    <row r="32" spans="1:42" s="68" customFormat="1" ht="24" customHeight="1" x14ac:dyDescent="0.3">
      <c r="A32" s="133"/>
      <c r="B32" s="67" t="s">
        <v>33</v>
      </c>
      <c r="C32" s="62">
        <f t="shared" si="4"/>
        <v>795633.41067285393</v>
      </c>
      <c r="D32" s="82">
        <v>221009.28074245941</v>
      </c>
      <c r="E32" s="83">
        <v>73669.760247486469</v>
      </c>
      <c r="F32" s="82">
        <v>250477.18484145397</v>
      </c>
      <c r="G32" s="82">
        <v>250477.18484145397</v>
      </c>
      <c r="H32" s="82"/>
      <c r="I32" s="82"/>
      <c r="J32" s="83"/>
      <c r="K32" s="82"/>
      <c r="L32" s="82"/>
      <c r="M32" s="82"/>
      <c r="N32" s="83"/>
      <c r="O32" s="83"/>
      <c r="P32" s="83"/>
      <c r="Q32" s="83"/>
      <c r="R32" s="83"/>
      <c r="S32" s="83"/>
      <c r="T32" s="82"/>
      <c r="U32" s="83"/>
      <c r="V32" s="83"/>
      <c r="W32" s="83"/>
      <c r="X32" s="83"/>
      <c r="Y32" s="82"/>
      <c r="Z32" s="83"/>
      <c r="AA32" s="82"/>
      <c r="AB32" s="82"/>
      <c r="AC32" s="82"/>
      <c r="AD32" s="82"/>
      <c r="AE32" s="82"/>
      <c r="AF32" s="82"/>
      <c r="AG32" s="82"/>
      <c r="AH32" s="82"/>
      <c r="AI32" s="83"/>
      <c r="AJ32" s="83"/>
      <c r="AK32" s="82"/>
      <c r="AL32" s="83"/>
    </row>
    <row r="33" spans="1:38" s="68" customFormat="1" ht="24" customHeight="1" x14ac:dyDescent="0.3">
      <c r="A33" s="133"/>
      <c r="B33" s="67" t="s">
        <v>34</v>
      </c>
      <c r="C33" s="62">
        <f t="shared" si="4"/>
        <v>604106.72853828315</v>
      </c>
      <c r="D33" s="82">
        <v>167807.4245939675</v>
      </c>
      <c r="E33" s="83">
        <v>55935.808197989172</v>
      </c>
      <c r="F33" s="82">
        <v>190181.7478731632</v>
      </c>
      <c r="G33" s="82">
        <v>190181.7478731632</v>
      </c>
      <c r="H33" s="82"/>
      <c r="I33" s="82"/>
      <c r="J33" s="83"/>
      <c r="K33" s="82"/>
      <c r="L33" s="82"/>
      <c r="M33" s="82"/>
      <c r="N33" s="83"/>
      <c r="O33" s="83"/>
      <c r="P33" s="83"/>
      <c r="Q33" s="83"/>
      <c r="R33" s="83"/>
      <c r="S33" s="83"/>
      <c r="T33" s="82"/>
      <c r="U33" s="83"/>
      <c r="V33" s="83"/>
      <c r="W33" s="83"/>
      <c r="X33" s="83"/>
      <c r="Y33" s="82"/>
      <c r="Z33" s="83"/>
      <c r="AA33" s="82"/>
      <c r="AB33" s="82"/>
      <c r="AC33" s="82"/>
      <c r="AD33" s="82"/>
      <c r="AE33" s="82"/>
      <c r="AF33" s="82"/>
      <c r="AG33" s="82"/>
      <c r="AH33" s="82"/>
      <c r="AI33" s="83"/>
      <c r="AJ33" s="83"/>
      <c r="AK33" s="82"/>
      <c r="AL33" s="83"/>
    </row>
    <row r="34" spans="1:38" s="68" customFormat="1" ht="24" customHeight="1" x14ac:dyDescent="0.3">
      <c r="A34" s="133"/>
      <c r="B34" s="67" t="s">
        <v>167</v>
      </c>
      <c r="C34" s="62">
        <f t="shared" si="4"/>
        <v>125290.02320185615</v>
      </c>
      <c r="D34" s="82">
        <v>34802.784222737821</v>
      </c>
      <c r="E34" s="83">
        <v>11600.92807424594</v>
      </c>
      <c r="F34" s="82">
        <v>39443.155452436193</v>
      </c>
      <c r="G34" s="82">
        <v>39443.155452436193</v>
      </c>
      <c r="H34" s="82"/>
      <c r="I34" s="82"/>
      <c r="J34" s="83"/>
      <c r="K34" s="82"/>
      <c r="L34" s="82"/>
      <c r="M34" s="82"/>
      <c r="N34" s="83"/>
      <c r="O34" s="83"/>
      <c r="P34" s="83"/>
      <c r="Q34" s="83"/>
      <c r="R34" s="83"/>
      <c r="S34" s="83"/>
      <c r="T34" s="82"/>
      <c r="U34" s="83"/>
      <c r="V34" s="83"/>
      <c r="W34" s="83"/>
      <c r="X34" s="83"/>
      <c r="Y34" s="82"/>
      <c r="Z34" s="83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2"/>
      <c r="AL34" s="83"/>
    </row>
    <row r="35" spans="1:38" s="68" customFormat="1" ht="21.5" customHeight="1" x14ac:dyDescent="0.3">
      <c r="A35" s="133"/>
      <c r="B35" s="67" t="s">
        <v>35</v>
      </c>
      <c r="C35" s="62">
        <f t="shared" si="4"/>
        <v>1800160.6218097447</v>
      </c>
      <c r="D35" s="82">
        <v>500044.61716937355</v>
      </c>
      <c r="E35" s="83">
        <v>166681.53905645784</v>
      </c>
      <c r="F35" s="82">
        <v>566717.23279195663</v>
      </c>
      <c r="G35" s="82">
        <v>566717.23279195663</v>
      </c>
      <c r="H35" s="82"/>
      <c r="I35" s="82"/>
      <c r="J35" s="83"/>
      <c r="K35" s="82"/>
      <c r="L35" s="82"/>
      <c r="M35" s="82"/>
      <c r="N35" s="83"/>
      <c r="O35" s="83"/>
      <c r="P35" s="83"/>
      <c r="Q35" s="83"/>
      <c r="R35" s="83"/>
      <c r="S35" s="83"/>
      <c r="T35" s="82"/>
      <c r="U35" s="83"/>
      <c r="V35" s="83"/>
      <c r="W35" s="83"/>
      <c r="X35" s="83"/>
      <c r="Y35" s="82"/>
      <c r="Z35" s="83"/>
      <c r="AA35" s="82"/>
      <c r="AB35" s="82"/>
      <c r="AC35" s="82"/>
      <c r="AD35" s="82"/>
      <c r="AE35" s="82"/>
      <c r="AF35" s="82"/>
      <c r="AG35" s="82"/>
      <c r="AH35" s="82"/>
      <c r="AI35" s="82"/>
      <c r="AJ35" s="83"/>
      <c r="AK35" s="82"/>
      <c r="AL35" s="83"/>
    </row>
    <row r="36" spans="1:38" s="68" customFormat="1" ht="21" customHeight="1" x14ac:dyDescent="0.3">
      <c r="A36" s="133"/>
      <c r="B36" s="67" t="s">
        <v>36</v>
      </c>
      <c r="C36" s="62">
        <f t="shared" si="4"/>
        <v>1900000</v>
      </c>
      <c r="D36" s="82">
        <v>550000</v>
      </c>
      <c r="E36" s="83">
        <v>400000</v>
      </c>
      <c r="F36" s="82">
        <v>400000</v>
      </c>
      <c r="G36" s="82">
        <v>550000</v>
      </c>
      <c r="H36" s="82"/>
      <c r="I36" s="82"/>
      <c r="J36" s="83"/>
      <c r="K36" s="82"/>
      <c r="L36" s="82"/>
      <c r="M36" s="82"/>
      <c r="N36" s="83"/>
      <c r="O36" s="83"/>
      <c r="P36" s="83"/>
      <c r="Q36" s="83"/>
      <c r="R36" s="83"/>
      <c r="S36" s="83"/>
      <c r="T36" s="82"/>
      <c r="U36" s="83"/>
      <c r="V36" s="83"/>
      <c r="W36" s="83"/>
      <c r="X36" s="83"/>
      <c r="Y36" s="82"/>
      <c r="Z36" s="83"/>
      <c r="AA36" s="82"/>
      <c r="AB36" s="82"/>
      <c r="AC36" s="82"/>
      <c r="AD36" s="82"/>
      <c r="AE36" s="82"/>
      <c r="AF36" s="82"/>
      <c r="AG36" s="82"/>
      <c r="AH36" s="82"/>
      <c r="AI36" s="82"/>
      <c r="AJ36" s="83"/>
      <c r="AK36" s="82"/>
      <c r="AL36" s="83"/>
    </row>
    <row r="37" spans="1:38" s="68" customFormat="1" ht="21.5" customHeight="1" x14ac:dyDescent="0.3">
      <c r="A37" s="133"/>
      <c r="B37" s="67" t="s">
        <v>37</v>
      </c>
      <c r="C37" s="62">
        <f t="shared" si="4"/>
        <v>763526.68213457079</v>
      </c>
      <c r="D37" s="82">
        <v>183201.85614849188</v>
      </c>
      <c r="E37" s="83">
        <v>167733.95204949728</v>
      </c>
      <c r="F37" s="82">
        <v>206295.4369682908</v>
      </c>
      <c r="G37" s="82">
        <v>206295.4369682908</v>
      </c>
      <c r="H37" s="82"/>
      <c r="I37" s="82"/>
      <c r="J37" s="83"/>
      <c r="K37" s="82"/>
      <c r="L37" s="82"/>
      <c r="M37" s="82"/>
      <c r="N37" s="83"/>
      <c r="O37" s="83"/>
      <c r="P37" s="83"/>
      <c r="Q37" s="83"/>
      <c r="R37" s="83"/>
      <c r="S37" s="83"/>
      <c r="T37" s="82"/>
      <c r="U37" s="83"/>
      <c r="V37" s="83"/>
      <c r="W37" s="83"/>
      <c r="X37" s="83"/>
      <c r="Y37" s="82"/>
      <c r="Z37" s="83"/>
      <c r="AA37" s="82"/>
      <c r="AB37" s="82"/>
      <c r="AC37" s="82"/>
      <c r="AD37" s="82"/>
      <c r="AE37" s="82"/>
      <c r="AF37" s="82"/>
      <c r="AG37" s="82"/>
      <c r="AH37" s="82"/>
      <c r="AI37" s="82"/>
      <c r="AJ37" s="83"/>
      <c r="AK37" s="82"/>
      <c r="AL37" s="83"/>
    </row>
    <row r="38" spans="1:38" s="68" customFormat="1" ht="24" customHeight="1" x14ac:dyDescent="0.3">
      <c r="A38" s="133"/>
      <c r="B38" s="67" t="s">
        <v>38</v>
      </c>
      <c r="C38" s="62">
        <f t="shared" si="4"/>
        <v>918793.50348027842</v>
      </c>
      <c r="D38" s="82">
        <v>255220.41763341066</v>
      </c>
      <c r="E38" s="83">
        <v>85073.47254447022</v>
      </c>
      <c r="F38" s="82">
        <v>289249.80665119877</v>
      </c>
      <c r="G38" s="82">
        <v>289249.80665119877</v>
      </c>
      <c r="H38" s="82"/>
      <c r="I38" s="82"/>
      <c r="J38" s="83"/>
      <c r="K38" s="82"/>
      <c r="L38" s="82"/>
      <c r="M38" s="82"/>
      <c r="N38" s="83"/>
      <c r="O38" s="83"/>
      <c r="P38" s="83"/>
      <c r="Q38" s="83"/>
      <c r="R38" s="83"/>
      <c r="S38" s="83"/>
      <c r="T38" s="82"/>
      <c r="U38" s="83"/>
      <c r="V38" s="83"/>
      <c r="W38" s="83"/>
      <c r="X38" s="83"/>
      <c r="Y38" s="82"/>
      <c r="Z38" s="83"/>
      <c r="AA38" s="83"/>
      <c r="AB38" s="82"/>
      <c r="AC38" s="82"/>
      <c r="AD38" s="82"/>
      <c r="AE38" s="82"/>
      <c r="AF38" s="82"/>
      <c r="AG38" s="82"/>
      <c r="AH38" s="82"/>
      <c r="AI38" s="82"/>
      <c r="AJ38" s="83"/>
      <c r="AK38" s="82"/>
      <c r="AL38" s="83"/>
    </row>
    <row r="39" spans="1:38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/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4025234.2552204179</v>
      </c>
      <c r="D40" s="82">
        <v>1118120.626450116</v>
      </c>
      <c r="E40" s="83">
        <v>372706.87548337202</v>
      </c>
      <c r="F40" s="82">
        <v>1267203.3766434647</v>
      </c>
      <c r="G40" s="82">
        <v>1267203.3766434647</v>
      </c>
      <c r="H40" s="82"/>
      <c r="I40" s="82"/>
      <c r="J40" s="83"/>
      <c r="K40" s="82"/>
      <c r="L40" s="82"/>
      <c r="M40" s="82"/>
      <c r="N40" s="83"/>
      <c r="O40" s="83"/>
      <c r="P40" s="83"/>
      <c r="Q40" s="83"/>
      <c r="R40" s="83"/>
      <c r="S40" s="83"/>
      <c r="T40" s="82"/>
      <c r="U40" s="83"/>
      <c r="V40" s="83"/>
      <c r="W40" s="83"/>
      <c r="X40" s="83"/>
      <c r="Y40" s="82"/>
      <c r="Z40" s="83"/>
      <c r="AA40" s="82"/>
      <c r="AB40" s="82"/>
      <c r="AC40" s="82"/>
      <c r="AD40" s="82"/>
      <c r="AE40" s="82"/>
      <c r="AF40" s="82"/>
      <c r="AG40" s="82"/>
      <c r="AH40" s="82"/>
      <c r="AI40" s="82"/>
      <c r="AJ40" s="83"/>
      <c r="AK40" s="82"/>
      <c r="AL40" s="83"/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14026148.113689095</v>
      </c>
      <c r="D41" s="82">
        <v>2282263</v>
      </c>
      <c r="E41" s="82">
        <v>127421.11368909513</v>
      </c>
      <c r="F41" s="82">
        <v>4683232</v>
      </c>
      <c r="G41" s="82">
        <v>6933232</v>
      </c>
      <c r="H41" s="82"/>
      <c r="I41" s="82"/>
      <c r="J41" s="83"/>
      <c r="M41" s="82"/>
      <c r="N41" s="82"/>
      <c r="O41" s="82"/>
      <c r="Q41" s="83"/>
      <c r="R41" s="83"/>
      <c r="S41" s="83"/>
      <c r="U41" s="82"/>
      <c r="V41" s="83"/>
      <c r="W41" s="82"/>
      <c r="X41" s="90"/>
      <c r="Y41" s="82"/>
      <c r="Z41" s="83"/>
      <c r="AA41" s="82"/>
      <c r="AB41" s="82"/>
      <c r="AC41" s="82"/>
      <c r="AD41" s="82"/>
      <c r="AE41" s="82"/>
      <c r="AF41" s="82"/>
      <c r="AH41" s="82"/>
      <c r="AL41" s="83"/>
    </row>
    <row r="42" spans="1:38" s="68" customFormat="1" ht="33" customHeight="1" x14ac:dyDescent="0.3">
      <c r="A42" s="135"/>
      <c r="B42" s="69" t="s">
        <v>43</v>
      </c>
      <c r="C42" s="62">
        <f t="shared" si="4"/>
        <v>760000</v>
      </c>
      <c r="D42" s="82">
        <v>760000</v>
      </c>
      <c r="E42" s="83"/>
      <c r="F42" s="82"/>
      <c r="G42" s="82"/>
      <c r="H42" s="82"/>
      <c r="I42" s="82"/>
      <c r="J42" s="82"/>
      <c r="N42" s="82"/>
      <c r="O42" s="82"/>
      <c r="Q42" s="82"/>
      <c r="S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H42" s="82"/>
      <c r="AL42" s="82"/>
    </row>
    <row r="43" spans="1:38" s="68" customFormat="1" ht="54.5" customHeight="1" x14ac:dyDescent="0.3">
      <c r="A43" s="135"/>
      <c r="B43" s="69" t="s">
        <v>103</v>
      </c>
      <c r="C43" s="62">
        <f>SUM(D43:AL43)</f>
        <v>3862000</v>
      </c>
      <c r="D43" s="82">
        <v>596000</v>
      </c>
      <c r="E43" s="82"/>
      <c r="F43" s="82">
        <v>426000</v>
      </c>
      <c r="G43" s="67">
        <v>2840000</v>
      </c>
      <c r="H43" s="67"/>
      <c r="I43" s="67"/>
      <c r="J43" s="82"/>
      <c r="K43" s="82"/>
      <c r="N43" s="82"/>
      <c r="S43" s="82"/>
      <c r="T43" s="82"/>
      <c r="V43" s="82"/>
      <c r="W43" s="82"/>
      <c r="X43" s="83"/>
      <c r="Z43" s="82"/>
      <c r="AA43" s="82"/>
      <c r="AB43" s="82"/>
      <c r="AC43" s="82"/>
      <c r="AE43" s="82"/>
      <c r="AG43" s="82"/>
      <c r="AK43" s="82"/>
    </row>
    <row r="44" spans="1:38" s="93" customFormat="1" ht="13" x14ac:dyDescent="0.3">
      <c r="A44" s="91" t="s">
        <v>45</v>
      </c>
      <c r="B44" s="92"/>
      <c r="C44" s="62">
        <f>SUM(C30:C43)</f>
        <v>36444070.513871938</v>
      </c>
      <c r="D44" s="92">
        <f t="shared" ref="D44:AL44" si="5">SUM(D30:D43)</f>
        <v>8260785.0128642879</v>
      </c>
      <c r="E44" s="92">
        <f t="shared" si="5"/>
        <v>2063016.6353238081</v>
      </c>
      <c r="F44" s="92">
        <f t="shared" si="5"/>
        <v>10549802.224120226</v>
      </c>
      <c r="G44" s="92">
        <f t="shared" si="5"/>
        <v>15570466.641563617</v>
      </c>
      <c r="H44" s="92">
        <f t="shared" si="5"/>
        <v>0</v>
      </c>
      <c r="I44" s="92">
        <f t="shared" si="5"/>
        <v>0</v>
      </c>
      <c r="J44" s="92">
        <f t="shared" si="5"/>
        <v>0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>SUM(P30:P43)</f>
        <v>0</v>
      </c>
      <c r="Q44" s="92">
        <f t="shared" si="5"/>
        <v>0</v>
      </c>
      <c r="R44" s="92">
        <f t="shared" si="5"/>
        <v>0</v>
      </c>
      <c r="S44" s="92">
        <f t="shared" si="5"/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264399816.51387194</v>
      </c>
      <c r="D45" s="95">
        <f t="shared" si="6"/>
        <v>70164139.012864292</v>
      </c>
      <c r="E45" s="95">
        <f t="shared" si="6"/>
        <v>24344272.635323808</v>
      </c>
      <c r="F45" s="95">
        <f t="shared" si="6"/>
        <v>81939625.224120229</v>
      </c>
      <c r="G45" s="95">
        <f t="shared" si="6"/>
        <v>87951779.641563624</v>
      </c>
      <c r="H45" s="95">
        <f t="shared" si="6"/>
        <v>0</v>
      </c>
      <c r="I45" s="95">
        <f t="shared" si="6"/>
        <v>0</v>
      </c>
      <c r="J45" s="95">
        <f t="shared" si="6"/>
        <v>0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</row>
    <row r="46" spans="1:38" s="93" customFormat="1" ht="13" x14ac:dyDescent="0.3">
      <c r="A46" s="92" t="s">
        <v>47</v>
      </c>
      <c r="B46" s="92"/>
      <c r="C46" s="62">
        <f>C4-C29</f>
        <v>81619254</v>
      </c>
      <c r="D46" s="97">
        <f t="shared" ref="D46:AL46" si="7">D4-D29</f>
        <v>15691646</v>
      </c>
      <c r="E46" s="97">
        <f t="shared" si="7"/>
        <v>8732744</v>
      </c>
      <c r="F46" s="97">
        <f t="shared" si="7"/>
        <v>22956177</v>
      </c>
      <c r="G46" s="97">
        <f t="shared" si="7"/>
        <v>34238687</v>
      </c>
      <c r="H46" s="97">
        <f t="shared" si="7"/>
        <v>0</v>
      </c>
      <c r="I46" s="97">
        <f t="shared" si="7"/>
        <v>0</v>
      </c>
      <c r="J46" s="97">
        <f t="shared" si="7"/>
        <v>0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</row>
    <row r="47" spans="1:38" s="100" customFormat="1" ht="13" x14ac:dyDescent="0.3">
      <c r="A47" s="98" t="s">
        <v>48</v>
      </c>
      <c r="B47" s="98"/>
      <c r="C47" s="62">
        <f>C4-C45</f>
        <v>45175183.486128062</v>
      </c>
      <c r="D47" s="99">
        <f t="shared" ref="D47:AL47" si="8">D4-D45</f>
        <v>7430860.9871357083</v>
      </c>
      <c r="E47" s="99">
        <f t="shared" si="8"/>
        <v>6669727.3646761924</v>
      </c>
      <c r="F47" s="99">
        <f t="shared" si="8"/>
        <v>12406374.775879771</v>
      </c>
      <c r="G47" s="99">
        <f t="shared" si="8"/>
        <v>18668220.358436376</v>
      </c>
      <c r="H47" s="99">
        <f t="shared" si="8"/>
        <v>0</v>
      </c>
      <c r="I47" s="99">
        <f t="shared" si="8"/>
        <v>0</v>
      </c>
      <c r="J47" s="99">
        <f t="shared" si="8"/>
        <v>0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227955746</v>
      </c>
      <c r="D48" s="61">
        <f t="shared" si="9"/>
        <v>61903354</v>
      </c>
      <c r="E48" s="61">
        <f t="shared" si="9"/>
        <v>22281256</v>
      </c>
      <c r="F48" s="61">
        <f t="shared" si="9"/>
        <v>71389823</v>
      </c>
      <c r="G48" s="61">
        <f t="shared" si="9"/>
        <v>72381313</v>
      </c>
      <c r="H48" s="61">
        <f t="shared" si="9"/>
        <v>0</v>
      </c>
      <c r="I48" s="61">
        <f t="shared" si="9"/>
        <v>0</v>
      </c>
      <c r="J48" s="61">
        <f t="shared" si="9"/>
        <v>0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0.14592645881007207</v>
      </c>
      <c r="D49" s="101">
        <f t="shared" si="10"/>
        <v>9.5764688280632879E-2</v>
      </c>
      <c r="E49" s="101">
        <f t="shared" si="10"/>
        <v>0.21505537385297582</v>
      </c>
      <c r="F49" s="101">
        <f t="shared" si="10"/>
        <v>0.13149868331333359</v>
      </c>
      <c r="G49" s="101">
        <f t="shared" si="10"/>
        <v>0.17509116824644885</v>
      </c>
      <c r="H49" s="101" t="e">
        <f t="shared" si="10"/>
        <v>#DIV/0!</v>
      </c>
      <c r="I49" s="101" t="e">
        <f t="shared" si="10"/>
        <v>#DIV/0!</v>
      </c>
      <c r="J49" s="101" t="e">
        <f t="shared" si="10"/>
        <v>#DIV/0!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0.26364937091173385</v>
      </c>
      <c r="D50" s="101">
        <f t="shared" si="11"/>
        <v>0.20222496294864359</v>
      </c>
      <c r="E50" s="101">
        <f t="shared" si="11"/>
        <v>0.28157425678725739</v>
      </c>
      <c r="F50" s="101">
        <f t="shared" si="11"/>
        <v>0.24331902783371845</v>
      </c>
      <c r="G50" s="101">
        <f t="shared" si="11"/>
        <v>0.32112818420558997</v>
      </c>
      <c r="H50" s="101" t="e">
        <f t="shared" si="11"/>
        <v>#DIV/0!</v>
      </c>
      <c r="I50" s="101" t="e">
        <f t="shared" si="11"/>
        <v>#DIV/0!</v>
      </c>
      <c r="J50" s="101" t="e">
        <f t="shared" si="11"/>
        <v>#DIV/0!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</row>
    <row r="51" spans="1:38" s="104" customFormat="1" ht="13" x14ac:dyDescent="0.3">
      <c r="A51" s="101" t="s">
        <v>51</v>
      </c>
      <c r="B51" s="102"/>
      <c r="C51" s="103">
        <f>C47/C48</f>
        <v>0.19817523479372204</v>
      </c>
      <c r="D51" s="101">
        <f t="shared" ref="D51:AL51" si="12">D47/D48</f>
        <v>0.12003971524928533</v>
      </c>
      <c r="E51" s="101">
        <f t="shared" si="12"/>
        <v>0.29934252201384842</v>
      </c>
      <c r="F51" s="101">
        <f t="shared" si="12"/>
        <v>0.17378352059900429</v>
      </c>
      <c r="G51" s="101">
        <f t="shared" si="12"/>
        <v>0.25791491732729932</v>
      </c>
      <c r="H51" s="101" t="e">
        <f t="shared" si="12"/>
        <v>#DIV/0!</v>
      </c>
      <c r="I51" s="101" t="e">
        <f t="shared" si="12"/>
        <v>#DIV/0!</v>
      </c>
      <c r="J51" s="101" t="e">
        <f t="shared" si="12"/>
        <v>#DIV/0!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0.55348684620577471</v>
      </c>
      <c r="D52" s="101">
        <f t="shared" si="13"/>
        <v>0.47355522722955312</v>
      </c>
      <c r="E52" s="101">
        <f t="shared" si="13"/>
        <v>0.76376077950712773</v>
      </c>
      <c r="F52" s="101">
        <f t="shared" si="13"/>
        <v>0.54043732002413858</v>
      </c>
      <c r="G52" s="101">
        <f t="shared" si="13"/>
        <v>0.54523762428262434</v>
      </c>
      <c r="H52" s="101" t="e">
        <f t="shared" si="13"/>
        <v>#DIV/0!</v>
      </c>
      <c r="I52" s="101" t="e">
        <f t="shared" si="13"/>
        <v>#DIV/0!</v>
      </c>
      <c r="J52" s="101" t="e">
        <f t="shared" si="13"/>
        <v>#DIV/0!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</row>
    <row r="53" spans="1:38" s="108" customFormat="1" ht="13" x14ac:dyDescent="0.3">
      <c r="A53" s="106" t="s">
        <v>53</v>
      </c>
      <c r="B53" s="107"/>
      <c r="C53" s="87">
        <f>C45/C46</f>
        <v>3.2394294673885642</v>
      </c>
      <c r="D53" s="106">
        <f t="shared" ref="D53:AL53" si="14">D45/D46</f>
        <v>4.4714326981926744</v>
      </c>
      <c r="E53" s="106">
        <f t="shared" si="14"/>
        <v>2.7877002503822177</v>
      </c>
      <c r="F53" s="106">
        <f t="shared" si="14"/>
        <v>3.5693933368835862</v>
      </c>
      <c r="G53" s="106">
        <f t="shared" si="14"/>
        <v>2.5687836581339591</v>
      </c>
      <c r="H53" s="106" t="e">
        <f t="shared" si="14"/>
        <v>#DIV/0!</v>
      </c>
      <c r="I53" s="106" t="e">
        <f t="shared" si="14"/>
        <v>#DIV/0!</v>
      </c>
      <c r="J53" s="106" t="e">
        <f t="shared" si="14"/>
        <v>#DIV/0!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</row>
    <row r="54" spans="1:38" s="110" customFormat="1" x14ac:dyDescent="0.3">
      <c r="A54" s="109" t="s">
        <v>54</v>
      </c>
      <c r="C54" s="111">
        <f t="shared" ref="C54:AL54" si="15">C48/C4</f>
        <v>0.73635062908826621</v>
      </c>
      <c r="D54" s="112">
        <f t="shared" si="15"/>
        <v>0.79777503705135644</v>
      </c>
      <c r="E54" s="112">
        <f t="shared" si="15"/>
        <v>0.71842574321274266</v>
      </c>
      <c r="F54" s="112">
        <f t="shared" si="15"/>
        <v>0.75668097216628161</v>
      </c>
      <c r="G54" s="112">
        <f t="shared" si="15"/>
        <v>0.67887181579441003</v>
      </c>
      <c r="H54" s="112" t="e">
        <f t="shared" si="15"/>
        <v>#DIV/0!</v>
      </c>
      <c r="I54" s="112" t="e">
        <f t="shared" si="15"/>
        <v>#DIV/0!</v>
      </c>
      <c r="J54" s="112" t="e">
        <f t="shared" si="15"/>
        <v>#DIV/0!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</row>
    <row r="55" spans="1:38" s="110" customFormat="1" x14ac:dyDescent="0.3">
      <c r="A55" s="109" t="s">
        <v>55</v>
      </c>
      <c r="C55" s="111">
        <f t="shared" ref="C55:AL55" si="16">C44/C4</f>
        <v>0.11772291210166176</v>
      </c>
      <c r="D55" s="112">
        <f t="shared" si="16"/>
        <v>0.10646027466801067</v>
      </c>
      <c r="E55" s="112">
        <f t="shared" si="16"/>
        <v>6.6518882934281556E-2</v>
      </c>
      <c r="F55" s="112">
        <f t="shared" si="16"/>
        <v>0.11182034452038482</v>
      </c>
      <c r="G55" s="112">
        <f t="shared" si="16"/>
        <v>0.14603701595914104</v>
      </c>
      <c r="H55" s="112" t="e">
        <f t="shared" si="16"/>
        <v>#DIV/0!</v>
      </c>
      <c r="I55" s="112" t="e">
        <f t="shared" si="16"/>
        <v>#DIV/0!</v>
      </c>
      <c r="J55" s="112" t="e">
        <f t="shared" si="16"/>
        <v>#DIV/0!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</row>
    <row r="56" spans="1:38" s="110" customFormat="1" x14ac:dyDescent="0.3">
      <c r="A56" s="113" t="s">
        <v>56</v>
      </c>
      <c r="C56" s="111">
        <f t="shared" ref="C56:AL56" si="17">C45/C4</f>
        <v>0.85407354118992795</v>
      </c>
      <c r="D56" s="112">
        <f t="shared" si="17"/>
        <v>0.90423531171936711</v>
      </c>
      <c r="E56" s="112">
        <f t="shared" si="17"/>
        <v>0.7849446261470242</v>
      </c>
      <c r="F56" s="112">
        <f t="shared" si="17"/>
        <v>0.86850131668666641</v>
      </c>
      <c r="G56" s="112">
        <f t="shared" si="17"/>
        <v>0.82490883175355112</v>
      </c>
      <c r="H56" s="112" t="e">
        <f t="shared" si="17"/>
        <v>#DIV/0!</v>
      </c>
      <c r="I56" s="112" t="e">
        <f t="shared" si="17"/>
        <v>#DIV/0!</v>
      </c>
      <c r="J56" s="112" t="e">
        <f t="shared" si="17"/>
        <v>#DIV/0!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</row>
    <row r="57" spans="1:38" s="110" customFormat="1" x14ac:dyDescent="0.3">
      <c r="A57" s="113" t="s">
        <v>104</v>
      </c>
      <c r="C57" s="111">
        <f t="shared" ref="C57:AL57" si="18">SUM(C30:C39)/C44</f>
        <v>0.37785812481404346</v>
      </c>
      <c r="D57" s="112">
        <f t="shared" si="18"/>
        <v>0.42422135196072358</v>
      </c>
      <c r="E57" s="112">
        <f t="shared" si="18"/>
        <v>0.75757442736569713</v>
      </c>
      <c r="F57" s="112">
        <f t="shared" si="18"/>
        <v>0.39558721185645623</v>
      </c>
      <c r="G57" s="112">
        <f t="shared" si="18"/>
        <v>0.29093741178107929</v>
      </c>
      <c r="H57" s="112" t="e">
        <f t="shared" si="18"/>
        <v>#DIV/0!</v>
      </c>
      <c r="I57" s="112" t="e">
        <f t="shared" si="18"/>
        <v>#DIV/0!</v>
      </c>
      <c r="J57" s="112" t="e">
        <f t="shared" si="18"/>
        <v>#DIV/0!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</row>
    <row r="58" spans="1:38" s="110" customFormat="1" x14ac:dyDescent="0.3">
      <c r="A58" s="113" t="s">
        <v>58</v>
      </c>
      <c r="C58" s="111">
        <f>C41/C44</f>
        <v>0.38486776904764886</v>
      </c>
      <c r="D58" s="112">
        <f t="shared" ref="D58:AL58" si="19">D41/D44</f>
        <v>0.27627676987670008</v>
      </c>
      <c r="E58" s="112">
        <f t="shared" si="19"/>
        <v>6.1764462538662614E-2</v>
      </c>
      <c r="F58" s="112">
        <f t="shared" si="19"/>
        <v>0.4439165683402701</v>
      </c>
      <c r="G58" s="112">
        <f t="shared" si="19"/>
        <v>0.44528093856175854</v>
      </c>
      <c r="H58" s="112" t="e">
        <f t="shared" si="19"/>
        <v>#DIV/0!</v>
      </c>
      <c r="I58" s="112" t="e">
        <f t="shared" si="19"/>
        <v>#DIV/0!</v>
      </c>
      <c r="J58" s="112" t="e">
        <f t="shared" si="19"/>
        <v>#DIV/0!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</row>
    <row r="59" spans="1:38" s="110" customFormat="1" x14ac:dyDescent="0.3">
      <c r="A59" s="113" t="s">
        <v>59</v>
      </c>
      <c r="C59" s="111">
        <f>C43/C44</f>
        <v>0.10597059948421465</v>
      </c>
      <c r="D59" s="112">
        <f t="shared" ref="D59:AL59" si="20">D43/D44</f>
        <v>7.2148106877477858E-2</v>
      </c>
      <c r="E59" s="112">
        <f t="shared" si="20"/>
        <v>0</v>
      </c>
      <c r="F59" s="112">
        <f t="shared" si="20"/>
        <v>4.0379903902466305E-2</v>
      </c>
      <c r="G59" s="112">
        <f t="shared" si="20"/>
        <v>0.18239658870717068</v>
      </c>
      <c r="H59" s="112" t="e">
        <f t="shared" si="20"/>
        <v>#DIV/0!</v>
      </c>
      <c r="I59" s="112" t="e">
        <f t="shared" si="20"/>
        <v>#DIV/0!</v>
      </c>
      <c r="J59" s="112" t="e">
        <f t="shared" si="20"/>
        <v>#DIV/0!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CEA7-DBA2-4BB3-9ACF-9C153EDCF757}">
  <sheetPr codeName="Sheet17">
    <tabColor theme="4" tint="0.39997558519241921"/>
  </sheetPr>
  <dimension ref="A1:Z68"/>
  <sheetViews>
    <sheetView topLeftCell="A48" workbookViewId="0">
      <selection sqref="A1:C59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185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181</v>
      </c>
      <c r="B3" s="7"/>
      <c r="C3" s="8">
        <f>SUM(D3:F3)</f>
        <v>5589456696</v>
      </c>
      <c r="D3" s="9">
        <v>2191342885</v>
      </c>
      <c r="E3" s="9">
        <v>3088538811</v>
      </c>
      <c r="F3" s="9">
        <v>309575000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322100000</v>
      </c>
      <c r="D4" s="12">
        <v>110500000</v>
      </c>
      <c r="E4" s="12">
        <v>186300000</v>
      </c>
      <c r="F4" s="12">
        <v>25300000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20400000</v>
      </c>
      <c r="D5" s="12">
        <v>9900000</v>
      </c>
      <c r="E5" s="12">
        <v>10500000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103799000</v>
      </c>
      <c r="D6" s="12">
        <v>20780000</v>
      </c>
      <c r="E6" s="12">
        <v>83019000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41</v>
      </c>
      <c r="D7" s="12">
        <v>18</v>
      </c>
      <c r="E7" s="12">
        <v>20</v>
      </c>
      <c r="F7" s="12">
        <v>3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80</v>
      </c>
      <c r="D8" s="12">
        <v>30</v>
      </c>
      <c r="E8" s="12">
        <v>44</v>
      </c>
      <c r="F8" s="12">
        <v>6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75</v>
      </c>
      <c r="D9" s="12">
        <v>35</v>
      </c>
      <c r="E9" s="12">
        <v>40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4321424172.0430107</v>
      </c>
      <c r="D10" s="12">
        <v>1673006666.6666667</v>
      </c>
      <c r="E10" s="12">
        <v>2412652666.6666665</v>
      </c>
      <c r="F10" s="12">
        <v>235764838.7096774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470980900</v>
      </c>
      <c r="D11" s="12">
        <v>186683400</v>
      </c>
      <c r="E11" s="12">
        <v>264096000</v>
      </c>
      <c r="F11" s="12">
        <v>20201500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206454000</v>
      </c>
      <c r="D12" s="12">
        <v>83927000</v>
      </c>
      <c r="E12" s="12">
        <v>113452000</v>
      </c>
      <c r="F12" s="12">
        <v>9075000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101923000</v>
      </c>
      <c r="D13" s="12">
        <v>39269666.666666672</v>
      </c>
      <c r="E13" s="12">
        <v>57493333.333333336</v>
      </c>
      <c r="F13" s="12">
        <v>5160000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93033333.333333328</v>
      </c>
      <c r="D14" s="12">
        <v>36556666.666666664</v>
      </c>
      <c r="E14" s="12">
        <v>52376666.666666664</v>
      </c>
      <c r="F14" s="12">
        <v>4100000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9950000</v>
      </c>
      <c r="D15" s="12">
        <v>7050000</v>
      </c>
      <c r="E15" s="12">
        <v>2050000</v>
      </c>
      <c r="F15" s="12">
        <v>850000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49494533.333333328</v>
      </c>
      <c r="D16" s="12">
        <v>15524199.999999998</v>
      </c>
      <c r="E16" s="12">
        <v>29270333.333333328</v>
      </c>
      <c r="F16" s="12">
        <v>4700000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107102000</v>
      </c>
      <c r="D17" s="12">
        <v>43792666.666666672</v>
      </c>
      <c r="E17" s="12">
        <v>58689333.333333336</v>
      </c>
      <c r="F17" s="12">
        <v>4620000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1038937766.6666667</v>
      </c>
      <c r="D18" s="16">
        <f>SUM(D11:D17)</f>
        <v>412803600.00000006</v>
      </c>
      <c r="E18" s="16">
        <f>SUM(E11:E17)</f>
        <v>577427666.66666663</v>
      </c>
      <c r="F18" s="16">
        <f>SUM(F11:F17)</f>
        <v>48706500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3713316666.666667</v>
      </c>
      <c r="D20" s="17">
        <v>1466916666.666667</v>
      </c>
      <c r="E20" s="17">
        <v>2060900000</v>
      </c>
      <c r="F20" s="12">
        <v>185500000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76281000</v>
      </c>
      <c r="D21" s="17">
        <v>63761000</v>
      </c>
      <c r="E21" s="17">
        <v>6120000</v>
      </c>
      <c r="F21" s="12">
        <v>6400000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568608689</v>
      </c>
      <c r="D22" s="17">
        <v>211395139</v>
      </c>
      <c r="E22" s="17">
        <v>328779504</v>
      </c>
      <c r="F22" s="18">
        <v>28434046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219616205.33333331</v>
      </c>
      <c r="D23" s="17">
        <v>81828930</v>
      </c>
      <c r="E23" s="17">
        <v>131715575.33333333</v>
      </c>
      <c r="F23" s="18">
        <v>6071700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31843199.583333336</v>
      </c>
      <c r="D24" s="17">
        <v>14285303.666666668</v>
      </c>
      <c r="E24" s="17">
        <v>17157895.916666668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18310000</v>
      </c>
      <c r="D25" s="17">
        <v>6200000</v>
      </c>
      <c r="E25" s="17">
        <v>10960000</v>
      </c>
      <c r="F25" s="12">
        <v>1150000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3240000</v>
      </c>
      <c r="D26" s="12">
        <v>3240000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1266666.6666666665</v>
      </c>
      <c r="D27" s="12">
        <v>0</v>
      </c>
      <c r="E27" s="12">
        <v>1266666.6666666665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4632482427.25</v>
      </c>
      <c r="D28" s="8">
        <f>SUM(D20:D27)</f>
        <v>1847627039.3333337</v>
      </c>
      <c r="E28" s="8">
        <f>SUM(E20:E27)</f>
        <v>2556899641.9166665</v>
      </c>
      <c r="F28" s="8">
        <f>SUM(F20:F27)</f>
        <v>227955746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121220301.22390436</v>
      </c>
      <c r="D29" s="17">
        <v>47748274.576043233</v>
      </c>
      <c r="E29" s="17">
        <v>67110009.565543711</v>
      </c>
      <c r="F29" s="17">
        <v>6362017.0823174138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11443155.452436194</v>
      </c>
      <c r="D30" s="17">
        <v>4668213.4570765663</v>
      </c>
      <c r="E30" s="17">
        <v>6273781.9025522023</v>
      </c>
      <c r="F30" s="17">
        <v>501160.0928074246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17900962.877030164</v>
      </c>
      <c r="D31" s="17">
        <v>7145177.8808971383</v>
      </c>
      <c r="E31" s="17">
        <v>9960151.5854601711</v>
      </c>
      <c r="F31" s="17">
        <v>795633.41067285393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13603770.30162413</v>
      </c>
      <c r="D32" s="17">
        <v>5437142.3047177112</v>
      </c>
      <c r="E32" s="17">
        <v>7562521.2683681352</v>
      </c>
      <c r="F32" s="17">
        <v>604106.72853828315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2860788.8631090485</v>
      </c>
      <c r="D33" s="17">
        <v>1167053.3642691416</v>
      </c>
      <c r="E33" s="17">
        <v>1568445.4756380506</v>
      </c>
      <c r="F33" s="17">
        <v>125290.02320185615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41103667.531322502</v>
      </c>
      <c r="D34" s="17">
        <v>16768162.829079662</v>
      </c>
      <c r="E34" s="17">
        <v>22535344.0804331</v>
      </c>
      <c r="F34" s="17">
        <v>1800160.6218097447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40350000</v>
      </c>
      <c r="D35" s="17">
        <v>16000000</v>
      </c>
      <c r="E35" s="17">
        <v>22450000</v>
      </c>
      <c r="F35" s="17">
        <v>1900000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15217192.575406032</v>
      </c>
      <c r="D36" s="17">
        <v>6158035.576179428</v>
      </c>
      <c r="E36" s="17">
        <v>8295630.317092034</v>
      </c>
      <c r="F36" s="17">
        <v>763526.68213457079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20979118.32946635</v>
      </c>
      <c r="D37" s="17">
        <v>8558391.3379737046</v>
      </c>
      <c r="E37" s="17">
        <v>11501933.488012368</v>
      </c>
      <c r="F37" s="17">
        <v>918793.50348027842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91909515.494199544</v>
      </c>
      <c r="D39" s="17">
        <v>37494311.67362722</v>
      </c>
      <c r="E39" s="17">
        <v>50389969.565351903</v>
      </c>
      <c r="F39" s="17">
        <v>4025234.2552204179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186828261.17757127</v>
      </c>
      <c r="D40" s="17">
        <v>61894729.983758688</v>
      </c>
      <c r="E40" s="17">
        <v>110907383.08012348</v>
      </c>
      <c r="F40" s="12">
        <v>14026148.113689095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24491000</v>
      </c>
      <c r="D41" s="17">
        <v>7299000</v>
      </c>
      <c r="E41" s="17">
        <v>16432000</v>
      </c>
      <c r="F41" s="12">
        <v>760000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59791500</v>
      </c>
      <c r="D42" s="12">
        <v>28521500</v>
      </c>
      <c r="E42" s="12">
        <v>27408000</v>
      </c>
      <c r="F42" s="12">
        <v>3862000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652699233.82606959</v>
      </c>
      <c r="D43" s="21">
        <f>SUM(D29:D42)</f>
        <v>253859992.98362249</v>
      </c>
      <c r="E43" s="21">
        <f>SUM(E29:E42)</f>
        <v>362395170.32857513</v>
      </c>
      <c r="F43" s="21">
        <f>SUM(F29:F42)</f>
        <v>36444070.513871938</v>
      </c>
    </row>
    <row r="44" spans="1:26" s="25" customFormat="1" ht="18.5" customHeight="1" x14ac:dyDescent="0.35">
      <c r="A44" s="23" t="s">
        <v>46</v>
      </c>
      <c r="B44" s="23"/>
      <c r="C44" s="24">
        <f>C28+C43</f>
        <v>5285181661.0760698</v>
      </c>
      <c r="D44" s="24">
        <f>D28+D43</f>
        <v>2101487032.3169563</v>
      </c>
      <c r="E44" s="24">
        <f>E28+E43</f>
        <v>2919294812.2452416</v>
      </c>
      <c r="F44" s="24">
        <f>F28+F43</f>
        <v>264399816.51387194</v>
      </c>
    </row>
    <row r="45" spans="1:26" s="22" customFormat="1" ht="18" customHeight="1" x14ac:dyDescent="0.35">
      <c r="A45" s="19" t="s">
        <v>47</v>
      </c>
      <c r="B45" s="19"/>
      <c r="C45" s="20">
        <f>C3-C28</f>
        <v>956974268.75</v>
      </c>
      <c r="D45" s="26">
        <f>D3-D28</f>
        <v>343715845.66666627</v>
      </c>
      <c r="E45" s="26">
        <f>E3-E28</f>
        <v>531639169.08333349</v>
      </c>
      <c r="F45" s="26">
        <f>F3-F28</f>
        <v>81619254</v>
      </c>
    </row>
    <row r="46" spans="1:26" s="30" customFormat="1" ht="15.5" x14ac:dyDescent="0.35">
      <c r="A46" s="27" t="s">
        <v>48</v>
      </c>
      <c r="B46" s="27"/>
      <c r="C46" s="28">
        <f>C3-C44</f>
        <v>304275034.92393017</v>
      </c>
      <c r="D46" s="29">
        <f>D3-D44</f>
        <v>89855852.683043718</v>
      </c>
      <c r="E46" s="29">
        <f>E3-E44</f>
        <v>169243998.75475836</v>
      </c>
      <c r="F46" s="29">
        <f>F3-F44</f>
        <v>45175183.486128062</v>
      </c>
    </row>
    <row r="47" spans="1:26" s="10" customFormat="1" ht="15.5" x14ac:dyDescent="0.35">
      <c r="A47" s="6" t="s">
        <v>29</v>
      </c>
      <c r="B47" s="6"/>
      <c r="C47" s="8">
        <f>C28</f>
        <v>4632482427.25</v>
      </c>
      <c r="D47" s="31">
        <f>D28</f>
        <v>1847627039.3333337</v>
      </c>
      <c r="E47" s="31">
        <f>E28</f>
        <v>2556899641.9166665</v>
      </c>
      <c r="F47" s="31">
        <f>F28</f>
        <v>227955746</v>
      </c>
    </row>
    <row r="48" spans="1:26" s="35" customFormat="1" ht="15" x14ac:dyDescent="0.35">
      <c r="A48" s="32" t="s">
        <v>49</v>
      </c>
      <c r="B48" s="33"/>
      <c r="C48" s="34">
        <f>C46/C3</f>
        <v>5.4437318593358E-2</v>
      </c>
      <c r="D48" s="34">
        <f>D46/D3</f>
        <v>4.100492592835088E-2</v>
      </c>
      <c r="E48" s="34">
        <f>E46/E3</f>
        <v>5.4797433061869447E-2</v>
      </c>
      <c r="F48" s="34">
        <f>F46/F3</f>
        <v>0.14592645881007207</v>
      </c>
    </row>
    <row r="49" spans="1:6" s="35" customFormat="1" ht="15" x14ac:dyDescent="0.35">
      <c r="A49" s="32" t="s">
        <v>50</v>
      </c>
      <c r="B49" s="33"/>
      <c r="C49" s="34">
        <f>C45/C3</f>
        <v>0.17121060611040112</v>
      </c>
      <c r="D49" s="34">
        <f>D45/D3</f>
        <v>0.15685169492161255</v>
      </c>
      <c r="E49" s="34">
        <f>E45/E3</f>
        <v>0.17213290867185205</v>
      </c>
      <c r="F49" s="34">
        <f>F45/F3</f>
        <v>0.26364937091173385</v>
      </c>
    </row>
    <row r="50" spans="1:6" s="35" customFormat="1" ht="15" x14ac:dyDescent="0.35">
      <c r="A50" s="32" t="s">
        <v>51</v>
      </c>
      <c r="B50" s="33"/>
      <c r="C50" s="34">
        <f>C46/C47</f>
        <v>6.5682933438467081E-2</v>
      </c>
      <c r="D50" s="34">
        <f>D46/D47</f>
        <v>4.8633111970187326E-2</v>
      </c>
      <c r="E50" s="34">
        <f>E46/E47</f>
        <v>6.6191099556763236E-2</v>
      </c>
      <c r="F50" s="34">
        <f>F46/F47</f>
        <v>0.19817523479372204</v>
      </c>
    </row>
    <row r="51" spans="1:6" s="35" customFormat="1" ht="15" x14ac:dyDescent="0.35">
      <c r="A51" s="32" t="s">
        <v>52</v>
      </c>
      <c r="B51" s="33"/>
      <c r="C51" s="34">
        <f>C46/C45</f>
        <v>0.31795529395097977</v>
      </c>
      <c r="D51" s="34">
        <f>D46/D45</f>
        <v>0.2614248188318482</v>
      </c>
      <c r="E51" s="34">
        <f>E46/E45</f>
        <v>0.31834373499336666</v>
      </c>
      <c r="F51" s="34">
        <f>F46/F45</f>
        <v>0.55348684620577471</v>
      </c>
    </row>
    <row r="52" spans="1:6" s="39" customFormat="1" ht="15" x14ac:dyDescent="0.35">
      <c r="A52" s="36" t="s">
        <v>53</v>
      </c>
      <c r="B52" s="37"/>
      <c r="C52" s="38">
        <f>C44/C45</f>
        <v>5.5228043570905783</v>
      </c>
      <c r="D52" s="38">
        <f>D44/D45</f>
        <v>6.1140242988825335</v>
      </c>
      <c r="E52" s="38">
        <f>E44/E45</f>
        <v>5.4911206359733953</v>
      </c>
      <c r="F52" s="38">
        <f>F44/F45</f>
        <v>3.2394294673885642</v>
      </c>
    </row>
    <row r="53" spans="1:6" s="42" customFormat="1" ht="15" x14ac:dyDescent="0.35">
      <c r="A53" s="40" t="s">
        <v>54</v>
      </c>
      <c r="B53" s="40"/>
      <c r="C53" s="41">
        <f>C47/C3</f>
        <v>0.82878939388959894</v>
      </c>
      <c r="D53" s="41">
        <f>D47/D3</f>
        <v>0.84314830507838745</v>
      </c>
      <c r="E53" s="41">
        <f>E47/E3</f>
        <v>0.82786709132814795</v>
      </c>
      <c r="F53" s="41">
        <f>F47/F3</f>
        <v>0.73635062908826621</v>
      </c>
    </row>
    <row r="54" spans="1:6" s="42" customFormat="1" ht="15" x14ac:dyDescent="0.35">
      <c r="A54" s="40" t="s">
        <v>55</v>
      </c>
      <c r="B54" s="40"/>
      <c r="C54" s="41">
        <f>C43/C3</f>
        <v>0.11677328751704306</v>
      </c>
      <c r="D54" s="41">
        <f>D43/D3</f>
        <v>0.11584676899326163</v>
      </c>
      <c r="E54" s="41">
        <f>E43/E3</f>
        <v>0.11733547560998259</v>
      </c>
      <c r="F54" s="41">
        <f>F43/F3</f>
        <v>0.11772291210166176</v>
      </c>
    </row>
    <row r="55" spans="1:6" s="42" customFormat="1" ht="15" x14ac:dyDescent="0.35">
      <c r="A55" s="40" t="s">
        <v>56</v>
      </c>
      <c r="B55" s="40"/>
      <c r="C55" s="41">
        <f>C44/C3</f>
        <v>0.94556268140664201</v>
      </c>
      <c r="D55" s="41">
        <f>D44/D3</f>
        <v>0.95899507407164908</v>
      </c>
      <c r="E55" s="41">
        <f>E44/E3</f>
        <v>0.94520256693813054</v>
      </c>
      <c r="F55" s="41">
        <f>F44/F3</f>
        <v>0.85407354118992795</v>
      </c>
    </row>
    <row r="56" spans="1:6" s="42" customFormat="1" ht="15" x14ac:dyDescent="0.35">
      <c r="A56" s="40" t="s">
        <v>57</v>
      </c>
      <c r="B56" s="40"/>
      <c r="C56" s="41">
        <f>SUM(C29:C38)/C43</f>
        <v>0.4438169100585953</v>
      </c>
      <c r="D56" s="41">
        <f>SUM(D29:D38)/D43</f>
        <v>0.46738538803115459</v>
      </c>
      <c r="E56" s="41">
        <f>SUM(E29:E38)/E43</f>
        <v>0.43394015858577206</v>
      </c>
      <c r="F56" s="41">
        <f>SUM(F29:F38)/F43</f>
        <v>0.37785812481404346</v>
      </c>
    </row>
    <row r="57" spans="1:6" s="42" customFormat="1" ht="15" x14ac:dyDescent="0.35">
      <c r="A57" s="40" t="s">
        <v>58</v>
      </c>
      <c r="B57" s="40"/>
      <c r="C57" s="41">
        <f>C40/C43</f>
        <v>0.28623943693391407</v>
      </c>
      <c r="D57" s="41">
        <f>D40/D43</f>
        <v>0.24381443194852589</v>
      </c>
      <c r="E57" s="41">
        <f>E40/E43</f>
        <v>0.30603990384189278</v>
      </c>
      <c r="F57" s="41">
        <f>F40/F43</f>
        <v>0.38486776904764886</v>
      </c>
    </row>
    <row r="58" spans="1:6" s="42" customFormat="1" ht="15" x14ac:dyDescent="0.35">
      <c r="A58" s="40" t="s">
        <v>59</v>
      </c>
      <c r="B58" s="40"/>
      <c r="C58" s="41">
        <f>C42/C43</f>
        <v>9.1606511699894463E-2</v>
      </c>
      <c r="D58" s="41">
        <f>D42/D43</f>
        <v>0.11235129909516713</v>
      </c>
      <c r="E58" s="41">
        <f>E42/E43</f>
        <v>7.5630146988851468E-2</v>
      </c>
      <c r="F58" s="41">
        <f>F42/F43</f>
        <v>0.10597059948421465</v>
      </c>
    </row>
    <row r="59" spans="1:6" s="46" customFormat="1" x14ac:dyDescent="0.35">
      <c r="A59" s="43" t="s">
        <v>60</v>
      </c>
      <c r="B59" s="44"/>
      <c r="C59" s="45">
        <f>C46/C3</f>
        <v>5.4437318593358E-2</v>
      </c>
      <c r="D59" s="45">
        <f>D46/D3</f>
        <v>4.100492592835088E-2</v>
      </c>
      <c r="E59" s="45">
        <f>E46/E3</f>
        <v>5.4797433061869447E-2</v>
      </c>
      <c r="F59" s="45">
        <f>F46/F3</f>
        <v>0.14592645881007207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5954-AE77-4C4F-A48A-997F80622251}">
  <sheetPr codeName="Sheet18">
    <tabColor theme="4" tint="0.39997558519241921"/>
  </sheetPr>
  <dimension ref="A1:Z68"/>
  <sheetViews>
    <sheetView topLeftCell="B39" workbookViewId="0">
      <selection activeCell="E53" sqref="E53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180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181</v>
      </c>
      <c r="B3" s="7"/>
      <c r="C3" s="8">
        <f>SUM(D3:F3)</f>
        <v>5267356696</v>
      </c>
      <c r="D3" s="9">
        <f>2191342885-D4</f>
        <v>2080842885</v>
      </c>
      <c r="E3" s="9">
        <f>3088538811-E4</f>
        <v>2902238811</v>
      </c>
      <c r="F3" s="9">
        <f>309575000-F4</f>
        <v>284275000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322100000</v>
      </c>
      <c r="D4" s="12">
        <v>110500000</v>
      </c>
      <c r="E4" s="12">
        <v>186300000</v>
      </c>
      <c r="F4" s="12">
        <v>25300000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20400000</v>
      </c>
      <c r="D5" s="12">
        <v>9900000</v>
      </c>
      <c r="E5" s="12">
        <v>10500000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103799000</v>
      </c>
      <c r="D6" s="12">
        <v>20780000</v>
      </c>
      <c r="E6" s="12">
        <v>83019000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41</v>
      </c>
      <c r="D7" s="12">
        <v>18</v>
      </c>
      <c r="E7" s="12">
        <v>20</v>
      </c>
      <c r="F7" s="12">
        <v>3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80</v>
      </c>
      <c r="D8" s="12">
        <v>30</v>
      </c>
      <c r="E8" s="12">
        <v>44</v>
      </c>
      <c r="F8" s="12">
        <v>6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75</v>
      </c>
      <c r="D9" s="12">
        <v>35</v>
      </c>
      <c r="E9" s="12">
        <v>40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4321424172.0430107</v>
      </c>
      <c r="D10" s="12">
        <v>1673006666.6666667</v>
      </c>
      <c r="E10" s="12">
        <v>2412652666.6666665</v>
      </c>
      <c r="F10" s="12">
        <v>235764838.7096774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470980900</v>
      </c>
      <c r="D11" s="12">
        <v>186683400</v>
      </c>
      <c r="E11" s="12">
        <v>264096000</v>
      </c>
      <c r="F11" s="12">
        <v>20201500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206454000</v>
      </c>
      <c r="D12" s="12">
        <v>83927000</v>
      </c>
      <c r="E12" s="12">
        <v>113452000</v>
      </c>
      <c r="F12" s="12">
        <v>9075000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101923000</v>
      </c>
      <c r="D13" s="12">
        <v>39269666.666666672</v>
      </c>
      <c r="E13" s="12">
        <v>57493333.333333336</v>
      </c>
      <c r="F13" s="12">
        <v>5160000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93033333.333333328</v>
      </c>
      <c r="D14" s="12">
        <v>36556666.666666664</v>
      </c>
      <c r="E14" s="12">
        <v>52376666.666666664</v>
      </c>
      <c r="F14" s="12">
        <v>4100000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9950000</v>
      </c>
      <c r="D15" s="12">
        <v>7050000</v>
      </c>
      <c r="E15" s="12">
        <v>2050000</v>
      </c>
      <c r="F15" s="12">
        <v>850000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49494533.333333328</v>
      </c>
      <c r="D16" s="12">
        <v>15524199.999999998</v>
      </c>
      <c r="E16" s="12">
        <v>29270333.333333328</v>
      </c>
      <c r="F16" s="12">
        <v>4700000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107102000</v>
      </c>
      <c r="D17" s="12">
        <v>43792666.666666672</v>
      </c>
      <c r="E17" s="12">
        <v>58689333.333333336</v>
      </c>
      <c r="F17" s="12">
        <v>4620000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1038937766.6666667</v>
      </c>
      <c r="D18" s="16">
        <f>SUM(D11:D17)</f>
        <v>412803600.00000006</v>
      </c>
      <c r="E18" s="16">
        <f>SUM(E11:E17)</f>
        <v>577427666.66666663</v>
      </c>
      <c r="F18" s="16">
        <f>SUM(F11:F17)</f>
        <v>48706500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3713316666.666667</v>
      </c>
      <c r="D20" s="17">
        <v>1466916666.666667</v>
      </c>
      <c r="E20" s="17">
        <v>2060900000</v>
      </c>
      <c r="F20" s="12">
        <v>185500000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568608689</v>
      </c>
      <c r="D22" s="17">
        <v>211395139</v>
      </c>
      <c r="E22" s="17">
        <v>328779504</v>
      </c>
      <c r="F22" s="18">
        <v>28434046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219616205.33333331</v>
      </c>
      <c r="D23" s="17">
        <v>81828930</v>
      </c>
      <c r="E23" s="17">
        <v>131715575.33333333</v>
      </c>
      <c r="F23" s="18">
        <v>6071700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31843199.583333336</v>
      </c>
      <c r="D24" s="17">
        <v>14285303.666666668</v>
      </c>
      <c r="E24" s="17">
        <v>17157895.916666668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18310000</v>
      </c>
      <c r="D25" s="17">
        <v>6200000</v>
      </c>
      <c r="E25" s="17">
        <v>10960000</v>
      </c>
      <c r="F25" s="12">
        <v>1150000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3240000</v>
      </c>
      <c r="D26" s="12">
        <v>3240000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1266666.6666666665</v>
      </c>
      <c r="D27" s="12">
        <v>0</v>
      </c>
      <c r="E27" s="12">
        <v>1266666.6666666665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4556201427.25</v>
      </c>
      <c r="D28" s="8">
        <f>SUM(D20:D27)</f>
        <v>1783866039.3333337</v>
      </c>
      <c r="E28" s="8">
        <f>SUM(E20:E27)</f>
        <v>2550779641.9166665</v>
      </c>
      <c r="F28" s="8">
        <f>SUM(F20:F27)</f>
        <v>221555746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121220301.22390436</v>
      </c>
      <c r="D29" s="17">
        <v>47748274.576043233</v>
      </c>
      <c r="E29" s="17">
        <v>67110009.565543711</v>
      </c>
      <c r="F29" s="17">
        <v>6362017.0823174138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11443155.452436194</v>
      </c>
      <c r="D30" s="17">
        <v>4668213.4570765663</v>
      </c>
      <c r="E30" s="17">
        <v>6273781.9025522023</v>
      </c>
      <c r="F30" s="17">
        <v>501160.0928074246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17900962.877030164</v>
      </c>
      <c r="D31" s="17">
        <v>7145177.8808971383</v>
      </c>
      <c r="E31" s="17">
        <v>9960151.5854601711</v>
      </c>
      <c r="F31" s="17">
        <v>795633.41067285393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13603770.30162413</v>
      </c>
      <c r="D32" s="17">
        <v>5437142.3047177112</v>
      </c>
      <c r="E32" s="17">
        <v>7562521.2683681352</v>
      </c>
      <c r="F32" s="17">
        <v>604106.72853828315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2860788.8631090485</v>
      </c>
      <c r="D33" s="17">
        <v>1167053.3642691416</v>
      </c>
      <c r="E33" s="17">
        <v>1568445.4756380506</v>
      </c>
      <c r="F33" s="17">
        <v>125290.02320185615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41103667.531322502</v>
      </c>
      <c r="D34" s="17">
        <v>16768162.829079662</v>
      </c>
      <c r="E34" s="17">
        <v>22535344.0804331</v>
      </c>
      <c r="F34" s="17">
        <v>1800160.6218097447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40350000</v>
      </c>
      <c r="D35" s="17">
        <v>16000000</v>
      </c>
      <c r="E35" s="17">
        <v>22450000</v>
      </c>
      <c r="F35" s="17">
        <v>1900000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15217192.575406032</v>
      </c>
      <c r="D36" s="17">
        <v>6158035.576179428</v>
      </c>
      <c r="E36" s="17">
        <v>8295630.317092034</v>
      </c>
      <c r="F36" s="17">
        <v>763526.68213457079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20979118.32946635</v>
      </c>
      <c r="D37" s="17">
        <v>8558391.3379737046</v>
      </c>
      <c r="E37" s="17">
        <v>11501933.488012368</v>
      </c>
      <c r="F37" s="17">
        <v>918793.50348027842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91909515.494199544</v>
      </c>
      <c r="D39" s="17">
        <v>37494311.67362722</v>
      </c>
      <c r="E39" s="17">
        <v>50389969.565351903</v>
      </c>
      <c r="F39" s="17">
        <v>4025234.2552204179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186828261.17757127</v>
      </c>
      <c r="D40" s="17">
        <v>61894729.983758688</v>
      </c>
      <c r="E40" s="17">
        <v>110907383.08012348</v>
      </c>
      <c r="F40" s="12">
        <v>14026148.113689095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24491000</v>
      </c>
      <c r="D41" s="17">
        <v>7299000</v>
      </c>
      <c r="E41" s="17">
        <v>16432000</v>
      </c>
      <c r="F41" s="12">
        <v>760000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59791500</v>
      </c>
      <c r="D42" s="12">
        <v>28521500</v>
      </c>
      <c r="E42" s="12">
        <v>27408000</v>
      </c>
      <c r="F42" s="12">
        <v>3862000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652699233.82606959</v>
      </c>
      <c r="D43" s="21">
        <f>SUM(D29:D42)</f>
        <v>253859992.98362249</v>
      </c>
      <c r="E43" s="21">
        <f>SUM(E29:E42)</f>
        <v>362395170.32857513</v>
      </c>
      <c r="F43" s="21">
        <f>SUM(F29:F42)</f>
        <v>36444070.513871938</v>
      </c>
    </row>
    <row r="44" spans="1:26" s="25" customFormat="1" ht="18.5" customHeight="1" x14ac:dyDescent="0.35">
      <c r="A44" s="23" t="s">
        <v>46</v>
      </c>
      <c r="B44" s="23"/>
      <c r="C44" s="24">
        <f>C28+C43</f>
        <v>5208900661.0760698</v>
      </c>
      <c r="D44" s="24">
        <f>D28+D43</f>
        <v>2037726032.3169563</v>
      </c>
      <c r="E44" s="24">
        <f>E28+E43</f>
        <v>2913174812.2452416</v>
      </c>
      <c r="F44" s="24">
        <f>F28+F43</f>
        <v>257999816.51387194</v>
      </c>
    </row>
    <row r="45" spans="1:26" s="22" customFormat="1" ht="18" customHeight="1" x14ac:dyDescent="0.35">
      <c r="A45" s="19" t="s">
        <v>47</v>
      </c>
      <c r="B45" s="19"/>
      <c r="C45" s="20">
        <f>C3-C28</f>
        <v>711155268.75</v>
      </c>
      <c r="D45" s="26">
        <f>D3-D28</f>
        <v>296976845.66666627</v>
      </c>
      <c r="E45" s="26">
        <f>E3-E28</f>
        <v>351459169.08333349</v>
      </c>
      <c r="F45" s="26">
        <f>F3-F28</f>
        <v>62719254</v>
      </c>
    </row>
    <row r="46" spans="1:26" s="30" customFormat="1" ht="15.5" x14ac:dyDescent="0.35">
      <c r="A46" s="27" t="s">
        <v>48</v>
      </c>
      <c r="B46" s="27"/>
      <c r="C46" s="28">
        <f>C3-C44</f>
        <v>58456034.923930168</v>
      </c>
      <c r="D46" s="29">
        <f>D3-D44</f>
        <v>43116852.683043718</v>
      </c>
      <c r="E46" s="29">
        <f>E3-E44</f>
        <v>-10936001.245241642</v>
      </c>
      <c r="F46" s="29">
        <f>F3-F44</f>
        <v>26275183.486128062</v>
      </c>
    </row>
    <row r="47" spans="1:26" s="10" customFormat="1" ht="15.5" x14ac:dyDescent="0.35">
      <c r="A47" s="6" t="s">
        <v>29</v>
      </c>
      <c r="B47" s="6"/>
      <c r="C47" s="8">
        <f>C28</f>
        <v>4556201427.25</v>
      </c>
      <c r="D47" s="31">
        <f>D28</f>
        <v>1783866039.3333337</v>
      </c>
      <c r="E47" s="31">
        <f>E28</f>
        <v>2550779641.9166665</v>
      </c>
      <c r="F47" s="31">
        <f>F28</f>
        <v>221555746</v>
      </c>
    </row>
    <row r="48" spans="1:26" s="35" customFormat="1" ht="15" x14ac:dyDescent="0.35">
      <c r="A48" s="32" t="s">
        <v>49</v>
      </c>
      <c r="B48" s="33"/>
      <c r="C48" s="34">
        <f>C46/C3</f>
        <v>1.1097793124266928E-2</v>
      </c>
      <c r="D48" s="34">
        <f>D46/D3</f>
        <v>2.072085931804684E-2</v>
      </c>
      <c r="E48" s="34">
        <f>E46/E3</f>
        <v>-3.7681259046610008E-3</v>
      </c>
      <c r="F48" s="34">
        <f>F46/F3</f>
        <v>9.242875203984896E-2</v>
      </c>
    </row>
    <row r="49" spans="1:6" s="35" customFormat="1" ht="15" x14ac:dyDescent="0.35">
      <c r="A49" s="32" t="s">
        <v>50</v>
      </c>
      <c r="B49" s="33"/>
      <c r="C49" s="34">
        <f>C45/C3</f>
        <v>0.13501179240244868</v>
      </c>
      <c r="D49" s="34">
        <f>D45/D3</f>
        <v>0.1427194949736276</v>
      </c>
      <c r="E49" s="34">
        <f>E45/E3</f>
        <v>0.1210993277848952</v>
      </c>
      <c r="F49" s="34">
        <f>F45/F3</f>
        <v>0.22062880661331458</v>
      </c>
    </row>
    <row r="50" spans="1:6" s="35" customFormat="1" ht="15" x14ac:dyDescent="0.35">
      <c r="A50" s="32" t="s">
        <v>51</v>
      </c>
      <c r="B50" s="33"/>
      <c r="C50" s="34">
        <f>C46/C47</f>
        <v>1.282999354995871E-2</v>
      </c>
      <c r="D50" s="34">
        <f>D46/D47</f>
        <v>2.4170454357187798E-2</v>
      </c>
      <c r="E50" s="34">
        <f>E46/E47</f>
        <v>-4.2873171267057333E-3</v>
      </c>
      <c r="F50" s="34">
        <f>F46/F47</f>
        <v>0.11859400607072525</v>
      </c>
    </row>
    <row r="51" spans="1:6" s="35" customFormat="1" ht="15" x14ac:dyDescent="0.35">
      <c r="A51" s="32" t="s">
        <v>52</v>
      </c>
      <c r="B51" s="33"/>
      <c r="C51" s="34">
        <f>C46/C45</f>
        <v>8.2198694845752235E-2</v>
      </c>
      <c r="D51" s="34">
        <f>D46/D45</f>
        <v>0.14518590695598901</v>
      </c>
      <c r="E51" s="34">
        <f>E46/E45</f>
        <v>-3.1115993569792562E-2</v>
      </c>
      <c r="F51" s="34">
        <f>F46/F45</f>
        <v>0.41893329098155507</v>
      </c>
    </row>
    <row r="52" spans="1:6" s="39" customFormat="1" ht="15" x14ac:dyDescent="0.35">
      <c r="A52" s="36" t="s">
        <v>53</v>
      </c>
      <c r="B52" s="37"/>
      <c r="C52" s="38">
        <f>C44/C45</f>
        <v>7.3245617236750169</v>
      </c>
      <c r="D52" s="38">
        <f>D44/D45</f>
        <v>6.8615653444044842</v>
      </c>
      <c r="E52" s="38">
        <f>E44/E45</f>
        <v>8.28880014666656</v>
      </c>
      <c r="F52" s="38">
        <f>F44/F45</f>
        <v>4.1135664099874649</v>
      </c>
    </row>
    <row r="53" spans="1:6" s="42" customFormat="1" ht="15" x14ac:dyDescent="0.35">
      <c r="A53" s="40" t="s">
        <v>54</v>
      </c>
      <c r="B53" s="40"/>
      <c r="C53" s="41">
        <f>C47/C3</f>
        <v>0.86498820759755135</v>
      </c>
      <c r="D53" s="41">
        <f>D47/D3</f>
        <v>0.85728050502637243</v>
      </c>
      <c r="E53" s="41">
        <f>E47/E3</f>
        <v>0.87890067221510482</v>
      </c>
      <c r="F53" s="41">
        <f>F47/F3</f>
        <v>0.77937119338668548</v>
      </c>
    </row>
    <row r="54" spans="1:6" s="42" customFormat="1" ht="15" x14ac:dyDescent="0.35">
      <c r="A54" s="40" t="s">
        <v>55</v>
      </c>
      <c r="B54" s="40"/>
      <c r="C54" s="41">
        <f>C43/C3</f>
        <v>0.12391399927818171</v>
      </c>
      <c r="D54" s="41">
        <f>D43/D3</f>
        <v>0.12199863565558074</v>
      </c>
      <c r="E54" s="41">
        <f>E43/E3</f>
        <v>0.12486745368955619</v>
      </c>
      <c r="F54" s="41">
        <f>F43/F3</f>
        <v>0.12820005457346562</v>
      </c>
    </row>
    <row r="55" spans="1:6" s="42" customFormat="1" ht="15" x14ac:dyDescent="0.35">
      <c r="A55" s="40" t="s">
        <v>56</v>
      </c>
      <c r="B55" s="40"/>
      <c r="C55" s="41">
        <f>C44/C3</f>
        <v>0.98890220687573305</v>
      </c>
      <c r="D55" s="41">
        <f>D44/D3</f>
        <v>0.97927914068195321</v>
      </c>
      <c r="E55" s="41">
        <f>E44/E3</f>
        <v>1.0037681259046609</v>
      </c>
      <c r="F55" s="41">
        <f>F44/F3</f>
        <v>0.9075712479601511</v>
      </c>
    </row>
    <row r="56" spans="1:6" s="42" customFormat="1" ht="15" x14ac:dyDescent="0.35">
      <c r="A56" s="40" t="s">
        <v>57</v>
      </c>
      <c r="B56" s="40"/>
      <c r="C56" s="41">
        <f>SUM(C29:C38)/C43</f>
        <v>0.4438169100585953</v>
      </c>
      <c r="D56" s="41">
        <f>SUM(D29:D38)/D43</f>
        <v>0.46738538803115459</v>
      </c>
      <c r="E56" s="41">
        <f>SUM(E29:E38)/E43</f>
        <v>0.43394015858577206</v>
      </c>
      <c r="F56" s="41">
        <f>SUM(F29:F38)/F43</f>
        <v>0.37785812481404346</v>
      </c>
    </row>
    <row r="57" spans="1:6" s="42" customFormat="1" ht="15" x14ac:dyDescent="0.35">
      <c r="A57" s="40" t="s">
        <v>58</v>
      </c>
      <c r="B57" s="40"/>
      <c r="C57" s="41">
        <f>C40/C43</f>
        <v>0.28623943693391407</v>
      </c>
      <c r="D57" s="41">
        <f>D40/D43</f>
        <v>0.24381443194852589</v>
      </c>
      <c r="E57" s="41">
        <f>E40/E43</f>
        <v>0.30603990384189278</v>
      </c>
      <c r="F57" s="41">
        <f>F40/F43</f>
        <v>0.38486776904764886</v>
      </c>
    </row>
    <row r="58" spans="1:6" s="42" customFormat="1" ht="15" x14ac:dyDescent="0.35">
      <c r="A58" s="40" t="s">
        <v>59</v>
      </c>
      <c r="B58" s="40"/>
      <c r="C58" s="41">
        <f>C42/C43</f>
        <v>9.1606511699894463E-2</v>
      </c>
      <c r="D58" s="41">
        <f>D42/D43</f>
        <v>0.11235129909516713</v>
      </c>
      <c r="E58" s="41">
        <f>E42/E43</f>
        <v>7.5630146988851468E-2</v>
      </c>
      <c r="F58" s="41">
        <f>F42/F43</f>
        <v>0.10597059948421465</v>
      </c>
    </row>
    <row r="59" spans="1:6" s="46" customFormat="1" x14ac:dyDescent="0.35">
      <c r="A59" s="43" t="s">
        <v>60</v>
      </c>
      <c r="B59" s="44"/>
      <c r="C59" s="45">
        <f>C46/C3</f>
        <v>1.1097793124266928E-2</v>
      </c>
      <c r="D59" s="45">
        <f>D46/D3</f>
        <v>2.072085931804684E-2</v>
      </c>
      <c r="E59" s="45">
        <f>E46/E3</f>
        <v>-3.7681259046610008E-3</v>
      </c>
      <c r="F59" s="45">
        <f>F46/F3</f>
        <v>9.242875203984896E-2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FDAF-5EC2-4496-AF82-91E6FF55069C}">
  <sheetPr codeName="Sheet19">
    <tabColor theme="5" tint="0.79998168889431442"/>
  </sheetPr>
  <dimension ref="A1:BE69"/>
  <sheetViews>
    <sheetView zoomScale="110" zoomScaleNormal="110"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186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192</v>
      </c>
      <c r="B4" s="61"/>
      <c r="C4" s="62">
        <f>SUM(D4:BC4)</f>
        <v>3309033088</v>
      </c>
      <c r="D4" s="64">
        <v>39416000</v>
      </c>
      <c r="E4" s="64">
        <v>73452000</v>
      </c>
      <c r="F4" s="64">
        <v>54926000</v>
      </c>
      <c r="G4" s="64">
        <v>86030000</v>
      </c>
      <c r="H4" s="64">
        <v>68726000</v>
      </c>
      <c r="I4" s="64">
        <v>62444000</v>
      </c>
      <c r="J4" s="64">
        <v>60385000</v>
      </c>
      <c r="K4" s="65">
        <v>36315000</v>
      </c>
      <c r="L4" s="64">
        <v>114762000</v>
      </c>
      <c r="M4" s="64">
        <v>106489000</v>
      </c>
      <c r="N4" s="64">
        <v>53668400</v>
      </c>
      <c r="O4" s="64">
        <v>67183000</v>
      </c>
      <c r="P4" s="64">
        <v>83088000</v>
      </c>
      <c r="Q4" s="64">
        <v>52895000</v>
      </c>
      <c r="R4" s="64">
        <v>69536000</v>
      </c>
      <c r="S4" s="64">
        <v>48438000</v>
      </c>
      <c r="T4" s="64">
        <v>28294000</v>
      </c>
      <c r="U4" s="64">
        <v>99420000</v>
      </c>
      <c r="V4" s="64">
        <v>59173000</v>
      </c>
      <c r="W4" s="64">
        <v>63974000</v>
      </c>
      <c r="X4" s="64">
        <v>43858000</v>
      </c>
      <c r="Y4" s="64">
        <v>34500000</v>
      </c>
      <c r="Z4" s="64">
        <v>69490000</v>
      </c>
      <c r="AA4" s="64">
        <v>71276000</v>
      </c>
      <c r="AB4" s="65">
        <v>25079000</v>
      </c>
      <c r="AC4" s="64">
        <v>45178500</v>
      </c>
      <c r="AD4" s="64">
        <v>52220000</v>
      </c>
      <c r="AE4" s="64">
        <v>21728000</v>
      </c>
      <c r="AF4" s="64">
        <v>59694000</v>
      </c>
      <c r="AG4" s="64">
        <v>48494000</v>
      </c>
      <c r="AH4" s="64">
        <v>67971000</v>
      </c>
      <c r="AI4" s="74">
        <v>23287333</v>
      </c>
      <c r="AJ4" s="64">
        <v>95671500</v>
      </c>
      <c r="AK4" s="64">
        <v>61706000</v>
      </c>
      <c r="AL4" s="64">
        <v>54694000</v>
      </c>
      <c r="AM4" s="64">
        <v>80616000</v>
      </c>
      <c r="AN4" s="64">
        <v>31240000</v>
      </c>
      <c r="AO4" s="64">
        <v>25995000</v>
      </c>
      <c r="AP4" s="64">
        <v>55216000</v>
      </c>
      <c r="AQ4" s="64">
        <v>115176500</v>
      </c>
      <c r="AR4" s="65">
        <v>44208000</v>
      </c>
      <c r="AS4" s="64">
        <v>86438000</v>
      </c>
      <c r="AT4" s="64">
        <v>166211000</v>
      </c>
      <c r="AU4" s="64">
        <v>40431000</v>
      </c>
      <c r="AV4" s="64">
        <v>41352400</v>
      </c>
      <c r="AW4" s="64">
        <v>38956000</v>
      </c>
      <c r="AX4" s="64">
        <v>93852000</v>
      </c>
      <c r="AY4" s="64">
        <v>90116000</v>
      </c>
      <c r="AZ4" s="64">
        <v>47962600</v>
      </c>
      <c r="BA4" s="64">
        <v>40871500</v>
      </c>
      <c r="BB4" s="64">
        <v>58318000</v>
      </c>
      <c r="BC4" s="64">
        <v>148611355</v>
      </c>
    </row>
    <row r="5" spans="1:55" s="68" customFormat="1" ht="13" x14ac:dyDescent="0.3">
      <c r="A5" s="66" t="s">
        <v>3</v>
      </c>
      <c r="B5" s="67"/>
      <c r="C5" s="62">
        <f t="shared" ref="C5:C18" si="0">SUM(D5:BC5)</f>
        <v>141100000</v>
      </c>
      <c r="E5" s="68">
        <v>9200000</v>
      </c>
      <c r="G5" s="68">
        <v>8600000</v>
      </c>
      <c r="I5" s="68">
        <v>3800000</v>
      </c>
      <c r="N5" s="68">
        <v>3400000</v>
      </c>
      <c r="P5" s="68">
        <v>7600000</v>
      </c>
      <c r="T5" s="68">
        <v>2300000</v>
      </c>
      <c r="U5" s="68">
        <v>14400000</v>
      </c>
      <c r="V5" s="68">
        <v>8200000</v>
      </c>
      <c r="W5" s="68">
        <v>8600000</v>
      </c>
      <c r="X5" s="68">
        <v>3500000</v>
      </c>
      <c r="Y5" s="68">
        <v>3200000</v>
      </c>
      <c r="Z5" s="68">
        <v>4000000</v>
      </c>
      <c r="AB5" s="86">
        <v>2300000</v>
      </c>
      <c r="AD5" s="68">
        <v>6800000</v>
      </c>
      <c r="AG5" s="68">
        <v>3500000</v>
      </c>
      <c r="AI5" s="83"/>
      <c r="AJ5" s="68">
        <v>4300000</v>
      </c>
      <c r="AK5" s="68">
        <v>8600000</v>
      </c>
      <c r="AM5" s="68">
        <v>3100000</v>
      </c>
      <c r="AP5" s="68">
        <v>4100000</v>
      </c>
      <c r="AQ5" s="68">
        <v>8500000</v>
      </c>
      <c r="AS5" s="68">
        <v>4300000</v>
      </c>
      <c r="AU5" s="68">
        <v>3800000</v>
      </c>
      <c r="AX5" s="68">
        <v>6800000</v>
      </c>
      <c r="BC5" s="68">
        <v>8200000</v>
      </c>
    </row>
    <row r="6" spans="1:55" s="68" customFormat="1" ht="13" x14ac:dyDescent="0.3">
      <c r="A6" s="69" t="s">
        <v>4</v>
      </c>
      <c r="B6" s="67"/>
      <c r="C6" s="62">
        <f t="shared" si="0"/>
        <v>13300000</v>
      </c>
      <c r="D6" s="72"/>
      <c r="E6" s="68">
        <v>1000000</v>
      </c>
      <c r="G6" s="68">
        <v>1500000</v>
      </c>
      <c r="O6" s="83">
        <v>3800000</v>
      </c>
      <c r="AD6" s="68">
        <v>1000000</v>
      </c>
      <c r="AG6" s="68">
        <v>2000000</v>
      </c>
      <c r="BC6" s="68">
        <v>4000000</v>
      </c>
    </row>
    <row r="7" spans="1:55" s="68" customFormat="1" ht="13" x14ac:dyDescent="0.3">
      <c r="A7" s="71" t="s">
        <v>158</v>
      </c>
      <c r="B7" s="67"/>
      <c r="C7" s="62">
        <f t="shared" si="0"/>
        <v>27406645</v>
      </c>
      <c r="H7" s="72"/>
      <c r="P7" s="68">
        <v>5266000</v>
      </c>
      <c r="W7" s="68">
        <v>1115000</v>
      </c>
      <c r="AK7" s="68">
        <v>6114000</v>
      </c>
      <c r="AP7" s="68">
        <v>3347000</v>
      </c>
      <c r="AQ7" s="68">
        <v>7250000</v>
      </c>
      <c r="AX7" s="68">
        <v>3108000</v>
      </c>
      <c r="BC7" s="68">
        <v>1206645</v>
      </c>
    </row>
    <row r="8" spans="1:55" s="68" customFormat="1" ht="13" x14ac:dyDescent="0.3">
      <c r="A8" s="71"/>
      <c r="B8" s="67" t="s">
        <v>6</v>
      </c>
      <c r="C8" s="62">
        <f t="shared" si="0"/>
        <v>23</v>
      </c>
      <c r="D8" s="68">
        <v>0</v>
      </c>
      <c r="E8" s="68">
        <v>1</v>
      </c>
      <c r="F8" s="68">
        <v>1</v>
      </c>
      <c r="G8" s="68">
        <v>1</v>
      </c>
      <c r="H8" s="68">
        <v>1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2</v>
      </c>
      <c r="O8" s="86">
        <v>1</v>
      </c>
      <c r="P8" s="68">
        <v>2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2</v>
      </c>
      <c r="W8" s="68">
        <v>1</v>
      </c>
      <c r="X8" s="68">
        <v>0</v>
      </c>
      <c r="Y8" s="68">
        <v>0</v>
      </c>
      <c r="Z8" s="68">
        <v>0</v>
      </c>
      <c r="AA8" s="68">
        <v>0</v>
      </c>
      <c r="AB8" s="68">
        <v>1</v>
      </c>
      <c r="AC8" s="68">
        <v>0</v>
      </c>
      <c r="AD8" s="68">
        <v>2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1</v>
      </c>
      <c r="AK8" s="68">
        <v>0</v>
      </c>
      <c r="AL8" s="68">
        <v>0</v>
      </c>
      <c r="AM8" s="68">
        <v>0</v>
      </c>
      <c r="AN8" s="68">
        <v>1</v>
      </c>
      <c r="AO8" s="68">
        <v>0</v>
      </c>
      <c r="AP8" s="68">
        <v>0</v>
      </c>
      <c r="AQ8" s="68">
        <v>0</v>
      </c>
      <c r="AR8" s="68">
        <v>0</v>
      </c>
      <c r="AS8" s="68">
        <v>1</v>
      </c>
      <c r="AT8" s="68">
        <v>0</v>
      </c>
      <c r="AU8" s="68">
        <v>2</v>
      </c>
      <c r="AV8" s="68">
        <v>0</v>
      </c>
      <c r="AW8" s="68">
        <v>0</v>
      </c>
      <c r="AX8" s="68">
        <v>1</v>
      </c>
      <c r="AY8" s="68">
        <v>0</v>
      </c>
      <c r="AZ8" s="68">
        <v>0</v>
      </c>
      <c r="BA8" s="68">
        <v>0</v>
      </c>
      <c r="BB8" s="68">
        <v>1</v>
      </c>
      <c r="BC8" s="68">
        <v>1</v>
      </c>
    </row>
    <row r="9" spans="1:55" s="68" customFormat="1" ht="13" x14ac:dyDescent="0.3">
      <c r="A9" s="71"/>
      <c r="B9" s="67" t="s">
        <v>7</v>
      </c>
      <c r="C9" s="62">
        <f t="shared" si="0"/>
        <v>40</v>
      </c>
      <c r="D9" s="68">
        <v>0</v>
      </c>
      <c r="E9" s="68">
        <v>3</v>
      </c>
      <c r="F9" s="68">
        <v>0</v>
      </c>
      <c r="G9" s="68">
        <v>3</v>
      </c>
      <c r="H9" s="68">
        <v>0</v>
      </c>
      <c r="I9" s="68">
        <v>1</v>
      </c>
      <c r="J9" s="68">
        <v>0</v>
      </c>
      <c r="K9" s="68">
        <v>0</v>
      </c>
      <c r="L9" s="68">
        <v>0</v>
      </c>
      <c r="M9" s="68">
        <v>1</v>
      </c>
      <c r="N9" s="68">
        <v>1</v>
      </c>
      <c r="O9" s="86">
        <v>0</v>
      </c>
      <c r="P9" s="68">
        <v>2</v>
      </c>
      <c r="Q9" s="68">
        <v>0</v>
      </c>
      <c r="R9" s="68">
        <v>0</v>
      </c>
      <c r="S9" s="68">
        <v>0</v>
      </c>
      <c r="T9" s="68">
        <v>1</v>
      </c>
      <c r="U9" s="68">
        <v>5</v>
      </c>
      <c r="V9" s="68">
        <v>2</v>
      </c>
      <c r="W9" s="68">
        <v>2</v>
      </c>
      <c r="X9" s="68">
        <v>1</v>
      </c>
      <c r="Y9" s="68">
        <v>1</v>
      </c>
      <c r="Z9" s="68">
        <v>1</v>
      </c>
      <c r="AA9" s="68">
        <v>0</v>
      </c>
      <c r="AB9" s="68">
        <v>1</v>
      </c>
      <c r="AC9" s="68">
        <v>0</v>
      </c>
      <c r="AD9" s="68">
        <v>2</v>
      </c>
      <c r="AE9" s="68">
        <v>0</v>
      </c>
      <c r="AF9" s="68">
        <v>0</v>
      </c>
      <c r="AG9" s="68">
        <v>1</v>
      </c>
      <c r="AH9" s="68">
        <v>0</v>
      </c>
      <c r="AI9" s="68">
        <v>0</v>
      </c>
      <c r="AJ9" s="68">
        <v>1</v>
      </c>
      <c r="AK9" s="68">
        <v>2</v>
      </c>
      <c r="AL9" s="68">
        <v>0</v>
      </c>
      <c r="AM9" s="68">
        <v>1</v>
      </c>
      <c r="AN9" s="68">
        <v>0</v>
      </c>
      <c r="AO9" s="68">
        <v>0</v>
      </c>
      <c r="AP9" s="68">
        <v>0</v>
      </c>
      <c r="AQ9" s="68">
        <v>2</v>
      </c>
      <c r="AR9" s="68">
        <v>0</v>
      </c>
      <c r="AS9" s="68">
        <v>1</v>
      </c>
      <c r="AT9" s="68">
        <v>0</v>
      </c>
      <c r="AU9" s="68">
        <v>1</v>
      </c>
      <c r="AV9" s="68">
        <v>0</v>
      </c>
      <c r="AW9" s="68">
        <v>0</v>
      </c>
      <c r="AX9" s="68">
        <v>2</v>
      </c>
      <c r="AY9" s="68">
        <v>0</v>
      </c>
      <c r="AZ9" s="68">
        <v>0</v>
      </c>
      <c r="BA9" s="68">
        <v>0</v>
      </c>
      <c r="BB9" s="68">
        <v>0</v>
      </c>
      <c r="BC9" s="68">
        <v>2</v>
      </c>
    </row>
    <row r="10" spans="1:55" s="68" customFormat="1" ht="13" x14ac:dyDescent="0.3">
      <c r="A10" s="71"/>
      <c r="B10" s="67" t="s">
        <v>187</v>
      </c>
      <c r="C10" s="62">
        <f t="shared" si="0"/>
        <v>33</v>
      </c>
      <c r="D10" s="68">
        <v>0</v>
      </c>
      <c r="E10" s="68">
        <v>0</v>
      </c>
      <c r="F10" s="68">
        <v>3</v>
      </c>
      <c r="G10" s="68">
        <v>2</v>
      </c>
      <c r="H10" s="68">
        <v>1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4</v>
      </c>
      <c r="O10" s="86">
        <v>4</v>
      </c>
      <c r="P10" s="68">
        <v>3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1</v>
      </c>
      <c r="AA10" s="68">
        <v>0</v>
      </c>
      <c r="AB10" s="68">
        <v>0</v>
      </c>
      <c r="AC10" s="68">
        <v>0</v>
      </c>
      <c r="AD10" s="68">
        <v>3</v>
      </c>
      <c r="AE10" s="68">
        <v>0</v>
      </c>
      <c r="AF10" s="68">
        <v>0</v>
      </c>
      <c r="AG10" s="68">
        <v>2</v>
      </c>
      <c r="AH10" s="68">
        <v>0</v>
      </c>
      <c r="AI10" s="68">
        <v>0</v>
      </c>
      <c r="AJ10" s="68">
        <v>1</v>
      </c>
      <c r="AK10" s="68">
        <v>0</v>
      </c>
      <c r="AL10" s="68">
        <v>1</v>
      </c>
      <c r="AM10" s="68">
        <v>0</v>
      </c>
      <c r="AN10" s="68">
        <v>1</v>
      </c>
      <c r="AO10" s="68">
        <v>0</v>
      </c>
      <c r="AP10" s="68">
        <v>0</v>
      </c>
      <c r="AQ10" s="68">
        <v>2</v>
      </c>
      <c r="AR10" s="68">
        <v>0</v>
      </c>
      <c r="AS10" s="68">
        <v>1</v>
      </c>
      <c r="AT10" s="68">
        <v>0</v>
      </c>
      <c r="AU10" s="68">
        <v>1</v>
      </c>
      <c r="AV10" s="68">
        <v>0</v>
      </c>
      <c r="AW10" s="68">
        <v>0</v>
      </c>
      <c r="AX10" s="68">
        <v>0</v>
      </c>
      <c r="AY10" s="68">
        <v>0</v>
      </c>
      <c r="AZ10" s="68">
        <v>1</v>
      </c>
      <c r="BA10" s="68">
        <v>0</v>
      </c>
      <c r="BB10" s="68">
        <v>1</v>
      </c>
      <c r="BC10" s="68">
        <v>1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2426883870.9677415</v>
      </c>
      <c r="D11" s="68">
        <v>28800000</v>
      </c>
      <c r="E11" s="68">
        <v>50022580.645161286</v>
      </c>
      <c r="F11" s="68">
        <v>41400000</v>
      </c>
      <c r="G11" s="68">
        <v>55522580.645161286</v>
      </c>
      <c r="H11" s="68">
        <v>51600000</v>
      </c>
      <c r="I11" s="68">
        <v>45251612.903225809</v>
      </c>
      <c r="J11" s="68">
        <v>44800000</v>
      </c>
      <c r="K11" s="68">
        <v>28300000</v>
      </c>
      <c r="L11" s="68">
        <v>87300000</v>
      </c>
      <c r="M11" s="68">
        <v>76477419.354838714</v>
      </c>
      <c r="N11" s="68">
        <v>37446774.193548389</v>
      </c>
      <c r="O11" s="86">
        <v>47900000</v>
      </c>
      <c r="P11" s="68">
        <v>58374193.548387095</v>
      </c>
      <c r="Q11" s="68">
        <v>39600000</v>
      </c>
      <c r="R11" s="68">
        <v>54000000</v>
      </c>
      <c r="S11" s="68">
        <v>38000000</v>
      </c>
      <c r="T11" s="68">
        <v>19235483.870967742</v>
      </c>
      <c r="U11" s="68">
        <v>64801612.903225802</v>
      </c>
      <c r="V11" s="68">
        <v>38270967.741935484</v>
      </c>
      <c r="W11" s="68">
        <v>41903225.806451611</v>
      </c>
      <c r="X11" s="68">
        <v>30600000</v>
      </c>
      <c r="Y11" s="68">
        <v>23000000</v>
      </c>
      <c r="Z11" s="68">
        <v>49500000</v>
      </c>
      <c r="AA11" s="68">
        <v>53800000</v>
      </c>
      <c r="AB11" s="68">
        <v>18303225.806451611</v>
      </c>
      <c r="AC11" s="68">
        <v>35700000</v>
      </c>
      <c r="AD11" s="68">
        <v>30100000</v>
      </c>
      <c r="AE11" s="68">
        <v>16400000</v>
      </c>
      <c r="AF11" s="68">
        <v>46400000</v>
      </c>
      <c r="AG11" s="68">
        <v>32919354.838709675</v>
      </c>
      <c r="AH11" s="68">
        <v>48200000</v>
      </c>
      <c r="AI11" s="68">
        <v>16700000</v>
      </c>
      <c r="AJ11" s="68">
        <v>66382258.064516127</v>
      </c>
      <c r="AK11" s="68">
        <v>47800000</v>
      </c>
      <c r="AL11" s="68">
        <v>40000000</v>
      </c>
      <c r="AM11" s="68">
        <v>60750000</v>
      </c>
      <c r="AN11" s="68">
        <v>22900000</v>
      </c>
      <c r="AO11" s="68">
        <v>19300000</v>
      </c>
      <c r="AP11" s="68">
        <v>42000000</v>
      </c>
      <c r="AQ11" s="68">
        <v>91800000</v>
      </c>
      <c r="AR11" s="68">
        <v>35100000</v>
      </c>
      <c r="AS11" s="68">
        <v>64300000</v>
      </c>
      <c r="AT11" s="68">
        <v>136400000</v>
      </c>
      <c r="AU11" s="68">
        <v>26700000</v>
      </c>
      <c r="AV11" s="68">
        <v>32300000</v>
      </c>
      <c r="AW11" s="68">
        <v>30000000</v>
      </c>
      <c r="AX11" s="68">
        <v>71583870.967741936</v>
      </c>
      <c r="AY11" s="68">
        <v>67800000</v>
      </c>
      <c r="AZ11" s="68">
        <v>36700000</v>
      </c>
      <c r="BA11" s="68">
        <v>31400000</v>
      </c>
      <c r="BB11" s="68">
        <v>47300000</v>
      </c>
      <c r="BC11" s="68">
        <v>105738709.67741935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418149300</v>
      </c>
      <c r="D12" s="68">
        <v>6536000</v>
      </c>
      <c r="E12" s="68">
        <v>7528000</v>
      </c>
      <c r="F12" s="68">
        <v>8856000</v>
      </c>
      <c r="G12" s="68">
        <v>11520000</v>
      </c>
      <c r="H12" s="68">
        <v>10256000</v>
      </c>
      <c r="I12" s="68">
        <v>7128000</v>
      </c>
      <c r="J12" s="68">
        <v>9440000</v>
      </c>
      <c r="K12" s="68">
        <v>3900000</v>
      </c>
      <c r="L12" s="68">
        <v>16468000</v>
      </c>
      <c r="M12" s="68">
        <v>12348000</v>
      </c>
      <c r="N12" s="68">
        <v>8360800</v>
      </c>
      <c r="O12" s="86">
        <v>8043500</v>
      </c>
      <c r="P12" s="68">
        <v>13892000</v>
      </c>
      <c r="Q12" s="68">
        <v>7700000</v>
      </c>
      <c r="R12" s="68">
        <v>9175800</v>
      </c>
      <c r="S12" s="68">
        <v>5308000</v>
      </c>
      <c r="T12" s="68">
        <v>2620000</v>
      </c>
      <c r="U12" s="68">
        <v>10712000</v>
      </c>
      <c r="V12" s="68">
        <v>6312000</v>
      </c>
      <c r="W12" s="68">
        <v>7168000</v>
      </c>
      <c r="X12" s="68">
        <v>5804000</v>
      </c>
      <c r="Y12" s="68">
        <v>5100000</v>
      </c>
      <c r="Z12" s="68">
        <v>8712000</v>
      </c>
      <c r="AA12" s="68">
        <v>11492000</v>
      </c>
      <c r="AB12" s="68">
        <v>1848000</v>
      </c>
      <c r="AC12" s="68">
        <v>4853500</v>
      </c>
      <c r="AD12" s="68">
        <v>7928200</v>
      </c>
      <c r="AE12" s="68">
        <v>2988000</v>
      </c>
      <c r="AF12" s="68">
        <v>8024000</v>
      </c>
      <c r="AG12" s="68">
        <v>5092000</v>
      </c>
      <c r="AH12" s="68">
        <v>8992000</v>
      </c>
      <c r="AI12" s="68">
        <v>3568000</v>
      </c>
      <c r="AJ12" s="68">
        <v>14340500</v>
      </c>
      <c r="AK12" s="68">
        <v>7316000</v>
      </c>
      <c r="AL12" s="68">
        <v>8584000</v>
      </c>
      <c r="AM12" s="68">
        <v>8921600</v>
      </c>
      <c r="AN12" s="68">
        <v>4600000</v>
      </c>
      <c r="AO12" s="68">
        <v>3835000</v>
      </c>
      <c r="AP12" s="68">
        <v>6256000</v>
      </c>
      <c r="AQ12" s="68">
        <v>11372500</v>
      </c>
      <c r="AR12" s="68">
        <v>5148000</v>
      </c>
      <c r="AS12" s="68">
        <v>9812000</v>
      </c>
      <c r="AT12" s="68">
        <v>17424000</v>
      </c>
      <c r="AU12" s="68">
        <v>5068000</v>
      </c>
      <c r="AV12" s="68">
        <v>5082800</v>
      </c>
      <c r="AW12" s="68">
        <v>4544000</v>
      </c>
      <c r="AX12" s="68">
        <v>9324000</v>
      </c>
      <c r="AY12" s="68">
        <v>12126000</v>
      </c>
      <c r="AZ12" s="68">
        <v>6987600</v>
      </c>
      <c r="BA12" s="68">
        <v>5671500</v>
      </c>
      <c r="BB12" s="68">
        <v>6840000</v>
      </c>
      <c r="BC12" s="68">
        <v>17222000</v>
      </c>
    </row>
    <row r="13" spans="1:55" s="68" customFormat="1" ht="13" x14ac:dyDescent="0.3">
      <c r="A13" s="129"/>
      <c r="B13" s="69" t="s">
        <v>12</v>
      </c>
      <c r="C13" s="62">
        <f t="shared" si="0"/>
        <v>127166774.19354838</v>
      </c>
      <c r="D13" s="68">
        <v>1770000</v>
      </c>
      <c r="E13" s="68">
        <v>2475000</v>
      </c>
      <c r="F13" s="68">
        <v>2010000</v>
      </c>
      <c r="G13" s="68">
        <v>4079677.4193548388</v>
      </c>
      <c r="H13" s="68">
        <v>3330000</v>
      </c>
      <c r="I13" s="68">
        <v>2755645.1612903224</v>
      </c>
      <c r="J13" s="68">
        <v>2385000</v>
      </c>
      <c r="K13" s="68">
        <v>1585000</v>
      </c>
      <c r="L13" s="68">
        <v>4260000</v>
      </c>
      <c r="M13" s="68">
        <v>4915000</v>
      </c>
      <c r="N13" s="68">
        <v>1840000</v>
      </c>
      <c r="O13" s="86">
        <v>2900000</v>
      </c>
      <c r="P13" s="68">
        <v>4605000</v>
      </c>
      <c r="Q13" s="68">
        <v>2085000</v>
      </c>
      <c r="R13" s="68">
        <v>2340000</v>
      </c>
      <c r="S13" s="68">
        <v>1900000</v>
      </c>
      <c r="T13" s="68">
        <v>1429677.4193548388</v>
      </c>
      <c r="U13" s="68">
        <v>2953548.3870967743</v>
      </c>
      <c r="V13" s="68">
        <v>1370000</v>
      </c>
      <c r="W13" s="68">
        <v>2305000</v>
      </c>
      <c r="X13" s="68">
        <v>1825000</v>
      </c>
      <c r="Y13" s="68">
        <v>1400000</v>
      </c>
      <c r="Z13" s="68">
        <v>2940000</v>
      </c>
      <c r="AA13" s="68">
        <v>2520000</v>
      </c>
      <c r="AB13" s="68">
        <v>1064516.1290322579</v>
      </c>
      <c r="AC13" s="68">
        <v>1525000</v>
      </c>
      <c r="AD13" s="68">
        <v>2065000</v>
      </c>
      <c r="AE13" s="68">
        <v>960000</v>
      </c>
      <c r="AF13" s="68">
        <v>1890000</v>
      </c>
      <c r="AG13" s="68">
        <v>1840000</v>
      </c>
      <c r="AH13" s="68">
        <v>3390000</v>
      </c>
      <c r="AI13" s="68">
        <v>1320000</v>
      </c>
      <c r="AJ13" s="68">
        <v>4035000</v>
      </c>
      <c r="AK13" s="68">
        <v>1880000</v>
      </c>
      <c r="AL13" s="68">
        <v>2800000</v>
      </c>
      <c r="AM13" s="68">
        <v>3345000</v>
      </c>
      <c r="AN13" s="68">
        <v>1320000</v>
      </c>
      <c r="AO13" s="68">
        <v>1080000</v>
      </c>
      <c r="AP13" s="68">
        <v>2200000</v>
      </c>
      <c r="AQ13" s="68">
        <v>4495000</v>
      </c>
      <c r="AR13" s="68">
        <v>1360000</v>
      </c>
      <c r="AS13" s="68">
        <v>2715000</v>
      </c>
      <c r="AT13" s="68">
        <v>4795000</v>
      </c>
      <c r="AU13" s="68">
        <v>1575000</v>
      </c>
      <c r="AV13" s="68">
        <v>1560000</v>
      </c>
      <c r="AW13" s="68">
        <v>1590000</v>
      </c>
      <c r="AX13" s="68">
        <v>2983709.6774193547</v>
      </c>
      <c r="AY13" s="68">
        <v>3800000</v>
      </c>
      <c r="AZ13" s="68">
        <v>2115000</v>
      </c>
      <c r="BA13" s="68">
        <v>1640000</v>
      </c>
      <c r="BB13" s="68">
        <v>1505000</v>
      </c>
      <c r="BC13" s="68">
        <v>4340000</v>
      </c>
    </row>
    <row r="14" spans="1:55" s="68" customFormat="1" ht="13" x14ac:dyDescent="0.3">
      <c r="A14" s="129"/>
      <c r="B14" s="69" t="s">
        <v>13</v>
      </c>
      <c r="C14" s="62">
        <f t="shared" si="0"/>
        <v>57933440.860215053</v>
      </c>
      <c r="D14" s="68">
        <v>810000</v>
      </c>
      <c r="E14" s="68">
        <v>1342258.064516129</v>
      </c>
      <c r="F14" s="68">
        <v>990000</v>
      </c>
      <c r="G14" s="68">
        <v>1669838.7096774194</v>
      </c>
      <c r="H14" s="68">
        <v>1440000</v>
      </c>
      <c r="I14" s="68">
        <v>1070322.5806451612</v>
      </c>
      <c r="J14" s="68">
        <v>930000</v>
      </c>
      <c r="K14" s="68">
        <v>570000</v>
      </c>
      <c r="L14" s="68">
        <v>1800000</v>
      </c>
      <c r="M14" s="68">
        <v>2402903.2258064514</v>
      </c>
      <c r="N14" s="68">
        <v>859354.83870967745</v>
      </c>
      <c r="O14" s="86">
        <v>1320000</v>
      </c>
      <c r="P14" s="68">
        <v>2135806.4516129033</v>
      </c>
      <c r="Q14" s="68">
        <v>840000</v>
      </c>
      <c r="R14" s="68">
        <v>930000</v>
      </c>
      <c r="S14" s="68">
        <v>750000</v>
      </c>
      <c r="T14" s="68">
        <v>424838.70967741939</v>
      </c>
      <c r="U14" s="68">
        <v>1573548.3870967741</v>
      </c>
      <c r="V14" s="68">
        <v>750000</v>
      </c>
      <c r="W14" s="68">
        <v>812903.22580645164</v>
      </c>
      <c r="X14" s="68">
        <v>870000</v>
      </c>
      <c r="Y14" s="68">
        <v>600000</v>
      </c>
      <c r="Z14" s="68">
        <v>1350000</v>
      </c>
      <c r="AA14" s="68">
        <v>1260000</v>
      </c>
      <c r="AB14" s="68">
        <v>447258.06451612903</v>
      </c>
      <c r="AC14" s="68">
        <v>900000</v>
      </c>
      <c r="AD14" s="68">
        <v>855806.45161290327</v>
      </c>
      <c r="AE14" s="68">
        <v>440000</v>
      </c>
      <c r="AF14" s="68">
        <v>710000</v>
      </c>
      <c r="AG14" s="68">
        <v>932903.22580645164</v>
      </c>
      <c r="AH14" s="68">
        <v>1270000</v>
      </c>
      <c r="AI14" s="68">
        <v>600000</v>
      </c>
      <c r="AJ14" s="68">
        <v>1738064.5161290322</v>
      </c>
      <c r="AK14" s="68">
        <v>876666.66666666663</v>
      </c>
      <c r="AL14" s="68">
        <v>1205000</v>
      </c>
      <c r="AM14" s="68">
        <v>1480000</v>
      </c>
      <c r="AN14" s="68">
        <v>600000</v>
      </c>
      <c r="AO14" s="68">
        <v>540000</v>
      </c>
      <c r="AP14" s="68">
        <v>1380000</v>
      </c>
      <c r="AQ14" s="68">
        <v>2100000</v>
      </c>
      <c r="AR14" s="68">
        <v>810000</v>
      </c>
      <c r="AS14" s="68">
        <v>1380000</v>
      </c>
      <c r="AT14" s="68">
        <v>1780000</v>
      </c>
      <c r="AU14" s="68">
        <v>717096.77419354836</v>
      </c>
      <c r="AV14" s="68">
        <v>780000</v>
      </c>
      <c r="AW14" s="68">
        <v>960000</v>
      </c>
      <c r="AX14" s="68">
        <v>1763225.8064516129</v>
      </c>
      <c r="AY14" s="68">
        <v>1895000</v>
      </c>
      <c r="AZ14" s="68">
        <v>780000</v>
      </c>
      <c r="BA14" s="68">
        <v>780000</v>
      </c>
      <c r="BB14" s="68">
        <v>630000</v>
      </c>
      <c r="BC14" s="68">
        <v>2080645.1612903224</v>
      </c>
    </row>
    <row r="15" spans="1:55" s="68" customFormat="1" ht="13" x14ac:dyDescent="0.3">
      <c r="A15" s="129"/>
      <c r="B15" s="69" t="s">
        <v>14</v>
      </c>
      <c r="C15" s="62">
        <f t="shared" si="0"/>
        <v>52208709.677419357</v>
      </c>
      <c r="D15" s="68">
        <v>600000</v>
      </c>
      <c r="E15" s="68">
        <v>1487096.7741935486</v>
      </c>
      <c r="F15" s="68">
        <v>900000</v>
      </c>
      <c r="G15" s="68">
        <v>1658064.5161290322</v>
      </c>
      <c r="H15" s="68">
        <v>1000000</v>
      </c>
      <c r="I15" s="68">
        <v>1241935.4838709678</v>
      </c>
      <c r="J15" s="68">
        <v>1300000</v>
      </c>
      <c r="K15" s="68">
        <v>1000000</v>
      </c>
      <c r="L15" s="68">
        <v>1900000</v>
      </c>
      <c r="M15" s="68">
        <v>1354838.7096774194</v>
      </c>
      <c r="N15" s="68">
        <v>1032258.0645161291</v>
      </c>
      <c r="O15" s="86">
        <v>1000000</v>
      </c>
      <c r="P15" s="68">
        <v>1500000</v>
      </c>
      <c r="Q15" s="68">
        <v>900000</v>
      </c>
      <c r="R15" s="68">
        <v>1000000</v>
      </c>
      <c r="S15" s="68">
        <v>700000</v>
      </c>
      <c r="T15" s="68">
        <v>858064.51612903224</v>
      </c>
      <c r="U15" s="68">
        <v>1822580.6451612904</v>
      </c>
      <c r="V15" s="68">
        <v>800000</v>
      </c>
      <c r="W15" s="68">
        <v>754838.70967741939</v>
      </c>
      <c r="X15" s="68">
        <v>600000</v>
      </c>
      <c r="Y15" s="68">
        <v>450000</v>
      </c>
      <c r="Z15" s="68">
        <v>700000</v>
      </c>
      <c r="AA15" s="68">
        <v>800000</v>
      </c>
      <c r="AB15" s="68">
        <v>387096.77419354836</v>
      </c>
      <c r="AC15" s="68">
        <v>800000</v>
      </c>
      <c r="AD15" s="68">
        <v>400000</v>
      </c>
      <c r="AE15" s="68">
        <v>500000</v>
      </c>
      <c r="AF15" s="68">
        <v>900000</v>
      </c>
      <c r="AG15" s="68">
        <v>654838.70967741939</v>
      </c>
      <c r="AH15" s="68">
        <v>800000</v>
      </c>
      <c r="AI15" s="68">
        <v>500000</v>
      </c>
      <c r="AJ15" s="68">
        <v>1119354.8387096776</v>
      </c>
      <c r="AK15" s="68">
        <v>920000</v>
      </c>
      <c r="AL15" s="68">
        <v>900000</v>
      </c>
      <c r="AM15" s="68">
        <v>1600000</v>
      </c>
      <c r="AN15" s="68">
        <v>700000</v>
      </c>
      <c r="AO15" s="68">
        <v>700000</v>
      </c>
      <c r="AP15" s="68">
        <v>600000</v>
      </c>
      <c r="AQ15" s="68">
        <v>1400000</v>
      </c>
      <c r="AR15" s="68">
        <v>1000000</v>
      </c>
      <c r="AS15" s="68">
        <v>1400000</v>
      </c>
      <c r="AT15" s="68">
        <v>2500000</v>
      </c>
      <c r="AU15" s="68">
        <v>645161.29032258061</v>
      </c>
      <c r="AV15" s="68">
        <v>700000</v>
      </c>
      <c r="AW15" s="68">
        <v>900000</v>
      </c>
      <c r="AX15" s="68">
        <v>1738709.6774193549</v>
      </c>
      <c r="AY15" s="68">
        <v>1000000</v>
      </c>
      <c r="AZ15" s="68">
        <v>600000</v>
      </c>
      <c r="BA15" s="68">
        <v>600000</v>
      </c>
      <c r="BB15" s="68">
        <v>700000</v>
      </c>
      <c r="BC15" s="68">
        <v>2183870.9677419355</v>
      </c>
    </row>
    <row r="16" spans="1:55" s="68" customFormat="1" ht="13" x14ac:dyDescent="0.3">
      <c r="A16" s="129"/>
      <c r="B16" s="69" t="s">
        <v>15</v>
      </c>
      <c r="C16" s="62">
        <f t="shared" si="0"/>
        <v>2050000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600000</v>
      </c>
      <c r="K16" s="68">
        <v>0</v>
      </c>
      <c r="L16" s="68">
        <v>50000</v>
      </c>
      <c r="M16" s="68">
        <v>0</v>
      </c>
      <c r="N16" s="68">
        <v>0</v>
      </c>
      <c r="O16" s="86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150000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0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29456494.623655915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1650000</v>
      </c>
      <c r="M17" s="68">
        <v>1777419.3548387098</v>
      </c>
      <c r="N17" s="68">
        <v>0</v>
      </c>
      <c r="O17" s="86">
        <v>1380000</v>
      </c>
      <c r="P17" s="68">
        <v>1415806.4516129033</v>
      </c>
      <c r="Q17" s="68">
        <v>750000</v>
      </c>
      <c r="R17" s="68">
        <v>1100000</v>
      </c>
      <c r="S17" s="68">
        <v>760000</v>
      </c>
      <c r="T17" s="68">
        <v>852000</v>
      </c>
      <c r="U17" s="68">
        <v>1411290.3225806451</v>
      </c>
      <c r="V17" s="68">
        <v>590000</v>
      </c>
      <c r="W17" s="68">
        <v>727419.3548387097</v>
      </c>
      <c r="X17" s="68">
        <v>0</v>
      </c>
      <c r="Y17" s="68">
        <v>0</v>
      </c>
      <c r="Z17" s="68">
        <v>1060000</v>
      </c>
      <c r="AA17" s="68">
        <v>0</v>
      </c>
      <c r="AB17" s="68">
        <v>402666.66666666669</v>
      </c>
      <c r="AC17" s="68">
        <v>500000</v>
      </c>
      <c r="AD17" s="68">
        <v>677096.77419354836</v>
      </c>
      <c r="AE17" s="68">
        <v>0</v>
      </c>
      <c r="AF17" s="68">
        <v>1010000</v>
      </c>
      <c r="AG17" s="68">
        <v>677419.3548387097</v>
      </c>
      <c r="AH17" s="68">
        <v>0</v>
      </c>
      <c r="AI17" s="68">
        <v>0</v>
      </c>
      <c r="AJ17" s="68">
        <v>1508064.5161290322</v>
      </c>
      <c r="AK17" s="68">
        <v>1226666.6666666665</v>
      </c>
      <c r="AL17" s="68">
        <v>0</v>
      </c>
      <c r="AM17" s="68">
        <v>0</v>
      </c>
      <c r="AN17" s="68">
        <v>0</v>
      </c>
      <c r="AO17" s="68">
        <v>0</v>
      </c>
      <c r="AP17" s="68">
        <v>1200000</v>
      </c>
      <c r="AQ17" s="68">
        <v>1200000</v>
      </c>
      <c r="AR17" s="68">
        <v>0</v>
      </c>
      <c r="AS17" s="68">
        <v>1150000</v>
      </c>
      <c r="AT17" s="68">
        <v>1530000</v>
      </c>
      <c r="AU17" s="68">
        <v>0</v>
      </c>
      <c r="AV17" s="68">
        <v>0</v>
      </c>
      <c r="AW17" s="68">
        <v>0</v>
      </c>
      <c r="AX17" s="68">
        <v>1000000</v>
      </c>
      <c r="AY17" s="68">
        <v>1600000</v>
      </c>
      <c r="AZ17" s="68">
        <v>0</v>
      </c>
      <c r="BA17" s="68">
        <v>0</v>
      </c>
      <c r="BB17" s="68">
        <v>550000</v>
      </c>
      <c r="BC17" s="68">
        <v>1750645.1612903227</v>
      </c>
    </row>
    <row r="18" spans="1:57" s="68" customFormat="1" ht="13" x14ac:dyDescent="0.3">
      <c r="A18" s="129"/>
      <c r="B18" s="121" t="s">
        <v>17</v>
      </c>
      <c r="C18" s="62">
        <f t="shared" si="0"/>
        <v>59086344.086021505</v>
      </c>
      <c r="D18" s="68">
        <v>900000</v>
      </c>
      <c r="E18" s="68">
        <v>1312258.064516129</v>
      </c>
      <c r="F18" s="68">
        <v>960000</v>
      </c>
      <c r="G18" s="68">
        <v>2059838.7096774194</v>
      </c>
      <c r="H18" s="68">
        <v>1680000</v>
      </c>
      <c r="I18" s="68">
        <v>890322.58064516122</v>
      </c>
      <c r="J18" s="68">
        <v>930000</v>
      </c>
      <c r="K18" s="68">
        <v>960000</v>
      </c>
      <c r="L18" s="68">
        <v>1440000</v>
      </c>
      <c r="M18" s="68">
        <v>2402903.2258064514</v>
      </c>
      <c r="N18" s="68">
        <v>1069354.8387096773</v>
      </c>
      <c r="O18" s="86">
        <v>1440000</v>
      </c>
      <c r="P18" s="68">
        <v>2105806.4516129033</v>
      </c>
      <c r="Q18" s="68">
        <v>1020000</v>
      </c>
      <c r="R18" s="68">
        <v>930000</v>
      </c>
      <c r="S18" s="68">
        <v>1020000</v>
      </c>
      <c r="T18" s="68">
        <v>574838.70967741939</v>
      </c>
      <c r="U18" s="68">
        <v>1693548.3870967741</v>
      </c>
      <c r="V18" s="68">
        <v>750000</v>
      </c>
      <c r="W18" s="68">
        <v>812903.22580645164</v>
      </c>
      <c r="X18" s="68">
        <v>240000</v>
      </c>
      <c r="Y18" s="68">
        <v>750000</v>
      </c>
      <c r="Z18" s="68">
        <v>1270000</v>
      </c>
      <c r="AA18" s="68">
        <v>1260000</v>
      </c>
      <c r="AB18" s="68">
        <v>447258.06451612903</v>
      </c>
      <c r="AC18" s="68">
        <v>900000</v>
      </c>
      <c r="AD18" s="68">
        <v>855806.45161290327</v>
      </c>
      <c r="AE18" s="68">
        <v>440000</v>
      </c>
      <c r="AF18" s="68">
        <v>710000</v>
      </c>
      <c r="AG18" s="68">
        <v>932903.22580645164</v>
      </c>
      <c r="AH18" s="68">
        <v>1230000</v>
      </c>
      <c r="AI18" s="68">
        <v>600000</v>
      </c>
      <c r="AJ18" s="68">
        <v>2248064.5161290322</v>
      </c>
      <c r="AK18" s="68">
        <v>1036666.6666666666</v>
      </c>
      <c r="AL18" s="68">
        <v>1205000</v>
      </c>
      <c r="AM18" s="68">
        <v>1420000</v>
      </c>
      <c r="AN18" s="68">
        <v>600000</v>
      </c>
      <c r="AO18" s="68">
        <v>540000</v>
      </c>
      <c r="AP18" s="68">
        <v>1380000</v>
      </c>
      <c r="AQ18" s="68">
        <v>1740000</v>
      </c>
      <c r="AR18" s="68">
        <v>810000</v>
      </c>
      <c r="AS18" s="68">
        <v>1380000</v>
      </c>
      <c r="AT18" s="68">
        <v>1780000</v>
      </c>
      <c r="AU18" s="68">
        <v>690000</v>
      </c>
      <c r="AV18" s="68">
        <v>780000</v>
      </c>
      <c r="AW18" s="68">
        <v>960000</v>
      </c>
      <c r="AX18" s="68">
        <v>1763225.8064516129</v>
      </c>
      <c r="AY18" s="68">
        <v>1895000</v>
      </c>
      <c r="AZ18" s="68">
        <v>780000</v>
      </c>
      <c r="BA18" s="68">
        <v>780000</v>
      </c>
      <c r="BB18" s="68">
        <v>630000</v>
      </c>
      <c r="BC18" s="68">
        <v>2080645.1612903224</v>
      </c>
    </row>
    <row r="19" spans="1:57" s="68" customFormat="1" ht="13" x14ac:dyDescent="0.3">
      <c r="A19" s="130"/>
      <c r="B19" s="80" t="s">
        <v>18</v>
      </c>
      <c r="C19" s="62">
        <f>SUM(C12:C18)</f>
        <v>746051063.44086027</v>
      </c>
      <c r="D19" s="81">
        <f t="shared" ref="D19:R19" si="1">SUM(D12:D18)</f>
        <v>10616000</v>
      </c>
      <c r="E19" s="81">
        <f t="shared" si="1"/>
        <v>14144612.903225807</v>
      </c>
      <c r="F19" s="81">
        <f t="shared" si="1"/>
        <v>13866000</v>
      </c>
      <c r="G19" s="81">
        <f t="shared" si="1"/>
        <v>20987419.35483871</v>
      </c>
      <c r="H19" s="81">
        <f>SUM(H12:H18)</f>
        <v>17706000</v>
      </c>
      <c r="I19" s="81">
        <f t="shared" si="1"/>
        <v>13236225.806451611</v>
      </c>
      <c r="J19" s="81">
        <f t="shared" si="1"/>
        <v>15585000</v>
      </c>
      <c r="K19" s="81">
        <f>SUM(K12:K18)</f>
        <v>8015000</v>
      </c>
      <c r="L19" s="81">
        <f t="shared" si="1"/>
        <v>27568000</v>
      </c>
      <c r="M19" s="81">
        <f t="shared" si="1"/>
        <v>25201064.516129036</v>
      </c>
      <c r="N19" s="81">
        <f>SUM(N12:N18)</f>
        <v>13161767.741935482</v>
      </c>
      <c r="O19" s="81">
        <f t="shared" si="1"/>
        <v>16083500</v>
      </c>
      <c r="P19" s="81">
        <f t="shared" si="1"/>
        <v>25654419.354838714</v>
      </c>
      <c r="Q19" s="81">
        <f t="shared" si="1"/>
        <v>13295000</v>
      </c>
      <c r="R19" s="81">
        <f t="shared" si="1"/>
        <v>15525800</v>
      </c>
      <c r="S19" s="81">
        <f>SUM(S12:S18)</f>
        <v>10438000</v>
      </c>
      <c r="T19" s="81">
        <f>SUM(T12:T18)</f>
        <v>6759419.3548387093</v>
      </c>
      <c r="U19" s="81">
        <f>SUM(U12:U18)</f>
        <v>20216516.129032258</v>
      </c>
      <c r="V19" s="81">
        <f>SUM(V12:V18)</f>
        <v>10572000</v>
      </c>
      <c r="W19" s="81">
        <f>SUM(W12:W18)</f>
        <v>12581064.516129034</v>
      </c>
      <c r="X19" s="81">
        <f t="shared" ref="X19:BC19" si="2">SUM(X12:X18)</f>
        <v>9539000</v>
      </c>
      <c r="Y19" s="81">
        <f t="shared" si="2"/>
        <v>8300000</v>
      </c>
      <c r="Z19" s="81">
        <f t="shared" si="2"/>
        <v>16032000</v>
      </c>
      <c r="AA19" s="81">
        <f t="shared" si="2"/>
        <v>17482000</v>
      </c>
      <c r="AB19" s="81">
        <f t="shared" si="2"/>
        <v>4596795.6989247315</v>
      </c>
      <c r="AC19" s="81">
        <f t="shared" si="2"/>
        <v>9478500</v>
      </c>
      <c r="AD19" s="81">
        <f t="shared" si="2"/>
        <v>12781909.677419353</v>
      </c>
      <c r="AE19" s="81">
        <f t="shared" si="2"/>
        <v>5328000</v>
      </c>
      <c r="AF19" s="81">
        <f t="shared" si="2"/>
        <v>13294000</v>
      </c>
      <c r="AG19" s="81">
        <f t="shared" si="2"/>
        <v>10130064.516129034</v>
      </c>
      <c r="AH19" s="81">
        <f t="shared" si="2"/>
        <v>15682000</v>
      </c>
      <c r="AI19" s="81">
        <f t="shared" si="2"/>
        <v>6588000</v>
      </c>
      <c r="AJ19" s="81">
        <f t="shared" si="2"/>
        <v>24989048.387096774</v>
      </c>
      <c r="AK19" s="81">
        <f t="shared" si="2"/>
        <v>13255999.999999998</v>
      </c>
      <c r="AL19" s="81">
        <f t="shared" si="2"/>
        <v>14694000</v>
      </c>
      <c r="AM19" s="81">
        <f t="shared" si="2"/>
        <v>16766600</v>
      </c>
      <c r="AN19" s="81">
        <f t="shared" si="2"/>
        <v>7820000</v>
      </c>
      <c r="AO19" s="81">
        <f t="shared" si="2"/>
        <v>6695000</v>
      </c>
      <c r="AP19" s="81">
        <f t="shared" si="2"/>
        <v>13016000</v>
      </c>
      <c r="AQ19" s="81">
        <f t="shared" si="2"/>
        <v>22307500</v>
      </c>
      <c r="AR19" s="81">
        <f t="shared" si="2"/>
        <v>9128000</v>
      </c>
      <c r="AS19" s="81">
        <f t="shared" si="2"/>
        <v>17837000</v>
      </c>
      <c r="AT19" s="81">
        <f t="shared" si="2"/>
        <v>29809000</v>
      </c>
      <c r="AU19" s="81">
        <f t="shared" si="2"/>
        <v>8695258.064516129</v>
      </c>
      <c r="AV19" s="81">
        <f>SUM(AV12:AV18)</f>
        <v>9052800</v>
      </c>
      <c r="AW19" s="81">
        <f t="shared" si="2"/>
        <v>8954000</v>
      </c>
      <c r="AX19" s="81">
        <f>SUM(AX12:AX18)</f>
        <v>18872870.967741936</v>
      </c>
      <c r="AY19" s="81">
        <f t="shared" si="2"/>
        <v>22316000</v>
      </c>
      <c r="AZ19" s="81">
        <f t="shared" si="2"/>
        <v>11262600</v>
      </c>
      <c r="BA19" s="81">
        <f t="shared" si="2"/>
        <v>9471500</v>
      </c>
      <c r="BB19" s="81">
        <f t="shared" si="2"/>
        <v>10855000</v>
      </c>
      <c r="BC19" s="81">
        <f t="shared" si="2"/>
        <v>29807806.451612901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3">SUM(D21:BC21)</f>
        <v>2060900000</v>
      </c>
      <c r="D21" s="82">
        <v>24000000</v>
      </c>
      <c r="E21" s="83">
        <v>51000000</v>
      </c>
      <c r="F21" s="83">
        <f>128000000/3</f>
        <v>42666666.666666664</v>
      </c>
      <c r="G21" s="82">
        <v>50700000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51000000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40000000</v>
      </c>
      <c r="AE21" s="82">
        <v>12500000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22000000</v>
      </c>
      <c r="AX21" s="82">
        <v>60000000</v>
      </c>
      <c r="AY21" s="82">
        <v>50000000</v>
      </c>
      <c r="AZ21" s="82">
        <v>32000000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3"/>
        <v>34500000</v>
      </c>
      <c r="D22" s="82"/>
      <c r="E22" s="82">
        <v>2350000</v>
      </c>
      <c r="F22" s="82"/>
      <c r="G22" s="82">
        <v>1000000</v>
      </c>
      <c r="H22" s="82">
        <v>5329000</v>
      </c>
      <c r="I22" s="82"/>
      <c r="J22" s="82"/>
      <c r="K22" s="82"/>
      <c r="L22" s="82"/>
      <c r="M22" s="82"/>
      <c r="N22" s="82">
        <v>2700000</v>
      </c>
      <c r="O22" s="82"/>
      <c r="P22" s="82"/>
      <c r="Q22" s="82"/>
      <c r="R22" s="82"/>
      <c r="S22" s="82"/>
      <c r="T22" s="82"/>
      <c r="U22" s="82"/>
      <c r="V22" s="82"/>
      <c r="W22" s="83">
        <v>750000</v>
      </c>
      <c r="X22" s="82"/>
      <c r="Y22" s="82"/>
      <c r="Z22" s="82"/>
      <c r="AA22" s="82"/>
      <c r="AB22" s="82">
        <v>1050000</v>
      </c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>
        <v>4917000</v>
      </c>
      <c r="AO22" s="82"/>
      <c r="AP22" s="82"/>
      <c r="AQ22" s="82">
        <v>6550000</v>
      </c>
      <c r="AR22" s="82"/>
      <c r="AS22" s="82"/>
      <c r="AT22" s="82"/>
      <c r="AU22" s="82"/>
      <c r="AV22" s="82"/>
      <c r="AW22" s="82"/>
      <c r="AX22" s="82">
        <v>9854000</v>
      </c>
      <c r="AY22" s="82"/>
      <c r="AZ22" s="82"/>
      <c r="BA22" s="82"/>
      <c r="BB22" s="82"/>
      <c r="BC22" s="82"/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3"/>
        <v>394505069</v>
      </c>
      <c r="D23" s="82">
        <v>4726966</v>
      </c>
      <c r="E23" s="83">
        <v>6461986</v>
      </c>
      <c r="F23" s="83">
        <v>8367063</v>
      </c>
      <c r="G23" s="83">
        <v>12739118</v>
      </c>
      <c r="H23" s="82">
        <v>11533817</v>
      </c>
      <c r="I23" s="83">
        <v>5591073.6000000006</v>
      </c>
      <c r="J23" s="82">
        <v>8386610.3999999994</v>
      </c>
      <c r="K23" s="83">
        <v>6593767</v>
      </c>
      <c r="L23" s="83">
        <v>11080994</v>
      </c>
      <c r="M23" s="83">
        <v>8921858</v>
      </c>
      <c r="N23" s="82">
        <v>6636773</v>
      </c>
      <c r="O23" s="82">
        <v>10338041</v>
      </c>
      <c r="P23" s="82">
        <v>9893470</v>
      </c>
      <c r="Q23" s="82">
        <v>6168960</v>
      </c>
      <c r="R23" s="82">
        <v>7363548</v>
      </c>
      <c r="S23" s="82">
        <v>4737247</v>
      </c>
      <c r="T23" s="83">
        <v>3765010</v>
      </c>
      <c r="U23" s="82">
        <v>10734142</v>
      </c>
      <c r="V23" s="82">
        <v>4873748</v>
      </c>
      <c r="W23" s="83">
        <v>5721710</v>
      </c>
      <c r="X23" s="82">
        <v>3991831</v>
      </c>
      <c r="Y23" s="83">
        <v>5375570</v>
      </c>
      <c r="Z23" s="83">
        <v>12397039</v>
      </c>
      <c r="AA23" s="83">
        <v>6642346</v>
      </c>
      <c r="AB23" s="83">
        <v>2935440</v>
      </c>
      <c r="AC23" s="83">
        <v>5936090</v>
      </c>
      <c r="AD23" s="83">
        <v>5763684.3999999994</v>
      </c>
      <c r="AE23" s="83">
        <v>3095789.6</v>
      </c>
      <c r="AF23" s="83">
        <v>6672758</v>
      </c>
      <c r="AG23" s="83">
        <v>3567715</v>
      </c>
      <c r="AH23" s="83">
        <v>7490146</v>
      </c>
      <c r="AI23" s="83">
        <v>3779957</v>
      </c>
      <c r="AJ23" s="83">
        <v>15935767</v>
      </c>
      <c r="AK23" s="83">
        <v>5593190</v>
      </c>
      <c r="AL23" s="83">
        <v>6694661</v>
      </c>
      <c r="AM23" s="83">
        <v>8529354</v>
      </c>
      <c r="AN23" s="83">
        <v>4979470</v>
      </c>
      <c r="AO23" s="83">
        <v>3824755</v>
      </c>
      <c r="AP23" s="122">
        <v>5590620</v>
      </c>
      <c r="AQ23" s="83">
        <v>9414048</v>
      </c>
      <c r="AR23" s="83">
        <v>5577358</v>
      </c>
      <c r="AS23" s="83">
        <v>8387215</v>
      </c>
      <c r="AT23" s="83">
        <v>18232214</v>
      </c>
      <c r="AU23" s="83">
        <v>3796481</v>
      </c>
      <c r="AV23" s="83">
        <v>5215993</v>
      </c>
      <c r="AW23" s="83">
        <v>3912797</v>
      </c>
      <c r="AX23" s="83">
        <v>14631624</v>
      </c>
      <c r="AY23" s="83">
        <v>13189219</v>
      </c>
      <c r="AZ23" s="83">
        <v>6201403</v>
      </c>
      <c r="BA23" s="83">
        <v>5228151</v>
      </c>
      <c r="BB23" s="83">
        <v>7445758</v>
      </c>
      <c r="BC23" s="83">
        <v>19840723</v>
      </c>
    </row>
    <row r="24" spans="1:57" s="68" customFormat="1" ht="20.5" customHeight="1" x14ac:dyDescent="0.3">
      <c r="A24" s="131"/>
      <c r="B24" s="68" t="s">
        <v>24</v>
      </c>
      <c r="C24" s="67">
        <f t="shared" si="3"/>
        <v>115519063.33333334</v>
      </c>
      <c r="D24" s="82">
        <v>1730750</v>
      </c>
      <c r="E24" s="83">
        <v>1913600</v>
      </c>
      <c r="F24" s="83">
        <v>3749000</v>
      </c>
      <c r="G24" s="83">
        <v>100000</v>
      </c>
      <c r="H24" s="82">
        <v>5636150</v>
      </c>
      <c r="I24" s="83">
        <v>2581333.3333333335</v>
      </c>
      <c r="J24" s="82">
        <v>2825000</v>
      </c>
      <c r="K24" s="83">
        <v>1562000</v>
      </c>
      <c r="L24" s="83">
        <v>3166666.6666666665</v>
      </c>
      <c r="M24" s="83">
        <v>3458333.3333333335</v>
      </c>
      <c r="N24" s="82">
        <v>1000000</v>
      </c>
      <c r="O24" s="82">
        <v>4399900</v>
      </c>
      <c r="P24" s="82">
        <v>6326150</v>
      </c>
      <c r="Q24" s="82">
        <v>457700</v>
      </c>
      <c r="R24" s="82">
        <v>0</v>
      </c>
      <c r="S24" s="82">
        <v>2301150</v>
      </c>
      <c r="T24" s="82">
        <v>0</v>
      </c>
      <c r="U24" s="82">
        <v>2910650</v>
      </c>
      <c r="V24" s="82">
        <v>892400</v>
      </c>
      <c r="W24" s="83">
        <v>1358150</v>
      </c>
      <c r="X24" s="82">
        <v>2041250</v>
      </c>
      <c r="Y24" s="82">
        <v>1694550</v>
      </c>
      <c r="Z24" s="83">
        <v>1883000</v>
      </c>
      <c r="AA24" s="83">
        <v>2984250</v>
      </c>
      <c r="AB24" s="83">
        <v>395600</v>
      </c>
      <c r="AC24" s="83">
        <v>1544450</v>
      </c>
      <c r="AD24" s="83">
        <v>805800</v>
      </c>
      <c r="AE24" s="83">
        <v>537200</v>
      </c>
      <c r="AF24" s="83">
        <v>1761800</v>
      </c>
      <c r="AG24" s="83">
        <v>1143775</v>
      </c>
      <c r="AH24" s="83">
        <v>3019900</v>
      </c>
      <c r="AI24" s="83">
        <v>799250</v>
      </c>
      <c r="AJ24" s="83">
        <v>3182050</v>
      </c>
      <c r="AK24" s="83">
        <v>923450</v>
      </c>
      <c r="AL24" s="83">
        <v>910000</v>
      </c>
      <c r="AM24" s="83">
        <v>3418950</v>
      </c>
      <c r="AN24" s="83">
        <v>550850</v>
      </c>
      <c r="AO24" s="83">
        <v>0</v>
      </c>
      <c r="AP24" s="83">
        <v>1606550</v>
      </c>
      <c r="AQ24" s="83">
        <v>4388000</v>
      </c>
      <c r="AR24" s="83">
        <v>1367350</v>
      </c>
      <c r="AS24" s="83">
        <v>5914450</v>
      </c>
      <c r="AT24" s="83">
        <v>7184050</v>
      </c>
      <c r="AU24" s="83">
        <v>644000</v>
      </c>
      <c r="AV24" s="83">
        <v>2930200</v>
      </c>
      <c r="AW24" s="83">
        <v>1327100</v>
      </c>
      <c r="AX24" s="83">
        <v>0</v>
      </c>
      <c r="AY24" s="83">
        <v>4680500</v>
      </c>
      <c r="AZ24" s="83">
        <v>4439650</v>
      </c>
      <c r="BA24" s="83">
        <v>962205</v>
      </c>
      <c r="BB24" s="83">
        <v>1542150</v>
      </c>
      <c r="BC24" s="83">
        <v>4567800</v>
      </c>
    </row>
    <row r="25" spans="1:57" s="68" customFormat="1" ht="19" customHeight="1" x14ac:dyDescent="0.3">
      <c r="A25" s="131"/>
      <c r="B25" s="67" t="s">
        <v>25</v>
      </c>
      <c r="C25" s="67">
        <f t="shared" si="3"/>
        <v>17877895.916666668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2">
        <v>545000</v>
      </c>
      <c r="V25" s="82">
        <v>299999.66666666669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537500</v>
      </c>
      <c r="AK25" s="83">
        <v>245000</v>
      </c>
      <c r="AL25" s="83">
        <v>450000</v>
      </c>
      <c r="AM25" s="83">
        <v>639996</v>
      </c>
      <c r="AN25" s="83">
        <v>336500</v>
      </c>
      <c r="AO25" s="83">
        <v>268166.66666666669</v>
      </c>
      <c r="AP25" s="83">
        <v>215000</v>
      </c>
      <c r="AQ25" s="83">
        <v>470000</v>
      </c>
      <c r="AR25" s="83">
        <v>470000</v>
      </c>
      <c r="AS25" s="83">
        <v>270000</v>
      </c>
      <c r="AT25" s="83">
        <v>785000</v>
      </c>
      <c r="AU25" s="83">
        <v>235000</v>
      </c>
      <c r="AV25" s="83">
        <v>289833.33333333331</v>
      </c>
      <c r="AW25" s="83">
        <v>235000</v>
      </c>
      <c r="AX25" s="83">
        <v>235000</v>
      </c>
      <c r="AY25" s="83">
        <v>235000</v>
      </c>
      <c r="AZ25" s="83">
        <v>235000</v>
      </c>
      <c r="BA25" s="83">
        <v>240000</v>
      </c>
      <c r="BB25" s="83">
        <v>240000</v>
      </c>
      <c r="BC25" s="83">
        <v>480000</v>
      </c>
    </row>
    <row r="26" spans="1:57" s="68" customFormat="1" ht="18.5" customHeight="1" x14ac:dyDescent="0.3">
      <c r="A26" s="131"/>
      <c r="B26" s="67" t="s">
        <v>26</v>
      </c>
      <c r="C26" s="67">
        <f t="shared" si="3"/>
        <v>11060000</v>
      </c>
      <c r="D26" s="82">
        <v>300000</v>
      </c>
      <c r="E26" s="82">
        <v>300000</v>
      </c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200000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2">
        <v>300000</v>
      </c>
      <c r="V26" s="82">
        <v>166666.66666666666</v>
      </c>
      <c r="W26" s="83">
        <v>166666.66666666666</v>
      </c>
      <c r="X26" s="82">
        <v>166666.66666666666</v>
      </c>
      <c r="Y26" s="82"/>
      <c r="Z26" s="83">
        <v>300000</v>
      </c>
      <c r="AA26" s="83">
        <v>500000</v>
      </c>
      <c r="AB26" s="83">
        <v>200000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>
        <v>250000</v>
      </c>
      <c r="AJ26" s="83">
        <v>300000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250000</v>
      </c>
      <c r="AQ26" s="83">
        <v>400000</v>
      </c>
      <c r="AR26" s="83">
        <v>200000</v>
      </c>
      <c r="AS26" s="83"/>
      <c r="AT26" s="83">
        <v>400000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>
        <v>0</v>
      </c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3"/>
        <v>0</v>
      </c>
      <c r="D27" s="82"/>
      <c r="F27" s="83"/>
      <c r="H27" s="82"/>
      <c r="I27" s="82"/>
      <c r="J27" s="83"/>
      <c r="K27" s="83"/>
      <c r="L27" s="82"/>
      <c r="M27" s="83"/>
      <c r="N27" s="82"/>
      <c r="W27" s="83"/>
      <c r="AA27" s="83"/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3"/>
        <v>666666.66666666663</v>
      </c>
      <c r="F28" s="82"/>
      <c r="I28" s="82"/>
      <c r="L28" s="82"/>
      <c r="M28" s="82">
        <v>333333.33333333331</v>
      </c>
      <c r="N28" s="82"/>
      <c r="S28" s="68">
        <v>333333.33333333331</v>
      </c>
    </row>
    <row r="29" spans="1:57" s="64" customFormat="1" ht="13" x14ac:dyDescent="0.3">
      <c r="A29" s="88" t="s">
        <v>29</v>
      </c>
      <c r="B29" s="60"/>
      <c r="C29" s="62">
        <f>SUM(C21:C28)</f>
        <v>2635028694.9166665</v>
      </c>
      <c r="D29" s="60">
        <f t="shared" ref="D29:BC29" si="4">SUM(D21:D28)</f>
        <v>31037716</v>
      </c>
      <c r="E29" s="60">
        <f t="shared" si="4"/>
        <v>62463486</v>
      </c>
      <c r="F29" s="60">
        <f t="shared" si="4"/>
        <v>55242729.666666664</v>
      </c>
      <c r="G29" s="60">
        <f t="shared" si="4"/>
        <v>65084118</v>
      </c>
      <c r="H29" s="60">
        <f t="shared" si="4"/>
        <v>67958967</v>
      </c>
      <c r="I29" s="60">
        <f>SUM(I21:I28)</f>
        <v>46584907.183333337</v>
      </c>
      <c r="J29" s="60">
        <f t="shared" si="4"/>
        <v>47624110.399999999</v>
      </c>
      <c r="K29" s="60">
        <f t="shared" si="4"/>
        <v>30568267</v>
      </c>
      <c r="L29" s="60">
        <f t="shared" si="4"/>
        <v>88560160.666666672</v>
      </c>
      <c r="M29" s="60">
        <f t="shared" si="4"/>
        <v>78313524.666666657</v>
      </c>
      <c r="N29" s="60">
        <f t="shared" si="4"/>
        <v>56981773</v>
      </c>
      <c r="O29" s="60">
        <f t="shared" si="4"/>
        <v>66237941</v>
      </c>
      <c r="P29" s="60">
        <f t="shared" si="4"/>
        <v>77914620</v>
      </c>
      <c r="Q29" s="60">
        <f t="shared" si="4"/>
        <v>37796660</v>
      </c>
      <c r="R29" s="60">
        <f t="shared" si="4"/>
        <v>52933548</v>
      </c>
      <c r="S29" s="60">
        <f t="shared" si="4"/>
        <v>32969897</v>
      </c>
      <c r="T29" s="60">
        <f t="shared" si="4"/>
        <v>14985010</v>
      </c>
      <c r="U29" s="60">
        <f t="shared" si="4"/>
        <v>74489792</v>
      </c>
      <c r="V29" s="60">
        <f t="shared" si="4"/>
        <v>39232814.333333328</v>
      </c>
      <c r="W29" s="60">
        <f t="shared" si="4"/>
        <v>46826526.666666664</v>
      </c>
      <c r="X29" s="60">
        <f t="shared" si="4"/>
        <v>30529747.666666668</v>
      </c>
      <c r="Y29" s="60">
        <f t="shared" si="4"/>
        <v>21290120</v>
      </c>
      <c r="Z29" s="60">
        <f t="shared" si="4"/>
        <v>58145039</v>
      </c>
      <c r="AA29" s="60">
        <f t="shared" si="4"/>
        <v>52656429.333333336</v>
      </c>
      <c r="AB29" s="60">
        <f t="shared" si="4"/>
        <v>15326040</v>
      </c>
      <c r="AC29" s="60">
        <f t="shared" si="4"/>
        <v>36680540</v>
      </c>
      <c r="AD29" s="60">
        <f t="shared" si="4"/>
        <v>47039484.399999999</v>
      </c>
      <c r="AE29" s="60">
        <f t="shared" si="4"/>
        <v>16602989.6</v>
      </c>
      <c r="AF29" s="60">
        <f t="shared" si="4"/>
        <v>45914558</v>
      </c>
      <c r="AG29" s="60">
        <f t="shared" si="4"/>
        <v>36523156.666666672</v>
      </c>
      <c r="AH29" s="60">
        <f t="shared" si="4"/>
        <v>47355046</v>
      </c>
      <c r="AI29" s="60">
        <f t="shared" si="4"/>
        <v>15049207</v>
      </c>
      <c r="AJ29" s="60">
        <f t="shared" si="4"/>
        <v>81955317</v>
      </c>
      <c r="AK29" s="60">
        <f t="shared" si="4"/>
        <v>44061640</v>
      </c>
      <c r="AL29" s="60">
        <f t="shared" si="4"/>
        <v>43054661</v>
      </c>
      <c r="AM29" s="60">
        <f t="shared" si="4"/>
        <v>62888300</v>
      </c>
      <c r="AN29" s="60">
        <f t="shared" si="4"/>
        <v>30083820</v>
      </c>
      <c r="AO29" s="60">
        <f t="shared" si="4"/>
        <v>14092921.666666666</v>
      </c>
      <c r="AP29" s="60">
        <f t="shared" si="4"/>
        <v>43662170</v>
      </c>
      <c r="AQ29" s="60">
        <f t="shared" si="4"/>
        <v>101222048</v>
      </c>
      <c r="AR29" s="60">
        <f t="shared" si="4"/>
        <v>33614708</v>
      </c>
      <c r="AS29" s="60">
        <f t="shared" si="4"/>
        <v>67871665</v>
      </c>
      <c r="AT29" s="60">
        <f t="shared" si="4"/>
        <v>131601264</v>
      </c>
      <c r="AU29" s="60">
        <f t="shared" si="4"/>
        <v>31642147.666666668</v>
      </c>
      <c r="AV29" s="60">
        <f t="shared" si="4"/>
        <v>34736026.333333336</v>
      </c>
      <c r="AW29" s="60">
        <f t="shared" si="4"/>
        <v>27724897</v>
      </c>
      <c r="AX29" s="60">
        <f t="shared" si="4"/>
        <v>85220624</v>
      </c>
      <c r="AY29" s="60">
        <f t="shared" si="4"/>
        <v>68404719</v>
      </c>
      <c r="AZ29" s="60">
        <f t="shared" si="4"/>
        <v>42876053</v>
      </c>
      <c r="BA29" s="60">
        <f t="shared" si="4"/>
        <v>22730356</v>
      </c>
      <c r="BB29" s="60">
        <f t="shared" si="4"/>
        <v>50477908</v>
      </c>
      <c r="BC29" s="60">
        <f t="shared" si="4"/>
        <v>120188523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5">SUM(D30:BC30)</f>
        <v>72917105.951006532</v>
      </c>
      <c r="D30" s="82">
        <v>1009449.6115548747</v>
      </c>
      <c r="E30" s="83">
        <v>1885770.3694222285</v>
      </c>
      <c r="F30" s="83">
        <v>1062618.526650036</v>
      </c>
      <c r="G30" s="82">
        <v>1878175.2849227358</v>
      </c>
      <c r="H30" s="83">
        <v>1587678.1887779771</v>
      </c>
      <c r="I30" s="82">
        <v>1461689.7723361664</v>
      </c>
      <c r="J30" s="82">
        <v>1571929.8245614036</v>
      </c>
      <c r="K30" s="82">
        <v>1181063.4231178937</v>
      </c>
      <c r="L30" s="83">
        <v>2468795.3108397638</v>
      </c>
      <c r="M30" s="82">
        <v>2117546.4915629285</v>
      </c>
      <c r="N30" s="82">
        <v>195000</v>
      </c>
      <c r="O30" s="82">
        <v>1580957.3502567173</v>
      </c>
      <c r="P30" s="82">
        <v>1366850.6425751136</v>
      </c>
      <c r="Q30" s="82">
        <v>1287000</v>
      </c>
      <c r="R30" s="82">
        <v>1409417.2689547581</v>
      </c>
      <c r="S30" s="82">
        <v>1107692.3076923077</v>
      </c>
      <c r="T30" s="83">
        <v>955052.4322467139</v>
      </c>
      <c r="U30" s="82">
        <v>2325943.3788614916</v>
      </c>
      <c r="V30" s="83">
        <v>1108296.0765812271</v>
      </c>
      <c r="W30" s="83">
        <v>1388314.2864407729</v>
      </c>
      <c r="X30" s="82">
        <v>1061213.1418109706</v>
      </c>
      <c r="Y30" s="82">
        <v>812498.85683754878</v>
      </c>
      <c r="Z30" s="82">
        <v>1254354.1895835649</v>
      </c>
      <c r="AA30" s="82">
        <v>1770468.8629681035</v>
      </c>
      <c r="AB30" s="82">
        <v>842290.96670540934</v>
      </c>
      <c r="AC30" s="82">
        <v>960814.81481481483</v>
      </c>
      <c r="AD30" s="82">
        <v>190996.89698492462</v>
      </c>
      <c r="AE30" s="82">
        <v>754141.09076514957</v>
      </c>
      <c r="AF30" s="82">
        <v>1206966.7465327368</v>
      </c>
      <c r="AG30" s="82">
        <v>896329.11263062013</v>
      </c>
      <c r="AH30" s="82">
        <v>1790010.0104773373</v>
      </c>
      <c r="AI30" s="82">
        <v>829949.92708945507</v>
      </c>
      <c r="AJ30" s="83">
        <v>1624837.1323211994</v>
      </c>
      <c r="AK30" s="82">
        <v>1433352.7992782991</v>
      </c>
      <c r="AL30" s="82">
        <v>1498031.9477293724</v>
      </c>
      <c r="AM30" s="82">
        <v>2133554.5627934295</v>
      </c>
      <c r="AN30" s="82">
        <v>911773.24831549474</v>
      </c>
      <c r="AO30" s="82">
        <v>888567.10194674146</v>
      </c>
      <c r="AP30" s="82">
        <v>1169122.8070175438</v>
      </c>
      <c r="AQ30" s="82">
        <v>2390280.326326041</v>
      </c>
      <c r="AR30" s="82">
        <v>1282531.2867414309</v>
      </c>
      <c r="AS30" s="82">
        <v>1677807.0056978462</v>
      </c>
      <c r="AT30" s="82">
        <v>3188410.7201942746</v>
      </c>
      <c r="AU30" s="82">
        <v>833359.9899350293</v>
      </c>
      <c r="AV30" s="83">
        <v>922898.32205075608</v>
      </c>
      <c r="AW30" s="82">
        <v>1358963.4237374107</v>
      </c>
      <c r="AX30" s="82">
        <v>2185576.4202064169</v>
      </c>
      <c r="AY30" s="82">
        <v>1964487.3699851411</v>
      </c>
      <c r="AZ30" s="82">
        <v>1180184.5428964072</v>
      </c>
      <c r="BA30" s="82">
        <v>1136972.0718848598</v>
      </c>
      <c r="BB30" s="82">
        <v>926337.98650207545</v>
      </c>
      <c r="BC30" s="82">
        <v>2890781.7208910137</v>
      </c>
    </row>
    <row r="31" spans="1:57" s="68" customFormat="1" ht="24" customHeight="1" x14ac:dyDescent="0.3">
      <c r="A31" s="133"/>
      <c r="B31" s="67" t="s">
        <v>32</v>
      </c>
      <c r="C31" s="67">
        <f t="shared" si="5"/>
        <v>6273781.9025522023</v>
      </c>
      <c r="D31" s="82">
        <v>74245.939675174013</v>
      </c>
      <c r="E31" s="83">
        <v>157772.62180974477</v>
      </c>
      <c r="F31" s="83">
        <v>129930.39443155452</v>
      </c>
      <c r="G31" s="82">
        <v>204176.33410672855</v>
      </c>
      <c r="H31" s="83">
        <v>139211.13689095128</v>
      </c>
      <c r="I31" s="82">
        <v>120649.65197215776</v>
      </c>
      <c r="J31" s="82">
        <v>120649.65197215776</v>
      </c>
      <c r="K31" s="82">
        <v>92807.424593967517</v>
      </c>
      <c r="L31" s="83">
        <v>176334.10672853829</v>
      </c>
      <c r="M31" s="82">
        <v>167053.36426914152</v>
      </c>
      <c r="N31" s="82">
        <v>139211.13689095128</v>
      </c>
      <c r="O31" s="82">
        <v>157772.62180974477</v>
      </c>
      <c r="P31" s="82">
        <v>167053.36426914152</v>
      </c>
      <c r="Q31" s="82">
        <v>92807.424593967517</v>
      </c>
      <c r="R31" s="82">
        <v>111368.90951276102</v>
      </c>
      <c r="S31" s="82">
        <v>83526.682134570758</v>
      </c>
      <c r="T31" s="83">
        <v>83526.682134570758</v>
      </c>
      <c r="U31" s="82">
        <v>194895.59164733178</v>
      </c>
      <c r="V31" s="83">
        <v>92807.424593967517</v>
      </c>
      <c r="W31" s="83">
        <v>102088.16705336428</v>
      </c>
      <c r="X31" s="82">
        <v>74245.939675174013</v>
      </c>
      <c r="Y31" s="82">
        <v>64965.197215777262</v>
      </c>
      <c r="Z31" s="82">
        <v>120649.65197215776</v>
      </c>
      <c r="AA31" s="82">
        <v>139211.13689095128</v>
      </c>
      <c r="AB31" s="82">
        <v>64965.197215777262</v>
      </c>
      <c r="AC31" s="82">
        <v>83526.682134570758</v>
      </c>
      <c r="AD31" s="82">
        <v>102088.16705336428</v>
      </c>
      <c r="AE31" s="82">
        <v>64965.197215777262</v>
      </c>
      <c r="AF31" s="82">
        <v>92807.424593967517</v>
      </c>
      <c r="AG31" s="82">
        <v>102088.16705336428</v>
      </c>
      <c r="AH31" s="82">
        <v>129930.39443155452</v>
      </c>
      <c r="AI31" s="82">
        <v>74245.939675174013</v>
      </c>
      <c r="AJ31" s="83">
        <v>157772.62180974477</v>
      </c>
      <c r="AK31" s="82">
        <v>102088.16705336428</v>
      </c>
      <c r="AL31" s="82">
        <v>129930.39443155452</v>
      </c>
      <c r="AM31" s="82">
        <v>167053.36426914152</v>
      </c>
      <c r="AN31" s="82">
        <v>83526.682134570758</v>
      </c>
      <c r="AO31" s="82">
        <v>64965.197215777262</v>
      </c>
      <c r="AP31" s="82">
        <v>92807.424593967517</v>
      </c>
      <c r="AQ31" s="82">
        <v>204176.33410672855</v>
      </c>
      <c r="AR31" s="82">
        <v>92807.424593967517</v>
      </c>
      <c r="AS31" s="82">
        <v>148491.87935034803</v>
      </c>
      <c r="AT31" s="82">
        <v>241299.30394431553</v>
      </c>
      <c r="AU31" s="82">
        <v>83526.682134570758</v>
      </c>
      <c r="AV31" s="83">
        <v>74245.939675174013</v>
      </c>
      <c r="AW31" s="82">
        <v>83526.682134570758</v>
      </c>
      <c r="AX31" s="82">
        <v>167053.36426914152</v>
      </c>
      <c r="AY31" s="82">
        <v>139211.13689095128</v>
      </c>
      <c r="AZ31" s="82">
        <v>92807.424593967517</v>
      </c>
      <c r="BA31" s="82">
        <v>83526.682134570758</v>
      </c>
      <c r="BB31" s="82">
        <v>92807.424593967517</v>
      </c>
      <c r="BC31" s="82">
        <v>250580.0464037123</v>
      </c>
    </row>
    <row r="32" spans="1:57" s="68" customFormat="1" ht="24" customHeight="1" x14ac:dyDescent="0.3">
      <c r="A32" s="133"/>
      <c r="B32" s="67" t="s">
        <v>33</v>
      </c>
      <c r="C32" s="67">
        <f t="shared" si="5"/>
        <v>9960151.5854601711</v>
      </c>
      <c r="D32" s="82">
        <v>117871.61639597834</v>
      </c>
      <c r="E32" s="83">
        <v>250477.18484145397</v>
      </c>
      <c r="F32" s="83">
        <v>206275.3286929621</v>
      </c>
      <c r="G32" s="82">
        <v>324146.94508894044</v>
      </c>
      <c r="H32" s="83">
        <v>221009.28074245941</v>
      </c>
      <c r="I32" s="82">
        <v>191541.37664346481</v>
      </c>
      <c r="J32" s="82">
        <v>191541.37664346481</v>
      </c>
      <c r="K32" s="82">
        <v>147339.52049497294</v>
      </c>
      <c r="L32" s="83">
        <v>279945.08894044859</v>
      </c>
      <c r="M32" s="82">
        <v>265211.13689095131</v>
      </c>
      <c r="N32" s="82">
        <v>221009.28074245941</v>
      </c>
      <c r="O32" s="82">
        <v>250477.18484145397</v>
      </c>
      <c r="P32" s="82">
        <v>265211.13689095131</v>
      </c>
      <c r="Q32" s="82">
        <v>147339.52049497294</v>
      </c>
      <c r="R32" s="82">
        <v>176807.4245939675</v>
      </c>
      <c r="S32" s="82">
        <v>132605.56844547566</v>
      </c>
      <c r="T32" s="83">
        <v>132605.56844547566</v>
      </c>
      <c r="U32" s="82">
        <v>309412.99303944316</v>
      </c>
      <c r="V32" s="83">
        <v>147339.52049497294</v>
      </c>
      <c r="W32" s="83">
        <v>162073.47254447022</v>
      </c>
      <c r="X32" s="82">
        <v>117871.61639597834</v>
      </c>
      <c r="Y32" s="82">
        <v>103137.66434648105</v>
      </c>
      <c r="Z32" s="82">
        <v>191541.37664346481</v>
      </c>
      <c r="AA32" s="82">
        <v>221009.28074245941</v>
      </c>
      <c r="AB32" s="82">
        <v>103137.66434648105</v>
      </c>
      <c r="AC32" s="82">
        <v>132605.56844547566</v>
      </c>
      <c r="AD32" s="82">
        <v>162073.47254447022</v>
      </c>
      <c r="AE32" s="82">
        <v>103137.66434648105</v>
      </c>
      <c r="AF32" s="82">
        <v>147339.52049497294</v>
      </c>
      <c r="AG32" s="82">
        <v>162073.47254447022</v>
      </c>
      <c r="AH32" s="82">
        <v>206275.3286929621</v>
      </c>
      <c r="AI32" s="82">
        <v>117871.61639597834</v>
      </c>
      <c r="AJ32" s="83">
        <v>250477.18484145397</v>
      </c>
      <c r="AK32" s="82">
        <v>162073.47254447022</v>
      </c>
      <c r="AL32" s="82">
        <v>206275.3286929621</v>
      </c>
      <c r="AM32" s="82">
        <v>265211.13689095131</v>
      </c>
      <c r="AN32" s="82">
        <v>132605.56844547566</v>
      </c>
      <c r="AO32" s="82">
        <v>103137.66434648105</v>
      </c>
      <c r="AP32" s="82">
        <v>147339.52049497294</v>
      </c>
      <c r="AQ32" s="82">
        <v>324146.94508894044</v>
      </c>
      <c r="AR32" s="82">
        <v>147339.52049497294</v>
      </c>
      <c r="AS32" s="82">
        <v>235743.23279195669</v>
      </c>
      <c r="AT32" s="82">
        <v>383082.75328692963</v>
      </c>
      <c r="AU32" s="82">
        <v>132605.56844547566</v>
      </c>
      <c r="AV32" s="83">
        <v>117871.61639597834</v>
      </c>
      <c r="AW32" s="82">
        <v>132605.56844547566</v>
      </c>
      <c r="AX32" s="82">
        <v>265211.13689095131</v>
      </c>
      <c r="AY32" s="82">
        <v>221009.28074245941</v>
      </c>
      <c r="AZ32" s="82">
        <v>147339.52049497294</v>
      </c>
      <c r="BA32" s="82">
        <v>132605.56844547566</v>
      </c>
      <c r="BB32" s="82">
        <v>147339.52049497294</v>
      </c>
      <c r="BC32" s="82">
        <v>397816.70533642691</v>
      </c>
    </row>
    <row r="33" spans="1:57" s="68" customFormat="1" ht="24" customHeight="1" x14ac:dyDescent="0.3">
      <c r="A33" s="133"/>
      <c r="B33" s="67" t="s">
        <v>166</v>
      </c>
      <c r="C33" s="67">
        <f t="shared" si="5"/>
        <v>7562521.2683681352</v>
      </c>
      <c r="D33" s="82">
        <v>89497.293116782675</v>
      </c>
      <c r="E33" s="83">
        <v>190181.7478731632</v>
      </c>
      <c r="F33" s="83">
        <v>156620.26295436968</v>
      </c>
      <c r="G33" s="82">
        <v>246117.55607115236</v>
      </c>
      <c r="H33" s="83">
        <v>167807.4245939675</v>
      </c>
      <c r="I33" s="82">
        <v>145433.10131477186</v>
      </c>
      <c r="J33" s="82">
        <v>145433.10131477186</v>
      </c>
      <c r="K33" s="82">
        <v>111871.61639597834</v>
      </c>
      <c r="L33" s="83">
        <v>212556.07115235884</v>
      </c>
      <c r="M33" s="82">
        <v>201368.90951276102</v>
      </c>
      <c r="N33" s="82">
        <v>167807.4245939675</v>
      </c>
      <c r="O33" s="82">
        <v>190181.7478731632</v>
      </c>
      <c r="P33" s="82">
        <v>201368.90951276102</v>
      </c>
      <c r="Q33" s="82">
        <v>111871.61639597834</v>
      </c>
      <c r="R33" s="82">
        <v>134245.93967517401</v>
      </c>
      <c r="S33" s="82">
        <v>100684.45475638051</v>
      </c>
      <c r="T33" s="83">
        <v>100684.45475638051</v>
      </c>
      <c r="U33" s="82">
        <v>234930.39443155454</v>
      </c>
      <c r="V33" s="83">
        <v>111871.61639597834</v>
      </c>
      <c r="W33" s="83">
        <v>123058.77803557618</v>
      </c>
      <c r="X33" s="82">
        <v>89497.293116782675</v>
      </c>
      <c r="Y33" s="82">
        <v>78310.131477184841</v>
      </c>
      <c r="Z33" s="82">
        <v>145433.10131477186</v>
      </c>
      <c r="AA33" s="82">
        <v>167807.4245939675</v>
      </c>
      <c r="AB33" s="82">
        <v>78310.131477184841</v>
      </c>
      <c r="AC33" s="82">
        <v>100684.45475638051</v>
      </c>
      <c r="AD33" s="82">
        <v>123058.77803557618</v>
      </c>
      <c r="AE33" s="82">
        <v>78310.131477184841</v>
      </c>
      <c r="AF33" s="82">
        <v>111871.61639597834</v>
      </c>
      <c r="AG33" s="82">
        <v>123058.77803557618</v>
      </c>
      <c r="AH33" s="82">
        <v>156620.26295436968</v>
      </c>
      <c r="AI33" s="82">
        <v>89497.293116782675</v>
      </c>
      <c r="AJ33" s="83">
        <v>190181.7478731632</v>
      </c>
      <c r="AK33" s="82">
        <v>123058.77803557618</v>
      </c>
      <c r="AL33" s="82">
        <v>156620.26295436968</v>
      </c>
      <c r="AM33" s="82">
        <v>201368.90951276102</v>
      </c>
      <c r="AN33" s="82">
        <v>100684.45475638051</v>
      </c>
      <c r="AO33" s="82">
        <v>78310.131477184841</v>
      </c>
      <c r="AP33" s="82">
        <v>111871.61639597834</v>
      </c>
      <c r="AQ33" s="82">
        <v>246117.55607115236</v>
      </c>
      <c r="AR33" s="82">
        <v>111871.61639597834</v>
      </c>
      <c r="AS33" s="82">
        <v>178994.58623356535</v>
      </c>
      <c r="AT33" s="82">
        <v>290866.20262954372</v>
      </c>
      <c r="AU33" s="82">
        <v>100684.45475638051</v>
      </c>
      <c r="AV33" s="83">
        <v>89497.293116782675</v>
      </c>
      <c r="AW33" s="82">
        <v>100684.45475638051</v>
      </c>
      <c r="AX33" s="82">
        <v>201368.90951276102</v>
      </c>
      <c r="AY33" s="82">
        <v>167807.4245939675</v>
      </c>
      <c r="AZ33" s="82">
        <v>111871.61639597834</v>
      </c>
      <c r="BA33" s="82">
        <v>100684.45475638051</v>
      </c>
      <c r="BB33" s="82">
        <v>111871.61639597834</v>
      </c>
      <c r="BC33" s="82">
        <v>302053.36426914152</v>
      </c>
    </row>
    <row r="34" spans="1:57" s="68" customFormat="1" ht="24" customHeight="1" x14ac:dyDescent="0.3">
      <c r="A34" s="133"/>
      <c r="B34" s="67" t="s">
        <v>167</v>
      </c>
      <c r="C34" s="67">
        <f t="shared" si="5"/>
        <v>0</v>
      </c>
      <c r="D34" s="82">
        <v>0</v>
      </c>
      <c r="E34" s="83">
        <v>0</v>
      </c>
      <c r="F34" s="83"/>
      <c r="G34" s="82"/>
      <c r="H34" s="83"/>
      <c r="I34" s="82"/>
      <c r="J34" s="82"/>
      <c r="K34" s="82"/>
      <c r="L34" s="83"/>
      <c r="M34" s="82"/>
      <c r="N34" s="82"/>
      <c r="O34" s="82"/>
      <c r="P34" s="82"/>
      <c r="Q34" s="82"/>
      <c r="R34" s="82"/>
      <c r="S34" s="82"/>
      <c r="T34" s="83"/>
      <c r="U34" s="82"/>
      <c r="V34" s="83"/>
      <c r="W34" s="83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3"/>
      <c r="AW34" s="82"/>
      <c r="AX34" s="82"/>
      <c r="AY34" s="82"/>
      <c r="AZ34" s="82"/>
      <c r="BA34" s="82"/>
      <c r="BB34" s="82"/>
      <c r="BC34" s="82"/>
    </row>
    <row r="35" spans="1:57" s="68" customFormat="1" ht="21.5" customHeight="1" x14ac:dyDescent="0.3">
      <c r="A35" s="133"/>
      <c r="B35" s="67" t="s">
        <v>35</v>
      </c>
      <c r="C35" s="67">
        <f t="shared" si="5"/>
        <v>21310750.474864654</v>
      </c>
      <c r="D35" s="82">
        <v>252198.23047177106</v>
      </c>
      <c r="E35" s="83">
        <v>535921.23975251347</v>
      </c>
      <c r="F35" s="83">
        <v>441346.90332559939</v>
      </c>
      <c r="G35" s="82">
        <v>693545.13379737048</v>
      </c>
      <c r="H35" s="83">
        <v>472871.68213457073</v>
      </c>
      <c r="I35" s="82">
        <v>409822.12451662798</v>
      </c>
      <c r="J35" s="82">
        <v>409822.12451662798</v>
      </c>
      <c r="K35" s="82">
        <v>315247.78808971384</v>
      </c>
      <c r="L35" s="83">
        <v>598970.79737045628</v>
      </c>
      <c r="M35" s="82">
        <v>567446.01856148487</v>
      </c>
      <c r="N35" s="82">
        <v>472871.68213457073</v>
      </c>
      <c r="O35" s="82">
        <v>535921.23975251347</v>
      </c>
      <c r="P35" s="82">
        <v>567446.01856148487</v>
      </c>
      <c r="Q35" s="82">
        <v>315247.78808971384</v>
      </c>
      <c r="R35" s="82">
        <v>378297.34570765658</v>
      </c>
      <c r="S35" s="82">
        <v>283723.00928074244</v>
      </c>
      <c r="T35" s="83">
        <v>283723.00928074244</v>
      </c>
      <c r="U35" s="82">
        <v>662020.35498839908</v>
      </c>
      <c r="V35" s="83">
        <v>315247.78808971384</v>
      </c>
      <c r="W35" s="83">
        <v>346772.56689868524</v>
      </c>
      <c r="X35" s="82">
        <v>252198.23047177106</v>
      </c>
      <c r="Y35" s="82">
        <v>220673.45166279969</v>
      </c>
      <c r="Z35" s="82">
        <v>409822.12451662798</v>
      </c>
      <c r="AA35" s="82">
        <v>472871.68213457073</v>
      </c>
      <c r="AB35" s="82">
        <v>220673.45166279969</v>
      </c>
      <c r="AC35" s="82">
        <v>283723.00928074244</v>
      </c>
      <c r="AD35" s="82">
        <v>346772.56689868524</v>
      </c>
      <c r="AE35" s="82">
        <v>220673.45166279969</v>
      </c>
      <c r="AF35" s="82">
        <v>315247.78808971384</v>
      </c>
      <c r="AG35" s="82">
        <v>346772.56689868524</v>
      </c>
      <c r="AH35" s="82">
        <v>441346.90332559939</v>
      </c>
      <c r="AI35" s="82">
        <v>252198.23047177106</v>
      </c>
      <c r="AJ35" s="83">
        <v>535921.23975251347</v>
      </c>
      <c r="AK35" s="82">
        <v>346772.56689868524</v>
      </c>
      <c r="AL35" s="82">
        <v>441346.90332559939</v>
      </c>
      <c r="AM35" s="82">
        <v>567446.01856148487</v>
      </c>
      <c r="AN35" s="82">
        <v>283723.00928074244</v>
      </c>
      <c r="AO35" s="82">
        <v>220673.45166279969</v>
      </c>
      <c r="AP35" s="82">
        <v>315247.78808971384</v>
      </c>
      <c r="AQ35" s="82">
        <v>693545.13379737048</v>
      </c>
      <c r="AR35" s="82">
        <v>315247.78808971384</v>
      </c>
      <c r="AS35" s="82">
        <v>504396.46094354213</v>
      </c>
      <c r="AT35" s="82">
        <v>819644.24903325597</v>
      </c>
      <c r="AU35" s="82">
        <v>283723.00928074244</v>
      </c>
      <c r="AV35" s="83">
        <v>252198.23047177106</v>
      </c>
      <c r="AW35" s="82">
        <v>283723.00928074244</v>
      </c>
      <c r="AX35" s="82">
        <v>567446.01856148487</v>
      </c>
      <c r="AY35" s="82">
        <v>472871.68213457073</v>
      </c>
      <c r="AZ35" s="82">
        <v>315247.78808971384</v>
      </c>
      <c r="BA35" s="82">
        <v>283723.00928074244</v>
      </c>
      <c r="BB35" s="82">
        <v>315247.78808971384</v>
      </c>
      <c r="BC35" s="82">
        <v>851169.02784222737</v>
      </c>
    </row>
    <row r="36" spans="1:57" s="68" customFormat="1" ht="21" customHeight="1" x14ac:dyDescent="0.3">
      <c r="A36" s="133"/>
      <c r="B36" s="67" t="s">
        <v>36</v>
      </c>
      <c r="C36" s="67">
        <f t="shared" si="5"/>
        <v>22450000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460000</v>
      </c>
      <c r="J36" s="82">
        <v>460000</v>
      </c>
      <c r="K36" s="82">
        <v>460000</v>
      </c>
      <c r="L36" s="83">
        <v>460000</v>
      </c>
      <c r="M36" s="82">
        <v>460000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2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2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5"/>
        <v>8295630.317092034</v>
      </c>
      <c r="D37" s="82">
        <v>102374.32327919567</v>
      </c>
      <c r="E37" s="83">
        <v>206295.4369682908</v>
      </c>
      <c r="F37" s="83">
        <v>171655.06573859241</v>
      </c>
      <c r="G37" s="82">
        <v>264029.38901778811</v>
      </c>
      <c r="H37" s="83">
        <v>183201.85614849188</v>
      </c>
      <c r="I37" s="82">
        <v>160108.27532869295</v>
      </c>
      <c r="J37" s="82">
        <v>160108.27532869295</v>
      </c>
      <c r="K37" s="82">
        <v>125467.90409899459</v>
      </c>
      <c r="L37" s="83">
        <v>229389.01778808972</v>
      </c>
      <c r="M37" s="82">
        <v>217842.22737819026</v>
      </c>
      <c r="N37" s="82">
        <v>183201.85614849188</v>
      </c>
      <c r="O37" s="82">
        <v>206295.4369682908</v>
      </c>
      <c r="P37" s="82">
        <v>217842.22737819026</v>
      </c>
      <c r="Q37" s="82">
        <v>125467.90409899459</v>
      </c>
      <c r="R37" s="82">
        <v>148561.48491879349</v>
      </c>
      <c r="S37" s="82">
        <v>113921.11368909513</v>
      </c>
      <c r="T37" s="83">
        <v>113921.11368909513</v>
      </c>
      <c r="U37" s="82">
        <v>252482.59860788862</v>
      </c>
      <c r="V37" s="83">
        <v>125467.90409899459</v>
      </c>
      <c r="W37" s="83">
        <v>137014.69450889406</v>
      </c>
      <c r="X37" s="82">
        <v>102374.32327919567</v>
      </c>
      <c r="Y37" s="82">
        <v>90827.532869296207</v>
      </c>
      <c r="Z37" s="82">
        <v>160108.27532869295</v>
      </c>
      <c r="AA37" s="82">
        <v>183201.85614849188</v>
      </c>
      <c r="AB37" s="82">
        <v>90827.532869296207</v>
      </c>
      <c r="AC37" s="82">
        <v>113921.11368909513</v>
      </c>
      <c r="AD37" s="82">
        <v>137014.69450889406</v>
      </c>
      <c r="AE37" s="82">
        <v>90827.532869296207</v>
      </c>
      <c r="AF37" s="82">
        <v>125467.90409899459</v>
      </c>
      <c r="AG37" s="82">
        <v>137014.69450889406</v>
      </c>
      <c r="AH37" s="82">
        <v>171655.06573859241</v>
      </c>
      <c r="AI37" s="82">
        <v>102374.32327919567</v>
      </c>
      <c r="AJ37" s="83">
        <v>206295.4369682908</v>
      </c>
      <c r="AK37" s="82">
        <v>137014.69450889406</v>
      </c>
      <c r="AL37" s="82">
        <v>171655.06573859241</v>
      </c>
      <c r="AM37" s="82">
        <v>217842.22737819026</v>
      </c>
      <c r="AN37" s="82">
        <v>113921.11368909513</v>
      </c>
      <c r="AO37" s="82">
        <v>90827.532869296207</v>
      </c>
      <c r="AP37" s="82">
        <v>125467.90409899459</v>
      </c>
      <c r="AQ37" s="82">
        <v>264029.38901778811</v>
      </c>
      <c r="AR37" s="82">
        <v>125467.90409899459</v>
      </c>
      <c r="AS37" s="82">
        <v>194748.64655839134</v>
      </c>
      <c r="AT37" s="82">
        <v>290216.5506573859</v>
      </c>
      <c r="AU37" s="82">
        <v>113921.11368909513</v>
      </c>
      <c r="AV37" s="83">
        <v>102374.32327919567</v>
      </c>
      <c r="AW37" s="82">
        <v>113921.11368909513</v>
      </c>
      <c r="AX37" s="82">
        <v>217842.22737819026</v>
      </c>
      <c r="AY37" s="82">
        <v>183201.85614849188</v>
      </c>
      <c r="AZ37" s="82">
        <v>115467.90409899459</v>
      </c>
      <c r="BA37" s="82">
        <v>113921.11368909513</v>
      </c>
      <c r="BB37" s="82">
        <v>125467.90409899459</v>
      </c>
      <c r="BC37" s="82">
        <v>321763.34106728539</v>
      </c>
    </row>
    <row r="38" spans="1:57" s="68" customFormat="1" ht="24" customHeight="1" x14ac:dyDescent="0.3">
      <c r="A38" s="133"/>
      <c r="B38" s="67" t="s">
        <v>38</v>
      </c>
      <c r="C38" s="67">
        <f t="shared" si="5"/>
        <v>11501933.488012368</v>
      </c>
      <c r="D38" s="82">
        <v>136117.55607115236</v>
      </c>
      <c r="E38" s="83">
        <v>289249.80665119877</v>
      </c>
      <c r="F38" s="83">
        <v>238205.72312451663</v>
      </c>
      <c r="G38" s="82">
        <v>374323.27919566899</v>
      </c>
      <c r="H38" s="83">
        <v>255220.41763341066</v>
      </c>
      <c r="I38" s="82">
        <v>221191.02861562258</v>
      </c>
      <c r="J38" s="82">
        <v>221191.02861562258</v>
      </c>
      <c r="K38" s="82">
        <v>170146.94508894044</v>
      </c>
      <c r="L38" s="83">
        <v>323279.19566898682</v>
      </c>
      <c r="M38" s="82">
        <v>306264.50116009283</v>
      </c>
      <c r="N38" s="83">
        <v>255220.41763341066</v>
      </c>
      <c r="O38" s="82">
        <v>289249.80665119877</v>
      </c>
      <c r="P38" s="82">
        <v>306264.50116009283</v>
      </c>
      <c r="Q38" s="82">
        <v>170146.94508894044</v>
      </c>
      <c r="R38" s="82">
        <v>204176.33410672855</v>
      </c>
      <c r="S38" s="82">
        <v>153132.25058004641</v>
      </c>
      <c r="T38" s="83">
        <v>153132.25058004641</v>
      </c>
      <c r="U38" s="82">
        <v>357308.58468677494</v>
      </c>
      <c r="V38" s="83">
        <v>170146.94508894044</v>
      </c>
      <c r="W38" s="83">
        <v>187161.6395978345</v>
      </c>
      <c r="X38" s="82">
        <v>136117.55607115236</v>
      </c>
      <c r="Y38" s="82">
        <v>119102.86156225832</v>
      </c>
      <c r="Z38" s="82">
        <v>221191.02861562258</v>
      </c>
      <c r="AA38" s="82">
        <v>255220.41763341066</v>
      </c>
      <c r="AB38" s="82">
        <v>119102.86156225832</v>
      </c>
      <c r="AC38" s="82">
        <v>153132.25058004641</v>
      </c>
      <c r="AD38" s="82">
        <v>187161.6395978345</v>
      </c>
      <c r="AE38" s="82">
        <v>119102.86156225832</v>
      </c>
      <c r="AF38" s="82">
        <v>170146.94508894044</v>
      </c>
      <c r="AG38" s="82">
        <v>187161.6395978345</v>
      </c>
      <c r="AH38" s="82">
        <v>238205.72312451663</v>
      </c>
      <c r="AI38" s="82">
        <v>136117.55607115236</v>
      </c>
      <c r="AJ38" s="83">
        <v>289249.80665119877</v>
      </c>
      <c r="AK38" s="82">
        <v>187161.6395978345</v>
      </c>
      <c r="AL38" s="82">
        <v>238205.72312451663</v>
      </c>
      <c r="AM38" s="82">
        <v>306264.50116009283</v>
      </c>
      <c r="AN38" s="82">
        <v>153132.25058004641</v>
      </c>
      <c r="AO38" s="82">
        <v>119102.86156225832</v>
      </c>
      <c r="AP38" s="82">
        <v>170146.94508894044</v>
      </c>
      <c r="AQ38" s="82">
        <v>374323.27919566899</v>
      </c>
      <c r="AR38" s="82">
        <v>170146.94508894044</v>
      </c>
      <c r="AS38" s="82">
        <v>272235.11214230472</v>
      </c>
      <c r="AT38" s="82">
        <v>442382.05723124515</v>
      </c>
      <c r="AU38" s="82">
        <v>153132.25058004641</v>
      </c>
      <c r="AV38" s="83">
        <v>136117.55607115236</v>
      </c>
      <c r="AW38" s="82">
        <v>153132.25058004641</v>
      </c>
      <c r="AX38" s="82">
        <v>306264.50116009283</v>
      </c>
      <c r="AY38" s="82">
        <v>255220.41763341066</v>
      </c>
      <c r="AZ38" s="82">
        <v>170146.94508894044</v>
      </c>
      <c r="BA38" s="82">
        <v>153132.25058004641</v>
      </c>
      <c r="BB38" s="82">
        <v>170146.94508894044</v>
      </c>
      <c r="BC38" s="82">
        <v>459396.75174013921</v>
      </c>
    </row>
    <row r="39" spans="1:57" s="68" customFormat="1" ht="21" customHeight="1" x14ac:dyDescent="0.35">
      <c r="A39" s="133"/>
      <c r="B39" s="67" t="s">
        <v>39</v>
      </c>
      <c r="C39" s="67">
        <f t="shared" si="5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V39" s="83"/>
      <c r="W39" s="83"/>
      <c r="AJ39" s="83"/>
      <c r="AV39" s="83"/>
    </row>
    <row r="40" spans="1:57" s="68" customFormat="1" ht="25.5" customHeight="1" x14ac:dyDescent="0.3">
      <c r="A40" s="134"/>
      <c r="B40" s="67" t="s">
        <v>40</v>
      </c>
      <c r="C40" s="67">
        <f t="shared" si="5"/>
        <v>33866057.695282295</v>
      </c>
      <c r="D40" s="82">
        <v>400781.7478731632</v>
      </c>
      <c r="E40" s="83">
        <v>851661.21423047176</v>
      </c>
      <c r="F40" s="83">
        <v>701368.05877803557</v>
      </c>
      <c r="G40" s="82">
        <v>1102149.8066511988</v>
      </c>
      <c r="H40" s="83">
        <v>751465.77726218104</v>
      </c>
      <c r="I40" s="82">
        <v>651270.34029389021</v>
      </c>
      <c r="J40" s="82">
        <v>651270.34029389021</v>
      </c>
      <c r="K40" s="82">
        <v>500977.18484145403</v>
      </c>
      <c r="L40" s="83">
        <v>951856.65119876259</v>
      </c>
      <c r="M40" s="82">
        <v>901758.93271461723</v>
      </c>
      <c r="N40" s="82">
        <v>751465.77726218104</v>
      </c>
      <c r="O40" s="83">
        <v>851661.21423047176</v>
      </c>
      <c r="P40" s="83">
        <v>901758.93271461723</v>
      </c>
      <c r="Q40" s="83">
        <v>500977.18484145403</v>
      </c>
      <c r="R40" s="83">
        <v>601172.62180974474</v>
      </c>
      <c r="S40" s="83">
        <v>450879.46635730861</v>
      </c>
      <c r="T40" s="83">
        <v>450879.46635730861</v>
      </c>
      <c r="U40" s="83">
        <v>1052052.0881670534</v>
      </c>
      <c r="V40" s="83">
        <v>500977.18484145403</v>
      </c>
      <c r="W40" s="83">
        <v>551074.90332559939</v>
      </c>
      <c r="X40" s="83">
        <v>400781.7478731632</v>
      </c>
      <c r="Y40" s="83">
        <v>350684.02938901779</v>
      </c>
      <c r="Z40" s="83">
        <v>651270.34029389021</v>
      </c>
      <c r="AA40" s="83">
        <v>751465.77726218104</v>
      </c>
      <c r="AB40" s="83">
        <v>350684.02938901779</v>
      </c>
      <c r="AC40" s="83">
        <v>450879.46635730861</v>
      </c>
      <c r="AD40" s="83">
        <v>551074.90332559939</v>
      </c>
      <c r="AE40" s="83">
        <v>350684.02938901779</v>
      </c>
      <c r="AF40" s="83">
        <v>500977.18484145403</v>
      </c>
      <c r="AG40" s="83">
        <v>551074.90332559939</v>
      </c>
      <c r="AH40" s="83">
        <v>701368.05877803557</v>
      </c>
      <c r="AI40" s="83">
        <v>400781.7478731632</v>
      </c>
      <c r="AJ40" s="83">
        <v>851661.21423047176</v>
      </c>
      <c r="AK40" s="83">
        <v>551074.90332559939</v>
      </c>
      <c r="AL40" s="83">
        <v>701368.05877803557</v>
      </c>
      <c r="AM40" s="83">
        <v>901758.93271461723</v>
      </c>
      <c r="AN40" s="83">
        <v>450879.46635730861</v>
      </c>
      <c r="AO40" s="83">
        <v>350684.02938901779</v>
      </c>
      <c r="AP40" s="83">
        <v>500977.18484145403</v>
      </c>
      <c r="AQ40" s="83">
        <v>1102149.8066511988</v>
      </c>
      <c r="AR40" s="83">
        <v>500977.18484145403</v>
      </c>
      <c r="AS40" s="83">
        <v>801563.4957463264</v>
      </c>
      <c r="AT40" s="83">
        <v>1302540.6805877804</v>
      </c>
      <c r="AU40" s="83">
        <v>450879.46635730861</v>
      </c>
      <c r="AV40" s="83">
        <v>400781.7478731632</v>
      </c>
      <c r="AW40" s="83">
        <v>450879.46635730861</v>
      </c>
      <c r="AX40" s="83">
        <v>901758.93271461723</v>
      </c>
      <c r="AY40" s="83">
        <v>751465.77726218104</v>
      </c>
      <c r="AZ40" s="83">
        <v>500977.18484145403</v>
      </c>
      <c r="BA40" s="83">
        <v>450879.46635730861</v>
      </c>
      <c r="BB40" s="83">
        <v>500977.18484145403</v>
      </c>
      <c r="BC40" s="83">
        <v>1352638.3990719258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5"/>
        <v>76973682.174013942</v>
      </c>
      <c r="D41" s="82">
        <v>97858.004640371233</v>
      </c>
      <c r="E41" s="82">
        <v>3867948</v>
      </c>
      <c r="F41" s="82">
        <v>171251.50812064967</v>
      </c>
      <c r="G41" s="83">
        <v>5028787</v>
      </c>
      <c r="H41" s="83">
        <v>183483.75870069605</v>
      </c>
      <c r="I41" s="82">
        <v>2009019</v>
      </c>
      <c r="J41" s="82">
        <v>159019.25754060326</v>
      </c>
      <c r="K41" s="82">
        <v>122322.50580046405</v>
      </c>
      <c r="L41" s="82">
        <v>232412.76102088168</v>
      </c>
      <c r="M41" s="82">
        <v>2570181</v>
      </c>
      <c r="N41" s="82">
        <v>1883484</v>
      </c>
      <c r="O41" s="68">
        <v>1442948</v>
      </c>
      <c r="P41" s="68">
        <v>4020181</v>
      </c>
      <c r="Q41" s="68">
        <v>122322.50580046405</v>
      </c>
      <c r="R41" s="68">
        <v>146787.00696055684</v>
      </c>
      <c r="S41" s="68">
        <v>110090.25522041763</v>
      </c>
      <c r="T41" s="83">
        <v>1260090</v>
      </c>
      <c r="U41" s="68">
        <v>6203544</v>
      </c>
      <c r="V41" s="83">
        <v>2762323</v>
      </c>
      <c r="W41" s="83">
        <v>3004555</v>
      </c>
      <c r="X41" s="68">
        <v>1847858</v>
      </c>
      <c r="Y41" s="68">
        <v>1018959</v>
      </c>
      <c r="Z41" s="68">
        <v>1559019</v>
      </c>
      <c r="AA41" s="68">
        <v>183483.75870069605</v>
      </c>
      <c r="AB41" s="68">
        <v>1235626</v>
      </c>
      <c r="AC41" s="68">
        <v>110090.25522041763</v>
      </c>
      <c r="AD41" s="68">
        <v>3964555</v>
      </c>
      <c r="AE41" s="68">
        <v>85625.754060324834</v>
      </c>
      <c r="AF41" s="68">
        <v>122322.50580046405</v>
      </c>
      <c r="AG41" s="68">
        <v>2359555</v>
      </c>
      <c r="AH41" s="68">
        <v>171251.50812064967</v>
      </c>
      <c r="AI41" s="68">
        <v>97858.004640371233</v>
      </c>
      <c r="AJ41" s="68">
        <v>852948</v>
      </c>
      <c r="AK41" s="68">
        <v>4434555</v>
      </c>
      <c r="AL41" s="68">
        <v>171251.50812064967</v>
      </c>
      <c r="AM41" s="68">
        <v>1770181</v>
      </c>
      <c r="AN41" s="68">
        <v>110090.25522041763</v>
      </c>
      <c r="AO41" s="68">
        <v>85625.754060324834</v>
      </c>
      <c r="AP41" s="68">
        <v>1557323</v>
      </c>
      <c r="AQ41" s="68">
        <v>5194110</v>
      </c>
      <c r="AR41" s="68">
        <v>122322.50580046405</v>
      </c>
      <c r="AS41" s="68">
        <v>2345716</v>
      </c>
      <c r="AT41" s="68">
        <v>318038.51508120651</v>
      </c>
      <c r="AU41" s="68">
        <v>1060090</v>
      </c>
      <c r="AV41" s="83">
        <v>97858.004640371233</v>
      </c>
      <c r="AW41" s="68">
        <v>110090.25522041763</v>
      </c>
      <c r="AX41" s="68">
        <v>3620181</v>
      </c>
      <c r="AY41" s="68">
        <v>183483.75870069605</v>
      </c>
      <c r="AZ41" s="68">
        <v>122322.50580046405</v>
      </c>
      <c r="BA41" s="68">
        <v>110090.25522041763</v>
      </c>
      <c r="BB41" s="68">
        <v>122322.50580046405</v>
      </c>
      <c r="BC41" s="68">
        <v>6430271</v>
      </c>
    </row>
    <row r="42" spans="1:57" s="68" customFormat="1" ht="33" customHeight="1" x14ac:dyDescent="0.3">
      <c r="A42" s="135"/>
      <c r="B42" s="66" t="s">
        <v>43</v>
      </c>
      <c r="C42" s="67">
        <f t="shared" si="5"/>
        <v>11816000</v>
      </c>
      <c r="D42" s="82"/>
      <c r="E42" s="82"/>
      <c r="F42" s="82"/>
      <c r="G42" s="82">
        <v>810000</v>
      </c>
      <c r="H42" s="68">
        <v>115000</v>
      </c>
      <c r="I42" s="82"/>
      <c r="J42" s="68">
        <v>120000</v>
      </c>
      <c r="K42" s="68">
        <v>35000</v>
      </c>
      <c r="L42" s="68">
        <v>185000</v>
      </c>
      <c r="N42" s="68">
        <v>70000</v>
      </c>
      <c r="O42" s="68">
        <v>2465000</v>
      </c>
      <c r="P42" s="68">
        <v>80000</v>
      </c>
      <c r="S42" s="68">
        <v>150000</v>
      </c>
      <c r="T42" s="68">
        <v>180000</v>
      </c>
      <c r="X42" s="68">
        <v>60000</v>
      </c>
      <c r="Y42" s="68">
        <v>800000</v>
      </c>
      <c r="Z42" s="68">
        <v>555000</v>
      </c>
      <c r="AA42" s="68">
        <v>312000</v>
      </c>
      <c r="AC42" s="68">
        <v>900000</v>
      </c>
      <c r="AD42" s="68">
        <v>654000</v>
      </c>
      <c r="AF42" s="68">
        <v>40000</v>
      </c>
      <c r="AH42" s="68">
        <v>845000</v>
      </c>
      <c r="AK42" s="68">
        <v>695000</v>
      </c>
      <c r="AL42" s="68">
        <v>340000</v>
      </c>
      <c r="AM42" s="68">
        <v>506000</v>
      </c>
      <c r="AT42" s="68">
        <v>495000</v>
      </c>
      <c r="AU42" s="68">
        <v>40000</v>
      </c>
      <c r="AW42" s="68">
        <v>490000</v>
      </c>
      <c r="AX42" s="68">
        <v>364000</v>
      </c>
      <c r="AY42" s="68">
        <v>150000</v>
      </c>
      <c r="AZ42" s="68">
        <v>140000</v>
      </c>
      <c r="BA42" s="68">
        <v>60000</v>
      </c>
      <c r="BB42" s="68">
        <v>80000</v>
      </c>
      <c r="BC42" s="68">
        <v>80000</v>
      </c>
    </row>
    <row r="43" spans="1:57" s="68" customFormat="1" ht="54.5" customHeight="1" x14ac:dyDescent="0.3">
      <c r="A43" s="135"/>
      <c r="B43" s="66" t="s">
        <v>44</v>
      </c>
      <c r="C43" s="67">
        <f t="shared" si="5"/>
        <v>34794000</v>
      </c>
      <c r="D43" s="82">
        <v>39000</v>
      </c>
      <c r="E43" s="82">
        <v>739000</v>
      </c>
      <c r="F43" s="82">
        <v>677000</v>
      </c>
      <c r="G43" s="68">
        <v>1039000</v>
      </c>
      <c r="H43" s="68">
        <v>1724000</v>
      </c>
      <c r="I43" s="82">
        <v>164000</v>
      </c>
      <c r="J43" s="82">
        <v>614000</v>
      </c>
      <c r="K43" s="68">
        <v>75000</v>
      </c>
      <c r="L43" s="82">
        <v>574000</v>
      </c>
      <c r="M43" s="82">
        <v>1174000</v>
      </c>
      <c r="N43" s="68">
        <v>1599000</v>
      </c>
      <c r="O43" s="68">
        <v>1505000</v>
      </c>
      <c r="P43" s="68">
        <v>2714000</v>
      </c>
      <c r="Q43" s="68">
        <v>224000</v>
      </c>
      <c r="R43" s="68">
        <v>1699000</v>
      </c>
      <c r="S43" s="68">
        <v>335000</v>
      </c>
      <c r="T43" s="68">
        <v>634000</v>
      </c>
      <c r="U43" s="68">
        <v>89000</v>
      </c>
      <c r="V43" s="68">
        <v>246500</v>
      </c>
      <c r="W43" s="68">
        <v>480500</v>
      </c>
      <c r="Y43" s="68">
        <v>634000</v>
      </c>
      <c r="Z43" s="68">
        <v>840667</v>
      </c>
      <c r="AA43" s="68">
        <v>299000</v>
      </c>
      <c r="AB43" s="68">
        <v>324000</v>
      </c>
      <c r="AC43" s="68">
        <v>374000</v>
      </c>
      <c r="AD43" s="68">
        <v>1334000</v>
      </c>
      <c r="AE43" s="68">
        <v>134000</v>
      </c>
      <c r="AF43" s="68">
        <v>649000</v>
      </c>
      <c r="AG43" s="68">
        <v>539000</v>
      </c>
      <c r="AH43" s="68">
        <v>1301000</v>
      </c>
      <c r="AI43" s="68">
        <v>494000</v>
      </c>
      <c r="AJ43" s="68">
        <v>599000</v>
      </c>
      <c r="AK43" s="68">
        <v>1002000</v>
      </c>
      <c r="AL43" s="68">
        <v>476000</v>
      </c>
      <c r="AM43" s="68">
        <v>1444000</v>
      </c>
      <c r="AN43" s="68">
        <v>590000</v>
      </c>
      <c r="AO43" s="68">
        <v>169000</v>
      </c>
      <c r="AP43" s="68">
        <v>464000</v>
      </c>
      <c r="AQ43" s="68">
        <v>1130000</v>
      </c>
      <c r="AR43" s="68">
        <v>124000</v>
      </c>
      <c r="AS43" s="68">
        <v>369000</v>
      </c>
      <c r="AT43" s="68">
        <v>139000</v>
      </c>
      <c r="AU43" s="68">
        <v>495000</v>
      </c>
      <c r="AV43" s="68">
        <v>1353000</v>
      </c>
      <c r="AW43" s="68">
        <v>64000</v>
      </c>
      <c r="AX43" s="68">
        <v>689000</v>
      </c>
      <c r="AY43" s="68">
        <v>199000</v>
      </c>
      <c r="AZ43" s="68">
        <v>39000</v>
      </c>
      <c r="BA43" s="68">
        <v>938333</v>
      </c>
      <c r="BB43" s="68">
        <v>399000</v>
      </c>
      <c r="BC43" s="68">
        <v>844000</v>
      </c>
    </row>
    <row r="44" spans="1:57" s="93" customFormat="1" ht="13" x14ac:dyDescent="0.3">
      <c r="A44" s="91" t="s">
        <v>45</v>
      </c>
      <c r="B44" s="92"/>
      <c r="C44" s="62">
        <f t="shared" ref="C44:BC44" si="6">SUM(C30:C43)</f>
        <v>317721614.85665238</v>
      </c>
      <c r="D44" s="92">
        <f t="shared" si="6"/>
        <v>2719394.3230784633</v>
      </c>
      <c r="E44" s="92">
        <f>SUM(E30:E43)</f>
        <v>9524277.6215490662</v>
      </c>
      <c r="F44" s="92">
        <f t="shared" si="6"/>
        <v>4306271.7718163151</v>
      </c>
      <c r="G44" s="92">
        <f t="shared" si="6"/>
        <v>12564450.728851583</v>
      </c>
      <c r="H44" s="92">
        <f t="shared" si="6"/>
        <v>6200949.522884706</v>
      </c>
      <c r="I44" s="92">
        <f t="shared" si="6"/>
        <v>5994724.6710213944</v>
      </c>
      <c r="J44" s="92">
        <f t="shared" si="6"/>
        <v>4824964.9807872362</v>
      </c>
      <c r="K44" s="92">
        <f t="shared" si="6"/>
        <v>3337244.3125223797</v>
      </c>
      <c r="L44" s="92">
        <f t="shared" si="6"/>
        <v>6692539.0007082876</v>
      </c>
      <c r="M44" s="92">
        <f t="shared" si="6"/>
        <v>8948672.582050167</v>
      </c>
      <c r="N44" s="92">
        <f t="shared" si="6"/>
        <v>6288271.5754060326</v>
      </c>
      <c r="O44" s="92">
        <f t="shared" si="6"/>
        <v>10025464.602383554</v>
      </c>
      <c r="P44" s="92">
        <f t="shared" si="6"/>
        <v>11357976.733062353</v>
      </c>
      <c r="Q44" s="92">
        <f t="shared" si="6"/>
        <v>3497180.8894044859</v>
      </c>
      <c r="R44" s="92">
        <f t="shared" si="6"/>
        <v>5409834.3362401407</v>
      </c>
      <c r="S44" s="92">
        <f t="shared" si="6"/>
        <v>3021255.1081563449</v>
      </c>
      <c r="T44" s="92">
        <f t="shared" si="6"/>
        <v>4747614.9774903329</v>
      </c>
      <c r="U44" s="92">
        <f t="shared" si="6"/>
        <v>12231589.984429937</v>
      </c>
      <c r="V44" s="92">
        <f t="shared" si="6"/>
        <v>5980977.4601852484</v>
      </c>
      <c r="W44" s="92">
        <f t="shared" si="6"/>
        <v>6882613.5084051965</v>
      </c>
      <c r="X44" s="92">
        <f t="shared" si="6"/>
        <v>4542157.8486941885</v>
      </c>
      <c r="Y44" s="92">
        <f t="shared" si="6"/>
        <v>4693158.7253603637</v>
      </c>
      <c r="Z44" s="92">
        <f t="shared" si="6"/>
        <v>6659056.0882687941</v>
      </c>
      <c r="AA44" s="92">
        <f t="shared" si="6"/>
        <v>5305740.1970748315</v>
      </c>
      <c r="AB44" s="92">
        <f t="shared" si="6"/>
        <v>3829617.8352282248</v>
      </c>
      <c r="AC44" s="92">
        <f t="shared" si="6"/>
        <v>4063377.6152788512</v>
      </c>
      <c r="AD44" s="92">
        <f t="shared" si="6"/>
        <v>8027796.1189493481</v>
      </c>
      <c r="AE44" s="92">
        <f t="shared" si="6"/>
        <v>2276467.7133482895</v>
      </c>
      <c r="AF44" s="92">
        <f t="shared" si="6"/>
        <v>3882147.6359372223</v>
      </c>
      <c r="AG44" s="92">
        <f t="shared" si="6"/>
        <v>5804128.3345950441</v>
      </c>
      <c r="AH44" s="92">
        <f t="shared" si="6"/>
        <v>6552663.2556436174</v>
      </c>
      <c r="AI44" s="92">
        <f t="shared" si="6"/>
        <v>2994894.6386130434</v>
      </c>
      <c r="AJ44" s="92">
        <f t="shared" si="6"/>
        <v>6108344.3844480366</v>
      </c>
      <c r="AK44" s="92">
        <f t="shared" si="6"/>
        <v>9524152.0212427229</v>
      </c>
      <c r="AL44" s="92">
        <f t="shared" si="6"/>
        <v>4930685.1928956527</v>
      </c>
      <c r="AM44" s="92">
        <f t="shared" si="6"/>
        <v>9030680.653280668</v>
      </c>
      <c r="AN44" s="92">
        <f t="shared" si="6"/>
        <v>3330336.0487795314</v>
      </c>
      <c r="AO44" s="92">
        <f t="shared" si="6"/>
        <v>2520893.7245298815</v>
      </c>
      <c r="AP44" s="92">
        <f t="shared" si="6"/>
        <v>5004304.1906215651</v>
      </c>
      <c r="AQ44" s="92">
        <f t="shared" si="6"/>
        <v>12422878.770254888</v>
      </c>
      <c r="AR44" s="92">
        <f t="shared" si="6"/>
        <v>3392712.1761459168</v>
      </c>
      <c r="AS44" s="92">
        <f t="shared" si="6"/>
        <v>7278696.4194642808</v>
      </c>
      <c r="AT44" s="92">
        <f t="shared" si="6"/>
        <v>8460481.0326459371</v>
      </c>
      <c r="AU44" s="92">
        <f t="shared" si="6"/>
        <v>4146922.5351786483</v>
      </c>
      <c r="AV44" s="92">
        <f t="shared" si="6"/>
        <v>3946843.0335743446</v>
      </c>
      <c r="AW44" s="92">
        <f t="shared" si="6"/>
        <v>3741526.2242014473</v>
      </c>
      <c r="AX44" s="92">
        <f t="shared" si="6"/>
        <v>10035702.510693654</v>
      </c>
      <c r="AY44" s="92">
        <f t="shared" si="6"/>
        <v>5237758.7040918693</v>
      </c>
      <c r="AZ44" s="92">
        <f t="shared" si="6"/>
        <v>3335365.4323008927</v>
      </c>
      <c r="BA44" s="92">
        <f t="shared" si="6"/>
        <v>3963867.8723488962</v>
      </c>
      <c r="BB44" s="92">
        <f t="shared" si="6"/>
        <v>3391518.8759065615</v>
      </c>
      <c r="BC44" s="92">
        <f t="shared" si="6"/>
        <v>14730470.356621871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2952750309.7733188</v>
      </c>
      <c r="D45" s="95">
        <f t="shared" ref="D45:BC45" si="7">D29+D44</f>
        <v>33757110.323078461</v>
      </c>
      <c r="E45" s="95">
        <f t="shared" si="7"/>
        <v>71987763.62154907</v>
      </c>
      <c r="F45" s="95">
        <f t="shared" si="7"/>
        <v>59549001.438482977</v>
      </c>
      <c r="G45" s="95">
        <f t="shared" si="7"/>
        <v>77648568.728851587</v>
      </c>
      <c r="H45" s="95">
        <f t="shared" si="7"/>
        <v>74159916.522884712</v>
      </c>
      <c r="I45" s="95">
        <f t="shared" si="7"/>
        <v>52579631.854354732</v>
      </c>
      <c r="J45" s="95">
        <f t="shared" si="7"/>
        <v>52449075.380787238</v>
      </c>
      <c r="K45" s="95">
        <f t="shared" si="7"/>
        <v>33905511.312522382</v>
      </c>
      <c r="L45" s="95">
        <f t="shared" si="7"/>
        <v>95252699.667374954</v>
      </c>
      <c r="M45" s="95">
        <f t="shared" si="7"/>
        <v>87262197.248716831</v>
      </c>
      <c r="N45" s="95">
        <f t="shared" si="7"/>
        <v>63270044.57540603</v>
      </c>
      <c r="O45" s="95">
        <f t="shared" si="7"/>
        <v>76263405.602383554</v>
      </c>
      <c r="P45" s="95">
        <f t="shared" si="7"/>
        <v>89272596.733062357</v>
      </c>
      <c r="Q45" s="95">
        <f t="shared" si="7"/>
        <v>41293840.889404483</v>
      </c>
      <c r="R45" s="95">
        <f t="shared" si="7"/>
        <v>58343382.336240143</v>
      </c>
      <c r="S45" s="95">
        <f t="shared" si="7"/>
        <v>35991152.108156346</v>
      </c>
      <c r="T45" s="95">
        <f t="shared" si="7"/>
        <v>19732624.977490332</v>
      </c>
      <c r="U45" s="95">
        <f t="shared" si="7"/>
        <v>86721381.984429941</v>
      </c>
      <c r="V45" s="95">
        <f t="shared" si="7"/>
        <v>45213791.793518573</v>
      </c>
      <c r="W45" s="95">
        <f t="shared" si="7"/>
        <v>53709140.175071858</v>
      </c>
      <c r="X45" s="95">
        <f t="shared" si="7"/>
        <v>35071905.515360855</v>
      </c>
      <c r="Y45" s="95">
        <f t="shared" si="7"/>
        <v>25983278.725360364</v>
      </c>
      <c r="Z45" s="95">
        <f t="shared" si="7"/>
        <v>64804095.088268794</v>
      </c>
      <c r="AA45" s="95">
        <f t="shared" si="7"/>
        <v>57962169.530408166</v>
      </c>
      <c r="AB45" s="95">
        <f t="shared" si="7"/>
        <v>19155657.835228223</v>
      </c>
      <c r="AC45" s="95">
        <f t="shared" si="7"/>
        <v>40743917.615278855</v>
      </c>
      <c r="AD45" s="95">
        <f t="shared" si="7"/>
        <v>55067280.518949345</v>
      </c>
      <c r="AE45" s="95">
        <f t="shared" si="7"/>
        <v>18879457.31334829</v>
      </c>
      <c r="AF45" s="95">
        <f t="shared" si="7"/>
        <v>49796705.635937221</v>
      </c>
      <c r="AG45" s="95">
        <f t="shared" si="7"/>
        <v>42327285.001261719</v>
      </c>
      <c r="AH45" s="95">
        <f t="shared" si="7"/>
        <v>53907709.255643621</v>
      </c>
      <c r="AI45" s="95">
        <f t="shared" si="7"/>
        <v>18044101.638613045</v>
      </c>
      <c r="AJ45" s="95">
        <f t="shared" si="7"/>
        <v>88063661.384448037</v>
      </c>
      <c r="AK45" s="95">
        <f t="shared" si="7"/>
        <v>53585792.021242723</v>
      </c>
      <c r="AL45" s="95">
        <f t="shared" si="7"/>
        <v>47985346.192895651</v>
      </c>
      <c r="AM45" s="95">
        <f t="shared" si="7"/>
        <v>71918980.653280675</v>
      </c>
      <c r="AN45" s="95">
        <f t="shared" si="7"/>
        <v>33414156.048779532</v>
      </c>
      <c r="AO45" s="95">
        <f t="shared" si="7"/>
        <v>16613815.391196547</v>
      </c>
      <c r="AP45" s="95">
        <f t="shared" si="7"/>
        <v>48666474.190621562</v>
      </c>
      <c r="AQ45" s="95">
        <f t="shared" si="7"/>
        <v>113644926.77025488</v>
      </c>
      <c r="AR45" s="95">
        <f t="shared" si="7"/>
        <v>37007420.176145919</v>
      </c>
      <c r="AS45" s="95">
        <f t="shared" si="7"/>
        <v>75150361.419464275</v>
      </c>
      <c r="AT45" s="95">
        <f t="shared" si="7"/>
        <v>140061745.03264594</v>
      </c>
      <c r="AU45" s="95">
        <f t="shared" si="7"/>
        <v>35789070.201845318</v>
      </c>
      <c r="AV45" s="95">
        <f t="shared" si="7"/>
        <v>38682869.366907679</v>
      </c>
      <c r="AW45" s="95">
        <f t="shared" si="7"/>
        <v>31466423.224201448</v>
      </c>
      <c r="AX45" s="95">
        <f t="shared" si="7"/>
        <v>95256326.510693654</v>
      </c>
      <c r="AY45" s="95">
        <f t="shared" si="7"/>
        <v>73642477.704091877</v>
      </c>
      <c r="AZ45" s="95">
        <f t="shared" si="7"/>
        <v>46211418.432300895</v>
      </c>
      <c r="BA45" s="95">
        <f t="shared" si="7"/>
        <v>26694223.872348897</v>
      </c>
      <c r="BB45" s="95">
        <f t="shared" si="7"/>
        <v>53869426.875906564</v>
      </c>
      <c r="BC45" s="95">
        <f t="shared" si="7"/>
        <v>134918993.35662186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8">C4-C29</f>
        <v>674004393.08333349</v>
      </c>
      <c r="D46" s="97">
        <f t="shared" si="8"/>
        <v>8378284</v>
      </c>
      <c r="E46" s="97">
        <f t="shared" si="8"/>
        <v>10988514</v>
      </c>
      <c r="F46" s="97">
        <f t="shared" si="8"/>
        <v>-316729.66666666418</v>
      </c>
      <c r="G46" s="97">
        <f t="shared" si="8"/>
        <v>20945882</v>
      </c>
      <c r="H46" s="97">
        <f t="shared" si="8"/>
        <v>767033</v>
      </c>
      <c r="I46" s="97">
        <f t="shared" si="8"/>
        <v>15859092.816666663</v>
      </c>
      <c r="J46" s="97">
        <f t="shared" si="8"/>
        <v>12760889.600000001</v>
      </c>
      <c r="K46" s="97">
        <f t="shared" si="8"/>
        <v>5746733</v>
      </c>
      <c r="L46" s="97">
        <f t="shared" si="8"/>
        <v>26201839.333333328</v>
      </c>
      <c r="M46" s="97">
        <f t="shared" si="8"/>
        <v>28175475.333333343</v>
      </c>
      <c r="N46" s="97">
        <f t="shared" si="8"/>
        <v>-3313373</v>
      </c>
      <c r="O46" s="97">
        <f t="shared" si="8"/>
        <v>945059</v>
      </c>
      <c r="P46" s="97">
        <f t="shared" si="8"/>
        <v>5173380</v>
      </c>
      <c r="Q46" s="97">
        <f t="shared" si="8"/>
        <v>15098340</v>
      </c>
      <c r="R46" s="97">
        <f t="shared" si="8"/>
        <v>16602452</v>
      </c>
      <c r="S46" s="97">
        <f t="shared" si="8"/>
        <v>15468103</v>
      </c>
      <c r="T46" s="97">
        <f t="shared" si="8"/>
        <v>13308990</v>
      </c>
      <c r="U46" s="97">
        <f t="shared" si="8"/>
        <v>24930208</v>
      </c>
      <c r="V46" s="97">
        <f t="shared" si="8"/>
        <v>19940185.666666672</v>
      </c>
      <c r="W46" s="97">
        <f t="shared" si="8"/>
        <v>17147473.333333336</v>
      </c>
      <c r="X46" s="97">
        <f t="shared" si="8"/>
        <v>13328252.333333332</v>
      </c>
      <c r="Y46" s="97">
        <f t="shared" si="8"/>
        <v>13209880</v>
      </c>
      <c r="Z46" s="97">
        <f t="shared" si="8"/>
        <v>11344961</v>
      </c>
      <c r="AA46" s="97">
        <f t="shared" si="8"/>
        <v>18619570.666666664</v>
      </c>
      <c r="AB46" s="97">
        <f t="shared" si="8"/>
        <v>9752960</v>
      </c>
      <c r="AC46" s="97">
        <f t="shared" si="8"/>
        <v>8497960</v>
      </c>
      <c r="AD46" s="97">
        <f t="shared" si="8"/>
        <v>5180515.6000000015</v>
      </c>
      <c r="AE46" s="97">
        <f t="shared" si="8"/>
        <v>5125010.4000000004</v>
      </c>
      <c r="AF46" s="97">
        <f t="shared" si="8"/>
        <v>13779442</v>
      </c>
      <c r="AG46" s="97">
        <f t="shared" si="8"/>
        <v>11970843.333333328</v>
      </c>
      <c r="AH46" s="97">
        <f t="shared" si="8"/>
        <v>20615954</v>
      </c>
      <c r="AI46" s="97">
        <f t="shared" si="8"/>
        <v>8238126</v>
      </c>
      <c r="AJ46" s="97">
        <f t="shared" si="8"/>
        <v>13716183</v>
      </c>
      <c r="AK46" s="97">
        <f t="shared" si="8"/>
        <v>17644360</v>
      </c>
      <c r="AL46" s="97">
        <f t="shared" si="8"/>
        <v>11639339</v>
      </c>
      <c r="AM46" s="97">
        <f t="shared" si="8"/>
        <v>17727700</v>
      </c>
      <c r="AN46" s="97">
        <f t="shared" si="8"/>
        <v>1156180</v>
      </c>
      <c r="AO46" s="97">
        <f t="shared" si="8"/>
        <v>11902078.333333334</v>
      </c>
      <c r="AP46" s="97">
        <f t="shared" si="8"/>
        <v>11553830</v>
      </c>
      <c r="AQ46" s="97">
        <f t="shared" si="8"/>
        <v>13954452</v>
      </c>
      <c r="AR46" s="97">
        <f t="shared" si="8"/>
        <v>10593292</v>
      </c>
      <c r="AS46" s="97">
        <f t="shared" si="8"/>
        <v>18566335</v>
      </c>
      <c r="AT46" s="97">
        <f t="shared" si="8"/>
        <v>34609736</v>
      </c>
      <c r="AU46" s="97">
        <f t="shared" si="8"/>
        <v>8788852.3333333321</v>
      </c>
      <c r="AV46" s="97">
        <f t="shared" si="8"/>
        <v>6616373.6666666642</v>
      </c>
      <c r="AW46" s="97">
        <f t="shared" si="8"/>
        <v>11231103</v>
      </c>
      <c r="AX46" s="97">
        <f t="shared" si="8"/>
        <v>8631376</v>
      </c>
      <c r="AY46" s="97">
        <f t="shared" si="8"/>
        <v>21711281</v>
      </c>
      <c r="AZ46" s="97">
        <f t="shared" si="8"/>
        <v>5086547</v>
      </c>
      <c r="BA46" s="97">
        <f t="shared" si="8"/>
        <v>18141144</v>
      </c>
      <c r="BB46" s="97">
        <f t="shared" si="8"/>
        <v>7840092</v>
      </c>
      <c r="BC46" s="97">
        <f t="shared" si="8"/>
        <v>28422832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356282778.22668123</v>
      </c>
      <c r="D47" s="99">
        <f t="shared" ref="D47:BC47" si="9">D4-D45</f>
        <v>5658889.676921539</v>
      </c>
      <c r="E47" s="99">
        <f t="shared" si="9"/>
        <v>1464236.3784509301</v>
      </c>
      <c r="F47" s="99">
        <f t="shared" si="9"/>
        <v>-4623001.4384829774</v>
      </c>
      <c r="G47" s="99">
        <f t="shared" si="9"/>
        <v>8381431.2711484134</v>
      </c>
      <c r="H47" s="99">
        <f t="shared" si="9"/>
        <v>-5433916.5228847116</v>
      </c>
      <c r="I47" s="99">
        <f t="shared" si="9"/>
        <v>9864368.1456452683</v>
      </c>
      <c r="J47" s="99">
        <f t="shared" si="9"/>
        <v>7935924.6192127615</v>
      </c>
      <c r="K47" s="99">
        <f t="shared" si="9"/>
        <v>2409488.6874776185</v>
      </c>
      <c r="L47" s="99">
        <f t="shared" si="9"/>
        <v>19509300.332625046</v>
      </c>
      <c r="M47" s="99">
        <f t="shared" si="9"/>
        <v>19226802.751283169</v>
      </c>
      <c r="N47" s="99">
        <f t="shared" si="9"/>
        <v>-9601644.5754060298</v>
      </c>
      <c r="O47" s="99">
        <f t="shared" si="9"/>
        <v>-9080405.602383554</v>
      </c>
      <c r="P47" s="99">
        <f t="shared" si="9"/>
        <v>-6184596.7330623567</v>
      </c>
      <c r="Q47" s="99">
        <f t="shared" si="9"/>
        <v>11601159.110595517</v>
      </c>
      <c r="R47" s="99">
        <f t="shared" si="9"/>
        <v>11192617.663759857</v>
      </c>
      <c r="S47" s="99">
        <f t="shared" si="9"/>
        <v>12446847.891843654</v>
      </c>
      <c r="T47" s="99">
        <f t="shared" si="9"/>
        <v>8561375.022509668</v>
      </c>
      <c r="U47" s="99">
        <f t="shared" si="9"/>
        <v>12698618.015570059</v>
      </c>
      <c r="V47" s="99">
        <f t="shared" si="9"/>
        <v>13959208.206481427</v>
      </c>
      <c r="W47" s="99">
        <f t="shared" si="9"/>
        <v>10264859.824928142</v>
      </c>
      <c r="X47" s="99">
        <f t="shared" si="9"/>
        <v>8786094.4846391454</v>
      </c>
      <c r="Y47" s="99">
        <f t="shared" si="9"/>
        <v>8516721.2746396363</v>
      </c>
      <c r="Z47" s="99">
        <f t="shared" si="9"/>
        <v>4685904.9117312059</v>
      </c>
      <c r="AA47" s="99">
        <f t="shared" si="9"/>
        <v>13313830.469591834</v>
      </c>
      <c r="AB47" s="99">
        <f t="shared" si="9"/>
        <v>5923342.1647717766</v>
      </c>
      <c r="AC47" s="99">
        <f t="shared" si="9"/>
        <v>4434582.384721145</v>
      </c>
      <c r="AD47" s="99">
        <f t="shared" si="9"/>
        <v>-2847280.5189493448</v>
      </c>
      <c r="AE47" s="99">
        <f t="shared" si="9"/>
        <v>2848542.6866517104</v>
      </c>
      <c r="AF47" s="99">
        <f t="shared" si="9"/>
        <v>9897294.3640627787</v>
      </c>
      <c r="AG47" s="99">
        <f t="shared" si="9"/>
        <v>6166714.9987382814</v>
      </c>
      <c r="AH47" s="99">
        <f t="shared" si="9"/>
        <v>14063290.744356379</v>
      </c>
      <c r="AI47" s="99">
        <f t="shared" si="9"/>
        <v>5243231.3613869548</v>
      </c>
      <c r="AJ47" s="99">
        <f t="shared" si="9"/>
        <v>7607838.6155519634</v>
      </c>
      <c r="AK47" s="99">
        <f t="shared" si="9"/>
        <v>8120207.9787572771</v>
      </c>
      <c r="AL47" s="99">
        <f t="shared" si="9"/>
        <v>6708653.8071043491</v>
      </c>
      <c r="AM47" s="99">
        <f t="shared" si="9"/>
        <v>8697019.3467193246</v>
      </c>
      <c r="AN47" s="99">
        <f t="shared" si="9"/>
        <v>-2174156.0487795323</v>
      </c>
      <c r="AO47" s="99">
        <f t="shared" si="9"/>
        <v>9381184.6088034529</v>
      </c>
      <c r="AP47" s="99">
        <f t="shared" si="9"/>
        <v>6549525.8093784377</v>
      </c>
      <c r="AQ47" s="99">
        <f t="shared" si="9"/>
        <v>1531573.2297451198</v>
      </c>
      <c r="AR47" s="99">
        <f t="shared" si="9"/>
        <v>7200579.8238540813</v>
      </c>
      <c r="AS47" s="99">
        <f t="shared" si="9"/>
        <v>11287638.580535725</v>
      </c>
      <c r="AT47" s="99">
        <f t="shared" si="9"/>
        <v>26149254.967354059</v>
      </c>
      <c r="AU47" s="99">
        <f t="shared" si="9"/>
        <v>4641929.7981546819</v>
      </c>
      <c r="AV47" s="99">
        <f t="shared" si="9"/>
        <v>2669530.6330923215</v>
      </c>
      <c r="AW47" s="99">
        <f t="shared" si="9"/>
        <v>7489576.7757985517</v>
      </c>
      <c r="AX47" s="99">
        <f t="shared" si="9"/>
        <v>-1404326.5106936544</v>
      </c>
      <c r="AY47" s="99">
        <f t="shared" si="9"/>
        <v>16473522.295908123</v>
      </c>
      <c r="AZ47" s="99">
        <f t="shared" si="9"/>
        <v>1751181.5676991045</v>
      </c>
      <c r="BA47" s="99">
        <f t="shared" si="9"/>
        <v>14177276.127651103</v>
      </c>
      <c r="BB47" s="99">
        <f t="shared" si="9"/>
        <v>4448573.1240934357</v>
      </c>
      <c r="BC47" s="99">
        <f t="shared" si="9"/>
        <v>13692361.643378139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10">C29</f>
        <v>2635028694.9166665</v>
      </c>
      <c r="D48" s="61">
        <f t="shared" si="10"/>
        <v>31037716</v>
      </c>
      <c r="E48" s="61">
        <f t="shared" si="10"/>
        <v>62463486</v>
      </c>
      <c r="F48" s="61">
        <f t="shared" si="10"/>
        <v>55242729.666666664</v>
      </c>
      <c r="G48" s="61">
        <f t="shared" si="10"/>
        <v>65084118</v>
      </c>
      <c r="H48" s="61">
        <f t="shared" si="10"/>
        <v>67958967</v>
      </c>
      <c r="I48" s="61">
        <f t="shared" si="10"/>
        <v>46584907.183333337</v>
      </c>
      <c r="J48" s="61">
        <f t="shared" si="10"/>
        <v>47624110.399999999</v>
      </c>
      <c r="K48" s="61">
        <f t="shared" si="10"/>
        <v>30568267</v>
      </c>
      <c r="L48" s="61">
        <f t="shared" si="10"/>
        <v>88560160.666666672</v>
      </c>
      <c r="M48" s="61">
        <f t="shared" si="10"/>
        <v>78313524.666666657</v>
      </c>
      <c r="N48" s="61">
        <f t="shared" si="10"/>
        <v>56981773</v>
      </c>
      <c r="O48" s="61">
        <f t="shared" si="10"/>
        <v>66237941</v>
      </c>
      <c r="P48" s="61">
        <f t="shared" si="10"/>
        <v>77914620</v>
      </c>
      <c r="Q48" s="61">
        <f t="shared" si="10"/>
        <v>37796660</v>
      </c>
      <c r="R48" s="61">
        <f t="shared" si="10"/>
        <v>52933548</v>
      </c>
      <c r="S48" s="61">
        <f t="shared" si="10"/>
        <v>32969897</v>
      </c>
      <c r="T48" s="61">
        <f t="shared" si="10"/>
        <v>14985010</v>
      </c>
      <c r="U48" s="61">
        <f t="shared" si="10"/>
        <v>74489792</v>
      </c>
      <c r="V48" s="61">
        <f t="shared" si="10"/>
        <v>39232814.333333328</v>
      </c>
      <c r="W48" s="61">
        <f t="shared" si="10"/>
        <v>46826526.666666664</v>
      </c>
      <c r="X48" s="61">
        <f t="shared" si="10"/>
        <v>30529747.666666668</v>
      </c>
      <c r="Y48" s="61">
        <f t="shared" si="10"/>
        <v>21290120</v>
      </c>
      <c r="Z48" s="61">
        <f t="shared" si="10"/>
        <v>58145039</v>
      </c>
      <c r="AA48" s="61">
        <f t="shared" si="10"/>
        <v>52656429.333333336</v>
      </c>
      <c r="AB48" s="61">
        <f t="shared" si="10"/>
        <v>15326040</v>
      </c>
      <c r="AC48" s="61">
        <f t="shared" si="10"/>
        <v>36680540</v>
      </c>
      <c r="AD48" s="61">
        <f t="shared" si="10"/>
        <v>47039484.399999999</v>
      </c>
      <c r="AE48" s="61">
        <f t="shared" si="10"/>
        <v>16602989.6</v>
      </c>
      <c r="AF48" s="61">
        <f t="shared" si="10"/>
        <v>45914558</v>
      </c>
      <c r="AG48" s="61">
        <f t="shared" si="10"/>
        <v>36523156.666666672</v>
      </c>
      <c r="AH48" s="61">
        <f t="shared" si="10"/>
        <v>47355046</v>
      </c>
      <c r="AI48" s="61">
        <f t="shared" si="10"/>
        <v>15049207</v>
      </c>
      <c r="AJ48" s="61">
        <f t="shared" si="10"/>
        <v>81955317</v>
      </c>
      <c r="AK48" s="61">
        <f t="shared" si="10"/>
        <v>44061640</v>
      </c>
      <c r="AL48" s="61">
        <f t="shared" si="10"/>
        <v>43054661</v>
      </c>
      <c r="AM48" s="61">
        <f t="shared" si="10"/>
        <v>62888300</v>
      </c>
      <c r="AN48" s="61">
        <f t="shared" si="10"/>
        <v>30083820</v>
      </c>
      <c r="AO48" s="61">
        <f t="shared" si="10"/>
        <v>14092921.666666666</v>
      </c>
      <c r="AP48" s="61">
        <f t="shared" si="10"/>
        <v>43662170</v>
      </c>
      <c r="AQ48" s="61">
        <f t="shared" si="10"/>
        <v>101222048</v>
      </c>
      <c r="AR48" s="61">
        <f t="shared" si="10"/>
        <v>33614708</v>
      </c>
      <c r="AS48" s="61">
        <f t="shared" si="10"/>
        <v>67871665</v>
      </c>
      <c r="AT48" s="61">
        <f t="shared" si="10"/>
        <v>131601264</v>
      </c>
      <c r="AU48" s="61">
        <f t="shared" si="10"/>
        <v>31642147.666666668</v>
      </c>
      <c r="AV48" s="61">
        <f t="shared" si="10"/>
        <v>34736026.333333336</v>
      </c>
      <c r="AW48" s="61">
        <f t="shared" si="10"/>
        <v>27724897</v>
      </c>
      <c r="AX48" s="61">
        <f t="shared" si="10"/>
        <v>85220624</v>
      </c>
      <c r="AY48" s="61">
        <f t="shared" si="10"/>
        <v>68404719</v>
      </c>
      <c r="AZ48" s="61">
        <f t="shared" si="10"/>
        <v>42876053</v>
      </c>
      <c r="BA48" s="61">
        <f t="shared" si="10"/>
        <v>22730356</v>
      </c>
      <c r="BB48" s="61">
        <f t="shared" si="10"/>
        <v>50477908</v>
      </c>
      <c r="BC48" s="61">
        <f t="shared" si="10"/>
        <v>120188523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1">C47/C4</f>
        <v>0.10766975389841772</v>
      </c>
      <c r="D49" s="101">
        <f t="shared" si="11"/>
        <v>0.14356833968240154</v>
      </c>
      <c r="E49" s="101">
        <f t="shared" si="11"/>
        <v>1.9934601895808556E-2</v>
      </c>
      <c r="F49" s="101">
        <f t="shared" si="11"/>
        <v>-8.4167815578832933E-2</v>
      </c>
      <c r="G49" s="101">
        <f t="shared" si="11"/>
        <v>9.7424517855962026E-2</v>
      </c>
      <c r="H49" s="101">
        <f t="shared" si="11"/>
        <v>-7.9066387144380759E-2</v>
      </c>
      <c r="I49" s="101">
        <f t="shared" si="11"/>
        <v>0.15797143273405401</v>
      </c>
      <c r="J49" s="101">
        <f t="shared" si="11"/>
        <v>0.13142211839385215</v>
      </c>
      <c r="K49" s="101">
        <f t="shared" si="11"/>
        <v>6.63496816047809E-2</v>
      </c>
      <c r="L49" s="101">
        <f t="shared" si="11"/>
        <v>0.16999791161381855</v>
      </c>
      <c r="M49" s="101">
        <f t="shared" si="11"/>
        <v>0.18055200773115693</v>
      </c>
      <c r="N49" s="101">
        <f t="shared" si="11"/>
        <v>-0.17890685348186325</v>
      </c>
      <c r="O49" s="101">
        <f t="shared" si="11"/>
        <v>-0.1351592754474131</v>
      </c>
      <c r="P49" s="101">
        <f t="shared" si="11"/>
        <v>-7.4434295362294872E-2</v>
      </c>
      <c r="Q49" s="101">
        <f t="shared" si="11"/>
        <v>0.21932430495501498</v>
      </c>
      <c r="R49" s="101">
        <f t="shared" si="11"/>
        <v>0.16096148273929844</v>
      </c>
      <c r="S49" s="101">
        <f t="shared" si="11"/>
        <v>0.25696452974614259</v>
      </c>
      <c r="T49" s="101">
        <f t="shared" si="11"/>
        <v>0.30258623816037561</v>
      </c>
      <c r="U49" s="101">
        <f t="shared" si="11"/>
        <v>0.12772699673677387</v>
      </c>
      <c r="V49" s="101">
        <f t="shared" si="11"/>
        <v>0.23590502774037866</v>
      </c>
      <c r="W49" s="101">
        <f t="shared" si="11"/>
        <v>0.16045361904724018</v>
      </c>
      <c r="X49" s="101">
        <f t="shared" si="11"/>
        <v>0.20033048667607153</v>
      </c>
      <c r="Y49" s="101">
        <f t="shared" si="11"/>
        <v>0.24686148622143872</v>
      </c>
      <c r="Z49" s="101">
        <f t="shared" si="11"/>
        <v>6.7432794815530384E-2</v>
      </c>
      <c r="AA49" s="101">
        <f t="shared" si="11"/>
        <v>0.18679261560120985</v>
      </c>
      <c r="AB49" s="101">
        <f t="shared" si="11"/>
        <v>0.23618733461349242</v>
      </c>
      <c r="AC49" s="101">
        <f t="shared" si="11"/>
        <v>9.8156919435597581E-2</v>
      </c>
      <c r="AD49" s="101">
        <f t="shared" si="11"/>
        <v>-5.4524713116609433E-2</v>
      </c>
      <c r="AE49" s="101">
        <f t="shared" si="11"/>
        <v>0.13110008683043586</v>
      </c>
      <c r="AF49" s="101">
        <f t="shared" si="11"/>
        <v>0.16580048855936574</v>
      </c>
      <c r="AG49" s="101">
        <f t="shared" si="11"/>
        <v>0.12716449455063061</v>
      </c>
      <c r="AH49" s="101">
        <f t="shared" si="11"/>
        <v>0.20690133651640227</v>
      </c>
      <c r="AI49" s="101">
        <f t="shared" si="11"/>
        <v>0.22515379332562277</v>
      </c>
      <c r="AJ49" s="101">
        <f t="shared" si="11"/>
        <v>7.9520427876138278E-2</v>
      </c>
      <c r="AK49" s="101">
        <f t="shared" si="11"/>
        <v>0.13159511196248788</v>
      </c>
      <c r="AL49" s="101">
        <f t="shared" si="11"/>
        <v>0.12265794798523329</v>
      </c>
      <c r="AM49" s="101">
        <f t="shared" si="11"/>
        <v>0.1078820500486172</v>
      </c>
      <c r="AN49" s="101">
        <f t="shared" si="11"/>
        <v>-6.9595264045439573E-2</v>
      </c>
      <c r="AO49" s="101">
        <f t="shared" si="11"/>
        <v>0.36088419345271988</v>
      </c>
      <c r="AP49" s="101">
        <f t="shared" si="11"/>
        <v>0.11861644830082653</v>
      </c>
      <c r="AQ49" s="101">
        <f t="shared" si="11"/>
        <v>1.3297619130162142E-2</v>
      </c>
      <c r="AR49" s="101">
        <f t="shared" si="11"/>
        <v>0.1628795653242418</v>
      </c>
      <c r="AS49" s="101">
        <f t="shared" si="11"/>
        <v>0.13058653116147673</v>
      </c>
      <c r="AT49" s="101">
        <f t="shared" si="11"/>
        <v>0.15732565815351607</v>
      </c>
      <c r="AU49" s="101">
        <f t="shared" si="11"/>
        <v>0.11481115476131389</v>
      </c>
      <c r="AV49" s="101">
        <f t="shared" si="11"/>
        <v>6.4555639650717284E-2</v>
      </c>
      <c r="AW49" s="101">
        <f t="shared" si="11"/>
        <v>0.19225733586093419</v>
      </c>
      <c r="AX49" s="101">
        <f t="shared" si="11"/>
        <v>-1.4963202816068432E-2</v>
      </c>
      <c r="AY49" s="101">
        <f t="shared" si="11"/>
        <v>0.18280352319131035</v>
      </c>
      <c r="AZ49" s="101">
        <f t="shared" si="11"/>
        <v>3.6511397791176972E-2</v>
      </c>
      <c r="BA49" s="101">
        <f t="shared" si="11"/>
        <v>0.34687437768741308</v>
      </c>
      <c r="BB49" s="101">
        <f t="shared" si="11"/>
        <v>7.6281304641678996E-2</v>
      </c>
      <c r="BC49" s="101">
        <f t="shared" si="11"/>
        <v>9.2135366394971219E-2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2">C46/C4</f>
        <v>0.20368620535333054</v>
      </c>
      <c r="D50" s="101">
        <f t="shared" si="12"/>
        <v>0.21256048305256747</v>
      </c>
      <c r="E50" s="101">
        <f t="shared" si="12"/>
        <v>0.14960129063878452</v>
      </c>
      <c r="F50" s="101">
        <f t="shared" si="12"/>
        <v>-5.7664797485100713E-3</v>
      </c>
      <c r="G50" s="101">
        <f t="shared" si="12"/>
        <v>0.24347183540625364</v>
      </c>
      <c r="H50" s="101">
        <f t="shared" si="12"/>
        <v>1.1160739749148794E-2</v>
      </c>
      <c r="I50" s="101">
        <f t="shared" si="12"/>
        <v>0.25397304491491035</v>
      </c>
      <c r="J50" s="101">
        <f t="shared" si="12"/>
        <v>0.2113254881179101</v>
      </c>
      <c r="K50" s="101">
        <f t="shared" si="12"/>
        <v>0.15824681261186838</v>
      </c>
      <c r="L50" s="101">
        <f t="shared" si="12"/>
        <v>0.22831459309992269</v>
      </c>
      <c r="M50" s="101">
        <f t="shared" si="12"/>
        <v>0.26458578194304899</v>
      </c>
      <c r="N50" s="101">
        <f t="shared" si="12"/>
        <v>-6.173787554687675E-2</v>
      </c>
      <c r="O50" s="101">
        <f t="shared" si="12"/>
        <v>1.4066936576217198E-2</v>
      </c>
      <c r="P50" s="101">
        <f t="shared" si="12"/>
        <v>6.2263864818024262E-2</v>
      </c>
      <c r="Q50" s="101">
        <f t="shared" si="12"/>
        <v>0.2854398336326685</v>
      </c>
      <c r="R50" s="101">
        <f t="shared" si="12"/>
        <v>0.23876052692130695</v>
      </c>
      <c r="S50" s="101">
        <f t="shared" si="12"/>
        <v>0.3193381848961559</v>
      </c>
      <c r="T50" s="101">
        <f t="shared" si="12"/>
        <v>0.47038205980066444</v>
      </c>
      <c r="U50" s="101">
        <f t="shared" si="12"/>
        <v>0.2507564675115671</v>
      </c>
      <c r="V50" s="101">
        <f t="shared" si="12"/>
        <v>0.33698115131338063</v>
      </c>
      <c r="W50" s="101">
        <f t="shared" si="12"/>
        <v>0.26803816133637626</v>
      </c>
      <c r="X50" s="101">
        <f t="shared" si="12"/>
        <v>0.30389557967379571</v>
      </c>
      <c r="Y50" s="101">
        <f t="shared" si="12"/>
        <v>0.38289507246376814</v>
      </c>
      <c r="Z50" s="101">
        <f t="shared" si="12"/>
        <v>0.16326033961721112</v>
      </c>
      <c r="AA50" s="101">
        <f t="shared" si="12"/>
        <v>0.26123198084441696</v>
      </c>
      <c r="AB50" s="101">
        <f t="shared" si="12"/>
        <v>0.38888950915108256</v>
      </c>
      <c r="AC50" s="101">
        <f t="shared" si="12"/>
        <v>0.18809743572717111</v>
      </c>
      <c r="AD50" s="101">
        <f t="shared" si="12"/>
        <v>9.9205584067407149E-2</v>
      </c>
      <c r="AE50" s="101">
        <f t="shared" si="12"/>
        <v>0.23587124447717234</v>
      </c>
      <c r="AF50" s="101">
        <f t="shared" si="12"/>
        <v>0.23083462324521728</v>
      </c>
      <c r="AG50" s="101">
        <f t="shared" si="12"/>
        <v>0.24685205042548208</v>
      </c>
      <c r="AH50" s="101">
        <f t="shared" si="12"/>
        <v>0.30330514484118226</v>
      </c>
      <c r="AI50" s="101">
        <f t="shared" si="12"/>
        <v>0.35375996040422492</v>
      </c>
      <c r="AJ50" s="101">
        <f t="shared" si="12"/>
        <v>0.14336749188629844</v>
      </c>
      <c r="AK50" s="101">
        <f t="shared" si="12"/>
        <v>0.28594237189252258</v>
      </c>
      <c r="AL50" s="101">
        <f t="shared" si="12"/>
        <v>0.21280833363805901</v>
      </c>
      <c r="AM50" s="101">
        <f t="shared" si="12"/>
        <v>0.21990299692368762</v>
      </c>
      <c r="AN50" s="101">
        <f t="shared" si="12"/>
        <v>3.7009603072983357E-2</v>
      </c>
      <c r="AO50" s="101">
        <f t="shared" si="12"/>
        <v>0.45786029364621406</v>
      </c>
      <c r="AP50" s="101">
        <f t="shared" si="12"/>
        <v>0.20924786293827877</v>
      </c>
      <c r="AQ50" s="101">
        <f t="shared" si="12"/>
        <v>0.1211571110426172</v>
      </c>
      <c r="AR50" s="101">
        <f t="shared" si="12"/>
        <v>0.23962386898298951</v>
      </c>
      <c r="AS50" s="101">
        <f t="shared" si="12"/>
        <v>0.21479366713713877</v>
      </c>
      <c r="AT50" s="101">
        <f t="shared" si="12"/>
        <v>0.20822771056067288</v>
      </c>
      <c r="AU50" s="101">
        <f t="shared" si="12"/>
        <v>0.21737904907950167</v>
      </c>
      <c r="AV50" s="101">
        <f t="shared" si="12"/>
        <v>0.15999975011526935</v>
      </c>
      <c r="AW50" s="101">
        <f t="shared" si="12"/>
        <v>0.28830226409282267</v>
      </c>
      <c r="AX50" s="101">
        <f t="shared" si="12"/>
        <v>9.1967949537569788E-2</v>
      </c>
      <c r="AY50" s="101">
        <f t="shared" si="12"/>
        <v>0.2409259288028763</v>
      </c>
      <c r="AZ50" s="101">
        <f t="shared" si="12"/>
        <v>0.10605236163177142</v>
      </c>
      <c r="BA50" s="101">
        <f t="shared" si="12"/>
        <v>0.44385804289052272</v>
      </c>
      <c r="BB50" s="101">
        <f t="shared" si="12"/>
        <v>0.13443691484618814</v>
      </c>
      <c r="BC50" s="101">
        <f t="shared" si="12"/>
        <v>0.19125612575162915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0.13521020811424173</v>
      </c>
      <c r="D51" s="101">
        <f t="shared" ref="D51:BC51" si="13">D47/D48</f>
        <v>0.18232300588488981</v>
      </c>
      <c r="E51" s="101">
        <f t="shared" si="13"/>
        <v>2.3441477128748948E-2</v>
      </c>
      <c r="F51" s="101">
        <f t="shared" si="13"/>
        <v>-8.3685246300790342E-2</v>
      </c>
      <c r="G51" s="101">
        <f t="shared" si="13"/>
        <v>0.12877844132647559</v>
      </c>
      <c r="H51" s="101">
        <f t="shared" si="13"/>
        <v>-7.9958786349485153E-2</v>
      </c>
      <c r="I51" s="101">
        <f t="shared" si="13"/>
        <v>0.21175030159069286</v>
      </c>
      <c r="J51" s="101">
        <f t="shared" si="13"/>
        <v>0.16663670045609422</v>
      </c>
      <c r="K51" s="101">
        <f t="shared" si="13"/>
        <v>7.8823202096396844E-2</v>
      </c>
      <c r="L51" s="101">
        <f t="shared" si="13"/>
        <v>0.2202943195423559</v>
      </c>
      <c r="M51" s="101">
        <f>M47/M48</f>
        <v>0.24551062965330761</v>
      </c>
      <c r="N51" s="101">
        <f t="shared" si="13"/>
        <v>-0.1685037876130325</v>
      </c>
      <c r="O51" s="101">
        <f t="shared" si="13"/>
        <v>-0.1370876791351886</v>
      </c>
      <c r="P51" s="101">
        <f t="shared" si="13"/>
        <v>-7.9376588540922832E-2</v>
      </c>
      <c r="Q51" s="101">
        <f t="shared" si="13"/>
        <v>0.30693609198790361</v>
      </c>
      <c r="R51" s="101">
        <f t="shared" si="13"/>
        <v>0.2114465794690327</v>
      </c>
      <c r="S51" s="101">
        <f t="shared" si="13"/>
        <v>0.37752158861289903</v>
      </c>
      <c r="T51" s="101">
        <f t="shared" si="13"/>
        <v>0.57132928323102006</v>
      </c>
      <c r="U51" s="101">
        <f t="shared" si="13"/>
        <v>0.17047460698467329</v>
      </c>
      <c r="V51" s="101">
        <f t="shared" si="13"/>
        <v>0.3558044061759108</v>
      </c>
      <c r="W51" s="101">
        <f t="shared" si="13"/>
        <v>0.21921036121252946</v>
      </c>
      <c r="X51" s="101">
        <f t="shared" si="13"/>
        <v>0.28778798241533055</v>
      </c>
      <c r="Y51" s="101">
        <f t="shared" si="13"/>
        <v>0.40003162380670643</v>
      </c>
      <c r="Z51" s="101">
        <f t="shared" si="13"/>
        <v>8.0589934968161359E-2</v>
      </c>
      <c r="AA51" s="101">
        <f t="shared" si="13"/>
        <v>0.25284339705813891</v>
      </c>
      <c r="AB51" s="101">
        <f t="shared" si="13"/>
        <v>0.38648875800740284</v>
      </c>
      <c r="AC51" s="101">
        <f t="shared" si="13"/>
        <v>0.12089741276222064</v>
      </c>
      <c r="AD51" s="101">
        <f t="shared" si="13"/>
        <v>-6.0529586054504987E-2</v>
      </c>
      <c r="AE51" s="101">
        <f t="shared" si="13"/>
        <v>0.17156805824004795</v>
      </c>
      <c r="AF51" s="101">
        <f t="shared" si="13"/>
        <v>0.2155589598415121</v>
      </c>
      <c r="AG51" s="101">
        <f t="shared" si="13"/>
        <v>0.16884397630302347</v>
      </c>
      <c r="AH51" s="101">
        <f t="shared" si="13"/>
        <v>0.29697554816769428</v>
      </c>
      <c r="AI51" s="101">
        <f t="shared" si="13"/>
        <v>0.34840582373456319</v>
      </c>
      <c r="AJ51" s="101">
        <f t="shared" si="13"/>
        <v>9.2829103638900734E-2</v>
      </c>
      <c r="AK51" s="101">
        <f t="shared" si="13"/>
        <v>0.18429200499022</v>
      </c>
      <c r="AL51" s="101">
        <f t="shared" si="13"/>
        <v>0.15581713225205396</v>
      </c>
      <c r="AM51" s="101">
        <f t="shared" si="13"/>
        <v>0.13829312203890587</v>
      </c>
      <c r="AN51" s="101">
        <f t="shared" si="13"/>
        <v>-7.2269946063350077E-2</v>
      </c>
      <c r="AO51" s="101">
        <f t="shared" si="13"/>
        <v>0.66566641259294967</v>
      </c>
      <c r="AP51" s="101">
        <f t="shared" si="13"/>
        <v>0.15000458771010322</v>
      </c>
      <c r="AQ51" s="101">
        <f t="shared" si="13"/>
        <v>1.5130826336818632E-2</v>
      </c>
      <c r="AR51" s="101">
        <f t="shared" si="13"/>
        <v>0.21420920341935087</v>
      </c>
      <c r="AS51" s="101">
        <f t="shared" si="13"/>
        <v>0.16630855572109104</v>
      </c>
      <c r="AT51" s="101">
        <f t="shared" si="13"/>
        <v>0.19870063685219663</v>
      </c>
      <c r="AU51" s="101">
        <f t="shared" si="13"/>
        <v>0.14670084493173358</v>
      </c>
      <c r="AV51" s="101">
        <f t="shared" si="13"/>
        <v>7.6851929103087718E-2</v>
      </c>
      <c r="AW51" s="101">
        <f t="shared" si="13"/>
        <v>0.27013902976081577</v>
      </c>
      <c r="AX51" s="101">
        <f t="shared" si="13"/>
        <v>-1.647871659205E-2</v>
      </c>
      <c r="AY51" s="101">
        <f t="shared" si="13"/>
        <v>0.24082435447045872</v>
      </c>
      <c r="AZ51" s="101">
        <f t="shared" si="13"/>
        <v>4.0842881869259384E-2</v>
      </c>
      <c r="BA51" s="101">
        <f t="shared" si="13"/>
        <v>0.62371553387246126</v>
      </c>
      <c r="BB51" s="101">
        <f t="shared" si="13"/>
        <v>8.8129110344537964E-2</v>
      </c>
      <c r="BC51" s="101">
        <f t="shared" si="13"/>
        <v>0.11392403618586891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4">C47/C46</f>
        <v>0.52860601782847827</v>
      </c>
      <c r="D52" s="101">
        <f t="shared" si="14"/>
        <v>0.67542347298343419</v>
      </c>
      <c r="E52" s="101">
        <f t="shared" si="14"/>
        <v>0.13325153687304125</v>
      </c>
      <c r="F52" s="101">
        <f t="shared" si="14"/>
        <v>14.596048065646983</v>
      </c>
      <c r="G52" s="101">
        <f t="shared" si="14"/>
        <v>0.40014697261964971</v>
      </c>
      <c r="H52" s="101">
        <f t="shared" si="14"/>
        <v>-7.0843321250646474</v>
      </c>
      <c r="I52" s="101">
        <f t="shared" si="14"/>
        <v>0.62200078274834181</v>
      </c>
      <c r="J52" s="101">
        <f t="shared" si="14"/>
        <v>0.62189430893695374</v>
      </c>
      <c r="K52" s="101">
        <f t="shared" si="14"/>
        <v>0.41927973467318186</v>
      </c>
      <c r="L52" s="101">
        <f t="shared" si="14"/>
        <v>0.74457751169421915</v>
      </c>
      <c r="M52" s="101">
        <f>M47/M46</f>
        <v>0.68239497377837177</v>
      </c>
      <c r="N52" s="101">
        <f t="shared" si="14"/>
        <v>2.8978459640390715</v>
      </c>
      <c r="O52" s="101">
        <f t="shared" si="14"/>
        <v>-9.6082949343729371</v>
      </c>
      <c r="P52" s="101">
        <f t="shared" si="14"/>
        <v>-1.1954653887907629</v>
      </c>
      <c r="Q52" s="101">
        <f t="shared" si="14"/>
        <v>0.76837315298208386</v>
      </c>
      <c r="R52" s="101">
        <f t="shared" si="14"/>
        <v>0.67415449620091406</v>
      </c>
      <c r="S52" s="101">
        <f t="shared" si="14"/>
        <v>0.80467836888878064</v>
      </c>
      <c r="T52" s="101">
        <f t="shared" si="14"/>
        <v>0.64327759074953605</v>
      </c>
      <c r="U52" s="101">
        <f t="shared" si="14"/>
        <v>0.50936670947831886</v>
      </c>
      <c r="V52" s="101">
        <f t="shared" si="14"/>
        <v>0.70005407370988326</v>
      </c>
      <c r="W52" s="101">
        <f t="shared" si="14"/>
        <v>0.59862229410638967</v>
      </c>
      <c r="X52" s="101">
        <f t="shared" si="14"/>
        <v>0.65920829414862869</v>
      </c>
      <c r="Y52" s="101">
        <f t="shared" si="14"/>
        <v>0.64472359133009804</v>
      </c>
      <c r="Z52" s="101">
        <f t="shared" si="14"/>
        <v>0.41303843281005603</v>
      </c>
      <c r="AA52" s="101">
        <f t="shared" si="14"/>
        <v>0.71504497648953147</v>
      </c>
      <c r="AB52" s="101">
        <f t="shared" si="14"/>
        <v>0.60733789175509556</v>
      </c>
      <c r="AC52" s="101">
        <f t="shared" si="14"/>
        <v>0.52184081646902847</v>
      </c>
      <c r="AD52" s="101">
        <f t="shared" si="14"/>
        <v>-0.54961334716361898</v>
      </c>
      <c r="AE52" s="101">
        <f t="shared" si="14"/>
        <v>0.55581207925972409</v>
      </c>
      <c r="AF52" s="101">
        <f t="shared" si="14"/>
        <v>0.71826525080353609</v>
      </c>
      <c r="AG52" s="101">
        <f t="shared" si="14"/>
        <v>0.51514457478252995</v>
      </c>
      <c r="AH52" s="101">
        <f t="shared" si="14"/>
        <v>0.68215571029875111</v>
      </c>
      <c r="AI52" s="101">
        <f t="shared" si="14"/>
        <v>0.63645923373676916</v>
      </c>
      <c r="AJ52" s="101">
        <f t="shared" si="14"/>
        <v>0.5546614984323236</v>
      </c>
      <c r="AK52" s="101">
        <f t="shared" si="14"/>
        <v>0.46021550108687859</v>
      </c>
      <c r="AL52" s="101">
        <f t="shared" si="14"/>
        <v>0.57637755950783365</v>
      </c>
      <c r="AM52" s="101">
        <f t="shared" si="14"/>
        <v>0.49058926689414445</v>
      </c>
      <c r="AN52" s="101">
        <f t="shared" si="14"/>
        <v>-1.8804650216917196</v>
      </c>
      <c r="AO52" s="101">
        <f t="shared" si="14"/>
        <v>0.78819718254838012</v>
      </c>
      <c r="AP52" s="101">
        <f t="shared" si="14"/>
        <v>0.56687053638303819</v>
      </c>
      <c r="AQ52" s="101">
        <f t="shared" si="14"/>
        <v>0.10975516843980114</v>
      </c>
      <c r="AR52" s="101">
        <f t="shared" si="14"/>
        <v>0.67973013713339359</v>
      </c>
      <c r="AS52" s="101">
        <f t="shared" si="14"/>
        <v>0.60796266902087703</v>
      </c>
      <c r="AT52" s="101">
        <f t="shared" si="14"/>
        <v>0.75554621298914437</v>
      </c>
      <c r="AU52" s="101">
        <f t="shared" si="14"/>
        <v>0.52816108657888272</v>
      </c>
      <c r="AV52" s="101">
        <f t="shared" si="14"/>
        <v>0.40347337795346039</v>
      </c>
      <c r="AW52" s="101">
        <f t="shared" si="14"/>
        <v>0.66686030533230367</v>
      </c>
      <c r="AX52" s="101">
        <f t="shared" si="14"/>
        <v>-0.16270018948237852</v>
      </c>
      <c r="AY52" s="101">
        <f t="shared" si="14"/>
        <v>0.75875404569210458</v>
      </c>
      <c r="AZ52" s="101">
        <f t="shared" si="14"/>
        <v>0.34427708378574001</v>
      </c>
      <c r="BA52" s="101">
        <f t="shared" si="14"/>
        <v>0.78149846159928515</v>
      </c>
      <c r="BB52" s="101">
        <f t="shared" si="14"/>
        <v>0.56741338291609789</v>
      </c>
      <c r="BC52" s="101">
        <f t="shared" si="14"/>
        <v>0.48173811967006447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4.3809066232721756</v>
      </c>
      <c r="D53" s="106">
        <f t="shared" ref="D53:BC53" si="15">D45/D46</f>
        <v>4.0291198440012845</v>
      </c>
      <c r="E53" s="106">
        <f t="shared" si="15"/>
        <v>6.551182773353073</v>
      </c>
      <c r="F53" s="106">
        <f t="shared" si="15"/>
        <v>-188.01207371949195</v>
      </c>
      <c r="G53" s="106">
        <f t="shared" si="15"/>
        <v>3.7071042760983559</v>
      </c>
      <c r="H53" s="106">
        <f t="shared" si="15"/>
        <v>96.68412770100467</v>
      </c>
      <c r="I53" s="106">
        <f t="shared" si="15"/>
        <v>3.3154249402650362</v>
      </c>
      <c r="J53" s="106">
        <f t="shared" si="15"/>
        <v>4.1101425546998884</v>
      </c>
      <c r="K53" s="106">
        <f t="shared" si="15"/>
        <v>5.8999628680369147</v>
      </c>
      <c r="L53" s="106">
        <f t="shared" si="15"/>
        <v>3.6353440098457837</v>
      </c>
      <c r="M53" s="106">
        <f>M45/M46</f>
        <v>3.097097607630428</v>
      </c>
      <c r="N53" s="106">
        <f t="shared" si="15"/>
        <v>-19.095358287583689</v>
      </c>
      <c r="O53" s="106">
        <f t="shared" si="15"/>
        <v>80.696978286417618</v>
      </c>
      <c r="P53" s="106">
        <f t="shared" si="15"/>
        <v>17.256145253791981</v>
      </c>
      <c r="Q53" s="106">
        <f t="shared" si="15"/>
        <v>2.7349921176370704</v>
      </c>
      <c r="R53" s="106">
        <f t="shared" si="15"/>
        <v>3.5141425095666676</v>
      </c>
      <c r="S53" s="106">
        <f t="shared" si="15"/>
        <v>2.3267980636123475</v>
      </c>
      <c r="T53" s="106">
        <f t="shared" si="15"/>
        <v>1.4826538285392303</v>
      </c>
      <c r="U53" s="106">
        <f t="shared" si="15"/>
        <v>3.4785663234109374</v>
      </c>
      <c r="V53" s="106">
        <f t="shared" si="15"/>
        <v>2.2674709528457866</v>
      </c>
      <c r="W53" s="106">
        <f t="shared" si="15"/>
        <v>3.1321897477843295</v>
      </c>
      <c r="X53" s="106">
        <f t="shared" si="15"/>
        <v>2.6313956727580607</v>
      </c>
      <c r="Y53" s="106">
        <f t="shared" si="15"/>
        <v>1.9669579682298677</v>
      </c>
      <c r="Z53" s="106">
        <f t="shared" si="15"/>
        <v>5.7121478944060531</v>
      </c>
      <c r="AA53" s="106">
        <f t="shared" si="15"/>
        <v>3.1129702487809694</v>
      </c>
      <c r="AB53" s="106">
        <f t="shared" si="15"/>
        <v>1.9640865783544916</v>
      </c>
      <c r="AC53" s="106">
        <f t="shared" si="15"/>
        <v>4.7945527650493593</v>
      </c>
      <c r="AD53" s="106">
        <f t="shared" si="15"/>
        <v>10.629691090776626</v>
      </c>
      <c r="AE53" s="106">
        <f t="shared" si="15"/>
        <v>3.6837890735496437</v>
      </c>
      <c r="AF53" s="106">
        <f t="shared" si="15"/>
        <v>3.6138405050028313</v>
      </c>
      <c r="AG53" s="106">
        <f t="shared" si="15"/>
        <v>3.5358649196752556</v>
      </c>
      <c r="AH53" s="106">
        <f t="shared" si="15"/>
        <v>2.6148539745307748</v>
      </c>
      <c r="AI53" s="106">
        <f t="shared" si="15"/>
        <v>2.1903162974944843</v>
      </c>
      <c r="AJ53" s="106">
        <f t="shared" si="15"/>
        <v>6.4204204175788586</v>
      </c>
      <c r="AK53" s="106">
        <f t="shared" si="15"/>
        <v>3.0369926719497178</v>
      </c>
      <c r="AL53" s="106">
        <f t="shared" si="15"/>
        <v>4.1226865368295957</v>
      </c>
      <c r="AM53" s="106">
        <f t="shared" si="15"/>
        <v>4.0568703584379628</v>
      </c>
      <c r="AN53" s="106">
        <f t="shared" si="15"/>
        <v>28.90047920633425</v>
      </c>
      <c r="AO53" s="106">
        <f t="shared" si="15"/>
        <v>1.3958751510370566</v>
      </c>
      <c r="AP53" s="106">
        <f t="shared" si="15"/>
        <v>4.2121507924750112</v>
      </c>
      <c r="AQ53" s="106">
        <f t="shared" si="15"/>
        <v>8.1439906612065371</v>
      </c>
      <c r="AR53" s="106">
        <f t="shared" si="15"/>
        <v>3.493476831956102</v>
      </c>
      <c r="AS53" s="106">
        <f t="shared" si="15"/>
        <v>4.0476680733954371</v>
      </c>
      <c r="AT53" s="106">
        <f t="shared" si="15"/>
        <v>4.0468885701019488</v>
      </c>
      <c r="AU53" s="106">
        <f t="shared" si="15"/>
        <v>4.0720982495187359</v>
      </c>
      <c r="AV53" s="106">
        <f t="shared" si="15"/>
        <v>5.8465363831840751</v>
      </c>
      <c r="AW53" s="106">
        <f t="shared" si="15"/>
        <v>2.801721542772909</v>
      </c>
      <c r="AX53" s="106">
        <f t="shared" si="15"/>
        <v>11.036053406860464</v>
      </c>
      <c r="AY53" s="106">
        <f t="shared" si="15"/>
        <v>3.3918992483258763</v>
      </c>
      <c r="AZ53" s="106">
        <f t="shared" si="15"/>
        <v>9.085027314659806</v>
      </c>
      <c r="BA53" s="106">
        <f t="shared" si="15"/>
        <v>1.4714741182997553</v>
      </c>
      <c r="BB53" s="106">
        <f t="shared" si="15"/>
        <v>6.8710197375115705</v>
      </c>
      <c r="BC53" s="106">
        <f t="shared" si="15"/>
        <v>4.7468525781182489</v>
      </c>
      <c r="BE53" s="123"/>
    </row>
    <row r="54" spans="1:57" s="112" customFormat="1" ht="13" x14ac:dyDescent="0.3">
      <c r="A54" s="112" t="s">
        <v>54</v>
      </c>
      <c r="C54" s="111">
        <f t="shared" ref="C54:BC54" si="16">C48/C4</f>
        <v>0.7963137946466694</v>
      </c>
      <c r="D54" s="112">
        <f t="shared" si="16"/>
        <v>0.78743951694743253</v>
      </c>
      <c r="E54" s="112">
        <f t="shared" si="16"/>
        <v>0.85039870936121553</v>
      </c>
      <c r="F54" s="112">
        <f t="shared" si="16"/>
        <v>1.00576647974851</v>
      </c>
      <c r="G54" s="112">
        <f t="shared" si="16"/>
        <v>0.75652816459374639</v>
      </c>
      <c r="H54" s="112">
        <f t="shared" si="16"/>
        <v>0.98883926025085123</v>
      </c>
      <c r="I54" s="112">
        <f t="shared" si="16"/>
        <v>0.74602695508508965</v>
      </c>
      <c r="J54" s="112">
        <f t="shared" si="16"/>
        <v>0.78867451188208992</v>
      </c>
      <c r="K54" s="112">
        <f t="shared" si="16"/>
        <v>0.84175318738813165</v>
      </c>
      <c r="L54" s="112">
        <f t="shared" si="16"/>
        <v>0.77168540690007725</v>
      </c>
      <c r="M54" s="112">
        <f t="shared" si="16"/>
        <v>0.73541421805695106</v>
      </c>
      <c r="N54" s="112">
        <f t="shared" si="16"/>
        <v>1.0617378755468767</v>
      </c>
      <c r="O54" s="112">
        <f t="shared" si="16"/>
        <v>0.98593306342378284</v>
      </c>
      <c r="P54" s="112">
        <f t="shared" si="16"/>
        <v>0.93773613518197574</v>
      </c>
      <c r="Q54" s="112">
        <f t="shared" si="16"/>
        <v>0.71456016636733155</v>
      </c>
      <c r="R54" s="112">
        <f t="shared" si="16"/>
        <v>0.761239473078693</v>
      </c>
      <c r="S54" s="112">
        <f t="shared" si="16"/>
        <v>0.68066181510384405</v>
      </c>
      <c r="T54" s="112">
        <f t="shared" si="16"/>
        <v>0.5296179401993355</v>
      </c>
      <c r="U54" s="112">
        <f t="shared" si="16"/>
        <v>0.7492435324884329</v>
      </c>
      <c r="V54" s="112">
        <f t="shared" si="16"/>
        <v>0.66301884868661942</v>
      </c>
      <c r="W54" s="112">
        <f t="shared" si="16"/>
        <v>0.73196183866362374</v>
      </c>
      <c r="X54" s="112">
        <f t="shared" si="16"/>
        <v>0.69610442032620434</v>
      </c>
      <c r="Y54" s="112">
        <f t="shared" si="16"/>
        <v>0.61710492753623192</v>
      </c>
      <c r="Z54" s="112">
        <f t="shared" si="16"/>
        <v>0.83673966038278891</v>
      </c>
      <c r="AA54" s="112">
        <f t="shared" si="16"/>
        <v>0.73876801915558299</v>
      </c>
      <c r="AB54" s="112">
        <f t="shared" si="16"/>
        <v>0.61111049084891744</v>
      </c>
      <c r="AC54" s="112">
        <f t="shared" si="16"/>
        <v>0.81190256427282892</v>
      </c>
      <c r="AD54" s="112">
        <f t="shared" si="16"/>
        <v>0.9007944159325928</v>
      </c>
      <c r="AE54" s="112">
        <f t="shared" si="16"/>
        <v>0.76412875552282766</v>
      </c>
      <c r="AF54" s="112">
        <f t="shared" si="16"/>
        <v>0.76916537675478269</v>
      </c>
      <c r="AG54" s="112">
        <f t="shared" si="16"/>
        <v>0.75314794957451792</v>
      </c>
      <c r="AH54" s="112">
        <f t="shared" si="16"/>
        <v>0.69669485515881768</v>
      </c>
      <c r="AI54" s="112">
        <f t="shared" si="16"/>
        <v>0.64624003959577514</v>
      </c>
      <c r="AJ54" s="112">
        <f t="shared" si="16"/>
        <v>0.85663250811370162</v>
      </c>
      <c r="AK54" s="112">
        <f t="shared" si="16"/>
        <v>0.71405762810747742</v>
      </c>
      <c r="AL54" s="112">
        <f t="shared" si="16"/>
        <v>0.78719166636194093</v>
      </c>
      <c r="AM54" s="112">
        <f t="shared" si="16"/>
        <v>0.78009700307631236</v>
      </c>
      <c r="AN54" s="112">
        <f t="shared" si="16"/>
        <v>0.9629903969270166</v>
      </c>
      <c r="AO54" s="112">
        <f t="shared" si="16"/>
        <v>0.54213970635378594</v>
      </c>
      <c r="AP54" s="112">
        <f t="shared" si="16"/>
        <v>0.79075213706172121</v>
      </c>
      <c r="AQ54" s="112">
        <f t="shared" si="16"/>
        <v>0.87884288895738283</v>
      </c>
      <c r="AR54" s="112">
        <f t="shared" si="16"/>
        <v>0.76037613101701051</v>
      </c>
      <c r="AS54" s="112">
        <f t="shared" si="16"/>
        <v>0.78520633286286123</v>
      </c>
      <c r="AT54" s="112">
        <f t="shared" si="16"/>
        <v>0.79177228943932709</v>
      </c>
      <c r="AU54" s="112">
        <f t="shared" si="16"/>
        <v>0.78262095092049833</v>
      </c>
      <c r="AV54" s="112">
        <f t="shared" si="16"/>
        <v>0.84000024988473065</v>
      </c>
      <c r="AW54" s="112">
        <f t="shared" si="16"/>
        <v>0.71169773590717733</v>
      </c>
      <c r="AX54" s="112">
        <f t="shared" si="16"/>
        <v>0.90803205046243018</v>
      </c>
      <c r="AY54" s="112">
        <f t="shared" si="16"/>
        <v>0.75907407119712367</v>
      </c>
      <c r="AZ54" s="112">
        <f t="shared" si="16"/>
        <v>0.89394763836822855</v>
      </c>
      <c r="BA54" s="112">
        <f t="shared" si="16"/>
        <v>0.55614195710947723</v>
      </c>
      <c r="BB54" s="112">
        <f t="shared" si="16"/>
        <v>0.86556308515381186</v>
      </c>
      <c r="BC54" s="112">
        <f t="shared" si="16"/>
        <v>0.80874387424837091</v>
      </c>
      <c r="BE54" s="123"/>
    </row>
    <row r="55" spans="1:57" s="112" customFormat="1" ht="13" x14ac:dyDescent="0.3">
      <c r="A55" s="112" t="s">
        <v>55</v>
      </c>
      <c r="C55" s="111">
        <f t="shared" ref="C55:BC55" si="17">C44/C4</f>
        <v>9.601645145491286E-2</v>
      </c>
      <c r="D55" s="112">
        <f t="shared" si="17"/>
        <v>6.8992143370166001E-2</v>
      </c>
      <c r="E55" s="112">
        <f t="shared" si="17"/>
        <v>0.12966668874297591</v>
      </c>
      <c r="F55" s="112">
        <f t="shared" si="17"/>
        <v>7.8401335830322896E-2</v>
      </c>
      <c r="G55" s="112">
        <f t="shared" si="17"/>
        <v>0.14604731755029157</v>
      </c>
      <c r="H55" s="112">
        <f t="shared" si="17"/>
        <v>9.0227126893529463E-2</v>
      </c>
      <c r="I55" s="112">
        <f t="shared" si="17"/>
        <v>9.6001612180856358E-2</v>
      </c>
      <c r="J55" s="112">
        <f t="shared" si="17"/>
        <v>7.9903369724057899E-2</v>
      </c>
      <c r="K55" s="112">
        <f t="shared" si="17"/>
        <v>9.1897131007087421E-2</v>
      </c>
      <c r="L55" s="112">
        <f t="shared" si="17"/>
        <v>5.831668148610418E-2</v>
      </c>
      <c r="M55" s="112">
        <f t="shared" si="17"/>
        <v>8.4033774211891996E-2</v>
      </c>
      <c r="N55" s="112">
        <f t="shared" si="17"/>
        <v>0.11716897793498655</v>
      </c>
      <c r="O55" s="112">
        <f t="shared" si="17"/>
        <v>0.14922621202363029</v>
      </c>
      <c r="P55" s="112">
        <f t="shared" si="17"/>
        <v>0.13669816018031911</v>
      </c>
      <c r="Q55" s="112">
        <f t="shared" si="17"/>
        <v>6.6115528677653579E-2</v>
      </c>
      <c r="R55" s="112">
        <f t="shared" si="17"/>
        <v>7.7799044182008462E-2</v>
      </c>
      <c r="S55" s="112">
        <f t="shared" si="17"/>
        <v>6.2373655150013314E-2</v>
      </c>
      <c r="T55" s="112">
        <f t="shared" si="17"/>
        <v>0.16779582164028886</v>
      </c>
      <c r="U55" s="112">
        <f t="shared" si="17"/>
        <v>0.12302947077479316</v>
      </c>
      <c r="V55" s="112">
        <f t="shared" si="17"/>
        <v>0.10107612357300202</v>
      </c>
      <c r="W55" s="112">
        <f t="shared" si="17"/>
        <v>0.10758454228913615</v>
      </c>
      <c r="X55" s="112">
        <f t="shared" si="17"/>
        <v>0.10356509299772421</v>
      </c>
      <c r="Y55" s="112">
        <f t="shared" si="17"/>
        <v>0.13603358624232939</v>
      </c>
      <c r="Z55" s="112">
        <f t="shared" si="17"/>
        <v>9.5827544801680736E-2</v>
      </c>
      <c r="AA55" s="112">
        <f t="shared" si="17"/>
        <v>7.4439365243207128E-2</v>
      </c>
      <c r="AB55" s="112">
        <f t="shared" si="17"/>
        <v>0.15270217453759022</v>
      </c>
      <c r="AC55" s="112">
        <f t="shared" si="17"/>
        <v>8.9940516291573458E-2</v>
      </c>
      <c r="AD55" s="112">
        <f t="shared" si="17"/>
        <v>0.15373029718401662</v>
      </c>
      <c r="AE55" s="112">
        <f t="shared" si="17"/>
        <v>0.10477115764673645</v>
      </c>
      <c r="AF55" s="112">
        <f t="shared" si="17"/>
        <v>6.503413468585155E-2</v>
      </c>
      <c r="AG55" s="112">
        <f t="shared" si="17"/>
        <v>0.1196875558748514</v>
      </c>
      <c r="AH55" s="112">
        <f t="shared" si="17"/>
        <v>9.6403808324779947E-2</v>
      </c>
      <c r="AI55" s="112">
        <f t="shared" si="17"/>
        <v>0.12860616707860206</v>
      </c>
      <c r="AJ55" s="112">
        <f t="shared" si="17"/>
        <v>6.3847064010160146E-2</v>
      </c>
      <c r="AK55" s="112">
        <f t="shared" si="17"/>
        <v>0.15434725993003473</v>
      </c>
      <c r="AL55" s="112">
        <f t="shared" si="17"/>
        <v>9.0150385652825765E-2</v>
      </c>
      <c r="AM55" s="112">
        <f t="shared" si="17"/>
        <v>0.1120209468750703</v>
      </c>
      <c r="AN55" s="112">
        <f t="shared" si="17"/>
        <v>0.1066048671184229</v>
      </c>
      <c r="AO55" s="112">
        <f t="shared" si="17"/>
        <v>9.6976100193494189E-2</v>
      </c>
      <c r="AP55" s="112">
        <f t="shared" si="17"/>
        <v>9.0631414637452279E-2</v>
      </c>
      <c r="AQ55" s="112">
        <f t="shared" si="17"/>
        <v>0.10785949191245513</v>
      </c>
      <c r="AR55" s="112">
        <f t="shared" si="17"/>
        <v>7.6744303658747667E-2</v>
      </c>
      <c r="AS55" s="112">
        <f t="shared" si="17"/>
        <v>8.4207135975662109E-2</v>
      </c>
      <c r="AT55" s="112">
        <f t="shared" si="17"/>
        <v>5.0902052407156791E-2</v>
      </c>
      <c r="AU55" s="112">
        <f t="shared" si="17"/>
        <v>0.10256789431818773</v>
      </c>
      <c r="AV55" s="112">
        <f t="shared" si="17"/>
        <v>9.5444110464552104E-2</v>
      </c>
      <c r="AW55" s="112">
        <f t="shared" si="17"/>
        <v>9.6044928231888468E-2</v>
      </c>
      <c r="AX55" s="112">
        <f t="shared" si="17"/>
        <v>0.10693115235363822</v>
      </c>
      <c r="AY55" s="112">
        <f t="shared" si="17"/>
        <v>5.8122405611565862E-2</v>
      </c>
      <c r="AZ55" s="112">
        <f t="shared" si="17"/>
        <v>6.9540963840594397E-2</v>
      </c>
      <c r="BA55" s="112">
        <f t="shared" si="17"/>
        <v>9.6983665203109651E-2</v>
      </c>
      <c r="BB55" s="112">
        <f t="shared" si="17"/>
        <v>5.8155610204509094E-2</v>
      </c>
      <c r="BC55" s="112">
        <f t="shared" si="17"/>
        <v>9.9120759356657984E-2</v>
      </c>
      <c r="BE55" s="123"/>
    </row>
    <row r="56" spans="1:57" s="112" customFormat="1" ht="13" x14ac:dyDescent="0.3">
      <c r="A56" s="112" t="s">
        <v>56</v>
      </c>
      <c r="C56" s="111">
        <f t="shared" ref="C56:BC56" si="18">C45/C4</f>
        <v>0.89233024610158229</v>
      </c>
      <c r="D56" s="112">
        <f t="shared" si="18"/>
        <v>0.85643166031759843</v>
      </c>
      <c r="E56" s="112">
        <f t="shared" si="18"/>
        <v>0.98006539810419147</v>
      </c>
      <c r="F56" s="112">
        <f t="shared" si="18"/>
        <v>1.084167815578833</v>
      </c>
      <c r="G56" s="112">
        <f t="shared" si="18"/>
        <v>0.90257548214403793</v>
      </c>
      <c r="H56" s="112">
        <f t="shared" si="18"/>
        <v>1.0790663871443809</v>
      </c>
      <c r="I56" s="112">
        <f t="shared" si="18"/>
        <v>0.84202856726594599</v>
      </c>
      <c r="J56" s="112">
        <f t="shared" si="18"/>
        <v>0.86857788160614791</v>
      </c>
      <c r="K56" s="112">
        <f t="shared" si="18"/>
        <v>0.93365031839521906</v>
      </c>
      <c r="L56" s="112">
        <f t="shared" si="18"/>
        <v>0.83000208838618139</v>
      </c>
      <c r="M56" s="112">
        <f t="shared" si="18"/>
        <v>0.81944799226884313</v>
      </c>
      <c r="N56" s="112">
        <f t="shared" si="18"/>
        <v>1.1789068534818632</v>
      </c>
      <c r="O56" s="112">
        <f t="shared" si="18"/>
        <v>1.1351592754474131</v>
      </c>
      <c r="P56" s="112">
        <f t="shared" si="18"/>
        <v>1.074434295362295</v>
      </c>
      <c r="Q56" s="112">
        <f t="shared" si="18"/>
        <v>0.78067569504498502</v>
      </c>
      <c r="R56" s="112">
        <f t="shared" si="18"/>
        <v>0.83903851726070156</v>
      </c>
      <c r="S56" s="112">
        <f t="shared" si="18"/>
        <v>0.74303547025385741</v>
      </c>
      <c r="T56" s="112">
        <f t="shared" si="18"/>
        <v>0.69741376183962434</v>
      </c>
      <c r="U56" s="112">
        <f t="shared" si="18"/>
        <v>0.8722730032632261</v>
      </c>
      <c r="V56" s="112">
        <f t="shared" si="18"/>
        <v>0.76409497225962131</v>
      </c>
      <c r="W56" s="112">
        <f t="shared" si="18"/>
        <v>0.8395463809527598</v>
      </c>
      <c r="X56" s="112">
        <f t="shared" si="18"/>
        <v>0.79966951332392844</v>
      </c>
      <c r="Y56" s="112">
        <f t="shared" si="18"/>
        <v>0.75313851377856122</v>
      </c>
      <c r="Z56" s="112">
        <f t="shared" si="18"/>
        <v>0.93256720518446967</v>
      </c>
      <c r="AA56" s="112">
        <f t="shared" si="18"/>
        <v>0.81320738439879015</v>
      </c>
      <c r="AB56" s="112">
        <f t="shared" si="18"/>
        <v>0.76381266538650761</v>
      </c>
      <c r="AC56" s="112">
        <f t="shared" si="18"/>
        <v>0.90184308056440243</v>
      </c>
      <c r="AD56" s="112">
        <f t="shared" si="18"/>
        <v>1.0545247131166093</v>
      </c>
      <c r="AE56" s="112">
        <f t="shared" si="18"/>
        <v>0.86889991316956416</v>
      </c>
      <c r="AF56" s="112">
        <f t="shared" si="18"/>
        <v>0.83419951144063431</v>
      </c>
      <c r="AG56" s="112">
        <f t="shared" si="18"/>
        <v>0.87283550544936939</v>
      </c>
      <c r="AH56" s="112">
        <f t="shared" si="18"/>
        <v>0.7930986634835977</v>
      </c>
      <c r="AI56" s="112">
        <f t="shared" si="18"/>
        <v>0.7748462066743772</v>
      </c>
      <c r="AJ56" s="112">
        <f t="shared" si="18"/>
        <v>0.92047957212386167</v>
      </c>
      <c r="AK56" s="112">
        <f t="shared" si="18"/>
        <v>0.86840488803751215</v>
      </c>
      <c r="AL56" s="112">
        <f t="shared" si="18"/>
        <v>0.87734205201476667</v>
      </c>
      <c r="AM56" s="112">
        <f t="shared" si="18"/>
        <v>0.89211794995138283</v>
      </c>
      <c r="AN56" s="112">
        <f t="shared" si="18"/>
        <v>1.0695952640454396</v>
      </c>
      <c r="AO56" s="112">
        <f t="shared" si="18"/>
        <v>0.63911580654728017</v>
      </c>
      <c r="AP56" s="112">
        <f t="shared" si="18"/>
        <v>0.88138355169917348</v>
      </c>
      <c r="AQ56" s="112">
        <f t="shared" si="18"/>
        <v>0.98670238086983786</v>
      </c>
      <c r="AR56" s="112">
        <f t="shared" si="18"/>
        <v>0.83712043467575825</v>
      </c>
      <c r="AS56" s="112">
        <f t="shared" si="18"/>
        <v>0.86941346883852333</v>
      </c>
      <c r="AT56" s="112">
        <f t="shared" si="18"/>
        <v>0.84267434184648393</v>
      </c>
      <c r="AU56" s="112">
        <f t="shared" si="18"/>
        <v>0.88518884523868613</v>
      </c>
      <c r="AV56" s="112">
        <f t="shared" si="18"/>
        <v>0.93544436034928269</v>
      </c>
      <c r="AW56" s="112">
        <f t="shared" si="18"/>
        <v>0.80774266413906581</v>
      </c>
      <c r="AX56" s="112">
        <f t="shared" si="18"/>
        <v>1.0149632028160684</v>
      </c>
      <c r="AY56" s="112">
        <f t="shared" si="18"/>
        <v>0.81719647680868968</v>
      </c>
      <c r="AZ56" s="112">
        <f t="shared" si="18"/>
        <v>0.96348860220882304</v>
      </c>
      <c r="BA56" s="112">
        <f t="shared" si="18"/>
        <v>0.65312562231258697</v>
      </c>
      <c r="BB56" s="112">
        <f t="shared" si="18"/>
        <v>0.92371869535832096</v>
      </c>
      <c r="BC56" s="112">
        <f t="shared" si="18"/>
        <v>0.90786463360502878</v>
      </c>
      <c r="BE56" s="123"/>
    </row>
    <row r="57" spans="1:57" s="112" customFormat="1" ht="13" x14ac:dyDescent="0.3">
      <c r="A57" s="112" t="s">
        <v>57</v>
      </c>
      <c r="C57" s="111">
        <f t="shared" ref="C57:BC57" si="19">SUM(C30:C39)/C44</f>
        <v>0.50444120731183661</v>
      </c>
      <c r="D57" s="112">
        <f t="shared" si="19"/>
        <v>0.80229430209852592</v>
      </c>
      <c r="E57" s="112">
        <f t="shared" si="19"/>
        <v>0.42687420178931501</v>
      </c>
      <c r="F57" s="112">
        <f t="shared" si="19"/>
        <v>0.64014821892091589</v>
      </c>
      <c r="G57" s="112">
        <f t="shared" si="19"/>
        <v>0.36487977239411074</v>
      </c>
      <c r="H57" s="112">
        <f t="shared" si="19"/>
        <v>0.55265729454407408</v>
      </c>
      <c r="I57" s="112">
        <f t="shared" si="19"/>
        <v>0.52887088310384722</v>
      </c>
      <c r="J57" s="112">
        <f t="shared" si="19"/>
        <v>0.67993765675320417</v>
      </c>
      <c r="K57" s="112">
        <f t="shared" si="19"/>
        <v>0.78026790310486127</v>
      </c>
      <c r="L57" s="112">
        <f t="shared" si="19"/>
        <v>0.70963644559800343</v>
      </c>
      <c r="M57" s="112">
        <f t="shared" si="19"/>
        <v>0.48082356459954217</v>
      </c>
      <c r="N57" s="112">
        <f t="shared" si="19"/>
        <v>0.31555917621381108</v>
      </c>
      <c r="O57" s="112">
        <f t="shared" si="19"/>
        <v>0.37513028446172347</v>
      </c>
      <c r="P57" s="112">
        <f t="shared" si="19"/>
        <v>0.32065894181188065</v>
      </c>
      <c r="Q57" s="112">
        <f t="shared" si="19"/>
        <v>0.75771922658933444</v>
      </c>
      <c r="R57" s="112">
        <f t="shared" si="19"/>
        <v>0.5476830755466443</v>
      </c>
      <c r="S57" s="112">
        <f t="shared" si="19"/>
        <v>0.6537962918940643</v>
      </c>
      <c r="T57" s="112">
        <f t="shared" si="19"/>
        <v>0.46816043880372776</v>
      </c>
      <c r="U57" s="112">
        <f t="shared" si="19"/>
        <v>0.39953872738407081</v>
      </c>
      <c r="V57" s="112">
        <f t="shared" si="19"/>
        <v>0.41317281193486638</v>
      </c>
      <c r="W57" s="112">
        <f t="shared" si="19"/>
        <v>0.4135759768587049</v>
      </c>
      <c r="X57" s="112">
        <f t="shared" si="19"/>
        <v>0.49173062126476563</v>
      </c>
      <c r="Y57" s="112">
        <f t="shared" si="19"/>
        <v>0.40261065234401588</v>
      </c>
      <c r="Z57" s="112">
        <f t="shared" si="19"/>
        <v>0.45848836644483665</v>
      </c>
      <c r="AA57" s="112">
        <f t="shared" si="19"/>
        <v>0.70862698161979509</v>
      </c>
      <c r="AB57" s="112">
        <f t="shared" si="19"/>
        <v>0.50117476166517438</v>
      </c>
      <c r="AC57" s="112">
        <f t="shared" si="19"/>
        <v>0.54841270112873819</v>
      </c>
      <c r="AD57" s="112">
        <f t="shared" si="19"/>
        <v>0.18986110173201895</v>
      </c>
      <c r="AE57" s="112">
        <f t="shared" si="19"/>
        <v>0.74947600613649124</v>
      </c>
      <c r="AF57" s="112">
        <f t="shared" si="19"/>
        <v>0.66196553719546913</v>
      </c>
      <c r="AG57" s="112">
        <f t="shared" si="19"/>
        <v>0.40565926449896783</v>
      </c>
      <c r="AH57" s="112">
        <f t="shared" si="19"/>
        <v>0.53932936134039289</v>
      </c>
      <c r="AI57" s="112">
        <f t="shared" si="19"/>
        <v>0.66855603542259079</v>
      </c>
      <c r="AJ57" s="112">
        <f t="shared" si="19"/>
        <v>0.62287502648090598</v>
      </c>
      <c r="AK57" s="112">
        <f t="shared" si="19"/>
        <v>0.29834909308244723</v>
      </c>
      <c r="AL57" s="112">
        <f t="shared" si="19"/>
        <v>0.65752841626723146</v>
      </c>
      <c r="AM57" s="112">
        <f t="shared" si="19"/>
        <v>0.48819583925431387</v>
      </c>
      <c r="AN57" s="112">
        <f t="shared" si="19"/>
        <v>0.65439832355671079</v>
      </c>
      <c r="AO57" s="112">
        <f t="shared" si="19"/>
        <v>0.75988286314520215</v>
      </c>
      <c r="AP57" s="112">
        <f t="shared" si="19"/>
        <v>0.49597384795903687</v>
      </c>
      <c r="AQ57" s="112">
        <f t="shared" si="19"/>
        <v>0.4022110378769454</v>
      </c>
      <c r="AR57" s="112">
        <f t="shared" si="19"/>
        <v>0.77973383775488958</v>
      </c>
      <c r="AS57" s="112">
        <f t="shared" si="19"/>
        <v>0.51690807074419409</v>
      </c>
      <c r="AT57" s="112">
        <f t="shared" si="19"/>
        <v>0.73351642927046579</v>
      </c>
      <c r="AU57" s="112">
        <f t="shared" si="19"/>
        <v>0.50662944653506325</v>
      </c>
      <c r="AV57" s="112">
        <f t="shared" si="19"/>
        <v>0.53085548709124863</v>
      </c>
      <c r="AW57" s="112">
        <f t="shared" si="19"/>
        <v>0.70200136127184476</v>
      </c>
      <c r="AX57" s="112">
        <f t="shared" si="19"/>
        <v>0.44448931933024355</v>
      </c>
      <c r="AY57" s="112">
        <f t="shared" si="19"/>
        <v>0.75486661213319672</v>
      </c>
      <c r="AZ57" s="112">
        <f t="shared" si="19"/>
        <v>0.75945673512348721</v>
      </c>
      <c r="BA57" s="112">
        <f t="shared" si="19"/>
        <v>0.6066209137657963</v>
      </c>
      <c r="BB57" s="112">
        <f t="shared" si="19"/>
        <v>0.67498347172038942</v>
      </c>
      <c r="BC57" s="112">
        <f t="shared" si="19"/>
        <v>0.40891843992219434</v>
      </c>
      <c r="BE57" s="123"/>
    </row>
    <row r="58" spans="1:57" s="112" customFormat="1" ht="13" x14ac:dyDescent="0.3">
      <c r="A58" s="112" t="s">
        <v>58</v>
      </c>
      <c r="C58" s="111">
        <f>C41/C44</f>
        <v>0.24226769150957023</v>
      </c>
      <c r="D58" s="112">
        <f t="shared" ref="D58:AM58" si="20">D41/D44</f>
        <v>3.5985220609562815E-2</v>
      </c>
      <c r="E58" s="112">
        <f t="shared" si="20"/>
        <v>0.4061145793617576</v>
      </c>
      <c r="F58" s="112">
        <f t="shared" si="20"/>
        <v>3.9767928545861045E-2</v>
      </c>
      <c r="G58" s="112">
        <f t="shared" si="20"/>
        <v>0.40023930281746917</v>
      </c>
      <c r="H58" s="112">
        <f t="shared" si="20"/>
        <v>2.9589623012338067E-2</v>
      </c>
      <c r="I58" s="112">
        <f>I41/I44</f>
        <v>0.33513115451517456</v>
      </c>
      <c r="J58" s="112">
        <f t="shared" si="20"/>
        <v>3.2957598277668296E-2</v>
      </c>
      <c r="K58" s="112">
        <f t="shared" si="20"/>
        <v>3.6653746128646296E-2</v>
      </c>
      <c r="L58" s="112">
        <f t="shared" si="20"/>
        <v>3.4727143315307518E-2</v>
      </c>
      <c r="M58" s="112">
        <f>M41/M44</f>
        <v>0.28721365950469985</v>
      </c>
      <c r="N58" s="112">
        <f t="shared" si="20"/>
        <v>0.29952332328750986</v>
      </c>
      <c r="O58" s="112">
        <f t="shared" si="20"/>
        <v>0.14392829232641638</v>
      </c>
      <c r="P58" s="112">
        <f t="shared" si="20"/>
        <v>0.35395221301145185</v>
      </c>
      <c r="Q58" s="112">
        <f t="shared" si="20"/>
        <v>3.4977460322703983E-2</v>
      </c>
      <c r="R58" s="112">
        <f t="shared" si="20"/>
        <v>2.7133364505681792E-2</v>
      </c>
      <c r="S58" s="112">
        <f t="shared" si="20"/>
        <v>3.6438583065432635E-2</v>
      </c>
      <c r="T58" s="112">
        <f t="shared" si="20"/>
        <v>0.26541537297662338</v>
      </c>
      <c r="U58" s="112">
        <f t="shared" si="20"/>
        <v>0.50717396576379115</v>
      </c>
      <c r="V58" s="112">
        <f t="shared" si="20"/>
        <v>0.4618514312064374</v>
      </c>
      <c r="W58" s="112">
        <f t="shared" si="20"/>
        <v>0.43654274591051384</v>
      </c>
      <c r="X58" s="112">
        <f t="shared" si="20"/>
        <v>0.40682381844814908</v>
      </c>
      <c r="Y58" s="112">
        <f t="shared" si="20"/>
        <v>0.21711581892465384</v>
      </c>
      <c r="Z58" s="112">
        <f t="shared" si="20"/>
        <v>0.2341201184273716</v>
      </c>
      <c r="AA58" s="112">
        <f t="shared" si="20"/>
        <v>3.4582122736023638E-2</v>
      </c>
      <c r="AB58" s="112">
        <f t="shared" si="20"/>
        <v>0.32264994920214102</v>
      </c>
      <c r="AC58" s="112">
        <f t="shared" si="20"/>
        <v>2.7093286827801415E-2</v>
      </c>
      <c r="AD58" s="112">
        <f t="shared" si="20"/>
        <v>0.49385347376246869</v>
      </c>
      <c r="AE58" s="112">
        <f t="shared" si="20"/>
        <v>3.7613427837456206E-2</v>
      </c>
      <c r="AF58" s="112">
        <f t="shared" si="20"/>
        <v>3.1508978346964159E-2</v>
      </c>
      <c r="AG58" s="112">
        <f t="shared" si="20"/>
        <v>0.40653046658807673</v>
      </c>
      <c r="AH58" s="112">
        <f t="shared" si="20"/>
        <v>2.6134641967623738E-2</v>
      </c>
      <c r="AI58" s="112">
        <f t="shared" si="20"/>
        <v>3.2674940673602444E-2</v>
      </c>
      <c r="AJ58" s="112">
        <f t="shared" si="20"/>
        <v>0.13963652772617441</v>
      </c>
      <c r="AK58" s="112">
        <f t="shared" si="20"/>
        <v>0.46561153057082072</v>
      </c>
      <c r="AL58" s="112">
        <f t="shared" si="20"/>
        <v>3.473178704805497E-2</v>
      </c>
      <c r="AM58" s="112">
        <f t="shared" si="20"/>
        <v>0.19601855806482629</v>
      </c>
      <c r="AN58" s="112">
        <f>AN41/AN44</f>
        <v>3.3056800757617966E-2</v>
      </c>
      <c r="AO58" s="112">
        <f>AO41/AO44</f>
        <v>3.3966427551916367E-2</v>
      </c>
      <c r="AP58" s="112">
        <f>AP41/AP44</f>
        <v>0.31119671000786447</v>
      </c>
      <c r="AQ58" s="112">
        <f>AQ41/AQ44</f>
        <v>0.41810840273485411</v>
      </c>
      <c r="AR58" s="112">
        <f t="shared" ref="AR58:BB58" si="21">AR41/AR44</f>
        <v>3.6054489579313814E-2</v>
      </c>
      <c r="AS58" s="112">
        <f t="shared" si="21"/>
        <v>0.32227144323909679</v>
      </c>
      <c r="AT58" s="112">
        <f t="shared" si="21"/>
        <v>3.7591067677359112E-2</v>
      </c>
      <c r="AU58" s="112">
        <f t="shared" si="21"/>
        <v>0.25563294009164111</v>
      </c>
      <c r="AV58" s="112">
        <f t="shared" si="21"/>
        <v>2.4793994543975809E-2</v>
      </c>
      <c r="AW58" s="112">
        <f t="shared" si="21"/>
        <v>2.9423889777470198E-2</v>
      </c>
      <c r="AX58" s="112">
        <f t="shared" si="21"/>
        <v>0.36073020260838501</v>
      </c>
      <c r="AY58" s="112">
        <f t="shared" si="21"/>
        <v>3.5030968218782953E-2</v>
      </c>
      <c r="AZ58" s="112">
        <f t="shared" si="21"/>
        <v>3.6674393940720376E-2</v>
      </c>
      <c r="BA58" s="112">
        <f t="shared" si="21"/>
        <v>2.7773442194777471E-2</v>
      </c>
      <c r="BB58" s="112">
        <f t="shared" si="21"/>
        <v>3.6067175291119948E-2</v>
      </c>
      <c r="BC58" s="112">
        <f>BC41/BC44</f>
        <v>0.43652855912434352</v>
      </c>
      <c r="BE58" s="123"/>
    </row>
    <row r="59" spans="1:57" s="112" customFormat="1" ht="13" x14ac:dyDescent="0.3">
      <c r="A59" s="112" t="s">
        <v>59</v>
      </c>
      <c r="C59" s="111">
        <f>C43/C44</f>
        <v>0.10951096297209158</v>
      </c>
      <c r="D59" s="112">
        <f t="shared" ref="D59:BC59" si="22">D43/D44</f>
        <v>1.4341428776629363E-2</v>
      </c>
      <c r="E59" s="112">
        <f t="shared" si="22"/>
        <v>7.7591186372810303E-2</v>
      </c>
      <c r="F59" s="112">
        <f t="shared" si="22"/>
        <v>0.15721255783966753</v>
      </c>
      <c r="G59" s="112">
        <f t="shared" si="22"/>
        <v>8.2693626838311204E-2</v>
      </c>
      <c r="H59" s="112">
        <f t="shared" si="22"/>
        <v>0.27802193738838699</v>
      </c>
      <c r="I59" s="112">
        <f t="shared" si="22"/>
        <v>2.7357386535661748E-2</v>
      </c>
      <c r="J59" s="112">
        <f t="shared" si="22"/>
        <v>0.12725480960896432</v>
      </c>
      <c r="K59" s="112">
        <f t="shared" si="22"/>
        <v>2.2473631828085421E-2</v>
      </c>
      <c r="L59" s="112">
        <f t="shared" si="22"/>
        <v>8.5767150544696441E-2</v>
      </c>
      <c r="M59" s="112">
        <f>M43/M44</f>
        <v>0.13119264217520776</v>
      </c>
      <c r="N59" s="112">
        <f t="shared" si="22"/>
        <v>0.25428291078486903</v>
      </c>
      <c r="O59" s="112">
        <f t="shared" si="22"/>
        <v>0.15011773116651236</v>
      </c>
      <c r="P59" s="112">
        <f t="shared" si="22"/>
        <v>0.23895100895036325</v>
      </c>
      <c r="Q59" s="112">
        <f t="shared" si="22"/>
        <v>6.4051591005389374E-2</v>
      </c>
      <c r="R59" s="112">
        <f t="shared" si="22"/>
        <v>0.31405767615072899</v>
      </c>
      <c r="S59" s="112">
        <f t="shared" si="22"/>
        <v>0.1108810702861919</v>
      </c>
      <c r="T59" s="112">
        <f t="shared" si="22"/>
        <v>0.13354073634992675</v>
      </c>
      <c r="U59" s="112">
        <f t="shared" si="22"/>
        <v>7.2762412828823999E-3</v>
      </c>
      <c r="V59" s="112">
        <f t="shared" si="22"/>
        <v>4.1213999156647078E-2</v>
      </c>
      <c r="W59" s="112">
        <f t="shared" si="22"/>
        <v>6.9813596159831293E-2</v>
      </c>
      <c r="X59" s="112">
        <f t="shared" si="22"/>
        <v>0</v>
      </c>
      <c r="Y59" s="112">
        <f t="shared" si="22"/>
        <v>0.13509025308989914</v>
      </c>
      <c r="Z59" s="112">
        <f t="shared" si="22"/>
        <v>0.12624416867144223</v>
      </c>
      <c r="AA59" s="112">
        <f t="shared" si="22"/>
        <v>5.6354059734180936E-2</v>
      </c>
      <c r="AB59" s="112">
        <f t="shared" si="22"/>
        <v>8.4603742185332537E-2</v>
      </c>
      <c r="AC59" s="112">
        <f t="shared" si="22"/>
        <v>9.2041654852285756E-2</v>
      </c>
      <c r="AD59" s="112">
        <f t="shared" si="22"/>
        <v>0.16617263072378444</v>
      </c>
      <c r="AE59" s="112">
        <f t="shared" si="22"/>
        <v>5.8863123432095252E-2</v>
      </c>
      <c r="AF59" s="112">
        <f t="shared" si="22"/>
        <v>0.16717550718374968</v>
      </c>
      <c r="AG59" s="112">
        <f t="shared" si="22"/>
        <v>9.286493490974923E-2</v>
      </c>
      <c r="AH59" s="112">
        <f t="shared" si="22"/>
        <v>0.19854522493269997</v>
      </c>
      <c r="AI59" s="112">
        <f t="shared" si="22"/>
        <v>0.16494737198126438</v>
      </c>
      <c r="AJ59" s="112">
        <f t="shared" si="22"/>
        <v>9.8062578384589066E-2</v>
      </c>
      <c r="AK59" s="112">
        <f t="shared" si="22"/>
        <v>0.10520621654979188</v>
      </c>
      <c r="AL59" s="112">
        <f t="shared" si="22"/>
        <v>9.6538306823125045E-2</v>
      </c>
      <c r="AM59" s="112">
        <f t="shared" si="22"/>
        <v>0.15989935370767688</v>
      </c>
      <c r="AN59" s="112">
        <f t="shared" si="22"/>
        <v>0.17715929904918074</v>
      </c>
      <c r="AO59" s="112">
        <f t="shared" si="22"/>
        <v>6.7039716254407591E-2</v>
      </c>
      <c r="AP59" s="112">
        <f t="shared" si="22"/>
        <v>9.2720182931639167E-2</v>
      </c>
      <c r="AQ59" s="112">
        <f t="shared" si="22"/>
        <v>9.0961203187915771E-2</v>
      </c>
      <c r="AR59" s="112">
        <f t="shared" si="22"/>
        <v>3.6548930048308025E-2</v>
      </c>
      <c r="AS59" s="112">
        <f t="shared" si="22"/>
        <v>5.0695890958337118E-2</v>
      </c>
      <c r="AT59" s="112">
        <f t="shared" si="22"/>
        <v>1.6429325881548492E-2</v>
      </c>
      <c r="AU59" s="112">
        <f t="shared" si="22"/>
        <v>0.11936562494256371</v>
      </c>
      <c r="AV59" s="112">
        <f t="shared" si="22"/>
        <v>0.34280562679856424</v>
      </c>
      <c r="AW59" s="112">
        <f t="shared" si="22"/>
        <v>1.7105319103746092E-2</v>
      </c>
      <c r="AX59" s="112">
        <f t="shared" si="22"/>
        <v>6.8654884824039808E-2</v>
      </c>
      <c r="AY59" s="112">
        <f t="shared" si="22"/>
        <v>3.7993350064892482E-2</v>
      </c>
      <c r="AZ59" s="112">
        <f t="shared" si="22"/>
        <v>1.1692871678260441E-2</v>
      </c>
      <c r="BA59" s="112">
        <f t="shared" si="22"/>
        <v>0.23672156343696835</v>
      </c>
      <c r="BB59" s="112">
        <f t="shared" si="22"/>
        <v>0.11764640404466165</v>
      </c>
      <c r="BC59" s="112">
        <f t="shared" si="22"/>
        <v>5.7296201653234513E-2</v>
      </c>
      <c r="BE59" s="123"/>
    </row>
    <row r="60" spans="1:57" x14ac:dyDescent="0.3">
      <c r="A60" s="124"/>
    </row>
    <row r="61" spans="1:57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</row>
    <row r="62" spans="1:57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</row>
    <row r="63" spans="1:57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B65" s="119"/>
    </row>
    <row r="69" spans="1:55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F258-DE03-4C13-BF8D-BDB723F74E44}">
  <sheetPr codeName="Sheet20">
    <tabColor theme="5" tint="0.79998168889431442"/>
  </sheetPr>
  <dimension ref="A1:AS69"/>
  <sheetViews>
    <sheetView zoomScaleNormal="100"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9" width="15.08984375" style="115" customWidth="1"/>
    <col min="10" max="10" width="21.90625" style="115" customWidth="1"/>
    <col min="11" max="11" width="16.08984375" style="115" customWidth="1"/>
    <col min="12" max="12" width="16.453125" style="115" customWidth="1"/>
    <col min="13" max="13" width="18.36328125" style="115" customWidth="1"/>
    <col min="14" max="14" width="16.7265625" style="115" customWidth="1"/>
    <col min="15" max="15" width="17.453125" style="115" customWidth="1"/>
    <col min="16" max="16" width="16.453125" style="115" customWidth="1"/>
    <col min="17" max="17" width="16.81640625" style="115" customWidth="1"/>
    <col min="18" max="18" width="18.08984375" style="115" customWidth="1"/>
    <col min="19" max="19" width="14.453125" style="115" customWidth="1"/>
    <col min="20" max="20" width="18.36328125" style="115" customWidth="1"/>
    <col min="21" max="21" width="22.1796875" style="115" customWidth="1"/>
    <col min="22" max="22" width="18.453125" style="115" customWidth="1"/>
    <col min="23" max="23" width="19.08984375" style="115" customWidth="1"/>
    <col min="24" max="24" width="14.453125" style="115" customWidth="1"/>
    <col min="25" max="25" width="17.81640625" style="115" customWidth="1"/>
    <col min="26" max="26" width="15.7265625" style="115" customWidth="1"/>
    <col min="27" max="27" width="15.453125" style="115" customWidth="1"/>
    <col min="28" max="28" width="15.08984375" style="115" customWidth="1"/>
    <col min="29" max="29" width="14.453125" style="115" customWidth="1"/>
    <col min="30" max="30" width="13.36328125" style="115" customWidth="1"/>
    <col min="31" max="31" width="16.90625" style="115" customWidth="1"/>
    <col min="32" max="32" width="19.90625" style="115" customWidth="1"/>
    <col min="33" max="33" width="17.90625" style="115" customWidth="1"/>
    <col min="34" max="34" width="16" style="115" customWidth="1"/>
    <col min="35" max="35" width="17.453125" style="115" customWidth="1"/>
    <col min="36" max="36" width="15.36328125" style="115" customWidth="1"/>
    <col min="37" max="37" width="16.08984375" style="115" customWidth="1"/>
    <col min="38" max="38" width="21.08984375" style="115" customWidth="1"/>
    <col min="39" max="39" width="22.6328125" style="115" customWidth="1"/>
    <col min="40" max="40" width="16.90625" style="115" customWidth="1"/>
    <col min="41" max="41" width="34.08984375" style="115" customWidth="1"/>
    <col min="42" max="43" width="11.90625" style="115" bestFit="1" customWidth="1"/>
    <col min="44" max="16384" width="8.7265625" style="115"/>
  </cols>
  <sheetData>
    <row r="1" spans="1:41" s="57" customFormat="1" ht="44" customHeight="1" x14ac:dyDescent="0.3">
      <c r="A1" s="55" t="s">
        <v>186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</row>
    <row r="2" spans="1:41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 t="s">
        <v>183</v>
      </c>
      <c r="G2" s="58" t="s">
        <v>184</v>
      </c>
      <c r="H2" s="58" t="s">
        <v>188</v>
      </c>
      <c r="I2" s="58" t="s">
        <v>189</v>
      </c>
      <c r="J2" s="58" t="s">
        <v>190</v>
      </c>
      <c r="K2" s="58"/>
      <c r="L2" s="58"/>
    </row>
    <row r="3" spans="1:41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41" s="64" customFormat="1" ht="13" x14ac:dyDescent="0.3">
      <c r="A4" s="60" t="s">
        <v>192</v>
      </c>
      <c r="B4" s="61"/>
      <c r="C4" s="62">
        <f>SUM(D4:AO4)</f>
        <v>707137183</v>
      </c>
      <c r="D4" s="61">
        <v>79676000</v>
      </c>
      <c r="E4" s="61">
        <v>33325000</v>
      </c>
      <c r="F4" s="60">
        <v>95406000</v>
      </c>
      <c r="G4" s="60">
        <v>97140516</v>
      </c>
      <c r="H4" s="60">
        <v>197115000</v>
      </c>
      <c r="I4" s="60">
        <v>128267000</v>
      </c>
      <c r="J4" s="60">
        <v>76207667</v>
      </c>
      <c r="K4" s="63"/>
      <c r="L4" s="61"/>
      <c r="Q4" s="65"/>
      <c r="U4" s="65"/>
    </row>
    <row r="5" spans="1:41" s="68" customFormat="1" ht="13" x14ac:dyDescent="0.3">
      <c r="A5" s="66" t="s">
        <v>3</v>
      </c>
      <c r="B5" s="67"/>
      <c r="C5" s="62">
        <f t="shared" ref="C5:C18" si="0">SUM(D5:AO5)</f>
        <v>38300000</v>
      </c>
      <c r="D5" s="67"/>
      <c r="E5" s="67"/>
      <c r="F5" s="67">
        <v>4300000</v>
      </c>
      <c r="G5" s="67"/>
      <c r="H5" s="67">
        <v>12800000</v>
      </c>
      <c r="I5" s="67">
        <v>21200000</v>
      </c>
      <c r="J5" s="67"/>
      <c r="K5" s="67"/>
      <c r="L5" s="67"/>
    </row>
    <row r="6" spans="1:41" s="68" customFormat="1" ht="13" x14ac:dyDescent="0.3">
      <c r="A6" s="69" t="s">
        <v>4</v>
      </c>
      <c r="B6" s="67"/>
      <c r="C6" s="62">
        <f>SUM(D6:AO6)</f>
        <v>0</v>
      </c>
      <c r="E6" s="67"/>
      <c r="F6" s="67"/>
      <c r="G6" s="67"/>
      <c r="H6" s="67"/>
      <c r="I6" s="67"/>
      <c r="J6" s="67"/>
      <c r="K6" s="67"/>
      <c r="L6" s="67"/>
      <c r="U6" s="70"/>
      <c r="Z6" s="70"/>
      <c r="AL6" s="70"/>
    </row>
    <row r="7" spans="1:41" s="68" customFormat="1" ht="13" x14ac:dyDescent="0.3">
      <c r="A7" s="71" t="s">
        <v>5</v>
      </c>
      <c r="B7" s="67"/>
      <c r="C7" s="62">
        <f t="shared" si="0"/>
        <v>0</v>
      </c>
      <c r="E7" s="67"/>
      <c r="F7" s="67"/>
      <c r="G7" s="67"/>
      <c r="H7" s="67"/>
      <c r="I7" s="67"/>
      <c r="J7" s="67"/>
      <c r="K7" s="67"/>
      <c r="L7" s="67"/>
      <c r="R7" s="72"/>
      <c r="S7" s="72"/>
      <c r="U7" s="70"/>
      <c r="Z7" s="70"/>
      <c r="AA7" s="72"/>
      <c r="AL7" s="70"/>
    </row>
    <row r="8" spans="1:41" s="68" customFormat="1" ht="13" x14ac:dyDescent="0.3">
      <c r="A8" s="71"/>
      <c r="B8" s="67" t="s">
        <v>6</v>
      </c>
      <c r="C8" s="62">
        <f t="shared" si="0"/>
        <v>4</v>
      </c>
      <c r="D8" s="68">
        <v>0</v>
      </c>
      <c r="E8" s="67">
        <v>0</v>
      </c>
      <c r="F8" s="67">
        <v>1</v>
      </c>
      <c r="G8" s="67">
        <v>0</v>
      </c>
      <c r="H8" s="67">
        <v>2</v>
      </c>
      <c r="I8" s="67">
        <v>1</v>
      </c>
      <c r="J8" s="67">
        <v>0</v>
      </c>
      <c r="K8" s="67"/>
      <c r="L8" s="67"/>
      <c r="W8" s="73"/>
      <c r="X8" s="73"/>
      <c r="Y8" s="73"/>
      <c r="Z8" s="73"/>
      <c r="AA8" s="73"/>
      <c r="AB8" s="73"/>
      <c r="AC8" s="74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68" customFormat="1" ht="13" x14ac:dyDescent="0.3">
      <c r="A9" s="71"/>
      <c r="B9" s="67" t="s">
        <v>7</v>
      </c>
      <c r="C9" s="62">
        <f t="shared" si="0"/>
        <v>9</v>
      </c>
      <c r="D9" s="68">
        <v>0</v>
      </c>
      <c r="E9" s="67">
        <v>0</v>
      </c>
      <c r="F9" s="67">
        <v>1</v>
      </c>
      <c r="G9" s="67">
        <v>0</v>
      </c>
      <c r="H9" s="67">
        <v>2</v>
      </c>
      <c r="I9" s="67">
        <v>6</v>
      </c>
      <c r="J9" s="67">
        <v>0</v>
      </c>
      <c r="K9" s="67"/>
      <c r="L9" s="67"/>
      <c r="W9" s="75"/>
      <c r="X9" s="75"/>
      <c r="Y9" s="73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</row>
    <row r="10" spans="1:41" s="68" customFormat="1" ht="13" x14ac:dyDescent="0.3">
      <c r="A10" s="71"/>
      <c r="B10" s="67" t="s">
        <v>176</v>
      </c>
      <c r="C10" s="62">
        <f t="shared" si="0"/>
        <v>3</v>
      </c>
      <c r="D10" s="68">
        <v>0</v>
      </c>
      <c r="E10" s="67">
        <v>0</v>
      </c>
      <c r="F10" s="67">
        <v>0</v>
      </c>
      <c r="G10" s="67">
        <v>0</v>
      </c>
      <c r="H10" s="67">
        <v>2</v>
      </c>
      <c r="I10" s="67">
        <v>1</v>
      </c>
      <c r="J10" s="67">
        <v>0</v>
      </c>
      <c r="K10" s="67"/>
      <c r="L10" s="67"/>
      <c r="W10" s="75"/>
      <c r="X10" s="75"/>
      <c r="Y10" s="73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</row>
    <row r="11" spans="1:41" s="68" customFormat="1" ht="16.5" customHeight="1" x14ac:dyDescent="0.3">
      <c r="A11" s="71"/>
      <c r="B11" s="67" t="s">
        <v>9</v>
      </c>
      <c r="C11" s="62">
        <f t="shared" si="0"/>
        <v>539351612.9032259</v>
      </c>
      <c r="D11" s="68">
        <v>57500000</v>
      </c>
      <c r="E11" s="67">
        <v>26400000</v>
      </c>
      <c r="F11" s="67">
        <v>73706451.612903222</v>
      </c>
      <c r="G11" s="67">
        <v>77300000</v>
      </c>
      <c r="H11" s="67">
        <v>152041935.48387098</v>
      </c>
      <c r="I11" s="67">
        <v>86603225.806451604</v>
      </c>
      <c r="J11" s="67">
        <v>65800000</v>
      </c>
      <c r="K11" s="67"/>
      <c r="L11" s="67"/>
      <c r="W11" s="75"/>
      <c r="X11" s="75"/>
      <c r="Y11" s="73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</row>
    <row r="12" spans="1:41" s="68" customFormat="1" ht="13" x14ac:dyDescent="0.3">
      <c r="A12" s="128" t="s">
        <v>10</v>
      </c>
      <c r="B12" s="69" t="s">
        <v>11</v>
      </c>
      <c r="C12" s="62">
        <f t="shared" si="0"/>
        <v>57786000</v>
      </c>
      <c r="D12" s="67">
        <v>12070000</v>
      </c>
      <c r="E12" s="67">
        <v>4140000</v>
      </c>
      <c r="F12" s="62">
        <v>8552000</v>
      </c>
      <c r="G12" s="62">
        <v>10768000</v>
      </c>
      <c r="H12" s="62">
        <v>13704000</v>
      </c>
      <c r="I12" s="62">
        <v>8552000</v>
      </c>
      <c r="J12" s="62">
        <v>0</v>
      </c>
      <c r="K12" s="62"/>
      <c r="L12" s="67"/>
      <c r="W12" s="75"/>
      <c r="X12" s="75"/>
      <c r="Y12" s="73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</row>
    <row r="13" spans="1:41" s="68" customFormat="1" ht="13" x14ac:dyDescent="0.3">
      <c r="A13" s="129"/>
      <c r="B13" s="69" t="s">
        <v>12</v>
      </c>
      <c r="C13" s="62">
        <f t="shared" si="0"/>
        <v>20072096.774193548</v>
      </c>
      <c r="D13" s="67">
        <v>3240000</v>
      </c>
      <c r="E13" s="68">
        <v>1645000</v>
      </c>
      <c r="F13" s="68">
        <v>3115000</v>
      </c>
      <c r="G13" s="68">
        <v>2530000</v>
      </c>
      <c r="H13" s="68">
        <v>6267096.7741935486</v>
      </c>
      <c r="I13" s="68">
        <v>2555000</v>
      </c>
      <c r="J13" s="68">
        <v>720000</v>
      </c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</row>
    <row r="14" spans="1:41" s="68" customFormat="1" ht="13" x14ac:dyDescent="0.3">
      <c r="A14" s="129"/>
      <c r="B14" s="69" t="s">
        <v>13</v>
      </c>
      <c r="C14" s="62">
        <f t="shared" si="0"/>
        <v>11433709.677419355</v>
      </c>
      <c r="D14" s="67">
        <v>1620000</v>
      </c>
      <c r="E14" s="67">
        <v>540000</v>
      </c>
      <c r="F14" s="68">
        <v>1440000</v>
      </c>
      <c r="G14" s="68">
        <v>1530000</v>
      </c>
      <c r="H14" s="68">
        <v>2548548.3870967743</v>
      </c>
      <c r="I14" s="68">
        <v>2375161.2903225808</v>
      </c>
      <c r="J14" s="68">
        <v>1380000</v>
      </c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5" spans="1:41" s="68" customFormat="1" ht="13" x14ac:dyDescent="0.3">
      <c r="A15" s="129"/>
      <c r="B15" s="69" t="s">
        <v>14</v>
      </c>
      <c r="C15" s="62">
        <f t="shared" si="0"/>
        <v>8490322.5806451607</v>
      </c>
      <c r="D15" s="67">
        <v>1100000</v>
      </c>
      <c r="E15" s="68">
        <v>200000</v>
      </c>
      <c r="F15" s="68">
        <v>1100000</v>
      </c>
      <c r="G15" s="68">
        <v>1600000</v>
      </c>
      <c r="H15" s="68">
        <v>1661290.3225806451</v>
      </c>
      <c r="I15" s="68">
        <v>1529032.2580645161</v>
      </c>
      <c r="J15" s="68">
        <v>1300000</v>
      </c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 spans="1:41" s="68" customFormat="1" ht="13" x14ac:dyDescent="0.3">
      <c r="A16" s="129"/>
      <c r="B16" s="69" t="s">
        <v>15</v>
      </c>
      <c r="C16" s="62">
        <f t="shared" si="0"/>
        <v>1800000</v>
      </c>
      <c r="D16" s="67">
        <v>850000</v>
      </c>
      <c r="E16" s="68">
        <v>0</v>
      </c>
      <c r="F16" s="68">
        <v>0</v>
      </c>
      <c r="G16" s="68">
        <v>150000</v>
      </c>
      <c r="H16" s="68">
        <v>100000</v>
      </c>
      <c r="I16" s="68">
        <v>600000</v>
      </c>
      <c r="J16" s="68">
        <v>100000</v>
      </c>
      <c r="W16" s="76"/>
      <c r="X16" s="73"/>
      <c r="Y16" s="73"/>
      <c r="Z16" s="73"/>
      <c r="AA16" s="73"/>
      <c r="AB16" s="76"/>
      <c r="AC16" s="76"/>
      <c r="AD16" s="76"/>
      <c r="AE16" s="76"/>
      <c r="AF16" s="73"/>
      <c r="AG16" s="76"/>
      <c r="AH16" s="76"/>
      <c r="AI16" s="76"/>
      <c r="AJ16" s="76"/>
      <c r="AK16" s="76"/>
      <c r="AL16" s="73"/>
      <c r="AM16" s="76"/>
      <c r="AN16" s="73"/>
      <c r="AO16" s="73"/>
    </row>
    <row r="17" spans="1:45" s="68" customFormat="1" ht="13" x14ac:dyDescent="0.3">
      <c r="A17" s="129"/>
      <c r="B17" s="69" t="s">
        <v>102</v>
      </c>
      <c r="C17" s="62">
        <f t="shared" si="0"/>
        <v>10228709.677419355</v>
      </c>
      <c r="D17" s="67">
        <v>1560000</v>
      </c>
      <c r="E17" s="68">
        <v>400000</v>
      </c>
      <c r="F17" s="68">
        <v>1410000</v>
      </c>
      <c r="G17" s="68">
        <v>1260000</v>
      </c>
      <c r="H17" s="68">
        <v>2293548.3870967743</v>
      </c>
      <c r="I17" s="68">
        <v>2205161.2903225808</v>
      </c>
      <c r="J17" s="68">
        <v>1100000</v>
      </c>
      <c r="W17" s="77"/>
      <c r="X17" s="77"/>
      <c r="Y17" s="73"/>
      <c r="Z17" s="70"/>
      <c r="AA17" s="77"/>
      <c r="AB17" s="77"/>
      <c r="AC17" s="77"/>
      <c r="AD17" s="77"/>
      <c r="AE17" s="77"/>
      <c r="AF17" s="77"/>
      <c r="AG17" s="77"/>
      <c r="AH17" s="77"/>
      <c r="AI17" s="70"/>
      <c r="AJ17" s="77"/>
      <c r="AK17" s="70"/>
      <c r="AL17" s="77"/>
      <c r="AM17" s="77"/>
      <c r="AN17" s="77"/>
      <c r="AO17" s="77"/>
    </row>
    <row r="18" spans="1:45" s="68" customFormat="1" ht="13.5" thickBot="1" x14ac:dyDescent="0.35">
      <c r="A18" s="129"/>
      <c r="B18" s="69" t="s">
        <v>17</v>
      </c>
      <c r="C18" s="62">
        <f t="shared" si="0"/>
        <v>15240806.451612905</v>
      </c>
      <c r="D18" s="67">
        <v>1620000</v>
      </c>
      <c r="E18" s="68">
        <v>0</v>
      </c>
      <c r="F18" s="68">
        <v>1440000</v>
      </c>
      <c r="G18" s="68">
        <v>1530000</v>
      </c>
      <c r="H18" s="68">
        <v>6895645.1612903234</v>
      </c>
      <c r="I18" s="68">
        <v>2375161.2903225808</v>
      </c>
      <c r="J18" s="68">
        <v>1380000</v>
      </c>
      <c r="W18" s="78"/>
      <c r="X18" s="78"/>
      <c r="Y18" s="73"/>
      <c r="Z18" s="78"/>
      <c r="AA18" s="78"/>
      <c r="AB18" s="78"/>
      <c r="AC18" s="78"/>
      <c r="AD18" s="79"/>
      <c r="AE18" s="78"/>
      <c r="AF18" s="78"/>
      <c r="AG18" s="78"/>
      <c r="AH18" s="78"/>
      <c r="AI18" s="78"/>
      <c r="AJ18" s="79"/>
      <c r="AK18" s="78"/>
      <c r="AL18" s="78"/>
      <c r="AM18" s="78"/>
      <c r="AN18" s="78"/>
      <c r="AO18" s="78"/>
    </row>
    <row r="19" spans="1:45" s="68" customFormat="1" ht="12" customHeight="1" x14ac:dyDescent="0.3">
      <c r="A19" s="130"/>
      <c r="B19" s="80" t="s">
        <v>18</v>
      </c>
      <c r="C19" s="81">
        <f>SUM(C12:C18)</f>
        <v>125051645.16129032</v>
      </c>
      <c r="D19" s="81">
        <f t="shared" ref="D19:AS19" si="1">SUM(D12:D18)</f>
        <v>22060000</v>
      </c>
      <c r="E19" s="81">
        <f>SUM(E12:E18)</f>
        <v>6925000</v>
      </c>
      <c r="F19" s="81">
        <f t="shared" si="1"/>
        <v>17057000</v>
      </c>
      <c r="G19" s="81">
        <f t="shared" si="1"/>
        <v>19368000</v>
      </c>
      <c r="H19" s="81">
        <f t="shared" si="1"/>
        <v>33470129.032258064</v>
      </c>
      <c r="I19" s="81">
        <f t="shared" si="1"/>
        <v>20191516.129032258</v>
      </c>
      <c r="J19" s="81">
        <f t="shared" si="1"/>
        <v>5980000</v>
      </c>
      <c r="K19" s="81">
        <f>SUM(K12:K18)</f>
        <v>0</v>
      </c>
      <c r="L19" s="81">
        <f>SUM(L12:L18)</f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 t="shared" si="1"/>
        <v>0</v>
      </c>
      <c r="R19" s="81">
        <f t="shared" si="1"/>
        <v>0</v>
      </c>
      <c r="S19" s="81">
        <f t="shared" si="1"/>
        <v>0</v>
      </c>
      <c r="T19" s="81">
        <f>SUM(T12:T18)</f>
        <v>0</v>
      </c>
      <c r="U19" s="81">
        <f>SUM(U12:U18)</f>
        <v>0</v>
      </c>
      <c r="V19" s="81">
        <f>SUM(V12:V18)</f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 t="shared" si="1"/>
        <v>0</v>
      </c>
      <c r="AC19" s="81">
        <f t="shared" si="1"/>
        <v>0</v>
      </c>
      <c r="AD19" s="81">
        <f t="shared" si="1"/>
        <v>0</v>
      </c>
      <c r="AE19" s="81">
        <f>SUM(AE12:AE18)</f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 t="shared" si="1"/>
        <v>0</v>
      </c>
      <c r="AL19" s="81">
        <f t="shared" si="1"/>
        <v>0</v>
      </c>
      <c r="AM19" s="81">
        <f t="shared" si="1"/>
        <v>0</v>
      </c>
      <c r="AN19" s="81">
        <f>SUM(AN12:AN18)</f>
        <v>0</v>
      </c>
      <c r="AO19" s="81">
        <f t="shared" si="1"/>
        <v>0</v>
      </c>
      <c r="AP19" s="81">
        <f t="shared" si="1"/>
        <v>0</v>
      </c>
      <c r="AQ19" s="81">
        <f t="shared" si="1"/>
        <v>0</v>
      </c>
      <c r="AR19" s="81">
        <f t="shared" si="1"/>
        <v>0</v>
      </c>
      <c r="AS19" s="81">
        <f t="shared" si="1"/>
        <v>0</v>
      </c>
    </row>
    <row r="20" spans="1:45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</row>
    <row r="21" spans="1:45" s="68" customFormat="1" ht="38.5" customHeight="1" x14ac:dyDescent="0.3">
      <c r="A21" s="62" t="s">
        <v>19</v>
      </c>
      <c r="B21" s="67" t="s">
        <v>20</v>
      </c>
      <c r="C21" s="62">
        <f t="shared" ref="C21:C28" si="2">SUM(D21:AO21)</f>
        <v>451500000</v>
      </c>
      <c r="D21" s="67">
        <v>48000000</v>
      </c>
      <c r="E21" s="68">
        <v>17000000</v>
      </c>
      <c r="F21" s="68">
        <v>62000000</v>
      </c>
      <c r="G21" s="68">
        <v>58500000</v>
      </c>
      <c r="H21" s="68">
        <v>130000000</v>
      </c>
      <c r="I21" s="68">
        <v>86000000</v>
      </c>
      <c r="J21" s="68">
        <v>50000000</v>
      </c>
      <c r="R21" s="82"/>
      <c r="S21" s="82"/>
      <c r="X21" s="82"/>
      <c r="AD21" s="83"/>
      <c r="AF21" s="82"/>
      <c r="AH21" s="82"/>
      <c r="AI21" s="82"/>
      <c r="AL21" s="82"/>
      <c r="AM21" s="82"/>
      <c r="AO21" s="82"/>
    </row>
    <row r="22" spans="1:45" s="68" customFormat="1" ht="39" customHeight="1" x14ac:dyDescent="0.3">
      <c r="A22" s="84" t="s">
        <v>21</v>
      </c>
      <c r="C22" s="62">
        <f t="shared" si="2"/>
        <v>880000</v>
      </c>
      <c r="D22" s="67"/>
      <c r="E22" s="82"/>
      <c r="H22" s="68">
        <v>880000</v>
      </c>
      <c r="J22" s="82"/>
      <c r="R22" s="82"/>
      <c r="S22" s="82"/>
      <c r="W22" s="82"/>
      <c r="X22" s="82"/>
      <c r="Z22" s="82"/>
      <c r="AA22" s="82"/>
      <c r="AC22" s="82"/>
      <c r="AD22" s="83"/>
      <c r="AE22" s="82"/>
      <c r="AF22" s="82"/>
      <c r="AH22" s="82"/>
      <c r="AI22" s="82"/>
      <c r="AJ22" s="82"/>
      <c r="AK22" s="82"/>
      <c r="AL22" s="85"/>
      <c r="AO22" s="82"/>
    </row>
    <row r="23" spans="1:45" s="68" customFormat="1" ht="20.5" customHeight="1" x14ac:dyDescent="0.3">
      <c r="A23" s="131" t="s">
        <v>22</v>
      </c>
      <c r="B23" s="67" t="s">
        <v>23</v>
      </c>
      <c r="C23" s="62">
        <f t="shared" si="2"/>
        <v>66703399</v>
      </c>
      <c r="D23" s="82">
        <v>13533005</v>
      </c>
      <c r="E23" s="86">
        <v>4512370</v>
      </c>
      <c r="F23" s="82">
        <v>8279064</v>
      </c>
      <c r="G23" s="82">
        <v>11694499</v>
      </c>
      <c r="H23" s="82">
        <v>13952151</v>
      </c>
      <c r="I23" s="82">
        <v>13414810</v>
      </c>
      <c r="J23" s="82">
        <v>1317500</v>
      </c>
      <c r="K23" s="86"/>
      <c r="L23" s="83"/>
      <c r="M23" s="83"/>
      <c r="N23" s="83"/>
      <c r="O23" s="82"/>
      <c r="P23" s="82"/>
      <c r="Q23" s="83"/>
      <c r="R23" s="83"/>
      <c r="S23" s="83"/>
      <c r="T23" s="83"/>
      <c r="U23" s="82"/>
      <c r="V23" s="83"/>
      <c r="W23" s="82"/>
      <c r="X23" s="83"/>
      <c r="Y23" s="83"/>
      <c r="Z23" s="83"/>
      <c r="AA23" s="83"/>
      <c r="AB23" s="83"/>
      <c r="AC23" s="82"/>
      <c r="AD23" s="82"/>
      <c r="AE23" s="83"/>
      <c r="AF23" s="82"/>
      <c r="AG23" s="83"/>
      <c r="AH23" s="83"/>
      <c r="AI23" s="82"/>
      <c r="AJ23" s="82"/>
      <c r="AK23" s="82"/>
      <c r="AL23" s="83"/>
      <c r="AM23" s="83"/>
      <c r="AN23" s="83"/>
      <c r="AO23" s="83"/>
    </row>
    <row r="24" spans="1:45" s="68" customFormat="1" ht="20.5" customHeight="1" x14ac:dyDescent="0.3">
      <c r="A24" s="131"/>
      <c r="B24" s="68" t="s">
        <v>24</v>
      </c>
      <c r="C24" s="87">
        <f t="shared" si="2"/>
        <v>9571820</v>
      </c>
      <c r="D24" s="82">
        <v>300000</v>
      </c>
      <c r="E24" s="82">
        <v>830300</v>
      </c>
      <c r="F24" s="82">
        <v>2010200</v>
      </c>
      <c r="G24" s="82">
        <v>1513400</v>
      </c>
      <c r="H24" s="82">
        <v>3600420</v>
      </c>
      <c r="I24" s="82">
        <v>0</v>
      </c>
      <c r="J24" s="82">
        <v>1317500</v>
      </c>
      <c r="K24" s="86"/>
      <c r="L24" s="83"/>
      <c r="M24" s="83"/>
      <c r="N24" s="83"/>
      <c r="O24" s="82"/>
      <c r="P24" s="82"/>
      <c r="Q24" s="83"/>
      <c r="R24" s="83"/>
      <c r="S24" s="83"/>
      <c r="T24" s="83"/>
      <c r="U24" s="82"/>
      <c r="V24" s="83"/>
      <c r="W24" s="82"/>
      <c r="X24" s="83"/>
      <c r="Y24" s="83"/>
      <c r="Z24" s="83"/>
      <c r="AA24" s="83"/>
      <c r="AB24" s="83"/>
      <c r="AC24" s="82"/>
      <c r="AD24" s="82"/>
      <c r="AE24" s="83"/>
      <c r="AF24" s="82"/>
      <c r="AG24" s="83"/>
      <c r="AH24" s="83"/>
      <c r="AI24" s="82"/>
      <c r="AJ24" s="82"/>
      <c r="AK24" s="82"/>
      <c r="AL24" s="83"/>
      <c r="AM24" s="83"/>
      <c r="AN24" s="83"/>
      <c r="AO24" s="83"/>
    </row>
    <row r="25" spans="1:45" s="68" customFormat="1" ht="19" customHeight="1" x14ac:dyDescent="0.3">
      <c r="A25" s="131"/>
      <c r="B25" s="67" t="s">
        <v>25</v>
      </c>
      <c r="C25" s="62">
        <f t="shared" si="2"/>
        <v>400000</v>
      </c>
      <c r="D25" s="82">
        <v>0</v>
      </c>
      <c r="E25" s="82">
        <v>400000</v>
      </c>
      <c r="F25" s="82"/>
      <c r="G25" s="82">
        <v>0</v>
      </c>
      <c r="H25" s="82">
        <v>0</v>
      </c>
      <c r="I25" s="82">
        <v>0</v>
      </c>
      <c r="J25" s="82">
        <v>0</v>
      </c>
      <c r="K25" s="82"/>
      <c r="L25" s="83"/>
      <c r="M25" s="83"/>
      <c r="N25" s="83"/>
      <c r="O25" s="82"/>
      <c r="P25" s="82"/>
      <c r="Q25" s="82"/>
      <c r="R25" s="83"/>
      <c r="S25" s="83"/>
      <c r="T25" s="83"/>
      <c r="U25" s="82"/>
      <c r="V25" s="83"/>
      <c r="W25" s="82"/>
      <c r="X25" s="83"/>
      <c r="Y25" s="83"/>
      <c r="Z25" s="83"/>
      <c r="AA25" s="83"/>
      <c r="AB25" s="83"/>
      <c r="AC25" s="82"/>
      <c r="AD25" s="82"/>
      <c r="AE25" s="83"/>
      <c r="AF25" s="82"/>
      <c r="AG25" s="83"/>
      <c r="AH25" s="83"/>
      <c r="AI25" s="82"/>
      <c r="AJ25" s="82"/>
      <c r="AK25" s="82"/>
      <c r="AL25" s="83"/>
      <c r="AM25" s="83"/>
      <c r="AN25" s="83"/>
      <c r="AO25" s="83"/>
    </row>
    <row r="26" spans="1:45" s="68" customFormat="1" ht="18.5" customHeight="1" x14ac:dyDescent="0.3">
      <c r="A26" s="131"/>
      <c r="B26" s="67" t="s">
        <v>26</v>
      </c>
      <c r="C26" s="62">
        <f t="shared" si="2"/>
        <v>2150000</v>
      </c>
      <c r="D26" s="82">
        <v>300000</v>
      </c>
      <c r="E26" s="82">
        <v>200000</v>
      </c>
      <c r="F26" s="82">
        <v>350000</v>
      </c>
      <c r="G26" s="82">
        <v>300000</v>
      </c>
      <c r="H26" s="82">
        <v>300000</v>
      </c>
      <c r="I26" s="82">
        <v>400000</v>
      </c>
      <c r="J26" s="82">
        <v>300000</v>
      </c>
      <c r="K26" s="82"/>
      <c r="L26" s="83"/>
      <c r="M26" s="82"/>
      <c r="N26" s="83"/>
      <c r="O26" s="82"/>
      <c r="Q26" s="83"/>
      <c r="R26" s="83"/>
      <c r="S26" s="83"/>
      <c r="T26" s="83"/>
      <c r="U26" s="82"/>
      <c r="V26" s="83"/>
      <c r="W26" s="82"/>
      <c r="X26" s="83"/>
      <c r="Y26" s="83"/>
      <c r="Z26" s="83"/>
      <c r="AA26" s="82"/>
      <c r="AB26" s="82"/>
      <c r="AC26" s="82"/>
      <c r="AD26" s="82"/>
      <c r="AE26" s="83"/>
      <c r="AF26" s="82"/>
      <c r="AG26" s="82"/>
      <c r="AH26" s="83"/>
      <c r="AI26" s="82"/>
      <c r="AJ26" s="82"/>
      <c r="AK26" s="82"/>
      <c r="AL26" s="83"/>
      <c r="AM26" s="83"/>
      <c r="AN26" s="83"/>
      <c r="AO26" s="83"/>
    </row>
    <row r="27" spans="1:45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2"/>
      <c r="J27" s="82"/>
      <c r="K27" s="82"/>
      <c r="L27" s="83"/>
      <c r="M27" s="83"/>
      <c r="N27" s="82"/>
      <c r="O27" s="82"/>
      <c r="P27" s="82"/>
      <c r="Q27" s="83"/>
      <c r="R27" s="82"/>
      <c r="S27" s="83"/>
      <c r="T27" s="82"/>
      <c r="U27" s="82"/>
      <c r="V27" s="82"/>
      <c r="W27" s="82"/>
      <c r="X27" s="82"/>
      <c r="Y27" s="83"/>
      <c r="Z27" s="83"/>
      <c r="AA27" s="82"/>
      <c r="AB27" s="82"/>
      <c r="AC27" s="82"/>
      <c r="AD27" s="82"/>
      <c r="AE27" s="82"/>
      <c r="AF27" s="82"/>
      <c r="AG27" s="82"/>
      <c r="AH27" s="82"/>
      <c r="AI27" s="82"/>
      <c r="AK27" s="82"/>
      <c r="AL27" s="82"/>
      <c r="AM27" s="83"/>
      <c r="AN27" s="82"/>
      <c r="AO27" s="83"/>
    </row>
    <row r="28" spans="1:45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K28" s="82"/>
      <c r="L28" s="82"/>
      <c r="M28" s="82"/>
      <c r="O28" s="82"/>
      <c r="Q28" s="83"/>
      <c r="R28" s="82"/>
      <c r="S28" s="82"/>
      <c r="T28" s="82"/>
      <c r="U28" s="82"/>
      <c r="V28" s="82"/>
      <c r="W28" s="82"/>
      <c r="Y28" s="82"/>
      <c r="Z28" s="82"/>
      <c r="AA28" s="82"/>
      <c r="AB28" s="82"/>
      <c r="AC28" s="82"/>
      <c r="AD28" s="82"/>
      <c r="AE28" s="82"/>
      <c r="AF28" s="82"/>
      <c r="AG28" s="82"/>
      <c r="AI28" s="82"/>
      <c r="AK28" s="82"/>
      <c r="AL28" s="82"/>
      <c r="AM28" s="83"/>
      <c r="AN28" s="82"/>
      <c r="AO28" s="82"/>
    </row>
    <row r="29" spans="1:45" s="64" customFormat="1" ht="13" x14ac:dyDescent="0.3">
      <c r="A29" s="88" t="s">
        <v>29</v>
      </c>
      <c r="B29" s="60"/>
      <c r="C29" s="62">
        <f>SUM(C21:C28)</f>
        <v>531205219</v>
      </c>
      <c r="D29" s="60">
        <f>SUM(D21:D28)</f>
        <v>62133005</v>
      </c>
      <c r="E29" s="60">
        <f t="shared" ref="E29:AO29" si="3">SUM(E21:E28)</f>
        <v>22942670</v>
      </c>
      <c r="F29" s="60">
        <f t="shared" si="3"/>
        <v>72639264</v>
      </c>
      <c r="G29" s="60">
        <f t="shared" si="3"/>
        <v>72007899</v>
      </c>
      <c r="H29" s="60">
        <f t="shared" si="3"/>
        <v>148732571</v>
      </c>
      <c r="I29" s="60">
        <f t="shared" si="3"/>
        <v>99814810</v>
      </c>
      <c r="J29" s="60">
        <f t="shared" si="3"/>
        <v>52935000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 t="shared" si="3"/>
        <v>0</v>
      </c>
      <c r="R29" s="60">
        <f t="shared" si="3"/>
        <v>0</v>
      </c>
      <c r="S29" s="60">
        <f t="shared" si="3"/>
        <v>0</v>
      </c>
      <c r="T29" s="60">
        <f>SUM(T21:T28)</f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 t="shared" si="3"/>
        <v>0</v>
      </c>
      <c r="AC29" s="60">
        <f t="shared" si="3"/>
        <v>0</v>
      </c>
      <c r="AD29" s="60">
        <f t="shared" si="3"/>
        <v>0</v>
      </c>
      <c r="AE29" s="60">
        <f>SUM(AE21:AE28)</f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 t="shared" si="3"/>
        <v>0</v>
      </c>
      <c r="AK29" s="60">
        <f t="shared" si="3"/>
        <v>0</v>
      </c>
      <c r="AL29" s="60">
        <f t="shared" si="3"/>
        <v>0</v>
      </c>
      <c r="AM29" s="60">
        <f>SUM(AM21:AM28)</f>
        <v>0</v>
      </c>
      <c r="AN29" s="60">
        <f t="shared" si="3"/>
        <v>0</v>
      </c>
      <c r="AO29" s="60">
        <f t="shared" si="3"/>
        <v>0</v>
      </c>
    </row>
    <row r="30" spans="1:45" s="68" customFormat="1" ht="24" customHeight="1" x14ac:dyDescent="0.3">
      <c r="A30" s="132" t="s">
        <v>30</v>
      </c>
      <c r="B30" s="67" t="s">
        <v>31</v>
      </c>
      <c r="C30" s="62">
        <f t="shared" ref="C30:C42" si="4">SUM(D30:AO30)</f>
        <v>12769133.077352626</v>
      </c>
      <c r="D30" s="82">
        <v>1614204.8723018058</v>
      </c>
      <c r="E30" s="83">
        <v>582606.24504099449</v>
      </c>
      <c r="F30" s="82">
        <v>2066174.3628330054</v>
      </c>
      <c r="G30" s="82">
        <v>2205077.3173716241</v>
      </c>
      <c r="H30" s="82">
        <v>2160674.9233838446</v>
      </c>
      <c r="I30" s="82">
        <v>2267875.0893645319</v>
      </c>
      <c r="J30" s="82">
        <v>1872520.2670568195</v>
      </c>
      <c r="K30" s="82"/>
      <c r="L30" s="82"/>
      <c r="M30" s="83"/>
      <c r="N30" s="82"/>
      <c r="O30" s="82"/>
      <c r="P30" s="82"/>
      <c r="Q30" s="83"/>
      <c r="R30" s="83"/>
      <c r="S30" s="83"/>
      <c r="T30" s="83"/>
      <c r="U30" s="83"/>
      <c r="V30" s="83"/>
      <c r="W30" s="82"/>
      <c r="X30" s="83"/>
      <c r="Y30" s="83"/>
      <c r="Z30" s="83"/>
      <c r="AA30" s="83"/>
      <c r="AB30" s="82"/>
      <c r="AC30" s="83"/>
      <c r="AD30" s="82"/>
      <c r="AE30" s="82"/>
      <c r="AF30" s="82"/>
      <c r="AG30" s="82"/>
      <c r="AH30" s="82"/>
      <c r="AI30" s="82"/>
      <c r="AJ30" s="82"/>
      <c r="AK30" s="82"/>
      <c r="AL30" s="83"/>
      <c r="AM30" s="83"/>
      <c r="AN30" s="82"/>
      <c r="AO30" s="83"/>
    </row>
    <row r="31" spans="1:45" s="68" customFormat="1" ht="24" customHeight="1" x14ac:dyDescent="0.3">
      <c r="A31" s="133"/>
      <c r="B31" s="67" t="s">
        <v>32</v>
      </c>
      <c r="C31" s="62">
        <f t="shared" si="4"/>
        <v>1076566.1252900232</v>
      </c>
      <c r="D31" s="82">
        <v>139211.13689095128</v>
      </c>
      <c r="E31" s="83">
        <v>46403.712296983758</v>
      </c>
      <c r="F31" s="82">
        <v>157772.62180974477</v>
      </c>
      <c r="G31" s="82">
        <v>157772.62180974477</v>
      </c>
      <c r="H31" s="82">
        <v>213457.0765661253</v>
      </c>
      <c r="I31" s="82">
        <v>241299.30394431553</v>
      </c>
      <c r="J31" s="82">
        <v>120649.65197215776</v>
      </c>
      <c r="K31" s="82"/>
      <c r="L31" s="82"/>
      <c r="M31" s="83"/>
      <c r="N31" s="82"/>
      <c r="O31" s="82"/>
      <c r="P31" s="82"/>
      <c r="Q31" s="83"/>
      <c r="R31" s="83"/>
      <c r="S31" s="83"/>
      <c r="T31" s="83"/>
      <c r="U31" s="83"/>
      <c r="V31" s="83"/>
      <c r="W31" s="82"/>
      <c r="X31" s="83"/>
      <c r="Y31" s="83"/>
      <c r="Z31" s="83"/>
      <c r="AA31" s="83"/>
      <c r="AB31" s="82"/>
      <c r="AC31" s="83"/>
      <c r="AD31" s="82"/>
      <c r="AE31" s="82"/>
      <c r="AF31" s="82"/>
      <c r="AG31" s="82"/>
      <c r="AH31" s="82"/>
      <c r="AI31" s="82"/>
      <c r="AJ31" s="82"/>
      <c r="AK31" s="82"/>
      <c r="AL31" s="83"/>
      <c r="AM31" s="83"/>
      <c r="AN31" s="82"/>
      <c r="AO31" s="83"/>
    </row>
    <row r="32" spans="1:45" s="68" customFormat="1" ht="24" customHeight="1" x14ac:dyDescent="0.3">
      <c r="A32" s="133"/>
      <c r="B32" s="67" t="s">
        <v>33</v>
      </c>
      <c r="C32" s="62">
        <f t="shared" si="4"/>
        <v>1709138.4377416861</v>
      </c>
      <c r="D32" s="82">
        <v>221009.28074245941</v>
      </c>
      <c r="E32" s="83">
        <v>73669.760247486469</v>
      </c>
      <c r="F32" s="82">
        <v>250477.18484145397</v>
      </c>
      <c r="G32" s="82">
        <v>250477.18484145397</v>
      </c>
      <c r="H32" s="82">
        <v>338880.89713843772</v>
      </c>
      <c r="I32" s="82">
        <v>383082.75328692963</v>
      </c>
      <c r="J32" s="82">
        <v>191541.37664346481</v>
      </c>
      <c r="K32" s="82"/>
      <c r="L32" s="82"/>
      <c r="M32" s="83"/>
      <c r="N32" s="82"/>
      <c r="O32" s="82"/>
      <c r="P32" s="82"/>
      <c r="Q32" s="83"/>
      <c r="R32" s="83"/>
      <c r="S32" s="83"/>
      <c r="T32" s="83"/>
      <c r="U32" s="83"/>
      <c r="V32" s="83"/>
      <c r="W32" s="82"/>
      <c r="X32" s="83"/>
      <c r="Y32" s="83"/>
      <c r="Z32" s="83"/>
      <c r="AA32" s="83"/>
      <c r="AB32" s="82"/>
      <c r="AC32" s="83"/>
      <c r="AD32" s="82"/>
      <c r="AE32" s="82"/>
      <c r="AF32" s="82"/>
      <c r="AG32" s="82"/>
      <c r="AH32" s="82"/>
      <c r="AI32" s="82"/>
      <c r="AJ32" s="82"/>
      <c r="AK32" s="82"/>
      <c r="AL32" s="83"/>
      <c r="AM32" s="83"/>
      <c r="AN32" s="82"/>
      <c r="AO32" s="83"/>
    </row>
    <row r="33" spans="1:41" s="68" customFormat="1" ht="24" customHeight="1" x14ac:dyDescent="0.3">
      <c r="A33" s="133"/>
      <c r="B33" s="67" t="s">
        <v>34</v>
      </c>
      <c r="C33" s="62">
        <f t="shared" si="4"/>
        <v>1297710.7501933491</v>
      </c>
      <c r="D33" s="82">
        <v>167807.4245939675</v>
      </c>
      <c r="E33" s="83">
        <v>55935.808197989172</v>
      </c>
      <c r="F33" s="82">
        <v>190181.7478731632</v>
      </c>
      <c r="G33" s="82">
        <v>190181.7478731632</v>
      </c>
      <c r="H33" s="82">
        <v>257304.71771075018</v>
      </c>
      <c r="I33" s="82">
        <v>290866.20262954372</v>
      </c>
      <c r="J33" s="82">
        <v>145433.10131477186</v>
      </c>
      <c r="K33" s="82"/>
      <c r="L33" s="82"/>
      <c r="M33" s="83"/>
      <c r="N33" s="82"/>
      <c r="O33" s="82"/>
      <c r="P33" s="82"/>
      <c r="Q33" s="83"/>
      <c r="R33" s="83"/>
      <c r="S33" s="83"/>
      <c r="T33" s="83"/>
      <c r="U33" s="83"/>
      <c r="V33" s="83"/>
      <c r="W33" s="82"/>
      <c r="X33" s="83"/>
      <c r="Y33" s="83"/>
      <c r="Z33" s="83"/>
      <c r="AA33" s="83"/>
      <c r="AB33" s="82"/>
      <c r="AC33" s="83"/>
      <c r="AD33" s="82"/>
      <c r="AE33" s="82"/>
      <c r="AF33" s="82"/>
      <c r="AG33" s="82"/>
      <c r="AH33" s="82"/>
      <c r="AI33" s="82"/>
      <c r="AJ33" s="82"/>
      <c r="AK33" s="82"/>
      <c r="AL33" s="83"/>
      <c r="AM33" s="83"/>
      <c r="AN33" s="82"/>
      <c r="AO33" s="83"/>
    </row>
    <row r="34" spans="1:41" s="68" customFormat="1" ht="24" customHeight="1" x14ac:dyDescent="0.3">
      <c r="A34" s="133"/>
      <c r="B34" s="67" t="s">
        <v>167</v>
      </c>
      <c r="C34" s="62">
        <f t="shared" si="4"/>
        <v>0</v>
      </c>
      <c r="D34" s="82"/>
      <c r="E34" s="83"/>
      <c r="F34" s="82"/>
      <c r="G34" s="82"/>
      <c r="H34" s="82"/>
      <c r="I34" s="82"/>
      <c r="J34" s="82"/>
      <c r="K34" s="82"/>
      <c r="L34" s="82"/>
      <c r="M34" s="83"/>
      <c r="N34" s="82"/>
      <c r="O34" s="82"/>
      <c r="P34" s="82"/>
      <c r="Q34" s="83"/>
      <c r="R34" s="83"/>
      <c r="S34" s="83"/>
      <c r="T34" s="83"/>
      <c r="U34" s="83"/>
      <c r="V34" s="83"/>
      <c r="W34" s="82"/>
      <c r="X34" s="83"/>
      <c r="Y34" s="83"/>
      <c r="Z34" s="83"/>
      <c r="AA34" s="83"/>
      <c r="AB34" s="82"/>
      <c r="AC34" s="83"/>
      <c r="AD34" s="82"/>
      <c r="AE34" s="82"/>
      <c r="AF34" s="82"/>
      <c r="AG34" s="82"/>
      <c r="AH34" s="82"/>
      <c r="AI34" s="82"/>
      <c r="AJ34" s="82"/>
      <c r="AK34" s="82"/>
      <c r="AL34" s="82"/>
      <c r="AM34" s="83"/>
      <c r="AN34" s="82"/>
      <c r="AO34" s="83"/>
    </row>
    <row r="35" spans="1:41" s="68" customFormat="1" ht="21.5" customHeight="1" x14ac:dyDescent="0.3">
      <c r="A35" s="133"/>
      <c r="B35" s="67" t="s">
        <v>35</v>
      </c>
      <c r="C35" s="62">
        <f t="shared" si="4"/>
        <v>3656874.3418406807</v>
      </c>
      <c r="D35" s="82">
        <v>472871.68213457073</v>
      </c>
      <c r="E35" s="83">
        <v>157623.89404485692</v>
      </c>
      <c r="F35" s="82">
        <v>535921.23975251347</v>
      </c>
      <c r="G35" s="82">
        <v>535921.23975251347</v>
      </c>
      <c r="H35" s="82">
        <v>725069.91260634176</v>
      </c>
      <c r="I35" s="82">
        <v>819644.24903325597</v>
      </c>
      <c r="J35" s="82">
        <v>409822.12451662798</v>
      </c>
      <c r="K35" s="82"/>
      <c r="L35" s="82"/>
      <c r="M35" s="83"/>
      <c r="N35" s="82"/>
      <c r="O35" s="82"/>
      <c r="P35" s="82"/>
      <c r="Q35" s="83"/>
      <c r="R35" s="83"/>
      <c r="S35" s="83"/>
      <c r="T35" s="83"/>
      <c r="U35" s="83"/>
      <c r="V35" s="83"/>
      <c r="W35" s="82"/>
      <c r="X35" s="83"/>
      <c r="Y35" s="83"/>
      <c r="Z35" s="83"/>
      <c r="AA35" s="83"/>
      <c r="AB35" s="82"/>
      <c r="AC35" s="83"/>
      <c r="AD35" s="82"/>
      <c r="AE35" s="82"/>
      <c r="AF35" s="82"/>
      <c r="AG35" s="82"/>
      <c r="AH35" s="82"/>
      <c r="AI35" s="82"/>
      <c r="AJ35" s="82"/>
      <c r="AK35" s="82"/>
      <c r="AL35" s="82"/>
      <c r="AM35" s="83"/>
      <c r="AN35" s="82"/>
      <c r="AO35" s="83"/>
    </row>
    <row r="36" spans="1:41" s="68" customFormat="1" ht="21" customHeight="1" x14ac:dyDescent="0.3">
      <c r="A36" s="133"/>
      <c r="B36" s="67" t="s">
        <v>36</v>
      </c>
      <c r="C36" s="62">
        <f t="shared" si="4"/>
        <v>3350000</v>
      </c>
      <c r="D36" s="82">
        <v>550000</v>
      </c>
      <c r="E36" s="83">
        <v>400000</v>
      </c>
      <c r="F36" s="82">
        <v>400000</v>
      </c>
      <c r="G36" s="82">
        <v>500000</v>
      </c>
      <c r="H36" s="82">
        <v>550000</v>
      </c>
      <c r="I36" s="82">
        <v>550000</v>
      </c>
      <c r="J36" s="82">
        <v>400000</v>
      </c>
      <c r="K36" s="82"/>
      <c r="L36" s="82"/>
      <c r="M36" s="83"/>
      <c r="N36" s="82"/>
      <c r="O36" s="82"/>
      <c r="P36" s="82"/>
      <c r="Q36" s="83"/>
      <c r="R36" s="83"/>
      <c r="S36" s="83"/>
      <c r="T36" s="83"/>
      <c r="U36" s="83"/>
      <c r="V36" s="83"/>
      <c r="W36" s="82"/>
      <c r="X36" s="83"/>
      <c r="Y36" s="83"/>
      <c r="Z36" s="83"/>
      <c r="AA36" s="83"/>
      <c r="AB36" s="82"/>
      <c r="AC36" s="83"/>
      <c r="AD36" s="82"/>
      <c r="AE36" s="82"/>
      <c r="AF36" s="82"/>
      <c r="AG36" s="82"/>
      <c r="AH36" s="82"/>
      <c r="AI36" s="82"/>
      <c r="AJ36" s="82"/>
      <c r="AK36" s="82"/>
      <c r="AL36" s="82"/>
      <c r="AM36" s="83"/>
      <c r="AN36" s="82"/>
      <c r="AO36" s="83"/>
    </row>
    <row r="37" spans="1:41" s="68" customFormat="1" ht="21.5" customHeight="1" x14ac:dyDescent="0.3">
      <c r="A37" s="133"/>
      <c r="B37" s="67" t="s">
        <v>37</v>
      </c>
      <c r="C37" s="62">
        <f t="shared" si="4"/>
        <v>1509427.6875483373</v>
      </c>
      <c r="D37" s="82">
        <v>183201.85614849188</v>
      </c>
      <c r="E37" s="83">
        <v>167733.95204949728</v>
      </c>
      <c r="F37" s="82">
        <v>206295.4369682908</v>
      </c>
      <c r="G37" s="82">
        <v>206295.4369682908</v>
      </c>
      <c r="H37" s="82">
        <v>275576.17942768754</v>
      </c>
      <c r="I37" s="82">
        <v>310216.5506573859</v>
      </c>
      <c r="J37" s="82">
        <v>160108.27532869295</v>
      </c>
      <c r="K37" s="82"/>
      <c r="L37" s="82"/>
      <c r="M37" s="83"/>
      <c r="N37" s="82"/>
      <c r="O37" s="82"/>
      <c r="P37" s="82"/>
      <c r="Q37" s="83"/>
      <c r="R37" s="83"/>
      <c r="S37" s="83"/>
      <c r="T37" s="83"/>
      <c r="U37" s="83"/>
      <c r="V37" s="83"/>
      <c r="W37" s="82"/>
      <c r="X37" s="83"/>
      <c r="Y37" s="83"/>
      <c r="Z37" s="83"/>
      <c r="AA37" s="83"/>
      <c r="AB37" s="82"/>
      <c r="AC37" s="83"/>
      <c r="AD37" s="82"/>
      <c r="AE37" s="82"/>
      <c r="AF37" s="82"/>
      <c r="AG37" s="82"/>
      <c r="AH37" s="82"/>
      <c r="AI37" s="82"/>
      <c r="AJ37" s="82"/>
      <c r="AK37" s="82"/>
      <c r="AL37" s="82"/>
      <c r="AM37" s="83"/>
      <c r="AN37" s="82"/>
      <c r="AO37" s="83"/>
    </row>
    <row r="38" spans="1:41" s="68" customFormat="1" ht="24" customHeight="1" x14ac:dyDescent="0.3">
      <c r="A38" s="133"/>
      <c r="B38" s="67" t="s">
        <v>38</v>
      </c>
      <c r="C38" s="62">
        <f t="shared" si="4"/>
        <v>1973704.5630317091</v>
      </c>
      <c r="D38" s="82">
        <v>255220.41763341066</v>
      </c>
      <c r="E38" s="83">
        <v>85073.47254447022</v>
      </c>
      <c r="F38" s="82">
        <v>289249.80665119877</v>
      </c>
      <c r="G38" s="82">
        <v>289249.80665119877</v>
      </c>
      <c r="H38" s="82">
        <v>391337.97370456305</v>
      </c>
      <c r="I38" s="82">
        <v>442382.05723124515</v>
      </c>
      <c r="J38" s="82">
        <v>221191.02861562258</v>
      </c>
      <c r="K38" s="82"/>
      <c r="L38" s="82"/>
      <c r="M38" s="83"/>
      <c r="N38" s="82"/>
      <c r="O38" s="82"/>
      <c r="P38" s="82"/>
      <c r="Q38" s="83"/>
      <c r="R38" s="83"/>
      <c r="S38" s="83"/>
      <c r="T38" s="83"/>
      <c r="U38" s="83"/>
      <c r="V38" s="83"/>
      <c r="W38" s="82"/>
      <c r="X38" s="83"/>
      <c r="Y38" s="83"/>
      <c r="Z38" s="83"/>
      <c r="AA38" s="83"/>
      <c r="AB38" s="82"/>
      <c r="AC38" s="83"/>
      <c r="AD38" s="83"/>
      <c r="AE38" s="82"/>
      <c r="AF38" s="82"/>
      <c r="AG38" s="82"/>
      <c r="AH38" s="82"/>
      <c r="AI38" s="82"/>
      <c r="AJ38" s="82"/>
      <c r="AK38" s="82"/>
      <c r="AL38" s="82"/>
      <c r="AM38" s="83"/>
      <c r="AN38" s="82"/>
      <c r="AO38" s="83"/>
    </row>
    <row r="39" spans="1:41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2"/>
      <c r="H39" s="82"/>
      <c r="I39" s="82"/>
      <c r="J39" s="82"/>
      <c r="K39" s="82"/>
      <c r="L39" s="82"/>
      <c r="M39" s="83"/>
      <c r="N39" s="82"/>
      <c r="O39" s="82"/>
      <c r="P39" s="82"/>
      <c r="Q39" s="83"/>
      <c r="R39" s="83"/>
      <c r="S39" s="83"/>
      <c r="T39" s="83"/>
      <c r="U39" s="83"/>
      <c r="V39" s="83"/>
      <c r="W39" s="82"/>
      <c r="X39" s="83"/>
      <c r="Y39" s="83"/>
      <c r="Z39" s="83"/>
      <c r="AA39" s="83"/>
      <c r="AB39" s="82"/>
      <c r="AC39" s="126"/>
      <c r="AD39" s="82"/>
      <c r="AE39" s="82"/>
      <c r="AF39" s="82"/>
      <c r="AG39" s="82"/>
      <c r="AH39" s="82"/>
      <c r="AI39" s="82"/>
      <c r="AJ39" s="82"/>
      <c r="AK39" s="82"/>
      <c r="AL39" s="82"/>
      <c r="AM39" s="83"/>
      <c r="AN39" s="82"/>
      <c r="AO39" s="89"/>
    </row>
    <row r="40" spans="1:41" s="68" customFormat="1" ht="25.5" customHeight="1" x14ac:dyDescent="0.3">
      <c r="A40" s="134"/>
      <c r="B40" s="67" t="s">
        <v>40</v>
      </c>
      <c r="C40" s="62">
        <f t="shared" si="4"/>
        <v>5811335.344160866</v>
      </c>
      <c r="D40" s="82">
        <v>751465.77726218104</v>
      </c>
      <c r="E40" s="83">
        <v>250488.59242072701</v>
      </c>
      <c r="F40" s="82">
        <v>851661.21423047176</v>
      </c>
      <c r="G40" s="82">
        <v>851661.21423047176</v>
      </c>
      <c r="H40" s="82">
        <v>1152247.5251353441</v>
      </c>
      <c r="I40" s="82">
        <v>1302540.6805877804</v>
      </c>
      <c r="J40" s="82">
        <v>651270.34029389021</v>
      </c>
      <c r="K40" s="82"/>
      <c r="L40" s="82"/>
      <c r="M40" s="83"/>
      <c r="N40" s="82"/>
      <c r="O40" s="82"/>
      <c r="P40" s="82"/>
      <c r="Q40" s="83"/>
      <c r="R40" s="83"/>
      <c r="S40" s="83"/>
      <c r="T40" s="83"/>
      <c r="U40" s="83"/>
      <c r="V40" s="83"/>
      <c r="W40" s="82"/>
      <c r="X40" s="83"/>
      <c r="Y40" s="83"/>
      <c r="Z40" s="83"/>
      <c r="AA40" s="83"/>
      <c r="AB40" s="82"/>
      <c r="AC40" s="83"/>
      <c r="AD40" s="82"/>
      <c r="AE40" s="82"/>
      <c r="AF40" s="82"/>
      <c r="AG40" s="82"/>
      <c r="AH40" s="82"/>
      <c r="AI40" s="82"/>
      <c r="AJ40" s="82"/>
      <c r="AK40" s="82"/>
      <c r="AL40" s="82"/>
      <c r="AM40" s="83"/>
      <c r="AN40" s="82"/>
      <c r="AO40" s="83"/>
    </row>
    <row r="41" spans="1:41" s="68" customFormat="1" ht="33" customHeight="1" x14ac:dyDescent="0.3">
      <c r="A41" s="135" t="s">
        <v>41</v>
      </c>
      <c r="B41" s="66" t="s">
        <v>42</v>
      </c>
      <c r="C41" s="62">
        <f t="shared" si="4"/>
        <v>18360607.52900232</v>
      </c>
      <c r="D41" s="82">
        <v>183483.75870069605</v>
      </c>
      <c r="E41" s="82">
        <v>61161.252900232023</v>
      </c>
      <c r="F41" s="82">
        <v>2357948</v>
      </c>
      <c r="G41" s="82">
        <v>207948.25986078888</v>
      </c>
      <c r="H41" s="82">
        <v>6681342</v>
      </c>
      <c r="I41" s="82">
        <v>8709705</v>
      </c>
      <c r="J41" s="82">
        <v>159019.25754060326</v>
      </c>
      <c r="K41" s="82"/>
      <c r="L41" s="82"/>
      <c r="M41" s="83"/>
      <c r="P41" s="82"/>
      <c r="Q41" s="82"/>
      <c r="R41" s="82"/>
      <c r="T41" s="83"/>
      <c r="U41" s="83"/>
      <c r="V41" s="83"/>
      <c r="X41" s="82"/>
      <c r="Y41" s="83"/>
      <c r="Z41" s="82"/>
      <c r="AA41" s="90"/>
      <c r="AB41" s="82"/>
      <c r="AC41" s="83"/>
      <c r="AD41" s="82"/>
      <c r="AE41" s="82"/>
      <c r="AF41" s="82"/>
      <c r="AG41" s="82"/>
      <c r="AH41" s="82"/>
      <c r="AI41" s="82"/>
      <c r="AK41" s="82"/>
      <c r="AO41" s="83"/>
    </row>
    <row r="42" spans="1:41" s="68" customFormat="1" ht="33" customHeight="1" x14ac:dyDescent="0.3">
      <c r="A42" s="135"/>
      <c r="B42" s="69" t="s">
        <v>43</v>
      </c>
      <c r="C42" s="62">
        <f t="shared" si="4"/>
        <v>3992000</v>
      </c>
      <c r="D42" s="82">
        <v>240000</v>
      </c>
      <c r="E42" s="83"/>
      <c r="F42" s="82">
        <v>235000</v>
      </c>
      <c r="G42" s="82"/>
      <c r="H42" s="82">
        <v>2587000</v>
      </c>
      <c r="I42" s="82">
        <v>130000</v>
      </c>
      <c r="J42" s="82">
        <v>800000</v>
      </c>
      <c r="K42" s="82"/>
      <c r="L42" s="82"/>
      <c r="M42" s="82"/>
      <c r="Q42" s="82"/>
      <c r="R42" s="82"/>
      <c r="T42" s="82"/>
      <c r="V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K42" s="82"/>
      <c r="AO42" s="82"/>
    </row>
    <row r="43" spans="1:41" s="68" customFormat="1" ht="54.5" customHeight="1" x14ac:dyDescent="0.3">
      <c r="A43" s="135"/>
      <c r="B43" s="69" t="s">
        <v>103</v>
      </c>
      <c r="C43" s="62">
        <f>SUM(D43:AO43)</f>
        <v>4409000</v>
      </c>
      <c r="D43" s="82">
        <v>525000</v>
      </c>
      <c r="E43" s="82">
        <v>135000</v>
      </c>
      <c r="F43" s="82">
        <v>309000</v>
      </c>
      <c r="G43" s="82">
        <v>753000</v>
      </c>
      <c r="H43" s="82">
        <v>1178000</v>
      </c>
      <c r="I43" s="82">
        <v>536000</v>
      </c>
      <c r="J43" s="67">
        <v>973000</v>
      </c>
      <c r="K43" s="67"/>
      <c r="L43" s="67"/>
      <c r="M43" s="82"/>
      <c r="N43" s="82"/>
      <c r="Q43" s="82"/>
      <c r="V43" s="82"/>
      <c r="W43" s="82"/>
      <c r="Y43" s="82"/>
      <c r="Z43" s="82"/>
      <c r="AA43" s="83"/>
      <c r="AC43" s="82"/>
      <c r="AD43" s="82"/>
      <c r="AE43" s="82"/>
      <c r="AF43" s="82"/>
      <c r="AH43" s="82"/>
      <c r="AJ43" s="82"/>
      <c r="AN43" s="82"/>
    </row>
    <row r="44" spans="1:41" s="93" customFormat="1" ht="13" x14ac:dyDescent="0.3">
      <c r="A44" s="91" t="s">
        <v>45</v>
      </c>
      <c r="B44" s="92"/>
      <c r="C44" s="62">
        <f>SUM(C30:C43)</f>
        <v>59915497.856161594</v>
      </c>
      <c r="D44" s="92">
        <f t="shared" ref="D44:AO44" si="5">SUM(D30:D43)</f>
        <v>5303476.2064085342</v>
      </c>
      <c r="E44" s="92">
        <f t="shared" si="5"/>
        <v>2015696.6897432371</v>
      </c>
      <c r="F44" s="92">
        <f t="shared" si="5"/>
        <v>7849681.6149598416</v>
      </c>
      <c r="G44" s="92">
        <f>SUM(G30:G43)</f>
        <v>6147584.8293592492</v>
      </c>
      <c r="H44" s="92">
        <f>SUM(H30:H43)</f>
        <v>16510891.205673095</v>
      </c>
      <c r="I44" s="92">
        <f>SUM(I30:I43)</f>
        <v>15983611.886734989</v>
      </c>
      <c r="J44" s="92">
        <f t="shared" si="5"/>
        <v>6104555.4232826522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 t="shared" si="5"/>
        <v>0</v>
      </c>
      <c r="Q44" s="92">
        <f t="shared" si="5"/>
        <v>0</v>
      </c>
      <c r="R44" s="92">
        <f t="shared" si="5"/>
        <v>0</v>
      </c>
      <c r="S44" s="92">
        <f>SUM(S30:S43)</f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  <c r="AM44" s="92">
        <f t="shared" si="5"/>
        <v>0</v>
      </c>
      <c r="AN44" s="92">
        <f t="shared" si="5"/>
        <v>0</v>
      </c>
      <c r="AO44" s="92">
        <f t="shared" si="5"/>
        <v>0</v>
      </c>
    </row>
    <row r="45" spans="1:41" s="96" customFormat="1" ht="13" x14ac:dyDescent="0.3">
      <c r="A45" s="94" t="s">
        <v>46</v>
      </c>
      <c r="B45" s="95"/>
      <c r="C45" s="62">
        <f t="shared" ref="C45:AO45" si="6">C29+C44</f>
        <v>591120716.85616159</v>
      </c>
      <c r="D45" s="95">
        <f t="shared" si="6"/>
        <v>67436481.20640853</v>
      </c>
      <c r="E45" s="95">
        <f t="shared" si="6"/>
        <v>24958366.689743236</v>
      </c>
      <c r="F45" s="95">
        <f t="shared" si="6"/>
        <v>80488945.614959836</v>
      </c>
      <c r="G45" s="95">
        <f>G29+G44</f>
        <v>78155483.829359248</v>
      </c>
      <c r="H45" s="95">
        <f>H29+H44</f>
        <v>165243462.2056731</v>
      </c>
      <c r="I45" s="95">
        <f>I29+I44</f>
        <v>115798421.88673499</v>
      </c>
      <c r="J45" s="95">
        <f t="shared" si="6"/>
        <v>59039555.423282653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  <c r="AM45" s="95">
        <f t="shared" si="6"/>
        <v>0</v>
      </c>
      <c r="AN45" s="95">
        <f t="shared" si="6"/>
        <v>0</v>
      </c>
      <c r="AO45" s="95">
        <f t="shared" si="6"/>
        <v>0</v>
      </c>
    </row>
    <row r="46" spans="1:41" s="93" customFormat="1" ht="13" x14ac:dyDescent="0.3">
      <c r="A46" s="92" t="s">
        <v>47</v>
      </c>
      <c r="B46" s="92"/>
      <c r="C46" s="62">
        <f>C4-C29</f>
        <v>175931964</v>
      </c>
      <c r="D46" s="97">
        <f t="shared" ref="D46:AO46" si="7">D4-D29</f>
        <v>17542995</v>
      </c>
      <c r="E46" s="97">
        <f t="shared" si="7"/>
        <v>10382330</v>
      </c>
      <c r="F46" s="97">
        <f t="shared" si="7"/>
        <v>22766736</v>
      </c>
      <c r="G46" s="97">
        <f>G4-G29</f>
        <v>25132617</v>
      </c>
      <c r="H46" s="97">
        <f>H4-H29</f>
        <v>48382429</v>
      </c>
      <c r="I46" s="97">
        <f>I4-I29</f>
        <v>28452190</v>
      </c>
      <c r="J46" s="97">
        <f t="shared" si="7"/>
        <v>23272667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  <c r="AM46" s="97">
        <f t="shared" si="7"/>
        <v>0</v>
      </c>
      <c r="AN46" s="97">
        <f t="shared" si="7"/>
        <v>0</v>
      </c>
      <c r="AO46" s="97">
        <f t="shared" si="7"/>
        <v>0</v>
      </c>
    </row>
    <row r="47" spans="1:41" s="100" customFormat="1" ht="13" x14ac:dyDescent="0.3">
      <c r="A47" s="98" t="s">
        <v>48</v>
      </c>
      <c r="B47" s="98"/>
      <c r="C47" s="62">
        <f>C4-C45</f>
        <v>116016466.14383841</v>
      </c>
      <c r="D47" s="99">
        <f t="shared" ref="D47:AO47" si="8">D4-D45</f>
        <v>12239518.79359147</v>
      </c>
      <c r="E47" s="99">
        <f t="shared" si="8"/>
        <v>8366633.3102567643</v>
      </c>
      <c r="F47" s="99">
        <f t="shared" si="8"/>
        <v>14917054.385040164</v>
      </c>
      <c r="G47" s="99">
        <f>G4-G45</f>
        <v>18985032.170640752</v>
      </c>
      <c r="H47" s="99">
        <f>H4-H45</f>
        <v>31871537.794326901</v>
      </c>
      <c r="I47" s="99">
        <f>I4-I45</f>
        <v>12468578.113265008</v>
      </c>
      <c r="J47" s="99">
        <f t="shared" si="8"/>
        <v>17168111.576717347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  <c r="AM47" s="99">
        <f t="shared" si="8"/>
        <v>0</v>
      </c>
      <c r="AN47" s="99">
        <f t="shared" si="8"/>
        <v>0</v>
      </c>
      <c r="AO47" s="99">
        <f t="shared" si="8"/>
        <v>0</v>
      </c>
    </row>
    <row r="48" spans="1:41" s="64" customFormat="1" ht="13" x14ac:dyDescent="0.3">
      <c r="A48" s="60" t="s">
        <v>29</v>
      </c>
      <c r="B48" s="60"/>
      <c r="C48" s="62">
        <f t="shared" ref="C48:AO48" si="9">C29</f>
        <v>531205219</v>
      </c>
      <c r="D48" s="61">
        <f t="shared" si="9"/>
        <v>62133005</v>
      </c>
      <c r="E48" s="61">
        <f t="shared" si="9"/>
        <v>22942670</v>
      </c>
      <c r="F48" s="61">
        <f t="shared" si="9"/>
        <v>72639264</v>
      </c>
      <c r="G48" s="61">
        <f>G29</f>
        <v>72007899</v>
      </c>
      <c r="H48" s="61">
        <f>H29</f>
        <v>148732571</v>
      </c>
      <c r="I48" s="61">
        <f>I29</f>
        <v>99814810</v>
      </c>
      <c r="J48" s="61">
        <f t="shared" si="9"/>
        <v>52935000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  <c r="AM48" s="61">
        <f t="shared" si="9"/>
        <v>0</v>
      </c>
      <c r="AN48" s="61">
        <f t="shared" si="9"/>
        <v>0</v>
      </c>
      <c r="AO48" s="61">
        <f t="shared" si="9"/>
        <v>0</v>
      </c>
    </row>
    <row r="49" spans="1:41" s="104" customFormat="1" ht="13" x14ac:dyDescent="0.3">
      <c r="A49" s="101" t="s">
        <v>49</v>
      </c>
      <c r="B49" s="102"/>
      <c r="C49" s="103">
        <f t="shared" ref="C49:AO49" si="10">C47/C4</f>
        <v>0.16406500596057386</v>
      </c>
      <c r="D49" s="101">
        <f t="shared" si="10"/>
        <v>0.15361613024739532</v>
      </c>
      <c r="E49" s="101">
        <f t="shared" si="10"/>
        <v>0.25106176474889014</v>
      </c>
      <c r="F49" s="101">
        <f t="shared" si="10"/>
        <v>0.15635341996352603</v>
      </c>
      <c r="G49" s="101">
        <f>G47/G4</f>
        <v>0.1954388647744135</v>
      </c>
      <c r="H49" s="101">
        <f>H47/H4</f>
        <v>0.16169006820549883</v>
      </c>
      <c r="I49" s="101">
        <f>I47/I4</f>
        <v>9.7207996704257588E-2</v>
      </c>
      <c r="J49" s="101">
        <f t="shared" si="10"/>
        <v>0.22528063451564981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  <c r="AM49" s="101" t="e">
        <f t="shared" si="10"/>
        <v>#DIV/0!</v>
      </c>
      <c r="AN49" s="101" t="e">
        <f t="shared" si="10"/>
        <v>#DIV/0!</v>
      </c>
      <c r="AO49" s="101" t="e">
        <f t="shared" si="10"/>
        <v>#DIV/0!</v>
      </c>
    </row>
    <row r="50" spans="1:41" s="104" customFormat="1" ht="13" x14ac:dyDescent="0.3">
      <c r="A50" s="101" t="s">
        <v>50</v>
      </c>
      <c r="B50" s="102"/>
      <c r="C50" s="103">
        <f t="shared" ref="C50:AO50" si="11">C46/C4</f>
        <v>0.24879467270214242</v>
      </c>
      <c r="D50" s="101">
        <f t="shared" si="11"/>
        <v>0.22017916311059793</v>
      </c>
      <c r="E50" s="101">
        <f t="shared" si="11"/>
        <v>0.31154778694673668</v>
      </c>
      <c r="F50" s="101">
        <f t="shared" si="11"/>
        <v>0.23863002326897678</v>
      </c>
      <c r="G50" s="101">
        <f>G46/G4</f>
        <v>0.25872435143334011</v>
      </c>
      <c r="H50" s="101">
        <f>H46/H4</f>
        <v>0.24545280166400324</v>
      </c>
      <c r="I50" s="101">
        <f>I46/I4</f>
        <v>0.2218200316527244</v>
      </c>
      <c r="J50" s="101">
        <f t="shared" si="11"/>
        <v>0.30538485058202869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  <c r="AM50" s="101" t="e">
        <f t="shared" si="11"/>
        <v>#DIV/0!</v>
      </c>
      <c r="AN50" s="101" t="e">
        <f t="shared" si="11"/>
        <v>#DIV/0!</v>
      </c>
      <c r="AO50" s="101" t="e">
        <f t="shared" si="11"/>
        <v>#DIV/0!</v>
      </c>
    </row>
    <row r="51" spans="1:41" s="104" customFormat="1" ht="13" x14ac:dyDescent="0.3">
      <c r="A51" s="101" t="s">
        <v>51</v>
      </c>
      <c r="B51" s="102"/>
      <c r="C51" s="103">
        <f>C47/C48</f>
        <v>0.21840234620104212</v>
      </c>
      <c r="D51" s="101">
        <f t="shared" ref="D51:AO51" si="12">D47/D48</f>
        <v>0.19698900437201564</v>
      </c>
      <c r="E51" s="101">
        <f t="shared" si="12"/>
        <v>0.36467565938300833</v>
      </c>
      <c r="F51" s="101">
        <f t="shared" si="12"/>
        <v>0.20535800562406806</v>
      </c>
      <c r="G51" s="101">
        <f>G47/G48</f>
        <v>0.26365207754000364</v>
      </c>
      <c r="H51" s="101">
        <f>H47/H48</f>
        <v>0.21428754697131472</v>
      </c>
      <c r="I51" s="101">
        <f>I47/I48</f>
        <v>0.12491711513817447</v>
      </c>
      <c r="J51" s="101">
        <f t="shared" si="12"/>
        <v>0.3243243898501435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  <c r="AM51" s="101" t="e">
        <f t="shared" si="12"/>
        <v>#DIV/0!</v>
      </c>
      <c r="AN51" s="101" t="e">
        <f t="shared" si="12"/>
        <v>#DIV/0!</v>
      </c>
      <c r="AO51" s="101" t="e">
        <f t="shared" si="12"/>
        <v>#DIV/0!</v>
      </c>
    </row>
    <row r="52" spans="1:41" s="105" customFormat="1" ht="13" x14ac:dyDescent="0.3">
      <c r="A52" s="101" t="s">
        <v>52</v>
      </c>
      <c r="B52" s="102"/>
      <c r="C52" s="103">
        <f t="shared" ref="C52:AO52" si="13">C47/C46</f>
        <v>0.65943938501043731</v>
      </c>
      <c r="D52" s="101">
        <f t="shared" si="13"/>
        <v>0.69768695673637648</v>
      </c>
      <c r="E52" s="101">
        <f t="shared" si="13"/>
        <v>0.80585314763225246</v>
      </c>
      <c r="F52" s="101">
        <f t="shared" si="13"/>
        <v>0.65521269210659638</v>
      </c>
      <c r="G52" s="101">
        <f>G47/G46</f>
        <v>0.75539416251959557</v>
      </c>
      <c r="H52" s="101">
        <f>H47/H46</f>
        <v>0.65874199483301887</v>
      </c>
      <c r="I52" s="101">
        <f>I47/I46</f>
        <v>0.43822911745159188</v>
      </c>
      <c r="J52" s="101">
        <f t="shared" si="13"/>
        <v>0.7376942048247993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  <c r="AM52" s="101" t="e">
        <f t="shared" si="13"/>
        <v>#DIV/0!</v>
      </c>
      <c r="AN52" s="101" t="e">
        <f t="shared" si="13"/>
        <v>#DIV/0!</v>
      </c>
      <c r="AO52" s="101" t="e">
        <f t="shared" si="13"/>
        <v>#DIV/0!</v>
      </c>
    </row>
    <row r="53" spans="1:41" s="108" customFormat="1" ht="13" x14ac:dyDescent="0.3">
      <c r="A53" s="106" t="s">
        <v>53</v>
      </c>
      <c r="B53" s="107"/>
      <c r="C53" s="87">
        <f>C45/C46</f>
        <v>3.3599392823021152</v>
      </c>
      <c r="D53" s="106">
        <f t="shared" ref="D53:AO53" si="14">D45/D46</f>
        <v>3.8440688837002193</v>
      </c>
      <c r="E53" s="106">
        <f t="shared" si="14"/>
        <v>2.4039273159053156</v>
      </c>
      <c r="F53" s="106">
        <f t="shared" si="14"/>
        <v>3.5353748387542172</v>
      </c>
      <c r="G53" s="106">
        <f>G45/G46</f>
        <v>3.1097232663577872</v>
      </c>
      <c r="H53" s="106">
        <f>H45/H46</f>
        <v>3.4153610230208389</v>
      </c>
      <c r="I53" s="106">
        <f>I45/I46</f>
        <v>4.0699300084364332</v>
      </c>
      <c r="J53" s="106">
        <f t="shared" si="14"/>
        <v>2.5368624671715816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  <c r="AM53" s="106" t="e">
        <f t="shared" si="14"/>
        <v>#DIV/0!</v>
      </c>
      <c r="AN53" s="106" t="e">
        <f t="shared" si="14"/>
        <v>#DIV/0!</v>
      </c>
      <c r="AO53" s="106" t="e">
        <f t="shared" si="14"/>
        <v>#DIV/0!</v>
      </c>
    </row>
    <row r="54" spans="1:41" s="110" customFormat="1" x14ac:dyDescent="0.3">
      <c r="A54" s="109" t="s">
        <v>54</v>
      </c>
      <c r="C54" s="111">
        <f t="shared" ref="C54:AO54" si="15">C48/C4</f>
        <v>0.75120532729785761</v>
      </c>
      <c r="D54" s="112">
        <f t="shared" si="15"/>
        <v>0.77982083688940207</v>
      </c>
      <c r="E54" s="112">
        <f t="shared" si="15"/>
        <v>0.68845221305326332</v>
      </c>
      <c r="F54" s="112">
        <f t="shared" si="15"/>
        <v>0.76136997673102325</v>
      </c>
      <c r="G54" s="112">
        <f>G48/G4</f>
        <v>0.74127564856665984</v>
      </c>
      <c r="H54" s="112">
        <f>H48/H4</f>
        <v>0.7545471983359967</v>
      </c>
      <c r="I54" s="112">
        <f>I48/I4</f>
        <v>0.77817996834727565</v>
      </c>
      <c r="J54" s="112">
        <f t="shared" si="15"/>
        <v>0.69461514941797131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  <c r="AM54" s="112" t="e">
        <f t="shared" si="15"/>
        <v>#DIV/0!</v>
      </c>
      <c r="AN54" s="112" t="e">
        <f t="shared" si="15"/>
        <v>#DIV/0!</v>
      </c>
      <c r="AO54" s="112" t="e">
        <f t="shared" si="15"/>
        <v>#DIV/0!</v>
      </c>
    </row>
    <row r="55" spans="1:41" s="110" customFormat="1" x14ac:dyDescent="0.3">
      <c r="A55" s="109" t="s">
        <v>55</v>
      </c>
      <c r="C55" s="111">
        <f t="shared" ref="C55:AO55" si="16">C44/C4</f>
        <v>8.4729666741568579E-2</v>
      </c>
      <c r="D55" s="112">
        <f t="shared" si="16"/>
        <v>6.6563032863202642E-2</v>
      </c>
      <c r="E55" s="112">
        <f t="shared" si="16"/>
        <v>6.0486022197846573E-2</v>
      </c>
      <c r="F55" s="112">
        <f t="shared" si="16"/>
        <v>8.2276603305450821E-2</v>
      </c>
      <c r="G55" s="112">
        <f>G44/G4</f>
        <v>6.3285486658926637E-2</v>
      </c>
      <c r="H55" s="112">
        <f>H44/H4</f>
        <v>8.3762733458504407E-2</v>
      </c>
      <c r="I55" s="112">
        <f>I44/I4</f>
        <v>0.12461203494846677</v>
      </c>
      <c r="J55" s="112">
        <f t="shared" si="16"/>
        <v>8.0104216066378894E-2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  <c r="AM55" s="112" t="e">
        <f t="shared" si="16"/>
        <v>#DIV/0!</v>
      </c>
      <c r="AN55" s="112" t="e">
        <f t="shared" si="16"/>
        <v>#DIV/0!</v>
      </c>
      <c r="AO55" s="112" t="e">
        <f t="shared" si="16"/>
        <v>#DIV/0!</v>
      </c>
    </row>
    <row r="56" spans="1:41" s="110" customFormat="1" x14ac:dyDescent="0.3">
      <c r="A56" s="113" t="s">
        <v>56</v>
      </c>
      <c r="C56" s="111">
        <f t="shared" ref="C56:AO56" si="17">C45/C4</f>
        <v>0.83593499403942617</v>
      </c>
      <c r="D56" s="112">
        <f t="shared" si="17"/>
        <v>0.84638386975260471</v>
      </c>
      <c r="E56" s="112">
        <f t="shared" si="17"/>
        <v>0.74893823525110981</v>
      </c>
      <c r="F56" s="112">
        <f t="shared" si="17"/>
        <v>0.84364658003647397</v>
      </c>
      <c r="G56" s="112">
        <f>G45/G4</f>
        <v>0.80456113522558648</v>
      </c>
      <c r="H56" s="112">
        <f>H45/H4</f>
        <v>0.8383099317945012</v>
      </c>
      <c r="I56" s="112">
        <f>I45/I4</f>
        <v>0.90279200329574238</v>
      </c>
      <c r="J56" s="112">
        <f t="shared" si="17"/>
        <v>0.77471936548435016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  <c r="AM56" s="112" t="e">
        <f t="shared" si="17"/>
        <v>#DIV/0!</v>
      </c>
      <c r="AN56" s="112" t="e">
        <f t="shared" si="17"/>
        <v>#DIV/0!</v>
      </c>
      <c r="AO56" s="112" t="e">
        <f t="shared" si="17"/>
        <v>#DIV/0!</v>
      </c>
    </row>
    <row r="57" spans="1:41" s="110" customFormat="1" x14ac:dyDescent="0.3">
      <c r="A57" s="113" t="s">
        <v>104</v>
      </c>
      <c r="C57" s="111">
        <f t="shared" ref="C57:AO57" si="18">SUM(C30:C39)/C44</f>
        <v>0.4563519617017846</v>
      </c>
      <c r="D57" s="112">
        <f t="shared" si="18"/>
        <v>0.67946503956994897</v>
      </c>
      <c r="E57" s="112">
        <f t="shared" si="18"/>
        <v>0.77841415943494252</v>
      </c>
      <c r="F57" s="112">
        <f t="shared" si="18"/>
        <v>0.52181382655356601</v>
      </c>
      <c r="G57" s="112">
        <f>SUM(G30:G39)/G44</f>
        <v>0.70515096181597781</v>
      </c>
      <c r="H57" s="112">
        <f>SUM(H30:H39)/H44</f>
        <v>0.29751886917224057</v>
      </c>
      <c r="I57" s="112">
        <f>SUM(I30:I39)/I44</f>
        <v>0.33192536478880613</v>
      </c>
      <c r="J57" s="112">
        <f t="shared" si="18"/>
        <v>0.5768259244593178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  <c r="AM57" s="112" t="e">
        <f t="shared" si="18"/>
        <v>#DIV/0!</v>
      </c>
      <c r="AN57" s="112" t="e">
        <f t="shared" si="18"/>
        <v>#DIV/0!</v>
      </c>
      <c r="AO57" s="112" t="e">
        <f t="shared" si="18"/>
        <v>#DIV/0!</v>
      </c>
    </row>
    <row r="58" spans="1:41" s="110" customFormat="1" x14ac:dyDescent="0.3">
      <c r="A58" s="113" t="s">
        <v>58</v>
      </c>
      <c r="C58" s="111">
        <f>C41/C44</f>
        <v>0.30644170850554237</v>
      </c>
      <c r="D58" s="112">
        <f t="shared" ref="D58:AO58" si="19">D41/D44</f>
        <v>3.4596885431291413E-2</v>
      </c>
      <c r="E58" s="112">
        <f t="shared" si="19"/>
        <v>3.0342488138938625E-2</v>
      </c>
      <c r="F58" s="112">
        <f t="shared" si="19"/>
        <v>0.30038772470799929</v>
      </c>
      <c r="G58" s="112">
        <f>G41/G44</f>
        <v>3.3826009015391324E-2</v>
      </c>
      <c r="H58" s="112">
        <f>H41/H44</f>
        <v>0.40466271122326275</v>
      </c>
      <c r="I58" s="112">
        <f>I41/I44</f>
        <v>0.54491469523407909</v>
      </c>
      <c r="J58" s="112">
        <f t="shared" si="19"/>
        <v>2.6049277386213415E-2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  <c r="AM58" s="112" t="e">
        <f t="shared" si="19"/>
        <v>#DIV/0!</v>
      </c>
      <c r="AN58" s="112" t="e">
        <f t="shared" si="19"/>
        <v>#DIV/0!</v>
      </c>
      <c r="AO58" s="112" t="e">
        <f t="shared" si="19"/>
        <v>#DIV/0!</v>
      </c>
    </row>
    <row r="59" spans="1:41" s="110" customFormat="1" x14ac:dyDescent="0.3">
      <c r="A59" s="113" t="s">
        <v>59</v>
      </c>
      <c r="C59" s="111">
        <f>C43/C44</f>
        <v>7.3586970946726213E-2</v>
      </c>
      <c r="D59" s="112">
        <f t="shared" ref="D59:AO59" si="20">D43/D44</f>
        <v>9.8991676320826796E-2</v>
      </c>
      <c r="E59" s="112">
        <f t="shared" si="20"/>
        <v>6.6974362108614932E-2</v>
      </c>
      <c r="F59" s="112">
        <f t="shared" si="20"/>
        <v>3.9364653900243678E-2</v>
      </c>
      <c r="G59" s="112">
        <f>G43/G44</f>
        <v>0.12248712639211905</v>
      </c>
      <c r="H59" s="112">
        <f>H43/H44</f>
        <v>7.1346845262673805E-2</v>
      </c>
      <c r="I59" s="112">
        <f>I43/I44</f>
        <v>3.3534347793118868E-2</v>
      </c>
      <c r="J59" s="112">
        <f t="shared" si="20"/>
        <v>0.15938916637385214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  <c r="AM59" s="112" t="e">
        <f t="shared" si="20"/>
        <v>#DIV/0!</v>
      </c>
      <c r="AN59" s="112" t="e">
        <f t="shared" si="20"/>
        <v>#DIV/0!</v>
      </c>
      <c r="AO59" s="112" t="e">
        <f t="shared" si="20"/>
        <v>#DIV/0!</v>
      </c>
    </row>
    <row r="60" spans="1:41" x14ac:dyDescent="0.3">
      <c r="A60" s="114"/>
    </row>
    <row r="61" spans="1:41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</row>
    <row r="62" spans="1:41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</row>
    <row r="63" spans="1:41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</row>
    <row r="64" spans="1:41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</row>
    <row r="65" spans="1:45" x14ac:dyDescent="0.3">
      <c r="B65" s="119"/>
    </row>
    <row r="66" spans="1:45" x14ac:dyDescent="0.3">
      <c r="B66" s="119"/>
    </row>
    <row r="67" spans="1:45" x14ac:dyDescent="0.3">
      <c r="B67" s="119"/>
    </row>
    <row r="68" spans="1:45" x14ac:dyDescent="0.3">
      <c r="B68" s="119"/>
    </row>
    <row r="69" spans="1:45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F8D5-F7A0-4F0D-8E3B-7F78B6E01A05}">
  <sheetPr codeName="Sheet21">
    <tabColor theme="5" tint="0.79998168889431442"/>
  </sheetPr>
  <dimension ref="A1:AP69"/>
  <sheetViews>
    <sheetView zoomScaleNormal="100"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192</v>
      </c>
      <c r="B4" s="61"/>
      <c r="C4" s="62">
        <f>SUM(D4:AL4)</f>
        <v>2352721669</v>
      </c>
      <c r="D4" s="61">
        <v>52823000</v>
      </c>
      <c r="E4" s="60">
        <v>127870000</v>
      </c>
      <c r="F4" s="60">
        <v>52788000</v>
      </c>
      <c r="G4" s="60">
        <v>42460903</v>
      </c>
      <c r="H4" s="63">
        <v>57355400</v>
      </c>
      <c r="I4" s="61">
        <v>41894000</v>
      </c>
      <c r="J4" s="65">
        <v>35734000</v>
      </c>
      <c r="K4" s="64">
        <v>44013000</v>
      </c>
      <c r="L4" s="64">
        <v>49787000</v>
      </c>
      <c r="M4" s="64">
        <v>81049000</v>
      </c>
      <c r="N4" s="65">
        <v>98157000</v>
      </c>
      <c r="O4" s="64">
        <v>33702000</v>
      </c>
      <c r="P4" s="64">
        <v>79323000</v>
      </c>
      <c r="Q4" s="64">
        <v>55951266</v>
      </c>
      <c r="R4" s="65">
        <v>106887000</v>
      </c>
      <c r="S4" s="64">
        <v>41896000</v>
      </c>
      <c r="T4" s="64">
        <v>48734000</v>
      </c>
      <c r="U4" s="64">
        <v>190030000</v>
      </c>
      <c r="V4" s="64">
        <v>62300800</v>
      </c>
      <c r="W4" s="64">
        <v>84039000</v>
      </c>
      <c r="X4" s="64">
        <v>98122000</v>
      </c>
      <c r="Y4" s="64">
        <v>28683000</v>
      </c>
      <c r="Z4" s="64">
        <v>58462000</v>
      </c>
      <c r="AA4" s="64">
        <v>41478000</v>
      </c>
      <c r="AB4" s="64">
        <v>72847000</v>
      </c>
      <c r="AC4" s="65">
        <v>28035000</v>
      </c>
      <c r="AD4" s="64">
        <v>65805000</v>
      </c>
      <c r="AE4" s="64">
        <v>36674000</v>
      </c>
      <c r="AF4" s="64">
        <v>110158300</v>
      </c>
      <c r="AG4" s="64">
        <v>42352000</v>
      </c>
      <c r="AH4" s="64">
        <v>76790000</v>
      </c>
      <c r="AI4" s="64">
        <v>180570000</v>
      </c>
      <c r="AJ4" s="64">
        <v>37470000</v>
      </c>
      <c r="AK4" s="64">
        <v>42868000</v>
      </c>
      <c r="AL4" s="64">
        <v>45613000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116750000</v>
      </c>
      <c r="D5" s="67">
        <v>15600000</v>
      </c>
      <c r="E5" s="62">
        <v>4500000</v>
      </c>
      <c r="F5" s="67">
        <v>6900000</v>
      </c>
      <c r="G5" s="67">
        <v>9850000</v>
      </c>
      <c r="H5" s="67"/>
      <c r="I5" s="67"/>
      <c r="K5" s="68">
        <v>4000000</v>
      </c>
      <c r="U5" s="68">
        <v>6800000</v>
      </c>
      <c r="W5" s="68">
        <v>9800000</v>
      </c>
      <c r="AB5" s="68">
        <v>6500000</v>
      </c>
      <c r="AC5" s="86">
        <v>2600000</v>
      </c>
      <c r="AD5" s="68">
        <v>3200000</v>
      </c>
      <c r="AF5" s="68">
        <v>13600000</v>
      </c>
      <c r="AH5" s="68">
        <v>18100000</v>
      </c>
      <c r="AI5" s="68">
        <v>8400000</v>
      </c>
      <c r="AJ5" s="68">
        <v>3000000</v>
      </c>
      <c r="AK5" s="68">
        <v>3900000</v>
      </c>
    </row>
    <row r="6" spans="1:38" s="68" customFormat="1" ht="13" x14ac:dyDescent="0.3">
      <c r="A6" s="69" t="s">
        <v>4</v>
      </c>
      <c r="B6" s="67"/>
      <c r="C6" s="62">
        <f t="shared" si="0"/>
        <v>7800000</v>
      </c>
      <c r="E6" s="62"/>
      <c r="F6" s="67"/>
      <c r="G6" s="67"/>
      <c r="H6" s="67"/>
      <c r="I6" s="67"/>
      <c r="R6" s="70"/>
      <c r="U6" s="68">
        <v>3500000</v>
      </c>
      <c r="W6" s="70">
        <v>4300000</v>
      </c>
      <c r="AI6" s="70"/>
    </row>
    <row r="7" spans="1:38" s="68" customFormat="1" ht="13" x14ac:dyDescent="0.3">
      <c r="A7" s="71" t="s">
        <v>5</v>
      </c>
      <c r="B7" s="67"/>
      <c r="C7" s="62">
        <f t="shared" si="0"/>
        <v>19817000</v>
      </c>
      <c r="D7" s="68">
        <v>7944000</v>
      </c>
      <c r="E7" s="62"/>
      <c r="F7" s="67"/>
      <c r="G7" s="67"/>
      <c r="H7" s="67"/>
      <c r="I7" s="67"/>
      <c r="O7" s="72">
        <v>2514000</v>
      </c>
      <c r="P7" s="72"/>
      <c r="R7" s="70"/>
      <c r="W7" s="70"/>
      <c r="X7" s="72"/>
      <c r="AB7" s="68">
        <v>2092000</v>
      </c>
      <c r="AD7" s="68">
        <v>2545000</v>
      </c>
      <c r="AH7" s="68">
        <v>2784000</v>
      </c>
      <c r="AI7" s="70">
        <v>1938000</v>
      </c>
    </row>
    <row r="8" spans="1:38" s="68" customFormat="1" ht="13" x14ac:dyDescent="0.3">
      <c r="A8" s="71"/>
      <c r="B8" s="67" t="s">
        <v>6</v>
      </c>
      <c r="C8" s="62">
        <f t="shared" si="0"/>
        <v>13</v>
      </c>
      <c r="D8" s="68">
        <v>1</v>
      </c>
      <c r="E8" s="67">
        <v>1</v>
      </c>
      <c r="F8" s="67">
        <v>0</v>
      </c>
      <c r="G8" s="67">
        <v>0</v>
      </c>
      <c r="H8" s="67">
        <v>0</v>
      </c>
      <c r="I8" s="67">
        <v>0</v>
      </c>
      <c r="J8" s="68">
        <v>0</v>
      </c>
      <c r="K8" s="68">
        <v>1</v>
      </c>
      <c r="L8" s="68">
        <v>0</v>
      </c>
      <c r="M8" s="68">
        <v>1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73">
        <v>0</v>
      </c>
      <c r="U8" s="73">
        <v>1</v>
      </c>
      <c r="V8" s="73">
        <v>1</v>
      </c>
      <c r="W8" s="73">
        <v>0</v>
      </c>
      <c r="X8" s="73">
        <v>0</v>
      </c>
      <c r="Y8" s="73">
        <v>0</v>
      </c>
      <c r="Z8" s="74">
        <v>0</v>
      </c>
      <c r="AA8" s="73">
        <v>0</v>
      </c>
      <c r="AB8" s="73">
        <v>1</v>
      </c>
      <c r="AC8" s="73">
        <v>1</v>
      </c>
      <c r="AD8" s="73">
        <v>0</v>
      </c>
      <c r="AE8" s="73">
        <v>0</v>
      </c>
      <c r="AF8" s="73">
        <v>0</v>
      </c>
      <c r="AG8" s="73">
        <v>0</v>
      </c>
      <c r="AH8" s="73">
        <v>2</v>
      </c>
      <c r="AI8" s="73">
        <v>1</v>
      </c>
      <c r="AJ8" s="73">
        <v>2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35</v>
      </c>
      <c r="D9" s="68">
        <v>4</v>
      </c>
      <c r="E9" s="67">
        <v>1</v>
      </c>
      <c r="F9" s="67">
        <v>2</v>
      </c>
      <c r="G9" s="67">
        <v>3</v>
      </c>
      <c r="H9" s="67">
        <v>0</v>
      </c>
      <c r="I9" s="67">
        <v>0</v>
      </c>
      <c r="J9" s="68">
        <v>0</v>
      </c>
      <c r="K9" s="68">
        <v>1</v>
      </c>
      <c r="L9" s="68">
        <v>2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75">
        <v>0</v>
      </c>
      <c r="U9" s="75">
        <v>2</v>
      </c>
      <c r="V9" s="73">
        <v>0</v>
      </c>
      <c r="W9" s="75">
        <v>2</v>
      </c>
      <c r="X9" s="75">
        <v>0</v>
      </c>
      <c r="Y9" s="75">
        <v>0</v>
      </c>
      <c r="Z9" s="75">
        <v>0</v>
      </c>
      <c r="AA9" s="75">
        <v>0</v>
      </c>
      <c r="AB9" s="75">
        <v>2</v>
      </c>
      <c r="AC9" s="75">
        <v>1</v>
      </c>
      <c r="AD9" s="75">
        <v>1</v>
      </c>
      <c r="AE9" s="75">
        <v>0</v>
      </c>
      <c r="AF9" s="75">
        <v>4</v>
      </c>
      <c r="AG9" s="75">
        <v>0</v>
      </c>
      <c r="AH9" s="75">
        <v>5</v>
      </c>
      <c r="AI9" s="75">
        <v>3</v>
      </c>
      <c r="AJ9" s="75">
        <v>1</v>
      </c>
      <c r="AK9" s="75">
        <v>1</v>
      </c>
      <c r="AL9" s="75">
        <v>0</v>
      </c>
    </row>
    <row r="10" spans="1:38" s="68" customFormat="1" ht="13" x14ac:dyDescent="0.3">
      <c r="A10" s="71"/>
      <c r="B10" s="67" t="s">
        <v>187</v>
      </c>
      <c r="C10" s="62">
        <f t="shared" si="0"/>
        <v>25</v>
      </c>
      <c r="D10" s="68">
        <v>0</v>
      </c>
      <c r="E10" s="67">
        <v>1</v>
      </c>
      <c r="F10" s="67">
        <v>1</v>
      </c>
      <c r="G10" s="67">
        <v>0</v>
      </c>
      <c r="H10" s="67">
        <v>0</v>
      </c>
      <c r="I10" s="67">
        <v>0</v>
      </c>
      <c r="J10" s="68">
        <v>0</v>
      </c>
      <c r="K10" s="68">
        <v>0</v>
      </c>
      <c r="L10" s="68">
        <v>1</v>
      </c>
      <c r="M10" s="68">
        <v>2</v>
      </c>
      <c r="N10" s="68">
        <v>0</v>
      </c>
      <c r="O10" s="68">
        <v>2</v>
      </c>
      <c r="P10" s="68">
        <v>0</v>
      </c>
      <c r="Q10" s="68">
        <v>0</v>
      </c>
      <c r="R10" s="68">
        <v>1</v>
      </c>
      <c r="S10" s="68">
        <v>0</v>
      </c>
      <c r="T10" s="75">
        <v>0</v>
      </c>
      <c r="U10" s="75">
        <v>0</v>
      </c>
      <c r="V10" s="73">
        <v>2</v>
      </c>
      <c r="W10" s="75">
        <v>2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5">
        <v>1</v>
      </c>
      <c r="AD10" s="75">
        <v>0</v>
      </c>
      <c r="AE10" s="75">
        <v>0</v>
      </c>
      <c r="AF10" s="75">
        <v>0</v>
      </c>
      <c r="AG10" s="75">
        <v>0</v>
      </c>
      <c r="AH10" s="75">
        <v>2</v>
      </c>
      <c r="AI10" s="75">
        <v>7</v>
      </c>
      <c r="AJ10" s="75">
        <v>3</v>
      </c>
      <c r="AK10" s="75">
        <v>0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1705212258.0645161</v>
      </c>
      <c r="D11" s="68">
        <v>41848387.096774191</v>
      </c>
      <c r="E11" s="67">
        <v>90003225.806451619</v>
      </c>
      <c r="F11" s="67">
        <v>37629032.258064516</v>
      </c>
      <c r="G11" s="67">
        <v>26314516.129032258</v>
      </c>
      <c r="H11" s="67">
        <v>42900000</v>
      </c>
      <c r="I11" s="67">
        <v>30600000</v>
      </c>
      <c r="J11" s="68">
        <v>28300000</v>
      </c>
      <c r="K11" s="68">
        <v>32203225.806451611</v>
      </c>
      <c r="L11" s="68">
        <v>36800000</v>
      </c>
      <c r="M11" s="68">
        <v>58200000</v>
      </c>
      <c r="N11" s="68">
        <v>72100000</v>
      </c>
      <c r="O11" s="68">
        <v>27700000</v>
      </c>
      <c r="P11" s="68">
        <v>59000000</v>
      </c>
      <c r="Q11" s="68">
        <v>41400000</v>
      </c>
      <c r="R11" s="68">
        <v>77600000</v>
      </c>
      <c r="S11" s="68">
        <v>31500000</v>
      </c>
      <c r="T11" s="75">
        <v>35700000</v>
      </c>
      <c r="U11" s="75">
        <v>134514516.12903228</v>
      </c>
      <c r="V11" s="73">
        <v>50200000</v>
      </c>
      <c r="W11" s="75">
        <v>50932258.064516127</v>
      </c>
      <c r="X11" s="75">
        <v>74000000</v>
      </c>
      <c r="Y11" s="75">
        <v>23300000</v>
      </c>
      <c r="Z11" s="75">
        <v>46400000</v>
      </c>
      <c r="AA11" s="75">
        <v>35000000</v>
      </c>
      <c r="AB11" s="75">
        <v>54261290.322580643</v>
      </c>
      <c r="AC11" s="75">
        <v>19400000</v>
      </c>
      <c r="AD11" s="75">
        <v>52200000</v>
      </c>
      <c r="AE11" s="75">
        <v>29300000</v>
      </c>
      <c r="AF11" s="75">
        <v>71680645.161290333</v>
      </c>
      <c r="AG11" s="75">
        <v>29700000</v>
      </c>
      <c r="AH11" s="75">
        <v>48341935.483870976</v>
      </c>
      <c r="AI11" s="75">
        <v>128358064.51612903</v>
      </c>
      <c r="AJ11" s="75">
        <v>23745161.290322579</v>
      </c>
      <c r="AK11" s="75">
        <v>30580000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313575900</v>
      </c>
      <c r="D12" s="67">
        <v>4928000</v>
      </c>
      <c r="E12" s="67">
        <v>21044000</v>
      </c>
      <c r="F12" s="62">
        <v>4288000</v>
      </c>
      <c r="G12" s="62">
        <v>2196000</v>
      </c>
      <c r="H12" s="62">
        <v>9385400</v>
      </c>
      <c r="I12" s="67">
        <v>6724000</v>
      </c>
      <c r="J12" s="68">
        <v>4064000</v>
      </c>
      <c r="K12" s="68">
        <v>4652000</v>
      </c>
      <c r="L12" s="68">
        <v>7020000</v>
      </c>
      <c r="M12" s="68">
        <v>12652000</v>
      </c>
      <c r="N12" s="68">
        <v>14112000</v>
      </c>
      <c r="O12" s="68">
        <v>5152000</v>
      </c>
      <c r="P12" s="68">
        <v>10672000</v>
      </c>
      <c r="Q12" s="68">
        <v>7248000</v>
      </c>
      <c r="R12" s="68">
        <v>17076000</v>
      </c>
      <c r="S12" s="68">
        <v>6436000</v>
      </c>
      <c r="T12" s="75">
        <v>7684000</v>
      </c>
      <c r="U12" s="75">
        <v>21732000</v>
      </c>
      <c r="V12" s="73">
        <v>6510800</v>
      </c>
      <c r="W12" s="75">
        <v>10140000</v>
      </c>
      <c r="X12" s="75">
        <v>14236000</v>
      </c>
      <c r="Y12" s="75">
        <v>2837400</v>
      </c>
      <c r="Z12" s="75">
        <v>6952000</v>
      </c>
      <c r="AA12" s="75">
        <v>4068000</v>
      </c>
      <c r="AB12" s="75">
        <v>11184000</v>
      </c>
      <c r="AC12" s="75">
        <v>2720000</v>
      </c>
      <c r="AD12" s="75">
        <v>10076000</v>
      </c>
      <c r="AE12" s="75">
        <v>4204000</v>
      </c>
      <c r="AF12" s="75">
        <v>15990300</v>
      </c>
      <c r="AG12" s="75">
        <v>5016000</v>
      </c>
      <c r="AH12" s="75">
        <v>7032000</v>
      </c>
      <c r="AI12" s="75">
        <v>27312000</v>
      </c>
      <c r="AJ12" s="75">
        <v>6936000</v>
      </c>
      <c r="AK12" s="75">
        <v>4948000</v>
      </c>
      <c r="AL12" s="75">
        <v>6348000</v>
      </c>
    </row>
    <row r="13" spans="1:38" s="68" customFormat="1" ht="13" x14ac:dyDescent="0.3">
      <c r="A13" s="129"/>
      <c r="B13" s="69" t="s">
        <v>12</v>
      </c>
      <c r="C13" s="62">
        <f t="shared" si="0"/>
        <v>88698548.387096778</v>
      </c>
      <c r="D13" s="67">
        <v>1274032.2580645161</v>
      </c>
      <c r="E13" s="68">
        <v>5555000</v>
      </c>
      <c r="F13" s="68">
        <v>1300000</v>
      </c>
      <c r="G13" s="68">
        <v>1332903.2258064516</v>
      </c>
      <c r="H13" s="68">
        <v>2480000</v>
      </c>
      <c r="I13" s="68">
        <v>1820000</v>
      </c>
      <c r="J13" s="68">
        <v>1240000</v>
      </c>
      <c r="K13" s="68">
        <v>1382096.7741935484</v>
      </c>
      <c r="L13" s="68">
        <v>1825000</v>
      </c>
      <c r="M13" s="68">
        <v>4270000</v>
      </c>
      <c r="N13" s="68">
        <v>4275000</v>
      </c>
      <c r="O13" s="68">
        <v>1640000</v>
      </c>
      <c r="P13" s="68">
        <v>4340000</v>
      </c>
      <c r="Q13" s="68">
        <v>2490000</v>
      </c>
      <c r="R13" s="68">
        <v>4480000</v>
      </c>
      <c r="S13" s="68">
        <v>1620000</v>
      </c>
      <c r="T13" s="73">
        <v>2270000</v>
      </c>
      <c r="U13" s="73">
        <v>6938709.6774193551</v>
      </c>
      <c r="V13" s="73">
        <v>1120000</v>
      </c>
      <c r="W13" s="73">
        <v>2270000</v>
      </c>
      <c r="X13" s="73">
        <v>3360000</v>
      </c>
      <c r="Y13" s="73">
        <v>940000</v>
      </c>
      <c r="Z13" s="73">
        <v>2290000</v>
      </c>
      <c r="AA13" s="73">
        <v>1280000</v>
      </c>
      <c r="AB13" s="73">
        <v>1900000</v>
      </c>
      <c r="AC13" s="73">
        <v>1345000</v>
      </c>
      <c r="AD13" s="73">
        <v>2575000</v>
      </c>
      <c r="AE13" s="73">
        <v>1380000</v>
      </c>
      <c r="AF13" s="73">
        <v>2136935.4838709678</v>
      </c>
      <c r="AG13" s="73">
        <v>1170000</v>
      </c>
      <c r="AH13" s="73">
        <v>2173548.3870967738</v>
      </c>
      <c r="AI13" s="73">
        <v>8384516.1290322589</v>
      </c>
      <c r="AJ13" s="73">
        <v>1755806.4516129033</v>
      </c>
      <c r="AK13" s="73">
        <v>1300000</v>
      </c>
      <c r="AL13" s="73">
        <v>2785000</v>
      </c>
    </row>
    <row r="14" spans="1:38" s="68" customFormat="1" ht="13" x14ac:dyDescent="0.3">
      <c r="A14" s="129"/>
      <c r="B14" s="69" t="s">
        <v>13</v>
      </c>
      <c r="C14" s="62">
        <f t="shared" si="0"/>
        <v>39891677.419354849</v>
      </c>
      <c r="D14" s="67">
        <v>613548.38709677418</v>
      </c>
      <c r="E14" s="67">
        <v>1817419.3548387098</v>
      </c>
      <c r="F14" s="68">
        <v>510000</v>
      </c>
      <c r="G14" s="68">
        <v>904838.70967741939</v>
      </c>
      <c r="H14" s="68">
        <v>880000</v>
      </c>
      <c r="I14" s="68">
        <v>810000</v>
      </c>
      <c r="J14" s="68">
        <v>330000</v>
      </c>
      <c r="K14" s="68">
        <v>653548.38709677418</v>
      </c>
      <c r="L14" s="68">
        <v>1020000</v>
      </c>
      <c r="M14" s="68">
        <v>1670000</v>
      </c>
      <c r="N14" s="68">
        <v>1800000</v>
      </c>
      <c r="O14" s="68">
        <v>720000</v>
      </c>
      <c r="P14" s="68">
        <v>1780000</v>
      </c>
      <c r="Q14" s="68">
        <v>1050000</v>
      </c>
      <c r="R14" s="68">
        <v>2190000</v>
      </c>
      <c r="S14" s="68">
        <v>630000</v>
      </c>
      <c r="T14" s="73">
        <v>900000</v>
      </c>
      <c r="U14" s="73">
        <v>2252903.2258064514</v>
      </c>
      <c r="V14" s="73">
        <v>1160000</v>
      </c>
      <c r="W14" s="73">
        <v>1500000</v>
      </c>
      <c r="X14" s="73">
        <v>1590000</v>
      </c>
      <c r="Y14" s="73">
        <v>540000</v>
      </c>
      <c r="Z14" s="73">
        <v>780000</v>
      </c>
      <c r="AA14" s="73">
        <v>830000</v>
      </c>
      <c r="AB14" s="73">
        <v>632000</v>
      </c>
      <c r="AC14" s="73">
        <v>660000</v>
      </c>
      <c r="AD14" s="73">
        <v>1290000</v>
      </c>
      <c r="AE14" s="73">
        <v>600000</v>
      </c>
      <c r="AF14" s="73">
        <v>2100967.7419354841</v>
      </c>
      <c r="AG14" s="73">
        <v>600000</v>
      </c>
      <c r="AH14" s="73">
        <v>898064.51612903236</v>
      </c>
      <c r="AI14" s="73">
        <v>3655483.8709677421</v>
      </c>
      <c r="AJ14" s="73">
        <v>602903.22580645164</v>
      </c>
      <c r="AK14" s="73">
        <v>840000</v>
      </c>
      <c r="AL14" s="73">
        <v>1080000</v>
      </c>
    </row>
    <row r="15" spans="1:38" s="68" customFormat="1" ht="13" x14ac:dyDescent="0.3">
      <c r="A15" s="129"/>
      <c r="B15" s="69" t="s">
        <v>14</v>
      </c>
      <c r="C15" s="62">
        <f t="shared" si="0"/>
        <v>36865161.290322579</v>
      </c>
      <c r="D15" s="67">
        <v>827096.77419354836</v>
      </c>
      <c r="E15" s="68">
        <v>1564516.1290322579</v>
      </c>
      <c r="F15" s="68">
        <v>1000000</v>
      </c>
      <c r="G15" s="68">
        <v>670967.74193548388</v>
      </c>
      <c r="H15" s="68">
        <v>600000</v>
      </c>
      <c r="I15" s="68">
        <v>700000</v>
      </c>
      <c r="J15" s="68">
        <v>700000</v>
      </c>
      <c r="K15" s="68">
        <v>422580.6451612903</v>
      </c>
      <c r="L15" s="68">
        <v>1000000</v>
      </c>
      <c r="M15" s="68">
        <v>1200000</v>
      </c>
      <c r="N15" s="68">
        <v>1800000</v>
      </c>
      <c r="O15" s="68">
        <v>600000</v>
      </c>
      <c r="P15" s="68">
        <v>1600000</v>
      </c>
      <c r="Q15" s="68">
        <v>1400000</v>
      </c>
      <c r="R15" s="68">
        <v>1600000</v>
      </c>
      <c r="S15" s="68">
        <v>900000</v>
      </c>
      <c r="T15" s="73">
        <v>800000</v>
      </c>
      <c r="U15" s="73">
        <v>2822580.6451612902</v>
      </c>
      <c r="V15" s="73">
        <v>1000000</v>
      </c>
      <c r="W15" s="73">
        <v>1200000</v>
      </c>
      <c r="X15" s="73">
        <v>1400000</v>
      </c>
      <c r="Y15" s="73">
        <v>600000</v>
      </c>
      <c r="Z15" s="73">
        <v>1200000</v>
      </c>
      <c r="AA15" s="73">
        <v>300000</v>
      </c>
      <c r="AB15" s="73">
        <v>729032.25806451612</v>
      </c>
      <c r="AC15" s="73">
        <v>500000</v>
      </c>
      <c r="AD15" s="73">
        <v>1290000</v>
      </c>
      <c r="AE15" s="73">
        <v>500000</v>
      </c>
      <c r="AF15" s="73">
        <v>1351612.9032258065</v>
      </c>
      <c r="AG15" s="73">
        <v>400000</v>
      </c>
      <c r="AH15" s="73">
        <v>861290.32258064509</v>
      </c>
      <c r="AI15" s="73">
        <v>3470645.1612903224</v>
      </c>
      <c r="AJ15" s="73">
        <v>754838.70967741939</v>
      </c>
      <c r="AK15" s="73">
        <v>400000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7766129.0322580645</v>
      </c>
      <c r="D16" s="67">
        <v>0</v>
      </c>
      <c r="E16" s="68">
        <v>0</v>
      </c>
      <c r="F16" s="68">
        <v>150000</v>
      </c>
      <c r="G16" s="68">
        <v>0</v>
      </c>
      <c r="H16" s="68">
        <v>350000</v>
      </c>
      <c r="I16" s="68">
        <v>400000</v>
      </c>
      <c r="J16" s="68">
        <v>0</v>
      </c>
      <c r="K16" s="68">
        <v>200000</v>
      </c>
      <c r="L16" s="68">
        <v>200000</v>
      </c>
      <c r="M16" s="68">
        <v>150000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300000</v>
      </c>
      <c r="U16" s="73">
        <v>5087096.7741935486</v>
      </c>
      <c r="V16" s="73">
        <v>0</v>
      </c>
      <c r="W16" s="73">
        <v>0</v>
      </c>
      <c r="X16" s="73">
        <v>200000</v>
      </c>
      <c r="Y16" s="76">
        <v>0</v>
      </c>
      <c r="Z16" s="76">
        <v>0</v>
      </c>
      <c r="AA16" s="76">
        <v>0</v>
      </c>
      <c r="AB16" s="76">
        <v>0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129032.25806451614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15938817.204301076</v>
      </c>
      <c r="D17" s="67">
        <v>487096.77419354836</v>
      </c>
      <c r="E17" s="68">
        <v>1864516.1290322579</v>
      </c>
      <c r="F17" s="68">
        <v>350000</v>
      </c>
      <c r="G17" s="68">
        <v>0</v>
      </c>
      <c r="H17" s="68">
        <v>0</v>
      </c>
      <c r="I17" s="68">
        <v>0</v>
      </c>
      <c r="J17" s="68">
        <v>740000</v>
      </c>
      <c r="K17" s="68">
        <v>0</v>
      </c>
      <c r="L17" s="68">
        <v>970000</v>
      </c>
      <c r="M17" s="68">
        <v>1300000</v>
      </c>
      <c r="N17" s="68">
        <v>1850000</v>
      </c>
      <c r="O17" s="68">
        <v>0</v>
      </c>
      <c r="P17" s="68">
        <v>0</v>
      </c>
      <c r="Q17" s="68">
        <v>1133333.3333333335</v>
      </c>
      <c r="R17" s="68">
        <v>1850000</v>
      </c>
      <c r="S17" s="68">
        <v>0</v>
      </c>
      <c r="T17" s="77">
        <v>0</v>
      </c>
      <c r="U17" s="77">
        <v>0</v>
      </c>
      <c r="V17" s="73">
        <v>0</v>
      </c>
      <c r="W17" s="70">
        <v>1450000</v>
      </c>
      <c r="X17" s="77">
        <v>1450000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1375806.4516129033</v>
      </c>
      <c r="AG17" s="77">
        <v>0</v>
      </c>
      <c r="AH17" s="70">
        <v>780645.16129032255</v>
      </c>
      <c r="AI17" s="77">
        <v>0</v>
      </c>
      <c r="AJ17" s="77">
        <v>337419.3548387097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43801032.258064516</v>
      </c>
      <c r="D18" s="67">
        <v>1133548.3870967743</v>
      </c>
      <c r="E18" s="68">
        <v>1997419.3548387098</v>
      </c>
      <c r="F18" s="68">
        <v>660000</v>
      </c>
      <c r="G18" s="68">
        <v>1241290.3225806453</v>
      </c>
      <c r="H18" s="68">
        <v>760000</v>
      </c>
      <c r="I18" s="68">
        <v>840000</v>
      </c>
      <c r="J18" s="68">
        <v>360000</v>
      </c>
      <c r="K18" s="68">
        <v>623548.38709677418</v>
      </c>
      <c r="L18" s="68">
        <v>1140000</v>
      </c>
      <c r="M18" s="68">
        <v>1700000</v>
      </c>
      <c r="N18" s="68">
        <v>2220000</v>
      </c>
      <c r="O18" s="68">
        <v>840000</v>
      </c>
      <c r="P18" s="68">
        <v>1890000</v>
      </c>
      <c r="Q18" s="68">
        <v>1260000</v>
      </c>
      <c r="R18" s="68">
        <v>2100000</v>
      </c>
      <c r="S18" s="68">
        <v>660000</v>
      </c>
      <c r="T18" s="78">
        <v>1080000</v>
      </c>
      <c r="U18" s="78">
        <v>3065806.4516129033</v>
      </c>
      <c r="V18" s="73">
        <v>2430000</v>
      </c>
      <c r="W18" s="78">
        <v>1740000</v>
      </c>
      <c r="X18" s="78">
        <v>1750000</v>
      </c>
      <c r="Y18" s="78">
        <v>450000</v>
      </c>
      <c r="Z18" s="78">
        <v>840000</v>
      </c>
      <c r="AA18" s="79">
        <v>0</v>
      </c>
      <c r="AB18" s="78">
        <v>812000</v>
      </c>
      <c r="AC18" s="78">
        <v>600000</v>
      </c>
      <c r="AD18" s="78">
        <v>1290000</v>
      </c>
      <c r="AE18" s="78">
        <v>690000</v>
      </c>
      <c r="AF18" s="78">
        <v>1830967.7419354839</v>
      </c>
      <c r="AG18" s="79">
        <v>0</v>
      </c>
      <c r="AH18" s="78">
        <v>928064.51612903236</v>
      </c>
      <c r="AI18" s="78">
        <v>4075483.8709677421</v>
      </c>
      <c r="AJ18" s="78">
        <v>692903.22580645164</v>
      </c>
      <c r="AK18" s="78">
        <v>900000</v>
      </c>
      <c r="AL18" s="78">
        <v>1200000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546537265.59139788</v>
      </c>
      <c r="D19" s="81">
        <f t="shared" ref="D19:AP19" si="1">SUM(D12:D18)</f>
        <v>9263322.5806451607</v>
      </c>
      <c r="E19" s="81">
        <f>SUM(E12:E18)</f>
        <v>33842870.967741936</v>
      </c>
      <c r="F19" s="81">
        <f t="shared" si="1"/>
        <v>8258000</v>
      </c>
      <c r="G19" s="81">
        <f t="shared" si="1"/>
        <v>6346000</v>
      </c>
      <c r="H19" s="81">
        <f>SUM(H12:H18)</f>
        <v>14455400</v>
      </c>
      <c r="I19" s="81">
        <f>SUM(I12:I18)</f>
        <v>11294000</v>
      </c>
      <c r="J19" s="81">
        <f t="shared" si="1"/>
        <v>7434000</v>
      </c>
      <c r="K19" s="81">
        <f t="shared" si="1"/>
        <v>7933774.1935483869</v>
      </c>
      <c r="L19" s="81">
        <f t="shared" si="1"/>
        <v>13175000</v>
      </c>
      <c r="M19" s="81">
        <f t="shared" si="1"/>
        <v>22942000</v>
      </c>
      <c r="N19" s="81">
        <f t="shared" si="1"/>
        <v>26057000</v>
      </c>
      <c r="O19" s="81">
        <f t="shared" si="1"/>
        <v>8952000</v>
      </c>
      <c r="P19" s="81">
        <f t="shared" si="1"/>
        <v>20332000</v>
      </c>
      <c r="Q19" s="81">
        <f>SUM(Q12:Q18)</f>
        <v>14581333.333333334</v>
      </c>
      <c r="R19" s="81">
        <f>SUM(R12:R18)</f>
        <v>29296000</v>
      </c>
      <c r="S19" s="81">
        <f>SUM(S12:S18)</f>
        <v>10396000</v>
      </c>
      <c r="T19" s="81">
        <f t="shared" si="1"/>
        <v>13034000</v>
      </c>
      <c r="U19" s="81">
        <f t="shared" si="1"/>
        <v>41899096.774193555</v>
      </c>
      <c r="V19" s="81">
        <f t="shared" si="1"/>
        <v>12220800</v>
      </c>
      <c r="W19" s="81">
        <f t="shared" si="1"/>
        <v>18300000</v>
      </c>
      <c r="X19" s="81">
        <f t="shared" si="1"/>
        <v>23986000</v>
      </c>
      <c r="Y19" s="81">
        <f t="shared" si="1"/>
        <v>5367400</v>
      </c>
      <c r="Z19" s="81">
        <f t="shared" si="1"/>
        <v>12062000</v>
      </c>
      <c r="AA19" s="81">
        <f t="shared" si="1"/>
        <v>6478000</v>
      </c>
      <c r="AB19" s="81">
        <f>SUM(AB12:AB18)</f>
        <v>15257032.258064516</v>
      </c>
      <c r="AC19" s="81">
        <f t="shared" si="1"/>
        <v>6025000</v>
      </c>
      <c r="AD19" s="81">
        <f t="shared" si="1"/>
        <v>16521000</v>
      </c>
      <c r="AE19" s="81">
        <f t="shared" si="1"/>
        <v>7374000</v>
      </c>
      <c r="AF19" s="81">
        <f>SUM(AF12:AF18)</f>
        <v>24836590.322580647</v>
      </c>
      <c r="AG19" s="81">
        <f t="shared" si="1"/>
        <v>7186000</v>
      </c>
      <c r="AH19" s="81">
        <f>SUM(AH12:AH18)</f>
        <v>12802645.161290321</v>
      </c>
      <c r="AI19" s="81">
        <f t="shared" si="1"/>
        <v>47048129.032258064</v>
      </c>
      <c r="AJ19" s="81">
        <f t="shared" si="1"/>
        <v>11079870.967741936</v>
      </c>
      <c r="AK19" s="81">
        <f>SUM(AK12:AK18)</f>
        <v>8388000</v>
      </c>
      <c r="AL19" s="81">
        <f t="shared" si="1"/>
        <v>12113000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1466916666.666667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50000000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24666666.666666668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29364000</v>
      </c>
      <c r="D22" s="67"/>
      <c r="E22" s="82"/>
      <c r="G22" s="82"/>
      <c r="J22" s="68">
        <v>5327000</v>
      </c>
      <c r="K22" s="68">
        <v>1800000</v>
      </c>
      <c r="L22" s="68">
        <v>1800000</v>
      </c>
      <c r="O22" s="82"/>
      <c r="P22" s="82"/>
      <c r="R22" s="68">
        <v>1600000</v>
      </c>
      <c r="T22" s="82"/>
      <c r="U22" s="82">
        <v>1450000</v>
      </c>
      <c r="W22" s="82"/>
      <c r="X22" s="82"/>
      <c r="Z22" s="82">
        <v>9848000</v>
      </c>
      <c r="AA22" s="83"/>
      <c r="AB22" s="82">
        <v>6539000</v>
      </c>
      <c r="AC22" s="82">
        <v>1000000</v>
      </c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253431534</v>
      </c>
      <c r="D23" s="82">
        <v>4713706</v>
      </c>
      <c r="E23" s="86">
        <v>14666702</v>
      </c>
      <c r="F23" s="82">
        <v>5685725</v>
      </c>
      <c r="G23" s="82">
        <v>2927966</v>
      </c>
      <c r="H23" s="86">
        <v>8903110</v>
      </c>
      <c r="I23" s="83">
        <v>4783514</v>
      </c>
      <c r="J23" s="83">
        <v>5013101</v>
      </c>
      <c r="K23" s="83">
        <v>4381582</v>
      </c>
      <c r="L23" s="82">
        <v>6125263</v>
      </c>
      <c r="M23" s="82">
        <v>13998398</v>
      </c>
      <c r="N23" s="83">
        <v>4359398</v>
      </c>
      <c r="O23" s="83">
        <v>4305420</v>
      </c>
      <c r="P23" s="83">
        <v>8209858</v>
      </c>
      <c r="Q23" s="83">
        <v>6906665</v>
      </c>
      <c r="R23" s="82">
        <v>13530586</v>
      </c>
      <c r="S23" s="83">
        <v>5717672</v>
      </c>
      <c r="T23" s="82">
        <v>5184497</v>
      </c>
      <c r="U23" s="83">
        <v>15448104</v>
      </c>
      <c r="V23" s="83">
        <v>5446678</v>
      </c>
      <c r="W23" s="83">
        <v>7436167</v>
      </c>
      <c r="X23" s="83">
        <v>10431806</v>
      </c>
      <c r="Y23" s="83">
        <v>2397341</v>
      </c>
      <c r="Z23" s="82">
        <v>6057720</v>
      </c>
      <c r="AA23" s="82">
        <v>3925692</v>
      </c>
      <c r="AB23" s="83">
        <v>11110398</v>
      </c>
      <c r="AC23" s="82">
        <v>3350000</v>
      </c>
      <c r="AD23" s="83">
        <v>6868109</v>
      </c>
      <c r="AE23" s="83">
        <v>3888324</v>
      </c>
      <c r="AF23" s="82">
        <v>12587249</v>
      </c>
      <c r="AG23" s="82">
        <v>4863629</v>
      </c>
      <c r="AH23" s="82">
        <v>7392844</v>
      </c>
      <c r="AI23" s="83">
        <v>19200888</v>
      </c>
      <c r="AJ23" s="83">
        <v>3891586</v>
      </c>
      <c r="AK23" s="83">
        <v>4002480</v>
      </c>
      <c r="AL23" s="83">
        <v>5719356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83653520</v>
      </c>
      <c r="D24" s="82">
        <v>913100</v>
      </c>
      <c r="E24" s="82">
        <v>7341600</v>
      </c>
      <c r="F24" s="82">
        <v>1233950</v>
      </c>
      <c r="G24" s="82">
        <v>592250</v>
      </c>
      <c r="H24" s="86">
        <v>2667310</v>
      </c>
      <c r="I24" s="83">
        <v>1979150</v>
      </c>
      <c r="J24" s="83">
        <v>1120000</v>
      </c>
      <c r="K24" s="83">
        <v>1731900</v>
      </c>
      <c r="L24" s="82">
        <v>1669800</v>
      </c>
      <c r="M24" s="82">
        <v>861000</v>
      </c>
      <c r="N24" s="83">
        <v>6024850</v>
      </c>
      <c r="O24" s="83">
        <v>1228200</v>
      </c>
      <c r="P24" s="83">
        <v>6038650</v>
      </c>
      <c r="Q24" s="83">
        <v>944150</v>
      </c>
      <c r="R24" s="82">
        <v>3200000</v>
      </c>
      <c r="S24" s="83">
        <v>1700160</v>
      </c>
      <c r="T24" s="82">
        <v>2137850</v>
      </c>
      <c r="U24" s="83">
        <v>7138050</v>
      </c>
      <c r="V24" s="83">
        <v>1385750</v>
      </c>
      <c r="W24" s="83">
        <v>850280</v>
      </c>
      <c r="X24" s="83">
        <v>2449500</v>
      </c>
      <c r="Y24" s="83">
        <v>985550</v>
      </c>
      <c r="Z24" s="82">
        <v>3200910</v>
      </c>
      <c r="AA24" s="82">
        <v>1033850</v>
      </c>
      <c r="AB24" s="83">
        <v>1966960</v>
      </c>
      <c r="AC24" s="82">
        <v>688275</v>
      </c>
      <c r="AD24" s="83">
        <v>3770850</v>
      </c>
      <c r="AE24" s="83">
        <v>1167365</v>
      </c>
      <c r="AF24" s="82">
        <v>2394300</v>
      </c>
      <c r="AG24" s="82">
        <v>882050</v>
      </c>
      <c r="AH24" s="82">
        <v>0</v>
      </c>
      <c r="AI24" s="83">
        <v>9158310</v>
      </c>
      <c r="AJ24" s="83">
        <v>938000</v>
      </c>
      <c r="AK24" s="83">
        <v>1329400</v>
      </c>
      <c r="AL24" s="83">
        <v>2930200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14285303.666666668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204300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6150000</v>
      </c>
      <c r="D26" s="82">
        <v>150000</v>
      </c>
      <c r="E26" s="82">
        <v>200000</v>
      </c>
      <c r="F26" s="82"/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300000</v>
      </c>
      <c r="N26" s="83">
        <v>300000</v>
      </c>
      <c r="O26" s="83">
        <v>200000</v>
      </c>
      <c r="P26" s="83">
        <v>300000</v>
      </c>
      <c r="Q26" s="83">
        <v>200000</v>
      </c>
      <c r="R26" s="82">
        <v>300000</v>
      </c>
      <c r="S26" s="83">
        <v>150000</v>
      </c>
      <c r="T26" s="82">
        <v>200000</v>
      </c>
      <c r="U26" s="83">
        <v>200000</v>
      </c>
      <c r="V26" s="83">
        <v>300000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500000</v>
      </c>
      <c r="AF26" s="82">
        <v>200000</v>
      </c>
      <c r="AG26" s="82"/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1853801024.3333337</v>
      </c>
      <c r="D29" s="60">
        <f>SUM(D21:D28)</f>
        <v>37156906</v>
      </c>
      <c r="E29" s="60">
        <f t="shared" ref="E29:AL29" si="3">SUM(E21:E28)</f>
        <v>102709302</v>
      </c>
      <c r="F29" s="60">
        <f t="shared" si="3"/>
        <v>44164675</v>
      </c>
      <c r="G29" s="60">
        <f t="shared" si="3"/>
        <v>27098549</v>
      </c>
      <c r="H29" s="60">
        <f t="shared" si="3"/>
        <v>45315420</v>
      </c>
      <c r="I29" s="60">
        <f t="shared" si="3"/>
        <v>31182664</v>
      </c>
      <c r="J29" s="60">
        <f t="shared" si="3"/>
        <v>31746602</v>
      </c>
      <c r="K29" s="60">
        <f t="shared" si="3"/>
        <v>35399983</v>
      </c>
      <c r="L29" s="60">
        <f t="shared" si="3"/>
        <v>43114063</v>
      </c>
      <c r="M29" s="60">
        <f t="shared" si="3"/>
        <v>63220899</v>
      </c>
      <c r="N29" s="60">
        <f t="shared" si="3"/>
        <v>77745749</v>
      </c>
      <c r="O29" s="60">
        <f t="shared" si="3"/>
        <v>35955120</v>
      </c>
      <c r="P29" s="60">
        <f t="shared" si="3"/>
        <v>55013507</v>
      </c>
      <c r="Q29" s="60">
        <f>SUM(Q21:Q28)</f>
        <v>32493815</v>
      </c>
      <c r="R29" s="60">
        <f t="shared" si="3"/>
        <v>79107086</v>
      </c>
      <c r="S29" s="60">
        <f t="shared" si="3"/>
        <v>31287832</v>
      </c>
      <c r="T29" s="60">
        <f t="shared" si="3"/>
        <v>32767347</v>
      </c>
      <c r="U29" s="60">
        <f t="shared" si="3"/>
        <v>135264154</v>
      </c>
      <c r="V29" s="60">
        <f t="shared" si="3"/>
        <v>57336728</v>
      </c>
      <c r="W29" s="60">
        <f t="shared" si="3"/>
        <v>59081447</v>
      </c>
      <c r="X29" s="60">
        <f t="shared" si="3"/>
        <v>83151206</v>
      </c>
      <c r="Y29" s="60">
        <f t="shared" si="3"/>
        <v>21668891</v>
      </c>
      <c r="Z29" s="60">
        <f t="shared" si="3"/>
        <v>56373130</v>
      </c>
      <c r="AA29" s="60">
        <f t="shared" si="3"/>
        <v>25374542</v>
      </c>
      <c r="AB29" s="60">
        <f>SUM(AB21:AB28)</f>
        <v>64036358</v>
      </c>
      <c r="AC29" s="60">
        <f t="shared" si="3"/>
        <v>22074775</v>
      </c>
      <c r="AD29" s="60">
        <f t="shared" si="3"/>
        <v>56183959</v>
      </c>
      <c r="AE29" s="60">
        <f t="shared" si="3"/>
        <v>30467355.666666668</v>
      </c>
      <c r="AF29" s="60">
        <f t="shared" si="3"/>
        <v>82393215.666666657</v>
      </c>
      <c r="AG29" s="60">
        <f t="shared" si="3"/>
        <v>32485680</v>
      </c>
      <c r="AH29" s="60">
        <f t="shared" si="3"/>
        <v>62992844</v>
      </c>
      <c r="AI29" s="60">
        <f t="shared" si="3"/>
        <v>159829198</v>
      </c>
      <c r="AJ29" s="60">
        <f>SUM(AJ21:AJ28)</f>
        <v>32686586</v>
      </c>
      <c r="AK29" s="60">
        <f t="shared" si="3"/>
        <v>31801880</v>
      </c>
      <c r="AL29" s="60">
        <f t="shared" si="3"/>
        <v>35119556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51289034.327631705</v>
      </c>
      <c r="D30" s="82">
        <v>1203099.642335288</v>
      </c>
      <c r="E30" s="83">
        <v>2340304.3309980691</v>
      </c>
      <c r="F30" s="82">
        <v>923411.83455373056</v>
      </c>
      <c r="G30" s="82">
        <v>736964.10548487131</v>
      </c>
      <c r="H30" s="82">
        <v>923615.29779977317</v>
      </c>
      <c r="I30" s="82">
        <v>934890.88575096289</v>
      </c>
      <c r="J30" s="83">
        <v>1102201.2229249696</v>
      </c>
      <c r="K30" s="82">
        <v>788860.45381427999</v>
      </c>
      <c r="L30" s="82">
        <v>1018701.843466011</v>
      </c>
      <c r="M30" s="82">
        <v>1744240.8094314791</v>
      </c>
      <c r="N30" s="83">
        <v>1955270.1176792586</v>
      </c>
      <c r="O30" s="83">
        <v>650730.1587301587</v>
      </c>
      <c r="P30" s="83">
        <v>2200669.7898996342</v>
      </c>
      <c r="Q30" s="83">
        <v>2181935.6823205082</v>
      </c>
      <c r="R30" s="83">
        <v>1849757.1889879173</v>
      </c>
      <c r="S30" s="83">
        <v>1170000</v>
      </c>
      <c r="T30" s="82">
        <v>1274152.105907206</v>
      </c>
      <c r="U30" s="83">
        <v>4573733.9033529116</v>
      </c>
      <c r="V30" s="83">
        <v>1306151.3647150712</v>
      </c>
      <c r="W30" s="83">
        <v>1439585.2680089956</v>
      </c>
      <c r="X30" s="83">
        <v>2802811.065614034</v>
      </c>
      <c r="Y30" s="82">
        <v>649145.46088575048</v>
      </c>
      <c r="Z30" s="83">
        <v>1587368.4210526315</v>
      </c>
      <c r="AA30" s="82">
        <v>701473.68421052629</v>
      </c>
      <c r="AB30" s="82">
        <v>1370185.5294618991</v>
      </c>
      <c r="AC30" s="82">
        <v>642922.13808807079</v>
      </c>
      <c r="AD30" s="82">
        <v>1948006.022265733</v>
      </c>
      <c r="AE30" s="82">
        <v>912574.65356691519</v>
      </c>
      <c r="AF30" s="82">
        <v>2206049.6213055183</v>
      </c>
      <c r="AG30" s="82">
        <v>943788.5064776747</v>
      </c>
      <c r="AH30" s="82">
        <v>1182373.4095696418</v>
      </c>
      <c r="AI30" s="83">
        <v>4036302.4342364604</v>
      </c>
      <c r="AJ30" s="83">
        <v>190996.89698492462</v>
      </c>
      <c r="AK30" s="82">
        <v>848907.32692933327</v>
      </c>
      <c r="AL30" s="83">
        <v>947853.15082149941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4668213.4570765663</v>
      </c>
      <c r="D31" s="82">
        <v>92807.424593967517</v>
      </c>
      <c r="E31" s="83">
        <v>204176.33410672855</v>
      </c>
      <c r="F31" s="82">
        <v>111368.90951276102</v>
      </c>
      <c r="G31" s="82">
        <v>74245.939675174013</v>
      </c>
      <c r="H31" s="82">
        <v>83526.682134570758</v>
      </c>
      <c r="I31" s="82">
        <v>74245.939675174013</v>
      </c>
      <c r="J31" s="83">
        <v>83526.682134570758</v>
      </c>
      <c r="K31" s="82">
        <v>83526.682134570758</v>
      </c>
      <c r="L31" s="82">
        <v>102088.16705336428</v>
      </c>
      <c r="M31" s="82">
        <v>176334.10672853829</v>
      </c>
      <c r="N31" s="83">
        <v>176334.10672853829</v>
      </c>
      <c r="O31" s="83">
        <v>83526.682134570758</v>
      </c>
      <c r="P31" s="83">
        <v>176334.10672853829</v>
      </c>
      <c r="Q31" s="83">
        <v>157772.62180974477</v>
      </c>
      <c r="R31" s="83">
        <v>167053.36426914152</v>
      </c>
      <c r="S31" s="83">
        <v>83526.682134570758</v>
      </c>
      <c r="T31" s="82">
        <v>92807.424593967517</v>
      </c>
      <c r="U31" s="83">
        <v>352668.21345707658</v>
      </c>
      <c r="V31" s="83">
        <v>139211.13689095128</v>
      </c>
      <c r="W31" s="83">
        <v>148491.87935034803</v>
      </c>
      <c r="X31" s="83">
        <v>222737.81902552204</v>
      </c>
      <c r="Y31" s="82">
        <v>55684.45475638051</v>
      </c>
      <c r="Z31" s="83">
        <v>120649.65197215776</v>
      </c>
      <c r="AA31" s="82">
        <v>55684.45475638051</v>
      </c>
      <c r="AB31" s="82">
        <v>120649.65197215776</v>
      </c>
      <c r="AC31" s="82">
        <v>64965.197215777262</v>
      </c>
      <c r="AD31" s="82">
        <v>167053.36426914152</v>
      </c>
      <c r="AE31" s="82">
        <v>74245.939675174013</v>
      </c>
      <c r="AF31" s="82">
        <v>185614.84918793503</v>
      </c>
      <c r="AG31" s="82">
        <v>74245.939675174013</v>
      </c>
      <c r="AH31" s="82">
        <v>148491.87935034803</v>
      </c>
      <c r="AI31" s="83">
        <v>464037.12296983757</v>
      </c>
      <c r="AJ31" s="83">
        <v>102088.16705336428</v>
      </c>
      <c r="AK31" s="82">
        <v>74245.939675174013</v>
      </c>
      <c r="AL31" s="83">
        <v>74245.939675174013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7145177.8808971383</v>
      </c>
      <c r="D32" s="82">
        <v>147339.52049497294</v>
      </c>
      <c r="E32" s="83">
        <v>324146.94508894044</v>
      </c>
      <c r="F32" s="82">
        <v>176807.4245939675</v>
      </c>
      <c r="G32" s="82">
        <v>117871.61639597834</v>
      </c>
      <c r="H32" s="82">
        <v>132605.56844547566</v>
      </c>
      <c r="I32" s="82">
        <v>117871.61639597834</v>
      </c>
      <c r="J32" s="83">
        <v>132605.56844547566</v>
      </c>
      <c r="K32" s="82">
        <v>132605.56844547566</v>
      </c>
      <c r="L32" s="82">
        <v>162073.47254447022</v>
      </c>
      <c r="M32" s="82">
        <v>279945.08894044859</v>
      </c>
      <c r="N32" s="83">
        <v>279945.08894044859</v>
      </c>
      <c r="O32" s="83">
        <v>132605.56844547566</v>
      </c>
      <c r="P32" s="83">
        <v>279945.08894044859</v>
      </c>
      <c r="Q32" s="83">
        <v>250477.18484145397</v>
      </c>
      <c r="R32" s="83">
        <v>265211.13689095131</v>
      </c>
      <c r="S32" s="83">
        <v>132605.56844547566</v>
      </c>
      <c r="T32" s="82">
        <v>147339.52049497294</v>
      </c>
      <c r="U32" s="83">
        <v>293890.17788089713</v>
      </c>
      <c r="V32" s="83">
        <v>221009.28074245941</v>
      </c>
      <c r="W32" s="83">
        <v>235743.23279195669</v>
      </c>
      <c r="X32" s="83">
        <v>353614.849187935</v>
      </c>
      <c r="Y32" s="82">
        <v>88403.712296983751</v>
      </c>
      <c r="Z32" s="83">
        <v>191541.37664346481</v>
      </c>
      <c r="AA32" s="82">
        <v>88403.712296983751</v>
      </c>
      <c r="AB32" s="82">
        <v>191541.37664346481</v>
      </c>
      <c r="AC32" s="82">
        <v>103137.66434648105</v>
      </c>
      <c r="AD32" s="82">
        <v>265211.13689095131</v>
      </c>
      <c r="AE32" s="82">
        <v>117871.61639597834</v>
      </c>
      <c r="AF32" s="82">
        <v>294679.04098994588</v>
      </c>
      <c r="AG32" s="82">
        <v>117871.61639597834</v>
      </c>
      <c r="AH32" s="82">
        <v>235743.23279195669</v>
      </c>
      <c r="AI32" s="83">
        <v>736697.60247486457</v>
      </c>
      <c r="AJ32" s="83">
        <v>162073.47254447022</v>
      </c>
      <c r="AK32" s="82">
        <v>117871.61639597834</v>
      </c>
      <c r="AL32" s="83">
        <v>117871.61639597834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5437142.3047177112</v>
      </c>
      <c r="D33" s="82">
        <v>111871.61639597834</v>
      </c>
      <c r="E33" s="83">
        <v>246117.55607115236</v>
      </c>
      <c r="F33" s="82">
        <v>134245.93967517401</v>
      </c>
      <c r="G33" s="82">
        <v>89497.293116782675</v>
      </c>
      <c r="H33" s="82">
        <v>100684.45475638051</v>
      </c>
      <c r="I33" s="82">
        <v>89497.293116782675</v>
      </c>
      <c r="J33" s="83">
        <v>100684.45475638051</v>
      </c>
      <c r="K33" s="82">
        <v>100684.45475638051</v>
      </c>
      <c r="L33" s="82">
        <v>123058.77803557618</v>
      </c>
      <c r="M33" s="82">
        <v>212556.07115235884</v>
      </c>
      <c r="N33" s="83">
        <v>212556.07115235884</v>
      </c>
      <c r="O33" s="83">
        <v>100684.45475638051</v>
      </c>
      <c r="P33" s="83">
        <v>212556.07115235884</v>
      </c>
      <c r="Q33" s="83">
        <v>190181.7478731632</v>
      </c>
      <c r="R33" s="83">
        <v>201368.90951276102</v>
      </c>
      <c r="S33" s="83">
        <v>100684.45475638051</v>
      </c>
      <c r="T33" s="82">
        <v>111871.61639597834</v>
      </c>
      <c r="U33" s="83">
        <v>235112.14230471771</v>
      </c>
      <c r="V33" s="83">
        <v>167807.4245939675</v>
      </c>
      <c r="W33" s="83">
        <v>178994.58623356535</v>
      </c>
      <c r="X33" s="83">
        <v>268491.87935034803</v>
      </c>
      <c r="Y33" s="82">
        <v>67122.969837587007</v>
      </c>
      <c r="Z33" s="83">
        <v>145433.10131477186</v>
      </c>
      <c r="AA33" s="82">
        <v>67122.969837587007</v>
      </c>
      <c r="AB33" s="82">
        <v>145433.10131477186</v>
      </c>
      <c r="AC33" s="82">
        <v>78310.131477184841</v>
      </c>
      <c r="AD33" s="82">
        <v>201368.90951276102</v>
      </c>
      <c r="AE33" s="82">
        <v>89497.293116782675</v>
      </c>
      <c r="AF33" s="82">
        <v>223743.23279195669</v>
      </c>
      <c r="AG33" s="82">
        <v>89497.293116782675</v>
      </c>
      <c r="AH33" s="82">
        <v>178994.58623356535</v>
      </c>
      <c r="AI33" s="83">
        <v>559358.08197989175</v>
      </c>
      <c r="AJ33" s="83">
        <v>123058.77803557618</v>
      </c>
      <c r="AK33" s="82">
        <v>89497.293116782675</v>
      </c>
      <c r="AL33" s="83">
        <v>89497.293116782675</v>
      </c>
    </row>
    <row r="34" spans="1:38" s="68" customFormat="1" ht="24" customHeight="1" x14ac:dyDescent="0.3">
      <c r="A34" s="133"/>
      <c r="B34" s="67" t="s">
        <v>167</v>
      </c>
      <c r="C34" s="62">
        <f t="shared" si="4"/>
        <v>0</v>
      </c>
      <c r="D34" s="82"/>
      <c r="E34" s="83"/>
      <c r="F34" s="82"/>
      <c r="G34" s="82"/>
      <c r="H34" s="82"/>
      <c r="I34" s="82"/>
      <c r="J34" s="83"/>
      <c r="K34" s="82"/>
      <c r="L34" s="82"/>
      <c r="M34" s="82"/>
      <c r="N34" s="83"/>
      <c r="O34" s="83"/>
      <c r="P34" s="83"/>
      <c r="Q34" s="83"/>
      <c r="R34" s="83"/>
      <c r="S34" s="83"/>
      <c r="T34" s="82"/>
      <c r="U34" s="83"/>
      <c r="V34" s="83"/>
      <c r="W34" s="83"/>
      <c r="X34" s="83"/>
      <c r="Y34" s="82"/>
      <c r="Z34" s="83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2"/>
      <c r="AL34" s="83"/>
    </row>
    <row r="35" spans="1:38" s="68" customFormat="1" ht="21.5" customHeight="1" x14ac:dyDescent="0.3">
      <c r="A35" s="133"/>
      <c r="B35" s="67" t="s">
        <v>35</v>
      </c>
      <c r="C35" s="62">
        <f t="shared" si="4"/>
        <v>15825438.962103635</v>
      </c>
      <c r="D35" s="82">
        <v>315247.78808971384</v>
      </c>
      <c r="E35" s="83">
        <v>693545.13379737048</v>
      </c>
      <c r="F35" s="82">
        <v>378297.34570765658</v>
      </c>
      <c r="G35" s="82">
        <v>252198.23047177106</v>
      </c>
      <c r="H35" s="82">
        <v>283723.00928074244</v>
      </c>
      <c r="I35" s="82">
        <v>252198.23047177106</v>
      </c>
      <c r="J35" s="83">
        <v>252198.23047177106</v>
      </c>
      <c r="K35" s="82">
        <v>283723.00928074244</v>
      </c>
      <c r="L35" s="82">
        <v>346772.56689868524</v>
      </c>
      <c r="M35" s="82">
        <v>598970.79737045628</v>
      </c>
      <c r="N35" s="83">
        <v>598970.79737045628</v>
      </c>
      <c r="O35" s="83">
        <v>283723.00928074244</v>
      </c>
      <c r="P35" s="83">
        <v>598970.79737045628</v>
      </c>
      <c r="Q35" s="83">
        <v>535921.23975251347</v>
      </c>
      <c r="R35" s="83">
        <v>567446.01856148487</v>
      </c>
      <c r="S35" s="83">
        <v>283723.00928074244</v>
      </c>
      <c r="T35" s="82">
        <v>315247.78808971384</v>
      </c>
      <c r="U35" s="83">
        <v>1197941.5947409126</v>
      </c>
      <c r="V35" s="83">
        <v>472871.68213457073</v>
      </c>
      <c r="W35" s="83">
        <v>504396.46094354213</v>
      </c>
      <c r="X35" s="83">
        <v>756594.69141531317</v>
      </c>
      <c r="Y35" s="82">
        <v>189148.67285382829</v>
      </c>
      <c r="Z35" s="83">
        <v>409822.12451662798</v>
      </c>
      <c r="AA35" s="82">
        <v>189148.67285382829</v>
      </c>
      <c r="AB35" s="82">
        <v>409822.12451662798</v>
      </c>
      <c r="AC35" s="82">
        <v>220673.45166279969</v>
      </c>
      <c r="AD35" s="82">
        <v>567446.01856148487</v>
      </c>
      <c r="AE35" s="82">
        <v>252198.23047177106</v>
      </c>
      <c r="AF35" s="82">
        <v>630495.57617942768</v>
      </c>
      <c r="AG35" s="82">
        <v>252198.23047177106</v>
      </c>
      <c r="AH35" s="82">
        <v>504396.46094354213</v>
      </c>
      <c r="AI35" s="82">
        <v>1576238.9404485691</v>
      </c>
      <c r="AJ35" s="83">
        <v>346772.56689868524</v>
      </c>
      <c r="AK35" s="82">
        <v>252198.23047177106</v>
      </c>
      <c r="AL35" s="83">
        <v>252198.23047177106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16000000</v>
      </c>
      <c r="D36" s="82">
        <v>400000</v>
      </c>
      <c r="E36" s="83">
        <v>550000</v>
      </c>
      <c r="F36" s="82">
        <v>400000</v>
      </c>
      <c r="G36" s="82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550000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6158035.576179428</v>
      </c>
      <c r="D37" s="82">
        <v>125467.90409899459</v>
      </c>
      <c r="E37" s="83">
        <v>264029.38901778811</v>
      </c>
      <c r="F37" s="82">
        <v>148561.48491879349</v>
      </c>
      <c r="G37" s="82">
        <v>102374.32327919567</v>
      </c>
      <c r="H37" s="82">
        <v>113921.11368909513</v>
      </c>
      <c r="I37" s="82">
        <v>102374.32327919567</v>
      </c>
      <c r="J37" s="83">
        <v>113921.11368909513</v>
      </c>
      <c r="K37" s="82">
        <v>113921.11368909513</v>
      </c>
      <c r="L37" s="82">
        <v>137014.69450889406</v>
      </c>
      <c r="M37" s="82">
        <v>229389.01778808972</v>
      </c>
      <c r="N37" s="83">
        <v>229389.01778808972</v>
      </c>
      <c r="O37" s="83">
        <v>113921.11368909513</v>
      </c>
      <c r="P37" s="83">
        <v>229389.01778808972</v>
      </c>
      <c r="Q37" s="83">
        <v>206295.4369682908</v>
      </c>
      <c r="R37" s="83">
        <v>217842.22737819026</v>
      </c>
      <c r="S37" s="83">
        <v>113921.11368909513</v>
      </c>
      <c r="T37" s="82">
        <v>125467.90409899459</v>
      </c>
      <c r="U37" s="83">
        <v>448778.03557617945</v>
      </c>
      <c r="V37" s="83">
        <v>183201.85614849188</v>
      </c>
      <c r="W37" s="83">
        <v>194748.64655839134</v>
      </c>
      <c r="X37" s="83">
        <v>287122.96983758698</v>
      </c>
      <c r="Y37" s="82">
        <v>79280.742459396744</v>
      </c>
      <c r="Z37" s="83">
        <v>160108.27532869295</v>
      </c>
      <c r="AA37" s="82">
        <v>79280.742459396744</v>
      </c>
      <c r="AB37" s="82">
        <v>160108.27532869295</v>
      </c>
      <c r="AC37" s="82">
        <v>90827.532869296207</v>
      </c>
      <c r="AD37" s="82">
        <v>217842.22737819026</v>
      </c>
      <c r="AE37" s="82">
        <v>102374.32327919567</v>
      </c>
      <c r="AF37" s="82">
        <v>240935.80819798919</v>
      </c>
      <c r="AG37" s="82">
        <v>102374.32327919567</v>
      </c>
      <c r="AH37" s="82">
        <v>194748.64655839134</v>
      </c>
      <c r="AI37" s="82">
        <v>587339.52049497294</v>
      </c>
      <c r="AJ37" s="83">
        <v>137014.69450889406</v>
      </c>
      <c r="AK37" s="82">
        <v>102374.32327919567</v>
      </c>
      <c r="AL37" s="83">
        <v>102374.32327919567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8558391.3379737046</v>
      </c>
      <c r="D38" s="82">
        <v>170146.94508894044</v>
      </c>
      <c r="E38" s="83">
        <v>374323.27919566899</v>
      </c>
      <c r="F38" s="82">
        <v>204176.33410672855</v>
      </c>
      <c r="G38" s="82">
        <v>136117.55607115236</v>
      </c>
      <c r="H38" s="82">
        <v>153132.25058004641</v>
      </c>
      <c r="I38" s="82">
        <v>136117.55607115236</v>
      </c>
      <c r="J38" s="83">
        <v>153132.25058004641</v>
      </c>
      <c r="K38" s="82">
        <v>153132.25058004641</v>
      </c>
      <c r="L38" s="82">
        <v>187161.6395978345</v>
      </c>
      <c r="M38" s="82">
        <v>323279.19566898682</v>
      </c>
      <c r="N38" s="83">
        <v>323279.19566898682</v>
      </c>
      <c r="O38" s="83">
        <v>153132.25058004641</v>
      </c>
      <c r="P38" s="83">
        <v>323279.19566898682</v>
      </c>
      <c r="Q38" s="83">
        <v>289249.80665119877</v>
      </c>
      <c r="R38" s="83">
        <v>306264.50116009283</v>
      </c>
      <c r="S38" s="83">
        <v>153132.25058004641</v>
      </c>
      <c r="T38" s="82">
        <v>170146.94508894044</v>
      </c>
      <c r="U38" s="83">
        <v>646558.39133797365</v>
      </c>
      <c r="V38" s="83">
        <v>255220.41763341066</v>
      </c>
      <c r="W38" s="83">
        <v>272235.11214230472</v>
      </c>
      <c r="X38" s="83">
        <v>408352.6682134571</v>
      </c>
      <c r="Y38" s="82">
        <v>102088.16705336428</v>
      </c>
      <c r="Z38" s="83">
        <v>221191.02861562258</v>
      </c>
      <c r="AA38" s="83">
        <v>102088.16705336428</v>
      </c>
      <c r="AB38" s="82">
        <v>221191.02861562258</v>
      </c>
      <c r="AC38" s="82">
        <v>119102.86156225832</v>
      </c>
      <c r="AD38" s="82">
        <v>306264.50116009283</v>
      </c>
      <c r="AE38" s="82">
        <v>136117.55607115236</v>
      </c>
      <c r="AF38" s="82">
        <v>340293.89017788088</v>
      </c>
      <c r="AG38" s="82">
        <v>136117.55607115236</v>
      </c>
      <c r="AH38" s="82">
        <v>272235.11214230472</v>
      </c>
      <c r="AI38" s="82">
        <v>850734.7254447022</v>
      </c>
      <c r="AJ38" s="83">
        <v>187161.6395978345</v>
      </c>
      <c r="AK38" s="82">
        <v>136117.55607115236</v>
      </c>
      <c r="AL38" s="83">
        <v>136117.55607115236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5000000</v>
      </c>
      <c r="D39" s="82"/>
      <c r="E39" s="83"/>
      <c r="F39" s="82"/>
      <c r="G39" s="82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5000000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25199152.397525143</v>
      </c>
      <c r="D40" s="82">
        <v>500977.18484145403</v>
      </c>
      <c r="E40" s="83">
        <v>1102149.8066511988</v>
      </c>
      <c r="F40" s="82">
        <v>601172.62180974474</v>
      </c>
      <c r="G40" s="82">
        <v>400781.7478731632</v>
      </c>
      <c r="H40" s="82">
        <v>450879.46635730861</v>
      </c>
      <c r="I40" s="82">
        <v>400781.7478731632</v>
      </c>
      <c r="J40" s="83">
        <v>450879.46635730861</v>
      </c>
      <c r="K40" s="82">
        <v>450879.46635730861</v>
      </c>
      <c r="L40" s="82">
        <v>551074.90332559939</v>
      </c>
      <c r="M40" s="82">
        <v>951856.65119876259</v>
      </c>
      <c r="N40" s="83">
        <v>951856.65119876259</v>
      </c>
      <c r="O40" s="83">
        <v>450879.46635730861</v>
      </c>
      <c r="P40" s="83">
        <v>951856.65119876259</v>
      </c>
      <c r="Q40" s="83">
        <v>851661.21423047176</v>
      </c>
      <c r="R40" s="83">
        <v>901758.93271461723</v>
      </c>
      <c r="S40" s="83">
        <v>450879.46635730861</v>
      </c>
      <c r="T40" s="82">
        <v>500977.18484145403</v>
      </c>
      <c r="U40" s="83">
        <v>1903713.3023975252</v>
      </c>
      <c r="V40" s="83">
        <v>751465.77726218104</v>
      </c>
      <c r="W40" s="83">
        <v>801563.4957463264</v>
      </c>
      <c r="X40" s="83">
        <v>1202345.2436194895</v>
      </c>
      <c r="Y40" s="82">
        <v>300586.31090487237</v>
      </c>
      <c r="Z40" s="83">
        <v>651270.34029389021</v>
      </c>
      <c r="AA40" s="82">
        <v>300586.31090487237</v>
      </c>
      <c r="AB40" s="82">
        <v>651270.34029389021</v>
      </c>
      <c r="AC40" s="82">
        <v>350684.02938901779</v>
      </c>
      <c r="AD40" s="82">
        <v>901758.93271461723</v>
      </c>
      <c r="AE40" s="82">
        <v>400781.7478731632</v>
      </c>
      <c r="AF40" s="82">
        <v>1001954.3696829081</v>
      </c>
      <c r="AG40" s="82">
        <v>400781.7478731632</v>
      </c>
      <c r="AH40" s="82">
        <v>801563.4957463264</v>
      </c>
      <c r="AI40" s="82">
        <v>2504885.9242072701</v>
      </c>
      <c r="AJ40" s="83">
        <v>551074.90332559939</v>
      </c>
      <c r="AK40" s="82">
        <v>400781.7478731632</v>
      </c>
      <c r="AL40" s="83">
        <v>400781.7478731632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57773557.888631076</v>
      </c>
      <c r="D41" s="82">
        <v>7397323</v>
      </c>
      <c r="E41" s="82">
        <v>2519110</v>
      </c>
      <c r="F41" s="82">
        <v>3121787</v>
      </c>
      <c r="G41" s="82">
        <v>3022758</v>
      </c>
      <c r="H41" s="82">
        <v>110090.25522041763</v>
      </c>
      <c r="I41" s="82">
        <v>97858.004640371233</v>
      </c>
      <c r="J41" s="83">
        <v>110090.25522041763</v>
      </c>
      <c r="K41" s="68">
        <v>1510090</v>
      </c>
      <c r="L41" s="68">
        <v>134554.75638051046</v>
      </c>
      <c r="M41" s="82">
        <v>232412.76102088168</v>
      </c>
      <c r="N41" s="82">
        <v>232412.76102088168</v>
      </c>
      <c r="O41" s="82">
        <v>110090.25522041763</v>
      </c>
      <c r="P41" s="68">
        <v>232412.76102088168</v>
      </c>
      <c r="Q41" s="83">
        <v>207948.25986078888</v>
      </c>
      <c r="R41" s="83">
        <v>220180.51044083526</v>
      </c>
      <c r="S41" s="83">
        <v>110090.25522041763</v>
      </c>
      <c r="T41" s="68">
        <v>122322.50580046405</v>
      </c>
      <c r="U41" s="82">
        <v>5014826</v>
      </c>
      <c r="V41" s="83">
        <v>183483.75870069605</v>
      </c>
      <c r="W41" s="82">
        <v>6765716</v>
      </c>
      <c r="X41" s="90">
        <v>293574.01392111368</v>
      </c>
      <c r="Y41" s="82">
        <v>73393.503480278421</v>
      </c>
      <c r="Z41" s="83">
        <v>159019.25754060326</v>
      </c>
      <c r="AA41" s="82">
        <v>898394</v>
      </c>
      <c r="AB41" s="82">
        <v>2994019</v>
      </c>
      <c r="AC41" s="82">
        <v>1585626</v>
      </c>
      <c r="AD41" s="82">
        <v>1340181</v>
      </c>
      <c r="AE41" s="82">
        <v>97858.004640371233</v>
      </c>
      <c r="AF41" s="82">
        <v>6944645</v>
      </c>
      <c r="AG41" s="68">
        <v>1182858</v>
      </c>
      <c r="AH41" s="82">
        <v>5693216</v>
      </c>
      <c r="AI41" s="68">
        <v>3224946</v>
      </c>
      <c r="AJ41" s="68">
        <v>1634555</v>
      </c>
      <c r="AK41" s="68">
        <v>97858.004640371233</v>
      </c>
      <c r="AL41" s="83">
        <v>97858.004640371233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13253000</v>
      </c>
      <c r="D42" s="82">
        <v>1020000</v>
      </c>
      <c r="E42" s="83"/>
      <c r="F42" s="82">
        <v>2830000</v>
      </c>
      <c r="G42" s="82">
        <v>80000</v>
      </c>
      <c r="H42" s="82"/>
      <c r="I42" s="82"/>
      <c r="J42" s="82">
        <v>400000</v>
      </c>
      <c r="K42" s="68">
        <v>495000</v>
      </c>
      <c r="L42" s="68">
        <v>1223000</v>
      </c>
      <c r="M42" s="68">
        <v>459000</v>
      </c>
      <c r="N42" s="82"/>
      <c r="O42" s="82">
        <v>80000</v>
      </c>
      <c r="P42" s="68">
        <v>118000</v>
      </c>
      <c r="Q42" s="82"/>
      <c r="R42" s="68">
        <v>155000</v>
      </c>
      <c r="S42" s="82"/>
      <c r="T42" s="68">
        <v>485000</v>
      </c>
      <c r="U42" s="82">
        <v>505000</v>
      </c>
      <c r="V42" s="82"/>
      <c r="W42" s="82">
        <v>460000</v>
      </c>
      <c r="X42" s="82">
        <v>50000</v>
      </c>
      <c r="Y42" s="82"/>
      <c r="Z42" s="82">
        <v>150000</v>
      </c>
      <c r="AA42" s="82"/>
      <c r="AB42" s="82">
        <v>1638000</v>
      </c>
      <c r="AC42" s="82">
        <v>600000</v>
      </c>
      <c r="AD42" s="82">
        <v>150000</v>
      </c>
      <c r="AE42" s="82">
        <v>440000</v>
      </c>
      <c r="AF42" s="82">
        <v>415000</v>
      </c>
      <c r="AH42" s="82">
        <v>430000</v>
      </c>
      <c r="AI42" s="68">
        <v>215000</v>
      </c>
      <c r="AL42" s="82">
        <v>855000</v>
      </c>
    </row>
    <row r="43" spans="1:38" s="68" customFormat="1" ht="54.5" customHeight="1" x14ac:dyDescent="0.3">
      <c r="A43" s="135"/>
      <c r="B43" s="69" t="s">
        <v>103</v>
      </c>
      <c r="C43" s="62">
        <f t="shared" si="4"/>
        <v>44945000</v>
      </c>
      <c r="D43" s="82">
        <v>618000</v>
      </c>
      <c r="E43" s="82">
        <v>818000</v>
      </c>
      <c r="F43" s="82">
        <v>1635000</v>
      </c>
      <c r="G43" s="67">
        <v>70000</v>
      </c>
      <c r="H43" s="67">
        <v>3474000</v>
      </c>
      <c r="I43" s="67">
        <v>528000</v>
      </c>
      <c r="J43" s="82">
        <v>310000</v>
      </c>
      <c r="K43" s="82">
        <v>494000</v>
      </c>
      <c r="L43" s="68">
        <v>952000</v>
      </c>
      <c r="M43" s="68">
        <v>806000</v>
      </c>
      <c r="N43" s="82">
        <v>560000</v>
      </c>
      <c r="O43" s="68">
        <v>2910000</v>
      </c>
      <c r="P43" s="68">
        <v>408000</v>
      </c>
      <c r="Q43" s="68">
        <v>589000</v>
      </c>
      <c r="R43" s="68">
        <v>1076000</v>
      </c>
      <c r="S43" s="82">
        <v>1434000</v>
      </c>
      <c r="T43" s="82">
        <v>4358000</v>
      </c>
      <c r="U43" s="68">
        <v>1723000</v>
      </c>
      <c r="V43" s="82">
        <v>844000</v>
      </c>
      <c r="W43" s="82">
        <v>90000</v>
      </c>
      <c r="X43" s="83">
        <v>424000</v>
      </c>
      <c r="Y43" s="68">
        <v>3924000</v>
      </c>
      <c r="Z43" s="82">
        <v>6039000</v>
      </c>
      <c r="AA43" s="82">
        <v>344000</v>
      </c>
      <c r="AB43" s="82">
        <v>1966000</v>
      </c>
      <c r="AC43" s="82">
        <v>1039000</v>
      </c>
      <c r="AD43" s="68">
        <v>824000</v>
      </c>
      <c r="AE43" s="82">
        <v>815000</v>
      </c>
      <c r="AF43" s="68">
        <v>300000</v>
      </c>
      <c r="AG43" s="82">
        <v>1683000</v>
      </c>
      <c r="AH43" s="68">
        <v>849000</v>
      </c>
      <c r="AI43" s="68">
        <v>1335000</v>
      </c>
      <c r="AJ43" s="68">
        <v>630000</v>
      </c>
      <c r="AK43" s="82">
        <v>613000</v>
      </c>
      <c r="AL43" s="68">
        <v>463000</v>
      </c>
    </row>
    <row r="44" spans="1:38" s="93" customFormat="1" ht="13" x14ac:dyDescent="0.3">
      <c r="A44" s="91" t="s">
        <v>45</v>
      </c>
      <c r="B44" s="92"/>
      <c r="C44" s="62">
        <f>SUM(C30:C43)</f>
        <v>261252144.13273609</v>
      </c>
      <c r="D44" s="92">
        <f t="shared" ref="D44:AL44" si="5">SUM(D30:D43)</f>
        <v>12102281.025939308</v>
      </c>
      <c r="E44" s="92">
        <f t="shared" si="5"/>
        <v>9435902.7749269158</v>
      </c>
      <c r="F44" s="92">
        <f t="shared" si="5"/>
        <v>10664828.894878557</v>
      </c>
      <c r="G44" s="92">
        <f t="shared" si="5"/>
        <v>5482808.8123680893</v>
      </c>
      <c r="H44" s="92">
        <f t="shared" si="5"/>
        <v>6226178.0982638104</v>
      </c>
      <c r="I44" s="92">
        <f t="shared" si="5"/>
        <v>3083835.5972745512</v>
      </c>
      <c r="J44" s="92">
        <f t="shared" si="5"/>
        <v>3609239.2445800351</v>
      </c>
      <c r="K44" s="92">
        <f t="shared" si="5"/>
        <v>5006422.9990578992</v>
      </c>
      <c r="L44" s="92">
        <f t="shared" si="5"/>
        <v>5337500.8218109449</v>
      </c>
      <c r="M44" s="92">
        <f t="shared" si="5"/>
        <v>6563984.4993000021</v>
      </c>
      <c r="N44" s="92">
        <f t="shared" si="5"/>
        <v>6070013.8075477816</v>
      </c>
      <c r="O44" s="92">
        <f t="shared" si="5"/>
        <v>5469292.9591941955</v>
      </c>
      <c r="P44" s="92">
        <f>SUM(P30:P43)</f>
        <v>6281413.479768157</v>
      </c>
      <c r="Q44" s="92">
        <f t="shared" si="5"/>
        <v>6010443.1943081329</v>
      </c>
      <c r="R44" s="92">
        <f t="shared" si="5"/>
        <v>6477882.7899159901</v>
      </c>
      <c r="S44" s="92">
        <f t="shared" si="5"/>
        <v>4382562.8004640369</v>
      </c>
      <c r="T44" s="92">
        <f t="shared" si="5"/>
        <v>8103332.9953116914</v>
      </c>
      <c r="U44" s="92">
        <f t="shared" si="5"/>
        <v>22695221.761048194</v>
      </c>
      <c r="V44" s="92">
        <f t="shared" si="5"/>
        <v>4924422.6988217998</v>
      </c>
      <c r="W44" s="92">
        <f t="shared" si="5"/>
        <v>11291474.68177543</v>
      </c>
      <c r="X44" s="92">
        <f t="shared" si="5"/>
        <v>7619645.2001847997</v>
      </c>
      <c r="Y44" s="92">
        <f t="shared" si="5"/>
        <v>5928853.9945284417</v>
      </c>
      <c r="Z44" s="92">
        <f t="shared" si="5"/>
        <v>10235403.577278463</v>
      </c>
      <c r="AA44" s="92">
        <f t="shared" si="5"/>
        <v>3226182.7143729394</v>
      </c>
      <c r="AB44" s="92">
        <f t="shared" si="5"/>
        <v>10268220.428147128</v>
      </c>
      <c r="AC44" s="92">
        <f t="shared" si="5"/>
        <v>5295249.0066108862</v>
      </c>
      <c r="AD44" s="92">
        <f t="shared" si="5"/>
        <v>7439132.1127529712</v>
      </c>
      <c r="AE44" s="92">
        <f t="shared" si="5"/>
        <v>3838519.3650905038</v>
      </c>
      <c r="AF44" s="92">
        <f t="shared" si="5"/>
        <v>13333411.388513561</v>
      </c>
      <c r="AG44" s="92">
        <f t="shared" si="5"/>
        <v>5382733.2133608926</v>
      </c>
      <c r="AH44" s="92">
        <f t="shared" si="5"/>
        <v>11040762.823336076</v>
      </c>
      <c r="AI44" s="92">
        <f t="shared" si="5"/>
        <v>16890540.35225657</v>
      </c>
      <c r="AJ44" s="92">
        <f t="shared" si="5"/>
        <v>4464796.1189493481</v>
      </c>
      <c r="AK44" s="92">
        <f t="shared" si="5"/>
        <v>3132852.0384529219</v>
      </c>
      <c r="AL44" s="92">
        <f t="shared" si="5"/>
        <v>3936797.8623450878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2115053168.4660697</v>
      </c>
      <c r="D45" s="95">
        <f t="shared" si="6"/>
        <v>49259187.025939308</v>
      </c>
      <c r="E45" s="95">
        <f t="shared" si="6"/>
        <v>112145204.77492692</v>
      </c>
      <c r="F45" s="95">
        <f t="shared" si="6"/>
        <v>54829503.894878559</v>
      </c>
      <c r="G45" s="95">
        <f t="shared" si="6"/>
        <v>32581357.812368087</v>
      </c>
      <c r="H45" s="95">
        <f t="shared" si="6"/>
        <v>51541598.098263808</v>
      </c>
      <c r="I45" s="95">
        <f t="shared" si="6"/>
        <v>34266499.597274549</v>
      </c>
      <c r="J45" s="95">
        <f t="shared" si="6"/>
        <v>35355841.244580038</v>
      </c>
      <c r="K45" s="95">
        <f t="shared" si="6"/>
        <v>40406405.999057896</v>
      </c>
      <c r="L45" s="95">
        <f t="shared" si="6"/>
        <v>48451563.821810946</v>
      </c>
      <c r="M45" s="95">
        <f t="shared" si="6"/>
        <v>69784883.499300003</v>
      </c>
      <c r="N45" s="95">
        <f t="shared" si="6"/>
        <v>83815762.807547778</v>
      </c>
      <c r="O45" s="95">
        <f t="shared" si="6"/>
        <v>41424412.959194198</v>
      </c>
      <c r="P45" s="95">
        <f t="shared" si="6"/>
        <v>61294920.479768157</v>
      </c>
      <c r="Q45" s="95">
        <f t="shared" si="6"/>
        <v>38504258.194308132</v>
      </c>
      <c r="R45" s="95">
        <f t="shared" si="6"/>
        <v>85584968.789915994</v>
      </c>
      <c r="S45" s="95">
        <f t="shared" si="6"/>
        <v>35670394.800464034</v>
      </c>
      <c r="T45" s="95">
        <f t="shared" si="6"/>
        <v>40870679.995311692</v>
      </c>
      <c r="U45" s="95">
        <f t="shared" si="6"/>
        <v>157959375.7610482</v>
      </c>
      <c r="V45" s="95">
        <f t="shared" si="6"/>
        <v>62261150.698821798</v>
      </c>
      <c r="W45" s="95">
        <f t="shared" si="6"/>
        <v>70372921.681775436</v>
      </c>
      <c r="X45" s="95">
        <f t="shared" si="6"/>
        <v>90770851.200184792</v>
      </c>
      <c r="Y45" s="95">
        <f t="shared" si="6"/>
        <v>27597744.994528443</v>
      </c>
      <c r="Z45" s="95">
        <f t="shared" si="6"/>
        <v>66608533.577278465</v>
      </c>
      <c r="AA45" s="95">
        <f t="shared" si="6"/>
        <v>28600724.71437294</v>
      </c>
      <c r="AB45" s="95">
        <f t="shared" si="6"/>
        <v>74304578.428147122</v>
      </c>
      <c r="AC45" s="95">
        <f t="shared" si="6"/>
        <v>27370024.006610885</v>
      </c>
      <c r="AD45" s="95">
        <f t="shared" si="6"/>
        <v>63623091.112752974</v>
      </c>
      <c r="AE45" s="95">
        <f t="shared" si="6"/>
        <v>34305875.031757168</v>
      </c>
      <c r="AF45" s="95">
        <f t="shared" si="6"/>
        <v>95726627.055180222</v>
      </c>
      <c r="AG45" s="95">
        <f t="shared" si="6"/>
        <v>37868413.213360891</v>
      </c>
      <c r="AH45" s="95">
        <f t="shared" si="6"/>
        <v>74033606.82333608</v>
      </c>
      <c r="AI45" s="95">
        <f t="shared" si="6"/>
        <v>176719738.35225657</v>
      </c>
      <c r="AJ45" s="95">
        <f t="shared" si="6"/>
        <v>37151382.118949346</v>
      </c>
      <c r="AK45" s="95">
        <f t="shared" si="6"/>
        <v>34934732.038452923</v>
      </c>
      <c r="AL45" s="95">
        <f t="shared" si="6"/>
        <v>39056353.862345085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498920644.66666627</v>
      </c>
      <c r="D46" s="97">
        <f t="shared" si="7"/>
        <v>15666094</v>
      </c>
      <c r="E46" s="97">
        <f t="shared" si="7"/>
        <v>25160698</v>
      </c>
      <c r="F46" s="97">
        <f t="shared" si="7"/>
        <v>8623325</v>
      </c>
      <c r="G46" s="97">
        <f t="shared" si="7"/>
        <v>15362354</v>
      </c>
      <c r="H46" s="97">
        <f t="shared" si="7"/>
        <v>12039980</v>
      </c>
      <c r="I46" s="97">
        <f t="shared" si="7"/>
        <v>10711336</v>
      </c>
      <c r="J46" s="97">
        <f t="shared" si="7"/>
        <v>3987398</v>
      </c>
      <c r="K46" s="97">
        <f t="shared" si="7"/>
        <v>8613017</v>
      </c>
      <c r="L46" s="97">
        <f t="shared" si="7"/>
        <v>6672937</v>
      </c>
      <c r="M46" s="97">
        <f t="shared" si="7"/>
        <v>17828101</v>
      </c>
      <c r="N46" s="97">
        <f t="shared" si="7"/>
        <v>20411251</v>
      </c>
      <c r="O46" s="97">
        <f t="shared" si="7"/>
        <v>-2253120</v>
      </c>
      <c r="P46" s="97">
        <f t="shared" si="7"/>
        <v>24309493</v>
      </c>
      <c r="Q46" s="97">
        <f t="shared" si="7"/>
        <v>23457451</v>
      </c>
      <c r="R46" s="97">
        <f t="shared" si="7"/>
        <v>27779914</v>
      </c>
      <c r="S46" s="97">
        <f t="shared" si="7"/>
        <v>10608168</v>
      </c>
      <c r="T46" s="97">
        <f t="shared" si="7"/>
        <v>15966653</v>
      </c>
      <c r="U46" s="97">
        <f t="shared" si="7"/>
        <v>54765846</v>
      </c>
      <c r="V46" s="97">
        <f t="shared" si="7"/>
        <v>4964072</v>
      </c>
      <c r="W46" s="97">
        <f t="shared" si="7"/>
        <v>24957553</v>
      </c>
      <c r="X46" s="97">
        <f t="shared" si="7"/>
        <v>14970794</v>
      </c>
      <c r="Y46" s="97">
        <f t="shared" si="7"/>
        <v>7014109</v>
      </c>
      <c r="Z46" s="97">
        <f t="shared" si="7"/>
        <v>2088870</v>
      </c>
      <c r="AA46" s="97">
        <f t="shared" si="7"/>
        <v>16103458</v>
      </c>
      <c r="AB46" s="97">
        <f t="shared" si="7"/>
        <v>8810642</v>
      </c>
      <c r="AC46" s="97">
        <f t="shared" si="7"/>
        <v>5960225</v>
      </c>
      <c r="AD46" s="97">
        <f t="shared" si="7"/>
        <v>9621041</v>
      </c>
      <c r="AE46" s="97">
        <f t="shared" si="7"/>
        <v>6206644.3333333321</v>
      </c>
      <c r="AF46" s="97">
        <f t="shared" si="7"/>
        <v>27765084.333333343</v>
      </c>
      <c r="AG46" s="97">
        <f t="shared" si="7"/>
        <v>9866320</v>
      </c>
      <c r="AH46" s="97">
        <f t="shared" si="7"/>
        <v>13797156</v>
      </c>
      <c r="AI46" s="97">
        <f t="shared" si="7"/>
        <v>20740802</v>
      </c>
      <c r="AJ46" s="97">
        <f t="shared" si="7"/>
        <v>4783414</v>
      </c>
      <c r="AK46" s="97">
        <f t="shared" si="7"/>
        <v>11066120</v>
      </c>
      <c r="AL46" s="97">
        <f t="shared" si="7"/>
        <v>10493444</v>
      </c>
    </row>
    <row r="47" spans="1:38" s="100" customFormat="1" ht="13" x14ac:dyDescent="0.3">
      <c r="A47" s="98" t="s">
        <v>48</v>
      </c>
      <c r="B47" s="98"/>
      <c r="C47" s="62">
        <f>C4-C45</f>
        <v>237668500.5339303</v>
      </c>
      <c r="D47" s="99">
        <f t="shared" ref="D47:AL47" si="8">D4-D45</f>
        <v>3563812.9740606919</v>
      </c>
      <c r="E47" s="99">
        <f t="shared" si="8"/>
        <v>15724795.225073084</v>
      </c>
      <c r="F47" s="99">
        <f t="shared" si="8"/>
        <v>-2041503.8948785588</v>
      </c>
      <c r="G47" s="99">
        <f t="shared" si="8"/>
        <v>9879545.1876319125</v>
      </c>
      <c r="H47" s="99">
        <f t="shared" si="8"/>
        <v>5813801.9017361924</v>
      </c>
      <c r="I47" s="99">
        <f t="shared" si="8"/>
        <v>7627500.4027254507</v>
      </c>
      <c r="J47" s="99">
        <f t="shared" si="8"/>
        <v>378158.75541996211</v>
      </c>
      <c r="K47" s="99">
        <f t="shared" si="8"/>
        <v>3606594.0009421036</v>
      </c>
      <c r="L47" s="99">
        <f t="shared" si="8"/>
        <v>1335436.1781890541</v>
      </c>
      <c r="M47" s="99">
        <f t="shared" si="8"/>
        <v>11264116.500699997</v>
      </c>
      <c r="N47" s="99">
        <f t="shared" si="8"/>
        <v>14341237.192452222</v>
      </c>
      <c r="O47" s="99">
        <f t="shared" si="8"/>
        <v>-7722412.9591941983</v>
      </c>
      <c r="P47" s="99">
        <f t="shared" si="8"/>
        <v>18028079.520231843</v>
      </c>
      <c r="Q47" s="99">
        <f t="shared" si="8"/>
        <v>17447007.805691868</v>
      </c>
      <c r="R47" s="99">
        <f t="shared" si="8"/>
        <v>21302031.210084006</v>
      </c>
      <c r="S47" s="99">
        <f t="shared" si="8"/>
        <v>6225605.1995359659</v>
      </c>
      <c r="T47" s="99">
        <f t="shared" si="8"/>
        <v>7863320.0046883076</v>
      </c>
      <c r="U47" s="99">
        <f t="shared" si="8"/>
        <v>32070624.238951802</v>
      </c>
      <c r="V47" s="99">
        <f t="shared" si="8"/>
        <v>39649.301178202033</v>
      </c>
      <c r="W47" s="99">
        <f t="shared" si="8"/>
        <v>13666078.318224564</v>
      </c>
      <c r="X47" s="99">
        <f t="shared" si="8"/>
        <v>7351148.7998152077</v>
      </c>
      <c r="Y47" s="99">
        <f t="shared" si="8"/>
        <v>1085255.0054715574</v>
      </c>
      <c r="Z47" s="99">
        <f t="shared" si="8"/>
        <v>-8146533.577278465</v>
      </c>
      <c r="AA47" s="99">
        <f t="shared" si="8"/>
        <v>12877275.28562706</v>
      </c>
      <c r="AB47" s="99">
        <f t="shared" si="8"/>
        <v>-1457578.4281471223</v>
      </c>
      <c r="AC47" s="99">
        <f t="shared" si="8"/>
        <v>664975.99338911474</v>
      </c>
      <c r="AD47" s="99">
        <f t="shared" si="8"/>
        <v>2181908.887247026</v>
      </c>
      <c r="AE47" s="99">
        <f t="shared" si="8"/>
        <v>2368124.9682428315</v>
      </c>
      <c r="AF47" s="99">
        <f t="shared" si="8"/>
        <v>14431672.944819778</v>
      </c>
      <c r="AG47" s="99">
        <f t="shared" si="8"/>
        <v>4483586.7866391093</v>
      </c>
      <c r="AH47" s="99">
        <f t="shared" si="8"/>
        <v>2756393.1766639203</v>
      </c>
      <c r="AI47" s="99">
        <f t="shared" si="8"/>
        <v>3850261.6477434337</v>
      </c>
      <c r="AJ47" s="99">
        <f t="shared" si="8"/>
        <v>318617.88105065376</v>
      </c>
      <c r="AK47" s="99">
        <f t="shared" si="8"/>
        <v>7933267.9615470767</v>
      </c>
      <c r="AL47" s="99">
        <f t="shared" si="8"/>
        <v>6556646.1376549155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1853801024.3333337</v>
      </c>
      <c r="D48" s="61">
        <f t="shared" si="9"/>
        <v>37156906</v>
      </c>
      <c r="E48" s="61">
        <f t="shared" si="9"/>
        <v>102709302</v>
      </c>
      <c r="F48" s="61">
        <f t="shared" si="9"/>
        <v>44164675</v>
      </c>
      <c r="G48" s="61">
        <f t="shared" si="9"/>
        <v>27098549</v>
      </c>
      <c r="H48" s="61">
        <f t="shared" si="9"/>
        <v>45315420</v>
      </c>
      <c r="I48" s="61">
        <f t="shared" si="9"/>
        <v>31182664</v>
      </c>
      <c r="J48" s="61">
        <f t="shared" si="9"/>
        <v>31746602</v>
      </c>
      <c r="K48" s="61">
        <f t="shared" si="9"/>
        <v>35399983</v>
      </c>
      <c r="L48" s="61">
        <f t="shared" si="9"/>
        <v>43114063</v>
      </c>
      <c r="M48" s="61">
        <f t="shared" si="9"/>
        <v>63220899</v>
      </c>
      <c r="N48" s="61">
        <f t="shared" si="9"/>
        <v>77745749</v>
      </c>
      <c r="O48" s="61">
        <f t="shared" si="9"/>
        <v>35955120</v>
      </c>
      <c r="P48" s="61">
        <f t="shared" si="9"/>
        <v>55013507</v>
      </c>
      <c r="Q48" s="61">
        <f t="shared" si="9"/>
        <v>32493815</v>
      </c>
      <c r="R48" s="61">
        <f t="shared" si="9"/>
        <v>79107086</v>
      </c>
      <c r="S48" s="61">
        <f t="shared" si="9"/>
        <v>31287832</v>
      </c>
      <c r="T48" s="61">
        <f t="shared" si="9"/>
        <v>32767347</v>
      </c>
      <c r="U48" s="61">
        <f t="shared" si="9"/>
        <v>135264154</v>
      </c>
      <c r="V48" s="61">
        <f t="shared" si="9"/>
        <v>57336728</v>
      </c>
      <c r="W48" s="61">
        <f t="shared" si="9"/>
        <v>59081447</v>
      </c>
      <c r="X48" s="61">
        <f t="shared" si="9"/>
        <v>83151206</v>
      </c>
      <c r="Y48" s="61">
        <f t="shared" si="9"/>
        <v>21668891</v>
      </c>
      <c r="Z48" s="61">
        <f t="shared" si="9"/>
        <v>56373130</v>
      </c>
      <c r="AA48" s="61">
        <f t="shared" si="9"/>
        <v>25374542</v>
      </c>
      <c r="AB48" s="61">
        <f t="shared" si="9"/>
        <v>64036358</v>
      </c>
      <c r="AC48" s="61">
        <f t="shared" si="9"/>
        <v>22074775</v>
      </c>
      <c r="AD48" s="61">
        <f t="shared" si="9"/>
        <v>56183959</v>
      </c>
      <c r="AE48" s="61">
        <f t="shared" si="9"/>
        <v>30467355.666666668</v>
      </c>
      <c r="AF48" s="61">
        <f t="shared" si="9"/>
        <v>82393215.666666657</v>
      </c>
      <c r="AG48" s="61">
        <f t="shared" si="9"/>
        <v>32485680</v>
      </c>
      <c r="AH48" s="61">
        <f t="shared" si="9"/>
        <v>62992844</v>
      </c>
      <c r="AI48" s="61">
        <f t="shared" si="9"/>
        <v>159829198</v>
      </c>
      <c r="AJ48" s="61">
        <f t="shared" si="9"/>
        <v>32686586</v>
      </c>
      <c r="AK48" s="61">
        <f t="shared" si="9"/>
        <v>31801880</v>
      </c>
      <c r="AL48" s="61">
        <f t="shared" si="9"/>
        <v>35119556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0.10101853681440731</v>
      </c>
      <c r="D49" s="101">
        <f t="shared" si="10"/>
        <v>6.7467068778007538E-2</v>
      </c>
      <c r="E49" s="101">
        <f t="shared" si="10"/>
        <v>0.12297485903709302</v>
      </c>
      <c r="F49" s="101">
        <f t="shared" si="10"/>
        <v>-3.8673635956629517E-2</v>
      </c>
      <c r="G49" s="101">
        <f t="shared" si="10"/>
        <v>0.23267393035969849</v>
      </c>
      <c r="H49" s="101">
        <f t="shared" si="10"/>
        <v>0.10136450799290377</v>
      </c>
      <c r="I49" s="101">
        <f t="shared" si="10"/>
        <v>0.18206665400118038</v>
      </c>
      <c r="J49" s="101">
        <f t="shared" si="10"/>
        <v>1.0582603554596802E-2</v>
      </c>
      <c r="K49" s="101">
        <f t="shared" si="10"/>
        <v>8.1943834797494008E-2</v>
      </c>
      <c r="L49" s="101">
        <f t="shared" si="10"/>
        <v>2.6822989499047024E-2</v>
      </c>
      <c r="M49" s="101">
        <f t="shared" si="10"/>
        <v>0.1389790929030586</v>
      </c>
      <c r="N49" s="101">
        <f t="shared" si="10"/>
        <v>0.14610508870943714</v>
      </c>
      <c r="O49" s="101">
        <f t="shared" si="10"/>
        <v>-0.22913812115584234</v>
      </c>
      <c r="P49" s="101">
        <f t="shared" si="10"/>
        <v>0.22727430279026062</v>
      </c>
      <c r="Q49" s="101">
        <f t="shared" si="10"/>
        <v>0.31182507658882763</v>
      </c>
      <c r="R49" s="101">
        <f t="shared" si="10"/>
        <v>0.19929487412018307</v>
      </c>
      <c r="S49" s="101">
        <f t="shared" si="10"/>
        <v>0.14859664883368259</v>
      </c>
      <c r="T49" s="101">
        <f t="shared" si="10"/>
        <v>0.1613518283885646</v>
      </c>
      <c r="U49" s="101">
        <f t="shared" si="10"/>
        <v>0.16876611187155607</v>
      </c>
      <c r="V49" s="101">
        <f t="shared" si="10"/>
        <v>6.3641720777585578E-4</v>
      </c>
      <c r="W49" s="101">
        <f t="shared" si="10"/>
        <v>0.16261590830714984</v>
      </c>
      <c r="X49" s="101">
        <f t="shared" si="10"/>
        <v>7.4918456613350809E-2</v>
      </c>
      <c r="Y49" s="101">
        <f t="shared" si="10"/>
        <v>3.7836174928409072E-2</v>
      </c>
      <c r="Z49" s="101">
        <f t="shared" si="10"/>
        <v>-0.13934750055212727</v>
      </c>
      <c r="AA49" s="101">
        <f t="shared" si="10"/>
        <v>0.31046037141682481</v>
      </c>
      <c r="AB49" s="101">
        <f t="shared" si="10"/>
        <v>-2.0008763959354844E-2</v>
      </c>
      <c r="AC49" s="101">
        <f t="shared" si="10"/>
        <v>2.3719493254471723E-2</v>
      </c>
      <c r="AD49" s="101">
        <f t="shared" si="10"/>
        <v>3.3157189989317319E-2</v>
      </c>
      <c r="AE49" s="101">
        <f t="shared" si="10"/>
        <v>6.4572311944233837E-2</v>
      </c>
      <c r="AF49" s="101">
        <f t="shared" si="10"/>
        <v>0.13100849363887948</v>
      </c>
      <c r="AG49" s="101">
        <f t="shared" si="10"/>
        <v>0.10586481834716446</v>
      </c>
      <c r="AH49" s="101">
        <f t="shared" si="10"/>
        <v>3.5895210009948171E-2</v>
      </c>
      <c r="AI49" s="101">
        <f t="shared" si="10"/>
        <v>2.1322820223422682E-2</v>
      </c>
      <c r="AJ49" s="101">
        <f t="shared" si="10"/>
        <v>8.5032794515786971E-3</v>
      </c>
      <c r="AK49" s="101">
        <f t="shared" si="10"/>
        <v>0.1850627032179499</v>
      </c>
      <c r="AL49" s="101">
        <f t="shared" si="10"/>
        <v>0.14374511954168581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0.21206105730251013</v>
      </c>
      <c r="D50" s="101">
        <f t="shared" si="11"/>
        <v>0.29657713496014992</v>
      </c>
      <c r="E50" s="101">
        <f t="shared" si="11"/>
        <v>0.19676779541722061</v>
      </c>
      <c r="F50" s="101">
        <f t="shared" si="11"/>
        <v>0.16335767598696674</v>
      </c>
      <c r="G50" s="101">
        <f t="shared" si="11"/>
        <v>0.3617999833870702</v>
      </c>
      <c r="H50" s="101">
        <f t="shared" si="11"/>
        <v>0.20991885681208744</v>
      </c>
      <c r="I50" s="101">
        <f t="shared" si="11"/>
        <v>0.25567708979806175</v>
      </c>
      <c r="J50" s="101">
        <f t="shared" si="11"/>
        <v>0.11158554877707505</v>
      </c>
      <c r="K50" s="101">
        <f t="shared" si="11"/>
        <v>0.19569256810487812</v>
      </c>
      <c r="L50" s="101">
        <f t="shared" si="11"/>
        <v>0.13402970654990259</v>
      </c>
      <c r="M50" s="101">
        <f t="shared" si="11"/>
        <v>0.21996694592160299</v>
      </c>
      <c r="N50" s="101">
        <f t="shared" si="11"/>
        <v>0.20794493515490489</v>
      </c>
      <c r="O50" s="101">
        <f t="shared" si="11"/>
        <v>-6.6854192629517542E-2</v>
      </c>
      <c r="P50" s="101">
        <f t="shared" si="11"/>
        <v>0.30646209800436192</v>
      </c>
      <c r="Q50" s="101">
        <f t="shared" si="11"/>
        <v>0.41924790405993673</v>
      </c>
      <c r="R50" s="101">
        <f t="shared" si="11"/>
        <v>0.25989983814682793</v>
      </c>
      <c r="S50" s="101">
        <f t="shared" si="11"/>
        <v>0.25320240595760934</v>
      </c>
      <c r="T50" s="101">
        <f t="shared" si="11"/>
        <v>0.3276286165715927</v>
      </c>
      <c r="U50" s="101">
        <f t="shared" si="11"/>
        <v>0.28819579013839919</v>
      </c>
      <c r="V50" s="101">
        <f t="shared" si="11"/>
        <v>7.9679105244234424E-2</v>
      </c>
      <c r="W50" s="101">
        <f t="shared" si="11"/>
        <v>0.29697584454836445</v>
      </c>
      <c r="X50" s="101">
        <f t="shared" si="11"/>
        <v>0.15257326593424511</v>
      </c>
      <c r="Y50" s="101">
        <f t="shared" si="11"/>
        <v>0.24453889063208173</v>
      </c>
      <c r="Z50" s="101">
        <f t="shared" si="11"/>
        <v>3.573038897061339E-2</v>
      </c>
      <c r="AA50" s="101">
        <f t="shared" si="11"/>
        <v>0.38824094700805245</v>
      </c>
      <c r="AB50" s="101">
        <f t="shared" si="11"/>
        <v>0.12094721814213351</v>
      </c>
      <c r="AC50" s="101">
        <f t="shared" si="11"/>
        <v>0.21259942928482253</v>
      </c>
      <c r="AD50" s="101">
        <f t="shared" si="11"/>
        <v>0.14620531874477624</v>
      </c>
      <c r="AE50" s="101">
        <f t="shared" si="11"/>
        <v>0.16923827052771259</v>
      </c>
      <c r="AF50" s="101">
        <f t="shared" si="11"/>
        <v>0.25204713882960561</v>
      </c>
      <c r="AG50" s="101">
        <f t="shared" si="11"/>
        <v>0.23295995466565925</v>
      </c>
      <c r="AH50" s="101">
        <f t="shared" si="11"/>
        <v>0.17967386378434691</v>
      </c>
      <c r="AI50" s="101">
        <f t="shared" si="11"/>
        <v>0.11486294511823669</v>
      </c>
      <c r="AJ50" s="101">
        <f t="shared" si="11"/>
        <v>0.12765983453429411</v>
      </c>
      <c r="AK50" s="101">
        <f t="shared" si="11"/>
        <v>0.25814407016889057</v>
      </c>
      <c r="AL50" s="101">
        <f t="shared" si="11"/>
        <v>0.23005380045162563</v>
      </c>
    </row>
    <row r="51" spans="1:38" s="104" customFormat="1" ht="13" x14ac:dyDescent="0.3">
      <c r="A51" s="101" t="s">
        <v>51</v>
      </c>
      <c r="B51" s="102"/>
      <c r="C51" s="103">
        <f>C47/C48</f>
        <v>0.12820604661139454</v>
      </c>
      <c r="D51" s="101">
        <f t="shared" ref="D51:AL51" si="12">D47/D48</f>
        <v>9.5912533031159583E-2</v>
      </c>
      <c r="E51" s="101">
        <f t="shared" si="12"/>
        <v>0.15310001060150408</v>
      </c>
      <c r="F51" s="101">
        <f t="shared" si="12"/>
        <v>-4.6224814172832897E-2</v>
      </c>
      <c r="G51" s="101">
        <f t="shared" si="12"/>
        <v>0.36457838342679943</v>
      </c>
      <c r="H51" s="101">
        <f t="shared" si="12"/>
        <v>0.12829632610127398</v>
      </c>
      <c r="I51" s="101">
        <f t="shared" si="12"/>
        <v>0.24460708048309954</v>
      </c>
      <c r="J51" s="101">
        <f t="shared" si="12"/>
        <v>1.1911786824302082E-2</v>
      </c>
      <c r="K51" s="101">
        <f t="shared" si="12"/>
        <v>0.10188123539330805</v>
      </c>
      <c r="L51" s="101">
        <f t="shared" si="12"/>
        <v>3.0974491506148564E-2</v>
      </c>
      <c r="M51" s="101">
        <f t="shared" si="12"/>
        <v>0.17817077388760316</v>
      </c>
      <c r="N51" s="101">
        <f t="shared" si="12"/>
        <v>0.18446329705373629</v>
      </c>
      <c r="O51" s="101">
        <f t="shared" si="12"/>
        <v>-0.21477922919445683</v>
      </c>
      <c r="P51" s="101">
        <f t="shared" si="12"/>
        <v>0.32770278615816734</v>
      </c>
      <c r="Q51" s="101">
        <f t="shared" si="12"/>
        <v>0.53693319192258182</v>
      </c>
      <c r="R51" s="101">
        <f t="shared" si="12"/>
        <v>0.2692809492449767</v>
      </c>
      <c r="S51" s="101">
        <f t="shared" si="12"/>
        <v>0.19897847826388118</v>
      </c>
      <c r="T51" s="101">
        <f t="shared" si="12"/>
        <v>0.23997426476694336</v>
      </c>
      <c r="U51" s="101">
        <f t="shared" si="12"/>
        <v>0.2370962541853609</v>
      </c>
      <c r="V51" s="101">
        <f t="shared" si="12"/>
        <v>6.915166344720967E-4</v>
      </c>
      <c r="W51" s="101">
        <f t="shared" si="12"/>
        <v>0.23130913361388331</v>
      </c>
      <c r="X51" s="101">
        <f t="shared" si="12"/>
        <v>8.8407001575120964E-2</v>
      </c>
      <c r="Y51" s="101">
        <f t="shared" si="12"/>
        <v>5.0083550905838117E-2</v>
      </c>
      <c r="Z51" s="101">
        <f t="shared" si="12"/>
        <v>-0.14451093237644361</v>
      </c>
      <c r="AA51" s="101">
        <f t="shared" si="12"/>
        <v>0.50748798877343515</v>
      </c>
      <c r="AB51" s="101">
        <f t="shared" si="12"/>
        <v>-2.2761732142029725E-2</v>
      </c>
      <c r="AC51" s="101">
        <f t="shared" si="12"/>
        <v>3.0123794846792992E-2</v>
      </c>
      <c r="AD51" s="101">
        <f t="shared" si="12"/>
        <v>3.8835086136365472E-2</v>
      </c>
      <c r="AE51" s="101">
        <f t="shared" si="12"/>
        <v>7.7726632864095882E-2</v>
      </c>
      <c r="AF51" s="101">
        <f t="shared" si="12"/>
        <v>0.17515608327759827</v>
      </c>
      <c r="AG51" s="101">
        <f t="shared" si="12"/>
        <v>0.13801732907050457</v>
      </c>
      <c r="AH51" s="101">
        <f t="shared" si="12"/>
        <v>4.3757242912606395E-2</v>
      </c>
      <c r="AI51" s="101">
        <f t="shared" si="12"/>
        <v>2.408985151601295E-2</v>
      </c>
      <c r="AJ51" s="101">
        <f t="shared" si="12"/>
        <v>9.7476647163657216E-3</v>
      </c>
      <c r="AK51" s="101">
        <f t="shared" si="12"/>
        <v>0.24945908737304451</v>
      </c>
      <c r="AL51" s="101">
        <f t="shared" si="12"/>
        <v>0.18669501794541241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0.47636533599991426</v>
      </c>
      <c r="D52" s="101">
        <f t="shared" si="13"/>
        <v>0.22748573920600068</v>
      </c>
      <c r="E52" s="101">
        <f t="shared" si="13"/>
        <v>0.62497452276852905</v>
      </c>
      <c r="F52" s="101">
        <f t="shared" si="13"/>
        <v>-0.2367420797521326</v>
      </c>
      <c r="G52" s="101">
        <f t="shared" si="13"/>
        <v>0.64310099790903874</v>
      </c>
      <c r="H52" s="101">
        <f t="shared" si="13"/>
        <v>0.48287471422180039</v>
      </c>
      <c r="I52" s="101">
        <f t="shared" si="13"/>
        <v>0.71209608238649691</v>
      </c>
      <c r="J52" s="101">
        <f t="shared" si="13"/>
        <v>9.483847747828586E-2</v>
      </c>
      <c r="K52" s="101">
        <f t="shared" si="13"/>
        <v>0.41873759229107566</v>
      </c>
      <c r="L52" s="101">
        <f t="shared" si="13"/>
        <v>0.20012719709313218</v>
      </c>
      <c r="M52" s="101">
        <f t="shared" si="13"/>
        <v>0.63181807757876163</v>
      </c>
      <c r="N52" s="101">
        <f t="shared" si="13"/>
        <v>0.70261431758652237</v>
      </c>
      <c r="O52" s="101">
        <f t="shared" si="13"/>
        <v>3.4274308333307584</v>
      </c>
      <c r="P52" s="101">
        <f t="shared" si="13"/>
        <v>0.74160656169307371</v>
      </c>
      <c r="Q52" s="101">
        <f t="shared" si="13"/>
        <v>0.74377253545970823</v>
      </c>
      <c r="R52" s="101">
        <f t="shared" si="13"/>
        <v>0.76681415248744134</v>
      </c>
      <c r="S52" s="101">
        <f t="shared" si="13"/>
        <v>0.58686902390082485</v>
      </c>
      <c r="T52" s="101">
        <f t="shared" si="13"/>
        <v>0.49248392914208805</v>
      </c>
      <c r="U52" s="101">
        <f t="shared" si="13"/>
        <v>0.585595340551332</v>
      </c>
      <c r="V52" s="101">
        <f t="shared" si="13"/>
        <v>7.9872534439875235E-3</v>
      </c>
      <c r="W52" s="101">
        <f t="shared" si="13"/>
        <v>0.5475728457122605</v>
      </c>
      <c r="X52" s="101">
        <f t="shared" si="13"/>
        <v>0.49103265997883666</v>
      </c>
      <c r="Y52" s="101">
        <f t="shared" si="13"/>
        <v>0.15472457092861794</v>
      </c>
      <c r="Z52" s="101">
        <f t="shared" si="13"/>
        <v>-3.8999715526952206</v>
      </c>
      <c r="AA52" s="101">
        <f t="shared" si="13"/>
        <v>0.79965901023414099</v>
      </c>
      <c r="AB52" s="101">
        <f t="shared" si="13"/>
        <v>-0.16543385012659942</v>
      </c>
      <c r="AC52" s="101">
        <f t="shared" si="13"/>
        <v>0.11156894133847543</v>
      </c>
      <c r="AD52" s="101">
        <f t="shared" si="13"/>
        <v>0.22678511475494451</v>
      </c>
      <c r="AE52" s="101">
        <f t="shared" si="13"/>
        <v>0.38154674910637409</v>
      </c>
      <c r="AF52" s="101">
        <f t="shared" si="13"/>
        <v>0.51977774573131219</v>
      </c>
      <c r="AG52" s="101">
        <f t="shared" si="13"/>
        <v>0.45443354631099631</v>
      </c>
      <c r="AH52" s="101">
        <f t="shared" si="13"/>
        <v>0.19977980800274495</v>
      </c>
      <c r="AI52" s="101">
        <f t="shared" si="13"/>
        <v>0.18563706686672163</v>
      </c>
      <c r="AJ52" s="101">
        <f t="shared" si="13"/>
        <v>6.6608886676054746E-2</v>
      </c>
      <c r="AK52" s="101">
        <f t="shared" si="13"/>
        <v>0.71689697577353917</v>
      </c>
      <c r="AL52" s="101">
        <f t="shared" si="13"/>
        <v>0.62483262288862607</v>
      </c>
    </row>
    <row r="53" spans="1:38" s="108" customFormat="1" ht="13" x14ac:dyDescent="0.3">
      <c r="A53" s="106" t="s">
        <v>53</v>
      </c>
      <c r="B53" s="107"/>
      <c r="C53" s="87">
        <f>C45/C46</f>
        <v>4.2392576676781077</v>
      </c>
      <c r="D53" s="106">
        <f t="shared" ref="D53:AL53" si="14">D45/D46</f>
        <v>3.1443183620588071</v>
      </c>
      <c r="E53" s="106">
        <f t="shared" si="14"/>
        <v>4.4571579363548226</v>
      </c>
      <c r="F53" s="106">
        <f t="shared" si="14"/>
        <v>6.3582787259993747</v>
      </c>
      <c r="G53" s="106">
        <f t="shared" si="14"/>
        <v>2.1208571168434269</v>
      </c>
      <c r="H53" s="106">
        <f t="shared" si="14"/>
        <v>4.2808707405048683</v>
      </c>
      <c r="I53" s="106">
        <f t="shared" si="14"/>
        <v>3.1990873591561826</v>
      </c>
      <c r="J53" s="106">
        <f t="shared" si="14"/>
        <v>8.8668954653084633</v>
      </c>
      <c r="K53" s="106">
        <f t="shared" si="14"/>
        <v>4.6913185007132689</v>
      </c>
      <c r="L53" s="106">
        <f t="shared" si="14"/>
        <v>7.2609053287646725</v>
      </c>
      <c r="M53" s="106">
        <f t="shared" si="14"/>
        <v>3.9143195060034719</v>
      </c>
      <c r="N53" s="106">
        <f t="shared" si="14"/>
        <v>4.1063510907561609</v>
      </c>
      <c r="O53" s="106">
        <f t="shared" si="14"/>
        <v>-18.385355843982655</v>
      </c>
      <c r="P53" s="106">
        <f t="shared" si="14"/>
        <v>2.5214396894154953</v>
      </c>
      <c r="Q53" s="106">
        <f t="shared" si="14"/>
        <v>1.6414510764323085</v>
      </c>
      <c r="R53" s="106">
        <f t="shared" si="14"/>
        <v>3.0808219489058173</v>
      </c>
      <c r="S53" s="106">
        <f t="shared" si="14"/>
        <v>3.3625405254200382</v>
      </c>
      <c r="T53" s="106">
        <f t="shared" si="14"/>
        <v>2.5597525038786584</v>
      </c>
      <c r="U53" s="106">
        <f t="shared" si="14"/>
        <v>2.884267975355447</v>
      </c>
      <c r="V53" s="106">
        <f t="shared" si="14"/>
        <v>12.542354482131161</v>
      </c>
      <c r="W53" s="106">
        <f t="shared" si="14"/>
        <v>2.8197043869555416</v>
      </c>
      <c r="X53" s="106">
        <f t="shared" si="14"/>
        <v>6.0631955259143098</v>
      </c>
      <c r="Y53" s="106">
        <f t="shared" si="14"/>
        <v>3.934604522759547</v>
      </c>
      <c r="Z53" s="106">
        <f t="shared" si="14"/>
        <v>31.887352289648693</v>
      </c>
      <c r="AA53" s="106">
        <f t="shared" si="14"/>
        <v>1.7760610618149804</v>
      </c>
      <c r="AB53" s="106">
        <f t="shared" si="14"/>
        <v>8.4335033052241961</v>
      </c>
      <c r="AC53" s="106">
        <f t="shared" si="14"/>
        <v>4.5921125471959341</v>
      </c>
      <c r="AD53" s="106">
        <f t="shared" si="14"/>
        <v>6.6129113380509423</v>
      </c>
      <c r="AE53" s="106">
        <f t="shared" si="14"/>
        <v>5.5272822461429651</v>
      </c>
      <c r="AF53" s="106">
        <f t="shared" si="14"/>
        <v>3.4477340643354619</v>
      </c>
      <c r="AG53" s="106">
        <f t="shared" si="14"/>
        <v>3.8381497066141064</v>
      </c>
      <c r="AH53" s="106">
        <f t="shared" si="14"/>
        <v>5.3658599513795506</v>
      </c>
      <c r="AI53" s="106">
        <f t="shared" si="14"/>
        <v>8.5203907906867133</v>
      </c>
      <c r="AJ53" s="106">
        <f t="shared" si="14"/>
        <v>7.7667084887382414</v>
      </c>
      <c r="AK53" s="106">
        <f t="shared" si="14"/>
        <v>3.1569088387305508</v>
      </c>
      <c r="AL53" s="106">
        <f t="shared" si="14"/>
        <v>3.721976680139055</v>
      </c>
    </row>
    <row r="54" spans="1:38" s="110" customFormat="1" x14ac:dyDescent="0.3">
      <c r="A54" s="109" t="s">
        <v>54</v>
      </c>
      <c r="C54" s="111">
        <f t="shared" ref="C54:AL54" si="15">C48/C4</f>
        <v>0.78793894269748987</v>
      </c>
      <c r="D54" s="112">
        <f t="shared" si="15"/>
        <v>0.70342286503985008</v>
      </c>
      <c r="E54" s="112">
        <f t="shared" si="15"/>
        <v>0.80323220458277933</v>
      </c>
      <c r="F54" s="112">
        <f t="shared" si="15"/>
        <v>0.83664232401303329</v>
      </c>
      <c r="G54" s="112">
        <f t="shared" si="15"/>
        <v>0.6382000166129298</v>
      </c>
      <c r="H54" s="112">
        <f t="shared" si="15"/>
        <v>0.79008114318791256</v>
      </c>
      <c r="I54" s="112">
        <f t="shared" si="15"/>
        <v>0.74432291020193819</v>
      </c>
      <c r="J54" s="112">
        <f t="shared" si="15"/>
        <v>0.88841445122292495</v>
      </c>
      <c r="K54" s="112">
        <f t="shared" si="15"/>
        <v>0.80430743189512188</v>
      </c>
      <c r="L54" s="112">
        <f t="shared" si="15"/>
        <v>0.86597029345009746</v>
      </c>
      <c r="M54" s="112">
        <f t="shared" si="15"/>
        <v>0.78003305407839707</v>
      </c>
      <c r="N54" s="112">
        <f t="shared" si="15"/>
        <v>0.79205506484509514</v>
      </c>
      <c r="O54" s="112">
        <f t="shared" si="15"/>
        <v>1.0668541926295176</v>
      </c>
      <c r="P54" s="112">
        <f t="shared" si="15"/>
        <v>0.69353790199563814</v>
      </c>
      <c r="Q54" s="112">
        <f t="shared" si="15"/>
        <v>0.58075209594006327</v>
      </c>
      <c r="R54" s="112">
        <f t="shared" si="15"/>
        <v>0.74010016185317207</v>
      </c>
      <c r="S54" s="112">
        <f t="shared" si="15"/>
        <v>0.74679759404239066</v>
      </c>
      <c r="T54" s="112">
        <f t="shared" si="15"/>
        <v>0.6723713834284073</v>
      </c>
      <c r="U54" s="112">
        <f t="shared" si="15"/>
        <v>0.71180420986160076</v>
      </c>
      <c r="V54" s="112">
        <f t="shared" si="15"/>
        <v>0.92032089475576562</v>
      </c>
      <c r="W54" s="112">
        <f t="shared" si="15"/>
        <v>0.70302415545163555</v>
      </c>
      <c r="X54" s="112">
        <f t="shared" si="15"/>
        <v>0.84742673406575486</v>
      </c>
      <c r="Y54" s="112">
        <f t="shared" si="15"/>
        <v>0.75546110936791833</v>
      </c>
      <c r="Z54" s="112">
        <f t="shared" si="15"/>
        <v>0.96426961102938658</v>
      </c>
      <c r="AA54" s="112">
        <f t="shared" si="15"/>
        <v>0.61175905299194755</v>
      </c>
      <c r="AB54" s="112">
        <f t="shared" si="15"/>
        <v>0.87905278185786651</v>
      </c>
      <c r="AC54" s="112">
        <f t="shared" si="15"/>
        <v>0.78740057071517744</v>
      </c>
      <c r="AD54" s="112">
        <f t="shared" si="15"/>
        <v>0.85379468125522373</v>
      </c>
      <c r="AE54" s="112">
        <f t="shared" si="15"/>
        <v>0.83076172947228744</v>
      </c>
      <c r="AF54" s="112">
        <f t="shared" si="15"/>
        <v>0.74795286117039439</v>
      </c>
      <c r="AG54" s="112">
        <f t="shared" si="15"/>
        <v>0.76704004533434078</v>
      </c>
      <c r="AH54" s="112">
        <f t="shared" si="15"/>
        <v>0.82032613621565309</v>
      </c>
      <c r="AI54" s="112">
        <f t="shared" si="15"/>
        <v>0.88513705488176331</v>
      </c>
      <c r="AJ54" s="112">
        <f t="shared" si="15"/>
        <v>0.87234016546570592</v>
      </c>
      <c r="AK54" s="112">
        <f t="shared" si="15"/>
        <v>0.74185592983110948</v>
      </c>
      <c r="AL54" s="112">
        <f t="shared" si="15"/>
        <v>0.7699461995483744</v>
      </c>
    </row>
    <row r="55" spans="1:38" s="110" customFormat="1" x14ac:dyDescent="0.3">
      <c r="A55" s="109" t="s">
        <v>55</v>
      </c>
      <c r="C55" s="111">
        <f t="shared" ref="C55:AL55" si="16">C44/C4</f>
        <v>0.11104252048810287</v>
      </c>
      <c r="D55" s="112">
        <f t="shared" si="16"/>
        <v>0.22911006618214241</v>
      </c>
      <c r="E55" s="112">
        <f t="shared" si="16"/>
        <v>7.3792936380127599E-2</v>
      </c>
      <c r="F55" s="112">
        <f t="shared" si="16"/>
        <v>0.20203131194359622</v>
      </c>
      <c r="G55" s="112">
        <f t="shared" si="16"/>
        <v>0.12912605302737179</v>
      </c>
      <c r="H55" s="112">
        <f t="shared" si="16"/>
        <v>0.10855434881918373</v>
      </c>
      <c r="I55" s="112">
        <f t="shared" si="16"/>
        <v>7.3610435796881438E-2</v>
      </c>
      <c r="J55" s="112">
        <f t="shared" si="16"/>
        <v>0.10100294522247817</v>
      </c>
      <c r="K55" s="112">
        <f t="shared" si="16"/>
        <v>0.11374873330738416</v>
      </c>
      <c r="L55" s="112">
        <f t="shared" si="16"/>
        <v>0.10720671705085555</v>
      </c>
      <c r="M55" s="112">
        <f t="shared" si="16"/>
        <v>8.0987853018544359E-2</v>
      </c>
      <c r="N55" s="112">
        <f t="shared" si="16"/>
        <v>6.1839846445467785E-2</v>
      </c>
      <c r="O55" s="112">
        <f t="shared" si="16"/>
        <v>0.1622839285263247</v>
      </c>
      <c r="P55" s="112">
        <f t="shared" si="16"/>
        <v>7.9187795214101298E-2</v>
      </c>
      <c r="Q55" s="112">
        <f t="shared" si="16"/>
        <v>0.10742282747110911</v>
      </c>
      <c r="R55" s="112">
        <f t="shared" si="16"/>
        <v>6.0604964026644871E-2</v>
      </c>
      <c r="S55" s="112">
        <f t="shared" si="16"/>
        <v>0.10460575712392679</v>
      </c>
      <c r="T55" s="112">
        <f t="shared" si="16"/>
        <v>0.1662767881830281</v>
      </c>
      <c r="U55" s="112">
        <f t="shared" si="16"/>
        <v>0.1194296782668431</v>
      </c>
      <c r="V55" s="112">
        <f t="shared" si="16"/>
        <v>7.90426880364586E-2</v>
      </c>
      <c r="W55" s="112">
        <f t="shared" si="16"/>
        <v>0.13435993624121456</v>
      </c>
      <c r="X55" s="112">
        <f t="shared" si="16"/>
        <v>7.76548093208944E-2</v>
      </c>
      <c r="Y55" s="112">
        <f t="shared" si="16"/>
        <v>0.20670271570367263</v>
      </c>
      <c r="Z55" s="112">
        <f t="shared" si="16"/>
        <v>0.17507788952274064</v>
      </c>
      <c r="AA55" s="112">
        <f t="shared" si="16"/>
        <v>7.7780575591227627E-2</v>
      </c>
      <c r="AB55" s="112">
        <f t="shared" si="16"/>
        <v>0.14095598210148844</v>
      </c>
      <c r="AC55" s="112">
        <f t="shared" si="16"/>
        <v>0.18887993603035086</v>
      </c>
      <c r="AD55" s="112">
        <f t="shared" si="16"/>
        <v>0.11304812875545887</v>
      </c>
      <c r="AE55" s="112">
        <f t="shared" si="16"/>
        <v>0.10466595858347887</v>
      </c>
      <c r="AF55" s="112">
        <f t="shared" si="16"/>
        <v>0.12103864519072609</v>
      </c>
      <c r="AG55" s="112">
        <f t="shared" si="16"/>
        <v>0.12709513631849481</v>
      </c>
      <c r="AH55" s="112">
        <f t="shared" si="16"/>
        <v>0.14377865377439869</v>
      </c>
      <c r="AI55" s="112">
        <f t="shared" si="16"/>
        <v>9.3540124894814031E-2</v>
      </c>
      <c r="AJ55" s="112">
        <f t="shared" si="16"/>
        <v>0.11915655508271546</v>
      </c>
      <c r="AK55" s="112">
        <f t="shared" si="16"/>
        <v>7.3081366950940613E-2</v>
      </c>
      <c r="AL55" s="112">
        <f t="shared" si="16"/>
        <v>8.6308680909939886E-2</v>
      </c>
    </row>
    <row r="56" spans="1:38" s="110" customFormat="1" x14ac:dyDescent="0.3">
      <c r="A56" s="113" t="s">
        <v>56</v>
      </c>
      <c r="C56" s="111">
        <f t="shared" ref="C56:AL56" si="17">C45/C4</f>
        <v>0.89898146318559269</v>
      </c>
      <c r="D56" s="112">
        <f t="shared" si="17"/>
        <v>0.93253293122199243</v>
      </c>
      <c r="E56" s="112">
        <f t="shared" si="17"/>
        <v>0.87702514096290696</v>
      </c>
      <c r="F56" s="112">
        <f t="shared" si="17"/>
        <v>1.0386736359566295</v>
      </c>
      <c r="G56" s="112">
        <f t="shared" si="17"/>
        <v>0.76732606964030148</v>
      </c>
      <c r="H56" s="112">
        <f t="shared" si="17"/>
        <v>0.89863549200709625</v>
      </c>
      <c r="I56" s="112">
        <f t="shared" si="17"/>
        <v>0.81793334599881962</v>
      </c>
      <c r="J56" s="112">
        <f t="shared" si="17"/>
        <v>0.98941739644540316</v>
      </c>
      <c r="K56" s="112">
        <f t="shared" si="17"/>
        <v>0.91805616520250599</v>
      </c>
      <c r="L56" s="112">
        <f t="shared" si="17"/>
        <v>0.97317701050095295</v>
      </c>
      <c r="M56" s="112">
        <f t="shared" si="17"/>
        <v>0.86102090709694135</v>
      </c>
      <c r="N56" s="112">
        <f t="shared" si="17"/>
        <v>0.85389491129056283</v>
      </c>
      <c r="O56" s="112">
        <f t="shared" si="17"/>
        <v>1.2291381211558423</v>
      </c>
      <c r="P56" s="112">
        <f t="shared" si="17"/>
        <v>0.77272569720973938</v>
      </c>
      <c r="Q56" s="112">
        <f t="shared" si="17"/>
        <v>0.68817492341117237</v>
      </c>
      <c r="R56" s="112">
        <f t="shared" si="17"/>
        <v>0.8007051258798169</v>
      </c>
      <c r="S56" s="112">
        <f t="shared" si="17"/>
        <v>0.85140335116631738</v>
      </c>
      <c r="T56" s="112">
        <f t="shared" si="17"/>
        <v>0.83864817161143534</v>
      </c>
      <c r="U56" s="112">
        <f t="shared" si="17"/>
        <v>0.8312338881284439</v>
      </c>
      <c r="V56" s="112">
        <f t="shared" si="17"/>
        <v>0.99936358279222415</v>
      </c>
      <c r="W56" s="112">
        <f t="shared" si="17"/>
        <v>0.83738409169285022</v>
      </c>
      <c r="X56" s="112">
        <f t="shared" si="17"/>
        <v>0.92508154338664916</v>
      </c>
      <c r="Y56" s="112">
        <f t="shared" si="17"/>
        <v>0.96216382507159093</v>
      </c>
      <c r="Z56" s="112">
        <f t="shared" si="17"/>
        <v>1.1393475005521272</v>
      </c>
      <c r="AA56" s="112">
        <f t="shared" si="17"/>
        <v>0.68953962858317519</v>
      </c>
      <c r="AB56" s="112">
        <f t="shared" si="17"/>
        <v>1.0200087639593549</v>
      </c>
      <c r="AC56" s="112">
        <f t="shared" si="17"/>
        <v>0.97628050674552824</v>
      </c>
      <c r="AD56" s="112">
        <f t="shared" si="17"/>
        <v>0.96684281001068273</v>
      </c>
      <c r="AE56" s="112">
        <f t="shared" si="17"/>
        <v>0.93542768805576615</v>
      </c>
      <c r="AF56" s="112">
        <f t="shared" si="17"/>
        <v>0.86899150636112055</v>
      </c>
      <c r="AG56" s="112">
        <f t="shared" si="17"/>
        <v>0.89413518165283556</v>
      </c>
      <c r="AH56" s="112">
        <f t="shared" si="17"/>
        <v>0.96410478999005178</v>
      </c>
      <c r="AI56" s="112">
        <f t="shared" si="17"/>
        <v>0.97867717977657731</v>
      </c>
      <c r="AJ56" s="112">
        <f t="shared" si="17"/>
        <v>0.99149672054842131</v>
      </c>
      <c r="AK56" s="112">
        <f t="shared" si="17"/>
        <v>0.81493729678205007</v>
      </c>
      <c r="AL56" s="112">
        <f t="shared" si="17"/>
        <v>0.85625488045831422</v>
      </c>
    </row>
    <row r="57" spans="1:38" s="110" customFormat="1" x14ac:dyDescent="0.3">
      <c r="A57" s="113" t="s">
        <v>104</v>
      </c>
      <c r="C57" s="111">
        <f t="shared" ref="C57:AL57" si="18">SUM(C30:C39)/C44</f>
        <v>0.45963807969962273</v>
      </c>
      <c r="D57" s="112">
        <f t="shared" si="18"/>
        <v>0.21202456260915481</v>
      </c>
      <c r="E57" s="112">
        <f t="shared" si="18"/>
        <v>0.52953523234181676</v>
      </c>
      <c r="F57" s="112">
        <f t="shared" si="18"/>
        <v>0.23224650835778987</v>
      </c>
      <c r="G57" s="112">
        <f t="shared" si="18"/>
        <v>0.34822827675260298</v>
      </c>
      <c r="H57" s="112">
        <f t="shared" si="18"/>
        <v>0.35193474104075334</v>
      </c>
      <c r="I57" s="112">
        <f t="shared" si="18"/>
        <v>0.66708998578884571</v>
      </c>
      <c r="J57" s="112">
        <f t="shared" si="18"/>
        <v>0.64785661590975685</v>
      </c>
      <c r="K57" s="112">
        <f t="shared" si="18"/>
        <v>0.41076304041579609</v>
      </c>
      <c r="L57" s="112">
        <f t="shared" si="18"/>
        <v>0.46405073175510347</v>
      </c>
      <c r="M57" s="112">
        <f t="shared" si="18"/>
        <v>0.62686240156709083</v>
      </c>
      <c r="N57" s="112">
        <f t="shared" si="18"/>
        <v>0.712641607165584</v>
      </c>
      <c r="O57" s="112">
        <f t="shared" si="18"/>
        <v>0.35074428302321203</v>
      </c>
      <c r="P57" s="112">
        <f t="shared" si="18"/>
        <v>0.72772538892269045</v>
      </c>
      <c r="Q57" s="112">
        <f t="shared" si="18"/>
        <v>0.72570916639683303</v>
      </c>
      <c r="R57" s="112">
        <f t="shared" si="18"/>
        <v>0.63677338422698349</v>
      </c>
      <c r="S57" s="112">
        <f t="shared" si="18"/>
        <v>0.54479380846145697</v>
      </c>
      <c r="T57" s="112">
        <f t="shared" si="18"/>
        <v>0.32542576075739077</v>
      </c>
      <c r="U57" s="112">
        <f t="shared" si="18"/>
        <v>0.59698392028511793</v>
      </c>
      <c r="V57" s="112">
        <f t="shared" si="18"/>
        <v>0.63874962716167671</v>
      </c>
      <c r="W57" s="112">
        <f t="shared" si="18"/>
        <v>0.281114316374662</v>
      </c>
      <c r="X57" s="112">
        <f t="shared" si="18"/>
        <v>0.7414683747357651</v>
      </c>
      <c r="Y57" s="112">
        <f t="shared" si="18"/>
        <v>0.27507410060162979</v>
      </c>
      <c r="Z57" s="112">
        <f t="shared" si="18"/>
        <v>0.31616867425020823</v>
      </c>
      <c r="AA57" s="112">
        <f t="shared" si="18"/>
        <v>0.5217318895080697</v>
      </c>
      <c r="AB57" s="112">
        <f t="shared" si="18"/>
        <v>0.29400723416277447</v>
      </c>
      <c r="AC57" s="112">
        <f t="shared" si="18"/>
        <v>0.32480795049951378</v>
      </c>
      <c r="AD57" s="112">
        <f t="shared" si="18"/>
        <v>0.56769958054629754</v>
      </c>
      <c r="AE57" s="112">
        <f t="shared" si="18"/>
        <v>0.5431468267525108</v>
      </c>
      <c r="AF57" s="112">
        <f t="shared" si="18"/>
        <v>0.35038385021670565</v>
      </c>
      <c r="AG57" s="112">
        <f t="shared" si="18"/>
        <v>0.39312620217461491</v>
      </c>
      <c r="AH57" s="112">
        <f t="shared" si="18"/>
        <v>0.29590195712605655</v>
      </c>
      <c r="AI57" s="112">
        <f t="shared" si="18"/>
        <v>0.56899946524003964</v>
      </c>
      <c r="AJ57" s="112">
        <f t="shared" si="18"/>
        <v>0.36937100187495897</v>
      </c>
      <c r="AK57" s="112">
        <f t="shared" si="18"/>
        <v>0.6451668515240544</v>
      </c>
      <c r="AL57" s="112">
        <f t="shared" si="18"/>
        <v>0.53854888769133014</v>
      </c>
    </row>
    <row r="58" spans="1:38" s="110" customFormat="1" x14ac:dyDescent="0.3">
      <c r="A58" s="113" t="s">
        <v>58</v>
      </c>
      <c r="C58" s="111">
        <f>C41/C44</f>
        <v>0.22114099036552859</v>
      </c>
      <c r="D58" s="112">
        <f t="shared" ref="D58:AL58" si="19">D41/D44</f>
        <v>0.61123378180898447</v>
      </c>
      <c r="E58" s="112">
        <f t="shared" si="19"/>
        <v>0.2669707456814604</v>
      </c>
      <c r="F58" s="112">
        <f t="shared" si="19"/>
        <v>0.29271796395150218</v>
      </c>
      <c r="G58" s="112">
        <f t="shared" si="19"/>
        <v>0.55131559451449041</v>
      </c>
      <c r="H58" s="112">
        <f t="shared" si="19"/>
        <v>1.7681835225869406E-2</v>
      </c>
      <c r="I58" s="112">
        <f t="shared" si="19"/>
        <v>3.1732562114159625E-2</v>
      </c>
      <c r="J58" s="112">
        <f t="shared" si="19"/>
        <v>3.050234350237083E-2</v>
      </c>
      <c r="K58" s="112">
        <f t="shared" si="19"/>
        <v>0.30163052548379676</v>
      </c>
      <c r="L58" s="112">
        <f t="shared" si="19"/>
        <v>2.5209318157042977E-2</v>
      </c>
      <c r="M58" s="112">
        <f t="shared" si="19"/>
        <v>3.5407268412298458E-2</v>
      </c>
      <c r="N58" s="112">
        <f t="shared" si="19"/>
        <v>3.8288670897566518E-2</v>
      </c>
      <c r="O58" s="112">
        <f t="shared" si="19"/>
        <v>2.0128791059793129E-2</v>
      </c>
      <c r="P58" s="112">
        <f t="shared" si="19"/>
        <v>3.7000073593222507E-2</v>
      </c>
      <c r="Q58" s="112">
        <f t="shared" si="19"/>
        <v>3.4597824675843387E-2</v>
      </c>
      <c r="R58" s="112">
        <f t="shared" si="19"/>
        <v>3.3989579247032151E-2</v>
      </c>
      <c r="S58" s="112">
        <f t="shared" si="19"/>
        <v>2.5120063358535557E-2</v>
      </c>
      <c r="T58" s="112">
        <f t="shared" si="19"/>
        <v>1.5095332484946086E-2</v>
      </c>
      <c r="U58" s="112">
        <f t="shared" si="19"/>
        <v>0.22096395676586625</v>
      </c>
      <c r="V58" s="112">
        <f t="shared" si="19"/>
        <v>3.7259953079291051E-2</v>
      </c>
      <c r="W58" s="112">
        <f t="shared" si="19"/>
        <v>0.59918798834309417</v>
      </c>
      <c r="X58" s="112">
        <f t="shared" si="19"/>
        <v>3.8528567434346371E-2</v>
      </c>
      <c r="Y58" s="112">
        <f t="shared" si="19"/>
        <v>1.2379037086764329E-2</v>
      </c>
      <c r="Z58" s="112">
        <f t="shared" si="19"/>
        <v>1.5536198093215353E-2</v>
      </c>
      <c r="AA58" s="112">
        <f t="shared" si="19"/>
        <v>0.27846965889364306</v>
      </c>
      <c r="AB58" s="112">
        <f t="shared" si="19"/>
        <v>0.29158109927138198</v>
      </c>
      <c r="AC58" s="112">
        <f t="shared" si="19"/>
        <v>0.29944314195997496</v>
      </c>
      <c r="AD58" s="112">
        <f t="shared" si="19"/>
        <v>0.18015286994332519</v>
      </c>
      <c r="AE58" s="112">
        <f t="shared" si="19"/>
        <v>2.5493685281450691E-2</v>
      </c>
      <c r="AF58" s="112">
        <f t="shared" si="19"/>
        <v>0.5208453258993162</v>
      </c>
      <c r="AG58" s="112">
        <f t="shared" si="19"/>
        <v>0.21975044147904971</v>
      </c>
      <c r="AH58" s="112">
        <f t="shared" si="19"/>
        <v>0.51565422526482085</v>
      </c>
      <c r="AI58" s="112">
        <f t="shared" si="19"/>
        <v>0.19093207989459901</v>
      </c>
      <c r="AJ58" s="112">
        <f t="shared" si="19"/>
        <v>0.36609846372663529</v>
      </c>
      <c r="AK58" s="112">
        <f t="shared" si="19"/>
        <v>3.1236076086343319E-2</v>
      </c>
      <c r="AL58" s="112">
        <f t="shared" si="19"/>
        <v>2.4857259138542302E-2</v>
      </c>
    </row>
    <row r="59" spans="1:38" s="110" customFormat="1" x14ac:dyDescent="0.3">
      <c r="A59" s="113" t="s">
        <v>59</v>
      </c>
      <c r="C59" s="111">
        <f>C43/C44</f>
        <v>0.17203686556985537</v>
      </c>
      <c r="D59" s="112">
        <f t="shared" ref="D59:AL59" si="20">D43/D44</f>
        <v>5.1064753716709738E-2</v>
      </c>
      <c r="E59" s="112">
        <f t="shared" si="20"/>
        <v>8.6690168340181492E-2</v>
      </c>
      <c r="F59" s="112">
        <f t="shared" si="20"/>
        <v>0.15330766354677819</v>
      </c>
      <c r="G59" s="112">
        <f t="shared" si="20"/>
        <v>1.2767178720894735E-2</v>
      </c>
      <c r="H59" s="112">
        <f t="shared" si="20"/>
        <v>0.55796669243508079</v>
      </c>
      <c r="I59" s="112">
        <f t="shared" si="20"/>
        <v>0.17121535287634615</v>
      </c>
      <c r="J59" s="112">
        <f t="shared" si="20"/>
        <v>8.5890676398225591E-2</v>
      </c>
      <c r="K59" s="112">
        <f t="shared" si="20"/>
        <v>9.867324436887577E-2</v>
      </c>
      <c r="L59" s="112">
        <f t="shared" si="20"/>
        <v>0.1783606282756503</v>
      </c>
      <c r="M59" s="112">
        <f t="shared" si="20"/>
        <v>0.12279127107718697</v>
      </c>
      <c r="N59" s="112">
        <f t="shared" si="20"/>
        <v>9.2256791789116832E-2</v>
      </c>
      <c r="O59" s="112">
        <f t="shared" si="20"/>
        <v>0.53206146054182801</v>
      </c>
      <c r="P59" s="112">
        <f t="shared" si="20"/>
        <v>6.4953533359032908E-2</v>
      </c>
      <c r="Q59" s="112">
        <f t="shared" si="20"/>
        <v>9.7996101278817638E-2</v>
      </c>
      <c r="R59" s="112">
        <f t="shared" si="20"/>
        <v>0.16610365375474082</v>
      </c>
      <c r="S59" s="112">
        <f t="shared" si="20"/>
        <v>0.32720580748966438</v>
      </c>
      <c r="T59" s="112">
        <f t="shared" si="20"/>
        <v>0.53780339553136813</v>
      </c>
      <c r="U59" s="112">
        <f t="shared" si="20"/>
        <v>7.5919064292078633E-2</v>
      </c>
      <c r="V59" s="112">
        <f t="shared" si="20"/>
        <v>0.17139064853265593</v>
      </c>
      <c r="W59" s="112">
        <f t="shared" si="20"/>
        <v>7.9706152240026744E-3</v>
      </c>
      <c r="X59" s="112">
        <f t="shared" si="20"/>
        <v>5.5645635572338287E-2</v>
      </c>
      <c r="Y59" s="112">
        <f t="shared" si="20"/>
        <v>0.66184797325441647</v>
      </c>
      <c r="Z59" s="112">
        <f t="shared" si="20"/>
        <v>0.59001093160663987</v>
      </c>
      <c r="AA59" s="112">
        <f t="shared" si="20"/>
        <v>0.10662756280586605</v>
      </c>
      <c r="AB59" s="112">
        <f t="shared" si="20"/>
        <v>0.19146453017416956</v>
      </c>
      <c r="AC59" s="112">
        <f t="shared" si="20"/>
        <v>0.19621362445899221</v>
      </c>
      <c r="AD59" s="112">
        <f t="shared" si="20"/>
        <v>0.11076560914779418</v>
      </c>
      <c r="AE59" s="112">
        <f t="shared" si="20"/>
        <v>0.21232145066455438</v>
      </c>
      <c r="AF59" s="112">
        <f t="shared" si="20"/>
        <v>2.2499868282654458E-2</v>
      </c>
      <c r="AG59" s="112">
        <f t="shared" si="20"/>
        <v>0.31266643418672457</v>
      </c>
      <c r="AH59" s="112">
        <f t="shared" si="20"/>
        <v>7.6896860623210661E-2</v>
      </c>
      <c r="AI59" s="112">
        <f t="shared" si="20"/>
        <v>7.9038323946909406E-2</v>
      </c>
      <c r="AJ59" s="112">
        <f t="shared" si="20"/>
        <v>0.14110386750386511</v>
      </c>
      <c r="AK59" s="112">
        <f t="shared" si="20"/>
        <v>0.19566835346067421</v>
      </c>
      <c r="AL59" s="112">
        <f t="shared" si="20"/>
        <v>0.11760827357394425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31F5-8B42-4BBA-AC32-2469EBB2A564}">
  <sheetPr codeName="Sheet22">
    <tabColor theme="5" tint="0.79998168889431442"/>
  </sheetPr>
  <dimension ref="A1:Z68"/>
  <sheetViews>
    <sheetView topLeftCell="A43" workbookViewId="0">
      <selection activeCell="C4" sqref="C4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191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192</v>
      </c>
      <c r="B3" s="7"/>
      <c r="C3" s="8">
        <f>SUM(D3:F3)</f>
        <v>6368891940</v>
      </c>
      <c r="D3" s="9">
        <v>2352721669</v>
      </c>
      <c r="E3" s="9">
        <v>3309033088</v>
      </c>
      <c r="F3" s="9">
        <v>707137183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296150000</v>
      </c>
      <c r="D4" s="12">
        <v>116750000</v>
      </c>
      <c r="E4" s="12">
        <v>141100000</v>
      </c>
      <c r="F4" s="12">
        <v>38300000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21100000</v>
      </c>
      <c r="D5" s="12">
        <v>7800000</v>
      </c>
      <c r="E5" s="12">
        <v>13300000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47223645</v>
      </c>
      <c r="D6" s="12">
        <v>19817000</v>
      </c>
      <c r="E6" s="12">
        <v>27406645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40</v>
      </c>
      <c r="D7" s="12">
        <v>13</v>
      </c>
      <c r="E7" s="12">
        <v>23</v>
      </c>
      <c r="F7" s="12">
        <v>4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84</v>
      </c>
      <c r="D8" s="12">
        <v>35</v>
      </c>
      <c r="E8" s="12">
        <v>40</v>
      </c>
      <c r="F8" s="12">
        <v>9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61</v>
      </c>
      <c r="D9" s="12">
        <v>25</v>
      </c>
      <c r="E9" s="12">
        <v>33</v>
      </c>
      <c r="F9" s="12">
        <v>3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4671447741.9354839</v>
      </c>
      <c r="D10" s="12">
        <v>1705212258.0645161</v>
      </c>
      <c r="E10" s="12">
        <v>2426883870.9677415</v>
      </c>
      <c r="F10" s="12">
        <v>539351612.9032259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789511200</v>
      </c>
      <c r="D11" s="12">
        <v>313575900</v>
      </c>
      <c r="E11" s="12">
        <v>418149300</v>
      </c>
      <c r="F11" s="12">
        <v>57786000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235937419.3548387</v>
      </c>
      <c r="D12" s="12">
        <v>88698548.387096778</v>
      </c>
      <c r="E12" s="12">
        <v>127166774.19354838</v>
      </c>
      <c r="F12" s="12">
        <v>20072096.774193548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109258827.95698924</v>
      </c>
      <c r="D13" s="12">
        <v>39891677.419354849</v>
      </c>
      <c r="E13" s="12">
        <v>57933440.860215053</v>
      </c>
      <c r="F13" s="12">
        <v>11433709.677419355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97564193.548387095</v>
      </c>
      <c r="D14" s="12">
        <v>36865161.290322579</v>
      </c>
      <c r="E14" s="12">
        <v>52208709.677419357</v>
      </c>
      <c r="F14" s="12">
        <v>8490322.5806451607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11616129.032258064</v>
      </c>
      <c r="D15" s="12">
        <v>7766129.0322580645</v>
      </c>
      <c r="E15" s="12">
        <v>2050000</v>
      </c>
      <c r="F15" s="12">
        <v>1800000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55624021.505376346</v>
      </c>
      <c r="D16" s="12">
        <v>15938817.204301076</v>
      </c>
      <c r="E16" s="12">
        <v>29456494.623655915</v>
      </c>
      <c r="F16" s="12">
        <v>10228709.677419355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118128182.79569893</v>
      </c>
      <c r="D17" s="12">
        <v>43801032.258064516</v>
      </c>
      <c r="E17" s="12">
        <v>59086344.086021505</v>
      </c>
      <c r="F17" s="12">
        <v>15240806.451612905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1417639974.1935482</v>
      </c>
      <c r="D18" s="16">
        <f>SUM(D11:D17)</f>
        <v>546537265.59139788</v>
      </c>
      <c r="E18" s="16">
        <f>SUM(E11:E17)</f>
        <v>746051063.44086027</v>
      </c>
      <c r="F18" s="16">
        <f>SUM(F11:F17)</f>
        <v>125051645.16129032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3979316666.666667</v>
      </c>
      <c r="D20" s="17">
        <v>1466916666.666667</v>
      </c>
      <c r="E20" s="17">
        <v>2060900000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64744000</v>
      </c>
      <c r="D21" s="17">
        <v>29364000</v>
      </c>
      <c r="E21" s="17">
        <v>34500000</v>
      </c>
      <c r="F21" s="12">
        <v>880000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714640002</v>
      </c>
      <c r="D22" s="17">
        <v>253431534</v>
      </c>
      <c r="E22" s="17">
        <v>394505069</v>
      </c>
      <c r="F22" s="18">
        <v>66703399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208744403.33333334</v>
      </c>
      <c r="D23" s="17">
        <v>83653520</v>
      </c>
      <c r="E23" s="17">
        <v>115519063.33333334</v>
      </c>
      <c r="F23" s="18">
        <v>9571820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32563199.583333336</v>
      </c>
      <c r="D24" s="17">
        <v>14285303.666666668</v>
      </c>
      <c r="E24" s="17">
        <v>17877895.916666668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19360000</v>
      </c>
      <c r="D25" s="17">
        <v>6150000</v>
      </c>
      <c r="E25" s="17">
        <v>11060000</v>
      </c>
      <c r="F25" s="12">
        <v>2150000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0</v>
      </c>
      <c r="D26" s="12">
        <v>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666666.66666666663</v>
      </c>
      <c r="D27" s="12">
        <v>0</v>
      </c>
      <c r="E27" s="12">
        <v>666666.66666666663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5020034938.25</v>
      </c>
      <c r="D28" s="8">
        <f>SUM(D20:D27)</f>
        <v>1853801024.3333337</v>
      </c>
      <c r="E28" s="8">
        <f>SUM(E20:E27)</f>
        <v>2635028694.9166665</v>
      </c>
      <c r="F28" s="8">
        <f>SUM(F20:F27)</f>
        <v>531205219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136975273.35599086</v>
      </c>
      <c r="D29" s="17">
        <v>51289034.327631705</v>
      </c>
      <c r="E29" s="17">
        <v>72917105.951006532</v>
      </c>
      <c r="F29" s="17">
        <v>12769133.077352626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12018561.484918792</v>
      </c>
      <c r="D30" s="17">
        <v>4668213.4570765663</v>
      </c>
      <c r="E30" s="17">
        <v>6273781.9025522023</v>
      </c>
      <c r="F30" s="17">
        <v>1076566.1252900232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18814467.904098995</v>
      </c>
      <c r="D31" s="17">
        <v>7145177.8808971383</v>
      </c>
      <c r="E31" s="17">
        <v>9960151.5854601711</v>
      </c>
      <c r="F31" s="17">
        <v>1709138.4377416861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14297374.323279195</v>
      </c>
      <c r="D32" s="17">
        <v>5437142.3047177112</v>
      </c>
      <c r="E32" s="17">
        <v>7562521.2683681352</v>
      </c>
      <c r="F32" s="17">
        <v>1297710.7501933491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0</v>
      </c>
      <c r="D33" s="17">
        <v>0</v>
      </c>
      <c r="E33" s="17">
        <v>0</v>
      </c>
      <c r="F33" s="17">
        <v>0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40793063.778808966</v>
      </c>
      <c r="D34" s="17">
        <v>15825438.962103635</v>
      </c>
      <c r="E34" s="17">
        <v>21310750.474864654</v>
      </c>
      <c r="F34" s="17">
        <v>3656874.3418406807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41800000</v>
      </c>
      <c r="D35" s="17">
        <v>16000000</v>
      </c>
      <c r="E35" s="17">
        <v>22450000</v>
      </c>
      <c r="F35" s="17">
        <v>3350000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15963093.580819799</v>
      </c>
      <c r="D36" s="17">
        <v>6158035.576179428</v>
      </c>
      <c r="E36" s="17">
        <v>8295630.317092034</v>
      </c>
      <c r="F36" s="17">
        <v>1509427.6875483373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22034029.389017783</v>
      </c>
      <c r="D37" s="17">
        <v>8558391.3379737046</v>
      </c>
      <c r="E37" s="17">
        <v>11501933.488012368</v>
      </c>
      <c r="F37" s="17">
        <v>1973704.5630317091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64876545.436968312</v>
      </c>
      <c r="D39" s="17">
        <v>25199152.397525143</v>
      </c>
      <c r="E39" s="17">
        <v>33866057.695282295</v>
      </c>
      <c r="F39" s="17">
        <v>5811335.344160866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153107847.59164733</v>
      </c>
      <c r="D40" s="17">
        <v>57773557.888631076</v>
      </c>
      <c r="E40" s="17">
        <v>76973682.174013942</v>
      </c>
      <c r="F40" s="12">
        <v>18360607.52900232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29061000</v>
      </c>
      <c r="D41" s="17">
        <v>13253000</v>
      </c>
      <c r="E41" s="17">
        <v>11816000</v>
      </c>
      <c r="F41" s="12">
        <v>3992000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84148000</v>
      </c>
      <c r="D42" s="12">
        <v>44945000</v>
      </c>
      <c r="E42" s="12">
        <v>34794000</v>
      </c>
      <c r="F42" s="12">
        <v>4409000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638889256.84555006</v>
      </c>
      <c r="D43" s="21">
        <f>SUM(D29:D42)</f>
        <v>261252144.13273609</v>
      </c>
      <c r="E43" s="21">
        <f>SUM(E29:E42)</f>
        <v>317721614.85665238</v>
      </c>
      <c r="F43" s="21">
        <f>SUM(F29:F42)</f>
        <v>59915497.856161594</v>
      </c>
    </row>
    <row r="44" spans="1:26" s="25" customFormat="1" ht="18.5" customHeight="1" x14ac:dyDescent="0.35">
      <c r="A44" s="23" t="s">
        <v>46</v>
      </c>
      <c r="B44" s="23"/>
      <c r="C44" s="24">
        <f>C28+C43</f>
        <v>5658924195.0955505</v>
      </c>
      <c r="D44" s="24">
        <f>D28+D43</f>
        <v>2115053168.4660697</v>
      </c>
      <c r="E44" s="24">
        <f>E28+E43</f>
        <v>2952750309.7733188</v>
      </c>
      <c r="F44" s="24">
        <f>F28+F43</f>
        <v>591120716.85616159</v>
      </c>
    </row>
    <row r="45" spans="1:26" s="22" customFormat="1" ht="18" customHeight="1" x14ac:dyDescent="0.35">
      <c r="A45" s="19" t="s">
        <v>47</v>
      </c>
      <c r="B45" s="19"/>
      <c r="C45" s="20">
        <f>C3-C28</f>
        <v>1348857001.75</v>
      </c>
      <c r="D45" s="26">
        <f>D3-D28</f>
        <v>498920644.66666627</v>
      </c>
      <c r="E45" s="26">
        <f>E3-E28</f>
        <v>674004393.08333349</v>
      </c>
      <c r="F45" s="26">
        <f>F3-F28</f>
        <v>175931964</v>
      </c>
    </row>
    <row r="46" spans="1:26" s="30" customFormat="1" ht="15.5" x14ac:dyDescent="0.35">
      <c r="A46" s="27" t="s">
        <v>48</v>
      </c>
      <c r="B46" s="27"/>
      <c r="C46" s="28">
        <f>C3-C44</f>
        <v>709967744.90444946</v>
      </c>
      <c r="D46" s="29">
        <f>D3-D44</f>
        <v>237668500.5339303</v>
      </c>
      <c r="E46" s="29">
        <f>E3-E44</f>
        <v>356282778.22668123</v>
      </c>
      <c r="F46" s="29">
        <f>F3-F44</f>
        <v>116016466.14383841</v>
      </c>
    </row>
    <row r="47" spans="1:26" s="10" customFormat="1" ht="15.5" x14ac:dyDescent="0.35">
      <c r="A47" s="6" t="s">
        <v>29</v>
      </c>
      <c r="B47" s="6"/>
      <c r="C47" s="8">
        <f>C28</f>
        <v>5020034938.25</v>
      </c>
      <c r="D47" s="31">
        <f>D28</f>
        <v>1853801024.3333337</v>
      </c>
      <c r="E47" s="31">
        <f>E28</f>
        <v>2635028694.9166665</v>
      </c>
      <c r="F47" s="31">
        <f>F28</f>
        <v>531205219</v>
      </c>
    </row>
    <row r="48" spans="1:26" s="35" customFormat="1" ht="15" x14ac:dyDescent="0.35">
      <c r="A48" s="32" t="s">
        <v>49</v>
      </c>
      <c r="B48" s="33"/>
      <c r="C48" s="34">
        <f>C46/C3</f>
        <v>0.11147429593607604</v>
      </c>
      <c r="D48" s="34">
        <f>D46/D3</f>
        <v>0.10101853681440731</v>
      </c>
      <c r="E48" s="34">
        <f>E46/E3</f>
        <v>0.10766975389841772</v>
      </c>
      <c r="F48" s="34">
        <f>F46/F3</f>
        <v>0.16406500596057386</v>
      </c>
    </row>
    <row r="49" spans="1:6" s="35" customFormat="1" ht="15" x14ac:dyDescent="0.35">
      <c r="A49" s="32" t="s">
        <v>50</v>
      </c>
      <c r="B49" s="33"/>
      <c r="C49" s="34">
        <f>C45/C3</f>
        <v>0.21178833217101184</v>
      </c>
      <c r="D49" s="34">
        <f>D45/D3</f>
        <v>0.21206105730251013</v>
      </c>
      <c r="E49" s="34">
        <f>E45/E3</f>
        <v>0.20368620535333054</v>
      </c>
      <c r="F49" s="34">
        <f>F45/F3</f>
        <v>0.24879467270214242</v>
      </c>
    </row>
    <row r="50" spans="1:6" s="35" customFormat="1" ht="15" x14ac:dyDescent="0.35">
      <c r="A50" s="32" t="s">
        <v>51</v>
      </c>
      <c r="B50" s="33"/>
      <c r="C50" s="34">
        <f>C46/C47</f>
        <v>0.14142685332623331</v>
      </c>
      <c r="D50" s="34">
        <f>D46/D47</f>
        <v>0.12820604661139454</v>
      </c>
      <c r="E50" s="34">
        <f>E46/E47</f>
        <v>0.13521020811424173</v>
      </c>
      <c r="F50" s="34">
        <f>F46/F47</f>
        <v>0.21840234620104212</v>
      </c>
    </row>
    <row r="51" spans="1:6" s="35" customFormat="1" ht="15" x14ac:dyDescent="0.35">
      <c r="A51" s="32" t="s">
        <v>52</v>
      </c>
      <c r="B51" s="33"/>
      <c r="C51" s="34">
        <f>C46/C45</f>
        <v>0.52634767361057622</v>
      </c>
      <c r="D51" s="34">
        <f>D46/D45</f>
        <v>0.47636533599991426</v>
      </c>
      <c r="E51" s="34">
        <f>E46/E45</f>
        <v>0.52860601782847827</v>
      </c>
      <c r="F51" s="34">
        <f>F46/F45</f>
        <v>0.65943938501043731</v>
      </c>
    </row>
    <row r="52" spans="1:6" s="39" customFormat="1" ht="15" x14ac:dyDescent="0.35">
      <c r="A52" s="36" t="s">
        <v>53</v>
      </c>
      <c r="B52" s="37"/>
      <c r="C52" s="38">
        <f>C44/C45</f>
        <v>4.1953477557322181</v>
      </c>
      <c r="D52" s="38">
        <f>D44/D45</f>
        <v>4.2392576676781077</v>
      </c>
      <c r="E52" s="38">
        <f>E44/E45</f>
        <v>4.3809066232721756</v>
      </c>
      <c r="F52" s="38">
        <f>F44/F45</f>
        <v>3.3599392823021152</v>
      </c>
    </row>
    <row r="53" spans="1:6" s="42" customFormat="1" ht="15" x14ac:dyDescent="0.35">
      <c r="A53" s="40" t="s">
        <v>54</v>
      </c>
      <c r="B53" s="40"/>
      <c r="C53" s="41">
        <f>C47/C3</f>
        <v>0.78821166782898822</v>
      </c>
      <c r="D53" s="41">
        <f>D47/D3</f>
        <v>0.78793894269748987</v>
      </c>
      <c r="E53" s="41">
        <f>E47/E3</f>
        <v>0.7963137946466694</v>
      </c>
      <c r="F53" s="41">
        <f>F47/F3</f>
        <v>0.75120532729785761</v>
      </c>
    </row>
    <row r="54" spans="1:6" s="42" customFormat="1" ht="15" x14ac:dyDescent="0.35">
      <c r="A54" s="40" t="s">
        <v>55</v>
      </c>
      <c r="B54" s="40"/>
      <c r="C54" s="41">
        <f>C43/C3</f>
        <v>0.10031403623493572</v>
      </c>
      <c r="D54" s="41">
        <f>D43/D3</f>
        <v>0.11104252048810287</v>
      </c>
      <c r="E54" s="41">
        <f>E43/E3</f>
        <v>9.601645145491286E-2</v>
      </c>
      <c r="F54" s="41">
        <f>F43/F3</f>
        <v>8.4729666741568579E-2</v>
      </c>
    </row>
    <row r="55" spans="1:6" s="42" customFormat="1" ht="15" x14ac:dyDescent="0.35">
      <c r="A55" s="40" t="s">
        <v>56</v>
      </c>
      <c r="B55" s="40"/>
      <c r="C55" s="41">
        <f>C44/C3</f>
        <v>0.88852570406392395</v>
      </c>
      <c r="D55" s="41">
        <f>D44/D3</f>
        <v>0.89898146318559269</v>
      </c>
      <c r="E55" s="41">
        <f>E44/E3</f>
        <v>0.89233024610158229</v>
      </c>
      <c r="F55" s="41">
        <f>F44/F3</f>
        <v>0.83593499403942617</v>
      </c>
    </row>
    <row r="56" spans="1:6" s="42" customFormat="1" ht="15" x14ac:dyDescent="0.35">
      <c r="A56" s="40" t="s">
        <v>57</v>
      </c>
      <c r="B56" s="40"/>
      <c r="C56" s="41">
        <f>SUM(C29:C38)/C43</f>
        <v>0.48161063990362118</v>
      </c>
      <c r="D56" s="41">
        <f>SUM(D29:D38)/D43</f>
        <v>0.45963807969962273</v>
      </c>
      <c r="E56" s="41">
        <f>SUM(E29:E38)/E43</f>
        <v>0.50444120731183661</v>
      </c>
      <c r="F56" s="41">
        <f>SUM(F29:F38)/F43</f>
        <v>0.4563519617017846</v>
      </c>
    </row>
    <row r="57" spans="1:6" s="42" customFormat="1" ht="15" x14ac:dyDescent="0.35">
      <c r="A57" s="40" t="s">
        <v>58</v>
      </c>
      <c r="B57" s="40"/>
      <c r="C57" s="41">
        <f>C40/C43</f>
        <v>0.23964692777524788</v>
      </c>
      <c r="D57" s="41">
        <f>D40/D43</f>
        <v>0.22114099036552859</v>
      </c>
      <c r="E57" s="41">
        <f>E40/E43</f>
        <v>0.24226769150957023</v>
      </c>
      <c r="F57" s="41">
        <f>F40/F43</f>
        <v>0.30644170850554237</v>
      </c>
    </row>
    <row r="58" spans="1:6" s="42" customFormat="1" ht="15" x14ac:dyDescent="0.35">
      <c r="A58" s="40" t="s">
        <v>59</v>
      </c>
      <c r="B58" s="40"/>
      <c r="C58" s="41">
        <f>C42/C43</f>
        <v>0.13170983718754653</v>
      </c>
      <c r="D58" s="41">
        <f>D42/D43</f>
        <v>0.17203686556985537</v>
      </c>
      <c r="E58" s="41">
        <f>E42/E43</f>
        <v>0.10951096297209158</v>
      </c>
      <c r="F58" s="41">
        <f>F42/F43</f>
        <v>7.3586970946726213E-2</v>
      </c>
    </row>
    <row r="59" spans="1:6" s="46" customFormat="1" x14ac:dyDescent="0.35">
      <c r="A59" s="43" t="s">
        <v>60</v>
      </c>
      <c r="B59" s="44"/>
      <c r="C59" s="45">
        <f>C46/C3</f>
        <v>0.11147429593607604</v>
      </c>
      <c r="D59" s="45">
        <f>D46/D3</f>
        <v>0.10101853681440731</v>
      </c>
      <c r="E59" s="45">
        <f>E46/E3</f>
        <v>0.10766975389841772</v>
      </c>
      <c r="F59" s="45">
        <f>F46/F3</f>
        <v>0.16406500596057386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B512-8F12-4E6B-9329-BAFF74593A4F}">
  <sheetPr codeName="Sheet23">
    <tabColor theme="5" tint="0.79998168889431442"/>
  </sheetPr>
  <dimension ref="A1:Z68"/>
  <sheetViews>
    <sheetView topLeftCell="B1" workbookViewId="0">
      <selection activeCell="C4" sqref="C4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8.7265625" style="5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191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192</v>
      </c>
      <c r="B3" s="7"/>
      <c r="C3" s="8">
        <f>SUM(D3:F3)</f>
        <v>6072741940</v>
      </c>
      <c r="D3" s="9">
        <f>2352721669-D4</f>
        <v>2235971669</v>
      </c>
      <c r="E3" s="9">
        <f>3309033088-E4</f>
        <v>3167933088</v>
      </c>
      <c r="F3" s="9">
        <f>707137183-F4</f>
        <v>668837183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296150000</v>
      </c>
      <c r="D4" s="12">
        <v>116750000</v>
      </c>
      <c r="E4" s="12">
        <v>141100000</v>
      </c>
      <c r="F4" s="12">
        <v>38300000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21100000</v>
      </c>
      <c r="D5" s="12">
        <v>7800000</v>
      </c>
      <c r="E5" s="12">
        <v>13300000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47223645</v>
      </c>
      <c r="D6" s="12">
        <v>19817000</v>
      </c>
      <c r="E6" s="12">
        <v>27406645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40</v>
      </c>
      <c r="D7" s="12">
        <v>13</v>
      </c>
      <c r="E7" s="12">
        <v>23</v>
      </c>
      <c r="F7" s="12">
        <v>4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84</v>
      </c>
      <c r="D8" s="12">
        <v>35</v>
      </c>
      <c r="E8" s="12">
        <v>40</v>
      </c>
      <c r="F8" s="12">
        <v>9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 t="shared" si="0"/>
        <v>61</v>
      </c>
      <c r="D9" s="12">
        <v>25</v>
      </c>
      <c r="E9" s="12">
        <v>33</v>
      </c>
      <c r="F9" s="12">
        <v>3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4671447741.9354839</v>
      </c>
      <c r="D10" s="12">
        <v>1705212258.0645161</v>
      </c>
      <c r="E10" s="12">
        <v>2426883870.9677415</v>
      </c>
      <c r="F10" s="12">
        <v>539351612.9032259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789511200</v>
      </c>
      <c r="D11" s="12">
        <v>313575900</v>
      </c>
      <c r="E11" s="12">
        <v>418149300</v>
      </c>
      <c r="F11" s="12">
        <v>57786000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235937419.3548387</v>
      </c>
      <c r="D12" s="12">
        <v>88698548.387096778</v>
      </c>
      <c r="E12" s="12">
        <v>127166774.19354838</v>
      </c>
      <c r="F12" s="12">
        <v>20072096.774193548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109258827.95698924</v>
      </c>
      <c r="D13" s="12">
        <v>39891677.419354849</v>
      </c>
      <c r="E13" s="12">
        <v>57933440.860215053</v>
      </c>
      <c r="F13" s="12">
        <v>11433709.677419355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97564193.548387095</v>
      </c>
      <c r="D14" s="12">
        <v>36865161.290322579</v>
      </c>
      <c r="E14" s="12">
        <v>52208709.677419357</v>
      </c>
      <c r="F14" s="12">
        <v>8490322.5806451607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11616129.032258064</v>
      </c>
      <c r="D15" s="12">
        <v>7766129.0322580645</v>
      </c>
      <c r="E15" s="12">
        <v>2050000</v>
      </c>
      <c r="F15" s="12">
        <v>1800000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55624021.505376346</v>
      </c>
      <c r="D16" s="12">
        <v>15938817.204301076</v>
      </c>
      <c r="E16" s="12">
        <v>29456494.623655915</v>
      </c>
      <c r="F16" s="12">
        <v>10228709.677419355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118128182.79569893</v>
      </c>
      <c r="D17" s="12">
        <v>43801032.258064516</v>
      </c>
      <c r="E17" s="12">
        <v>59086344.086021505</v>
      </c>
      <c r="F17" s="12">
        <v>15240806.451612905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1417639974.1935482</v>
      </c>
      <c r="D18" s="16">
        <f>SUM(D11:D17)</f>
        <v>546537265.59139788</v>
      </c>
      <c r="E18" s="16">
        <f>SUM(E11:E17)</f>
        <v>746051063.44086027</v>
      </c>
      <c r="F18" s="16">
        <f>SUM(F11:F17)</f>
        <v>125051645.16129032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3979316666.666667</v>
      </c>
      <c r="D20" s="17">
        <v>1466916666.666667</v>
      </c>
      <c r="E20" s="17">
        <v>2060900000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714640002</v>
      </c>
      <c r="D22" s="17">
        <v>253431534</v>
      </c>
      <c r="E22" s="17">
        <v>394505069</v>
      </c>
      <c r="F22" s="18">
        <v>66703399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208744403.33333334</v>
      </c>
      <c r="D23" s="17">
        <v>83653520</v>
      </c>
      <c r="E23" s="17">
        <v>115519063.33333334</v>
      </c>
      <c r="F23" s="18">
        <v>9571820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32563199.583333336</v>
      </c>
      <c r="D24" s="17">
        <v>14285303.666666668</v>
      </c>
      <c r="E24" s="17">
        <v>17877895.916666668</v>
      </c>
      <c r="F24" s="18">
        <v>400000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19360000</v>
      </c>
      <c r="D25" s="17">
        <v>6150000</v>
      </c>
      <c r="E25" s="17">
        <v>11060000</v>
      </c>
      <c r="F25" s="12">
        <v>2150000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0</v>
      </c>
      <c r="D26" s="12">
        <v>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666666.66666666663</v>
      </c>
      <c r="D27" s="12">
        <v>0</v>
      </c>
      <c r="E27" s="12">
        <v>666666.66666666663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4955290938.25</v>
      </c>
      <c r="D28" s="8">
        <f>SUM(D20:D27)</f>
        <v>1824437024.3333337</v>
      </c>
      <c r="E28" s="8">
        <f>SUM(E20:E27)</f>
        <v>2600528694.9166665</v>
      </c>
      <c r="F28" s="8">
        <f>SUM(F20:F27)</f>
        <v>530325219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136975273.35599086</v>
      </c>
      <c r="D29" s="17">
        <v>51289034.327631705</v>
      </c>
      <c r="E29" s="17">
        <v>72917105.951006532</v>
      </c>
      <c r="F29" s="17">
        <v>12769133.077352626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12018561.484918792</v>
      </c>
      <c r="D30" s="17">
        <v>4668213.4570765663</v>
      </c>
      <c r="E30" s="17">
        <v>6273781.9025522023</v>
      </c>
      <c r="F30" s="17">
        <v>1076566.1252900232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18814467.904098995</v>
      </c>
      <c r="D31" s="17">
        <v>7145177.8808971383</v>
      </c>
      <c r="E31" s="17">
        <v>9960151.5854601711</v>
      </c>
      <c r="F31" s="17">
        <v>1709138.4377416861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14297374.323279195</v>
      </c>
      <c r="D32" s="17">
        <v>5437142.3047177112</v>
      </c>
      <c r="E32" s="17">
        <v>7562521.2683681352</v>
      </c>
      <c r="F32" s="17">
        <v>1297710.7501933491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0</v>
      </c>
      <c r="D33" s="17">
        <v>0</v>
      </c>
      <c r="E33" s="17">
        <v>0</v>
      </c>
      <c r="F33" s="17">
        <v>0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40793063.778808966</v>
      </c>
      <c r="D34" s="17">
        <v>15825438.962103635</v>
      </c>
      <c r="E34" s="17">
        <v>21310750.474864654</v>
      </c>
      <c r="F34" s="17">
        <v>3656874.3418406807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41800000</v>
      </c>
      <c r="D35" s="17">
        <v>16000000</v>
      </c>
      <c r="E35" s="17">
        <v>22450000</v>
      </c>
      <c r="F35" s="17">
        <v>3350000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15963093.580819799</v>
      </c>
      <c r="D36" s="17">
        <v>6158035.576179428</v>
      </c>
      <c r="E36" s="17">
        <v>8295630.317092034</v>
      </c>
      <c r="F36" s="17">
        <v>1509427.6875483373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22034029.389017783</v>
      </c>
      <c r="D37" s="17">
        <v>8558391.3379737046</v>
      </c>
      <c r="E37" s="17">
        <v>11501933.488012368</v>
      </c>
      <c r="F37" s="17">
        <v>1973704.5630317091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64876545.436968312</v>
      </c>
      <c r="D39" s="17">
        <v>25199152.397525143</v>
      </c>
      <c r="E39" s="17">
        <v>33866057.695282295</v>
      </c>
      <c r="F39" s="17">
        <v>5811335.344160866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153107847.59164733</v>
      </c>
      <c r="D40" s="17">
        <v>57773557.888631076</v>
      </c>
      <c r="E40" s="17">
        <v>76973682.174013942</v>
      </c>
      <c r="F40" s="12">
        <v>18360607.52900232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29061000</v>
      </c>
      <c r="D41" s="17">
        <v>13253000</v>
      </c>
      <c r="E41" s="17">
        <v>11816000</v>
      </c>
      <c r="F41" s="12">
        <v>3992000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84148000</v>
      </c>
      <c r="D42" s="12">
        <v>44945000</v>
      </c>
      <c r="E42" s="12">
        <v>34794000</v>
      </c>
      <c r="F42" s="12">
        <v>4409000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638889256.84555006</v>
      </c>
      <c r="D43" s="21">
        <f>SUM(D29:D42)</f>
        <v>261252144.13273609</v>
      </c>
      <c r="E43" s="21">
        <f>SUM(E29:E42)</f>
        <v>317721614.85665238</v>
      </c>
      <c r="F43" s="21">
        <f>SUM(F29:F42)</f>
        <v>59915497.856161594</v>
      </c>
    </row>
    <row r="44" spans="1:26" s="25" customFormat="1" ht="18.5" customHeight="1" x14ac:dyDescent="0.35">
      <c r="A44" s="23" t="s">
        <v>46</v>
      </c>
      <c r="B44" s="23"/>
      <c r="C44" s="24">
        <f>C28+C43</f>
        <v>5594180195.0955505</v>
      </c>
      <c r="D44" s="24">
        <f>D28+D43</f>
        <v>2085689168.4660697</v>
      </c>
      <c r="E44" s="24">
        <f>E28+E43</f>
        <v>2918250309.7733188</v>
      </c>
      <c r="F44" s="24">
        <f>F28+F43</f>
        <v>590240716.85616159</v>
      </c>
    </row>
    <row r="45" spans="1:26" s="22" customFormat="1" ht="18" customHeight="1" x14ac:dyDescent="0.35">
      <c r="A45" s="19" t="s">
        <v>47</v>
      </c>
      <c r="B45" s="19"/>
      <c r="C45" s="20">
        <f>C3-C28</f>
        <v>1117451001.75</v>
      </c>
      <c r="D45" s="26">
        <f>D3-D28</f>
        <v>411534644.66666627</v>
      </c>
      <c r="E45" s="26">
        <f>E3-E28</f>
        <v>567404393.08333349</v>
      </c>
      <c r="F45" s="26">
        <f>F3-F28</f>
        <v>138511964</v>
      </c>
    </row>
    <row r="46" spans="1:26" s="30" customFormat="1" ht="15.5" x14ac:dyDescent="0.35">
      <c r="A46" s="27" t="s">
        <v>48</v>
      </c>
      <c r="B46" s="27"/>
      <c r="C46" s="28">
        <f>C3-C44</f>
        <v>478561744.90444946</v>
      </c>
      <c r="D46" s="29">
        <f>D3-D44</f>
        <v>150282500.5339303</v>
      </c>
      <c r="E46" s="29">
        <f>E3-E44</f>
        <v>249682778.22668123</v>
      </c>
      <c r="F46" s="29">
        <f>F3-F44</f>
        <v>78596466.143838406</v>
      </c>
    </row>
    <row r="47" spans="1:26" s="10" customFormat="1" ht="15.5" x14ac:dyDescent="0.35">
      <c r="A47" s="6" t="s">
        <v>29</v>
      </c>
      <c r="B47" s="6"/>
      <c r="C47" s="8">
        <f>C28</f>
        <v>4955290938.25</v>
      </c>
      <c r="D47" s="31">
        <f>D28</f>
        <v>1824437024.3333337</v>
      </c>
      <c r="E47" s="31">
        <f>E28</f>
        <v>2600528694.9166665</v>
      </c>
      <c r="F47" s="31">
        <f>F28</f>
        <v>530325219</v>
      </c>
    </row>
    <row r="48" spans="1:26" s="35" customFormat="1" ht="15" x14ac:dyDescent="0.35">
      <c r="A48" s="32" t="s">
        <v>49</v>
      </c>
      <c r="B48" s="33"/>
      <c r="C48" s="34">
        <f>C46/C3</f>
        <v>7.880488741868874E-2</v>
      </c>
      <c r="D48" s="34">
        <f>D46/D3</f>
        <v>6.7211272225618846E-2</v>
      </c>
      <c r="E48" s="34">
        <f>E46/E3</f>
        <v>7.8815672961171215E-2</v>
      </c>
      <c r="F48" s="34">
        <f>F46/F3</f>
        <v>0.11751210629663573</v>
      </c>
    </row>
    <row r="49" spans="1:6" s="35" customFormat="1" ht="15" x14ac:dyDescent="0.35">
      <c r="A49" s="32" t="s">
        <v>50</v>
      </c>
      <c r="B49" s="33"/>
      <c r="C49" s="34">
        <f>C45/C3</f>
        <v>0.18401094806771914</v>
      </c>
      <c r="D49" s="34">
        <f>D45/D3</f>
        <v>0.18405181531245343</v>
      </c>
      <c r="E49" s="34">
        <f>E45/E3</f>
        <v>0.1791087050520852</v>
      </c>
      <c r="F49" s="34">
        <f>F45/F3</f>
        <v>0.20709369562666793</v>
      </c>
    </row>
    <row r="50" spans="1:6" s="35" customFormat="1" ht="15" x14ac:dyDescent="0.35">
      <c r="A50" s="32" t="s">
        <v>51</v>
      </c>
      <c r="B50" s="33"/>
      <c r="C50" s="34">
        <f>C46/C47</f>
        <v>9.6575912669510641E-2</v>
      </c>
      <c r="D50" s="34">
        <f>D46/D47</f>
        <v>8.2371985730143205E-2</v>
      </c>
      <c r="E50" s="34">
        <f>E46/E47</f>
        <v>9.6012314232388152E-2</v>
      </c>
      <c r="F50" s="34">
        <f>F46/F47</f>
        <v>0.14820427791844915</v>
      </c>
    </row>
    <row r="51" spans="1:6" s="35" customFormat="1" ht="15" x14ac:dyDescent="0.35">
      <c r="A51" s="32" t="s">
        <v>52</v>
      </c>
      <c r="B51" s="33"/>
      <c r="C51" s="34">
        <f>C46/C45</f>
        <v>0.42826194987967353</v>
      </c>
      <c r="D51" s="34">
        <f>D46/D45</f>
        <v>0.36517581807882959</v>
      </c>
      <c r="E51" s="34">
        <f>E46/E45</f>
        <v>0.44004378758838908</v>
      </c>
      <c r="F51" s="34">
        <f>F46/F45</f>
        <v>0.56743449355637177</v>
      </c>
    </row>
    <row r="52" spans="1:6" s="39" customFormat="1" ht="15" x14ac:dyDescent="0.35">
      <c r="A52" s="36" t="s">
        <v>53</v>
      </c>
      <c r="B52" s="37"/>
      <c r="C52" s="38">
        <f>C44/C45</f>
        <v>5.0061973064901331</v>
      </c>
      <c r="D52" s="38">
        <f>D44/D45</f>
        <v>5.0680767597474832</v>
      </c>
      <c r="E52" s="38">
        <f>E44/E45</f>
        <v>5.1431577642803363</v>
      </c>
      <c r="F52" s="38">
        <f>F44/F45</f>
        <v>4.2612977233949376</v>
      </c>
    </row>
    <row r="53" spans="1:6" s="42" customFormat="1" ht="15" x14ac:dyDescent="0.35">
      <c r="A53" s="40" t="s">
        <v>54</v>
      </c>
      <c r="B53" s="40"/>
      <c r="C53" s="41">
        <f>C47/C3</f>
        <v>0.81598905193228088</v>
      </c>
      <c r="D53" s="41">
        <f>D47/D3</f>
        <v>0.8159481846875466</v>
      </c>
      <c r="E53" s="41">
        <f>E47/E3</f>
        <v>0.8208912949479148</v>
      </c>
      <c r="F53" s="41">
        <f>F47/F3</f>
        <v>0.79290630437333209</v>
      </c>
    </row>
    <row r="54" spans="1:6" s="42" customFormat="1" ht="15" x14ac:dyDescent="0.35">
      <c r="A54" s="40" t="s">
        <v>55</v>
      </c>
      <c r="B54" s="40"/>
      <c r="C54" s="41">
        <f>C43/C3</f>
        <v>0.10520606064903032</v>
      </c>
      <c r="D54" s="41">
        <f>D43/D3</f>
        <v>0.11684054308683466</v>
      </c>
      <c r="E54" s="41">
        <f>E43/E3</f>
        <v>0.10029303209091403</v>
      </c>
      <c r="F54" s="41">
        <f>F43/F3</f>
        <v>8.9581589330032199E-2</v>
      </c>
    </row>
    <row r="55" spans="1:6" s="42" customFormat="1" ht="15" x14ac:dyDescent="0.35">
      <c r="A55" s="40" t="s">
        <v>56</v>
      </c>
      <c r="B55" s="40"/>
      <c r="C55" s="41">
        <f>C44/C3</f>
        <v>0.92119511258131126</v>
      </c>
      <c r="D55" s="41">
        <f>D44/D3</f>
        <v>0.93278872777438115</v>
      </c>
      <c r="E55" s="41">
        <f>E44/E3</f>
        <v>0.9211843270388288</v>
      </c>
      <c r="F55" s="41">
        <f>F44/F3</f>
        <v>0.88248789370336422</v>
      </c>
    </row>
    <row r="56" spans="1:6" s="42" customFormat="1" ht="15" x14ac:dyDescent="0.35">
      <c r="A56" s="40" t="s">
        <v>57</v>
      </c>
      <c r="B56" s="40"/>
      <c r="C56" s="41">
        <f>SUM(C29:C38)/C43</f>
        <v>0.48161063990362118</v>
      </c>
      <c r="D56" s="41">
        <f>SUM(D29:D38)/D43</f>
        <v>0.45963807969962273</v>
      </c>
      <c r="E56" s="41">
        <f>SUM(E29:E38)/E43</f>
        <v>0.50444120731183661</v>
      </c>
      <c r="F56" s="41">
        <f>SUM(F29:F38)/F43</f>
        <v>0.4563519617017846</v>
      </c>
    </row>
    <row r="57" spans="1:6" s="42" customFormat="1" ht="15" x14ac:dyDescent="0.35">
      <c r="A57" s="40" t="s">
        <v>58</v>
      </c>
      <c r="B57" s="40"/>
      <c r="C57" s="41">
        <f>C40/C43</f>
        <v>0.23964692777524788</v>
      </c>
      <c r="D57" s="41">
        <f>D40/D43</f>
        <v>0.22114099036552859</v>
      </c>
      <c r="E57" s="41">
        <f>E40/E43</f>
        <v>0.24226769150957023</v>
      </c>
      <c r="F57" s="41">
        <f>F40/F43</f>
        <v>0.30644170850554237</v>
      </c>
    </row>
    <row r="58" spans="1:6" s="42" customFormat="1" ht="15" x14ac:dyDescent="0.35">
      <c r="A58" s="40" t="s">
        <v>59</v>
      </c>
      <c r="B58" s="40"/>
      <c r="C58" s="41">
        <f>C42/C43</f>
        <v>0.13170983718754653</v>
      </c>
      <c r="D58" s="41">
        <f>D42/D43</f>
        <v>0.17203686556985537</v>
      </c>
      <c r="E58" s="41">
        <f>E42/E43</f>
        <v>0.10951096297209158</v>
      </c>
      <c r="F58" s="41">
        <f>F42/F43</f>
        <v>7.3586970946726213E-2</v>
      </c>
    </row>
    <row r="59" spans="1:6" s="46" customFormat="1" x14ac:dyDescent="0.35">
      <c r="A59" s="43" t="s">
        <v>60</v>
      </c>
      <c r="B59" s="44"/>
      <c r="C59" s="45">
        <f>C46/C3</f>
        <v>7.880488741868874E-2</v>
      </c>
      <c r="D59" s="45">
        <f>D46/D3</f>
        <v>6.7211272225618846E-2</v>
      </c>
      <c r="E59" s="45">
        <f>E46/E3</f>
        <v>7.8815672961171215E-2</v>
      </c>
      <c r="F59" s="45">
        <f>F46/F3</f>
        <v>0.11751210629663573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404E-BF41-47B7-8BD6-700B44AF90F3}">
  <sheetPr codeName="Sheet24">
    <tabColor theme="8" tint="0.79998168889431442"/>
  </sheetPr>
  <dimension ref="A1:BE69"/>
  <sheetViews>
    <sheetView zoomScale="110" zoomScaleNormal="110" workbookViewId="0">
      <pane xSplit="2" ySplit="2" topLeftCell="C42" activePane="bottomRight" state="frozen"/>
      <selection activeCell="T47" sqref="T47"/>
      <selection pane="topRight" activeCell="T47" sqref="T47"/>
      <selection pane="bottomLeft" activeCell="T47" sqref="T47"/>
      <selection pane="bottomRight" activeCell="C30" sqref="C30:C43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193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194</v>
      </c>
      <c r="B4" s="61"/>
      <c r="C4" s="62">
        <f>SUM(D4:BC4)</f>
        <v>3423460034</v>
      </c>
      <c r="D4" s="64">
        <v>39678000</v>
      </c>
      <c r="E4" s="64">
        <v>68746000</v>
      </c>
      <c r="F4" s="64">
        <v>75497000</v>
      </c>
      <c r="G4" s="64">
        <v>91666000</v>
      </c>
      <c r="H4" s="64">
        <v>74444000</v>
      </c>
      <c r="I4" s="64">
        <v>62446000</v>
      </c>
      <c r="J4" s="64">
        <v>62103000</v>
      </c>
      <c r="K4" s="65">
        <v>35334000</v>
      </c>
      <c r="L4" s="64">
        <v>114547000</v>
      </c>
      <c r="M4" s="64">
        <v>100384000</v>
      </c>
      <c r="N4" s="64">
        <v>79241400</v>
      </c>
      <c r="O4" s="64">
        <v>93801600</v>
      </c>
      <c r="P4" s="64">
        <v>99717000</v>
      </c>
      <c r="Q4" s="64">
        <v>51072000</v>
      </c>
      <c r="R4" s="64">
        <v>71562500</v>
      </c>
      <c r="S4" s="64">
        <v>48271000</v>
      </c>
      <c r="T4" s="64">
        <v>28294000</v>
      </c>
      <c r="U4" s="64">
        <v>92781000</v>
      </c>
      <c r="V4" s="64">
        <v>43089000</v>
      </c>
      <c r="W4" s="64">
        <v>46150000</v>
      </c>
      <c r="X4" s="64">
        <v>40644000</v>
      </c>
      <c r="Y4" s="64">
        <v>31852000</v>
      </c>
      <c r="Z4" s="64">
        <v>79089000</v>
      </c>
      <c r="AA4" s="64">
        <v>63532000</v>
      </c>
      <c r="AB4" s="65">
        <v>23513667</v>
      </c>
      <c r="AC4" s="64">
        <v>46336000</v>
      </c>
      <c r="AD4" s="64">
        <v>63443400</v>
      </c>
      <c r="AE4" s="64">
        <v>20956000</v>
      </c>
      <c r="AF4" s="64">
        <v>60329000</v>
      </c>
      <c r="AG4" s="64">
        <v>59383000</v>
      </c>
      <c r="AH4" s="64">
        <v>63915800</v>
      </c>
      <c r="AI4" s="74">
        <v>24673667</v>
      </c>
      <c r="AJ4" s="64">
        <v>103969500</v>
      </c>
      <c r="AK4" s="64">
        <v>61492000</v>
      </c>
      <c r="AL4" s="64">
        <v>58791000</v>
      </c>
      <c r="AM4" s="64">
        <v>79493000</v>
      </c>
      <c r="AN4" s="64">
        <v>37917000</v>
      </c>
      <c r="AO4" s="64">
        <v>25788000</v>
      </c>
      <c r="AP4" s="64">
        <v>58100500</v>
      </c>
      <c r="AQ4" s="64">
        <v>136633000</v>
      </c>
      <c r="AR4" s="65">
        <v>44032000</v>
      </c>
      <c r="AS4" s="64">
        <v>91980000</v>
      </c>
      <c r="AT4" s="64">
        <v>168991000</v>
      </c>
      <c r="AU4" s="64">
        <v>44466000</v>
      </c>
      <c r="AV4" s="64">
        <v>41110000</v>
      </c>
      <c r="AW4" s="64">
        <v>35454000</v>
      </c>
      <c r="AX4" s="64">
        <v>93171000</v>
      </c>
      <c r="AY4" s="64">
        <v>90921000</v>
      </c>
      <c r="AZ4" s="64">
        <v>49387800</v>
      </c>
      <c r="BA4" s="64">
        <v>40461000</v>
      </c>
      <c r="BB4" s="64">
        <v>57370000</v>
      </c>
      <c r="BC4" s="64">
        <v>147440200</v>
      </c>
    </row>
    <row r="5" spans="1:55" s="68" customFormat="1" ht="13" x14ac:dyDescent="0.3">
      <c r="A5" s="66" t="s">
        <v>3</v>
      </c>
      <c r="B5" s="67"/>
      <c r="C5" s="62">
        <f t="shared" ref="C5:C18" si="0">SUM(D5:BC5)</f>
        <v>197000000</v>
      </c>
      <c r="E5" s="68">
        <v>4600000</v>
      </c>
      <c r="F5" s="68">
        <v>14000000</v>
      </c>
      <c r="G5" s="68">
        <v>6000000</v>
      </c>
      <c r="H5" s="68">
        <v>3200000</v>
      </c>
      <c r="J5" s="68">
        <v>3700000</v>
      </c>
      <c r="K5" s="68">
        <v>3000000</v>
      </c>
      <c r="L5" s="68">
        <v>4300000</v>
      </c>
      <c r="N5" s="68">
        <v>15600000</v>
      </c>
      <c r="O5" s="68">
        <v>13400000</v>
      </c>
      <c r="P5" s="68">
        <v>11200000</v>
      </c>
      <c r="T5" s="68">
        <v>3500000</v>
      </c>
      <c r="U5" s="68">
        <v>6600000</v>
      </c>
      <c r="W5" s="68">
        <v>3800000</v>
      </c>
      <c r="Z5" s="68">
        <v>3800000</v>
      </c>
      <c r="AB5" s="86"/>
      <c r="AC5" s="68">
        <v>3900000</v>
      </c>
      <c r="AD5" s="68">
        <v>15000000</v>
      </c>
      <c r="AG5" s="68">
        <v>7000000</v>
      </c>
      <c r="AH5" s="68">
        <v>6400000</v>
      </c>
      <c r="AI5" s="83">
        <v>2200000</v>
      </c>
      <c r="AJ5" s="68">
        <v>4000000</v>
      </c>
      <c r="AL5" s="68">
        <v>2700000</v>
      </c>
      <c r="AM5" s="68">
        <v>5500000</v>
      </c>
      <c r="AN5" s="68">
        <v>5700000</v>
      </c>
      <c r="AP5" s="68">
        <v>4100000</v>
      </c>
      <c r="AQ5" s="68">
        <v>15500000</v>
      </c>
      <c r="AS5" s="68">
        <v>7800000</v>
      </c>
      <c r="AU5" s="68">
        <v>3600000</v>
      </c>
      <c r="AZ5" s="68">
        <v>3400000</v>
      </c>
      <c r="BA5" s="68">
        <v>1700000</v>
      </c>
      <c r="BC5" s="68">
        <v>11800000</v>
      </c>
    </row>
    <row r="6" spans="1:55" s="68" customFormat="1" ht="13" x14ac:dyDescent="0.3">
      <c r="A6" s="69" t="s">
        <v>4</v>
      </c>
      <c r="B6" s="67"/>
      <c r="C6" s="62">
        <f t="shared" si="0"/>
        <v>8200000</v>
      </c>
      <c r="D6" s="72"/>
      <c r="N6" s="68">
        <v>3400000</v>
      </c>
      <c r="O6" s="83"/>
      <c r="AS6" s="68">
        <v>4800000</v>
      </c>
    </row>
    <row r="7" spans="1:55" s="68" customFormat="1" ht="13" x14ac:dyDescent="0.3">
      <c r="A7" s="71" t="s">
        <v>158</v>
      </c>
      <c r="B7" s="67"/>
      <c r="C7" s="62">
        <f t="shared" si="0"/>
        <v>30249000</v>
      </c>
      <c r="E7" s="68">
        <v>1128000</v>
      </c>
      <c r="H7" s="72"/>
      <c r="K7" s="68">
        <v>1992000</v>
      </c>
      <c r="L7" s="68">
        <v>2910000</v>
      </c>
      <c r="N7" s="68">
        <v>2438000</v>
      </c>
      <c r="T7" s="68">
        <v>1400000</v>
      </c>
      <c r="V7" s="68">
        <v>3303000</v>
      </c>
      <c r="W7" s="68">
        <v>2631000</v>
      </c>
      <c r="X7" s="68">
        <v>0</v>
      </c>
      <c r="AD7" s="68">
        <v>2264000</v>
      </c>
      <c r="AH7" s="68">
        <v>2332000</v>
      </c>
      <c r="AM7" s="68">
        <v>3475000</v>
      </c>
      <c r="AP7" s="68">
        <v>3133000</v>
      </c>
      <c r="BC7" s="68">
        <v>3243000</v>
      </c>
    </row>
    <row r="8" spans="1:55" s="68" customFormat="1" ht="13" x14ac:dyDescent="0.3">
      <c r="A8" s="71"/>
      <c r="B8" s="67" t="s">
        <v>6</v>
      </c>
      <c r="C8" s="62">
        <f t="shared" si="0"/>
        <v>18</v>
      </c>
      <c r="D8" s="68">
        <v>0</v>
      </c>
      <c r="E8" s="68">
        <v>1</v>
      </c>
      <c r="F8" s="68">
        <v>1</v>
      </c>
      <c r="G8" s="68">
        <v>0</v>
      </c>
      <c r="H8" s="68">
        <v>0</v>
      </c>
      <c r="I8" s="68">
        <v>0</v>
      </c>
      <c r="J8" s="68">
        <v>1</v>
      </c>
      <c r="K8" s="68">
        <v>0</v>
      </c>
      <c r="L8" s="68">
        <v>0</v>
      </c>
      <c r="M8" s="68">
        <v>0</v>
      </c>
      <c r="N8" s="68">
        <v>0</v>
      </c>
      <c r="O8" s="86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3</v>
      </c>
      <c r="V8" s="68">
        <v>0</v>
      </c>
      <c r="W8" s="68">
        <v>1</v>
      </c>
      <c r="X8" s="68">
        <v>0</v>
      </c>
      <c r="Y8" s="68">
        <v>0</v>
      </c>
      <c r="Z8" s="68">
        <v>0</v>
      </c>
      <c r="AA8" s="68">
        <v>2</v>
      </c>
      <c r="AB8" s="68">
        <v>0</v>
      </c>
      <c r="AC8" s="68">
        <v>1</v>
      </c>
      <c r="AD8" s="68">
        <v>1</v>
      </c>
      <c r="AE8" s="68">
        <v>0</v>
      </c>
      <c r="AF8" s="68">
        <v>0</v>
      </c>
      <c r="AG8" s="68">
        <v>0</v>
      </c>
      <c r="AH8" s="68">
        <v>1</v>
      </c>
      <c r="AI8" s="68">
        <v>1</v>
      </c>
      <c r="AJ8" s="68">
        <v>0</v>
      </c>
      <c r="AK8" s="68">
        <v>0</v>
      </c>
      <c r="AL8" s="68">
        <v>0</v>
      </c>
      <c r="AM8" s="68">
        <v>0</v>
      </c>
      <c r="AN8" s="68">
        <v>1</v>
      </c>
      <c r="AO8" s="68">
        <v>0</v>
      </c>
      <c r="AP8" s="68">
        <v>0</v>
      </c>
      <c r="AQ8" s="68">
        <v>1</v>
      </c>
      <c r="AR8" s="68">
        <v>0</v>
      </c>
      <c r="AS8" s="68">
        <v>1</v>
      </c>
      <c r="AT8" s="68">
        <v>0</v>
      </c>
      <c r="AU8" s="68">
        <v>0</v>
      </c>
      <c r="AV8" s="68">
        <v>0</v>
      </c>
      <c r="AW8" s="68">
        <v>0</v>
      </c>
      <c r="AX8" s="68">
        <v>0</v>
      </c>
      <c r="AY8" s="68">
        <v>0</v>
      </c>
      <c r="AZ8" s="68">
        <v>0</v>
      </c>
      <c r="BA8" s="68">
        <v>1</v>
      </c>
      <c r="BB8" s="68">
        <v>0</v>
      </c>
      <c r="BC8" s="68">
        <v>1</v>
      </c>
    </row>
    <row r="9" spans="1:55" s="68" customFormat="1" ht="13" x14ac:dyDescent="0.3">
      <c r="A9" s="71"/>
      <c r="B9" s="67" t="s">
        <v>7</v>
      </c>
      <c r="C9" s="62">
        <f t="shared" si="0"/>
        <v>55</v>
      </c>
      <c r="D9" s="68">
        <v>0</v>
      </c>
      <c r="E9" s="68">
        <v>2</v>
      </c>
      <c r="F9" s="68">
        <v>4</v>
      </c>
      <c r="G9" s="68">
        <v>0</v>
      </c>
      <c r="H9" s="68">
        <v>1</v>
      </c>
      <c r="I9" s="68">
        <v>0</v>
      </c>
      <c r="J9" s="68">
        <v>1</v>
      </c>
      <c r="K9" s="68">
        <v>1</v>
      </c>
      <c r="L9" s="68">
        <v>1</v>
      </c>
      <c r="M9" s="68">
        <v>0</v>
      </c>
      <c r="N9" s="68">
        <v>5</v>
      </c>
      <c r="O9" s="86">
        <v>4</v>
      </c>
      <c r="P9" s="68">
        <v>3</v>
      </c>
      <c r="Q9" s="68">
        <v>0</v>
      </c>
      <c r="R9" s="68">
        <v>0</v>
      </c>
      <c r="S9" s="68">
        <v>0</v>
      </c>
      <c r="T9" s="68">
        <v>1</v>
      </c>
      <c r="U9" s="68">
        <v>2</v>
      </c>
      <c r="V9" s="68">
        <v>0</v>
      </c>
      <c r="W9" s="68">
        <v>1</v>
      </c>
      <c r="X9" s="68">
        <v>0</v>
      </c>
      <c r="Y9" s="68">
        <v>0</v>
      </c>
      <c r="Z9" s="68">
        <v>1</v>
      </c>
      <c r="AA9" s="68">
        <v>0</v>
      </c>
      <c r="AB9" s="68">
        <v>0</v>
      </c>
      <c r="AC9" s="68">
        <v>1</v>
      </c>
      <c r="AD9" s="68">
        <v>4</v>
      </c>
      <c r="AE9" s="68">
        <v>0</v>
      </c>
      <c r="AF9" s="68">
        <v>0</v>
      </c>
      <c r="AG9" s="68">
        <v>2</v>
      </c>
      <c r="AH9" s="68">
        <v>2</v>
      </c>
      <c r="AI9" s="68">
        <v>1</v>
      </c>
      <c r="AJ9" s="68">
        <v>1</v>
      </c>
      <c r="AK9" s="68">
        <v>0</v>
      </c>
      <c r="AL9" s="68">
        <v>1</v>
      </c>
      <c r="AM9" s="68">
        <v>1</v>
      </c>
      <c r="AN9" s="68">
        <v>2</v>
      </c>
      <c r="AO9" s="68">
        <v>0</v>
      </c>
      <c r="AP9" s="68">
        <v>1</v>
      </c>
      <c r="AQ9" s="68">
        <v>4</v>
      </c>
      <c r="AR9" s="68">
        <v>0</v>
      </c>
      <c r="AS9" s="68">
        <v>2</v>
      </c>
      <c r="AT9" s="68">
        <v>0</v>
      </c>
      <c r="AU9" s="68">
        <v>1</v>
      </c>
      <c r="AV9" s="68">
        <v>0</v>
      </c>
      <c r="AW9" s="68">
        <v>0</v>
      </c>
      <c r="AX9" s="68">
        <v>0</v>
      </c>
      <c r="AY9" s="68">
        <v>0</v>
      </c>
      <c r="AZ9" s="68">
        <v>1</v>
      </c>
      <c r="BA9" s="68">
        <v>1</v>
      </c>
      <c r="BB9" s="68">
        <v>0</v>
      </c>
      <c r="BC9" s="68">
        <v>3</v>
      </c>
    </row>
    <row r="10" spans="1:55" s="68" customFormat="1" ht="13" x14ac:dyDescent="0.3">
      <c r="A10" s="71"/>
      <c r="B10" s="67" t="s">
        <v>195</v>
      </c>
      <c r="C10" s="62">
        <f>SUM(D10:BC10)</f>
        <v>7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86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1</v>
      </c>
      <c r="V10" s="68">
        <v>1</v>
      </c>
      <c r="W10" s="68">
        <v>1</v>
      </c>
      <c r="X10" s="68">
        <v>0</v>
      </c>
      <c r="Y10" s="68">
        <v>0</v>
      </c>
      <c r="Z10" s="68">
        <v>0</v>
      </c>
      <c r="AA10" s="68">
        <v>2</v>
      </c>
      <c r="AB10" s="68">
        <v>0</v>
      </c>
      <c r="AC10" s="68">
        <v>0</v>
      </c>
      <c r="AD10" s="68">
        <v>1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0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0</v>
      </c>
      <c r="BB10" s="68">
        <v>1</v>
      </c>
      <c r="BC10" s="68">
        <v>0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2514276666.6666665</v>
      </c>
      <c r="D11" s="68">
        <v>28800000</v>
      </c>
      <c r="E11" s="68">
        <v>53200000</v>
      </c>
      <c r="F11" s="68">
        <v>48800000</v>
      </c>
      <c r="G11" s="68">
        <v>65400000</v>
      </c>
      <c r="H11" s="68">
        <v>54800000</v>
      </c>
      <c r="I11" s="68">
        <v>47400000</v>
      </c>
      <c r="J11" s="68">
        <v>44206666.666666664</v>
      </c>
      <c r="K11" s="68">
        <v>27400000</v>
      </c>
      <c r="L11" s="68">
        <v>86800000</v>
      </c>
      <c r="M11" s="68">
        <v>78600000</v>
      </c>
      <c r="N11" s="68">
        <v>49640000.000000007</v>
      </c>
      <c r="O11" s="86">
        <v>61300000</v>
      </c>
      <c r="P11" s="68">
        <v>69046666.666666672</v>
      </c>
      <c r="Q11" s="68">
        <v>39600000</v>
      </c>
      <c r="R11" s="68">
        <v>54000000</v>
      </c>
      <c r="S11" s="68">
        <v>38000000</v>
      </c>
      <c r="T11" s="68">
        <v>20000000</v>
      </c>
      <c r="U11" s="68">
        <v>65733333.333333336</v>
      </c>
      <c r="V11" s="68">
        <v>36200000</v>
      </c>
      <c r="W11" s="68">
        <v>35200000</v>
      </c>
      <c r="X11" s="68">
        <v>30600000</v>
      </c>
      <c r="Y11" s="68">
        <v>23000000</v>
      </c>
      <c r="Z11" s="68">
        <v>53100000</v>
      </c>
      <c r="AA11" s="68">
        <v>47633333.333333336</v>
      </c>
      <c r="AB11" s="68">
        <v>18600000</v>
      </c>
      <c r="AC11" s="68">
        <v>33680000</v>
      </c>
      <c r="AD11" s="68">
        <v>36420000</v>
      </c>
      <c r="AE11" s="68">
        <v>16400000</v>
      </c>
      <c r="AF11" s="68">
        <v>46400000</v>
      </c>
      <c r="AG11" s="68">
        <v>41700000</v>
      </c>
      <c r="AH11" s="68">
        <v>45810000</v>
      </c>
      <c r="AI11" s="68">
        <v>15773333.333333334</v>
      </c>
      <c r="AJ11" s="68">
        <v>73850000</v>
      </c>
      <c r="AK11" s="68">
        <v>47800000</v>
      </c>
      <c r="AL11" s="68">
        <v>42700000</v>
      </c>
      <c r="AM11" s="68">
        <v>60630000</v>
      </c>
      <c r="AN11" s="68">
        <v>24830000</v>
      </c>
      <c r="AO11" s="68">
        <v>19300000</v>
      </c>
      <c r="AP11" s="68">
        <v>42000000</v>
      </c>
      <c r="AQ11" s="68">
        <v>95250000</v>
      </c>
      <c r="AR11" s="68">
        <v>35100000</v>
      </c>
      <c r="AS11" s="68">
        <v>64153333.333333336</v>
      </c>
      <c r="AT11" s="68">
        <v>136400000</v>
      </c>
      <c r="AU11" s="68">
        <v>34100000</v>
      </c>
      <c r="AV11" s="68">
        <v>32300000</v>
      </c>
      <c r="AW11" s="68">
        <v>26600000</v>
      </c>
      <c r="AX11" s="68">
        <v>73300000</v>
      </c>
      <c r="AY11" s="68">
        <v>67800000</v>
      </c>
      <c r="AZ11" s="68">
        <v>37266666.666666672</v>
      </c>
      <c r="BA11" s="68">
        <v>30120000</v>
      </c>
      <c r="BB11" s="68">
        <v>47300000</v>
      </c>
      <c r="BC11" s="68">
        <v>110233333.33333333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414613100</v>
      </c>
      <c r="D12" s="68">
        <v>6728000</v>
      </c>
      <c r="E12" s="68">
        <v>6448000</v>
      </c>
      <c r="F12" s="68">
        <v>7252000</v>
      </c>
      <c r="G12" s="68">
        <v>9696000</v>
      </c>
      <c r="H12" s="68">
        <v>10304000</v>
      </c>
      <c r="I12" s="68">
        <v>8248000</v>
      </c>
      <c r="J12" s="68">
        <v>8572000</v>
      </c>
      <c r="K12" s="68">
        <v>3636000</v>
      </c>
      <c r="L12" s="68">
        <v>16632000</v>
      </c>
      <c r="M12" s="68">
        <v>11020000</v>
      </c>
      <c r="N12" s="68">
        <v>7616400</v>
      </c>
      <c r="O12" s="86">
        <v>9404000</v>
      </c>
      <c r="P12" s="68">
        <v>7296000</v>
      </c>
      <c r="Q12" s="68">
        <v>6512000</v>
      </c>
      <c r="R12" s="68">
        <v>10737500</v>
      </c>
      <c r="S12" s="68">
        <v>5316000</v>
      </c>
      <c r="T12" s="68">
        <v>2936000</v>
      </c>
      <c r="U12" s="68">
        <v>10048000</v>
      </c>
      <c r="V12" s="68">
        <v>5744000</v>
      </c>
      <c r="W12" s="68">
        <v>6560000</v>
      </c>
      <c r="X12" s="68">
        <v>6224000</v>
      </c>
      <c r="Y12" s="68">
        <v>5652000</v>
      </c>
      <c r="Z12" s="68">
        <v>14271500</v>
      </c>
      <c r="AA12" s="68">
        <v>10332000</v>
      </c>
      <c r="AB12" s="68">
        <v>2336000</v>
      </c>
      <c r="AC12" s="68">
        <v>4591000</v>
      </c>
      <c r="AD12" s="68">
        <v>10510400</v>
      </c>
      <c r="AE12" s="68">
        <v>2216000</v>
      </c>
      <c r="AF12" s="68">
        <v>8724000</v>
      </c>
      <c r="AG12" s="68">
        <v>3920000</v>
      </c>
      <c r="AH12" s="68">
        <v>8906000</v>
      </c>
      <c r="AI12" s="68">
        <v>3920000</v>
      </c>
      <c r="AJ12" s="68">
        <v>14942500</v>
      </c>
      <c r="AK12" s="68">
        <v>7752000</v>
      </c>
      <c r="AL12" s="68">
        <v>6596000</v>
      </c>
      <c r="AM12" s="68">
        <v>11008000</v>
      </c>
      <c r="AN12" s="68">
        <v>3948000</v>
      </c>
      <c r="AO12" s="68">
        <v>3540500</v>
      </c>
      <c r="AP12" s="68">
        <v>9165500</v>
      </c>
      <c r="AQ12" s="68">
        <v>13429500</v>
      </c>
      <c r="AR12" s="68">
        <v>4952000</v>
      </c>
      <c r="AS12" s="68">
        <v>7300000</v>
      </c>
      <c r="AT12" s="68">
        <v>20376000</v>
      </c>
      <c r="AU12" s="68">
        <v>3780000</v>
      </c>
      <c r="AV12" s="68">
        <v>4840000</v>
      </c>
      <c r="AW12" s="68">
        <v>4544000</v>
      </c>
      <c r="AX12" s="68">
        <v>10332000</v>
      </c>
      <c r="AY12" s="68">
        <v>13071000</v>
      </c>
      <c r="AZ12" s="68">
        <v>4869800</v>
      </c>
      <c r="BA12" s="68">
        <v>4833500</v>
      </c>
      <c r="BB12" s="68">
        <v>6160000</v>
      </c>
      <c r="BC12" s="68">
        <v>16864000</v>
      </c>
    </row>
    <row r="13" spans="1:55" s="68" customFormat="1" ht="13" x14ac:dyDescent="0.3">
      <c r="A13" s="129"/>
      <c r="B13" s="69" t="s">
        <v>12</v>
      </c>
      <c r="C13" s="62">
        <f t="shared" si="0"/>
        <v>123372000</v>
      </c>
      <c r="D13" s="68">
        <v>1840000</v>
      </c>
      <c r="E13" s="68">
        <v>2275000</v>
      </c>
      <c r="F13" s="68">
        <v>2118000</v>
      </c>
      <c r="G13" s="68">
        <v>4520000</v>
      </c>
      <c r="H13" s="68">
        <v>2460000</v>
      </c>
      <c r="I13" s="68">
        <v>2735000</v>
      </c>
      <c r="J13" s="68">
        <v>2350000</v>
      </c>
      <c r="K13" s="68">
        <v>1294000</v>
      </c>
      <c r="L13" s="68">
        <v>3935000</v>
      </c>
      <c r="M13" s="68">
        <v>4110000</v>
      </c>
      <c r="N13" s="68">
        <v>1830000</v>
      </c>
      <c r="O13" s="86">
        <v>2980000</v>
      </c>
      <c r="P13" s="68">
        <v>4457000</v>
      </c>
      <c r="Q13" s="68">
        <v>1670000</v>
      </c>
      <c r="R13" s="68">
        <v>2765000</v>
      </c>
      <c r="S13" s="68">
        <v>1725000</v>
      </c>
      <c r="T13" s="68">
        <v>1300000</v>
      </c>
      <c r="U13" s="68">
        <v>3272000</v>
      </c>
      <c r="V13" s="68">
        <v>1760000</v>
      </c>
      <c r="W13" s="68">
        <v>1385000</v>
      </c>
      <c r="X13" s="68">
        <v>1790000</v>
      </c>
      <c r="Y13" s="68">
        <v>1400000</v>
      </c>
      <c r="Z13" s="68">
        <v>3180000</v>
      </c>
      <c r="AA13" s="68">
        <v>2640000</v>
      </c>
      <c r="AB13" s="68">
        <v>960000</v>
      </c>
      <c r="AC13" s="68">
        <v>1379000</v>
      </c>
      <c r="AD13" s="68">
        <v>1885000</v>
      </c>
      <c r="AE13" s="68">
        <v>960000</v>
      </c>
      <c r="AF13" s="68">
        <v>1995000</v>
      </c>
      <c r="AG13" s="68">
        <v>2250000</v>
      </c>
      <c r="AH13" s="68">
        <v>3360000</v>
      </c>
      <c r="AI13" s="68">
        <v>1144000</v>
      </c>
      <c r="AJ13" s="68">
        <v>3440000</v>
      </c>
      <c r="AK13" s="68">
        <v>1880000</v>
      </c>
      <c r="AL13" s="68">
        <v>3040000</v>
      </c>
      <c r="AM13" s="68">
        <v>3415000</v>
      </c>
      <c r="AN13" s="68">
        <v>1404000</v>
      </c>
      <c r="AO13" s="68">
        <v>1080000</v>
      </c>
      <c r="AP13" s="68">
        <v>2395000</v>
      </c>
      <c r="AQ13" s="68">
        <v>4395000</v>
      </c>
      <c r="AR13" s="68">
        <v>1360000</v>
      </c>
      <c r="AS13" s="68">
        <v>2630000</v>
      </c>
      <c r="AT13" s="68">
        <v>4795000</v>
      </c>
      <c r="AU13" s="68">
        <v>850000</v>
      </c>
      <c r="AV13" s="68">
        <v>1560000</v>
      </c>
      <c r="AW13" s="68">
        <v>1610000</v>
      </c>
      <c r="AX13" s="68">
        <v>2835000</v>
      </c>
      <c r="AY13" s="68">
        <v>3660000</v>
      </c>
      <c r="AZ13" s="68">
        <v>1915000</v>
      </c>
      <c r="BA13" s="68">
        <v>1784000</v>
      </c>
      <c r="BB13" s="68">
        <v>1400000</v>
      </c>
      <c r="BC13" s="68">
        <v>4200000</v>
      </c>
    </row>
    <row r="14" spans="1:55" s="68" customFormat="1" ht="13" x14ac:dyDescent="0.3">
      <c r="A14" s="129"/>
      <c r="B14" s="69" t="s">
        <v>13</v>
      </c>
      <c r="C14" s="62">
        <f t="shared" si="0"/>
        <v>59575000</v>
      </c>
      <c r="D14" s="68">
        <v>810000</v>
      </c>
      <c r="E14" s="68">
        <v>1270000</v>
      </c>
      <c r="F14" s="68">
        <v>1014000</v>
      </c>
      <c r="G14" s="68">
        <v>1905000</v>
      </c>
      <c r="H14" s="68">
        <v>1440000</v>
      </c>
      <c r="I14" s="68">
        <v>1110000</v>
      </c>
      <c r="J14" s="68">
        <v>1004000</v>
      </c>
      <c r="K14" s="68">
        <v>552000</v>
      </c>
      <c r="L14" s="68">
        <v>1890000</v>
      </c>
      <c r="M14" s="68">
        <v>2130000</v>
      </c>
      <c r="N14" s="68">
        <v>1314000</v>
      </c>
      <c r="O14" s="86">
        <v>1620000</v>
      </c>
      <c r="P14" s="68">
        <v>2216000</v>
      </c>
      <c r="Q14" s="68">
        <v>840000</v>
      </c>
      <c r="R14" s="68">
        <v>930000</v>
      </c>
      <c r="S14" s="68">
        <v>750000</v>
      </c>
      <c r="T14" s="68">
        <v>450000</v>
      </c>
      <c r="U14" s="68">
        <v>1676000</v>
      </c>
      <c r="V14" s="68">
        <v>840000</v>
      </c>
      <c r="W14" s="68">
        <v>600000</v>
      </c>
      <c r="X14" s="68">
        <v>930000</v>
      </c>
      <c r="Y14" s="68">
        <v>600000</v>
      </c>
      <c r="Z14" s="68">
        <v>1470000</v>
      </c>
      <c r="AA14" s="68">
        <v>1080000</v>
      </c>
      <c r="AB14" s="68">
        <v>455000</v>
      </c>
      <c r="AC14" s="68">
        <v>872000</v>
      </c>
      <c r="AD14" s="68">
        <v>784000</v>
      </c>
      <c r="AE14" s="68">
        <v>440000</v>
      </c>
      <c r="AF14" s="68">
        <v>670000</v>
      </c>
      <c r="AG14" s="68">
        <v>1140000</v>
      </c>
      <c r="AH14" s="68">
        <v>1120000</v>
      </c>
      <c r="AI14" s="68">
        <v>542000</v>
      </c>
      <c r="AJ14" s="68">
        <v>2040000</v>
      </c>
      <c r="AK14" s="68">
        <v>1315000</v>
      </c>
      <c r="AL14" s="68">
        <v>1325000</v>
      </c>
      <c r="AM14" s="68">
        <v>1480000</v>
      </c>
      <c r="AN14" s="68">
        <v>642000</v>
      </c>
      <c r="AO14" s="68">
        <v>540000</v>
      </c>
      <c r="AP14" s="68">
        <v>1320000</v>
      </c>
      <c r="AQ14" s="68">
        <v>2242000</v>
      </c>
      <c r="AR14" s="68">
        <v>810000</v>
      </c>
      <c r="AS14" s="68">
        <v>1440000</v>
      </c>
      <c r="AT14" s="68">
        <v>1720000</v>
      </c>
      <c r="AU14" s="68">
        <v>660000</v>
      </c>
      <c r="AV14" s="68">
        <v>780000</v>
      </c>
      <c r="AW14" s="68">
        <v>900000</v>
      </c>
      <c r="AX14" s="68">
        <v>1740000</v>
      </c>
      <c r="AY14" s="68">
        <v>1895000</v>
      </c>
      <c r="AZ14" s="68">
        <v>680000</v>
      </c>
      <c r="BA14" s="68">
        <v>792000</v>
      </c>
      <c r="BB14" s="68">
        <v>630000</v>
      </c>
      <c r="BC14" s="68">
        <v>2160000</v>
      </c>
    </row>
    <row r="15" spans="1:55" s="68" customFormat="1" ht="13" x14ac:dyDescent="0.3">
      <c r="A15" s="129"/>
      <c r="B15" s="69" t="s">
        <v>14</v>
      </c>
      <c r="C15" s="62">
        <f t="shared" si="0"/>
        <v>53809999.999999993</v>
      </c>
      <c r="D15" s="68">
        <v>600000</v>
      </c>
      <c r="E15" s="68">
        <v>1566666.6666666667</v>
      </c>
      <c r="F15" s="68">
        <v>1020000</v>
      </c>
      <c r="G15" s="68">
        <v>1900000</v>
      </c>
      <c r="H15" s="68">
        <v>900000</v>
      </c>
      <c r="I15" s="68">
        <v>1400000</v>
      </c>
      <c r="J15" s="68">
        <v>1286666.6666666667</v>
      </c>
      <c r="K15" s="68">
        <v>970000</v>
      </c>
      <c r="L15" s="68">
        <v>1900000</v>
      </c>
      <c r="M15" s="68">
        <v>1300000</v>
      </c>
      <c r="N15" s="68">
        <v>1336666.6666666667</v>
      </c>
      <c r="O15" s="86">
        <v>1200000</v>
      </c>
      <c r="P15" s="68">
        <v>1543333.3333333333</v>
      </c>
      <c r="Q15" s="68">
        <v>800000</v>
      </c>
      <c r="R15" s="68">
        <v>1000000</v>
      </c>
      <c r="S15" s="68">
        <v>700000</v>
      </c>
      <c r="T15" s="68">
        <v>900000</v>
      </c>
      <c r="U15" s="68">
        <v>2010000</v>
      </c>
      <c r="V15" s="68">
        <v>900000</v>
      </c>
      <c r="W15" s="68">
        <v>700000</v>
      </c>
      <c r="X15" s="68">
        <v>600000</v>
      </c>
      <c r="Y15" s="68">
        <v>450000</v>
      </c>
      <c r="Z15" s="68">
        <v>700000</v>
      </c>
      <c r="AA15" s="68">
        <v>800000</v>
      </c>
      <c r="AB15" s="68">
        <v>400000</v>
      </c>
      <c r="AC15" s="68">
        <v>700000</v>
      </c>
      <c r="AD15" s="68">
        <v>390000</v>
      </c>
      <c r="AE15" s="68">
        <v>500000</v>
      </c>
      <c r="AF15" s="68">
        <v>900000</v>
      </c>
      <c r="AG15" s="68">
        <v>800000</v>
      </c>
      <c r="AH15" s="68">
        <v>780000</v>
      </c>
      <c r="AI15" s="68">
        <v>553333.33333333337</v>
      </c>
      <c r="AJ15" s="68">
        <v>1200000</v>
      </c>
      <c r="AK15" s="68">
        <v>920000</v>
      </c>
      <c r="AL15" s="68">
        <v>1000000</v>
      </c>
      <c r="AM15" s="68">
        <v>1600000</v>
      </c>
      <c r="AN15" s="68">
        <v>770000</v>
      </c>
      <c r="AO15" s="68">
        <v>700000</v>
      </c>
      <c r="AP15" s="68">
        <v>600000</v>
      </c>
      <c r="AQ15" s="68">
        <v>1236666.6666666667</v>
      </c>
      <c r="AR15" s="68">
        <v>1000000</v>
      </c>
      <c r="AS15" s="68">
        <v>1400000</v>
      </c>
      <c r="AT15" s="68">
        <v>2500000</v>
      </c>
      <c r="AU15" s="68">
        <v>700000</v>
      </c>
      <c r="AV15" s="68">
        <v>700000</v>
      </c>
      <c r="AW15" s="68">
        <v>900000</v>
      </c>
      <c r="AX15" s="68">
        <v>1800000</v>
      </c>
      <c r="AY15" s="68">
        <v>1000000</v>
      </c>
      <c r="AZ15" s="68">
        <v>616666.66666666663</v>
      </c>
      <c r="BA15" s="68">
        <v>560000</v>
      </c>
      <c r="BB15" s="68">
        <v>700000</v>
      </c>
      <c r="BC15" s="68">
        <v>2400000</v>
      </c>
    </row>
    <row r="16" spans="1:55" s="68" customFormat="1" ht="13" x14ac:dyDescent="0.3">
      <c r="A16" s="129"/>
      <c r="B16" s="69" t="s">
        <v>15</v>
      </c>
      <c r="C16" s="62">
        <f t="shared" si="0"/>
        <v>1800000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350000</v>
      </c>
      <c r="K16" s="68">
        <v>0</v>
      </c>
      <c r="L16" s="68">
        <v>50000</v>
      </c>
      <c r="M16" s="68">
        <v>0</v>
      </c>
      <c r="N16" s="68">
        <v>0</v>
      </c>
      <c r="O16" s="86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150000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0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29432666.666666664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1700000</v>
      </c>
      <c r="M17" s="68">
        <v>1700000</v>
      </c>
      <c r="N17" s="68">
        <v>0</v>
      </c>
      <c r="O17" s="86">
        <v>1680000</v>
      </c>
      <c r="P17" s="68">
        <v>1656000</v>
      </c>
      <c r="Q17" s="68">
        <v>750000</v>
      </c>
      <c r="R17" s="68">
        <v>1100000</v>
      </c>
      <c r="S17" s="68">
        <v>760000</v>
      </c>
      <c r="T17" s="68">
        <v>628000</v>
      </c>
      <c r="U17" s="68">
        <v>1421666.6666666665</v>
      </c>
      <c r="V17" s="68">
        <v>690000</v>
      </c>
      <c r="W17" s="68">
        <v>700000</v>
      </c>
      <c r="X17" s="68">
        <v>0</v>
      </c>
      <c r="Y17" s="68">
        <v>0</v>
      </c>
      <c r="Z17" s="68">
        <v>1180000</v>
      </c>
      <c r="AA17" s="68">
        <v>0</v>
      </c>
      <c r="AB17" s="68">
        <v>308000</v>
      </c>
      <c r="AC17" s="68">
        <v>476666.66666666669</v>
      </c>
      <c r="AD17" s="68">
        <v>714000</v>
      </c>
      <c r="AE17" s="68">
        <v>0</v>
      </c>
      <c r="AF17" s="68">
        <v>920000</v>
      </c>
      <c r="AG17" s="68">
        <v>880000</v>
      </c>
      <c r="AH17" s="68">
        <v>0</v>
      </c>
      <c r="AI17" s="68">
        <v>0</v>
      </c>
      <c r="AJ17" s="68">
        <v>1810000</v>
      </c>
      <c r="AK17" s="68">
        <v>350000</v>
      </c>
      <c r="AL17" s="68">
        <v>0</v>
      </c>
      <c r="AM17" s="68">
        <v>0</v>
      </c>
      <c r="AN17" s="68">
        <v>0</v>
      </c>
      <c r="AO17" s="68">
        <v>0</v>
      </c>
      <c r="AP17" s="68">
        <v>1100000</v>
      </c>
      <c r="AQ17" s="68">
        <v>1218333.3333333333</v>
      </c>
      <c r="AR17" s="68">
        <v>0</v>
      </c>
      <c r="AS17" s="68">
        <v>1220000</v>
      </c>
      <c r="AT17" s="68">
        <v>1480000</v>
      </c>
      <c r="AU17" s="68">
        <v>0</v>
      </c>
      <c r="AV17" s="68">
        <v>0</v>
      </c>
      <c r="AW17" s="68">
        <v>0</v>
      </c>
      <c r="AX17" s="68">
        <v>1000000</v>
      </c>
      <c r="AY17" s="68">
        <v>1600000</v>
      </c>
      <c r="AZ17" s="68">
        <v>0</v>
      </c>
      <c r="BA17" s="68">
        <v>0</v>
      </c>
      <c r="BB17" s="68">
        <v>550000</v>
      </c>
      <c r="BC17" s="68">
        <v>1840000</v>
      </c>
    </row>
    <row r="18" spans="1:57" s="68" customFormat="1" ht="13" x14ac:dyDescent="0.3">
      <c r="A18" s="129"/>
      <c r="B18" s="121" t="s">
        <v>17</v>
      </c>
      <c r="C18" s="62">
        <f t="shared" si="0"/>
        <v>60515000</v>
      </c>
      <c r="D18" s="68">
        <v>900000</v>
      </c>
      <c r="E18" s="68">
        <v>1240000</v>
      </c>
      <c r="F18" s="68">
        <v>1044000</v>
      </c>
      <c r="G18" s="68">
        <v>2265000</v>
      </c>
      <c r="H18" s="68">
        <v>1680000</v>
      </c>
      <c r="I18" s="68">
        <v>960000</v>
      </c>
      <c r="J18" s="68">
        <v>974000</v>
      </c>
      <c r="K18" s="68">
        <v>882000</v>
      </c>
      <c r="L18" s="68">
        <v>1560000</v>
      </c>
      <c r="M18" s="68">
        <v>2130000</v>
      </c>
      <c r="N18" s="68">
        <v>1494000</v>
      </c>
      <c r="O18" s="86">
        <v>1740000</v>
      </c>
      <c r="P18" s="68">
        <v>2186000</v>
      </c>
      <c r="Q18" s="68">
        <v>900000</v>
      </c>
      <c r="R18" s="68">
        <v>930000</v>
      </c>
      <c r="S18" s="68">
        <v>1020000</v>
      </c>
      <c r="T18" s="68">
        <v>600000</v>
      </c>
      <c r="U18" s="68">
        <v>1706000</v>
      </c>
      <c r="V18" s="68">
        <v>840000</v>
      </c>
      <c r="W18" s="68">
        <v>600000</v>
      </c>
      <c r="X18" s="68">
        <v>300000</v>
      </c>
      <c r="Y18" s="68">
        <v>750000</v>
      </c>
      <c r="Z18" s="68">
        <v>1390000</v>
      </c>
      <c r="AA18" s="68">
        <v>1080000</v>
      </c>
      <c r="AB18" s="68">
        <v>455000</v>
      </c>
      <c r="AC18" s="68">
        <v>872000</v>
      </c>
      <c r="AD18" s="68">
        <v>784000</v>
      </c>
      <c r="AE18" s="68">
        <v>440000</v>
      </c>
      <c r="AF18" s="68">
        <v>670000</v>
      </c>
      <c r="AG18" s="68">
        <v>1140000</v>
      </c>
      <c r="AH18" s="68">
        <v>1080000</v>
      </c>
      <c r="AI18" s="68">
        <v>542000</v>
      </c>
      <c r="AJ18" s="68">
        <v>2550000</v>
      </c>
      <c r="AK18" s="68">
        <v>1475000</v>
      </c>
      <c r="AL18" s="68">
        <v>1325000</v>
      </c>
      <c r="AM18" s="68">
        <v>1420000</v>
      </c>
      <c r="AN18" s="68">
        <v>642000</v>
      </c>
      <c r="AO18" s="68">
        <v>540000</v>
      </c>
      <c r="AP18" s="68">
        <v>1320000</v>
      </c>
      <c r="AQ18" s="68">
        <v>1882000</v>
      </c>
      <c r="AR18" s="68">
        <v>810000</v>
      </c>
      <c r="AS18" s="68">
        <v>1440000</v>
      </c>
      <c r="AT18" s="68">
        <v>1720000</v>
      </c>
      <c r="AU18" s="68">
        <v>660000</v>
      </c>
      <c r="AV18" s="68">
        <v>780000</v>
      </c>
      <c r="AW18" s="68">
        <v>900000</v>
      </c>
      <c r="AX18" s="68">
        <v>1740000</v>
      </c>
      <c r="AY18" s="68">
        <v>1895000</v>
      </c>
      <c r="AZ18" s="68">
        <v>680000</v>
      </c>
      <c r="BA18" s="68">
        <v>792000</v>
      </c>
      <c r="BB18" s="68">
        <v>630000</v>
      </c>
      <c r="BC18" s="68">
        <v>2160000</v>
      </c>
    </row>
    <row r="19" spans="1:57" s="68" customFormat="1" ht="13" x14ac:dyDescent="0.3">
      <c r="A19" s="130"/>
      <c r="B19" s="80" t="s">
        <v>18</v>
      </c>
      <c r="C19" s="62">
        <f>SUM(C12:C18)</f>
        <v>743117766.66666663</v>
      </c>
      <c r="D19" s="81">
        <f t="shared" ref="D19:Q19" si="1">SUM(D12:D18)</f>
        <v>10878000</v>
      </c>
      <c r="E19" s="81">
        <f t="shared" si="1"/>
        <v>12799666.666666666</v>
      </c>
      <c r="F19" s="81">
        <f t="shared" si="1"/>
        <v>12598000</v>
      </c>
      <c r="G19" s="81">
        <f t="shared" si="1"/>
        <v>20286000</v>
      </c>
      <c r="H19" s="81">
        <f>SUM(H12:H18)</f>
        <v>16784000</v>
      </c>
      <c r="I19" s="81">
        <f t="shared" si="1"/>
        <v>14603000</v>
      </c>
      <c r="J19" s="81">
        <f t="shared" si="1"/>
        <v>14536666.666666666</v>
      </c>
      <c r="K19" s="81">
        <f>SUM(K12:K18)</f>
        <v>7334000</v>
      </c>
      <c r="L19" s="81">
        <f t="shared" si="1"/>
        <v>27667000</v>
      </c>
      <c r="M19" s="81">
        <f t="shared" si="1"/>
        <v>22390000</v>
      </c>
      <c r="N19" s="81">
        <f>SUM(N12:N18)</f>
        <v>13591066.666666666</v>
      </c>
      <c r="O19" s="81">
        <f t="shared" si="1"/>
        <v>18624000</v>
      </c>
      <c r="P19" s="81">
        <f t="shared" si="1"/>
        <v>19354333.333333336</v>
      </c>
      <c r="Q19" s="81">
        <f t="shared" si="1"/>
        <v>11472000</v>
      </c>
      <c r="R19" s="81">
        <f t="shared" ref="R19:W19" si="2">SUM(R12:R18)</f>
        <v>17512500</v>
      </c>
      <c r="S19" s="81">
        <f t="shared" si="2"/>
        <v>10271000</v>
      </c>
      <c r="T19" s="81">
        <f t="shared" si="2"/>
        <v>6814000</v>
      </c>
      <c r="U19" s="81">
        <f t="shared" si="2"/>
        <v>20183666.666666668</v>
      </c>
      <c r="V19" s="81">
        <f t="shared" si="2"/>
        <v>10774000</v>
      </c>
      <c r="W19" s="81">
        <f t="shared" si="2"/>
        <v>10545000</v>
      </c>
      <c r="X19" s="81">
        <f t="shared" ref="X19:BA19" si="3">SUM(X12:X18)</f>
        <v>10044000</v>
      </c>
      <c r="Y19" s="81">
        <f t="shared" si="3"/>
        <v>8852000</v>
      </c>
      <c r="Z19" s="81">
        <f t="shared" si="3"/>
        <v>22191500</v>
      </c>
      <c r="AA19" s="81">
        <f t="shared" si="3"/>
        <v>16082000</v>
      </c>
      <c r="AB19" s="81">
        <f t="shared" si="3"/>
        <v>4914000</v>
      </c>
      <c r="AC19" s="81">
        <f t="shared" si="3"/>
        <v>8890666.6666666679</v>
      </c>
      <c r="AD19" s="81">
        <f t="shared" si="3"/>
        <v>15067400</v>
      </c>
      <c r="AE19" s="81">
        <f>SUM(AE12:AE18)</f>
        <v>4556000</v>
      </c>
      <c r="AF19" s="81">
        <f t="shared" si="3"/>
        <v>13929000</v>
      </c>
      <c r="AG19" s="81">
        <f>SUM(AG12:AG18)</f>
        <v>10130000</v>
      </c>
      <c r="AH19" s="81">
        <f t="shared" si="3"/>
        <v>15246000</v>
      </c>
      <c r="AI19" s="81">
        <f t="shared" si="3"/>
        <v>6701333.333333333</v>
      </c>
      <c r="AJ19" s="81">
        <f t="shared" si="3"/>
        <v>25982500</v>
      </c>
      <c r="AK19" s="81">
        <f t="shared" si="3"/>
        <v>13692000</v>
      </c>
      <c r="AL19" s="81">
        <f t="shared" si="3"/>
        <v>13286000</v>
      </c>
      <c r="AM19" s="81">
        <f t="shared" si="3"/>
        <v>18923000</v>
      </c>
      <c r="AN19" s="81">
        <f t="shared" si="3"/>
        <v>7406000</v>
      </c>
      <c r="AO19" s="81">
        <f t="shared" si="3"/>
        <v>6400500</v>
      </c>
      <c r="AP19" s="81">
        <f t="shared" si="3"/>
        <v>15900500</v>
      </c>
      <c r="AQ19" s="81">
        <f t="shared" si="3"/>
        <v>24403500</v>
      </c>
      <c r="AR19" s="81">
        <f>SUM(AR12:AR18)</f>
        <v>8932000</v>
      </c>
      <c r="AS19" s="81">
        <f>SUM(AS12:AS18)</f>
        <v>15430000</v>
      </c>
      <c r="AT19" s="81">
        <f t="shared" si="3"/>
        <v>32591000</v>
      </c>
      <c r="AU19" s="81">
        <f t="shared" si="3"/>
        <v>6650000</v>
      </c>
      <c r="AV19" s="81">
        <f>SUM(AV12:AV18)</f>
        <v>8810000</v>
      </c>
      <c r="AW19" s="81">
        <f t="shared" si="3"/>
        <v>8854000</v>
      </c>
      <c r="AX19" s="81">
        <f>SUM(AX12:AX18)</f>
        <v>19747000</v>
      </c>
      <c r="AY19" s="81">
        <f t="shared" si="3"/>
        <v>23121000</v>
      </c>
      <c r="AZ19" s="81">
        <f t="shared" si="3"/>
        <v>8761466.6666666679</v>
      </c>
      <c r="BA19" s="81">
        <f t="shared" si="3"/>
        <v>8761500</v>
      </c>
      <c r="BB19" s="81">
        <f>SUM(BB12:BB18)</f>
        <v>10070000</v>
      </c>
      <c r="BC19" s="81">
        <f>SUM(BC12:BC18)</f>
        <v>29774000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4">SUM(D21:BC21)</f>
        <v>2050000000</v>
      </c>
      <c r="D21" s="82">
        <v>24000000</v>
      </c>
      <c r="E21" s="83">
        <v>51000000</v>
      </c>
      <c r="F21" s="83">
        <v>42666666.666666664</v>
      </c>
      <c r="G21" s="82">
        <v>47800000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50000000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38750000</v>
      </c>
      <c r="AE21" s="82">
        <v>11250000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19500000</v>
      </c>
      <c r="AX21" s="82">
        <v>60000000</v>
      </c>
      <c r="AY21" s="82">
        <v>50000000</v>
      </c>
      <c r="AZ21" s="82">
        <v>30000000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4"/>
        <v>5280000</v>
      </c>
      <c r="D22" s="82"/>
      <c r="E22" s="82"/>
      <c r="F22" s="82">
        <v>4100000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>
        <v>500000</v>
      </c>
      <c r="V22" s="82"/>
      <c r="W22" s="83"/>
      <c r="X22" s="82"/>
      <c r="Y22" s="82">
        <v>680000</v>
      </c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4"/>
        <v>512095521</v>
      </c>
      <c r="D23" s="82">
        <v>6037870</v>
      </c>
      <c r="E23" s="83">
        <v>7970810</v>
      </c>
      <c r="F23" s="83">
        <v>9951465</v>
      </c>
      <c r="G23" s="83">
        <v>16618654</v>
      </c>
      <c r="H23" s="82">
        <v>13805791</v>
      </c>
      <c r="I23" s="83">
        <v>7885468.8000000007</v>
      </c>
      <c r="J23" s="82">
        <v>11828203.199999999</v>
      </c>
      <c r="K23" s="83">
        <v>8813426</v>
      </c>
      <c r="L23" s="83">
        <v>13928998</v>
      </c>
      <c r="M23" s="83">
        <v>12363624</v>
      </c>
      <c r="N23" s="82">
        <v>8148738</v>
      </c>
      <c r="O23" s="82">
        <v>13394743</v>
      </c>
      <c r="P23" s="82">
        <v>9366538</v>
      </c>
      <c r="Q23" s="82">
        <v>7820164</v>
      </c>
      <c r="R23" s="82">
        <v>10402744</v>
      </c>
      <c r="S23" s="82">
        <v>5737133</v>
      </c>
      <c r="T23" s="83">
        <v>3559486</v>
      </c>
      <c r="U23" s="83">
        <v>15259406</v>
      </c>
      <c r="V23" s="82">
        <v>5603472</v>
      </c>
      <c r="W23" s="83">
        <v>6934939</v>
      </c>
      <c r="X23" s="82">
        <v>6402866</v>
      </c>
      <c r="Y23" s="83">
        <v>8536903</v>
      </c>
      <c r="Z23" s="83">
        <v>16794994</v>
      </c>
      <c r="AA23" s="83">
        <v>8346326</v>
      </c>
      <c r="AB23" s="83">
        <v>3832272</v>
      </c>
      <c r="AC23" s="83">
        <v>8043646</v>
      </c>
      <c r="AD23" s="83">
        <v>7549213.2000000002</v>
      </c>
      <c r="AE23" s="83">
        <v>4118808.8000000003</v>
      </c>
      <c r="AF23" s="83">
        <v>7952818</v>
      </c>
      <c r="AG23" s="83">
        <v>4390243</v>
      </c>
      <c r="AH23" s="83">
        <v>10456387</v>
      </c>
      <c r="AI23" s="83">
        <v>5551200</v>
      </c>
      <c r="AJ23" s="83">
        <v>20674030</v>
      </c>
      <c r="AK23" s="83">
        <v>8554291</v>
      </c>
      <c r="AL23" s="83">
        <v>8529430</v>
      </c>
      <c r="AM23" s="83">
        <v>11850099</v>
      </c>
      <c r="AN23" s="83">
        <v>5738040</v>
      </c>
      <c r="AO23" s="83">
        <v>4886330</v>
      </c>
      <c r="AP23" s="122">
        <v>7316626</v>
      </c>
      <c r="AQ23" s="83">
        <v>13954004</v>
      </c>
      <c r="AR23" s="83">
        <v>7079551</v>
      </c>
      <c r="AS23" s="83">
        <v>9839491</v>
      </c>
      <c r="AT23" s="83">
        <v>24610932</v>
      </c>
      <c r="AU23" s="83">
        <v>4773233</v>
      </c>
      <c r="AV23" s="83">
        <v>7090762</v>
      </c>
      <c r="AW23" s="83">
        <v>5680304</v>
      </c>
      <c r="AX23" s="83">
        <v>18536580</v>
      </c>
      <c r="AY23" s="83">
        <v>20468506</v>
      </c>
      <c r="AZ23" s="83">
        <v>6059405</v>
      </c>
      <c r="BA23" s="83">
        <v>6670555</v>
      </c>
      <c r="BB23" s="83">
        <v>8813426</v>
      </c>
      <c r="BC23" s="83">
        <v>23562576</v>
      </c>
    </row>
    <row r="24" spans="1:57" s="68" customFormat="1" ht="20.5" customHeight="1" x14ac:dyDescent="0.3">
      <c r="A24" s="131"/>
      <c r="B24" s="68" t="s">
        <v>24</v>
      </c>
      <c r="C24" s="67">
        <f t="shared" si="4"/>
        <v>123674795.33333334</v>
      </c>
      <c r="D24" s="82">
        <v>2103350</v>
      </c>
      <c r="E24" s="83">
        <v>3105000</v>
      </c>
      <c r="F24" s="83">
        <v>2134400</v>
      </c>
      <c r="G24" s="83">
        <v>100000</v>
      </c>
      <c r="H24" s="82">
        <v>5802900</v>
      </c>
      <c r="I24" s="83">
        <v>2581333.3333333335</v>
      </c>
      <c r="J24" s="82">
        <v>2825000</v>
      </c>
      <c r="K24" s="83">
        <v>1562000</v>
      </c>
      <c r="L24" s="83">
        <v>3166666.6666666665</v>
      </c>
      <c r="M24" s="83">
        <v>3458333.3333333335</v>
      </c>
      <c r="N24" s="82">
        <v>1000000</v>
      </c>
      <c r="O24" s="82">
        <v>3532800</v>
      </c>
      <c r="P24" s="82">
        <v>5425700</v>
      </c>
      <c r="Q24" s="82">
        <v>395600</v>
      </c>
      <c r="R24" s="82">
        <v>2834060</v>
      </c>
      <c r="S24" s="82">
        <v>2734700</v>
      </c>
      <c r="T24" s="82">
        <v>0</v>
      </c>
      <c r="U24" s="83">
        <v>3699496</v>
      </c>
      <c r="V24" s="82">
        <v>1171850</v>
      </c>
      <c r="W24" s="83">
        <v>1296050</v>
      </c>
      <c r="X24" s="82">
        <v>2444900</v>
      </c>
      <c r="Y24" s="82">
        <v>4044000</v>
      </c>
      <c r="Z24" s="83">
        <v>2394000</v>
      </c>
      <c r="AA24" s="83">
        <v>3481050</v>
      </c>
      <c r="AB24" s="83">
        <v>552850</v>
      </c>
      <c r="AC24" s="83">
        <v>1919050</v>
      </c>
      <c r="AD24" s="83">
        <v>906120</v>
      </c>
      <c r="AE24" s="83">
        <v>604080</v>
      </c>
      <c r="AF24" s="83">
        <v>2041250</v>
      </c>
      <c r="AG24" s="83">
        <v>728000</v>
      </c>
      <c r="AH24" s="83">
        <v>4160700</v>
      </c>
      <c r="AI24" s="83">
        <v>830300</v>
      </c>
      <c r="AJ24" s="83">
        <v>3585700</v>
      </c>
      <c r="AK24" s="83">
        <v>1823900</v>
      </c>
      <c r="AL24" s="83">
        <v>1008000</v>
      </c>
      <c r="AM24" s="83">
        <v>4437850</v>
      </c>
      <c r="AN24" s="83">
        <v>737150</v>
      </c>
      <c r="AO24" s="83">
        <v>0</v>
      </c>
      <c r="AP24" s="83">
        <v>1699700</v>
      </c>
      <c r="AQ24" s="83">
        <v>6004000</v>
      </c>
      <c r="AR24" s="83">
        <v>700350</v>
      </c>
      <c r="AS24" s="83">
        <v>5635000</v>
      </c>
      <c r="AT24" s="83">
        <v>3800750</v>
      </c>
      <c r="AU24" s="83">
        <v>892400</v>
      </c>
      <c r="AV24" s="83">
        <v>3087750</v>
      </c>
      <c r="AW24" s="83">
        <v>1854950</v>
      </c>
      <c r="AX24" s="83">
        <v>833865</v>
      </c>
      <c r="AY24" s="83">
        <v>4332916</v>
      </c>
      <c r="AZ24" s="83">
        <v>3548200</v>
      </c>
      <c r="BA24" s="83">
        <v>1430025</v>
      </c>
      <c r="BB24" s="83">
        <v>1446700</v>
      </c>
      <c r="BC24" s="83">
        <v>3780050</v>
      </c>
    </row>
    <row r="25" spans="1:57" s="68" customFormat="1" ht="19" customHeight="1" x14ac:dyDescent="0.3">
      <c r="A25" s="131"/>
      <c r="B25" s="67" t="s">
        <v>25</v>
      </c>
      <c r="C25" s="67">
        <f t="shared" si="4"/>
        <v>17582062.916666664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3">
        <v>545000</v>
      </c>
      <c r="V25" s="82">
        <v>300000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319000</v>
      </c>
      <c r="AG25" s="83">
        <v>145000</v>
      </c>
      <c r="AH25" s="83">
        <v>545000</v>
      </c>
      <c r="AI25" s="83">
        <v>220000</v>
      </c>
      <c r="AJ25" s="83">
        <v>537500</v>
      </c>
      <c r="AK25" s="83">
        <v>245000</v>
      </c>
      <c r="AL25" s="83">
        <v>450000</v>
      </c>
      <c r="AM25" s="83">
        <v>639996</v>
      </c>
      <c r="AN25" s="83">
        <v>336500</v>
      </c>
      <c r="AO25" s="83">
        <v>268166.66666666669</v>
      </c>
      <c r="AP25" s="83">
        <v>215000</v>
      </c>
      <c r="AQ25" s="83">
        <v>470000</v>
      </c>
      <c r="AR25" s="83">
        <v>235000</v>
      </c>
      <c r="AS25" s="83">
        <v>270000</v>
      </c>
      <c r="AT25" s="83">
        <v>785000</v>
      </c>
      <c r="AU25" s="83">
        <v>235000</v>
      </c>
      <c r="AV25" s="83">
        <v>240000</v>
      </c>
      <c r="AW25" s="83">
        <v>235000</v>
      </c>
      <c r="AX25" s="83">
        <v>235000</v>
      </c>
      <c r="AY25" s="83">
        <v>235000</v>
      </c>
      <c r="AZ25" s="83">
        <v>235000</v>
      </c>
      <c r="BA25" s="83">
        <v>240000</v>
      </c>
      <c r="BB25" s="83">
        <v>240000</v>
      </c>
      <c r="BC25" s="83">
        <v>480000</v>
      </c>
    </row>
    <row r="26" spans="1:57" s="68" customFormat="1" ht="18.5" customHeight="1" x14ac:dyDescent="0.3">
      <c r="A26" s="131"/>
      <c r="B26" s="67" t="s">
        <v>26</v>
      </c>
      <c r="C26" s="67">
        <f t="shared" si="4"/>
        <v>11010000</v>
      </c>
      <c r="D26" s="82">
        <v>200000</v>
      </c>
      <c r="E26" s="82">
        <v>300000</v>
      </c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300000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3">
        <v>300000</v>
      </c>
      <c r="V26" s="82">
        <v>200000</v>
      </c>
      <c r="W26" s="83">
        <v>200000</v>
      </c>
      <c r="X26" s="82">
        <v>200000</v>
      </c>
      <c r="Y26" s="82"/>
      <c r="Z26" s="83">
        <v>300000</v>
      </c>
      <c r="AA26" s="83">
        <v>500000</v>
      </c>
      <c r="AB26" s="83">
        <v>300000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/>
      <c r="AJ26" s="83">
        <v>300000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250000</v>
      </c>
      <c r="AQ26" s="83">
        <v>400000</v>
      </c>
      <c r="AR26" s="83">
        <v>200000</v>
      </c>
      <c r="AS26" s="83"/>
      <c r="AT26" s="83">
        <v>400000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>
        <v>0</v>
      </c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4"/>
        <v>8262000</v>
      </c>
      <c r="D27" s="82"/>
      <c r="F27" s="83"/>
      <c r="H27" s="82"/>
      <c r="I27" s="82">
        <v>1296000</v>
      </c>
      <c r="J27" s="83">
        <v>1296000</v>
      </c>
      <c r="K27" s="83">
        <v>1296000</v>
      </c>
      <c r="L27" s="82">
        <v>1296000</v>
      </c>
      <c r="M27" s="83">
        <v>1296000</v>
      </c>
      <c r="N27" s="82"/>
      <c r="U27" s="83"/>
      <c r="W27" s="83"/>
      <c r="AA27" s="83"/>
      <c r="AS27" s="68">
        <v>1782000</v>
      </c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4"/>
        <v>2816666.6666666665</v>
      </c>
      <c r="F28" s="82"/>
      <c r="I28" s="82"/>
      <c r="L28" s="82"/>
      <c r="M28" s="82">
        <v>333333.33333333331</v>
      </c>
      <c r="N28" s="82"/>
      <c r="Q28" s="68">
        <v>300000</v>
      </c>
      <c r="R28" s="68">
        <v>300000</v>
      </c>
      <c r="S28" s="68">
        <v>333333.33333333331</v>
      </c>
      <c r="U28" s="83">
        <v>300000</v>
      </c>
      <c r="AC28" s="68">
        <v>300000</v>
      </c>
      <c r="AD28" s="68">
        <v>650000</v>
      </c>
      <c r="AF28" s="68">
        <v>300000</v>
      </c>
    </row>
    <row r="29" spans="1:57" s="64" customFormat="1" ht="13" x14ac:dyDescent="0.3">
      <c r="A29" s="88" t="s">
        <v>29</v>
      </c>
      <c r="B29" s="60"/>
      <c r="C29" s="62">
        <f>SUM(C21:C28)</f>
        <v>2730721045.9166665</v>
      </c>
      <c r="D29" s="60">
        <f t="shared" ref="D29:BC29" si="5">SUM(D21:D28)</f>
        <v>32621220</v>
      </c>
      <c r="E29" s="60">
        <f t="shared" si="5"/>
        <v>62813710</v>
      </c>
      <c r="F29" s="60">
        <f t="shared" si="5"/>
        <v>59312531.666666664</v>
      </c>
      <c r="G29" s="60">
        <f t="shared" si="5"/>
        <v>65063654</v>
      </c>
      <c r="H29" s="60">
        <f t="shared" si="5"/>
        <v>65068691</v>
      </c>
      <c r="I29" s="60">
        <f>SUM(I21:I28)</f>
        <v>50175302.383333333</v>
      </c>
      <c r="J29" s="60">
        <f t="shared" si="5"/>
        <v>52361703.200000003</v>
      </c>
      <c r="K29" s="60">
        <f t="shared" si="5"/>
        <v>34083926</v>
      </c>
      <c r="L29" s="60">
        <f t="shared" si="5"/>
        <v>92704164.666666672</v>
      </c>
      <c r="M29" s="60">
        <f t="shared" si="5"/>
        <v>83051290.666666657</v>
      </c>
      <c r="N29" s="60">
        <f t="shared" si="5"/>
        <v>55793738</v>
      </c>
      <c r="O29" s="60">
        <f t="shared" si="5"/>
        <v>67527543</v>
      </c>
      <c r="P29" s="60">
        <f t="shared" si="5"/>
        <v>76487238</v>
      </c>
      <c r="Q29" s="60">
        <f t="shared" si="5"/>
        <v>39685764</v>
      </c>
      <c r="R29" s="60">
        <f t="shared" si="5"/>
        <v>59106804</v>
      </c>
      <c r="S29" s="60">
        <f t="shared" si="5"/>
        <v>34403333</v>
      </c>
      <c r="T29" s="60">
        <f t="shared" si="5"/>
        <v>14779486</v>
      </c>
      <c r="U29" s="60">
        <f t="shared" si="5"/>
        <v>80603902</v>
      </c>
      <c r="V29" s="60">
        <f t="shared" si="5"/>
        <v>40275322</v>
      </c>
      <c r="W29" s="60">
        <f t="shared" si="5"/>
        <v>47260989</v>
      </c>
      <c r="X29" s="60">
        <f t="shared" si="5"/>
        <v>33377766</v>
      </c>
      <c r="Y29" s="60">
        <f t="shared" si="5"/>
        <v>27480903</v>
      </c>
      <c r="Z29" s="60">
        <f t="shared" si="5"/>
        <v>63053994</v>
      </c>
      <c r="AA29" s="60">
        <f t="shared" si="5"/>
        <v>54857209.333333336</v>
      </c>
      <c r="AB29" s="60">
        <f t="shared" si="5"/>
        <v>15430122</v>
      </c>
      <c r="AC29" s="60">
        <f t="shared" si="5"/>
        <v>39462696</v>
      </c>
      <c r="AD29" s="60">
        <f t="shared" si="5"/>
        <v>48325333.200000003</v>
      </c>
      <c r="AE29" s="60">
        <f t="shared" si="5"/>
        <v>16442888.800000001</v>
      </c>
      <c r="AF29" s="60">
        <f t="shared" si="5"/>
        <v>47763068</v>
      </c>
      <c r="AG29" s="60">
        <f t="shared" si="5"/>
        <v>36929909.666666672</v>
      </c>
      <c r="AH29" s="60">
        <f t="shared" si="5"/>
        <v>51462087</v>
      </c>
      <c r="AI29" s="60">
        <f t="shared" si="5"/>
        <v>16601500</v>
      </c>
      <c r="AJ29" s="60">
        <f t="shared" si="5"/>
        <v>87097230</v>
      </c>
      <c r="AK29" s="60">
        <f t="shared" si="5"/>
        <v>47923191</v>
      </c>
      <c r="AL29" s="60">
        <f t="shared" si="5"/>
        <v>44987430</v>
      </c>
      <c r="AM29" s="60">
        <f t="shared" si="5"/>
        <v>67227945</v>
      </c>
      <c r="AN29" s="60">
        <f t="shared" si="5"/>
        <v>26111690</v>
      </c>
      <c r="AO29" s="60">
        <f t="shared" si="5"/>
        <v>15154496.666666666</v>
      </c>
      <c r="AP29" s="60">
        <f t="shared" si="5"/>
        <v>45481326</v>
      </c>
      <c r="AQ29" s="60">
        <f t="shared" si="5"/>
        <v>100828004</v>
      </c>
      <c r="AR29" s="60">
        <f t="shared" si="5"/>
        <v>34214901</v>
      </c>
      <c r="AS29" s="60">
        <f t="shared" si="5"/>
        <v>70826491</v>
      </c>
      <c r="AT29" s="60">
        <f t="shared" si="5"/>
        <v>134596682</v>
      </c>
      <c r="AU29" s="60">
        <f t="shared" si="5"/>
        <v>32867299.666666668</v>
      </c>
      <c r="AV29" s="60">
        <f t="shared" si="5"/>
        <v>36718512</v>
      </c>
      <c r="AW29" s="60">
        <f t="shared" si="5"/>
        <v>27520254</v>
      </c>
      <c r="AX29" s="60">
        <f t="shared" si="5"/>
        <v>80105445</v>
      </c>
      <c r="AY29" s="60">
        <f t="shared" si="5"/>
        <v>75336422</v>
      </c>
      <c r="AZ29" s="60">
        <f t="shared" si="5"/>
        <v>39842605</v>
      </c>
      <c r="BA29" s="60">
        <f t="shared" si="5"/>
        <v>24640580</v>
      </c>
      <c r="BB29" s="60">
        <f t="shared" si="5"/>
        <v>51750126</v>
      </c>
      <c r="BC29" s="60">
        <f t="shared" si="5"/>
        <v>123122626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6">SUM(D30:BC30)</f>
        <v>76107291.328537822</v>
      </c>
      <c r="D30" s="82">
        <v>820512.8205128205</v>
      </c>
      <c r="E30" s="83">
        <v>2057658.8166615323</v>
      </c>
      <c r="F30" s="83">
        <v>1506181.6835965998</v>
      </c>
      <c r="G30" s="82">
        <v>2239593.8606253909</v>
      </c>
      <c r="H30" s="83">
        <v>1819666.2243784559</v>
      </c>
      <c r="I30" s="82">
        <v>1563952.0066952733</v>
      </c>
      <c r="J30" s="82">
        <v>1540912.744167706</v>
      </c>
      <c r="K30" s="82">
        <v>1116296.2962962962</v>
      </c>
      <c r="L30" s="83">
        <v>2459006.5154033802</v>
      </c>
      <c r="M30" s="82">
        <v>2193076.5839244118</v>
      </c>
      <c r="N30" s="82">
        <v>1533884.3003587294</v>
      </c>
      <c r="O30" s="82">
        <v>2216085.7970859306</v>
      </c>
      <c r="P30" s="82">
        <v>1848368.8195627588</v>
      </c>
      <c r="Q30" s="82">
        <v>1287000</v>
      </c>
      <c r="R30" s="82">
        <v>1407607.4600502301</v>
      </c>
      <c r="S30" s="82">
        <v>1140000</v>
      </c>
      <c r="T30" s="83">
        <v>1052410.9368062557</v>
      </c>
      <c r="U30" s="83">
        <v>2042680.5674476959</v>
      </c>
      <c r="V30" s="83">
        <v>801082.69666268909</v>
      </c>
      <c r="W30" s="83">
        <v>779457.52821472462</v>
      </c>
      <c r="X30" s="82">
        <v>894172.33936576464</v>
      </c>
      <c r="Y30" s="82">
        <v>813200.33955857379</v>
      </c>
      <c r="Z30" s="82">
        <v>1525346.4627232584</v>
      </c>
      <c r="AA30" s="82">
        <v>1407445.3593067809</v>
      </c>
      <c r="AB30" s="82">
        <v>890829.48935684434</v>
      </c>
      <c r="AC30" s="82">
        <v>828637.92297191615</v>
      </c>
      <c r="AD30" s="82">
        <v>804682.13075943966</v>
      </c>
      <c r="AE30" s="82">
        <v>788478.5815783334</v>
      </c>
      <c r="AF30" s="82">
        <v>1283404.255319149</v>
      </c>
      <c r="AG30" s="82">
        <v>1241581.4018570886</v>
      </c>
      <c r="AH30" s="82">
        <v>1627404.7225577324</v>
      </c>
      <c r="AI30" s="82">
        <v>703522.84451420733</v>
      </c>
      <c r="AJ30" s="83">
        <v>1589015.7485560235</v>
      </c>
      <c r="AK30" s="82">
        <v>1210379.8263053261</v>
      </c>
      <c r="AL30" s="82">
        <v>1438139.3670383315</v>
      </c>
      <c r="AM30" s="82">
        <v>2122233.9223418776</v>
      </c>
      <c r="AN30" s="82">
        <v>1012875.7864543849</v>
      </c>
      <c r="AO30" s="82">
        <v>925081.10461406806</v>
      </c>
      <c r="AP30" s="82">
        <v>1169122.8070175438</v>
      </c>
      <c r="AQ30" s="82">
        <v>2615354.6567495838</v>
      </c>
      <c r="AR30" s="82">
        <v>1289382.5048724893</v>
      </c>
      <c r="AS30" s="82">
        <v>1922647.4393147738</v>
      </c>
      <c r="AT30" s="82">
        <v>3188372.3543734783</v>
      </c>
      <c r="AU30" s="82">
        <v>1055198.9213831834</v>
      </c>
      <c r="AV30" s="83">
        <v>942209.05862320599</v>
      </c>
      <c r="AW30" s="82">
        <v>997122.30215827341</v>
      </c>
      <c r="AX30" s="82">
        <v>2293887.3164218958</v>
      </c>
      <c r="AY30" s="82">
        <v>1964487.3699851411</v>
      </c>
      <c r="AZ30" s="82">
        <v>1001730.0719746341</v>
      </c>
      <c r="BA30" s="82">
        <v>1139699.5067601758</v>
      </c>
      <c r="BB30" s="82">
        <v>1018150.7490004062</v>
      </c>
      <c r="BC30" s="82">
        <v>2978059.0062730527</v>
      </c>
    </row>
    <row r="31" spans="1:57" s="68" customFormat="1" ht="24" customHeight="1" x14ac:dyDescent="0.3">
      <c r="A31" s="133"/>
      <c r="B31" s="67" t="s">
        <v>32</v>
      </c>
      <c r="C31" s="67">
        <f t="shared" si="6"/>
        <v>6225633.1542594004</v>
      </c>
      <c r="D31" s="82">
        <v>73676.132003069841</v>
      </c>
      <c r="E31" s="83">
        <v>156561.78050652341</v>
      </c>
      <c r="F31" s="83">
        <v>128933.23100537222</v>
      </c>
      <c r="G31" s="82">
        <v>202609.36300844207</v>
      </c>
      <c r="H31" s="83">
        <v>138142.74750575595</v>
      </c>
      <c r="I31" s="82">
        <v>119723.71450498849</v>
      </c>
      <c r="J31" s="82">
        <v>119723.71450498849</v>
      </c>
      <c r="K31" s="82">
        <v>92095.165003837305</v>
      </c>
      <c r="L31" s="83">
        <v>174980.81350729088</v>
      </c>
      <c r="M31" s="82">
        <v>165771.29700690715</v>
      </c>
      <c r="N31" s="82">
        <v>138142.74750575595</v>
      </c>
      <c r="O31" s="82">
        <v>156561.78050652341</v>
      </c>
      <c r="P31" s="82">
        <v>165771.29700690715</v>
      </c>
      <c r="Q31" s="82">
        <v>92095.165003837305</v>
      </c>
      <c r="R31" s="82">
        <v>110514.19800460475</v>
      </c>
      <c r="S31" s="82">
        <v>82885.648503453573</v>
      </c>
      <c r="T31" s="83">
        <v>82885.648503453573</v>
      </c>
      <c r="U31" s="83">
        <f>(12000000/1303)*21</f>
        <v>193399.84650805834</v>
      </c>
      <c r="V31" s="83">
        <v>92095.165003837305</v>
      </c>
      <c r="W31" s="83">
        <v>101304.68150422104</v>
      </c>
      <c r="X31" s="82">
        <v>73676.132003069841</v>
      </c>
      <c r="Y31" s="82">
        <v>64466.615502686109</v>
      </c>
      <c r="Z31" s="82">
        <v>119723.71450498849</v>
      </c>
      <c r="AA31" s="82">
        <v>138142.74750575595</v>
      </c>
      <c r="AB31" s="82">
        <v>64466.615502686109</v>
      </c>
      <c r="AC31" s="82">
        <v>82885.648503453573</v>
      </c>
      <c r="AD31" s="82">
        <v>101304.68150422104</v>
      </c>
      <c r="AE31" s="82">
        <v>64466.615502686109</v>
      </c>
      <c r="AF31" s="82">
        <v>92095.165003837305</v>
      </c>
      <c r="AG31" s="82">
        <v>101304.68150422104</v>
      </c>
      <c r="AH31" s="82">
        <v>128933.23100537222</v>
      </c>
      <c r="AI31" s="82">
        <v>73676.132003069841</v>
      </c>
      <c r="AJ31" s="83">
        <v>156561.78050652341</v>
      </c>
      <c r="AK31" s="82">
        <v>101304.68150422104</v>
      </c>
      <c r="AL31" s="82">
        <v>128933.23100537222</v>
      </c>
      <c r="AM31" s="82">
        <v>165771.29700690715</v>
      </c>
      <c r="AN31" s="82">
        <v>82885.648503453573</v>
      </c>
      <c r="AO31" s="82">
        <v>64466.615502686109</v>
      </c>
      <c r="AP31" s="82">
        <v>92095.165003837305</v>
      </c>
      <c r="AQ31" s="82">
        <v>202609.36300844207</v>
      </c>
      <c r="AR31" s="82">
        <v>92095.165003837305</v>
      </c>
      <c r="AS31" s="82">
        <v>147352.26400613968</v>
      </c>
      <c r="AT31" s="82">
        <v>239447.42900997697</v>
      </c>
      <c r="AU31" s="82">
        <v>82885.648503453573</v>
      </c>
      <c r="AV31" s="83">
        <v>73676.132003069841</v>
      </c>
      <c r="AW31" s="82">
        <v>82885.648503453573</v>
      </c>
      <c r="AX31" s="82">
        <v>165771.29700690715</v>
      </c>
      <c r="AY31" s="82">
        <v>138142.74750575595</v>
      </c>
      <c r="AZ31" s="82">
        <v>92095.165003837305</v>
      </c>
      <c r="BA31" s="82">
        <v>82885.648503453573</v>
      </c>
      <c r="BB31" s="82">
        <v>92095.165003837305</v>
      </c>
      <c r="BC31" s="82">
        <v>248656.9455103607</v>
      </c>
    </row>
    <row r="32" spans="1:57" s="68" customFormat="1" ht="24" customHeight="1" x14ac:dyDescent="0.3">
      <c r="A32" s="133"/>
      <c r="B32" s="67" t="s">
        <v>33</v>
      </c>
      <c r="C32" s="67">
        <f t="shared" si="6"/>
        <v>17451788.181120496</v>
      </c>
      <c r="D32" s="82">
        <v>208933.23100537222</v>
      </c>
      <c r="E32" s="83">
        <v>443983.11588641594</v>
      </c>
      <c r="F32" s="83">
        <v>162563.31542594015</v>
      </c>
      <c r="G32" s="82">
        <v>574566.38526477362</v>
      </c>
      <c r="H32" s="83">
        <v>391749.80813507293</v>
      </c>
      <c r="I32" s="82">
        <v>339516.50038372981</v>
      </c>
      <c r="J32" s="82">
        <v>339516.50038372981</v>
      </c>
      <c r="K32" s="82">
        <v>261166.53875671528</v>
      </c>
      <c r="L32" s="83">
        <v>496216.423637759</v>
      </c>
      <c r="M32" s="82">
        <v>470099.7697620875</v>
      </c>
      <c r="N32" s="82">
        <v>391749.80813507293</v>
      </c>
      <c r="O32" s="82">
        <v>443983.11588641594</v>
      </c>
      <c r="P32" s="82">
        <v>470099.7697620875</v>
      </c>
      <c r="Q32" s="82">
        <v>261166.53875671528</v>
      </c>
      <c r="R32" s="82">
        <v>313399.84650805831</v>
      </c>
      <c r="S32" s="82">
        <v>235049.88488104375</v>
      </c>
      <c r="T32" s="83">
        <v>235049.88488104375</v>
      </c>
      <c r="U32" s="83">
        <v>548449.73138910206</v>
      </c>
      <c r="V32" s="83">
        <v>261166.53875671528</v>
      </c>
      <c r="W32" s="83">
        <v>287283.19263238681</v>
      </c>
      <c r="X32" s="82">
        <v>208933.23100537222</v>
      </c>
      <c r="Y32" s="82">
        <v>182816.57712970069</v>
      </c>
      <c r="Z32" s="82">
        <v>339516.50038372981</v>
      </c>
      <c r="AA32" s="82">
        <f>(21000000/1303)*15+10000*15</f>
        <v>391749.80813507293</v>
      </c>
      <c r="AB32" s="82">
        <f>(21000000/1303)*7+10000*7</f>
        <v>182816.57712970069</v>
      </c>
      <c r="AC32" s="82">
        <f>(21000000/1303)*9+10000*9</f>
        <v>235049.88488104375</v>
      </c>
      <c r="AD32" s="82">
        <f>(21000000/1303)*11+10000*11</f>
        <v>287283.19263238681</v>
      </c>
      <c r="AE32" s="82">
        <f>(21000000/1303)*7+10000*7</f>
        <v>182816.57712970069</v>
      </c>
      <c r="AF32" s="82">
        <f>(21000000/1303)*10+10000*10</f>
        <v>261166.53875671528</v>
      </c>
      <c r="AG32" s="82">
        <f>(21000000/1303)*11+10000*11</f>
        <v>287283.19263238681</v>
      </c>
      <c r="AH32" s="82">
        <f>(21000000/1303)*14+10000*14</f>
        <v>365633.15425940137</v>
      </c>
      <c r="AI32" s="82">
        <f>(21000000/1303)*8+10000*8</f>
        <v>208933.23100537222</v>
      </c>
      <c r="AJ32" s="82">
        <f>(21000000/1303)*17+10000*17</f>
        <v>443983.11588641594</v>
      </c>
      <c r="AK32" s="82">
        <f>(21000000/1303)*11+10000*11</f>
        <v>287283.19263238681</v>
      </c>
      <c r="AL32" s="82">
        <f>(21000000/1303)*14+10000*14</f>
        <v>365633.15425940137</v>
      </c>
      <c r="AM32" s="82">
        <f>(21000000/1303)*18+10000*18</f>
        <v>470099.7697620875</v>
      </c>
      <c r="AN32" s="82">
        <f>(21000000/1303)*9+10000*9</f>
        <v>235049.88488104375</v>
      </c>
      <c r="AO32" s="82">
        <f>(21000000/1303)*7+10000*7</f>
        <v>182816.57712970069</v>
      </c>
      <c r="AP32" s="82">
        <f>(21000000/1303)*10+10000*10</f>
        <v>261166.53875671528</v>
      </c>
      <c r="AQ32" s="82">
        <f>(21000000/1303)*22+10000*22</f>
        <v>574566.38526477362</v>
      </c>
      <c r="AR32" s="82">
        <f>(21000000/1303)*10+10000*10</f>
        <v>261166.53875671528</v>
      </c>
      <c r="AS32" s="82">
        <f>(21000000/1303)*16+10000*16</f>
        <v>417866.46201074444</v>
      </c>
      <c r="AT32" s="82">
        <f>(21000000/1303)*26+10000*26</f>
        <v>679033.00076745963</v>
      </c>
      <c r="AU32" s="82">
        <f>(21000000/1303)*9+10000*9</f>
        <v>235049.88488104375</v>
      </c>
      <c r="AV32" s="82">
        <f>(21000000/1303)*8+10000*8</f>
        <v>208933.23100537222</v>
      </c>
      <c r="AW32" s="82">
        <f>(21000000/1303)*9+10000*9</f>
        <v>235049.88488104375</v>
      </c>
      <c r="AX32" s="82">
        <f>(21000000/1303)*18+10000*18</f>
        <v>470099.7697620875</v>
      </c>
      <c r="AY32" s="82">
        <f>(21000000/1303)*15+10000*15</f>
        <v>391749.80813507293</v>
      </c>
      <c r="AZ32" s="82">
        <f>(21000000/1303)*10+10000*10</f>
        <v>261166.53875671528</v>
      </c>
      <c r="BA32" s="82">
        <v>235049.88488104375</v>
      </c>
      <c r="BB32" s="82">
        <f>(21000000/1303)*10+10000*10</f>
        <v>261166.53875671528</v>
      </c>
      <c r="BC32" s="82">
        <f>(21000000/1303)*27+10000*27</f>
        <v>705149.65464313119</v>
      </c>
    </row>
    <row r="33" spans="1:57" s="68" customFormat="1" ht="24" customHeight="1" x14ac:dyDescent="0.3">
      <c r="A33" s="133"/>
      <c r="B33" s="67" t="s">
        <v>166</v>
      </c>
      <c r="C33" s="67">
        <f t="shared" si="6"/>
        <v>0</v>
      </c>
      <c r="D33" s="82"/>
      <c r="E33" s="83"/>
      <c r="F33" s="83"/>
      <c r="G33" s="82"/>
      <c r="H33" s="83"/>
      <c r="I33" s="82"/>
      <c r="J33" s="82"/>
      <c r="K33" s="82"/>
      <c r="L33" s="83"/>
      <c r="M33" s="82"/>
      <c r="N33" s="82"/>
      <c r="O33" s="82"/>
      <c r="P33" s="82"/>
      <c r="Q33" s="82"/>
      <c r="R33" s="82"/>
      <c r="S33" s="82"/>
      <c r="T33" s="83"/>
      <c r="U33" s="83"/>
      <c r="V33" s="83"/>
      <c r="W33" s="83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3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3"/>
      <c r="AW33" s="82"/>
      <c r="AX33" s="82"/>
      <c r="AY33" s="82"/>
      <c r="AZ33" s="82"/>
      <c r="BA33" s="82"/>
      <c r="BB33" s="82"/>
      <c r="BC33" s="82"/>
    </row>
    <row r="34" spans="1:57" s="68" customFormat="1" ht="24" customHeight="1" x14ac:dyDescent="0.3">
      <c r="A34" s="133"/>
      <c r="B34" s="67" t="s">
        <v>167</v>
      </c>
      <c r="C34" s="67">
        <f t="shared" si="6"/>
        <v>1556408.2885648501</v>
      </c>
      <c r="D34" s="82">
        <f>(3000000/1303)*8</f>
        <v>18419.03300076746</v>
      </c>
      <c r="E34" s="82">
        <f>(3000000/1303)*17</f>
        <v>39140.445126630853</v>
      </c>
      <c r="F34" s="82">
        <f>(3000000/1303)*14</f>
        <v>32233.307751343054</v>
      </c>
      <c r="G34" s="82">
        <f>(3000000/1303)*22</f>
        <v>50652.340752110518</v>
      </c>
      <c r="H34" s="82">
        <f>(3000000/1303)*15</f>
        <v>34535.686876438987</v>
      </c>
      <c r="I34" s="82">
        <f>(3000000/1303)*13</f>
        <v>29930.928626247121</v>
      </c>
      <c r="J34" s="82">
        <f>(3000000/1303)*13</f>
        <v>29930.928626247121</v>
      </c>
      <c r="K34" s="82">
        <f>(3000000/1303)*10</f>
        <v>23023.791250959326</v>
      </c>
      <c r="L34" s="82">
        <f>(3000000/1303)*19</f>
        <v>43745.203376822719</v>
      </c>
      <c r="M34" s="82">
        <f>(3000000/1303)*18</f>
        <v>41442.824251726786</v>
      </c>
      <c r="N34" s="82">
        <f>(3000000/1303)*15</f>
        <v>34535.686876438987</v>
      </c>
      <c r="O34" s="82">
        <f>(3000000/1303)*17</f>
        <v>39140.445126630853</v>
      </c>
      <c r="P34" s="82">
        <f>(3000000/1303)*18</f>
        <v>41442.824251726786</v>
      </c>
      <c r="Q34" s="82">
        <f>(3000000/1303)*10</f>
        <v>23023.791250959326</v>
      </c>
      <c r="R34" s="82">
        <f>(3000000/1303)*12</f>
        <v>27628.549501151188</v>
      </c>
      <c r="S34" s="82">
        <f>(3000000/1303)*9</f>
        <v>20721.412125863393</v>
      </c>
      <c r="T34" s="82">
        <f>(3000000/1303)*9</f>
        <v>20721.412125863393</v>
      </c>
      <c r="U34" s="82">
        <f>(3000000/1303)*21</f>
        <v>48349.961627014585</v>
      </c>
      <c r="V34" s="82">
        <v>23023.791250959326</v>
      </c>
      <c r="W34" s="82">
        <v>25326.170376055259</v>
      </c>
      <c r="X34" s="82">
        <f>(3000000/1303)*8</f>
        <v>18419.03300076746</v>
      </c>
      <c r="Y34" s="82">
        <f>(3000000/1303)*7</f>
        <v>16116.653875671527</v>
      </c>
      <c r="Z34" s="82">
        <f>(3000000/1303)*13</f>
        <v>29930.928626247121</v>
      </c>
      <c r="AA34" s="82">
        <f>(3000000/1303)*15</f>
        <v>34535.686876438987</v>
      </c>
      <c r="AB34" s="82">
        <f>(3000000/1303)*7</f>
        <v>16116.653875671527</v>
      </c>
      <c r="AC34" s="82">
        <f>(3000000/1303)*9</f>
        <v>20721.412125863393</v>
      </c>
      <c r="AD34" s="82">
        <f>(3000000/1303)*11</f>
        <v>25326.170376055259</v>
      </c>
      <c r="AE34" s="82">
        <f>(3000000/1303)*7</f>
        <v>16116.653875671527</v>
      </c>
      <c r="AF34" s="82">
        <f>(3000000/1303)*10</f>
        <v>23023.791250959326</v>
      </c>
      <c r="AG34" s="82">
        <f>(3000000/1303)*11</f>
        <v>25326.170376055259</v>
      </c>
      <c r="AH34" s="82">
        <f>(3000000/1303)*14</f>
        <v>32233.307751343054</v>
      </c>
      <c r="AI34" s="82">
        <f>(3000000/1303)*8</f>
        <v>18419.03300076746</v>
      </c>
      <c r="AJ34" s="82">
        <f>(3000000/1303)*17</f>
        <v>39140.445126630853</v>
      </c>
      <c r="AK34" s="82">
        <f>(3000000/1303)*11</f>
        <v>25326.170376055259</v>
      </c>
      <c r="AL34" s="82">
        <f>(3000000/1303)*14</f>
        <v>32233.307751343054</v>
      </c>
      <c r="AM34" s="82">
        <f>(3000000/1303)*18</f>
        <v>41442.824251726786</v>
      </c>
      <c r="AN34" s="82">
        <f>(3000000/1303)*9</f>
        <v>20721.412125863393</v>
      </c>
      <c r="AO34" s="82">
        <f>(3000000/1303)*7</f>
        <v>16116.653875671527</v>
      </c>
      <c r="AP34" s="82">
        <f>(3000000/1303)*10</f>
        <v>23023.791250959326</v>
      </c>
      <c r="AQ34" s="82">
        <f>(3000000/1303)*22</f>
        <v>50652.340752110518</v>
      </c>
      <c r="AR34" s="82">
        <f>(3000000/1303)*10</f>
        <v>23023.791250959326</v>
      </c>
      <c r="AS34" s="82">
        <f>(3000000/1303)*16</f>
        <v>36838.06600153492</v>
      </c>
      <c r="AT34" s="82">
        <f>(3000000/1303)*26</f>
        <v>59861.857252494243</v>
      </c>
      <c r="AU34" s="82">
        <f>(3000000/1303)*9</f>
        <v>20721.412125863393</v>
      </c>
      <c r="AV34" s="82">
        <f>(3000000/1303)*8</f>
        <v>18419.03300076746</v>
      </c>
      <c r="AW34" s="82">
        <f>(3000000/1303)*9</f>
        <v>20721.412125863393</v>
      </c>
      <c r="AX34" s="82">
        <f>(3000000/1303)*18</f>
        <v>41442.824251726786</v>
      </c>
      <c r="AY34" s="82">
        <f>(3000000/1303)*15</f>
        <v>34535.686876438987</v>
      </c>
      <c r="AZ34" s="82">
        <f>(3000000/1303)*10</f>
        <v>23023.791250959326</v>
      </c>
      <c r="BA34" s="82">
        <f>(3000000/1303)*9</f>
        <v>20721.412125863393</v>
      </c>
      <c r="BB34" s="82">
        <f>(3000000/1303)*10</f>
        <v>23023.791250959326</v>
      </c>
      <c r="BC34" s="82">
        <f>(3000000/1303)*27</f>
        <v>62164.236377590176</v>
      </c>
    </row>
    <row r="35" spans="1:57" s="68" customFormat="1" ht="21.5" customHeight="1" x14ac:dyDescent="0.3">
      <c r="A35" s="133"/>
      <c r="B35" s="67" t="s">
        <v>35</v>
      </c>
      <c r="C35" s="67">
        <f t="shared" si="6"/>
        <v>24695012.030698404</v>
      </c>
      <c r="D35" s="82">
        <v>292248.66308518802</v>
      </c>
      <c r="E35" s="83">
        <v>621028.40905602451</v>
      </c>
      <c r="F35" s="83">
        <v>511435.16039907903</v>
      </c>
      <c r="G35" s="82">
        <v>803683.82348426711</v>
      </c>
      <c r="H35" s="83">
        <v>547966.24328472756</v>
      </c>
      <c r="I35" s="82">
        <v>474904.0775134305</v>
      </c>
      <c r="J35" s="82">
        <v>474904.0775134305</v>
      </c>
      <c r="K35" s="82">
        <v>365310.82885648502</v>
      </c>
      <c r="L35" s="83">
        <v>694090.57482732157</v>
      </c>
      <c r="M35" s="82">
        <v>657559.49194167298</v>
      </c>
      <c r="N35" s="82">
        <v>547966.24328472756</v>
      </c>
      <c r="O35" s="82">
        <v>621028.40905602451</v>
      </c>
      <c r="P35" s="82">
        <v>657559.49194167298</v>
      </c>
      <c r="Q35" s="82">
        <v>365310.82885648502</v>
      </c>
      <c r="R35" s="82">
        <v>438372.99462778203</v>
      </c>
      <c r="S35" s="82">
        <v>328779.74597083649</v>
      </c>
      <c r="T35" s="83">
        <v>328779.74597083649</v>
      </c>
      <c r="U35" s="83">
        <f>(SUM('[5]THÁNG 6'!$Y$131/1303)*21)</f>
        <v>767152.74059861852</v>
      </c>
      <c r="V35" s="83">
        <v>365310.82885648502</v>
      </c>
      <c r="W35" s="83">
        <v>401841.91174213355</v>
      </c>
      <c r="X35" s="82">
        <v>292248.66308518802</v>
      </c>
      <c r="Y35" s="82">
        <v>255717.58019953952</v>
      </c>
      <c r="Z35" s="82">
        <v>474904.0775134305</v>
      </c>
      <c r="AA35" s="82">
        <v>547966.24328472756</v>
      </c>
      <c r="AB35" s="82">
        <v>255717.58019953952</v>
      </c>
      <c r="AC35" s="82">
        <v>328779.74597083649</v>
      </c>
      <c r="AD35" s="82">
        <v>401841.91174213355</v>
      </c>
      <c r="AE35" s="82">
        <v>255717.58019953952</v>
      </c>
      <c r="AF35" s="82">
        <v>365310.82885648502</v>
      </c>
      <c r="AG35" s="82">
        <v>401841.91174213355</v>
      </c>
      <c r="AH35" s="82">
        <v>511435.16039907903</v>
      </c>
      <c r="AI35" s="82">
        <v>292248.66308518802</v>
      </c>
      <c r="AJ35" s="83">
        <v>621028.40905602451</v>
      </c>
      <c r="AK35" s="82">
        <v>401841.91174213355</v>
      </c>
      <c r="AL35" s="82">
        <v>511435.16039907903</v>
      </c>
      <c r="AM35" s="82">
        <v>657559.49194167298</v>
      </c>
      <c r="AN35" s="82">
        <v>328779.74597083649</v>
      </c>
      <c r="AO35" s="82">
        <v>255717.58019953952</v>
      </c>
      <c r="AP35" s="82">
        <v>365310.82885648502</v>
      </c>
      <c r="AQ35" s="82">
        <v>803683.82348426711</v>
      </c>
      <c r="AR35" s="82">
        <v>365310.82885648502</v>
      </c>
      <c r="AS35" s="82">
        <v>584497.32617037604</v>
      </c>
      <c r="AT35" s="82">
        <v>949808.155026861</v>
      </c>
      <c r="AU35" s="82">
        <v>328779.74597083649</v>
      </c>
      <c r="AV35" s="83">
        <v>292248.66308518802</v>
      </c>
      <c r="AW35" s="82">
        <v>328779.74597083649</v>
      </c>
      <c r="AX35" s="82">
        <v>657559.49194167298</v>
      </c>
      <c r="AY35" s="82">
        <v>547966.24328472756</v>
      </c>
      <c r="AZ35" s="82">
        <v>365310.82885648502</v>
      </c>
      <c r="BA35" s="82">
        <v>328779.74597083649</v>
      </c>
      <c r="BB35" s="82">
        <v>365310.82885648502</v>
      </c>
      <c r="BC35" s="82">
        <v>986339.23791250959</v>
      </c>
    </row>
    <row r="36" spans="1:57" s="68" customFormat="1" ht="21" customHeight="1" x14ac:dyDescent="0.3">
      <c r="A36" s="133"/>
      <c r="B36" s="67" t="s">
        <v>36</v>
      </c>
      <c r="C36" s="67">
        <f t="shared" si="6"/>
        <v>22450000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460000</v>
      </c>
      <c r="J36" s="82">
        <v>460000</v>
      </c>
      <c r="K36" s="82">
        <v>460000</v>
      </c>
      <c r="L36" s="83">
        <v>460000</v>
      </c>
      <c r="M36" s="82">
        <v>460000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3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2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6"/>
        <v>8297605.525709901</v>
      </c>
      <c r="D37" s="82">
        <v>102279.35533384497</v>
      </c>
      <c r="E37" s="83">
        <v>206093.63008442055</v>
      </c>
      <c r="F37" s="83">
        <v>171488.87183422869</v>
      </c>
      <c r="G37" s="82">
        <v>263768.22716807364</v>
      </c>
      <c r="H37" s="83">
        <v>183023.79125095933</v>
      </c>
      <c r="I37" s="82">
        <v>159953.95241749808</v>
      </c>
      <c r="J37" s="82">
        <v>159953.95241749808</v>
      </c>
      <c r="K37" s="82">
        <v>125349.19416730621</v>
      </c>
      <c r="L37" s="83">
        <v>229163.46891788181</v>
      </c>
      <c r="M37" s="82">
        <v>217628.5495011512</v>
      </c>
      <c r="N37" s="82">
        <v>183023.79125095933</v>
      </c>
      <c r="O37" s="82">
        <v>206093.63008442055</v>
      </c>
      <c r="P37" s="82">
        <v>217628.5495011512</v>
      </c>
      <c r="Q37" s="82">
        <v>125349.19416730621</v>
      </c>
      <c r="R37" s="82">
        <v>148419.03300076746</v>
      </c>
      <c r="S37" s="82">
        <v>113814.2747505756</v>
      </c>
      <c r="T37" s="83">
        <v>113814.2747505756</v>
      </c>
      <c r="U37" s="83">
        <f>210000+10000+(2000000/1303)*21</f>
        <v>252233.30775134306</v>
      </c>
      <c r="V37" s="83">
        <v>125349.19416730621</v>
      </c>
      <c r="W37" s="83">
        <v>136884.11358403682</v>
      </c>
      <c r="X37" s="82">
        <v>102279.35533384497</v>
      </c>
      <c r="Y37" s="82">
        <v>90744.435917114344</v>
      </c>
      <c r="Z37" s="82">
        <v>159953.95241749808</v>
      </c>
      <c r="AA37" s="82">
        <v>183023.79125095933</v>
      </c>
      <c r="AB37" s="82">
        <v>90744.435917114344</v>
      </c>
      <c r="AC37" s="82">
        <v>113814.2747505756</v>
      </c>
      <c r="AD37" s="82">
        <v>136884.11358403682</v>
      </c>
      <c r="AE37" s="82">
        <v>90744.435917114344</v>
      </c>
      <c r="AF37" s="82">
        <v>125349.19416730621</v>
      </c>
      <c r="AG37" s="82">
        <v>136884.11358403682</v>
      </c>
      <c r="AH37" s="82">
        <v>171488.87183422869</v>
      </c>
      <c r="AI37" s="82">
        <v>102279.35533384497</v>
      </c>
      <c r="AJ37" s="83">
        <v>206093.63008442055</v>
      </c>
      <c r="AK37" s="82">
        <v>136884.11358403682</v>
      </c>
      <c r="AL37" s="82">
        <v>171488.87183422869</v>
      </c>
      <c r="AM37" s="82">
        <v>217628.5495011512</v>
      </c>
      <c r="AN37" s="82">
        <v>113814.2747505756</v>
      </c>
      <c r="AO37" s="82">
        <v>90744.435917114344</v>
      </c>
      <c r="AP37" s="82">
        <v>125349.19416730621</v>
      </c>
      <c r="AQ37" s="82">
        <v>263768.22716807364</v>
      </c>
      <c r="AR37" s="82">
        <v>125349.19416730621</v>
      </c>
      <c r="AS37" s="82">
        <v>194558.71066768994</v>
      </c>
      <c r="AT37" s="82">
        <v>289907.90483499615</v>
      </c>
      <c r="AU37" s="82">
        <v>113814.2747505756</v>
      </c>
      <c r="AV37" s="83">
        <v>102279.35533384497</v>
      </c>
      <c r="AW37" s="82">
        <v>113814.2747505756</v>
      </c>
      <c r="AX37" s="82">
        <v>217628.5495011512</v>
      </c>
      <c r="AY37" s="82">
        <v>183023.79125095933</v>
      </c>
      <c r="AZ37" s="82">
        <v>125349.19416730621</v>
      </c>
      <c r="BA37" s="82">
        <v>113814.2747505756</v>
      </c>
      <c r="BB37" s="82">
        <v>125349.19416730621</v>
      </c>
      <c r="BC37" s="82">
        <v>321442.82425172679</v>
      </c>
    </row>
    <row r="38" spans="1:57" s="68" customFormat="1" ht="24" customHeight="1" x14ac:dyDescent="0.3">
      <c r="A38" s="133"/>
      <c r="B38" s="67" t="s">
        <v>38</v>
      </c>
      <c r="C38" s="67">
        <f t="shared" si="6"/>
        <v>11413660.7828089</v>
      </c>
      <c r="D38" s="82">
        <v>135072.9086722947</v>
      </c>
      <c r="E38" s="83">
        <v>287029.93092862621</v>
      </c>
      <c r="F38" s="83">
        <v>236377.59017651572</v>
      </c>
      <c r="G38" s="82">
        <v>371450.49884881044</v>
      </c>
      <c r="H38" s="83">
        <v>253261.70376055257</v>
      </c>
      <c r="I38" s="82">
        <v>219493.47659247887</v>
      </c>
      <c r="J38" s="82">
        <v>219493.47659247887</v>
      </c>
      <c r="K38" s="82">
        <v>168841.13584036837</v>
      </c>
      <c r="L38" s="83">
        <v>320798.15809669992</v>
      </c>
      <c r="M38" s="82">
        <v>303914.04451266304</v>
      </c>
      <c r="N38" s="83">
        <v>253261.70376055257</v>
      </c>
      <c r="O38" s="82">
        <v>287029.93092862621</v>
      </c>
      <c r="P38" s="82">
        <v>303914.04451266304</v>
      </c>
      <c r="Q38" s="82">
        <v>168841.13584036837</v>
      </c>
      <c r="R38" s="82">
        <v>202609.36300844204</v>
      </c>
      <c r="S38" s="82">
        <v>151957.02225633152</v>
      </c>
      <c r="T38" s="83">
        <v>151957.02225633152</v>
      </c>
      <c r="U38" s="83">
        <f>(22000000/1303)*21</f>
        <v>354566.38526477356</v>
      </c>
      <c r="V38" s="83">
        <v>168841.13584036837</v>
      </c>
      <c r="W38" s="83">
        <v>185725.24942440522</v>
      </c>
      <c r="X38" s="82">
        <v>135072.9086722947</v>
      </c>
      <c r="Y38" s="82">
        <v>118188.79508825786</v>
      </c>
      <c r="Z38" s="82">
        <v>219493.47659247887</v>
      </c>
      <c r="AA38" s="82">
        <v>253261.70376055257</v>
      </c>
      <c r="AB38" s="82">
        <v>118188.79508825786</v>
      </c>
      <c r="AC38" s="82">
        <v>151957.02225633152</v>
      </c>
      <c r="AD38" s="82">
        <v>185725.24942440522</v>
      </c>
      <c r="AE38" s="82">
        <v>118188.79508825786</v>
      </c>
      <c r="AF38" s="82">
        <v>168841.13584036837</v>
      </c>
      <c r="AG38" s="82">
        <v>185725.24942440522</v>
      </c>
      <c r="AH38" s="82">
        <v>236377.59017651572</v>
      </c>
      <c r="AI38" s="82">
        <v>135072.9086722947</v>
      </c>
      <c r="AJ38" s="83">
        <v>287029.93092862621</v>
      </c>
      <c r="AK38" s="82">
        <v>185725.24942440522</v>
      </c>
      <c r="AL38" s="82">
        <v>236377.59017651572</v>
      </c>
      <c r="AM38" s="82">
        <v>303914.04451266304</v>
      </c>
      <c r="AN38" s="82">
        <v>151957.02225633152</v>
      </c>
      <c r="AO38" s="82">
        <v>118188.79508825786</v>
      </c>
      <c r="AP38" s="82">
        <v>168841.13584036837</v>
      </c>
      <c r="AQ38" s="82">
        <v>371450.49884881044</v>
      </c>
      <c r="AR38" s="82">
        <v>168841.13584036837</v>
      </c>
      <c r="AS38" s="82">
        <v>270145.81734458939</v>
      </c>
      <c r="AT38" s="82">
        <v>438986.95318495773</v>
      </c>
      <c r="AU38" s="82">
        <v>151957.02225633152</v>
      </c>
      <c r="AV38" s="83">
        <v>135072.9086722947</v>
      </c>
      <c r="AW38" s="82">
        <v>151957.02225633152</v>
      </c>
      <c r="AX38" s="82">
        <v>303914.04451266304</v>
      </c>
      <c r="AY38" s="82">
        <v>253261.70376055257</v>
      </c>
      <c r="AZ38" s="82">
        <v>168841.13584036837</v>
      </c>
      <c r="BA38" s="82">
        <v>151957.02225633152</v>
      </c>
      <c r="BB38" s="82">
        <v>168841.13584036837</v>
      </c>
      <c r="BC38" s="82">
        <v>455871.06676899461</v>
      </c>
    </row>
    <row r="39" spans="1:57" s="68" customFormat="1" ht="21" customHeight="1" x14ac:dyDescent="0.35">
      <c r="A39" s="133"/>
      <c r="B39" s="67" t="s">
        <v>39</v>
      </c>
      <c r="C39" s="67">
        <f t="shared" si="6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U39" s="83"/>
      <c r="V39" s="83"/>
      <c r="W39" s="83"/>
      <c r="AJ39" s="83"/>
      <c r="AV39" s="83"/>
    </row>
    <row r="40" spans="1:57" s="68" customFormat="1" ht="25.5" customHeight="1" x14ac:dyDescent="0.3">
      <c r="A40" s="134"/>
      <c r="B40" s="67" t="s">
        <v>40</v>
      </c>
      <c r="C40" s="67">
        <f t="shared" si="6"/>
        <v>31535425.940138139</v>
      </c>
      <c r="D40" s="82">
        <v>373200.30698388332</v>
      </c>
      <c r="E40" s="83">
        <v>793050.65234075207</v>
      </c>
      <c r="F40" s="83">
        <v>653100.53722179576</v>
      </c>
      <c r="G40" s="82">
        <v>1026300.8442056791</v>
      </c>
      <c r="H40" s="83">
        <v>699750.5755947812</v>
      </c>
      <c r="I40" s="82">
        <v>606450.49884881044</v>
      </c>
      <c r="J40" s="82">
        <v>606450.49884881044</v>
      </c>
      <c r="K40" s="82">
        <v>466500.38372985413</v>
      </c>
      <c r="L40" s="83">
        <v>886350.72908672283</v>
      </c>
      <c r="M40" s="82">
        <v>839700.69071373751</v>
      </c>
      <c r="N40" s="82">
        <v>699750.5755947812</v>
      </c>
      <c r="O40" s="83">
        <v>793050.65234075207</v>
      </c>
      <c r="P40" s="83">
        <v>839700.69071373751</v>
      </c>
      <c r="Q40" s="83">
        <v>466500.38372985413</v>
      </c>
      <c r="R40" s="83">
        <v>559800.46047582501</v>
      </c>
      <c r="S40" s="83">
        <v>419850.34535686875</v>
      </c>
      <c r="T40" s="83">
        <v>419850.34535686875</v>
      </c>
      <c r="U40" s="83">
        <f>('[6]THÁNG 6.26 '!$B$35/1303)*21</f>
        <v>979650.8058326937</v>
      </c>
      <c r="V40" s="83">
        <v>466500.38372985413</v>
      </c>
      <c r="W40" s="83">
        <v>513150.42210283957</v>
      </c>
      <c r="X40" s="83">
        <v>373200.30698388332</v>
      </c>
      <c r="Y40" s="83">
        <v>326550.26861089788</v>
      </c>
      <c r="Z40" s="83">
        <v>606450.49884881044</v>
      </c>
      <c r="AA40" s="83">
        <v>699750.5755947812</v>
      </c>
      <c r="AB40" s="83">
        <v>326550.26861089788</v>
      </c>
      <c r="AC40" s="83">
        <v>419850.34535686875</v>
      </c>
      <c r="AD40" s="83">
        <v>513150.42210283957</v>
      </c>
      <c r="AE40" s="83">
        <v>326550.26861089788</v>
      </c>
      <c r="AF40" s="83">
        <v>466500.38372985413</v>
      </c>
      <c r="AG40" s="83">
        <v>513150.42210283957</v>
      </c>
      <c r="AH40" s="83">
        <v>653100.53722179576</v>
      </c>
      <c r="AI40" s="83">
        <v>373200.30698388332</v>
      </c>
      <c r="AJ40" s="83">
        <v>793050.65234075207</v>
      </c>
      <c r="AK40" s="83">
        <v>513150.42210283957</v>
      </c>
      <c r="AL40" s="83">
        <v>653100.53722179576</v>
      </c>
      <c r="AM40" s="83">
        <v>839700.69071373751</v>
      </c>
      <c r="AN40" s="83">
        <v>419850.34535686875</v>
      </c>
      <c r="AO40" s="83">
        <v>326550.26861089788</v>
      </c>
      <c r="AP40" s="83">
        <v>466500.38372985413</v>
      </c>
      <c r="AQ40" s="83">
        <v>1026300.8442056791</v>
      </c>
      <c r="AR40" s="83">
        <v>466500.38372985413</v>
      </c>
      <c r="AS40" s="83">
        <v>746400.61396776664</v>
      </c>
      <c r="AT40" s="83">
        <v>1212900.9976976209</v>
      </c>
      <c r="AU40" s="83">
        <v>419850.34535686875</v>
      </c>
      <c r="AV40" s="83">
        <v>373200.30698388332</v>
      </c>
      <c r="AW40" s="83">
        <v>419850.34535686875</v>
      </c>
      <c r="AX40" s="83">
        <v>839700.69071373751</v>
      </c>
      <c r="AY40" s="83">
        <v>699750.5755947812</v>
      </c>
      <c r="AZ40" s="83">
        <v>466500.38372985413</v>
      </c>
      <c r="BA40" s="83">
        <v>419850.34535686875</v>
      </c>
      <c r="BB40" s="83">
        <v>466500.38372985413</v>
      </c>
      <c r="BC40" s="83">
        <v>1259551.0360706062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6"/>
        <v>104100954.27168073</v>
      </c>
      <c r="D41" s="82">
        <v>185344.58940905603</v>
      </c>
      <c r="E41" s="82">
        <v>1841524</v>
      </c>
      <c r="F41" s="82">
        <v>5561020</v>
      </c>
      <c r="G41" s="83">
        <v>3059698</v>
      </c>
      <c r="H41" s="83">
        <v>1947521</v>
      </c>
      <c r="I41" s="82">
        <v>301184.95778971608</v>
      </c>
      <c r="J41" s="82">
        <v>2151185</v>
      </c>
      <c r="K41" s="82">
        <v>981681</v>
      </c>
      <c r="L41" s="82">
        <v>2590193</v>
      </c>
      <c r="M41" s="82">
        <v>417025.32617037609</v>
      </c>
      <c r="N41" s="82">
        <v>7569188</v>
      </c>
      <c r="O41" s="68">
        <v>6598857</v>
      </c>
      <c r="P41" s="68">
        <v>5732025</v>
      </c>
      <c r="Q41" s="68">
        <v>231680.73676132003</v>
      </c>
      <c r="R41" s="68">
        <v>278016.88411358406</v>
      </c>
      <c r="S41" s="68">
        <v>208512.66308518805</v>
      </c>
      <c r="T41" s="83">
        <v>1458513</v>
      </c>
      <c r="U41" s="68">
        <v>3736530</v>
      </c>
      <c r="V41" s="83">
        <v>231680.73676132003</v>
      </c>
      <c r="W41" s="83">
        <v>2154849</v>
      </c>
      <c r="X41" s="68">
        <v>185344.58940905603</v>
      </c>
      <c r="Y41" s="68">
        <v>162176.51573292402</v>
      </c>
      <c r="Z41" s="68">
        <v>2201185</v>
      </c>
      <c r="AA41" s="68">
        <v>347521.10514198005</v>
      </c>
      <c r="AB41" s="68">
        <v>162176.51573292402</v>
      </c>
      <c r="AC41" s="68">
        <v>2158513</v>
      </c>
      <c r="AD41" s="68">
        <v>6074849</v>
      </c>
      <c r="AE41" s="68">
        <v>162176.51573292402</v>
      </c>
      <c r="AF41" s="68">
        <v>231680.73676132003</v>
      </c>
      <c r="AG41" s="68">
        <v>2979849</v>
      </c>
      <c r="AH41" s="68">
        <v>2699353</v>
      </c>
      <c r="AI41" s="68">
        <v>1285345</v>
      </c>
      <c r="AJ41" s="68">
        <v>2393857</v>
      </c>
      <c r="AK41" s="68">
        <v>254848.81043745205</v>
      </c>
      <c r="AL41" s="68">
        <v>1674353</v>
      </c>
      <c r="AM41" s="68">
        <v>3167025</v>
      </c>
      <c r="AN41" s="68">
        <v>2091846</v>
      </c>
      <c r="AO41" s="68">
        <v>162176.51573292402</v>
      </c>
      <c r="AP41" s="68">
        <v>1666681</v>
      </c>
      <c r="AQ41" s="68">
        <v>6984698</v>
      </c>
      <c r="AR41" s="68">
        <v>231680.73676132003</v>
      </c>
      <c r="AS41" s="68">
        <v>6070689</v>
      </c>
      <c r="AT41" s="68">
        <v>602369.91557943216</v>
      </c>
      <c r="AU41" s="68">
        <v>2008513</v>
      </c>
      <c r="AV41" s="83">
        <v>185344.58940905603</v>
      </c>
      <c r="AW41" s="68">
        <v>208512.66308518805</v>
      </c>
      <c r="AX41" s="68">
        <v>417025.32617037609</v>
      </c>
      <c r="AY41" s="68">
        <v>347521.10514198005</v>
      </c>
      <c r="AZ41" s="68">
        <v>1931681</v>
      </c>
      <c r="BA41" s="68">
        <v>1058513</v>
      </c>
      <c r="BB41" s="68">
        <v>231680.73676132003</v>
      </c>
      <c r="BC41" s="68">
        <v>6525538</v>
      </c>
    </row>
    <row r="42" spans="1:57" s="68" customFormat="1" ht="33" customHeight="1" x14ac:dyDescent="0.3">
      <c r="A42" s="135"/>
      <c r="B42" s="66" t="s">
        <v>43</v>
      </c>
      <c r="C42" s="67">
        <f t="shared" si="6"/>
        <v>8056000</v>
      </c>
      <c r="D42" s="82"/>
      <c r="E42" s="82"/>
      <c r="F42" s="82"/>
      <c r="G42" s="82">
        <v>295000</v>
      </c>
      <c r="H42" s="68">
        <v>260000</v>
      </c>
      <c r="I42" s="82"/>
      <c r="J42" s="68">
        <v>455000</v>
      </c>
      <c r="N42" s="68">
        <v>505000</v>
      </c>
      <c r="Q42" s="68">
        <v>80000</v>
      </c>
      <c r="T42" s="68">
        <v>230000</v>
      </c>
      <c r="U42" s="68">
        <v>770000</v>
      </c>
      <c r="AD42" s="68">
        <v>1760000</v>
      </c>
      <c r="AE42" s="68">
        <v>250000</v>
      </c>
      <c r="AF42" s="68">
        <v>200000</v>
      </c>
      <c r="AG42" s="68">
        <v>190000</v>
      </c>
      <c r="AH42" s="68">
        <v>450000</v>
      </c>
      <c r="AK42" s="68">
        <v>200000</v>
      </c>
      <c r="AL42" s="68">
        <v>70000</v>
      </c>
      <c r="AM42" s="68">
        <v>23000</v>
      </c>
      <c r="AN42" s="68">
        <v>550000</v>
      </c>
      <c r="AR42" s="68">
        <v>20000</v>
      </c>
      <c r="AT42" s="68">
        <v>523000</v>
      </c>
      <c r="AX42" s="68">
        <v>275000</v>
      </c>
      <c r="AZ42" s="68">
        <v>500000</v>
      </c>
      <c r="BB42" s="68">
        <v>450000</v>
      </c>
    </row>
    <row r="43" spans="1:57" s="68" customFormat="1" ht="54.5" customHeight="1" x14ac:dyDescent="0.3">
      <c r="A43" s="135"/>
      <c r="B43" s="66" t="s">
        <v>44</v>
      </c>
      <c r="C43" s="67">
        <f t="shared" si="6"/>
        <v>40041168</v>
      </c>
      <c r="D43" s="82"/>
      <c r="E43" s="82">
        <v>3370000</v>
      </c>
      <c r="F43" s="82">
        <v>360000</v>
      </c>
      <c r="G43" s="68">
        <v>2500000</v>
      </c>
      <c r="H43" s="68">
        <v>500000</v>
      </c>
      <c r="I43" s="82">
        <v>351667</v>
      </c>
      <c r="J43" s="82">
        <v>651667</v>
      </c>
      <c r="K43" s="68">
        <v>395000</v>
      </c>
      <c r="L43" s="82">
        <v>1081667</v>
      </c>
      <c r="M43" s="82">
        <v>690000</v>
      </c>
      <c r="N43" s="68">
        <v>825000</v>
      </c>
      <c r="O43" s="68">
        <v>500000</v>
      </c>
      <c r="Q43" s="68">
        <v>340000</v>
      </c>
      <c r="R43" s="68">
        <v>340000</v>
      </c>
      <c r="S43" s="68">
        <v>497000</v>
      </c>
      <c r="T43" s="68">
        <v>845000</v>
      </c>
      <c r="U43" s="68">
        <v>1110000</v>
      </c>
      <c r="V43" s="68">
        <v>1053667</v>
      </c>
      <c r="W43" s="68">
        <v>1325000</v>
      </c>
      <c r="X43" s="68">
        <v>275000</v>
      </c>
      <c r="Z43" s="68">
        <v>1095000</v>
      </c>
      <c r="AA43" s="68">
        <v>347000</v>
      </c>
      <c r="AB43" s="68">
        <v>157000</v>
      </c>
      <c r="AC43" s="68">
        <v>747000</v>
      </c>
      <c r="AD43" s="68">
        <v>1635000</v>
      </c>
      <c r="AE43" s="68">
        <v>425000</v>
      </c>
      <c r="AF43" s="68">
        <v>670000</v>
      </c>
      <c r="AG43" s="68">
        <v>915000</v>
      </c>
      <c r="AH43" s="68">
        <v>1265000</v>
      </c>
      <c r="AI43" s="68">
        <v>985000</v>
      </c>
      <c r="AJ43" s="68">
        <v>225000</v>
      </c>
      <c r="AK43" s="68">
        <v>3800000</v>
      </c>
      <c r="AL43" s="68">
        <v>1805000</v>
      </c>
      <c r="AM43" s="68">
        <v>1040000</v>
      </c>
      <c r="AN43" s="68">
        <v>272500</v>
      </c>
      <c r="AO43" s="68">
        <v>225000</v>
      </c>
      <c r="AQ43" s="68">
        <v>420000</v>
      </c>
      <c r="AR43" s="68">
        <v>475000</v>
      </c>
      <c r="AS43" s="68">
        <v>195000</v>
      </c>
      <c r="AT43" s="68">
        <v>205000</v>
      </c>
      <c r="AU43" s="68">
        <v>900000</v>
      </c>
      <c r="AW43" s="68">
        <v>585000</v>
      </c>
      <c r="AX43" s="68">
        <v>600000</v>
      </c>
      <c r="AY43" s="68">
        <v>497000</v>
      </c>
      <c r="AZ43" s="68">
        <v>1040000</v>
      </c>
      <c r="BA43" s="68">
        <v>1850000</v>
      </c>
      <c r="BB43" s="68">
        <v>315000</v>
      </c>
      <c r="BC43" s="68">
        <v>340000</v>
      </c>
    </row>
    <row r="44" spans="1:57" s="93" customFormat="1" ht="13" x14ac:dyDescent="0.3">
      <c r="A44" s="91" t="s">
        <v>45</v>
      </c>
      <c r="B44" s="92"/>
      <c r="C44" s="62">
        <f t="shared" ref="C44:BC44" si="7">SUM(C30:C43)</f>
        <v>351930947.50351864</v>
      </c>
      <c r="D44" s="92">
        <f t="shared" si="7"/>
        <v>2609687.0400062972</v>
      </c>
      <c r="E44" s="92">
        <f>SUM(E30:E43)</f>
        <v>10366070.780590925</v>
      </c>
      <c r="F44" s="92">
        <f t="shared" si="7"/>
        <v>9673333.6974108741</v>
      </c>
      <c r="G44" s="92">
        <f t="shared" si="7"/>
        <v>11987323.343357548</v>
      </c>
      <c r="H44" s="92">
        <f t="shared" si="7"/>
        <v>7175617.7807867443</v>
      </c>
      <c r="I44" s="92">
        <f t="shared" si="7"/>
        <v>4626777.1133721722</v>
      </c>
      <c r="J44" s="92">
        <f t="shared" si="7"/>
        <v>7208737.8930548895</v>
      </c>
      <c r="K44" s="92">
        <f t="shared" si="7"/>
        <v>4455264.3339018216</v>
      </c>
      <c r="L44" s="92">
        <f t="shared" si="7"/>
        <v>9436211.8868538793</v>
      </c>
      <c r="M44" s="92">
        <f t="shared" si="7"/>
        <v>6456218.5777847338</v>
      </c>
      <c r="N44" s="92">
        <f t="shared" si="7"/>
        <v>13031502.856767017</v>
      </c>
      <c r="O44" s="92">
        <f t="shared" si="7"/>
        <v>12411830.761015324</v>
      </c>
      <c r="P44" s="92">
        <f t="shared" si="7"/>
        <v>10826510.487252705</v>
      </c>
      <c r="Q44" s="92">
        <f t="shared" si="7"/>
        <v>3840967.7743668458</v>
      </c>
      <c r="R44" s="92">
        <f t="shared" si="7"/>
        <v>4226368.7892904449</v>
      </c>
      <c r="S44" s="92">
        <f t="shared" si="7"/>
        <v>3198570.9969301615</v>
      </c>
      <c r="T44" s="92">
        <f t="shared" si="7"/>
        <v>5338982.2706512287</v>
      </c>
      <c r="U44" s="92">
        <f t="shared" si="7"/>
        <v>11353013.346419299</v>
      </c>
      <c r="V44" s="92">
        <f t="shared" si="7"/>
        <v>3988717.4710295345</v>
      </c>
      <c r="W44" s="92">
        <f t="shared" si="7"/>
        <v>6310822.2695808029</v>
      </c>
      <c r="X44" s="92">
        <f t="shared" si="7"/>
        <v>2958346.5588592412</v>
      </c>
      <c r="Y44" s="92">
        <f t="shared" si="7"/>
        <v>2429977.7816153658</v>
      </c>
      <c r="Z44" s="92">
        <f t="shared" si="7"/>
        <v>7321504.6116104415</v>
      </c>
      <c r="AA44" s="92">
        <f t="shared" si="7"/>
        <v>4900397.0208570492</v>
      </c>
      <c r="AB44" s="92">
        <f t="shared" si="7"/>
        <v>2664606.9314136361</v>
      </c>
      <c r="AC44" s="92">
        <f t="shared" si="7"/>
        <v>5487209.2568168892</v>
      </c>
      <c r="AD44" s="92">
        <f t="shared" si="7"/>
        <v>12201046.872125518</v>
      </c>
      <c r="AE44" s="92">
        <f t="shared" si="7"/>
        <v>2955256.0236351253</v>
      </c>
      <c r="AF44" s="92">
        <f t="shared" si="7"/>
        <v>4287372.0296859946</v>
      </c>
      <c r="AG44" s="92">
        <f t="shared" si="7"/>
        <v>7377946.1432231674</v>
      </c>
      <c r="AH44" s="92">
        <f t="shared" si="7"/>
        <v>8540959.5752054676</v>
      </c>
      <c r="AI44" s="92">
        <f t="shared" si="7"/>
        <v>4577697.4745986275</v>
      </c>
      <c r="AJ44" s="92">
        <f t="shared" si="7"/>
        <v>7304760.7124854168</v>
      </c>
      <c r="AK44" s="92">
        <f t="shared" si="7"/>
        <v>7466744.3781088563</v>
      </c>
      <c r="AL44" s="92">
        <f t="shared" si="7"/>
        <v>7486694.2196860677</v>
      </c>
      <c r="AM44" s="92">
        <f t="shared" si="7"/>
        <v>9598375.5900318231</v>
      </c>
      <c r="AN44" s="92">
        <f t="shared" si="7"/>
        <v>5680280.1202993579</v>
      </c>
      <c r="AO44" s="92">
        <f t="shared" si="7"/>
        <v>2716858.5466708597</v>
      </c>
      <c r="AP44" s="92">
        <f t="shared" si="7"/>
        <v>4688090.8446230693</v>
      </c>
      <c r="AQ44" s="92">
        <f t="shared" si="7"/>
        <v>13813084.13948174</v>
      </c>
      <c r="AR44" s="92">
        <f t="shared" si="7"/>
        <v>3918350.2792393346</v>
      </c>
      <c r="AS44" s="92">
        <f t="shared" si="7"/>
        <v>11135995.699483614</v>
      </c>
      <c r="AT44" s="92">
        <f t="shared" si="7"/>
        <v>8938688.5677272771</v>
      </c>
      <c r="AU44" s="92">
        <f t="shared" si="7"/>
        <v>5716770.2552281562</v>
      </c>
      <c r="AV44" s="92">
        <f t="shared" si="7"/>
        <v>2731383.2781166825</v>
      </c>
      <c r="AW44" s="92">
        <f t="shared" si="7"/>
        <v>3543693.2990884343</v>
      </c>
      <c r="AX44" s="92">
        <f t="shared" si="7"/>
        <v>6832029.3102822173</v>
      </c>
      <c r="AY44" s="92">
        <f t="shared" si="7"/>
        <v>5607439.0315354094</v>
      </c>
      <c r="AZ44" s="92">
        <f t="shared" si="7"/>
        <v>6375698.1095801592</v>
      </c>
      <c r="BA44" s="92">
        <f t="shared" si="7"/>
        <v>5801270.840605149</v>
      </c>
      <c r="BB44" s="92">
        <f t="shared" si="7"/>
        <v>3917118.5233672517</v>
      </c>
      <c r="BC44" s="92">
        <f t="shared" si="7"/>
        <v>14432772.007807972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3082651993.4201851</v>
      </c>
      <c r="D45" s="95">
        <f t="shared" ref="D45:BC45" si="8">D29+D44</f>
        <v>35230907.040006295</v>
      </c>
      <c r="E45" s="95">
        <f t="shared" si="8"/>
        <v>73179780.780590922</v>
      </c>
      <c r="F45" s="95">
        <f t="shared" si="8"/>
        <v>68985865.364077538</v>
      </c>
      <c r="G45" s="95">
        <f t="shared" si="8"/>
        <v>77050977.343357548</v>
      </c>
      <c r="H45" s="95">
        <f t="shared" si="8"/>
        <v>72244308.780786738</v>
      </c>
      <c r="I45" s="95">
        <f t="shared" si="8"/>
        <v>54802079.496705502</v>
      </c>
      <c r="J45" s="95">
        <f t="shared" si="8"/>
        <v>59570441.093054891</v>
      </c>
      <c r="K45" s="95">
        <f t="shared" si="8"/>
        <v>38539190.333901823</v>
      </c>
      <c r="L45" s="95">
        <f t="shared" si="8"/>
        <v>102140376.55352055</v>
      </c>
      <c r="M45" s="95">
        <f t="shared" si="8"/>
        <v>89507509.244451389</v>
      </c>
      <c r="N45" s="95">
        <f t="shared" si="8"/>
        <v>68825240.856767014</v>
      </c>
      <c r="O45" s="95">
        <f t="shared" si="8"/>
        <v>79939373.761015326</v>
      </c>
      <c r="P45" s="95">
        <f t="shared" si="8"/>
        <v>87313748.487252712</v>
      </c>
      <c r="Q45" s="95">
        <f t="shared" si="8"/>
        <v>43526731.774366848</v>
      </c>
      <c r="R45" s="95">
        <f t="shared" si="8"/>
        <v>63333172.789290443</v>
      </c>
      <c r="S45" s="95">
        <f t="shared" si="8"/>
        <v>37601903.99693016</v>
      </c>
      <c r="T45" s="95">
        <f t="shared" si="8"/>
        <v>20118468.270651229</v>
      </c>
      <c r="U45" s="95">
        <f t="shared" si="8"/>
        <v>91956915.346419305</v>
      </c>
      <c r="V45" s="95">
        <f t="shared" si="8"/>
        <v>44264039.471029535</v>
      </c>
      <c r="W45" s="95">
        <f t="shared" si="8"/>
        <v>53571811.269580804</v>
      </c>
      <c r="X45" s="95">
        <f t="shared" si="8"/>
        <v>36336112.558859244</v>
      </c>
      <c r="Y45" s="95">
        <f t="shared" si="8"/>
        <v>29910880.781615365</v>
      </c>
      <c r="Z45" s="95">
        <f t="shared" si="8"/>
        <v>70375498.611610442</v>
      </c>
      <c r="AA45" s="95">
        <f t="shared" si="8"/>
        <v>59757606.354190387</v>
      </c>
      <c r="AB45" s="95">
        <f t="shared" si="8"/>
        <v>18094728.931413636</v>
      </c>
      <c r="AC45" s="95">
        <f t="shared" si="8"/>
        <v>44949905.256816886</v>
      </c>
      <c r="AD45" s="95">
        <f t="shared" si="8"/>
        <v>60526380.072125524</v>
      </c>
      <c r="AE45" s="95">
        <f t="shared" si="8"/>
        <v>19398144.823635127</v>
      </c>
      <c r="AF45" s="95">
        <f t="shared" si="8"/>
        <v>52050440.029685996</v>
      </c>
      <c r="AG45" s="95">
        <f t="shared" si="8"/>
        <v>44307855.809889838</v>
      </c>
      <c r="AH45" s="95">
        <f t="shared" si="8"/>
        <v>60003046.575205468</v>
      </c>
      <c r="AI45" s="95">
        <f t="shared" si="8"/>
        <v>21179197.474598628</v>
      </c>
      <c r="AJ45" s="95">
        <f t="shared" si="8"/>
        <v>94401990.712485418</v>
      </c>
      <c r="AK45" s="95">
        <f t="shared" si="8"/>
        <v>55389935.378108859</v>
      </c>
      <c r="AL45" s="95">
        <f t="shared" si="8"/>
        <v>52474124.219686069</v>
      </c>
      <c r="AM45" s="95">
        <f t="shared" si="8"/>
        <v>76826320.590031818</v>
      </c>
      <c r="AN45" s="95">
        <f t="shared" si="8"/>
        <v>31791970.120299358</v>
      </c>
      <c r="AO45" s="95">
        <f t="shared" si="8"/>
        <v>17871355.213337526</v>
      </c>
      <c r="AP45" s="95">
        <f t="shared" si="8"/>
        <v>50169416.844623066</v>
      </c>
      <c r="AQ45" s="95">
        <f t="shared" si="8"/>
        <v>114641088.13948174</v>
      </c>
      <c r="AR45" s="95">
        <f t="shared" si="8"/>
        <v>38133251.279239334</v>
      </c>
      <c r="AS45" s="95">
        <f t="shared" si="8"/>
        <v>81962486.699483618</v>
      </c>
      <c r="AT45" s="95">
        <f t="shared" si="8"/>
        <v>143535370.56772727</v>
      </c>
      <c r="AU45" s="95">
        <f t="shared" si="8"/>
        <v>38584069.921894826</v>
      </c>
      <c r="AV45" s="95">
        <f t="shared" si="8"/>
        <v>39449895.278116681</v>
      </c>
      <c r="AW45" s="95">
        <f t="shared" si="8"/>
        <v>31063947.299088433</v>
      </c>
      <c r="AX45" s="95">
        <f t="shared" si="8"/>
        <v>86937474.310282215</v>
      </c>
      <c r="AY45" s="95">
        <f t="shared" si="8"/>
        <v>80943861.031535417</v>
      </c>
      <c r="AZ45" s="95">
        <f t="shared" si="8"/>
        <v>46218303.109580159</v>
      </c>
      <c r="BA45" s="95">
        <f t="shared" si="8"/>
        <v>30441850.840605147</v>
      </c>
      <c r="BB45" s="95">
        <f t="shared" si="8"/>
        <v>55667244.523367248</v>
      </c>
      <c r="BC45" s="95">
        <f t="shared" si="8"/>
        <v>137555398.00780797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9">C4-C29</f>
        <v>692738988.08333349</v>
      </c>
      <c r="D46" s="97">
        <f t="shared" si="9"/>
        <v>7056780</v>
      </c>
      <c r="E46" s="97">
        <f t="shared" si="9"/>
        <v>5932290</v>
      </c>
      <c r="F46" s="97">
        <f t="shared" si="9"/>
        <v>16184468.333333336</v>
      </c>
      <c r="G46" s="97">
        <f t="shared" si="9"/>
        <v>26602346</v>
      </c>
      <c r="H46" s="97">
        <f t="shared" si="9"/>
        <v>9375309</v>
      </c>
      <c r="I46" s="97">
        <f t="shared" si="9"/>
        <v>12270697.616666667</v>
      </c>
      <c r="J46" s="97">
        <f t="shared" si="9"/>
        <v>9741296.799999997</v>
      </c>
      <c r="K46" s="97">
        <f t="shared" si="9"/>
        <v>1250074</v>
      </c>
      <c r="L46" s="97">
        <f t="shared" si="9"/>
        <v>21842835.333333328</v>
      </c>
      <c r="M46" s="97">
        <f t="shared" si="9"/>
        <v>17332709.333333343</v>
      </c>
      <c r="N46" s="97">
        <f t="shared" si="9"/>
        <v>23447662</v>
      </c>
      <c r="O46" s="97">
        <f t="shared" si="9"/>
        <v>26274057</v>
      </c>
      <c r="P46" s="97">
        <f t="shared" si="9"/>
        <v>23229762</v>
      </c>
      <c r="Q46" s="97">
        <f t="shared" si="9"/>
        <v>11386236</v>
      </c>
      <c r="R46" s="97">
        <f t="shared" si="9"/>
        <v>12455696</v>
      </c>
      <c r="S46" s="97">
        <f t="shared" si="9"/>
        <v>13867667</v>
      </c>
      <c r="T46" s="97">
        <f t="shared" si="9"/>
        <v>13514514</v>
      </c>
      <c r="U46" s="97">
        <f t="shared" si="9"/>
        <v>12177098</v>
      </c>
      <c r="V46" s="97">
        <f t="shared" si="9"/>
        <v>2813678</v>
      </c>
      <c r="W46" s="97">
        <f t="shared" si="9"/>
        <v>-1110989</v>
      </c>
      <c r="X46" s="97">
        <f t="shared" si="9"/>
        <v>7266234</v>
      </c>
      <c r="Y46" s="97">
        <f t="shared" si="9"/>
        <v>4371097</v>
      </c>
      <c r="Z46" s="97">
        <f t="shared" si="9"/>
        <v>16035006</v>
      </c>
      <c r="AA46" s="97">
        <f t="shared" si="9"/>
        <v>8674790.6666666642</v>
      </c>
      <c r="AB46" s="97">
        <f t="shared" si="9"/>
        <v>8083545</v>
      </c>
      <c r="AC46" s="97">
        <f t="shared" si="9"/>
        <v>6873304</v>
      </c>
      <c r="AD46" s="97">
        <f t="shared" si="9"/>
        <v>15118066.799999997</v>
      </c>
      <c r="AE46" s="97">
        <f t="shared" si="9"/>
        <v>4513111.1999999993</v>
      </c>
      <c r="AF46" s="97">
        <f t="shared" si="9"/>
        <v>12565932</v>
      </c>
      <c r="AG46" s="97">
        <f t="shared" si="9"/>
        <v>22453090.333333328</v>
      </c>
      <c r="AH46" s="97">
        <f t="shared" si="9"/>
        <v>12453713</v>
      </c>
      <c r="AI46" s="97">
        <f t="shared" si="9"/>
        <v>8072167</v>
      </c>
      <c r="AJ46" s="97">
        <f t="shared" si="9"/>
        <v>16872270</v>
      </c>
      <c r="AK46" s="97">
        <f t="shared" si="9"/>
        <v>13568809</v>
      </c>
      <c r="AL46" s="97">
        <f t="shared" si="9"/>
        <v>13803570</v>
      </c>
      <c r="AM46" s="97">
        <f t="shared" si="9"/>
        <v>12265055</v>
      </c>
      <c r="AN46" s="97">
        <f t="shared" si="9"/>
        <v>11805310</v>
      </c>
      <c r="AO46" s="97">
        <f t="shared" si="9"/>
        <v>10633503.333333334</v>
      </c>
      <c r="AP46" s="97">
        <f t="shared" si="9"/>
        <v>12619174</v>
      </c>
      <c r="AQ46" s="97">
        <f t="shared" si="9"/>
        <v>35804996</v>
      </c>
      <c r="AR46" s="97">
        <f t="shared" si="9"/>
        <v>9817099</v>
      </c>
      <c r="AS46" s="97">
        <f t="shared" si="9"/>
        <v>21153509</v>
      </c>
      <c r="AT46" s="97">
        <f t="shared" si="9"/>
        <v>34394318</v>
      </c>
      <c r="AU46" s="97">
        <f t="shared" si="9"/>
        <v>11598700.333333332</v>
      </c>
      <c r="AV46" s="97">
        <f t="shared" si="9"/>
        <v>4391488</v>
      </c>
      <c r="AW46" s="97">
        <f t="shared" si="9"/>
        <v>7933746</v>
      </c>
      <c r="AX46" s="97">
        <f t="shared" si="9"/>
        <v>13065555</v>
      </c>
      <c r="AY46" s="97">
        <f t="shared" si="9"/>
        <v>15584578</v>
      </c>
      <c r="AZ46" s="97">
        <f t="shared" si="9"/>
        <v>9545195</v>
      </c>
      <c r="BA46" s="97">
        <f t="shared" si="9"/>
        <v>15820420</v>
      </c>
      <c r="BB46" s="97">
        <f t="shared" si="9"/>
        <v>5619874</v>
      </c>
      <c r="BC46" s="97">
        <f t="shared" si="9"/>
        <v>24317574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340808040.57981491</v>
      </c>
      <c r="D47" s="99">
        <f t="shared" ref="D47:BC47" si="10">D4-D45</f>
        <v>4447092.9599937052</v>
      </c>
      <c r="E47" s="99">
        <f t="shared" si="10"/>
        <v>-4433780.7805909216</v>
      </c>
      <c r="F47" s="99">
        <f t="shared" si="10"/>
        <v>6511134.6359224617</v>
      </c>
      <c r="G47" s="99">
        <f t="shared" si="10"/>
        <v>14615022.656642452</v>
      </c>
      <c r="H47" s="99">
        <f t="shared" si="10"/>
        <v>2199691.2192132622</v>
      </c>
      <c r="I47" s="99">
        <f t="shared" si="10"/>
        <v>7643920.5032944977</v>
      </c>
      <c r="J47" s="99">
        <f t="shared" si="10"/>
        <v>2532558.9069451094</v>
      </c>
      <c r="K47" s="99">
        <f t="shared" si="10"/>
        <v>-3205190.3339018226</v>
      </c>
      <c r="L47" s="99">
        <f t="shared" si="10"/>
        <v>12406623.446479455</v>
      </c>
      <c r="M47" s="99">
        <f t="shared" si="10"/>
        <v>10876490.755548611</v>
      </c>
      <c r="N47" s="99">
        <f t="shared" si="10"/>
        <v>10416159.143232986</v>
      </c>
      <c r="O47" s="99">
        <f t="shared" si="10"/>
        <v>13862226.238984674</v>
      </c>
      <c r="P47" s="99">
        <f t="shared" si="10"/>
        <v>12403251.512747288</v>
      </c>
      <c r="Q47" s="99">
        <f t="shared" si="10"/>
        <v>7545268.2256331518</v>
      </c>
      <c r="R47" s="99">
        <f t="shared" si="10"/>
        <v>8229327.2107095569</v>
      </c>
      <c r="S47" s="99">
        <f t="shared" si="10"/>
        <v>10669096.00306984</v>
      </c>
      <c r="T47" s="99">
        <f t="shared" si="10"/>
        <v>8175531.7293487713</v>
      </c>
      <c r="U47" s="99">
        <f t="shared" si="10"/>
        <v>824084.65358069539</v>
      </c>
      <c r="V47" s="99">
        <f t="shared" si="10"/>
        <v>-1175039.4710295349</v>
      </c>
      <c r="W47" s="99">
        <f t="shared" si="10"/>
        <v>-7421811.2695808038</v>
      </c>
      <c r="X47" s="99">
        <f t="shared" si="10"/>
        <v>4307887.441140756</v>
      </c>
      <c r="Y47" s="99">
        <f t="shared" si="10"/>
        <v>1941119.2183846347</v>
      </c>
      <c r="Z47" s="99">
        <f t="shared" si="10"/>
        <v>8713501.3883895576</v>
      </c>
      <c r="AA47" s="99">
        <f t="shared" si="10"/>
        <v>3774393.6458096132</v>
      </c>
      <c r="AB47" s="99">
        <f t="shared" si="10"/>
        <v>5418938.0685863644</v>
      </c>
      <c r="AC47" s="99">
        <f t="shared" si="10"/>
        <v>1386094.7431831136</v>
      </c>
      <c r="AD47" s="99">
        <f t="shared" si="10"/>
        <v>2917019.9278744757</v>
      </c>
      <c r="AE47" s="99">
        <f t="shared" si="10"/>
        <v>1557855.1763648726</v>
      </c>
      <c r="AF47" s="99">
        <f t="shared" si="10"/>
        <v>8278559.9703140035</v>
      </c>
      <c r="AG47" s="99">
        <f t="shared" si="10"/>
        <v>15075144.190110162</v>
      </c>
      <c r="AH47" s="99">
        <f t="shared" si="10"/>
        <v>3912753.4247945324</v>
      </c>
      <c r="AI47" s="99">
        <f t="shared" si="10"/>
        <v>3494469.5254013725</v>
      </c>
      <c r="AJ47" s="99">
        <f t="shared" si="10"/>
        <v>9567509.2875145823</v>
      </c>
      <c r="AK47" s="99">
        <f t="shared" si="10"/>
        <v>6102064.6218911409</v>
      </c>
      <c r="AL47" s="99">
        <f t="shared" si="10"/>
        <v>6316875.7803139314</v>
      </c>
      <c r="AM47" s="99">
        <f t="shared" si="10"/>
        <v>2666679.4099681824</v>
      </c>
      <c r="AN47" s="99">
        <f t="shared" si="10"/>
        <v>6125029.8797006421</v>
      </c>
      <c r="AO47" s="99">
        <f t="shared" si="10"/>
        <v>7916644.7866624743</v>
      </c>
      <c r="AP47" s="99">
        <f t="shared" si="10"/>
        <v>7931083.1553769335</v>
      </c>
      <c r="AQ47" s="99">
        <f t="shared" si="10"/>
        <v>21991911.860518262</v>
      </c>
      <c r="AR47" s="99">
        <f t="shared" si="10"/>
        <v>5898748.7207606658</v>
      </c>
      <c r="AS47" s="99">
        <f t="shared" si="10"/>
        <v>10017513.300516382</v>
      </c>
      <c r="AT47" s="99">
        <f t="shared" si="10"/>
        <v>25455629.432272732</v>
      </c>
      <c r="AU47" s="99">
        <f t="shared" si="10"/>
        <v>5881930.078105174</v>
      </c>
      <c r="AV47" s="99">
        <f t="shared" si="10"/>
        <v>1660104.7218833193</v>
      </c>
      <c r="AW47" s="99">
        <f t="shared" si="10"/>
        <v>4390052.7009115666</v>
      </c>
      <c r="AX47" s="99">
        <f t="shared" si="10"/>
        <v>6233525.6897177845</v>
      </c>
      <c r="AY47" s="99">
        <f t="shared" si="10"/>
        <v>9977138.9684645832</v>
      </c>
      <c r="AZ47" s="99">
        <f t="shared" si="10"/>
        <v>3169496.8904198408</v>
      </c>
      <c r="BA47" s="99">
        <f t="shared" si="10"/>
        <v>10019149.159394853</v>
      </c>
      <c r="BB47" s="99">
        <f t="shared" si="10"/>
        <v>1702755.4766327515</v>
      </c>
      <c r="BC47" s="99">
        <f t="shared" si="10"/>
        <v>9884801.99219203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11">C29</f>
        <v>2730721045.9166665</v>
      </c>
      <c r="D48" s="61">
        <f t="shared" si="11"/>
        <v>32621220</v>
      </c>
      <c r="E48" s="61">
        <f t="shared" si="11"/>
        <v>62813710</v>
      </c>
      <c r="F48" s="61">
        <f t="shared" si="11"/>
        <v>59312531.666666664</v>
      </c>
      <c r="G48" s="61">
        <f t="shared" si="11"/>
        <v>65063654</v>
      </c>
      <c r="H48" s="61">
        <f t="shared" si="11"/>
        <v>65068691</v>
      </c>
      <c r="I48" s="61">
        <f t="shared" si="11"/>
        <v>50175302.383333333</v>
      </c>
      <c r="J48" s="61">
        <f t="shared" si="11"/>
        <v>52361703.200000003</v>
      </c>
      <c r="K48" s="61">
        <f t="shared" si="11"/>
        <v>34083926</v>
      </c>
      <c r="L48" s="61">
        <f t="shared" si="11"/>
        <v>92704164.666666672</v>
      </c>
      <c r="M48" s="61">
        <f t="shared" si="11"/>
        <v>83051290.666666657</v>
      </c>
      <c r="N48" s="61">
        <f t="shared" si="11"/>
        <v>55793738</v>
      </c>
      <c r="O48" s="61">
        <f t="shared" si="11"/>
        <v>67527543</v>
      </c>
      <c r="P48" s="61">
        <f t="shared" si="11"/>
        <v>76487238</v>
      </c>
      <c r="Q48" s="61">
        <f t="shared" si="11"/>
        <v>39685764</v>
      </c>
      <c r="R48" s="61">
        <f t="shared" si="11"/>
        <v>59106804</v>
      </c>
      <c r="S48" s="61">
        <f t="shared" si="11"/>
        <v>34403333</v>
      </c>
      <c r="T48" s="61">
        <f t="shared" si="11"/>
        <v>14779486</v>
      </c>
      <c r="U48" s="61">
        <f t="shared" si="11"/>
        <v>80603902</v>
      </c>
      <c r="V48" s="61">
        <f t="shared" si="11"/>
        <v>40275322</v>
      </c>
      <c r="W48" s="61">
        <f t="shared" si="11"/>
        <v>47260989</v>
      </c>
      <c r="X48" s="61">
        <f t="shared" si="11"/>
        <v>33377766</v>
      </c>
      <c r="Y48" s="61">
        <f t="shared" si="11"/>
        <v>27480903</v>
      </c>
      <c r="Z48" s="61">
        <f t="shared" si="11"/>
        <v>63053994</v>
      </c>
      <c r="AA48" s="61">
        <f t="shared" si="11"/>
        <v>54857209.333333336</v>
      </c>
      <c r="AB48" s="61">
        <f t="shared" si="11"/>
        <v>15430122</v>
      </c>
      <c r="AC48" s="61">
        <f t="shared" si="11"/>
        <v>39462696</v>
      </c>
      <c r="AD48" s="61">
        <f t="shared" si="11"/>
        <v>48325333.200000003</v>
      </c>
      <c r="AE48" s="61">
        <f t="shared" si="11"/>
        <v>16442888.800000001</v>
      </c>
      <c r="AF48" s="61">
        <f t="shared" si="11"/>
        <v>47763068</v>
      </c>
      <c r="AG48" s="61">
        <f t="shared" si="11"/>
        <v>36929909.666666672</v>
      </c>
      <c r="AH48" s="61">
        <f t="shared" si="11"/>
        <v>51462087</v>
      </c>
      <c r="AI48" s="61">
        <f t="shared" si="11"/>
        <v>16601500</v>
      </c>
      <c r="AJ48" s="61">
        <f t="shared" si="11"/>
        <v>87097230</v>
      </c>
      <c r="AK48" s="61">
        <f t="shared" si="11"/>
        <v>47923191</v>
      </c>
      <c r="AL48" s="61">
        <f t="shared" si="11"/>
        <v>44987430</v>
      </c>
      <c r="AM48" s="61">
        <f t="shared" si="11"/>
        <v>67227945</v>
      </c>
      <c r="AN48" s="61">
        <f t="shared" si="11"/>
        <v>26111690</v>
      </c>
      <c r="AO48" s="61">
        <f t="shared" si="11"/>
        <v>15154496.666666666</v>
      </c>
      <c r="AP48" s="61">
        <f t="shared" si="11"/>
        <v>45481326</v>
      </c>
      <c r="AQ48" s="61">
        <f t="shared" si="11"/>
        <v>100828004</v>
      </c>
      <c r="AR48" s="61">
        <f t="shared" si="11"/>
        <v>34214901</v>
      </c>
      <c r="AS48" s="61">
        <f t="shared" si="11"/>
        <v>70826491</v>
      </c>
      <c r="AT48" s="61">
        <f t="shared" si="11"/>
        <v>134596682</v>
      </c>
      <c r="AU48" s="61">
        <f t="shared" si="11"/>
        <v>32867299.666666668</v>
      </c>
      <c r="AV48" s="61">
        <f t="shared" si="11"/>
        <v>36718512</v>
      </c>
      <c r="AW48" s="61">
        <f t="shared" si="11"/>
        <v>27520254</v>
      </c>
      <c r="AX48" s="61">
        <f t="shared" si="11"/>
        <v>80105445</v>
      </c>
      <c r="AY48" s="61">
        <f t="shared" si="11"/>
        <v>75336422</v>
      </c>
      <c r="AZ48" s="61">
        <f t="shared" si="11"/>
        <v>39842605</v>
      </c>
      <c r="BA48" s="61">
        <f t="shared" si="11"/>
        <v>24640580</v>
      </c>
      <c r="BB48" s="61">
        <f t="shared" si="11"/>
        <v>51750126</v>
      </c>
      <c r="BC48" s="61">
        <f t="shared" si="11"/>
        <v>123122626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2">C47/C4</f>
        <v>9.955075776994303E-2</v>
      </c>
      <c r="D49" s="101">
        <f t="shared" si="12"/>
        <v>0.11207956449401948</v>
      </c>
      <c r="E49" s="101">
        <f t="shared" si="12"/>
        <v>-6.4495109251315297E-2</v>
      </c>
      <c r="F49" s="101">
        <f t="shared" si="12"/>
        <v>8.6243620752115474E-2</v>
      </c>
      <c r="G49" s="101">
        <f t="shared" si="12"/>
        <v>0.15943777034715653</v>
      </c>
      <c r="H49" s="101">
        <f t="shared" si="12"/>
        <v>2.954826741192389E-2</v>
      </c>
      <c r="I49" s="101">
        <f t="shared" si="12"/>
        <v>0.1224084889871969</v>
      </c>
      <c r="J49" s="101">
        <f t="shared" si="12"/>
        <v>4.077997692454647E-2</v>
      </c>
      <c r="K49" s="101">
        <f t="shared" si="12"/>
        <v>-9.0711222445854486E-2</v>
      </c>
      <c r="L49" s="101">
        <f t="shared" si="12"/>
        <v>0.10831033066321645</v>
      </c>
      <c r="M49" s="101">
        <f t="shared" si="12"/>
        <v>0.10834884797924581</v>
      </c>
      <c r="N49" s="101">
        <f t="shared" si="12"/>
        <v>0.13144844921004659</v>
      </c>
      <c r="O49" s="101">
        <f t="shared" si="12"/>
        <v>0.14778240711229526</v>
      </c>
      <c r="P49" s="101">
        <f t="shared" si="12"/>
        <v>0.12438452332849251</v>
      </c>
      <c r="Q49" s="101">
        <f t="shared" si="12"/>
        <v>0.14773786469363157</v>
      </c>
      <c r="R49" s="101">
        <f t="shared" si="12"/>
        <v>0.11499496538982787</v>
      </c>
      <c r="S49" s="101">
        <f t="shared" si="12"/>
        <v>0.22102496329203539</v>
      </c>
      <c r="T49" s="101">
        <f t="shared" si="12"/>
        <v>0.28894930831090587</v>
      </c>
      <c r="U49" s="101">
        <f t="shared" si="12"/>
        <v>8.8820410814789176E-3</v>
      </c>
      <c r="V49" s="101">
        <f t="shared" si="12"/>
        <v>-2.7270056650874584E-2</v>
      </c>
      <c r="W49" s="101">
        <f t="shared" si="12"/>
        <v>-0.16081931245028827</v>
      </c>
      <c r="X49" s="101">
        <f t="shared" si="12"/>
        <v>0.10599073519192885</v>
      </c>
      <c r="Y49" s="101">
        <f t="shared" si="12"/>
        <v>6.0941831545417387E-2</v>
      </c>
      <c r="Z49" s="101">
        <f t="shared" si="12"/>
        <v>0.11017336656664717</v>
      </c>
      <c r="AA49" s="101">
        <f t="shared" si="12"/>
        <v>5.9409331452018085E-2</v>
      </c>
      <c r="AB49" s="101">
        <f t="shared" si="12"/>
        <v>0.2304590801845737</v>
      </c>
      <c r="AC49" s="101">
        <f t="shared" si="12"/>
        <v>2.9913992213033359E-2</v>
      </c>
      <c r="AD49" s="101">
        <f t="shared" si="12"/>
        <v>4.597830393507403E-2</v>
      </c>
      <c r="AE49" s="101">
        <f t="shared" si="12"/>
        <v>7.4339338440774602E-2</v>
      </c>
      <c r="AF49" s="101">
        <f t="shared" si="12"/>
        <v>0.13722355700101119</v>
      </c>
      <c r="AG49" s="101">
        <f t="shared" si="12"/>
        <v>0.25386296061347796</v>
      </c>
      <c r="AH49" s="101">
        <f t="shared" si="12"/>
        <v>6.1217311287577285E-2</v>
      </c>
      <c r="AI49" s="101">
        <f t="shared" si="12"/>
        <v>0.14162748996334321</v>
      </c>
      <c r="AJ49" s="101">
        <f t="shared" si="12"/>
        <v>9.2022268910734228E-2</v>
      </c>
      <c r="AK49" s="101">
        <f t="shared" si="12"/>
        <v>9.9233471376620391E-2</v>
      </c>
      <c r="AL49" s="101">
        <f t="shared" si="12"/>
        <v>0.10744630607259498</v>
      </c>
      <c r="AM49" s="101">
        <f t="shared" si="12"/>
        <v>3.354609097616372E-2</v>
      </c>
      <c r="AN49" s="101">
        <f t="shared" si="12"/>
        <v>0.16153782946173595</v>
      </c>
      <c r="AO49" s="101">
        <f t="shared" si="12"/>
        <v>0.30698948296348977</v>
      </c>
      <c r="AP49" s="101">
        <f t="shared" si="12"/>
        <v>0.13650628058927089</v>
      </c>
      <c r="AQ49" s="101">
        <f t="shared" si="12"/>
        <v>0.16095607840359402</v>
      </c>
      <c r="AR49" s="101">
        <f t="shared" si="12"/>
        <v>0.13396504180506599</v>
      </c>
      <c r="AS49" s="101">
        <f t="shared" si="12"/>
        <v>0.10890969015564668</v>
      </c>
      <c r="AT49" s="101">
        <f t="shared" si="12"/>
        <v>0.1506330481047673</v>
      </c>
      <c r="AU49" s="101">
        <f t="shared" si="12"/>
        <v>0.13227927131078068</v>
      </c>
      <c r="AV49" s="101">
        <f t="shared" si="12"/>
        <v>4.0382017073298936E-2</v>
      </c>
      <c r="AW49" s="101">
        <f t="shared" si="12"/>
        <v>0.12382390423962224</v>
      </c>
      <c r="AX49" s="101">
        <f t="shared" si="12"/>
        <v>6.6904140663058081E-2</v>
      </c>
      <c r="AY49" s="101">
        <f t="shared" si="12"/>
        <v>0.10973415347900467</v>
      </c>
      <c r="AZ49" s="101">
        <f t="shared" si="12"/>
        <v>6.4175705142157397E-2</v>
      </c>
      <c r="BA49" s="101">
        <f t="shared" si="12"/>
        <v>0.24762485255912739</v>
      </c>
      <c r="BB49" s="101">
        <f t="shared" si="12"/>
        <v>2.9680241879601735E-2</v>
      </c>
      <c r="BC49" s="101">
        <f t="shared" si="12"/>
        <v>6.7042787463609171E-2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3">C46/C4</f>
        <v>0.20235054044838122</v>
      </c>
      <c r="D50" s="101">
        <f t="shared" si="13"/>
        <v>0.17785120217752912</v>
      </c>
      <c r="E50" s="101">
        <f t="shared" si="13"/>
        <v>8.6292875221831086E-2</v>
      </c>
      <c r="F50" s="101">
        <f t="shared" si="13"/>
        <v>0.21437233709065706</v>
      </c>
      <c r="G50" s="101">
        <f t="shared" si="13"/>
        <v>0.29020952152379292</v>
      </c>
      <c r="H50" s="101">
        <f t="shared" si="13"/>
        <v>0.12593773843425932</v>
      </c>
      <c r="I50" s="101">
        <f t="shared" si="13"/>
        <v>0.1965009386776842</v>
      </c>
      <c r="J50" s="101">
        <f t="shared" si="13"/>
        <v>0.15685710513179713</v>
      </c>
      <c r="K50" s="101">
        <f t="shared" si="13"/>
        <v>3.5378785305937625E-2</v>
      </c>
      <c r="L50" s="101">
        <f t="shared" si="13"/>
        <v>0.1906888467906914</v>
      </c>
      <c r="M50" s="101">
        <f t="shared" si="13"/>
        <v>0.17266406333014567</v>
      </c>
      <c r="N50" s="101">
        <f t="shared" si="13"/>
        <v>0.29590166251479655</v>
      </c>
      <c r="O50" s="101">
        <f t="shared" si="13"/>
        <v>0.28010243961723469</v>
      </c>
      <c r="P50" s="101">
        <f t="shared" si="13"/>
        <v>0.23295688799302025</v>
      </c>
      <c r="Q50" s="101">
        <f t="shared" si="13"/>
        <v>0.22294478383458646</v>
      </c>
      <c r="R50" s="101">
        <f t="shared" si="13"/>
        <v>0.17405339388646288</v>
      </c>
      <c r="S50" s="101">
        <f t="shared" si="13"/>
        <v>0.28728775040914833</v>
      </c>
      <c r="T50" s="101">
        <f t="shared" si="13"/>
        <v>0.47764593199971728</v>
      </c>
      <c r="U50" s="101">
        <f t="shared" si="13"/>
        <v>0.13124559985341827</v>
      </c>
      <c r="V50" s="101">
        <f t="shared" si="13"/>
        <v>6.5299217897839351E-2</v>
      </c>
      <c r="W50" s="101">
        <f t="shared" si="13"/>
        <v>-2.4073434452871072E-2</v>
      </c>
      <c r="X50" s="101">
        <f t="shared" si="13"/>
        <v>0.17877753173900207</v>
      </c>
      <c r="Y50" s="101">
        <f t="shared" si="13"/>
        <v>0.13723147683034032</v>
      </c>
      <c r="Z50" s="101">
        <f t="shared" si="13"/>
        <v>0.20274634904980465</v>
      </c>
      <c r="AA50" s="101">
        <f t="shared" si="13"/>
        <v>0.1365420680392033</v>
      </c>
      <c r="AB50" s="101">
        <f t="shared" si="13"/>
        <v>0.34378070421767903</v>
      </c>
      <c r="AC50" s="101">
        <f t="shared" si="13"/>
        <v>0.14833615331491712</v>
      </c>
      <c r="AD50" s="101">
        <f t="shared" si="13"/>
        <v>0.2382921911499068</v>
      </c>
      <c r="AE50" s="101">
        <f t="shared" si="13"/>
        <v>0.21536129032258061</v>
      </c>
      <c r="AF50" s="101">
        <f t="shared" si="13"/>
        <v>0.20829007608281258</v>
      </c>
      <c r="AG50" s="101">
        <f t="shared" si="13"/>
        <v>0.37810636601945552</v>
      </c>
      <c r="AH50" s="101">
        <f t="shared" si="13"/>
        <v>0.19484560937984036</v>
      </c>
      <c r="AI50" s="101">
        <f t="shared" si="13"/>
        <v>0.32715716719367249</v>
      </c>
      <c r="AJ50" s="101">
        <f t="shared" si="13"/>
        <v>0.16228095739615944</v>
      </c>
      <c r="AK50" s="101">
        <f t="shared" si="13"/>
        <v>0.22065974435698954</v>
      </c>
      <c r="AL50" s="101">
        <f t="shared" si="13"/>
        <v>0.23479052916262694</v>
      </c>
      <c r="AM50" s="101">
        <f t="shared" si="13"/>
        <v>0.15429100675531179</v>
      </c>
      <c r="AN50" s="101">
        <f t="shared" si="13"/>
        <v>0.31134609805628083</v>
      </c>
      <c r="AO50" s="101">
        <f t="shared" si="13"/>
        <v>0.41234307946848664</v>
      </c>
      <c r="AP50" s="101">
        <f t="shared" si="13"/>
        <v>0.2171956179378835</v>
      </c>
      <c r="AQ50" s="101">
        <f t="shared" si="13"/>
        <v>0.26205232996421068</v>
      </c>
      <c r="AR50" s="101">
        <f t="shared" si="13"/>
        <v>0.22295373819040698</v>
      </c>
      <c r="AS50" s="101">
        <f t="shared" si="13"/>
        <v>0.22997944118286584</v>
      </c>
      <c r="AT50" s="101">
        <f t="shared" si="13"/>
        <v>0.20352751329952481</v>
      </c>
      <c r="AU50" s="101">
        <f t="shared" si="13"/>
        <v>0.26084424803970074</v>
      </c>
      <c r="AV50" s="101">
        <f t="shared" si="13"/>
        <v>0.10682286548285089</v>
      </c>
      <c r="AW50" s="101">
        <f t="shared" si="13"/>
        <v>0.22377576578101202</v>
      </c>
      <c r="AX50" s="101">
        <f t="shared" si="13"/>
        <v>0.14023199278745532</v>
      </c>
      <c r="AY50" s="101">
        <f t="shared" si="13"/>
        <v>0.17140790356463304</v>
      </c>
      <c r="AZ50" s="101">
        <f t="shared" si="13"/>
        <v>0.19327030157245312</v>
      </c>
      <c r="BA50" s="101">
        <f t="shared" si="13"/>
        <v>0.39100417686166927</v>
      </c>
      <c r="BB50" s="101">
        <f t="shared" si="13"/>
        <v>9.7958410318982045E-2</v>
      </c>
      <c r="BC50" s="101">
        <f t="shared" si="13"/>
        <v>0.1649317757300926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0.12480514664412022</v>
      </c>
      <c r="D51" s="101">
        <f t="shared" ref="D51:BC51" si="14">D47/D48</f>
        <v>0.13632515767324782</v>
      </c>
      <c r="E51" s="101">
        <f t="shared" si="14"/>
        <v>-7.0586194965890747E-2</v>
      </c>
      <c r="F51" s="101">
        <f t="shared" si="14"/>
        <v>0.10977671080564726</v>
      </c>
      <c r="G51" s="101">
        <f t="shared" si="14"/>
        <v>0.22462652737951747</v>
      </c>
      <c r="H51" s="101">
        <f t="shared" si="14"/>
        <v>3.3805678052033689E-2</v>
      </c>
      <c r="I51" s="101">
        <f t="shared" si="14"/>
        <v>0.15234428374533462</v>
      </c>
      <c r="J51" s="101">
        <f t="shared" si="14"/>
        <v>4.8366625838578703E-2</v>
      </c>
      <c r="K51" s="101">
        <f t="shared" si="14"/>
        <v>-9.4038178990936153E-2</v>
      </c>
      <c r="L51" s="101">
        <f t="shared" si="14"/>
        <v>0.13383027063659486</v>
      </c>
      <c r="M51" s="101">
        <f>M47/M48</f>
        <v>0.13096112857778841</v>
      </c>
      <c r="N51" s="101">
        <f t="shared" si="14"/>
        <v>0.18669046951528837</v>
      </c>
      <c r="O51" s="101">
        <f t="shared" si="14"/>
        <v>0.20528255024745495</v>
      </c>
      <c r="P51" s="101">
        <f t="shared" si="14"/>
        <v>0.16216105898277158</v>
      </c>
      <c r="Q51" s="101">
        <f t="shared" si="14"/>
        <v>0.19012531107207994</v>
      </c>
      <c r="R51" s="101">
        <f t="shared" si="14"/>
        <v>0.13922808634196424</v>
      </c>
      <c r="S51" s="101">
        <f t="shared" si="14"/>
        <v>0.31011809242638905</v>
      </c>
      <c r="T51" s="101">
        <f t="shared" si="14"/>
        <v>0.55316752756819632</v>
      </c>
      <c r="U51" s="101">
        <f t="shared" si="14"/>
        <v>1.0223880397014717E-2</v>
      </c>
      <c r="V51" s="101">
        <f t="shared" si="14"/>
        <v>-2.9175172603946777E-2</v>
      </c>
      <c r="W51" s="101">
        <f t="shared" si="14"/>
        <v>-0.15703884803555007</v>
      </c>
      <c r="X51" s="101">
        <f t="shared" si="14"/>
        <v>0.1290645827267396</v>
      </c>
      <c r="Y51" s="101">
        <f t="shared" si="14"/>
        <v>7.0635205050745054E-2</v>
      </c>
      <c r="Z51" s="101">
        <f t="shared" si="14"/>
        <v>0.1381911094860947</v>
      </c>
      <c r="AA51" s="101">
        <f t="shared" si="14"/>
        <v>6.8803967458041057E-2</v>
      </c>
      <c r="AB51" s="101">
        <f t="shared" si="14"/>
        <v>0.35119217259502966</v>
      </c>
      <c r="AC51" s="101">
        <f t="shared" si="14"/>
        <v>3.5124177607711179E-2</v>
      </c>
      <c r="AD51" s="101">
        <f t="shared" si="14"/>
        <v>6.0362127578138983E-2</v>
      </c>
      <c r="AE51" s="101">
        <f t="shared" si="14"/>
        <v>9.4743399126123909E-2</v>
      </c>
      <c r="AF51" s="101">
        <f t="shared" si="14"/>
        <v>0.17332554873388795</v>
      </c>
      <c r="AG51" s="101">
        <f t="shared" si="14"/>
        <v>0.4082096145422513</v>
      </c>
      <c r="AH51" s="101">
        <f t="shared" si="14"/>
        <v>7.6031767324059987E-2</v>
      </c>
      <c r="AI51" s="101">
        <f t="shared" si="14"/>
        <v>0.21049119208513523</v>
      </c>
      <c r="AJ51" s="101">
        <f t="shared" si="14"/>
        <v>0.10984860583413023</v>
      </c>
      <c r="AK51" s="101">
        <f t="shared" si="14"/>
        <v>0.12733009832110598</v>
      </c>
      <c r="AL51" s="101">
        <f t="shared" si="14"/>
        <v>0.14041423971793746</v>
      </c>
      <c r="AM51" s="101">
        <f t="shared" si="14"/>
        <v>3.9666234182350546E-2</v>
      </c>
      <c r="AN51" s="101">
        <f t="shared" si="14"/>
        <v>0.23457041193812589</v>
      </c>
      <c r="AO51" s="101">
        <f t="shared" si="14"/>
        <v>0.52239575888229051</v>
      </c>
      <c r="AP51" s="101">
        <f t="shared" si="14"/>
        <v>0.17438108896334584</v>
      </c>
      <c r="AQ51" s="101">
        <f t="shared" si="14"/>
        <v>0.21811313313827241</v>
      </c>
      <c r="AR51" s="101">
        <f t="shared" si="14"/>
        <v>0.17240291651759174</v>
      </c>
      <c r="AS51" s="101">
        <f t="shared" si="14"/>
        <v>0.14143737970184606</v>
      </c>
      <c r="AT51" s="101">
        <f t="shared" si="14"/>
        <v>0.18912523736857595</v>
      </c>
      <c r="AU51" s="101">
        <f t="shared" si="14"/>
        <v>0.17895994309719654</v>
      </c>
      <c r="AV51" s="101">
        <f t="shared" si="14"/>
        <v>4.52116556870093E-2</v>
      </c>
      <c r="AW51" s="101">
        <f t="shared" si="14"/>
        <v>0.15952079152000437</v>
      </c>
      <c r="AX51" s="101">
        <f t="shared" si="14"/>
        <v>7.7816504105529719E-2</v>
      </c>
      <c r="AY51" s="101">
        <f t="shared" si="14"/>
        <v>0.13243446799828884</v>
      </c>
      <c r="AZ51" s="101">
        <f t="shared" si="14"/>
        <v>7.9550443311119864E-2</v>
      </c>
      <c r="BA51" s="101">
        <f t="shared" si="14"/>
        <v>0.40661174206917422</v>
      </c>
      <c r="BB51" s="101">
        <f t="shared" si="14"/>
        <v>3.2903407358520279E-2</v>
      </c>
      <c r="BC51" s="101">
        <f t="shared" si="14"/>
        <v>8.0284203751404964E-2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5">C47/C46</f>
        <v>0.49197179088008425</v>
      </c>
      <c r="D52" s="101">
        <f t="shared" si="15"/>
        <v>0.63018727521528306</v>
      </c>
      <c r="E52" s="101">
        <f t="shared" si="15"/>
        <v>-0.74739784814817245</v>
      </c>
      <c r="F52" s="101">
        <f t="shared" si="15"/>
        <v>0.4023076014497311</v>
      </c>
      <c r="G52" s="101">
        <f t="shared" si="15"/>
        <v>0.54938848839280763</v>
      </c>
      <c r="H52" s="101">
        <f t="shared" si="15"/>
        <v>0.23462599677656087</v>
      </c>
      <c r="I52" s="101">
        <f t="shared" si="15"/>
        <v>0.62294098853125901</v>
      </c>
      <c r="J52" s="101">
        <f t="shared" si="15"/>
        <v>0.25998170048007468</v>
      </c>
      <c r="K52" s="101">
        <f t="shared" si="15"/>
        <v>-2.5640004782931429</v>
      </c>
      <c r="L52" s="101">
        <f t="shared" si="15"/>
        <v>0.56799510032226852</v>
      </c>
      <c r="M52" s="101">
        <f>M47/M46</f>
        <v>0.62751244172955256</v>
      </c>
      <c r="N52" s="101">
        <f t="shared" si="15"/>
        <v>0.44423018138153758</v>
      </c>
      <c r="O52" s="101">
        <f t="shared" si="15"/>
        <v>0.52760128513783289</v>
      </c>
      <c r="P52" s="101">
        <f t="shared" si="15"/>
        <v>0.53393795049416726</v>
      </c>
      <c r="Q52" s="101">
        <f t="shared" si="15"/>
        <v>0.66266571548606157</v>
      </c>
      <c r="R52" s="101">
        <f t="shared" si="15"/>
        <v>0.66068786607424879</v>
      </c>
      <c r="S52" s="101">
        <f t="shared" si="15"/>
        <v>0.76935046126142492</v>
      </c>
      <c r="T52" s="101">
        <f t="shared" si="15"/>
        <v>0.60494456029634303</v>
      </c>
      <c r="U52" s="101">
        <f t="shared" si="15"/>
        <v>6.7674962752266213E-2</v>
      </c>
      <c r="V52" s="101">
        <f t="shared" si="15"/>
        <v>-0.41761689540506586</v>
      </c>
      <c r="W52" s="101">
        <f t="shared" si="15"/>
        <v>6.6803643146609044</v>
      </c>
      <c r="X52" s="101">
        <f t="shared" si="15"/>
        <v>0.59286384682089177</v>
      </c>
      <c r="Y52" s="101">
        <f t="shared" si="15"/>
        <v>0.44408056338823748</v>
      </c>
      <c r="Z52" s="101">
        <f t="shared" si="15"/>
        <v>0.54340493470283435</v>
      </c>
      <c r="AA52" s="101">
        <f t="shared" si="15"/>
        <v>0.43509910392569101</v>
      </c>
      <c r="AB52" s="101">
        <f t="shared" si="15"/>
        <v>0.67036653703126092</v>
      </c>
      <c r="AC52" s="101">
        <f t="shared" si="15"/>
        <v>0.20166352938602944</v>
      </c>
      <c r="AD52" s="101">
        <f t="shared" si="15"/>
        <v>0.19294926834656376</v>
      </c>
      <c r="AE52" s="101">
        <f t="shared" si="15"/>
        <v>0.34518431018603596</v>
      </c>
      <c r="AF52" s="101">
        <f t="shared" si="15"/>
        <v>0.6588098654611535</v>
      </c>
      <c r="AG52" s="101">
        <f t="shared" si="15"/>
        <v>0.67140620584107114</v>
      </c>
      <c r="AH52" s="101">
        <f t="shared" si="15"/>
        <v>0.31418368359657334</v>
      </c>
      <c r="AI52" s="101">
        <f t="shared" si="15"/>
        <v>0.43290352211511141</v>
      </c>
      <c r="AJ52" s="101">
        <f t="shared" si="15"/>
        <v>0.56705525027246373</v>
      </c>
      <c r="AK52" s="101">
        <f t="shared" si="15"/>
        <v>0.44971261824756625</v>
      </c>
      <c r="AL52" s="101">
        <f t="shared" si="15"/>
        <v>0.45762623584434542</v>
      </c>
      <c r="AM52" s="101">
        <f t="shared" si="15"/>
        <v>0.21742090923914997</v>
      </c>
      <c r="AN52" s="101">
        <f t="shared" si="15"/>
        <v>0.51883685220469788</v>
      </c>
      <c r="AO52" s="101">
        <f t="shared" si="15"/>
        <v>0.74450014623551231</v>
      </c>
      <c r="AP52" s="101">
        <f t="shared" si="15"/>
        <v>0.62849463486096102</v>
      </c>
      <c r="AQ52" s="101">
        <f t="shared" si="15"/>
        <v>0.6142134985999792</v>
      </c>
      <c r="AR52" s="101">
        <f t="shared" si="15"/>
        <v>0.60086474841097826</v>
      </c>
      <c r="AS52" s="101">
        <f t="shared" si="15"/>
        <v>0.47356272193499349</v>
      </c>
      <c r="AT52" s="101">
        <f t="shared" si="15"/>
        <v>0.7401114751649599</v>
      </c>
      <c r="AU52" s="101">
        <f t="shared" si="15"/>
        <v>0.5071197555816821</v>
      </c>
      <c r="AV52" s="101">
        <f t="shared" si="15"/>
        <v>0.37802783973981469</v>
      </c>
      <c r="AW52" s="101">
        <f t="shared" si="15"/>
        <v>0.55333920457140506</v>
      </c>
      <c r="AX52" s="101">
        <f t="shared" si="15"/>
        <v>0.47709612716166933</v>
      </c>
      <c r="AY52" s="101">
        <f t="shared" si="15"/>
        <v>0.64019307859760999</v>
      </c>
      <c r="AZ52" s="101">
        <f t="shared" si="15"/>
        <v>0.33205156001735331</v>
      </c>
      <c r="BA52" s="101">
        <f t="shared" si="15"/>
        <v>0.63330487808761415</v>
      </c>
      <c r="BB52" s="101">
        <f t="shared" si="15"/>
        <v>0.30298819450983272</v>
      </c>
      <c r="BC52" s="101">
        <f t="shared" si="15"/>
        <v>0.40648799885186038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4.4499473054768437</v>
      </c>
      <c r="D53" s="106">
        <f t="shared" ref="D53:BC53" si="16">D45/D46</f>
        <v>4.9924904899977465</v>
      </c>
      <c r="E53" s="106">
        <f t="shared" si="16"/>
        <v>12.335840085462936</v>
      </c>
      <c r="F53" s="106">
        <f t="shared" si="16"/>
        <v>4.2624733752912407</v>
      </c>
      <c r="G53" s="106">
        <f t="shared" si="16"/>
        <v>2.896397834362336</v>
      </c>
      <c r="H53" s="106">
        <f t="shared" si="16"/>
        <v>7.7058056199306861</v>
      </c>
      <c r="I53" s="106">
        <f t="shared" si="16"/>
        <v>4.4660932253982537</v>
      </c>
      <c r="J53" s="106">
        <f t="shared" si="16"/>
        <v>6.1152475195145382</v>
      </c>
      <c r="K53" s="106">
        <f t="shared" si="16"/>
        <v>30.829527159113638</v>
      </c>
      <c r="L53" s="106">
        <f t="shared" si="16"/>
        <v>4.6761500965787581</v>
      </c>
      <c r="M53" s="106">
        <f>M45/M46</f>
        <v>5.1640806710071177</v>
      </c>
      <c r="N53" s="106">
        <f t="shared" si="16"/>
        <v>2.9352709390286766</v>
      </c>
      <c r="O53" s="106">
        <f t="shared" si="16"/>
        <v>3.0425211363823763</v>
      </c>
      <c r="P53" s="106">
        <f t="shared" si="16"/>
        <v>3.758701810515868</v>
      </c>
      <c r="Q53" s="106">
        <f t="shared" si="16"/>
        <v>3.8227498336032073</v>
      </c>
      <c r="R53" s="106">
        <f t="shared" si="16"/>
        <v>5.0846755403544242</v>
      </c>
      <c r="S53" s="106">
        <f t="shared" si="16"/>
        <v>2.7114801643946427</v>
      </c>
      <c r="T53" s="106">
        <f t="shared" si="16"/>
        <v>1.4886564378601574</v>
      </c>
      <c r="U53" s="106">
        <f t="shared" si="16"/>
        <v>7.5516280928690325</v>
      </c>
      <c r="V53" s="106">
        <f t="shared" si="16"/>
        <v>15.73173599503196</v>
      </c>
      <c r="W53" s="106">
        <f t="shared" si="16"/>
        <v>-48.219929512876192</v>
      </c>
      <c r="X53" s="106">
        <f t="shared" si="16"/>
        <v>5.0006802091508815</v>
      </c>
      <c r="Y53" s="106">
        <f t="shared" si="16"/>
        <v>6.8428773787484847</v>
      </c>
      <c r="Z53" s="106">
        <f t="shared" si="16"/>
        <v>4.3888663722115506</v>
      </c>
      <c r="AA53" s="106">
        <f t="shared" si="16"/>
        <v>6.888651109912324</v>
      </c>
      <c r="AB53" s="106">
        <f t="shared" si="16"/>
        <v>2.2384645513093124</v>
      </c>
      <c r="AC53" s="106">
        <f t="shared" si="16"/>
        <v>6.5397813419596869</v>
      </c>
      <c r="AD53" s="106">
        <f t="shared" si="16"/>
        <v>4.0035793513047278</v>
      </c>
      <c r="AE53" s="106">
        <f t="shared" si="16"/>
        <v>4.2981756850208193</v>
      </c>
      <c r="AF53" s="106">
        <f t="shared" si="16"/>
        <v>4.1421869885724352</v>
      </c>
      <c r="AG53" s="106">
        <f t="shared" si="16"/>
        <v>1.9733522268919677</v>
      </c>
      <c r="AH53" s="106">
        <f t="shared" si="16"/>
        <v>4.8180849016839771</v>
      </c>
      <c r="AI53" s="106">
        <f t="shared" si="16"/>
        <v>2.6237313319457622</v>
      </c>
      <c r="AJ53" s="106">
        <f t="shared" si="16"/>
        <v>5.5950972046135714</v>
      </c>
      <c r="AK53" s="106">
        <f t="shared" si="16"/>
        <v>4.0821516006385572</v>
      </c>
      <c r="AL53" s="106">
        <f t="shared" si="16"/>
        <v>3.801489340778224</v>
      </c>
      <c r="AM53" s="106">
        <f t="shared" si="16"/>
        <v>6.2638382453264025</v>
      </c>
      <c r="AN53" s="106">
        <f t="shared" si="16"/>
        <v>2.6930228956545283</v>
      </c>
      <c r="AO53" s="106">
        <f t="shared" si="16"/>
        <v>1.6806648432897335</v>
      </c>
      <c r="AP53" s="106">
        <f t="shared" si="16"/>
        <v>3.9756498202357036</v>
      </c>
      <c r="AQ53" s="106">
        <f t="shared" si="16"/>
        <v>3.2018182082601472</v>
      </c>
      <c r="AR53" s="106">
        <f t="shared" si="16"/>
        <v>3.8843706556528903</v>
      </c>
      <c r="AS53" s="106">
        <f t="shared" si="16"/>
        <v>3.8746520352478457</v>
      </c>
      <c r="AT53" s="106">
        <f t="shared" si="16"/>
        <v>4.1732291527841099</v>
      </c>
      <c r="AU53" s="106">
        <f t="shared" si="16"/>
        <v>3.3265856357206371</v>
      </c>
      <c r="AV53" s="106">
        <f t="shared" si="16"/>
        <v>8.9832638226762054</v>
      </c>
      <c r="AW53" s="106">
        <f t="shared" si="16"/>
        <v>3.9154199414864594</v>
      </c>
      <c r="AX53" s="106">
        <f t="shared" si="16"/>
        <v>6.6539442304810024</v>
      </c>
      <c r="AY53" s="106">
        <f t="shared" si="16"/>
        <v>5.1938436210165859</v>
      </c>
      <c r="AZ53" s="106">
        <f t="shared" si="16"/>
        <v>4.8420491262441638</v>
      </c>
      <c r="BA53" s="106">
        <f t="shared" si="16"/>
        <v>1.9242125582383494</v>
      </c>
      <c r="BB53" s="106">
        <f t="shared" si="16"/>
        <v>9.905425730784577</v>
      </c>
      <c r="BC53" s="106">
        <f t="shared" si="16"/>
        <v>5.6566250403024565</v>
      </c>
      <c r="BE53" s="123"/>
    </row>
    <row r="54" spans="1:57" s="112" customFormat="1" ht="13" x14ac:dyDescent="0.3">
      <c r="A54" s="112" t="s">
        <v>54</v>
      </c>
      <c r="C54" s="111">
        <f t="shared" ref="C54:BC54" si="17">C48/C4</f>
        <v>0.79764945955161881</v>
      </c>
      <c r="D54" s="112">
        <f t="shared" si="17"/>
        <v>0.82214879782247086</v>
      </c>
      <c r="E54" s="112">
        <f t="shared" si="17"/>
        <v>0.91370712477816896</v>
      </c>
      <c r="F54" s="112">
        <f t="shared" si="17"/>
        <v>0.78562766290934294</v>
      </c>
      <c r="G54" s="112">
        <f t="shared" si="17"/>
        <v>0.70979047847620713</v>
      </c>
      <c r="H54" s="112">
        <f t="shared" si="17"/>
        <v>0.87406226156574074</v>
      </c>
      <c r="I54" s="112">
        <f t="shared" si="17"/>
        <v>0.80349906132231586</v>
      </c>
      <c r="J54" s="112">
        <f t="shared" si="17"/>
        <v>0.84314289486820282</v>
      </c>
      <c r="K54" s="112">
        <f t="shared" si="17"/>
        <v>0.96462121469406237</v>
      </c>
      <c r="L54" s="112">
        <f t="shared" si="17"/>
        <v>0.80931115320930858</v>
      </c>
      <c r="M54" s="112">
        <f t="shared" si="17"/>
        <v>0.82733593666985428</v>
      </c>
      <c r="N54" s="112">
        <f t="shared" si="17"/>
        <v>0.70409833748520345</v>
      </c>
      <c r="O54" s="112">
        <f t="shared" si="17"/>
        <v>0.71989756038276531</v>
      </c>
      <c r="P54" s="112">
        <f t="shared" si="17"/>
        <v>0.76704311200697972</v>
      </c>
      <c r="Q54" s="112">
        <f t="shared" si="17"/>
        <v>0.77705521616541351</v>
      </c>
      <c r="R54" s="112">
        <f t="shared" si="17"/>
        <v>0.8259466061135371</v>
      </c>
      <c r="S54" s="112">
        <f t="shared" si="17"/>
        <v>0.71271224959085167</v>
      </c>
      <c r="T54" s="112">
        <f t="shared" si="17"/>
        <v>0.52235406800028272</v>
      </c>
      <c r="U54" s="112">
        <f t="shared" si="17"/>
        <v>0.86875440014658178</v>
      </c>
      <c r="V54" s="112">
        <f t="shared" si="17"/>
        <v>0.93470078210216068</v>
      </c>
      <c r="W54" s="112">
        <f t="shared" si="17"/>
        <v>1.024073434452871</v>
      </c>
      <c r="X54" s="112">
        <f t="shared" si="17"/>
        <v>0.82122246826099798</v>
      </c>
      <c r="Y54" s="112">
        <f t="shared" si="17"/>
        <v>0.86276852316965968</v>
      </c>
      <c r="Z54" s="112">
        <f t="shared" si="17"/>
        <v>0.7972536509501954</v>
      </c>
      <c r="AA54" s="112">
        <f t="shared" si="17"/>
        <v>0.86345793196079668</v>
      </c>
      <c r="AB54" s="112">
        <f t="shared" si="17"/>
        <v>0.65621929578232097</v>
      </c>
      <c r="AC54" s="112">
        <f t="shared" si="17"/>
        <v>0.85166384668508288</v>
      </c>
      <c r="AD54" s="112">
        <f t="shared" si="17"/>
        <v>0.76170780885009315</v>
      </c>
      <c r="AE54" s="112">
        <f t="shared" si="17"/>
        <v>0.78463870967741944</v>
      </c>
      <c r="AF54" s="112">
        <f t="shared" si="17"/>
        <v>0.79170992391718742</v>
      </c>
      <c r="AG54" s="112">
        <f t="shared" si="17"/>
        <v>0.62189363398054442</v>
      </c>
      <c r="AH54" s="112">
        <f t="shared" si="17"/>
        <v>0.8051543906201597</v>
      </c>
      <c r="AI54" s="112">
        <f t="shared" si="17"/>
        <v>0.67284283280632751</v>
      </c>
      <c r="AJ54" s="112">
        <f t="shared" si="17"/>
        <v>0.83771904260384056</v>
      </c>
      <c r="AK54" s="112">
        <f t="shared" si="17"/>
        <v>0.77934025564301046</v>
      </c>
      <c r="AL54" s="112">
        <f t="shared" si="17"/>
        <v>0.76520947083737312</v>
      </c>
      <c r="AM54" s="112">
        <f t="shared" si="17"/>
        <v>0.84570899324468818</v>
      </c>
      <c r="AN54" s="112">
        <f t="shared" si="17"/>
        <v>0.68865390194371923</v>
      </c>
      <c r="AO54" s="112">
        <f t="shared" si="17"/>
        <v>0.5876569205315133</v>
      </c>
      <c r="AP54" s="112">
        <f t="shared" si="17"/>
        <v>0.78280438206211655</v>
      </c>
      <c r="AQ54" s="112">
        <f t="shared" si="17"/>
        <v>0.73794767003578932</v>
      </c>
      <c r="AR54" s="112">
        <f t="shared" si="17"/>
        <v>0.77704626180959302</v>
      </c>
      <c r="AS54" s="112">
        <f t="shared" si="17"/>
        <v>0.77002055881713416</v>
      </c>
      <c r="AT54" s="112">
        <f t="shared" si="17"/>
        <v>0.79647248670047521</v>
      </c>
      <c r="AU54" s="112">
        <f t="shared" si="17"/>
        <v>0.73915575196029926</v>
      </c>
      <c r="AV54" s="112">
        <f t="shared" si="17"/>
        <v>0.89317713451714909</v>
      </c>
      <c r="AW54" s="112">
        <f t="shared" si="17"/>
        <v>0.77622423421898801</v>
      </c>
      <c r="AX54" s="112">
        <f t="shared" si="17"/>
        <v>0.85976800721254465</v>
      </c>
      <c r="AY54" s="112">
        <f t="shared" si="17"/>
        <v>0.82859209643536702</v>
      </c>
      <c r="AZ54" s="112">
        <f t="shared" si="17"/>
        <v>0.80672969842754694</v>
      </c>
      <c r="BA54" s="112">
        <f t="shared" si="17"/>
        <v>0.60899582313833078</v>
      </c>
      <c r="BB54" s="112">
        <f t="shared" si="17"/>
        <v>0.902041589681018</v>
      </c>
      <c r="BC54" s="112">
        <f t="shared" si="17"/>
        <v>0.83506822426990734</v>
      </c>
      <c r="BE54" s="123"/>
    </row>
    <row r="55" spans="1:57" s="112" customFormat="1" ht="13" x14ac:dyDescent="0.3">
      <c r="A55" s="112" t="s">
        <v>55</v>
      </c>
      <c r="C55" s="111">
        <f t="shared" ref="C55:BC55" si="18">C44/C4</f>
        <v>0.1027997826784382</v>
      </c>
      <c r="D55" s="112">
        <f t="shared" si="18"/>
        <v>6.5771637683509687E-2</v>
      </c>
      <c r="E55" s="112">
        <f t="shared" si="18"/>
        <v>0.15078798447314645</v>
      </c>
      <c r="F55" s="112">
        <f t="shared" si="18"/>
        <v>0.12812871633854159</v>
      </c>
      <c r="G55" s="112">
        <f t="shared" si="18"/>
        <v>0.13077175117663636</v>
      </c>
      <c r="H55" s="112">
        <f t="shared" si="18"/>
        <v>9.6389471022335499E-2</v>
      </c>
      <c r="I55" s="112">
        <f t="shared" si="18"/>
        <v>7.4092449690487339E-2</v>
      </c>
      <c r="J55" s="112">
        <f t="shared" si="18"/>
        <v>0.11607712820725069</v>
      </c>
      <c r="K55" s="112">
        <f t="shared" si="18"/>
        <v>0.12609000775179208</v>
      </c>
      <c r="L55" s="112">
        <f t="shared" si="18"/>
        <v>8.2378516127475002E-2</v>
      </c>
      <c r="M55" s="112">
        <f t="shared" si="18"/>
        <v>6.4315215350899888E-2</v>
      </c>
      <c r="N55" s="112">
        <f t="shared" si="18"/>
        <v>0.16445321330475002</v>
      </c>
      <c r="O55" s="112">
        <f t="shared" si="18"/>
        <v>0.1323200325049394</v>
      </c>
      <c r="P55" s="112">
        <f t="shared" si="18"/>
        <v>0.10857236466452766</v>
      </c>
      <c r="Q55" s="112">
        <f t="shared" si="18"/>
        <v>7.5206919140954842E-2</v>
      </c>
      <c r="R55" s="112">
        <f t="shared" si="18"/>
        <v>5.9058428496635035E-2</v>
      </c>
      <c r="S55" s="112">
        <f t="shared" si="18"/>
        <v>6.6262787117113003E-2</v>
      </c>
      <c r="T55" s="112">
        <f t="shared" si="18"/>
        <v>0.18869662368881138</v>
      </c>
      <c r="U55" s="112">
        <f t="shared" si="18"/>
        <v>0.12236355877193929</v>
      </c>
      <c r="V55" s="112">
        <f t="shared" si="18"/>
        <v>9.2569274548713928E-2</v>
      </c>
      <c r="W55" s="112">
        <f t="shared" si="18"/>
        <v>0.13674587799741719</v>
      </c>
      <c r="X55" s="112">
        <f t="shared" si="18"/>
        <v>7.2786796547073151E-2</v>
      </c>
      <c r="Y55" s="112">
        <f t="shared" si="18"/>
        <v>7.6289645284922949E-2</v>
      </c>
      <c r="Z55" s="112">
        <f t="shared" si="18"/>
        <v>9.257298248315747E-2</v>
      </c>
      <c r="AA55" s="112">
        <f t="shared" si="18"/>
        <v>7.7132736587185183E-2</v>
      </c>
      <c r="AB55" s="112">
        <f t="shared" si="18"/>
        <v>0.11332162403310535</v>
      </c>
      <c r="AC55" s="112">
        <f t="shared" si="18"/>
        <v>0.11842216110188383</v>
      </c>
      <c r="AD55" s="112">
        <f t="shared" si="18"/>
        <v>0.19231388721483272</v>
      </c>
      <c r="AE55" s="112">
        <f t="shared" si="18"/>
        <v>0.14102195188180594</v>
      </c>
      <c r="AF55" s="112">
        <f t="shared" si="18"/>
        <v>7.1066519081801366E-2</v>
      </c>
      <c r="AG55" s="112">
        <f t="shared" si="18"/>
        <v>0.12424340540597759</v>
      </c>
      <c r="AH55" s="112">
        <f t="shared" si="18"/>
        <v>0.13362829809226306</v>
      </c>
      <c r="AI55" s="112">
        <f t="shared" si="18"/>
        <v>0.18552967723032932</v>
      </c>
      <c r="AJ55" s="112">
        <f t="shared" si="18"/>
        <v>7.0258688485425214E-2</v>
      </c>
      <c r="AK55" s="112">
        <f t="shared" si="18"/>
        <v>0.12142627298036909</v>
      </c>
      <c r="AL55" s="112">
        <f t="shared" si="18"/>
        <v>0.12734422309003193</v>
      </c>
      <c r="AM55" s="112">
        <f t="shared" si="18"/>
        <v>0.12074491577914814</v>
      </c>
      <c r="AN55" s="112">
        <f t="shared" si="18"/>
        <v>0.14980826859454488</v>
      </c>
      <c r="AO55" s="112">
        <f t="shared" si="18"/>
        <v>0.10535359650499689</v>
      </c>
      <c r="AP55" s="112">
        <f t="shared" si="18"/>
        <v>8.0689337348612653E-2</v>
      </c>
      <c r="AQ55" s="112">
        <f t="shared" si="18"/>
        <v>0.10109625156061669</v>
      </c>
      <c r="AR55" s="112">
        <f t="shared" si="18"/>
        <v>8.8988696385340987E-2</v>
      </c>
      <c r="AS55" s="112">
        <f t="shared" si="18"/>
        <v>0.12106975102721912</v>
      </c>
      <c r="AT55" s="112">
        <f t="shared" si="18"/>
        <v>5.2894465194757573E-2</v>
      </c>
      <c r="AU55" s="112">
        <f t="shared" si="18"/>
        <v>0.12856497672891998</v>
      </c>
      <c r="AV55" s="112">
        <f t="shared" si="18"/>
        <v>6.6440848409552E-2</v>
      </c>
      <c r="AW55" s="112">
        <f t="shared" si="18"/>
        <v>9.9951861541389811E-2</v>
      </c>
      <c r="AX55" s="112">
        <f t="shared" si="18"/>
        <v>7.3327852124397269E-2</v>
      </c>
      <c r="AY55" s="112">
        <f t="shared" si="18"/>
        <v>6.1673750085628289E-2</v>
      </c>
      <c r="AZ55" s="112">
        <f t="shared" si="18"/>
        <v>0.12909459643029572</v>
      </c>
      <c r="BA55" s="112">
        <f t="shared" si="18"/>
        <v>0.14337932430254194</v>
      </c>
      <c r="BB55" s="112">
        <f t="shared" si="18"/>
        <v>6.8278168439380366E-2</v>
      </c>
      <c r="BC55" s="112">
        <f t="shared" si="18"/>
        <v>9.7888988266483443E-2</v>
      </c>
      <c r="BE55" s="123"/>
    </row>
    <row r="56" spans="1:57" s="112" customFormat="1" ht="13" x14ac:dyDescent="0.3">
      <c r="A56" s="112" t="s">
        <v>56</v>
      </c>
      <c r="C56" s="111">
        <f t="shared" ref="C56:BC56" si="19">C45/C4</f>
        <v>0.90044924223005696</v>
      </c>
      <c r="D56" s="112">
        <f t="shared" si="19"/>
        <v>0.88792043550598054</v>
      </c>
      <c r="E56" s="112">
        <f t="shared" si="19"/>
        <v>1.0644951092513153</v>
      </c>
      <c r="F56" s="112">
        <f t="shared" si="19"/>
        <v>0.91375637924788455</v>
      </c>
      <c r="G56" s="112">
        <f t="shared" si="19"/>
        <v>0.84056222965284344</v>
      </c>
      <c r="H56" s="112">
        <f t="shared" si="19"/>
        <v>0.97045173258807615</v>
      </c>
      <c r="I56" s="112">
        <f t="shared" si="19"/>
        <v>0.87759151101280308</v>
      </c>
      <c r="J56" s="112">
        <f t="shared" si="19"/>
        <v>0.95922002307545351</v>
      </c>
      <c r="K56" s="112">
        <f t="shared" si="19"/>
        <v>1.0907112224458544</v>
      </c>
      <c r="L56" s="112">
        <f t="shared" si="19"/>
        <v>0.89168966933678351</v>
      </c>
      <c r="M56" s="112">
        <f t="shared" si="19"/>
        <v>0.89165115202075418</v>
      </c>
      <c r="N56" s="112">
        <f t="shared" si="19"/>
        <v>0.86855155078995339</v>
      </c>
      <c r="O56" s="112">
        <f t="shared" si="19"/>
        <v>0.85221759288770471</v>
      </c>
      <c r="P56" s="112">
        <f t="shared" si="19"/>
        <v>0.87561547667150752</v>
      </c>
      <c r="Q56" s="112">
        <f t="shared" si="19"/>
        <v>0.85226213530636841</v>
      </c>
      <c r="R56" s="112">
        <f t="shared" si="19"/>
        <v>0.8850050346101721</v>
      </c>
      <c r="S56" s="112">
        <f t="shared" si="19"/>
        <v>0.77897503670796464</v>
      </c>
      <c r="T56" s="112">
        <f t="shared" si="19"/>
        <v>0.71105069168909407</v>
      </c>
      <c r="U56" s="112">
        <f t="shared" si="19"/>
        <v>0.99111795891852106</v>
      </c>
      <c r="V56" s="112">
        <f t="shared" si="19"/>
        <v>1.0272700566508746</v>
      </c>
      <c r="W56" s="112">
        <f t="shared" si="19"/>
        <v>1.1608193124502884</v>
      </c>
      <c r="X56" s="112">
        <f t="shared" si="19"/>
        <v>0.89400926480807119</v>
      </c>
      <c r="Y56" s="112">
        <f t="shared" si="19"/>
        <v>0.93905816845458256</v>
      </c>
      <c r="Z56" s="112">
        <f t="shared" si="19"/>
        <v>0.88982663343335289</v>
      </c>
      <c r="AA56" s="112">
        <f t="shared" si="19"/>
        <v>0.9405906685479819</v>
      </c>
      <c r="AB56" s="112">
        <f t="shared" si="19"/>
        <v>0.76954091981542627</v>
      </c>
      <c r="AC56" s="112">
        <f t="shared" si="19"/>
        <v>0.97008600778696663</v>
      </c>
      <c r="AD56" s="112">
        <f t="shared" si="19"/>
        <v>0.95402169606492593</v>
      </c>
      <c r="AE56" s="112">
        <f t="shared" si="19"/>
        <v>0.92566066155922544</v>
      </c>
      <c r="AF56" s="112">
        <f t="shared" si="19"/>
        <v>0.86277644299898881</v>
      </c>
      <c r="AG56" s="112">
        <f t="shared" si="19"/>
        <v>0.74613703938652198</v>
      </c>
      <c r="AH56" s="112">
        <f t="shared" si="19"/>
        <v>0.93878268871242276</v>
      </c>
      <c r="AI56" s="112">
        <f t="shared" si="19"/>
        <v>0.85837251003665682</v>
      </c>
      <c r="AJ56" s="112">
        <f t="shared" si="19"/>
        <v>0.90797773108926583</v>
      </c>
      <c r="AK56" s="112">
        <f t="shared" si="19"/>
        <v>0.90076652862337958</v>
      </c>
      <c r="AL56" s="112">
        <f t="shared" si="19"/>
        <v>0.89255369392740502</v>
      </c>
      <c r="AM56" s="112">
        <f t="shared" si="19"/>
        <v>0.96645390902383632</v>
      </c>
      <c r="AN56" s="112">
        <f t="shared" si="19"/>
        <v>0.838462170538264</v>
      </c>
      <c r="AO56" s="112">
        <f t="shared" si="19"/>
        <v>0.69301051703651018</v>
      </c>
      <c r="AP56" s="112">
        <f t="shared" si="19"/>
        <v>0.86349371941072905</v>
      </c>
      <c r="AQ56" s="112">
        <f t="shared" si="19"/>
        <v>0.83904392159640595</v>
      </c>
      <c r="AR56" s="112">
        <f t="shared" si="19"/>
        <v>0.86603495819493403</v>
      </c>
      <c r="AS56" s="112">
        <f t="shared" si="19"/>
        <v>0.89109030984435333</v>
      </c>
      <c r="AT56" s="112">
        <f t="shared" si="19"/>
        <v>0.8493669518952327</v>
      </c>
      <c r="AU56" s="112">
        <f t="shared" si="19"/>
        <v>0.86772072868921934</v>
      </c>
      <c r="AV56" s="112">
        <f t="shared" si="19"/>
        <v>0.95961798292670109</v>
      </c>
      <c r="AW56" s="112">
        <f t="shared" si="19"/>
        <v>0.8761760957603778</v>
      </c>
      <c r="AX56" s="112">
        <f t="shared" si="19"/>
        <v>0.93309585933694195</v>
      </c>
      <c r="AY56" s="112">
        <f t="shared" si="19"/>
        <v>0.89026584652099539</v>
      </c>
      <c r="AZ56" s="112">
        <f t="shared" si="19"/>
        <v>0.93582429485784258</v>
      </c>
      <c r="BA56" s="112">
        <f t="shared" si="19"/>
        <v>0.75237514744087264</v>
      </c>
      <c r="BB56" s="112">
        <f t="shared" si="19"/>
        <v>0.97031975812039828</v>
      </c>
      <c r="BC56" s="112">
        <f t="shared" si="19"/>
        <v>0.93295721253639086</v>
      </c>
      <c r="BE56" s="123"/>
    </row>
    <row r="57" spans="1:57" s="112" customFormat="1" ht="13" x14ac:dyDescent="0.3">
      <c r="A57" s="112" t="s">
        <v>57</v>
      </c>
      <c r="C57" s="111">
        <f t="shared" ref="C57:BC57" si="20">SUM(C30:C39)/C44</f>
        <v>0.47792727660024303</v>
      </c>
      <c r="D57" s="112">
        <f t="shared" si="20"/>
        <v>0.78597246036383284</v>
      </c>
      <c r="E57" s="112">
        <f t="shared" si="20"/>
        <v>0.42074728415095231</v>
      </c>
      <c r="F57" s="112">
        <f t="shared" si="20"/>
        <v>0.32038728913265979</v>
      </c>
      <c r="G57" s="112">
        <f t="shared" si="20"/>
        <v>0.42597703865070102</v>
      </c>
      <c r="H57" s="112">
        <f t="shared" si="20"/>
        <v>0.52515982878603062</v>
      </c>
      <c r="I57" s="112">
        <f t="shared" si="20"/>
        <v>0.72782296925457501</v>
      </c>
      <c r="J57" s="112">
        <f t="shared" si="20"/>
        <v>0.46394187773538087</v>
      </c>
      <c r="K57" s="112">
        <f t="shared" si="20"/>
        <v>0.58629135207435901</v>
      </c>
      <c r="L57" s="112">
        <f t="shared" si="20"/>
        <v>0.51694485205053264</v>
      </c>
      <c r="M57" s="112">
        <f t="shared" si="20"/>
        <v>0.69847272154282036</v>
      </c>
      <c r="N57" s="112">
        <f t="shared" si="20"/>
        <v>0.263405097547116</v>
      </c>
      <c r="O57" s="112">
        <f t="shared" si="20"/>
        <v>0.3641624830134913</v>
      </c>
      <c r="P57" s="112">
        <f t="shared" si="20"/>
        <v>0.39299687572912945</v>
      </c>
      <c r="Q57" s="112">
        <f t="shared" si="20"/>
        <v>0.70888036917323582</v>
      </c>
      <c r="R57" s="112">
        <f t="shared" si="20"/>
        <v>0.72131695000824814</v>
      </c>
      <c r="S57" s="112">
        <f t="shared" si="20"/>
        <v>0.64816694407529873</v>
      </c>
      <c r="T57" s="112">
        <f t="shared" si="20"/>
        <v>0.44683027670053882</v>
      </c>
      <c r="U57" s="112">
        <f t="shared" si="20"/>
        <v>0.41899294887087346</v>
      </c>
      <c r="V57" s="112">
        <f t="shared" si="20"/>
        <v>0.56079914578682821</v>
      </c>
      <c r="W57" s="112">
        <f t="shared" si="20"/>
        <v>0.36727747169338759</v>
      </c>
      <c r="X57" s="112">
        <f t="shared" si="20"/>
        <v>0.7182396045193703</v>
      </c>
      <c r="Y57" s="112">
        <f t="shared" si="20"/>
        <v>0.79887602757465004</v>
      </c>
      <c r="Z57" s="112">
        <f t="shared" si="20"/>
        <v>0.46696263870953364</v>
      </c>
      <c r="AA57" s="112">
        <f t="shared" si="20"/>
        <v>0.71547781234816943</v>
      </c>
      <c r="AB57" s="112">
        <f t="shared" si="20"/>
        <v>0.75766527635607084</v>
      </c>
      <c r="AC57" s="112">
        <f t="shared" si="20"/>
        <v>0.39397912678003094</v>
      </c>
      <c r="AD57" s="112">
        <f t="shared" si="20"/>
        <v>0.1817915686472793</v>
      </c>
      <c r="AE57" s="112">
        <f t="shared" si="20"/>
        <v>0.60621794692685382</v>
      </c>
      <c r="AF57" s="112">
        <f t="shared" si="20"/>
        <v>0.63423255326736205</v>
      </c>
      <c r="AG57" s="112">
        <f t="shared" si="20"/>
        <v>0.37679140876811362</v>
      </c>
      <c r="AH57" s="112">
        <f t="shared" si="20"/>
        <v>0.40668803164310857</v>
      </c>
      <c r="AI57" s="112">
        <f t="shared" si="20"/>
        <v>0.42251638041771883</v>
      </c>
      <c r="AJ57" s="112">
        <f t="shared" si="20"/>
        <v>0.53291999743276142</v>
      </c>
      <c r="AK57" s="112">
        <f t="shared" si="20"/>
        <v>0.36143532025561192</v>
      </c>
      <c r="AL57" s="112">
        <f t="shared" si="20"/>
        <v>0.4386770163296434</v>
      </c>
      <c r="AM57" s="112">
        <f t="shared" si="20"/>
        <v>0.47181419989661721</v>
      </c>
      <c r="AN57" s="112">
        <f t="shared" si="20"/>
        <v>0.41302254910957581</v>
      </c>
      <c r="AO57" s="112">
        <f t="shared" si="20"/>
        <v>0.73729703917843026</v>
      </c>
      <c r="AP57" s="112">
        <f t="shared" si="20"/>
        <v>0.54497865881236662</v>
      </c>
      <c r="AQ57" s="112">
        <f t="shared" si="20"/>
        <v>0.38963675605888215</v>
      </c>
      <c r="AR57" s="112">
        <f t="shared" si="20"/>
        <v>0.69548890847941114</v>
      </c>
      <c r="AS57" s="112">
        <f t="shared" si="20"/>
        <v>0.37032216936893009</v>
      </c>
      <c r="AT57" s="112">
        <f t="shared" si="20"/>
        <v>0.71547605736490072</v>
      </c>
      <c r="AU57" s="112">
        <f t="shared" si="20"/>
        <v>0.41778955655722189</v>
      </c>
      <c r="AV57" s="112">
        <f t="shared" si="20"/>
        <v>0.79550841477726908</v>
      </c>
      <c r="AW57" s="112">
        <f t="shared" si="20"/>
        <v>0.65759931629687662</v>
      </c>
      <c r="AX57" s="112">
        <f t="shared" si="20"/>
        <v>0.68798055159455163</v>
      </c>
      <c r="AY57" s="112">
        <f t="shared" si="20"/>
        <v>0.72460303677810756</v>
      </c>
      <c r="AZ57" s="112">
        <f t="shared" si="20"/>
        <v>0.38231369866582599</v>
      </c>
      <c r="BA57" s="112">
        <f t="shared" si="20"/>
        <v>0.42626996104707349</v>
      </c>
      <c r="BB57" s="112">
        <f t="shared" si="20"/>
        <v>0.62646493544612292</v>
      </c>
      <c r="BC57" s="112">
        <f t="shared" si="20"/>
        <v>0.43703891174370235</v>
      </c>
      <c r="BE57" s="123"/>
    </row>
    <row r="58" spans="1:57" s="112" customFormat="1" ht="13" x14ac:dyDescent="0.3">
      <c r="A58" s="112" t="s">
        <v>58</v>
      </c>
      <c r="C58" s="111">
        <f>C41/C44</f>
        <v>0.29579937487776609</v>
      </c>
      <c r="D58" s="112">
        <f t="shared" ref="D58:AM58" si="21">D41/D44</f>
        <v>7.1021768728486617E-2</v>
      </c>
      <c r="E58" s="112">
        <f t="shared" si="21"/>
        <v>0.17764918250876757</v>
      </c>
      <c r="F58" s="112">
        <f t="shared" si="21"/>
        <v>0.57488143942438796</v>
      </c>
      <c r="G58" s="112">
        <f t="shared" si="21"/>
        <v>0.25524447054274624</v>
      </c>
      <c r="H58" s="112">
        <f t="shared" si="21"/>
        <v>0.27140812951529186</v>
      </c>
      <c r="I58" s="112">
        <f>I41/I44</f>
        <v>6.5096059397207695E-2</v>
      </c>
      <c r="J58" s="112">
        <f t="shared" si="21"/>
        <v>0.2984135408879986</v>
      </c>
      <c r="K58" s="112">
        <f t="shared" si="21"/>
        <v>0.22034180834793826</v>
      </c>
      <c r="L58" s="112">
        <f t="shared" si="21"/>
        <v>0.27449500192005483</v>
      </c>
      <c r="M58" s="112">
        <f>M41/M44</f>
        <v>6.4592814066940465E-2</v>
      </c>
      <c r="N58" s="112">
        <f t="shared" si="21"/>
        <v>0.58083768872977393</v>
      </c>
      <c r="O58" s="112">
        <f t="shared" si="21"/>
        <v>0.53165863497966304</v>
      </c>
      <c r="P58" s="112">
        <f t="shared" si="21"/>
        <v>0.52944344410407873</v>
      </c>
      <c r="Q58" s="112">
        <f t="shared" si="21"/>
        <v>6.0318323498434148E-2</v>
      </c>
      <c r="R58" s="112">
        <f t="shared" si="21"/>
        <v>6.5781501325221467E-2</v>
      </c>
      <c r="S58" s="112">
        <f t="shared" si="21"/>
        <v>6.5189318381648778E-2</v>
      </c>
      <c r="T58" s="112">
        <f t="shared" si="21"/>
        <v>0.27318183992060646</v>
      </c>
      <c r="U58" s="112">
        <f t="shared" si="21"/>
        <v>0.32912231193478592</v>
      </c>
      <c r="V58" s="112">
        <f t="shared" si="21"/>
        <v>5.8084017843841054E-2</v>
      </c>
      <c r="W58" s="112">
        <f t="shared" si="21"/>
        <v>0.34145296887645293</v>
      </c>
      <c r="X58" s="112">
        <f t="shared" si="21"/>
        <v>6.2651412105188306E-2</v>
      </c>
      <c r="Y58" s="112">
        <f t="shared" si="21"/>
        <v>6.6739917113610242E-2</v>
      </c>
      <c r="Z58" s="112">
        <f t="shared" si="21"/>
        <v>0.30064653602885955</v>
      </c>
      <c r="AA58" s="112">
        <f t="shared" si="21"/>
        <v>7.0916928498418019E-2</v>
      </c>
      <c r="AB58" s="112">
        <f t="shared" si="21"/>
        <v>6.0863204182571719E-2</v>
      </c>
      <c r="AC58" s="112">
        <f t="shared" si="21"/>
        <v>0.39337173032328382</v>
      </c>
      <c r="AD58" s="112">
        <f t="shared" si="21"/>
        <v>0.49789571859432696</v>
      </c>
      <c r="AE58" s="112">
        <f t="shared" si="21"/>
        <v>5.4877315006176049E-2</v>
      </c>
      <c r="AF58" s="112">
        <f t="shared" si="21"/>
        <v>5.4037936329562761E-2</v>
      </c>
      <c r="AG58" s="112">
        <f t="shared" si="21"/>
        <v>0.40388597885565586</v>
      </c>
      <c r="AH58" s="112">
        <f t="shared" si="21"/>
        <v>0.31604797754063396</v>
      </c>
      <c r="AI58" s="112">
        <f t="shared" si="21"/>
        <v>0.28078417307659653</v>
      </c>
      <c r="AJ58" s="112">
        <f t="shared" si="21"/>
        <v>0.32771189833889841</v>
      </c>
      <c r="AK58" s="112">
        <f t="shared" si="21"/>
        <v>3.4131181882243442E-2</v>
      </c>
      <c r="AL58" s="112">
        <f t="shared" si="21"/>
        <v>0.22364383409667413</v>
      </c>
      <c r="AM58" s="112">
        <f t="shared" si="21"/>
        <v>0.32995426885451767</v>
      </c>
      <c r="AN58" s="112">
        <f>AN41/AN44</f>
        <v>0.36826458479124391</v>
      </c>
      <c r="AO58" s="112">
        <f>AO41/AO44</f>
        <v>5.969266082389503E-2</v>
      </c>
      <c r="AP58" s="112">
        <f>AP41/AP44</f>
        <v>0.35551380193742899</v>
      </c>
      <c r="AQ58" s="112">
        <f>AQ41/AQ44</f>
        <v>0.50565810860702265</v>
      </c>
      <c r="AR58" s="112">
        <f t="shared" ref="AR58:BB58" si="22">AR41/AR44</f>
        <v>5.912711224130171E-2</v>
      </c>
      <c r="AS58" s="112">
        <f t="shared" si="22"/>
        <v>0.54514110491992229</v>
      </c>
      <c r="AT58" s="112">
        <f t="shared" si="22"/>
        <v>6.7389070669075665E-2</v>
      </c>
      <c r="AU58" s="112">
        <f t="shared" si="22"/>
        <v>0.3513370155400517</v>
      </c>
      <c r="AV58" s="112">
        <f t="shared" si="22"/>
        <v>6.7857407963943114E-2</v>
      </c>
      <c r="AW58" s="112">
        <f t="shared" si="22"/>
        <v>5.884049365638528E-2</v>
      </c>
      <c r="AX58" s="112">
        <f t="shared" si="22"/>
        <v>6.103974488849926E-2</v>
      </c>
      <c r="AY58" s="112">
        <f t="shared" si="22"/>
        <v>6.1975012690743965E-2</v>
      </c>
      <c r="AZ58" s="112">
        <f t="shared" si="22"/>
        <v>0.30297560624732928</v>
      </c>
      <c r="BA58" s="112">
        <f t="shared" si="22"/>
        <v>0.18246226199113005</v>
      </c>
      <c r="BB58" s="112">
        <f t="shared" si="22"/>
        <v>5.9145705032729402E-2</v>
      </c>
      <c r="BC58" s="112">
        <f>BC41/BC44</f>
        <v>0.45213338064716574</v>
      </c>
      <c r="BE58" s="123"/>
    </row>
    <row r="59" spans="1:57" s="112" customFormat="1" ht="13" x14ac:dyDescent="0.3">
      <c r="A59" s="112" t="s">
        <v>59</v>
      </c>
      <c r="C59" s="111">
        <f>C43/C44</f>
        <v>0.11377563776086974</v>
      </c>
      <c r="D59" s="112">
        <f t="shared" ref="D59:BC59" si="23">D43/D44</f>
        <v>0</v>
      </c>
      <c r="E59" s="112">
        <f t="shared" si="23"/>
        <v>0.32509907286277384</v>
      </c>
      <c r="F59" s="112">
        <f t="shared" si="23"/>
        <v>3.7215711900475033E-2</v>
      </c>
      <c r="G59" s="112">
        <f t="shared" si="23"/>
        <v>0.20855364691445546</v>
      </c>
      <c r="H59" s="112">
        <f t="shared" si="23"/>
        <v>6.9680411537357462E-2</v>
      </c>
      <c r="I59" s="112">
        <f t="shared" si="23"/>
        <v>7.6006903160219796E-2</v>
      </c>
      <c r="J59" s="112">
        <f t="shared" si="23"/>
        <v>9.0399596943014832E-2</v>
      </c>
      <c r="K59" s="112">
        <f t="shared" si="23"/>
        <v>8.8659161476524057E-2</v>
      </c>
      <c r="L59" s="112">
        <f t="shared" si="23"/>
        <v>0.11462936748028428</v>
      </c>
      <c r="M59" s="112">
        <f>M43/M44</f>
        <v>0.10687370504682536</v>
      </c>
      <c r="N59" s="112">
        <f t="shared" si="23"/>
        <v>6.3308124094957535E-2</v>
      </c>
      <c r="O59" s="112">
        <f t="shared" si="23"/>
        <v>4.0284145798254387E-2</v>
      </c>
      <c r="P59" s="112">
        <f t="shared" si="23"/>
        <v>0</v>
      </c>
      <c r="Q59" s="112">
        <f t="shared" si="23"/>
        <v>8.851935761321153E-2</v>
      </c>
      <c r="R59" s="112">
        <f t="shared" si="23"/>
        <v>8.0447309960634511E-2</v>
      </c>
      <c r="S59" s="112">
        <f t="shared" si="23"/>
        <v>0.1553818878733651</v>
      </c>
      <c r="T59" s="112">
        <f t="shared" si="23"/>
        <v>0.15826986439813184</v>
      </c>
      <c r="U59" s="112">
        <f t="shared" si="23"/>
        <v>9.7771399198618061E-2</v>
      </c>
      <c r="V59" s="112">
        <f t="shared" si="23"/>
        <v>0.26416185344108523</v>
      </c>
      <c r="W59" s="112">
        <f t="shared" si="23"/>
        <v>0.20995679222131117</v>
      </c>
      <c r="X59" s="112">
        <f t="shared" si="23"/>
        <v>9.2957330903801177E-2</v>
      </c>
      <c r="Y59" s="112">
        <f t="shared" si="23"/>
        <v>0</v>
      </c>
      <c r="Z59" s="112">
        <f t="shared" si="23"/>
        <v>0.1495594222891766</v>
      </c>
      <c r="AA59" s="112">
        <f t="shared" si="23"/>
        <v>7.0810589126370796E-2</v>
      </c>
      <c r="AB59" s="112">
        <f t="shared" si="23"/>
        <v>5.8920510244528955E-2</v>
      </c>
      <c r="AC59" s="112">
        <f t="shared" si="23"/>
        <v>0.13613477544563921</v>
      </c>
      <c r="AD59" s="112">
        <f t="shared" si="23"/>
        <v>0.13400489459107948</v>
      </c>
      <c r="AE59" s="112">
        <f t="shared" si="23"/>
        <v>0.14381156712007204</v>
      </c>
      <c r="AF59" s="112">
        <f t="shared" si="23"/>
        <v>0.15627288589860733</v>
      </c>
      <c r="AG59" s="112">
        <f t="shared" si="23"/>
        <v>0.12401825416419594</v>
      </c>
      <c r="AH59" s="112">
        <f t="shared" si="23"/>
        <v>0.14810982171983506</v>
      </c>
      <c r="AI59" s="112">
        <f t="shared" si="23"/>
        <v>0.21517367747993543</v>
      </c>
      <c r="AJ59" s="112">
        <f t="shared" si="23"/>
        <v>3.0801830320796999E-2</v>
      </c>
      <c r="AK59" s="112">
        <f t="shared" si="23"/>
        <v>0.50892327466585208</v>
      </c>
      <c r="AL59" s="112">
        <f t="shared" si="23"/>
        <v>0.24109439320411932</v>
      </c>
      <c r="AM59" s="112">
        <f t="shared" si="23"/>
        <v>0.10835166745090373</v>
      </c>
      <c r="AN59" s="112">
        <f t="shared" si="23"/>
        <v>4.7972986231115469E-2</v>
      </c>
      <c r="AO59" s="112">
        <f t="shared" si="23"/>
        <v>8.2816236522768871E-2</v>
      </c>
      <c r="AP59" s="112">
        <f t="shared" si="23"/>
        <v>0</v>
      </c>
      <c r="AQ59" s="112">
        <f t="shared" si="23"/>
        <v>3.0405953931716093E-2</v>
      </c>
      <c r="AR59" s="112">
        <f t="shared" si="23"/>
        <v>0.12122448636526985</v>
      </c>
      <c r="AS59" s="112">
        <f t="shared" si="23"/>
        <v>1.751078262440801E-2</v>
      </c>
      <c r="AT59" s="112">
        <f t="shared" si="23"/>
        <v>2.2934013020673195E-2</v>
      </c>
      <c r="AU59" s="112">
        <f t="shared" si="23"/>
        <v>0.15743154960214176</v>
      </c>
      <c r="AV59" s="112">
        <f t="shared" si="23"/>
        <v>0</v>
      </c>
      <c r="AW59" s="112">
        <f t="shared" si="23"/>
        <v>0.16508200643393239</v>
      </c>
      <c r="AX59" s="112">
        <f t="shared" si="23"/>
        <v>8.782163728381534E-2</v>
      </c>
      <c r="AY59" s="112">
        <f t="shared" si="23"/>
        <v>8.8632261038407253E-2</v>
      </c>
      <c r="AZ59" s="112">
        <f t="shared" si="23"/>
        <v>0.16311939212386645</v>
      </c>
      <c r="BA59" s="112">
        <f t="shared" si="23"/>
        <v>0.31889564387361385</v>
      </c>
      <c r="BB59" s="112">
        <f t="shared" si="23"/>
        <v>8.0416254479126204E-2</v>
      </c>
      <c r="BC59" s="112">
        <f t="shared" si="23"/>
        <v>2.3557498158778074E-2</v>
      </c>
      <c r="BE59" s="123"/>
    </row>
    <row r="60" spans="1:57" x14ac:dyDescent="0.3">
      <c r="A60" s="124"/>
    </row>
    <row r="61" spans="1:57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</row>
    <row r="62" spans="1:57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</row>
    <row r="63" spans="1:57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B64" s="119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B65" s="119"/>
    </row>
    <row r="69" spans="1:55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B17D-DB69-4190-A9A1-4A60B9DAF86F}">
  <sheetPr codeName="Sheet25">
    <tabColor theme="8" tint="0.79998168889431442"/>
  </sheetPr>
  <dimension ref="A1:AP69"/>
  <sheetViews>
    <sheetView zoomScaleNormal="100" workbookViewId="0">
      <pane xSplit="2" ySplit="2" topLeftCell="C6" activePane="bottomRight" state="frozen"/>
      <selection activeCell="C4" sqref="C4"/>
      <selection pane="topRight" activeCell="C4" sqref="C4"/>
      <selection pane="bottomLeft" activeCell="C4" sqref="C4"/>
      <selection pane="bottomRight" activeCell="C11" sqref="C11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194</v>
      </c>
      <c r="B4" s="61"/>
      <c r="C4" s="62">
        <f>SUM(D4:AL4)</f>
        <v>2394946397</v>
      </c>
      <c r="D4" s="61">
        <v>46756400</v>
      </c>
      <c r="E4" s="60">
        <v>120223000</v>
      </c>
      <c r="F4" s="60">
        <v>58995000</v>
      </c>
      <c r="G4" s="60">
        <v>34848097</v>
      </c>
      <c r="H4" s="63">
        <v>55536000</v>
      </c>
      <c r="I4" s="61">
        <v>37326000</v>
      </c>
      <c r="J4" s="65">
        <v>37296000</v>
      </c>
      <c r="K4" s="64">
        <v>42988000</v>
      </c>
      <c r="L4" s="64">
        <v>62926000</v>
      </c>
      <c r="M4" s="64">
        <v>93032000</v>
      </c>
      <c r="N4" s="65">
        <v>97597000</v>
      </c>
      <c r="O4" s="64">
        <v>41940000</v>
      </c>
      <c r="P4" s="64">
        <v>82607000</v>
      </c>
      <c r="Q4" s="64">
        <v>54478600</v>
      </c>
      <c r="R4" s="65">
        <v>115630000</v>
      </c>
      <c r="S4" s="64">
        <v>42532000</v>
      </c>
      <c r="T4" s="64">
        <v>48810000</v>
      </c>
      <c r="U4" s="64">
        <v>178751000</v>
      </c>
      <c r="V4" s="64">
        <v>70567200</v>
      </c>
      <c r="W4" s="64">
        <v>76471000</v>
      </c>
      <c r="X4" s="64">
        <v>98774000</v>
      </c>
      <c r="Y4" s="64">
        <v>28417000</v>
      </c>
      <c r="Z4" s="64">
        <v>57129000</v>
      </c>
      <c r="AA4" s="64">
        <v>43950000</v>
      </c>
      <c r="AB4" s="64">
        <v>71262000</v>
      </c>
      <c r="AC4" s="65">
        <v>27449000</v>
      </c>
      <c r="AD4" s="64">
        <v>72624000</v>
      </c>
      <c r="AE4" s="64">
        <v>34023000</v>
      </c>
      <c r="AF4" s="64">
        <v>102997100</v>
      </c>
      <c r="AG4" s="64">
        <v>45956000</v>
      </c>
      <c r="AH4" s="64">
        <v>85675000</v>
      </c>
      <c r="AI4" s="64">
        <v>196690000</v>
      </c>
      <c r="AJ4" s="64">
        <v>43818000</v>
      </c>
      <c r="AK4" s="64">
        <v>42764000</v>
      </c>
      <c r="AL4" s="64">
        <v>44108000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146500000</v>
      </c>
      <c r="D5" s="67"/>
      <c r="E5" s="62"/>
      <c r="F5" s="67">
        <v>3000000</v>
      </c>
      <c r="G5" s="67">
        <v>9850000</v>
      </c>
      <c r="H5" s="67"/>
      <c r="I5" s="67"/>
      <c r="L5" s="68">
        <v>7000000</v>
      </c>
      <c r="M5" s="68">
        <v>6800000</v>
      </c>
      <c r="N5" s="68">
        <v>4000000</v>
      </c>
      <c r="O5" s="68">
        <v>10500000</v>
      </c>
      <c r="P5" s="68">
        <v>5700000</v>
      </c>
      <c r="Q5" s="68">
        <v>4400000</v>
      </c>
      <c r="R5" s="68">
        <v>13200000</v>
      </c>
      <c r="S5" s="68">
        <v>3500000</v>
      </c>
      <c r="V5" s="68">
        <v>3800000</v>
      </c>
      <c r="W5" s="68">
        <v>6600000</v>
      </c>
      <c r="Z5" s="68">
        <v>3300000</v>
      </c>
      <c r="AA5" s="68">
        <v>5500000</v>
      </c>
      <c r="AC5" s="86">
        <v>3200000</v>
      </c>
      <c r="AD5" s="68">
        <v>3300000</v>
      </c>
      <c r="AE5" s="68">
        <v>1750000</v>
      </c>
      <c r="AG5" s="68">
        <v>13300000</v>
      </c>
      <c r="AH5" s="68">
        <v>11800000</v>
      </c>
      <c r="AI5" s="68">
        <v>16500000</v>
      </c>
      <c r="AJ5" s="68">
        <v>5500000</v>
      </c>
      <c r="AK5" s="68">
        <v>4000000</v>
      </c>
    </row>
    <row r="6" spans="1:38" s="68" customFormat="1" ht="13" x14ac:dyDescent="0.3">
      <c r="A6" s="69" t="s">
        <v>4</v>
      </c>
      <c r="B6" s="67"/>
      <c r="C6" s="62">
        <f t="shared" si="0"/>
        <v>6400000</v>
      </c>
      <c r="E6" s="62">
        <v>2000000</v>
      </c>
      <c r="F6" s="67"/>
      <c r="G6" s="67"/>
      <c r="H6" s="67"/>
      <c r="I6" s="67"/>
      <c r="R6" s="70"/>
      <c r="V6" s="68">
        <v>1900000</v>
      </c>
      <c r="W6" s="70"/>
      <c r="AH6" s="68">
        <v>1000000</v>
      </c>
      <c r="AI6" s="70">
        <v>500000</v>
      </c>
      <c r="AJ6" s="68">
        <v>1000000</v>
      </c>
    </row>
    <row r="7" spans="1:38" s="68" customFormat="1" ht="13" x14ac:dyDescent="0.3">
      <c r="A7" s="71" t="s">
        <v>5</v>
      </c>
      <c r="B7" s="67"/>
      <c r="C7" s="62">
        <f t="shared" si="0"/>
        <v>12435000</v>
      </c>
      <c r="E7" s="62"/>
      <c r="F7" s="67"/>
      <c r="G7" s="67"/>
      <c r="H7" s="67"/>
      <c r="I7" s="67"/>
      <c r="O7" s="72">
        <v>3312000</v>
      </c>
      <c r="P7" s="72"/>
      <c r="R7" s="70"/>
      <c r="W7" s="70"/>
      <c r="X7" s="72"/>
      <c r="AG7" s="68">
        <v>5731000</v>
      </c>
      <c r="AH7" s="68">
        <v>3392000</v>
      </c>
      <c r="AI7" s="70"/>
    </row>
    <row r="8" spans="1:38" s="68" customFormat="1" ht="13" x14ac:dyDescent="0.3">
      <c r="A8" s="71"/>
      <c r="B8" s="67" t="s">
        <v>6</v>
      </c>
      <c r="C8" s="62">
        <f t="shared" si="0"/>
        <v>22</v>
      </c>
      <c r="D8" s="68">
        <v>0</v>
      </c>
      <c r="E8" s="67">
        <v>1</v>
      </c>
      <c r="F8" s="67">
        <v>0</v>
      </c>
      <c r="G8" s="67">
        <v>0</v>
      </c>
      <c r="H8" s="67">
        <v>0</v>
      </c>
      <c r="I8" s="67">
        <v>1</v>
      </c>
      <c r="J8" s="68">
        <v>0</v>
      </c>
      <c r="K8" s="68">
        <v>0</v>
      </c>
      <c r="L8" s="68">
        <v>1</v>
      </c>
      <c r="M8" s="68">
        <v>0</v>
      </c>
      <c r="N8" s="68">
        <v>1</v>
      </c>
      <c r="O8" s="68">
        <v>0</v>
      </c>
      <c r="P8" s="68">
        <v>2</v>
      </c>
      <c r="Q8" s="68">
        <v>2</v>
      </c>
      <c r="R8" s="68">
        <v>2</v>
      </c>
      <c r="S8" s="68">
        <v>1</v>
      </c>
      <c r="T8" s="73">
        <v>0</v>
      </c>
      <c r="U8" s="73">
        <v>0</v>
      </c>
      <c r="V8" s="73">
        <v>0</v>
      </c>
      <c r="W8" s="73">
        <v>1</v>
      </c>
      <c r="X8" s="73">
        <v>0</v>
      </c>
      <c r="Y8" s="73">
        <v>0</v>
      </c>
      <c r="Z8" s="68">
        <v>1</v>
      </c>
      <c r="AA8" s="73">
        <v>1</v>
      </c>
      <c r="AB8" s="73">
        <v>0</v>
      </c>
      <c r="AC8" s="73">
        <v>1</v>
      </c>
      <c r="AD8" s="73">
        <v>2</v>
      </c>
      <c r="AE8" s="73">
        <v>1</v>
      </c>
      <c r="AF8" s="73">
        <v>0</v>
      </c>
      <c r="AG8" s="73">
        <v>1</v>
      </c>
      <c r="AH8" s="73">
        <v>0</v>
      </c>
      <c r="AI8" s="73">
        <v>2</v>
      </c>
      <c r="AJ8" s="73">
        <v>0</v>
      </c>
      <c r="AK8" s="73">
        <v>1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35</v>
      </c>
      <c r="D9" s="68">
        <v>0</v>
      </c>
      <c r="E9" s="67">
        <v>0</v>
      </c>
      <c r="F9" s="67">
        <v>1</v>
      </c>
      <c r="G9" s="67">
        <v>0</v>
      </c>
      <c r="H9" s="67">
        <v>0</v>
      </c>
      <c r="I9" s="67">
        <v>0</v>
      </c>
      <c r="J9" s="68">
        <v>0</v>
      </c>
      <c r="K9" s="68">
        <v>0</v>
      </c>
      <c r="L9" s="68">
        <v>2</v>
      </c>
      <c r="M9" s="68">
        <v>2</v>
      </c>
      <c r="N9" s="68">
        <v>1</v>
      </c>
      <c r="O9" s="68">
        <v>0</v>
      </c>
      <c r="P9" s="68">
        <v>2</v>
      </c>
      <c r="Q9" s="68">
        <v>2</v>
      </c>
      <c r="R9" s="68">
        <v>3</v>
      </c>
      <c r="S9" s="68">
        <v>1</v>
      </c>
      <c r="T9" s="75">
        <v>0</v>
      </c>
      <c r="U9" s="75">
        <v>0</v>
      </c>
      <c r="V9" s="73">
        <v>1</v>
      </c>
      <c r="W9" s="75">
        <v>2</v>
      </c>
      <c r="X9" s="75">
        <v>0</v>
      </c>
      <c r="Y9" s="75">
        <v>0</v>
      </c>
      <c r="Z9" s="75">
        <v>1</v>
      </c>
      <c r="AA9" s="75">
        <v>1</v>
      </c>
      <c r="AB9" s="75">
        <v>0</v>
      </c>
      <c r="AC9" s="75">
        <v>1</v>
      </c>
      <c r="AD9" s="75">
        <v>1</v>
      </c>
      <c r="AE9" s="75">
        <v>0</v>
      </c>
      <c r="AF9" s="75">
        <v>0</v>
      </c>
      <c r="AG9" s="75">
        <v>2</v>
      </c>
      <c r="AH9" s="75">
        <v>3</v>
      </c>
      <c r="AI9" s="75">
        <v>6</v>
      </c>
      <c r="AJ9" s="75">
        <v>2</v>
      </c>
      <c r="AK9" s="75">
        <v>1</v>
      </c>
      <c r="AL9" s="75">
        <v>0</v>
      </c>
    </row>
    <row r="10" spans="1:38" s="68" customFormat="1" ht="13" x14ac:dyDescent="0.3">
      <c r="A10" s="71"/>
      <c r="B10" s="67" t="s">
        <v>195</v>
      </c>
      <c r="C10" s="62">
        <f t="shared" si="0"/>
        <v>12</v>
      </c>
      <c r="D10" s="68">
        <v>0</v>
      </c>
      <c r="E10" s="67">
        <v>2</v>
      </c>
      <c r="F10" s="67">
        <v>0</v>
      </c>
      <c r="G10" s="67">
        <v>0</v>
      </c>
      <c r="H10" s="67">
        <v>0</v>
      </c>
      <c r="I10" s="67">
        <v>1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75">
        <v>0</v>
      </c>
      <c r="U10" s="75">
        <v>0</v>
      </c>
      <c r="V10" s="73">
        <v>1</v>
      </c>
      <c r="W10" s="75">
        <v>1</v>
      </c>
      <c r="X10" s="75">
        <v>0</v>
      </c>
      <c r="Y10" s="75">
        <v>0</v>
      </c>
      <c r="Z10" s="75">
        <v>0</v>
      </c>
      <c r="AA10" s="75">
        <v>0</v>
      </c>
      <c r="AB10" s="75">
        <v>0</v>
      </c>
      <c r="AC10" s="75">
        <v>1</v>
      </c>
      <c r="AD10" s="75">
        <v>1</v>
      </c>
      <c r="AE10" s="75">
        <v>1</v>
      </c>
      <c r="AF10" s="75">
        <v>0</v>
      </c>
      <c r="AG10" s="75">
        <v>0</v>
      </c>
      <c r="AH10" s="75">
        <v>0</v>
      </c>
      <c r="AI10" s="75">
        <v>3</v>
      </c>
      <c r="AJ10" s="75">
        <v>1</v>
      </c>
      <c r="AK10" s="75">
        <v>0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1732020537.6344087</v>
      </c>
      <c r="D11" s="68">
        <v>37700000</v>
      </c>
      <c r="E11" s="67">
        <v>87500000</v>
      </c>
      <c r="F11" s="67">
        <v>44100000</v>
      </c>
      <c r="G11" s="67">
        <v>27250000</v>
      </c>
      <c r="H11" s="67">
        <v>42900000</v>
      </c>
      <c r="I11" s="67">
        <v>26700000</v>
      </c>
      <c r="J11" s="68">
        <v>28300000</v>
      </c>
      <c r="K11" s="68">
        <v>35300000</v>
      </c>
      <c r="L11" s="68">
        <v>39466666.666666664</v>
      </c>
      <c r="M11" s="68">
        <v>65000000</v>
      </c>
      <c r="N11" s="68">
        <v>69333333.333333328</v>
      </c>
      <c r="O11" s="68">
        <v>27450000</v>
      </c>
      <c r="P11" s="68">
        <v>56490000</v>
      </c>
      <c r="Q11" s="68">
        <v>38080000</v>
      </c>
      <c r="R11" s="68">
        <v>77760000</v>
      </c>
      <c r="S11" s="68">
        <v>28700000</v>
      </c>
      <c r="T11" s="75">
        <v>35700000</v>
      </c>
      <c r="U11" s="75">
        <v>137650000</v>
      </c>
      <c r="V11" s="73">
        <v>50960000</v>
      </c>
      <c r="W11" s="75">
        <v>51330000</v>
      </c>
      <c r="X11" s="75">
        <v>74000000</v>
      </c>
      <c r="Y11" s="75">
        <v>23300000</v>
      </c>
      <c r="Z11" s="75">
        <v>46100000</v>
      </c>
      <c r="AA11" s="75">
        <v>32450000</v>
      </c>
      <c r="AB11" s="75">
        <v>56600000</v>
      </c>
      <c r="AC11" s="75">
        <v>18583870.967741936</v>
      </c>
      <c r="AD11" s="75">
        <v>53210000</v>
      </c>
      <c r="AE11" s="75">
        <v>25600000</v>
      </c>
      <c r="AF11" s="75">
        <v>75500000</v>
      </c>
      <c r="AG11" s="75">
        <v>29550000</v>
      </c>
      <c r="AH11" s="75">
        <v>60800000</v>
      </c>
      <c r="AI11" s="75">
        <v>136866666.66666666</v>
      </c>
      <c r="AJ11" s="75">
        <v>28423333.333333332</v>
      </c>
      <c r="AK11" s="75">
        <v>29866666.666666668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295654500</v>
      </c>
      <c r="D12" s="67">
        <v>4560000</v>
      </c>
      <c r="E12" s="67">
        <v>18928000</v>
      </c>
      <c r="F12" s="62">
        <v>6672000</v>
      </c>
      <c r="G12" s="62">
        <v>3288000</v>
      </c>
      <c r="H12" s="62">
        <v>8016000</v>
      </c>
      <c r="I12" s="67">
        <v>6424000</v>
      </c>
      <c r="J12" s="68">
        <v>5624000</v>
      </c>
      <c r="K12" s="68">
        <v>4228000</v>
      </c>
      <c r="L12" s="68">
        <v>8044000</v>
      </c>
      <c r="M12" s="68">
        <v>9964000</v>
      </c>
      <c r="N12" s="68">
        <v>12736000</v>
      </c>
      <c r="O12" s="68">
        <v>4684000</v>
      </c>
      <c r="P12" s="68">
        <v>10808000</v>
      </c>
      <c r="Q12" s="68">
        <v>5628000</v>
      </c>
      <c r="R12" s="68">
        <v>12756000</v>
      </c>
      <c r="S12" s="68">
        <v>6208000</v>
      </c>
      <c r="T12" s="75">
        <v>7760000</v>
      </c>
      <c r="U12" s="75">
        <v>21740000</v>
      </c>
      <c r="V12" s="73">
        <v>7940200</v>
      </c>
      <c r="W12" s="75">
        <v>9320000</v>
      </c>
      <c r="X12" s="75">
        <v>15024000</v>
      </c>
      <c r="Y12" s="75">
        <v>2787200</v>
      </c>
      <c r="Z12" s="75">
        <v>5684000</v>
      </c>
      <c r="AA12" s="75">
        <v>3456000</v>
      </c>
      <c r="AB12" s="75">
        <v>10308000</v>
      </c>
      <c r="AC12" s="75">
        <v>2688000</v>
      </c>
      <c r="AD12" s="75">
        <v>10544000</v>
      </c>
      <c r="AE12" s="75">
        <v>3780000</v>
      </c>
      <c r="AF12" s="75">
        <v>17503100</v>
      </c>
      <c r="AG12" s="75">
        <v>7052000</v>
      </c>
      <c r="AH12" s="75">
        <v>7648000</v>
      </c>
      <c r="AI12" s="75">
        <v>20108000</v>
      </c>
      <c r="AJ12" s="75">
        <v>4472000</v>
      </c>
      <c r="AK12" s="75">
        <v>4084000</v>
      </c>
      <c r="AL12" s="75">
        <v>5188000</v>
      </c>
    </row>
    <row r="13" spans="1:38" s="68" customFormat="1" ht="13" x14ac:dyDescent="0.3">
      <c r="A13" s="129"/>
      <c r="B13" s="69" t="s">
        <v>12</v>
      </c>
      <c r="C13" s="62">
        <f t="shared" si="0"/>
        <v>89480000</v>
      </c>
      <c r="D13" s="67">
        <v>1500000</v>
      </c>
      <c r="E13" s="68">
        <v>4735000</v>
      </c>
      <c r="F13" s="68">
        <v>1540000</v>
      </c>
      <c r="G13" s="68">
        <v>1380000</v>
      </c>
      <c r="H13" s="68">
        <v>2030000</v>
      </c>
      <c r="I13" s="68">
        <v>1820000</v>
      </c>
      <c r="J13" s="68">
        <v>1240000</v>
      </c>
      <c r="K13" s="68">
        <v>1390000</v>
      </c>
      <c r="L13" s="68">
        <v>2205000</v>
      </c>
      <c r="M13" s="68">
        <v>4410000</v>
      </c>
      <c r="N13" s="68">
        <v>3675000</v>
      </c>
      <c r="O13" s="68">
        <v>1296000</v>
      </c>
      <c r="P13" s="68">
        <v>4288000</v>
      </c>
      <c r="Q13" s="68">
        <v>2554000</v>
      </c>
      <c r="R13" s="68">
        <v>4512000</v>
      </c>
      <c r="S13" s="68">
        <v>1692000</v>
      </c>
      <c r="T13" s="73">
        <v>2270000</v>
      </c>
      <c r="U13" s="73">
        <v>6840000</v>
      </c>
      <c r="V13" s="73">
        <v>1435000</v>
      </c>
      <c r="W13" s="73">
        <v>3135000</v>
      </c>
      <c r="X13" s="73">
        <v>3360000</v>
      </c>
      <c r="Y13" s="73">
        <v>740000</v>
      </c>
      <c r="Z13" s="73">
        <v>1295000</v>
      </c>
      <c r="AA13" s="73">
        <v>1100000</v>
      </c>
      <c r="AB13" s="73">
        <v>1990000</v>
      </c>
      <c r="AC13" s="73">
        <v>1184000</v>
      </c>
      <c r="AD13" s="73">
        <v>2520000</v>
      </c>
      <c r="AE13" s="73">
        <v>1260000</v>
      </c>
      <c r="AF13" s="73">
        <v>2925000</v>
      </c>
      <c r="AG13" s="73">
        <v>1410000</v>
      </c>
      <c r="AH13" s="73">
        <v>2820000</v>
      </c>
      <c r="AI13" s="73">
        <v>9520000</v>
      </c>
      <c r="AJ13" s="73">
        <v>1604000</v>
      </c>
      <c r="AK13" s="73">
        <v>1125000</v>
      </c>
      <c r="AL13" s="73">
        <v>2680000</v>
      </c>
    </row>
    <row r="14" spans="1:38" s="68" customFormat="1" ht="13" x14ac:dyDescent="0.3">
      <c r="A14" s="129"/>
      <c r="B14" s="69" t="s">
        <v>13</v>
      </c>
      <c r="C14" s="62">
        <f t="shared" si="0"/>
        <v>40474666.666666664</v>
      </c>
      <c r="D14" s="67">
        <v>590000</v>
      </c>
      <c r="E14" s="67">
        <v>1740000</v>
      </c>
      <c r="F14" s="68">
        <v>630000</v>
      </c>
      <c r="G14" s="68">
        <v>930000</v>
      </c>
      <c r="H14" s="68">
        <v>880000</v>
      </c>
      <c r="I14" s="68">
        <v>630000</v>
      </c>
      <c r="J14" s="68">
        <v>330000</v>
      </c>
      <c r="K14" s="68">
        <v>700000</v>
      </c>
      <c r="L14" s="68">
        <v>1072000</v>
      </c>
      <c r="M14" s="68">
        <v>1790000</v>
      </c>
      <c r="N14" s="68">
        <v>1880000</v>
      </c>
      <c r="O14" s="68">
        <v>548000</v>
      </c>
      <c r="P14" s="68">
        <v>1762666.6666666667</v>
      </c>
      <c r="Q14" s="68">
        <v>962000</v>
      </c>
      <c r="R14" s="68">
        <v>2206000</v>
      </c>
      <c r="S14" s="68">
        <v>666000</v>
      </c>
      <c r="T14" s="73">
        <v>900000</v>
      </c>
      <c r="U14" s="73">
        <v>2280000</v>
      </c>
      <c r="V14" s="73">
        <v>1052000</v>
      </c>
      <c r="W14" s="73">
        <v>1732000</v>
      </c>
      <c r="X14" s="73">
        <v>1590000</v>
      </c>
      <c r="Y14" s="73">
        <v>540000</v>
      </c>
      <c r="Z14" s="73">
        <v>780000</v>
      </c>
      <c r="AA14" s="73">
        <v>974000</v>
      </c>
      <c r="AB14" s="73">
        <v>692000</v>
      </c>
      <c r="AC14" s="73">
        <v>532000</v>
      </c>
      <c r="AD14" s="73">
        <v>1080000</v>
      </c>
      <c r="AE14" s="73">
        <v>510000</v>
      </c>
      <c r="AF14" s="73">
        <v>2190000</v>
      </c>
      <c r="AG14" s="73">
        <v>540000</v>
      </c>
      <c r="AH14" s="73">
        <v>1260000</v>
      </c>
      <c r="AI14" s="73">
        <v>4080000</v>
      </c>
      <c r="AJ14" s="73">
        <v>702000</v>
      </c>
      <c r="AK14" s="73">
        <v>764000</v>
      </c>
      <c r="AL14" s="73">
        <v>960000</v>
      </c>
    </row>
    <row r="15" spans="1:38" s="68" customFormat="1" ht="13" x14ac:dyDescent="0.3">
      <c r="A15" s="129"/>
      <c r="B15" s="69" t="s">
        <v>14</v>
      </c>
      <c r="C15" s="62">
        <f t="shared" si="0"/>
        <v>37403333.333333336</v>
      </c>
      <c r="D15" s="67">
        <v>840000</v>
      </c>
      <c r="E15" s="68">
        <v>1500000</v>
      </c>
      <c r="F15" s="68">
        <v>1200000</v>
      </c>
      <c r="G15" s="68">
        <v>700000</v>
      </c>
      <c r="H15" s="68">
        <v>600000</v>
      </c>
      <c r="I15" s="68">
        <v>600000</v>
      </c>
      <c r="J15" s="68">
        <v>700000</v>
      </c>
      <c r="K15" s="68">
        <v>500000</v>
      </c>
      <c r="L15" s="68">
        <v>986666.66666666663</v>
      </c>
      <c r="M15" s="68">
        <v>1400000</v>
      </c>
      <c r="N15" s="68">
        <v>1733333.3333333333</v>
      </c>
      <c r="O15" s="68">
        <v>593333.33333333326</v>
      </c>
      <c r="P15" s="68">
        <v>1453333.3333333333</v>
      </c>
      <c r="Q15" s="68">
        <v>1200000</v>
      </c>
      <c r="R15" s="68">
        <v>1720000</v>
      </c>
      <c r="S15" s="68">
        <v>920000</v>
      </c>
      <c r="T15" s="73">
        <v>800000</v>
      </c>
      <c r="U15" s="73">
        <v>2700000</v>
      </c>
      <c r="V15" s="73">
        <v>1020000</v>
      </c>
      <c r="W15" s="73">
        <v>1243333.3333333335</v>
      </c>
      <c r="X15" s="73">
        <v>1400000</v>
      </c>
      <c r="Y15" s="73">
        <v>600000</v>
      </c>
      <c r="Z15" s="73">
        <v>1200000</v>
      </c>
      <c r="AA15" s="73">
        <v>470000</v>
      </c>
      <c r="AB15" s="73">
        <v>800000</v>
      </c>
      <c r="AC15" s="73">
        <v>586666.66666666663</v>
      </c>
      <c r="AD15" s="73">
        <v>1090000</v>
      </c>
      <c r="AE15" s="73">
        <v>300000</v>
      </c>
      <c r="AF15" s="73">
        <v>1500000</v>
      </c>
      <c r="AG15" s="73">
        <v>300000</v>
      </c>
      <c r="AH15" s="73">
        <v>1100000</v>
      </c>
      <c r="AI15" s="73">
        <v>3690000</v>
      </c>
      <c r="AJ15" s="73">
        <v>920000</v>
      </c>
      <c r="AK15" s="73">
        <v>336666.66666666669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7810000</v>
      </c>
      <c r="D16" s="67">
        <v>0</v>
      </c>
      <c r="E16" s="68">
        <v>0</v>
      </c>
      <c r="F16" s="68">
        <v>150000</v>
      </c>
      <c r="G16" s="68">
        <v>0</v>
      </c>
      <c r="H16" s="68">
        <v>350000</v>
      </c>
      <c r="I16" s="68">
        <v>400000</v>
      </c>
      <c r="J16" s="68">
        <v>0</v>
      </c>
      <c r="K16" s="68">
        <v>200000</v>
      </c>
      <c r="L16" s="68">
        <v>200000</v>
      </c>
      <c r="M16" s="68">
        <v>150000</v>
      </c>
      <c r="N16" s="68">
        <v>0</v>
      </c>
      <c r="O16" s="68">
        <v>0</v>
      </c>
      <c r="P16" s="68">
        <v>50000</v>
      </c>
      <c r="Q16" s="68">
        <v>0</v>
      </c>
      <c r="R16" s="68">
        <v>0</v>
      </c>
      <c r="S16" s="68">
        <v>150000</v>
      </c>
      <c r="T16" s="76">
        <v>300000</v>
      </c>
      <c r="U16" s="73">
        <v>5060000</v>
      </c>
      <c r="V16" s="73">
        <v>0</v>
      </c>
      <c r="W16" s="73">
        <v>0</v>
      </c>
      <c r="X16" s="73">
        <v>200000</v>
      </c>
      <c r="Y16" s="76">
        <v>0</v>
      </c>
      <c r="Z16" s="76">
        <v>0</v>
      </c>
      <c r="AA16" s="76">
        <v>0</v>
      </c>
      <c r="AB16" s="76">
        <v>0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200000</v>
      </c>
      <c r="AI16" s="73">
        <v>150000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16876000</v>
      </c>
      <c r="D17" s="67">
        <v>450000</v>
      </c>
      <c r="E17" s="68">
        <v>1800000</v>
      </c>
      <c r="F17" s="68">
        <v>450000</v>
      </c>
      <c r="G17" s="68">
        <v>0</v>
      </c>
      <c r="H17" s="68">
        <v>0</v>
      </c>
      <c r="I17" s="68">
        <v>0</v>
      </c>
      <c r="J17" s="68">
        <v>740000</v>
      </c>
      <c r="K17" s="68">
        <v>0</v>
      </c>
      <c r="L17" s="68">
        <v>1056666.6666666667</v>
      </c>
      <c r="M17" s="68">
        <v>1480000</v>
      </c>
      <c r="N17" s="68">
        <v>1900000</v>
      </c>
      <c r="O17" s="68">
        <v>0</v>
      </c>
      <c r="P17" s="68">
        <v>0</v>
      </c>
      <c r="Q17" s="68">
        <v>709333.33333333337</v>
      </c>
      <c r="R17" s="68">
        <v>1930000</v>
      </c>
      <c r="S17" s="68">
        <v>0</v>
      </c>
      <c r="T17" s="77">
        <v>0</v>
      </c>
      <c r="U17" s="77">
        <v>0</v>
      </c>
      <c r="V17" s="73">
        <v>0</v>
      </c>
      <c r="W17" s="70">
        <v>1550000</v>
      </c>
      <c r="X17" s="77">
        <v>1450000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300000</v>
      </c>
      <c r="AF17" s="70">
        <v>1450000</v>
      </c>
      <c r="AG17" s="77">
        <v>0</v>
      </c>
      <c r="AH17" s="70">
        <v>1200000</v>
      </c>
      <c r="AI17" s="77">
        <v>0</v>
      </c>
      <c r="AJ17" s="77">
        <v>410000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44438000</v>
      </c>
      <c r="D18" s="67">
        <v>1310000</v>
      </c>
      <c r="E18" s="68">
        <v>1920000</v>
      </c>
      <c r="F18" s="68">
        <v>780000</v>
      </c>
      <c r="G18" s="68">
        <v>1300000</v>
      </c>
      <c r="H18" s="68">
        <v>760000</v>
      </c>
      <c r="I18" s="68">
        <v>660000</v>
      </c>
      <c r="J18" s="68">
        <v>360000</v>
      </c>
      <c r="K18" s="68">
        <v>670000</v>
      </c>
      <c r="L18" s="68">
        <v>1192000</v>
      </c>
      <c r="M18" s="68">
        <v>1820000</v>
      </c>
      <c r="N18" s="68">
        <v>2240000</v>
      </c>
      <c r="O18" s="68">
        <v>668000</v>
      </c>
      <c r="P18" s="68">
        <v>1754000</v>
      </c>
      <c r="Q18" s="68">
        <v>1172000</v>
      </c>
      <c r="R18" s="68">
        <v>2146000</v>
      </c>
      <c r="S18" s="68">
        <v>696000</v>
      </c>
      <c r="T18" s="78">
        <v>1080000</v>
      </c>
      <c r="U18" s="78">
        <v>3180000</v>
      </c>
      <c r="V18" s="73">
        <v>2460000</v>
      </c>
      <c r="W18" s="78">
        <v>1860000</v>
      </c>
      <c r="X18" s="78">
        <v>1750000</v>
      </c>
      <c r="Y18" s="78">
        <v>450000</v>
      </c>
      <c r="Z18" s="78">
        <v>840000</v>
      </c>
      <c r="AA18" s="79">
        <v>0</v>
      </c>
      <c r="AB18" s="78">
        <v>872000</v>
      </c>
      <c r="AC18" s="78">
        <v>472000</v>
      </c>
      <c r="AD18" s="78">
        <v>1050000</v>
      </c>
      <c r="AE18" s="78">
        <v>570000</v>
      </c>
      <c r="AF18" s="78">
        <v>1920000</v>
      </c>
      <c r="AG18" s="79">
        <v>0</v>
      </c>
      <c r="AH18" s="78">
        <v>1290000</v>
      </c>
      <c r="AI18" s="78">
        <v>4500000</v>
      </c>
      <c r="AJ18" s="78">
        <v>792000</v>
      </c>
      <c r="AK18" s="78">
        <v>824000</v>
      </c>
      <c r="AL18" s="78">
        <v>1080000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532136500</v>
      </c>
      <c r="D19" s="81">
        <f t="shared" ref="D19:AP19" si="1">SUM(D12:D18)</f>
        <v>9250000</v>
      </c>
      <c r="E19" s="81">
        <f>SUM(E12:E18)</f>
        <v>30623000</v>
      </c>
      <c r="F19" s="81">
        <f>SUM(F12:F18)</f>
        <v>11422000</v>
      </c>
      <c r="G19" s="81">
        <f t="shared" si="1"/>
        <v>7598000</v>
      </c>
      <c r="H19" s="81">
        <f>SUM(H12:H18)</f>
        <v>12636000</v>
      </c>
      <c r="I19" s="81">
        <f>SUM(I12:I18)</f>
        <v>10534000</v>
      </c>
      <c r="J19" s="81">
        <f t="shared" si="1"/>
        <v>8994000</v>
      </c>
      <c r="K19" s="81">
        <f t="shared" si="1"/>
        <v>7688000</v>
      </c>
      <c r="L19" s="81">
        <f t="shared" si="1"/>
        <v>14756333.333333332</v>
      </c>
      <c r="M19" s="81">
        <f t="shared" si="1"/>
        <v>21014000</v>
      </c>
      <c r="N19" s="81">
        <f t="shared" si="1"/>
        <v>24164333.333333332</v>
      </c>
      <c r="O19" s="81">
        <f t="shared" si="1"/>
        <v>7789333.333333333</v>
      </c>
      <c r="P19" s="81">
        <f t="shared" si="1"/>
        <v>20116000</v>
      </c>
      <c r="Q19" s="81">
        <f>SUM(Q12:Q18)</f>
        <v>12225333.333333334</v>
      </c>
      <c r="R19" s="81">
        <f>SUM(R12:R18)</f>
        <v>25270000</v>
      </c>
      <c r="S19" s="81">
        <f>SUM(S12:S18)</f>
        <v>10332000</v>
      </c>
      <c r="T19" s="81">
        <f t="shared" si="1"/>
        <v>13110000</v>
      </c>
      <c r="U19" s="81">
        <f t="shared" si="1"/>
        <v>41800000</v>
      </c>
      <c r="V19" s="81">
        <f t="shared" si="1"/>
        <v>13907200</v>
      </c>
      <c r="W19" s="81">
        <f t="shared" si="1"/>
        <v>18840333.333333336</v>
      </c>
      <c r="X19" s="81">
        <f t="shared" si="1"/>
        <v>24774000</v>
      </c>
      <c r="Y19" s="81">
        <f t="shared" si="1"/>
        <v>5117200</v>
      </c>
      <c r="Z19" s="81">
        <f t="shared" si="1"/>
        <v>9799000</v>
      </c>
      <c r="AA19" s="81">
        <f t="shared" si="1"/>
        <v>6000000</v>
      </c>
      <c r="AB19" s="81">
        <f>SUM(AB12:AB18)</f>
        <v>14662000</v>
      </c>
      <c r="AC19" s="81">
        <f t="shared" si="1"/>
        <v>5662666.666666667</v>
      </c>
      <c r="AD19" s="81">
        <f t="shared" si="1"/>
        <v>16284000</v>
      </c>
      <c r="AE19" s="81">
        <f t="shared" si="1"/>
        <v>6720000</v>
      </c>
      <c r="AF19" s="81">
        <f>SUM(AF12:AF18)</f>
        <v>27538100</v>
      </c>
      <c r="AG19" s="81">
        <f t="shared" si="1"/>
        <v>9302000</v>
      </c>
      <c r="AH19" s="81">
        <f>SUM(AH12:AH18)</f>
        <v>15518000</v>
      </c>
      <c r="AI19" s="81">
        <f t="shared" si="1"/>
        <v>42048000</v>
      </c>
      <c r="AJ19" s="81">
        <f t="shared" si="1"/>
        <v>8900000</v>
      </c>
      <c r="AK19" s="81">
        <f>SUM(AK12:AK18)</f>
        <v>7133666.666666667</v>
      </c>
      <c r="AL19" s="81">
        <f t="shared" si="1"/>
        <v>10608000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1465916666.666667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110000000</v>
      </c>
      <c r="V21" s="68">
        <v>50000000</v>
      </c>
      <c r="W21" s="68">
        <v>50000000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23666666.666666668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46267000</v>
      </c>
      <c r="D22" s="67"/>
      <c r="E22" s="82">
        <v>1500000</v>
      </c>
      <c r="G22" s="82"/>
      <c r="H22" s="68">
        <v>680000</v>
      </c>
      <c r="O22" s="82"/>
      <c r="P22" s="82">
        <v>1400000</v>
      </c>
      <c r="Q22" s="68">
        <v>3000000</v>
      </c>
      <c r="R22" s="68">
        <v>2200000</v>
      </c>
      <c r="S22" s="68">
        <v>1400000</v>
      </c>
      <c r="T22" s="82"/>
      <c r="U22" s="82">
        <v>31949000</v>
      </c>
      <c r="W22" s="82"/>
      <c r="X22" s="82"/>
      <c r="Z22" s="82">
        <v>488000</v>
      </c>
      <c r="AA22" s="83"/>
      <c r="AB22" s="82"/>
      <c r="AC22" s="82"/>
      <c r="AE22" s="82"/>
      <c r="AF22" s="82"/>
      <c r="AG22" s="82"/>
      <c r="AH22" s="82">
        <v>1650000</v>
      </c>
      <c r="AI22" s="85">
        <v>2000000</v>
      </c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330411545</v>
      </c>
      <c r="D23" s="82">
        <v>6876079</v>
      </c>
      <c r="E23" s="86">
        <v>17075167</v>
      </c>
      <c r="F23" s="82">
        <v>8600429</v>
      </c>
      <c r="G23" s="82">
        <v>6145351</v>
      </c>
      <c r="H23" s="86">
        <v>10304410</v>
      </c>
      <c r="I23" s="83">
        <v>5914490</v>
      </c>
      <c r="J23" s="83">
        <v>7584019</v>
      </c>
      <c r="K23" s="83">
        <v>6496610</v>
      </c>
      <c r="L23" s="82">
        <v>9070942</v>
      </c>
      <c r="M23" s="82">
        <v>18136742</v>
      </c>
      <c r="N23" s="83">
        <v>6474838</v>
      </c>
      <c r="O23" s="83">
        <v>4742388</v>
      </c>
      <c r="P23" s="83">
        <v>9888329</v>
      </c>
      <c r="Q23" s="83">
        <v>8335807</v>
      </c>
      <c r="R23" s="82">
        <v>14903179</v>
      </c>
      <c r="S23" s="83">
        <v>7993382</v>
      </c>
      <c r="T23" s="82">
        <v>7158564</v>
      </c>
      <c r="U23" s="83">
        <v>20061972</v>
      </c>
      <c r="V23" s="83">
        <v>7191979</v>
      </c>
      <c r="W23" s="83">
        <v>11201803</v>
      </c>
      <c r="X23" s="83">
        <v>14119617</v>
      </c>
      <c r="Y23" s="83">
        <v>3469802</v>
      </c>
      <c r="Z23" s="82">
        <v>4744051</v>
      </c>
      <c r="AA23" s="82">
        <v>5285887</v>
      </c>
      <c r="AB23" s="83">
        <v>12245856</v>
      </c>
      <c r="AC23" s="82">
        <v>4478738</v>
      </c>
      <c r="AD23" s="83">
        <v>9806076</v>
      </c>
      <c r="AE23" s="83">
        <v>5596042</v>
      </c>
      <c r="AF23" s="82">
        <v>17229319</v>
      </c>
      <c r="AG23" s="82">
        <v>6922606</v>
      </c>
      <c r="AH23" s="82">
        <v>8774255</v>
      </c>
      <c r="AI23" s="83">
        <v>27040608</v>
      </c>
      <c r="AJ23" s="83">
        <v>3580567</v>
      </c>
      <c r="AK23" s="83">
        <v>5676566</v>
      </c>
      <c r="AL23" s="83">
        <v>7285075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86533810</v>
      </c>
      <c r="D24" s="82">
        <v>522100</v>
      </c>
      <c r="E24" s="82">
        <v>5546450</v>
      </c>
      <c r="F24" s="82">
        <v>1171850</v>
      </c>
      <c r="G24" s="82">
        <v>1070650</v>
      </c>
      <c r="H24" s="86">
        <v>2834060</v>
      </c>
      <c r="I24" s="83">
        <v>2103350</v>
      </c>
      <c r="J24" s="83">
        <v>1366660</v>
      </c>
      <c r="K24" s="83">
        <v>977500</v>
      </c>
      <c r="L24" s="82">
        <v>1731900</v>
      </c>
      <c r="M24" s="82">
        <v>1498000</v>
      </c>
      <c r="N24" s="83">
        <v>2696750</v>
      </c>
      <c r="O24" s="83">
        <v>755550</v>
      </c>
      <c r="P24" s="83">
        <v>8401900</v>
      </c>
      <c r="Q24" s="83">
        <v>1700850</v>
      </c>
      <c r="R24" s="82">
        <v>3200000</v>
      </c>
      <c r="S24" s="83">
        <v>2333810</v>
      </c>
      <c r="T24" s="82">
        <v>3038300</v>
      </c>
      <c r="U24" s="83">
        <v>5119800</v>
      </c>
      <c r="V24" s="83">
        <v>1416800</v>
      </c>
      <c r="W24" s="83">
        <v>1063450</v>
      </c>
      <c r="X24" s="83">
        <v>2838200</v>
      </c>
      <c r="Y24" s="83">
        <v>861350</v>
      </c>
      <c r="Z24" s="82">
        <v>3534410</v>
      </c>
      <c r="AA24" s="82">
        <v>1292600</v>
      </c>
      <c r="AB24" s="83">
        <v>1733510</v>
      </c>
      <c r="AC24" s="82">
        <v>878600</v>
      </c>
      <c r="AD24" s="83">
        <v>4646000</v>
      </c>
      <c r="AE24" s="83">
        <v>2416150</v>
      </c>
      <c r="AF24" s="82">
        <v>4013500</v>
      </c>
      <c r="AG24" s="82">
        <v>1101700</v>
      </c>
      <c r="AH24" s="82">
        <v>0</v>
      </c>
      <c r="AI24" s="83">
        <v>8989160</v>
      </c>
      <c r="AJ24" s="83">
        <v>819000</v>
      </c>
      <c r="AK24" s="83">
        <v>1762950</v>
      </c>
      <c r="AL24" s="83">
        <v>3096950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14321003.666666668</v>
      </c>
      <c r="D25" s="82">
        <v>380100</v>
      </c>
      <c r="E25" s="82">
        <v>501000</v>
      </c>
      <c r="F25" s="82">
        <v>245000</v>
      </c>
      <c r="G25" s="82">
        <v>244999.66666666666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240000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6600000</v>
      </c>
      <c r="D26" s="82">
        <v>150000</v>
      </c>
      <c r="E26" s="82">
        <v>200000</v>
      </c>
      <c r="F26" s="82"/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350000</v>
      </c>
      <c r="N26" s="83">
        <v>350000</v>
      </c>
      <c r="O26" s="83">
        <v>200000</v>
      </c>
      <c r="P26" s="83">
        <v>300000</v>
      </c>
      <c r="Q26" s="83">
        <v>300000</v>
      </c>
      <c r="R26" s="82">
        <v>333333.33333333331</v>
      </c>
      <c r="S26" s="83">
        <v>150000</v>
      </c>
      <c r="T26" s="82">
        <v>216666.66666666666</v>
      </c>
      <c r="U26" s="83">
        <v>200000</v>
      </c>
      <c r="V26" s="83">
        <v>200000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300000</v>
      </c>
      <c r="AF26" s="82">
        <v>200000</v>
      </c>
      <c r="AG26" s="82">
        <v>500000</v>
      </c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/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3400000</v>
      </c>
      <c r="D28" s="67"/>
      <c r="E28" s="82"/>
      <c r="F28" s="82">
        <v>300000</v>
      </c>
      <c r="G28" s="82"/>
      <c r="H28" s="82"/>
      <c r="I28" s="82"/>
      <c r="J28" s="82"/>
      <c r="L28" s="82">
        <v>1600000</v>
      </c>
      <c r="N28" s="83"/>
      <c r="O28" s="82"/>
      <c r="P28" s="82"/>
      <c r="Q28" s="82"/>
      <c r="R28" s="82">
        <v>300000</v>
      </c>
      <c r="S28" s="82"/>
      <c r="T28" s="82"/>
      <c r="V28" s="82"/>
      <c r="W28" s="82">
        <v>300000</v>
      </c>
      <c r="X28" s="82">
        <v>300000</v>
      </c>
      <c r="Y28" s="82"/>
      <c r="Z28" s="82"/>
      <c r="AA28" s="82"/>
      <c r="AB28" s="82"/>
      <c r="AC28" s="82"/>
      <c r="AD28" s="82"/>
      <c r="AF28" s="82">
        <v>300000</v>
      </c>
      <c r="AH28" s="82">
        <v>300000</v>
      </c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1953450025.3333337</v>
      </c>
      <c r="D29" s="60">
        <f>SUM(D21:D28)</f>
        <v>38928279</v>
      </c>
      <c r="E29" s="60">
        <f t="shared" ref="E29:AL29" si="3">SUM(E21:E28)</f>
        <v>104822617</v>
      </c>
      <c r="F29" s="60">
        <f t="shared" si="3"/>
        <v>47317279</v>
      </c>
      <c r="G29" s="60">
        <f t="shared" si="3"/>
        <v>30794334</v>
      </c>
      <c r="H29" s="60">
        <f t="shared" si="3"/>
        <v>47563470</v>
      </c>
      <c r="I29" s="60">
        <f t="shared" si="3"/>
        <v>32437840</v>
      </c>
      <c r="J29" s="60">
        <f t="shared" si="3"/>
        <v>29237180</v>
      </c>
      <c r="K29" s="60">
        <f t="shared" si="3"/>
        <v>34960611</v>
      </c>
      <c r="L29" s="60">
        <f t="shared" si="3"/>
        <v>45921842</v>
      </c>
      <c r="M29" s="60">
        <f t="shared" si="3"/>
        <v>68046243</v>
      </c>
      <c r="N29" s="60">
        <f t="shared" si="3"/>
        <v>76583089</v>
      </c>
      <c r="O29" s="60">
        <f t="shared" si="3"/>
        <v>35919438</v>
      </c>
      <c r="P29" s="60">
        <f t="shared" si="3"/>
        <v>60455228</v>
      </c>
      <c r="Q29" s="60">
        <f>SUM(Q21:Q28)</f>
        <v>37779657</v>
      </c>
      <c r="R29" s="60">
        <f t="shared" si="3"/>
        <v>81413012.333333328</v>
      </c>
      <c r="S29" s="60">
        <f t="shared" si="3"/>
        <v>35597192</v>
      </c>
      <c r="T29" s="60">
        <f t="shared" si="3"/>
        <v>35658530.666666664</v>
      </c>
      <c r="U29" s="60">
        <f t="shared" si="3"/>
        <v>168358772</v>
      </c>
      <c r="V29" s="60">
        <f t="shared" si="3"/>
        <v>59048779</v>
      </c>
      <c r="W29" s="60">
        <f t="shared" si="3"/>
        <v>63360253</v>
      </c>
      <c r="X29" s="60">
        <f t="shared" si="3"/>
        <v>87527717</v>
      </c>
      <c r="Y29" s="60">
        <f t="shared" si="3"/>
        <v>22617152</v>
      </c>
      <c r="Z29" s="60">
        <f t="shared" si="3"/>
        <v>46032961</v>
      </c>
      <c r="AA29" s="60">
        <f t="shared" si="3"/>
        <v>26993487</v>
      </c>
      <c r="AB29" s="60">
        <f>SUM(AB21:AB28)</f>
        <v>58399366</v>
      </c>
      <c r="AC29" s="60">
        <f t="shared" si="3"/>
        <v>22393838</v>
      </c>
      <c r="AD29" s="60">
        <f t="shared" si="3"/>
        <v>59997076</v>
      </c>
      <c r="AE29" s="60">
        <f t="shared" si="3"/>
        <v>32223858.666666668</v>
      </c>
      <c r="AF29" s="60">
        <f t="shared" si="3"/>
        <v>88954485.666666657</v>
      </c>
      <c r="AG29" s="60">
        <f t="shared" si="3"/>
        <v>35264307</v>
      </c>
      <c r="AH29" s="60">
        <f t="shared" si="3"/>
        <v>66324255</v>
      </c>
      <c r="AI29" s="60">
        <f t="shared" si="3"/>
        <v>169499768</v>
      </c>
      <c r="AJ29" s="60">
        <f>SUM(AJ21:AJ28)</f>
        <v>32256567</v>
      </c>
      <c r="AK29" s="60">
        <f t="shared" si="3"/>
        <v>33909516</v>
      </c>
      <c r="AL29" s="60">
        <f t="shared" si="3"/>
        <v>36852025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52813444.866414696</v>
      </c>
      <c r="D30" s="82">
        <v>976819.6560246282</v>
      </c>
      <c r="E30" s="83">
        <v>2234642.4374010703</v>
      </c>
      <c r="F30" s="82">
        <v>1391216.1771978657</v>
      </c>
      <c r="G30" s="83">
        <v>803269.02747404599</v>
      </c>
      <c r="H30" s="82">
        <v>964144.32989690721</v>
      </c>
      <c r="I30" s="82">
        <v>740674.27642589156</v>
      </c>
      <c r="J30" s="83">
        <v>1141819.8508403867</v>
      </c>
      <c r="K30" s="82">
        <v>971399.88900556974</v>
      </c>
      <c r="L30" s="82">
        <v>1282063.2950479756</v>
      </c>
      <c r="M30" s="82">
        <v>2105184.5384773491</v>
      </c>
      <c r="N30" s="83">
        <v>1928385.148041822</v>
      </c>
      <c r="O30" s="83">
        <v>644857.14285714284</v>
      </c>
      <c r="P30" s="83">
        <v>2226918.6708905674</v>
      </c>
      <c r="Q30" s="83">
        <v>1845407.3114115505</v>
      </c>
      <c r="R30" s="83">
        <v>1908578.9847723749</v>
      </c>
      <c r="S30" s="83">
        <v>1057725.1355325051</v>
      </c>
      <c r="T30" s="82">
        <v>1274164.3943535704</v>
      </c>
      <c r="U30" s="83">
        <v>4588864.0132901175</v>
      </c>
      <c r="V30" s="83">
        <v>1521600.3294024256</v>
      </c>
      <c r="W30" s="83">
        <v>1241159.523600467</v>
      </c>
      <c r="X30" s="83">
        <v>2798051.0545734083</v>
      </c>
      <c r="Y30" s="82">
        <v>648705.52378392452</v>
      </c>
      <c r="Z30" s="83">
        <v>1536947.7269250869</v>
      </c>
      <c r="AA30" s="82">
        <v>614102.49577766133</v>
      </c>
      <c r="AB30" s="82">
        <v>1456729.998772342</v>
      </c>
      <c r="AC30" s="82">
        <v>599398.09018092754</v>
      </c>
      <c r="AD30" s="82">
        <v>1658094.8296315146</v>
      </c>
      <c r="AE30" s="82">
        <v>737484.78758746618</v>
      </c>
      <c r="AF30" s="82">
        <v>1969559.9878087225</v>
      </c>
      <c r="AG30" s="82">
        <v>802666.73259141902</v>
      </c>
      <c r="AH30" s="82">
        <v>1742270.0394376072</v>
      </c>
      <c r="AI30" s="83">
        <v>4671485.8264357764</v>
      </c>
      <c r="AJ30" s="83">
        <v>900796.71754814882</v>
      </c>
      <c r="AK30" s="82">
        <v>861038.87830368313</v>
      </c>
      <c r="AL30" s="83">
        <v>967218.04511278204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4632386.7996930154</v>
      </c>
      <c r="D31" s="82">
        <v>92095.165003837305</v>
      </c>
      <c r="E31" s="83">
        <v>202609.36300844207</v>
      </c>
      <c r="F31" s="82">
        <v>110514.19800460475</v>
      </c>
      <c r="G31" s="83">
        <v>73676.132003069841</v>
      </c>
      <c r="H31" s="82">
        <v>82885.648503453573</v>
      </c>
      <c r="I31" s="82">
        <v>73676.132003069841</v>
      </c>
      <c r="J31" s="83">
        <v>82885.648503453573</v>
      </c>
      <c r="K31" s="82">
        <v>82885.648503453573</v>
      </c>
      <c r="L31" s="82">
        <v>101304.68150422104</v>
      </c>
      <c r="M31" s="82">
        <v>174980.81350729088</v>
      </c>
      <c r="N31" s="83">
        <v>174980.81350729088</v>
      </c>
      <c r="O31" s="83">
        <v>82885.648503453573</v>
      </c>
      <c r="P31" s="83">
        <v>174980.81350729088</v>
      </c>
      <c r="Q31" s="83">
        <v>156561.78050652341</v>
      </c>
      <c r="R31" s="83">
        <v>165771.29700690715</v>
      </c>
      <c r="S31" s="83">
        <v>82885.648503453573</v>
      </c>
      <c r="T31" s="82">
        <v>92095.165003837305</v>
      </c>
      <c r="U31" s="83">
        <v>349961.62701458175</v>
      </c>
      <c r="V31" s="83">
        <v>138142.74750575595</v>
      </c>
      <c r="W31" s="83">
        <v>147352.26400613968</v>
      </c>
      <c r="X31" s="83">
        <v>221028.39600920951</v>
      </c>
      <c r="Y31" s="82">
        <v>55257.099002302377</v>
      </c>
      <c r="Z31" s="83">
        <v>119723.71450498849</v>
      </c>
      <c r="AA31" s="82">
        <v>55257.099002302377</v>
      </c>
      <c r="AB31" s="82">
        <v>119723.71450498849</v>
      </c>
      <c r="AC31" s="82">
        <v>64466.615502686109</v>
      </c>
      <c r="AD31" s="82">
        <v>165771.29700690715</v>
      </c>
      <c r="AE31" s="82">
        <v>73676.132003069841</v>
      </c>
      <c r="AF31" s="82">
        <v>184190.33000767461</v>
      </c>
      <c r="AG31" s="82">
        <v>73676.132003069841</v>
      </c>
      <c r="AH31" s="82">
        <v>147352.26400613968</v>
      </c>
      <c r="AI31" s="83">
        <v>460475.82501918648</v>
      </c>
      <c r="AJ31" s="83">
        <v>101304.68150422104</v>
      </c>
      <c r="AK31" s="82">
        <v>73676.132003069841</v>
      </c>
      <c r="AL31" s="83">
        <v>73676.132003069841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13136676.899462778</v>
      </c>
      <c r="D32" s="82">
        <f>(21000000/1303)*10+10000*10</f>
        <v>261166.53875671528</v>
      </c>
      <c r="E32" s="82">
        <f>(21000000/1303)*22+10000*22</f>
        <v>574566.38526477362</v>
      </c>
      <c r="F32" s="82">
        <f>(21000000/1303)*12+10000*12</f>
        <v>313399.84650805831</v>
      </c>
      <c r="G32" s="82">
        <f>(21000000/1303)*8+10000*8</f>
        <v>208933.23100537222</v>
      </c>
      <c r="H32" s="82">
        <f>(21000000/1303)*9+10000*9</f>
        <v>235049.88488104375</v>
      </c>
      <c r="I32" s="82">
        <f>(21000000/1303)*8+10000*8</f>
        <v>208933.23100537222</v>
      </c>
      <c r="J32" s="82">
        <f>(21000000/1303)*9+10000*9</f>
        <v>235049.88488104375</v>
      </c>
      <c r="K32" s="82">
        <f>(21000000/1303)*9+10000*9</f>
        <v>235049.88488104375</v>
      </c>
      <c r="L32" s="82">
        <f>(21000000/1303)*11+10000*11</f>
        <v>287283.19263238681</v>
      </c>
      <c r="M32" s="82">
        <f>(21000000/1303)*19+10000*19</f>
        <v>496216.423637759</v>
      </c>
      <c r="N32" s="82">
        <f>(21000000/1303)*19+10000*19</f>
        <v>496216.423637759</v>
      </c>
      <c r="O32" s="82">
        <f>(21000000/1303)*9+10000*9</f>
        <v>235049.88488104375</v>
      </c>
      <c r="P32" s="82">
        <f>(21000000/1303)*19+10000*19</f>
        <v>496216.423637759</v>
      </c>
      <c r="Q32" s="82">
        <f>(21000000/1303)*17+10000*17</f>
        <v>443983.11588641594</v>
      </c>
      <c r="R32" s="82">
        <f>(21000000/1303)*18+10000*18</f>
        <v>470099.7697620875</v>
      </c>
      <c r="S32" s="82">
        <f>(21000000/1303)*9+10000*9</f>
        <v>235049.88488104375</v>
      </c>
      <c r="T32" s="82">
        <f>(21000000/1303)*10+10000*10</f>
        <v>261166.53875671528</v>
      </c>
      <c r="U32" s="82">
        <f>(21000000/1303)*38+10000*38</f>
        <v>992432.847275518</v>
      </c>
      <c r="V32" s="82">
        <f>(21000000/1303)*15+10000*15</f>
        <v>391749.80813507293</v>
      </c>
      <c r="W32" s="82">
        <f>(21000000/1303)*16+10000*16</f>
        <v>417866.46201074444</v>
      </c>
      <c r="X32" s="82">
        <f>(21000000/1303)*24+10000*24</f>
        <v>626799.69301611662</v>
      </c>
      <c r="Y32" s="82">
        <f>(21000000/1303)*6+10000*6</f>
        <v>156699.92325402916</v>
      </c>
      <c r="Z32" s="82">
        <f>(21000000/1303)*13+10000*13</f>
        <v>339516.50038372981</v>
      </c>
      <c r="AA32" s="82">
        <f>(21000000/1303)*6+10000*6</f>
        <v>156699.92325402916</v>
      </c>
      <c r="AB32" s="82">
        <f>(21000000/1303)*13+10000*13</f>
        <v>339516.50038372981</v>
      </c>
      <c r="AC32" s="82">
        <f>(21000000/1303)*7+10000*7</f>
        <v>182816.57712970069</v>
      </c>
      <c r="AD32" s="82">
        <f>(21000000/1303)*18+10000*18</f>
        <v>470099.7697620875</v>
      </c>
      <c r="AE32" s="82">
        <f>(21000000/1303)*8+10000*8</f>
        <v>208933.23100537222</v>
      </c>
      <c r="AF32" s="82">
        <f>(21000000/1303)*20+10000*20</f>
        <v>522333.07751343056</v>
      </c>
      <c r="AG32" s="82">
        <f>(21000000/1303)*8+10000*8</f>
        <v>208933.23100537222</v>
      </c>
      <c r="AH32" s="82">
        <f>(21000000/1303)*16+10000*16</f>
        <v>417866.46201074444</v>
      </c>
      <c r="AI32" s="82">
        <f>(21000000/1303)*50+10000*50</f>
        <v>1305832.6937835764</v>
      </c>
      <c r="AJ32" s="82">
        <f>(21000000/1303)*11+10000*11</f>
        <v>287283.19263238681</v>
      </c>
      <c r="AK32" s="82">
        <f>(21000000/1303)*8+10000*8</f>
        <v>208933.23100537222</v>
      </c>
      <c r="AL32" s="82">
        <f>(21000000/1303)*8+10000*8</f>
        <v>208933.23100537222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0</v>
      </c>
      <c r="D33" s="82"/>
      <c r="E33" s="83"/>
      <c r="F33" s="82"/>
      <c r="G33" s="83"/>
      <c r="H33" s="82"/>
      <c r="I33" s="82"/>
      <c r="J33" s="83"/>
      <c r="K33" s="82"/>
      <c r="L33" s="82"/>
      <c r="M33" s="82"/>
      <c r="N33" s="83"/>
      <c r="O33" s="83"/>
      <c r="P33" s="83"/>
      <c r="Q33" s="83"/>
      <c r="R33" s="83"/>
      <c r="S33" s="83"/>
      <c r="T33" s="82"/>
      <c r="U33" s="83"/>
      <c r="V33" s="83"/>
      <c r="W33" s="83"/>
      <c r="X33" s="83"/>
      <c r="Y33" s="82"/>
      <c r="Z33" s="83"/>
      <c r="AA33" s="82"/>
      <c r="AB33" s="82"/>
      <c r="AC33" s="82"/>
      <c r="AD33" s="82"/>
      <c r="AE33" s="82"/>
      <c r="AF33" s="82"/>
      <c r="AG33" s="82"/>
      <c r="AH33" s="82"/>
      <c r="AI33" s="83"/>
      <c r="AJ33" s="83"/>
      <c r="AK33" s="82"/>
      <c r="AL33" s="83"/>
    </row>
    <row r="34" spans="1:38" s="68" customFormat="1" ht="24" customHeight="1" x14ac:dyDescent="0.3">
      <c r="A34" s="133"/>
      <c r="B34" s="67" t="s">
        <v>167</v>
      </c>
      <c r="C34" s="62">
        <f t="shared" si="4"/>
        <v>1158096.6999232539</v>
      </c>
      <c r="D34" s="82">
        <f>(3000000/1303)*10</f>
        <v>23023.791250959326</v>
      </c>
      <c r="E34" s="82">
        <f>(3000000/1303)*22</f>
        <v>50652.340752110518</v>
      </c>
      <c r="F34" s="82">
        <f>(3000000/1303)*12</f>
        <v>27628.549501151188</v>
      </c>
      <c r="G34" s="82">
        <f>(3000000/1303)*8</f>
        <v>18419.03300076746</v>
      </c>
      <c r="H34" s="82">
        <f>(3000000/1303)*9</f>
        <v>20721.412125863393</v>
      </c>
      <c r="I34" s="82">
        <f>(3000000/1303)*8</f>
        <v>18419.03300076746</v>
      </c>
      <c r="J34" s="82">
        <f>(3000000/1303)*9</f>
        <v>20721.412125863393</v>
      </c>
      <c r="K34" s="82">
        <f>(3000000/1303)*9</f>
        <v>20721.412125863393</v>
      </c>
      <c r="L34" s="82">
        <f>(3000000/1303)*11</f>
        <v>25326.170376055259</v>
      </c>
      <c r="M34" s="82">
        <f>(3000000/1303)*19</f>
        <v>43745.203376822719</v>
      </c>
      <c r="N34" s="82">
        <f>(3000000/1303)*19</f>
        <v>43745.203376822719</v>
      </c>
      <c r="O34" s="82">
        <f>(3000000/1303)*9</f>
        <v>20721.412125863393</v>
      </c>
      <c r="P34" s="82">
        <f>(3000000/1303)*19</f>
        <v>43745.203376822719</v>
      </c>
      <c r="Q34" s="82">
        <f>(3000000/1303)*17</f>
        <v>39140.445126630853</v>
      </c>
      <c r="R34" s="82">
        <f>(3000000/1303)*18</f>
        <v>41442.824251726786</v>
      </c>
      <c r="S34" s="82">
        <f>(3000000/1303)*9</f>
        <v>20721.412125863393</v>
      </c>
      <c r="T34" s="82">
        <f>(3000000/1303)*10</f>
        <v>23023.791250959326</v>
      </c>
      <c r="U34" s="82">
        <f>(3000000/1303)*38</f>
        <v>87490.406753645439</v>
      </c>
      <c r="V34" s="82">
        <f>(3000000/1303)*15</f>
        <v>34535.686876438987</v>
      </c>
      <c r="W34" s="82">
        <f>(3000000/1303)*16</f>
        <v>36838.06600153492</v>
      </c>
      <c r="X34" s="82">
        <f>(3000000/1303)*24</f>
        <v>55257.099002302377</v>
      </c>
      <c r="Y34" s="82">
        <f>(3000000/1303)*6</f>
        <v>13814.274750575594</v>
      </c>
      <c r="Z34" s="82">
        <f>(3000000/1303)*13</f>
        <v>29930.928626247121</v>
      </c>
      <c r="AA34" s="82">
        <f>(3000000/1303)*6</f>
        <v>13814.274750575594</v>
      </c>
      <c r="AB34" s="82">
        <f>(3000000/1303)*13</f>
        <v>29930.928626247121</v>
      </c>
      <c r="AC34" s="82">
        <f>(3000000/1303)*7</f>
        <v>16116.653875671527</v>
      </c>
      <c r="AD34" s="82">
        <f>(3000000/1303)*18</f>
        <v>41442.824251726786</v>
      </c>
      <c r="AE34" s="82">
        <f>(3000000/1303)*8</f>
        <v>18419.03300076746</v>
      </c>
      <c r="AF34" s="82">
        <f>(3000000/1303)*20</f>
        <v>46047.582501918652</v>
      </c>
      <c r="AG34" s="82">
        <f>(3000000/1303)*8</f>
        <v>18419.03300076746</v>
      </c>
      <c r="AH34" s="82">
        <f>(3000000/1303)*16</f>
        <v>36838.06600153492</v>
      </c>
      <c r="AI34" s="82">
        <f>(3000000/1303)*50</f>
        <v>115118.95625479662</v>
      </c>
      <c r="AJ34" s="82">
        <f>(3000000/1303)*11</f>
        <v>25326.170376055259</v>
      </c>
      <c r="AK34" s="82">
        <f>(3000000/1303)*8</f>
        <v>18419.03300076746</v>
      </c>
      <c r="AL34" s="82">
        <f>(3000000/1303)*8</f>
        <v>18419.03300076746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18375134.691481199</v>
      </c>
      <c r="D35" s="82">
        <v>365310.82885648502</v>
      </c>
      <c r="E35" s="83">
        <v>803683.82348426711</v>
      </c>
      <c r="F35" s="82">
        <v>438372.99462778203</v>
      </c>
      <c r="G35" s="83">
        <v>292248.66308518802</v>
      </c>
      <c r="H35" s="82">
        <v>328779.74597083649</v>
      </c>
      <c r="I35" s="82">
        <v>292248.66308518802</v>
      </c>
      <c r="J35" s="83">
        <v>328779.74597083649</v>
      </c>
      <c r="K35" s="82">
        <v>328779.74597083649</v>
      </c>
      <c r="L35" s="82">
        <v>401841.91174213355</v>
      </c>
      <c r="M35" s="82">
        <v>694090.57482732157</v>
      </c>
      <c r="N35" s="83">
        <v>694090.57482732157</v>
      </c>
      <c r="O35" s="83">
        <v>328779.74597083649</v>
      </c>
      <c r="P35" s="83">
        <v>694090.57482732157</v>
      </c>
      <c r="Q35" s="83">
        <v>621028.40905602451</v>
      </c>
      <c r="R35" s="83">
        <v>657559.49194167298</v>
      </c>
      <c r="S35" s="83">
        <v>328779.74597083649</v>
      </c>
      <c r="T35" s="82">
        <v>365310.82885648502</v>
      </c>
      <c r="U35" s="83">
        <v>1388181.1496546431</v>
      </c>
      <c r="V35" s="83">
        <v>547966.24328472756</v>
      </c>
      <c r="W35" s="83">
        <v>584497.32617037604</v>
      </c>
      <c r="X35" s="83">
        <v>876745.98925556405</v>
      </c>
      <c r="Y35" s="82">
        <v>219186.49731389101</v>
      </c>
      <c r="Z35" s="83">
        <v>474904.0775134305</v>
      </c>
      <c r="AA35" s="82">
        <v>219186.49731389101</v>
      </c>
      <c r="AB35" s="82">
        <v>474904.0775134305</v>
      </c>
      <c r="AC35" s="82">
        <v>255717.58019953952</v>
      </c>
      <c r="AD35" s="82">
        <v>657559.49194167298</v>
      </c>
      <c r="AE35" s="82">
        <v>292248.66308518802</v>
      </c>
      <c r="AF35" s="82">
        <v>730621.65771297005</v>
      </c>
      <c r="AG35" s="82">
        <v>292248.66308518802</v>
      </c>
      <c r="AH35" s="82">
        <v>584497.32617037604</v>
      </c>
      <c r="AI35" s="82">
        <v>1826554.1442824251</v>
      </c>
      <c r="AJ35" s="83">
        <v>401841.91174213355</v>
      </c>
      <c r="AK35" s="82">
        <v>292248.66308518802</v>
      </c>
      <c r="AL35" s="83">
        <v>292248.66308518802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16000000</v>
      </c>
      <c r="D36" s="82">
        <v>400000</v>
      </c>
      <c r="E36" s="83">
        <v>550000</v>
      </c>
      <c r="F36" s="82">
        <v>400000</v>
      </c>
      <c r="G36" s="83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550000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6152064.4666155027</v>
      </c>
      <c r="D37" s="82">
        <v>125349.19416730621</v>
      </c>
      <c r="E37" s="83">
        <v>263768.22716807364</v>
      </c>
      <c r="F37" s="82">
        <v>148419.03300076746</v>
      </c>
      <c r="G37" s="83">
        <v>102279.35533384497</v>
      </c>
      <c r="H37" s="82">
        <v>113814.2747505756</v>
      </c>
      <c r="I37" s="82">
        <v>102279.35533384497</v>
      </c>
      <c r="J37" s="83">
        <v>113814.2747505756</v>
      </c>
      <c r="K37" s="82">
        <v>113814.2747505756</v>
      </c>
      <c r="L37" s="82">
        <v>136884.11358403682</v>
      </c>
      <c r="M37" s="82">
        <v>229163.46891788181</v>
      </c>
      <c r="N37" s="83">
        <v>229163.46891788181</v>
      </c>
      <c r="O37" s="83">
        <v>113814.2747505756</v>
      </c>
      <c r="P37" s="83">
        <v>229163.46891788181</v>
      </c>
      <c r="Q37" s="83">
        <v>206093.63008442055</v>
      </c>
      <c r="R37" s="83">
        <v>217628.5495011512</v>
      </c>
      <c r="S37" s="83">
        <v>113814.2747505756</v>
      </c>
      <c r="T37" s="82">
        <v>125349.19416730621</v>
      </c>
      <c r="U37" s="83">
        <v>448326.93783576362</v>
      </c>
      <c r="V37" s="83">
        <v>183023.79125095933</v>
      </c>
      <c r="W37" s="83">
        <v>194558.71066768994</v>
      </c>
      <c r="X37" s="83">
        <v>286838.06600153493</v>
      </c>
      <c r="Y37" s="82">
        <v>79209.516500383732</v>
      </c>
      <c r="Z37" s="83">
        <v>159953.95241749808</v>
      </c>
      <c r="AA37" s="82">
        <v>79209.516500383732</v>
      </c>
      <c r="AB37" s="82">
        <v>159953.95241749808</v>
      </c>
      <c r="AC37" s="82">
        <v>90744.435917114344</v>
      </c>
      <c r="AD37" s="82">
        <v>217628.5495011512</v>
      </c>
      <c r="AE37" s="82">
        <v>102279.35533384497</v>
      </c>
      <c r="AF37" s="82">
        <v>240698.38833461242</v>
      </c>
      <c r="AG37" s="82">
        <v>102279.35533384497</v>
      </c>
      <c r="AH37" s="82">
        <v>194558.71066768994</v>
      </c>
      <c r="AI37" s="82">
        <v>586745.97083653114</v>
      </c>
      <c r="AJ37" s="83">
        <v>136884.11358403682</v>
      </c>
      <c r="AK37" s="82">
        <v>102279.35533384497</v>
      </c>
      <c r="AL37" s="83">
        <v>102279.35533384497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8492709.1327705272</v>
      </c>
      <c r="D38" s="82">
        <v>168841.13584036837</v>
      </c>
      <c r="E38" s="83">
        <v>371450.49884881044</v>
      </c>
      <c r="F38" s="82">
        <v>202609.36300844204</v>
      </c>
      <c r="G38" s="83">
        <v>135072.9086722947</v>
      </c>
      <c r="H38" s="82">
        <v>151957.02225633152</v>
      </c>
      <c r="I38" s="82">
        <v>135072.9086722947</v>
      </c>
      <c r="J38" s="83">
        <v>151957.02225633152</v>
      </c>
      <c r="K38" s="82">
        <v>151957.02225633152</v>
      </c>
      <c r="L38" s="82">
        <v>185725.24942440522</v>
      </c>
      <c r="M38" s="82">
        <v>320798.15809669992</v>
      </c>
      <c r="N38" s="83">
        <v>320798.15809669992</v>
      </c>
      <c r="O38" s="83">
        <v>151957.02225633152</v>
      </c>
      <c r="P38" s="83">
        <v>320798.15809669992</v>
      </c>
      <c r="Q38" s="83">
        <v>287029.93092862621</v>
      </c>
      <c r="R38" s="83">
        <v>303914.04451266304</v>
      </c>
      <c r="S38" s="83">
        <v>151957.02225633152</v>
      </c>
      <c r="T38" s="82">
        <v>168841.13584036837</v>
      </c>
      <c r="U38" s="83">
        <v>641596.31619339983</v>
      </c>
      <c r="V38" s="83">
        <v>253261.70376055257</v>
      </c>
      <c r="W38" s="83">
        <v>270145.81734458939</v>
      </c>
      <c r="X38" s="83">
        <v>405218.72601688409</v>
      </c>
      <c r="Y38" s="82">
        <v>101304.68150422102</v>
      </c>
      <c r="Z38" s="83">
        <v>219493.47659247887</v>
      </c>
      <c r="AA38" s="83">
        <v>101304.68150422102</v>
      </c>
      <c r="AB38" s="82">
        <v>219493.47659247887</v>
      </c>
      <c r="AC38" s="82">
        <v>118188.79508825786</v>
      </c>
      <c r="AD38" s="82">
        <v>303914.04451266304</v>
      </c>
      <c r="AE38" s="82">
        <v>135072.9086722947</v>
      </c>
      <c r="AF38" s="82">
        <v>337682.27168073674</v>
      </c>
      <c r="AG38" s="82">
        <v>135072.9086722947</v>
      </c>
      <c r="AH38" s="82">
        <v>270145.81734458939</v>
      </c>
      <c r="AI38" s="82">
        <v>844205.67920184182</v>
      </c>
      <c r="AJ38" s="83">
        <v>185725.24942440522</v>
      </c>
      <c r="AK38" s="82">
        <v>135072.9086722947</v>
      </c>
      <c r="AL38" s="83">
        <v>135072.9086722947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5000000</v>
      </c>
      <c r="D39" s="82"/>
      <c r="E39" s="83"/>
      <c r="F39" s="82"/>
      <c r="G39" s="83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5000000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23464969.301611669</v>
      </c>
      <c r="D40" s="82">
        <v>466500.38372985413</v>
      </c>
      <c r="E40" s="83">
        <v>1026300.8442056791</v>
      </c>
      <c r="F40" s="82">
        <v>559800.46047582501</v>
      </c>
      <c r="G40" s="83">
        <v>373200.30698388332</v>
      </c>
      <c r="H40" s="82">
        <v>419850.34535686875</v>
      </c>
      <c r="I40" s="82">
        <v>373200.30698388332</v>
      </c>
      <c r="J40" s="83">
        <v>419850.34535686875</v>
      </c>
      <c r="K40" s="82">
        <v>419850.34535686875</v>
      </c>
      <c r="L40" s="82">
        <v>513150.42210283957</v>
      </c>
      <c r="M40" s="82">
        <v>886350.72908672283</v>
      </c>
      <c r="N40" s="83">
        <v>886350.72908672283</v>
      </c>
      <c r="O40" s="83">
        <v>419850.34535686875</v>
      </c>
      <c r="P40" s="83">
        <v>886350.72908672283</v>
      </c>
      <c r="Q40" s="83">
        <v>793050.65234075207</v>
      </c>
      <c r="R40" s="83">
        <v>839700.69071373751</v>
      </c>
      <c r="S40" s="83">
        <v>419850.34535686875</v>
      </c>
      <c r="T40" s="82">
        <v>466500.38372985413</v>
      </c>
      <c r="U40" s="83">
        <v>1772701.4581734457</v>
      </c>
      <c r="V40" s="83">
        <v>699750.5755947812</v>
      </c>
      <c r="W40" s="83">
        <v>746400.61396776664</v>
      </c>
      <c r="X40" s="83">
        <v>1119600.92095165</v>
      </c>
      <c r="Y40" s="82">
        <v>279900.2302379125</v>
      </c>
      <c r="Z40" s="83">
        <v>606450.49884881044</v>
      </c>
      <c r="AA40" s="82">
        <v>279900.2302379125</v>
      </c>
      <c r="AB40" s="82">
        <v>606450.49884881044</v>
      </c>
      <c r="AC40" s="82">
        <v>326550.26861089788</v>
      </c>
      <c r="AD40" s="82">
        <v>839700.69071373751</v>
      </c>
      <c r="AE40" s="82">
        <v>373200.30698388332</v>
      </c>
      <c r="AF40" s="82">
        <v>933000.76745970827</v>
      </c>
      <c r="AG40" s="82">
        <v>373200.30698388332</v>
      </c>
      <c r="AH40" s="82">
        <v>746400.61396776664</v>
      </c>
      <c r="AI40" s="82">
        <v>2332501.9186492707</v>
      </c>
      <c r="AJ40" s="83">
        <v>513150.42210283957</v>
      </c>
      <c r="AK40" s="82">
        <v>373200.30698388332</v>
      </c>
      <c r="AL40" s="83">
        <v>373200.30698388332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71828208.261703759</v>
      </c>
      <c r="D41" s="82">
        <v>231680.73676132003</v>
      </c>
      <c r="E41" s="82">
        <v>1509698</v>
      </c>
      <c r="F41" s="82">
        <v>1303017</v>
      </c>
      <c r="G41" s="83">
        <v>185344.58940905603</v>
      </c>
      <c r="H41" s="82">
        <v>208512.66308518805</v>
      </c>
      <c r="I41" s="82">
        <v>185344.58940905603</v>
      </c>
      <c r="J41" s="83">
        <v>208512.66308518805</v>
      </c>
      <c r="K41" s="68">
        <v>208512.66308518805</v>
      </c>
      <c r="L41" s="68">
        <v>2814849</v>
      </c>
      <c r="M41" s="82">
        <v>3840193</v>
      </c>
      <c r="N41" s="82">
        <v>2440193</v>
      </c>
      <c r="O41" s="82">
        <v>4378513</v>
      </c>
      <c r="P41" s="68">
        <v>3290193</v>
      </c>
      <c r="Q41" s="83">
        <v>1933857</v>
      </c>
      <c r="R41" s="83">
        <v>6650359</v>
      </c>
      <c r="S41" s="83">
        <v>1958513</v>
      </c>
      <c r="T41" s="68">
        <v>231680.73676132003</v>
      </c>
      <c r="U41" s="82">
        <v>880386.7996930161</v>
      </c>
      <c r="V41" s="83">
        <v>1740854</v>
      </c>
      <c r="W41" s="82">
        <v>3670689</v>
      </c>
      <c r="X41" s="90">
        <v>556033.76822716813</v>
      </c>
      <c r="Y41" s="82">
        <v>139008.44205679203</v>
      </c>
      <c r="Z41" s="83">
        <v>499185</v>
      </c>
      <c r="AA41" s="82">
        <v>2889008</v>
      </c>
      <c r="AB41" s="82">
        <v>301184.95778971608</v>
      </c>
      <c r="AC41" s="82">
        <v>1282177</v>
      </c>
      <c r="AD41" s="82">
        <v>2067025</v>
      </c>
      <c r="AE41" s="82">
        <v>185344.58940905603</v>
      </c>
      <c r="AF41" s="82">
        <v>463361.47352264007</v>
      </c>
      <c r="AG41" s="68">
        <v>5460345</v>
      </c>
      <c r="AH41" s="82">
        <v>6150689</v>
      </c>
      <c r="AI41" s="68">
        <v>7213404</v>
      </c>
      <c r="AJ41" s="68">
        <v>2479849</v>
      </c>
      <c r="AK41" s="68">
        <v>4085345</v>
      </c>
      <c r="AL41" s="83">
        <v>185344.58940905603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9568000</v>
      </c>
      <c r="D42" s="82"/>
      <c r="E42" s="83">
        <v>150000</v>
      </c>
      <c r="F42" s="82">
        <v>195000</v>
      </c>
      <c r="G42" s="82"/>
      <c r="H42" s="82">
        <v>955000</v>
      </c>
      <c r="I42" s="82">
        <v>80000</v>
      </c>
      <c r="J42" s="82"/>
      <c r="L42" s="68">
        <v>550000</v>
      </c>
      <c r="M42" s="68">
        <v>375000</v>
      </c>
      <c r="N42" s="82">
        <v>80000</v>
      </c>
      <c r="O42" s="82">
        <v>370000</v>
      </c>
      <c r="P42" s="68">
        <v>120000</v>
      </c>
      <c r="Q42" s="82">
        <v>610000</v>
      </c>
      <c r="R42" s="68">
        <v>210000</v>
      </c>
      <c r="S42" s="82">
        <v>825000</v>
      </c>
      <c r="T42" s="68">
        <v>500000</v>
      </c>
      <c r="U42" s="82"/>
      <c r="V42" s="82"/>
      <c r="W42" s="82"/>
      <c r="X42" s="82">
        <v>850000</v>
      </c>
      <c r="Y42" s="82"/>
      <c r="Z42" s="82">
        <v>70000</v>
      </c>
      <c r="AA42" s="82">
        <v>55000</v>
      </c>
      <c r="AB42" s="82"/>
      <c r="AC42" s="82"/>
      <c r="AD42" s="82"/>
      <c r="AE42" s="82">
        <v>120000</v>
      </c>
      <c r="AF42" s="82">
        <v>90000</v>
      </c>
      <c r="AG42" s="68">
        <v>250000</v>
      </c>
      <c r="AH42" s="82">
        <v>783000</v>
      </c>
      <c r="AI42" s="68">
        <v>1175000</v>
      </c>
      <c r="AJ42" s="68">
        <v>205000</v>
      </c>
      <c r="AK42" s="68">
        <v>700000</v>
      </c>
      <c r="AL42" s="82">
        <v>250000</v>
      </c>
    </row>
    <row r="43" spans="1:38" s="68" customFormat="1" ht="54.5" customHeight="1" x14ac:dyDescent="0.3">
      <c r="A43" s="135"/>
      <c r="B43" s="69" t="s">
        <v>103</v>
      </c>
      <c r="C43" s="62">
        <f t="shared" si="4"/>
        <v>29883000</v>
      </c>
      <c r="D43" s="82">
        <v>555000</v>
      </c>
      <c r="E43" s="82">
        <v>1125000</v>
      </c>
      <c r="F43" s="82">
        <v>135000</v>
      </c>
      <c r="G43" s="67">
        <v>250000</v>
      </c>
      <c r="H43" s="67">
        <v>1436000</v>
      </c>
      <c r="I43" s="67">
        <v>750000</v>
      </c>
      <c r="J43" s="82">
        <v>220000</v>
      </c>
      <c r="K43" s="82">
        <v>372000</v>
      </c>
      <c r="L43" s="68">
        <v>455000</v>
      </c>
      <c r="M43" s="68">
        <v>420000</v>
      </c>
      <c r="N43" s="82">
        <v>560000</v>
      </c>
      <c r="O43" s="68">
        <v>3166000</v>
      </c>
      <c r="P43" s="68">
        <v>1335000</v>
      </c>
      <c r="Q43" s="68">
        <v>1650000</v>
      </c>
      <c r="R43" s="68">
        <v>2375000</v>
      </c>
      <c r="S43" s="82">
        <v>1020000</v>
      </c>
      <c r="T43" s="82">
        <v>325000</v>
      </c>
      <c r="U43" s="68">
        <v>1482000</v>
      </c>
      <c r="V43" s="82"/>
      <c r="W43" s="82">
        <v>1160000</v>
      </c>
      <c r="X43" s="83">
        <v>292000</v>
      </c>
      <c r="Y43" s="68">
        <v>385000</v>
      </c>
      <c r="Z43" s="82">
        <v>640000</v>
      </c>
      <c r="AA43" s="82">
        <v>1035000</v>
      </c>
      <c r="AB43" s="82">
        <v>952000</v>
      </c>
      <c r="AC43" s="82">
        <v>807000</v>
      </c>
      <c r="AD43" s="68">
        <v>1036000</v>
      </c>
      <c r="AE43" s="82">
        <v>800000</v>
      </c>
      <c r="AF43" s="68">
        <v>990000</v>
      </c>
      <c r="AG43" s="68">
        <v>190000</v>
      </c>
      <c r="AH43" s="68">
        <v>1370000</v>
      </c>
      <c r="AI43" s="68">
        <v>2200000</v>
      </c>
      <c r="AJ43" s="68">
        <v>120000</v>
      </c>
      <c r="AK43" s="82">
        <v>175000</v>
      </c>
      <c r="AL43" s="68">
        <v>100000</v>
      </c>
    </row>
    <row r="44" spans="1:38" s="93" customFormat="1" ht="13" x14ac:dyDescent="0.3">
      <c r="A44" s="91" t="s">
        <v>45</v>
      </c>
      <c r="B44" s="92"/>
      <c r="C44" s="62">
        <f>SUM(C30:C43)</f>
        <v>260504691.11967638</v>
      </c>
      <c r="D44" s="92">
        <f t="shared" ref="D44:AL44" si="5">SUM(D30:D43)</f>
        <v>3665787.4303914737</v>
      </c>
      <c r="E44" s="92">
        <f t="shared" si="5"/>
        <v>8862371.9201332275</v>
      </c>
      <c r="F44" s="92">
        <f t="shared" si="5"/>
        <v>5224977.6223244965</v>
      </c>
      <c r="G44" s="92">
        <f t="shared" si="5"/>
        <v>2842443.2469675229</v>
      </c>
      <c r="H44" s="92">
        <f t="shared" si="5"/>
        <v>5316715.3268270679</v>
      </c>
      <c r="I44" s="92">
        <f t="shared" si="5"/>
        <v>3309848.4959193682</v>
      </c>
      <c r="J44" s="92">
        <f t="shared" si="5"/>
        <v>3323390.8477705475</v>
      </c>
      <c r="K44" s="92">
        <f t="shared" si="5"/>
        <v>3304970.8859357308</v>
      </c>
      <c r="L44" s="92">
        <f t="shared" si="5"/>
        <v>7153428.0364140542</v>
      </c>
      <c r="M44" s="92">
        <f t="shared" si="5"/>
        <v>10135722.909927849</v>
      </c>
      <c r="N44" s="92">
        <f t="shared" si="5"/>
        <v>8403923.5194923207</v>
      </c>
      <c r="O44" s="92">
        <f t="shared" si="5"/>
        <v>10312428.476702116</v>
      </c>
      <c r="P44" s="92">
        <f>SUM(P30:P43)</f>
        <v>10367457.042341067</v>
      </c>
      <c r="Q44" s="92">
        <f t="shared" si="5"/>
        <v>9136152.2753409445</v>
      </c>
      <c r="R44" s="92">
        <f t="shared" si="5"/>
        <v>14390054.65246232</v>
      </c>
      <c r="S44" s="92">
        <f t="shared" si="5"/>
        <v>6564296.4693774777</v>
      </c>
      <c r="T44" s="92">
        <f t="shared" si="5"/>
        <v>4233132.1687204167</v>
      </c>
      <c r="U44" s="92">
        <f t="shared" si="5"/>
        <v>18431941.55588413</v>
      </c>
      <c r="V44" s="92">
        <f t="shared" si="5"/>
        <v>5910884.8858107142</v>
      </c>
      <c r="W44" s="92">
        <f t="shared" si="5"/>
        <v>8669507.7837693077</v>
      </c>
      <c r="X44" s="92">
        <f t="shared" si="5"/>
        <v>8637573.7130538374</v>
      </c>
      <c r="Y44" s="92">
        <f t="shared" si="5"/>
        <v>2478086.188404032</v>
      </c>
      <c r="Z44" s="92">
        <f t="shared" si="5"/>
        <v>5096105.8758122697</v>
      </c>
      <c r="AA44" s="92">
        <f t="shared" si="5"/>
        <v>5898482.7183409762</v>
      </c>
      <c r="AB44" s="92">
        <f t="shared" si="5"/>
        <v>5059888.1054492407</v>
      </c>
      <c r="AC44" s="92">
        <f t="shared" si="5"/>
        <v>4143176.0165047953</v>
      </c>
      <c r="AD44" s="92">
        <f t="shared" si="5"/>
        <v>8007236.4973214613</v>
      </c>
      <c r="AE44" s="92">
        <f t="shared" si="5"/>
        <v>3446659.0070809429</v>
      </c>
      <c r="AF44" s="92">
        <f t="shared" si="5"/>
        <v>7057495.5365424138</v>
      </c>
      <c r="AG44" s="92">
        <f t="shared" si="5"/>
        <v>8306841.36267584</v>
      </c>
      <c r="AH44" s="92">
        <f t="shared" si="5"/>
        <v>12993618.299606448</v>
      </c>
      <c r="AI44" s="92">
        <f t="shared" si="5"/>
        <v>23531325.014463406</v>
      </c>
      <c r="AJ44" s="92">
        <f t="shared" si="5"/>
        <v>5757161.4589142278</v>
      </c>
      <c r="AK44" s="92">
        <f t="shared" si="5"/>
        <v>7425213.5083881039</v>
      </c>
      <c r="AL44" s="92">
        <f t="shared" si="5"/>
        <v>3106392.2646062588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2213954716.4530101</v>
      </c>
      <c r="D45" s="95">
        <f t="shared" si="6"/>
        <v>42594066.430391476</v>
      </c>
      <c r="E45" s="95">
        <f t="shared" si="6"/>
        <v>113684988.92013323</v>
      </c>
      <c r="F45" s="95">
        <f t="shared" si="6"/>
        <v>52542256.622324497</v>
      </c>
      <c r="G45" s="95">
        <f t="shared" si="6"/>
        <v>33636777.246967524</v>
      </c>
      <c r="H45" s="95">
        <f t="shared" si="6"/>
        <v>52880185.326827064</v>
      </c>
      <c r="I45" s="95">
        <f t="shared" si="6"/>
        <v>35747688.495919369</v>
      </c>
      <c r="J45" s="95">
        <f t="shared" si="6"/>
        <v>32560570.847770549</v>
      </c>
      <c r="K45" s="95">
        <f t="shared" si="6"/>
        <v>38265581.885935731</v>
      </c>
      <c r="L45" s="95">
        <f t="shared" si="6"/>
        <v>53075270.036414057</v>
      </c>
      <c r="M45" s="95">
        <f t="shared" si="6"/>
        <v>78181965.909927845</v>
      </c>
      <c r="N45" s="95">
        <f t="shared" si="6"/>
        <v>84987012.519492328</v>
      </c>
      <c r="O45" s="95">
        <f t="shared" si="6"/>
        <v>46231866.476702116</v>
      </c>
      <c r="P45" s="95">
        <f t="shared" si="6"/>
        <v>70822685.042341068</v>
      </c>
      <c r="Q45" s="95">
        <f t="shared" si="6"/>
        <v>46915809.275340945</v>
      </c>
      <c r="R45" s="95">
        <f t="shared" si="6"/>
        <v>95803066.985795647</v>
      </c>
      <c r="S45" s="95">
        <f t="shared" si="6"/>
        <v>42161488.46937748</v>
      </c>
      <c r="T45" s="95">
        <f t="shared" si="6"/>
        <v>39891662.835387081</v>
      </c>
      <c r="U45" s="95">
        <f t="shared" si="6"/>
        <v>186790713.55588412</v>
      </c>
      <c r="V45" s="95">
        <f t="shared" si="6"/>
        <v>64959663.885810718</v>
      </c>
      <c r="W45" s="95">
        <f t="shared" si="6"/>
        <v>72029760.78376931</v>
      </c>
      <c r="X45" s="95">
        <f t="shared" si="6"/>
        <v>96165290.713053837</v>
      </c>
      <c r="Y45" s="95">
        <f t="shared" si="6"/>
        <v>25095238.188404031</v>
      </c>
      <c r="Z45" s="95">
        <f t="shared" si="6"/>
        <v>51129066.87581227</v>
      </c>
      <c r="AA45" s="95">
        <f t="shared" si="6"/>
        <v>32891969.718340978</v>
      </c>
      <c r="AB45" s="95">
        <f t="shared" si="6"/>
        <v>63459254.105449244</v>
      </c>
      <c r="AC45" s="95">
        <f t="shared" si="6"/>
        <v>26537014.016504794</v>
      </c>
      <c r="AD45" s="95">
        <f t="shared" si="6"/>
        <v>68004312.497321457</v>
      </c>
      <c r="AE45" s="95">
        <f t="shared" si="6"/>
        <v>35670517.673747614</v>
      </c>
      <c r="AF45" s="95">
        <f t="shared" si="6"/>
        <v>96011981.203209072</v>
      </c>
      <c r="AG45" s="95">
        <f t="shared" si="6"/>
        <v>43571148.362675838</v>
      </c>
      <c r="AH45" s="95">
        <f t="shared" si="6"/>
        <v>79317873.299606442</v>
      </c>
      <c r="AI45" s="95">
        <f t="shared" si="6"/>
        <v>193031093.01446339</v>
      </c>
      <c r="AJ45" s="95">
        <f t="shared" si="6"/>
        <v>38013728.458914228</v>
      </c>
      <c r="AK45" s="95">
        <f t="shared" si="6"/>
        <v>41334729.508388102</v>
      </c>
      <c r="AL45" s="95">
        <f t="shared" si="6"/>
        <v>39958417.26460626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441496371.66666627</v>
      </c>
      <c r="D46" s="97">
        <f t="shared" si="7"/>
        <v>7828121</v>
      </c>
      <c r="E46" s="97">
        <f t="shared" si="7"/>
        <v>15400383</v>
      </c>
      <c r="F46" s="97">
        <f t="shared" si="7"/>
        <v>11677721</v>
      </c>
      <c r="G46" s="97">
        <f t="shared" si="7"/>
        <v>4053763</v>
      </c>
      <c r="H46" s="97">
        <f t="shared" si="7"/>
        <v>7972530</v>
      </c>
      <c r="I46" s="97">
        <f t="shared" si="7"/>
        <v>4888160</v>
      </c>
      <c r="J46" s="97">
        <f t="shared" si="7"/>
        <v>8058820</v>
      </c>
      <c r="K46" s="97">
        <f t="shared" si="7"/>
        <v>8027389</v>
      </c>
      <c r="L46" s="97">
        <f t="shared" si="7"/>
        <v>17004158</v>
      </c>
      <c r="M46" s="97">
        <f t="shared" si="7"/>
        <v>24985757</v>
      </c>
      <c r="N46" s="97">
        <f t="shared" si="7"/>
        <v>21013911</v>
      </c>
      <c r="O46" s="97">
        <f t="shared" si="7"/>
        <v>6020562</v>
      </c>
      <c r="P46" s="97">
        <f t="shared" si="7"/>
        <v>22151772</v>
      </c>
      <c r="Q46" s="97">
        <f t="shared" si="7"/>
        <v>16698943</v>
      </c>
      <c r="R46" s="97">
        <f t="shared" si="7"/>
        <v>34216987.666666672</v>
      </c>
      <c r="S46" s="97">
        <f t="shared" si="7"/>
        <v>6934808</v>
      </c>
      <c r="T46" s="97">
        <f t="shared" si="7"/>
        <v>13151469.333333336</v>
      </c>
      <c r="U46" s="97">
        <f t="shared" si="7"/>
        <v>10392228</v>
      </c>
      <c r="V46" s="97">
        <f t="shared" si="7"/>
        <v>11518421</v>
      </c>
      <c r="W46" s="97">
        <f t="shared" si="7"/>
        <v>13110747</v>
      </c>
      <c r="X46" s="97">
        <f t="shared" si="7"/>
        <v>11246283</v>
      </c>
      <c r="Y46" s="97">
        <f t="shared" si="7"/>
        <v>5799848</v>
      </c>
      <c r="Z46" s="97">
        <f t="shared" si="7"/>
        <v>11096039</v>
      </c>
      <c r="AA46" s="97">
        <f t="shared" si="7"/>
        <v>16956513</v>
      </c>
      <c r="AB46" s="97">
        <f t="shared" si="7"/>
        <v>12862634</v>
      </c>
      <c r="AC46" s="97">
        <f t="shared" si="7"/>
        <v>5055162</v>
      </c>
      <c r="AD46" s="97">
        <f t="shared" si="7"/>
        <v>12626924</v>
      </c>
      <c r="AE46" s="97">
        <f t="shared" si="7"/>
        <v>1799141.3333333321</v>
      </c>
      <c r="AF46" s="97">
        <f t="shared" si="7"/>
        <v>14042614.333333343</v>
      </c>
      <c r="AG46" s="97">
        <f t="shared" si="7"/>
        <v>10691693</v>
      </c>
      <c r="AH46" s="97">
        <f t="shared" si="7"/>
        <v>19350745</v>
      </c>
      <c r="AI46" s="97">
        <f t="shared" si="7"/>
        <v>27190232</v>
      </c>
      <c r="AJ46" s="97">
        <f t="shared" si="7"/>
        <v>11561433</v>
      </c>
      <c r="AK46" s="97">
        <f t="shared" si="7"/>
        <v>8854484</v>
      </c>
      <c r="AL46" s="97">
        <f t="shared" si="7"/>
        <v>7255975</v>
      </c>
    </row>
    <row r="47" spans="1:38" s="100" customFormat="1" ht="13" x14ac:dyDescent="0.3">
      <c r="A47" s="98" t="s">
        <v>48</v>
      </c>
      <c r="B47" s="98"/>
      <c r="C47" s="62">
        <f>C4-C45</f>
        <v>180991680.54698992</v>
      </c>
      <c r="D47" s="99">
        <f t="shared" ref="D47:AL47" si="8">D4-D45</f>
        <v>4162333.5696085244</v>
      </c>
      <c r="E47" s="99">
        <f t="shared" si="8"/>
        <v>6538011.0798667669</v>
      </c>
      <c r="F47" s="99">
        <f t="shared" si="8"/>
        <v>6452743.3776755035</v>
      </c>
      <c r="G47" s="99">
        <f t="shared" si="8"/>
        <v>1211319.7530324757</v>
      </c>
      <c r="H47" s="99">
        <f t="shared" si="8"/>
        <v>2655814.6731729358</v>
      </c>
      <c r="I47" s="99">
        <f t="shared" si="8"/>
        <v>1578311.5040806308</v>
      </c>
      <c r="J47" s="99">
        <f t="shared" si="8"/>
        <v>4735429.1522294506</v>
      </c>
      <c r="K47" s="99">
        <f t="shared" si="8"/>
        <v>4722418.1140642688</v>
      </c>
      <c r="L47" s="99">
        <f t="shared" si="8"/>
        <v>9850729.963585943</v>
      </c>
      <c r="M47" s="99">
        <f t="shared" si="8"/>
        <v>14850034.090072155</v>
      </c>
      <c r="N47" s="99">
        <f t="shared" si="8"/>
        <v>12609987.480507672</v>
      </c>
      <c r="O47" s="99">
        <f t="shared" si="8"/>
        <v>-4291866.4767021164</v>
      </c>
      <c r="P47" s="99">
        <f t="shared" si="8"/>
        <v>11784314.957658932</v>
      </c>
      <c r="Q47" s="99">
        <f t="shared" si="8"/>
        <v>7562790.7246590555</v>
      </c>
      <c r="R47" s="99">
        <f t="shared" si="8"/>
        <v>19826933.014204353</v>
      </c>
      <c r="S47" s="99">
        <f t="shared" si="8"/>
        <v>370511.53062251955</v>
      </c>
      <c r="T47" s="99">
        <f t="shared" si="8"/>
        <v>8918337.1646129191</v>
      </c>
      <c r="U47" s="99">
        <f t="shared" si="8"/>
        <v>-8039713.5558841228</v>
      </c>
      <c r="V47" s="99">
        <f t="shared" si="8"/>
        <v>5607536.1141892821</v>
      </c>
      <c r="W47" s="99">
        <f t="shared" si="8"/>
        <v>4441239.2162306905</v>
      </c>
      <c r="X47" s="99">
        <f t="shared" si="8"/>
        <v>2608709.2869461626</v>
      </c>
      <c r="Y47" s="99">
        <f t="shared" si="8"/>
        <v>3321761.8115959689</v>
      </c>
      <c r="Z47" s="99">
        <f t="shared" si="8"/>
        <v>5999933.1241877303</v>
      </c>
      <c r="AA47" s="99">
        <f t="shared" si="8"/>
        <v>11058030.281659022</v>
      </c>
      <c r="AB47" s="99">
        <f t="shared" si="8"/>
        <v>7802745.8945507556</v>
      </c>
      <c r="AC47" s="99">
        <f t="shared" si="8"/>
        <v>911985.98349520564</v>
      </c>
      <c r="AD47" s="99">
        <f t="shared" si="8"/>
        <v>4619687.5026785433</v>
      </c>
      <c r="AE47" s="99">
        <f t="shared" si="8"/>
        <v>-1647517.673747614</v>
      </c>
      <c r="AF47" s="99">
        <f t="shared" si="8"/>
        <v>6985118.7967909276</v>
      </c>
      <c r="AG47" s="99">
        <f t="shared" si="8"/>
        <v>2384851.6373241618</v>
      </c>
      <c r="AH47" s="99">
        <f t="shared" si="8"/>
        <v>6357126.7003935575</v>
      </c>
      <c r="AI47" s="99">
        <f t="shared" si="8"/>
        <v>3658906.9855366051</v>
      </c>
      <c r="AJ47" s="99">
        <f t="shared" si="8"/>
        <v>5804271.5410857722</v>
      </c>
      <c r="AK47" s="99">
        <f t="shared" si="8"/>
        <v>1429270.4916118979</v>
      </c>
      <c r="AL47" s="99">
        <f t="shared" si="8"/>
        <v>4149582.7353937402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1953450025.3333337</v>
      </c>
      <c r="D48" s="61">
        <f t="shared" si="9"/>
        <v>38928279</v>
      </c>
      <c r="E48" s="61">
        <f t="shared" si="9"/>
        <v>104822617</v>
      </c>
      <c r="F48" s="61">
        <f t="shared" si="9"/>
        <v>47317279</v>
      </c>
      <c r="G48" s="61">
        <f t="shared" si="9"/>
        <v>30794334</v>
      </c>
      <c r="H48" s="61">
        <f t="shared" si="9"/>
        <v>47563470</v>
      </c>
      <c r="I48" s="61">
        <f t="shared" si="9"/>
        <v>32437840</v>
      </c>
      <c r="J48" s="61">
        <f t="shared" si="9"/>
        <v>29237180</v>
      </c>
      <c r="K48" s="61">
        <f t="shared" si="9"/>
        <v>34960611</v>
      </c>
      <c r="L48" s="61">
        <f t="shared" si="9"/>
        <v>45921842</v>
      </c>
      <c r="M48" s="61">
        <f t="shared" si="9"/>
        <v>68046243</v>
      </c>
      <c r="N48" s="61">
        <f t="shared" si="9"/>
        <v>76583089</v>
      </c>
      <c r="O48" s="61">
        <f t="shared" si="9"/>
        <v>35919438</v>
      </c>
      <c r="P48" s="61">
        <f t="shared" si="9"/>
        <v>60455228</v>
      </c>
      <c r="Q48" s="61">
        <f t="shared" si="9"/>
        <v>37779657</v>
      </c>
      <c r="R48" s="61">
        <f t="shared" si="9"/>
        <v>81413012.333333328</v>
      </c>
      <c r="S48" s="61">
        <f t="shared" si="9"/>
        <v>35597192</v>
      </c>
      <c r="T48" s="61">
        <f t="shared" si="9"/>
        <v>35658530.666666664</v>
      </c>
      <c r="U48" s="61">
        <f t="shared" si="9"/>
        <v>168358772</v>
      </c>
      <c r="V48" s="61">
        <f t="shared" si="9"/>
        <v>59048779</v>
      </c>
      <c r="W48" s="61">
        <f t="shared" si="9"/>
        <v>63360253</v>
      </c>
      <c r="X48" s="61">
        <f t="shared" si="9"/>
        <v>87527717</v>
      </c>
      <c r="Y48" s="61">
        <f t="shared" si="9"/>
        <v>22617152</v>
      </c>
      <c r="Z48" s="61">
        <f t="shared" si="9"/>
        <v>46032961</v>
      </c>
      <c r="AA48" s="61">
        <f t="shared" si="9"/>
        <v>26993487</v>
      </c>
      <c r="AB48" s="61">
        <f t="shared" si="9"/>
        <v>58399366</v>
      </c>
      <c r="AC48" s="61">
        <f t="shared" si="9"/>
        <v>22393838</v>
      </c>
      <c r="AD48" s="61">
        <f t="shared" si="9"/>
        <v>59997076</v>
      </c>
      <c r="AE48" s="61">
        <f t="shared" si="9"/>
        <v>32223858.666666668</v>
      </c>
      <c r="AF48" s="61">
        <f t="shared" si="9"/>
        <v>88954485.666666657</v>
      </c>
      <c r="AG48" s="61">
        <f t="shared" si="9"/>
        <v>35264307</v>
      </c>
      <c r="AH48" s="61">
        <f t="shared" si="9"/>
        <v>66324255</v>
      </c>
      <c r="AI48" s="61">
        <f t="shared" si="9"/>
        <v>169499768</v>
      </c>
      <c r="AJ48" s="61">
        <f t="shared" si="9"/>
        <v>32256567</v>
      </c>
      <c r="AK48" s="61">
        <f t="shared" si="9"/>
        <v>33909516</v>
      </c>
      <c r="AL48" s="61">
        <f t="shared" si="9"/>
        <v>36852025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7.5572330459548864E-2</v>
      </c>
      <c r="D49" s="101">
        <f t="shared" si="10"/>
        <v>8.9021686220678339E-2</v>
      </c>
      <c r="E49" s="101">
        <f t="shared" si="10"/>
        <v>5.438236510373861E-2</v>
      </c>
      <c r="F49" s="101">
        <f t="shared" si="10"/>
        <v>0.10937780113018906</v>
      </c>
      <c r="G49" s="101">
        <f t="shared" si="10"/>
        <v>3.4759997168065611E-2</v>
      </c>
      <c r="H49" s="101">
        <f t="shared" si="10"/>
        <v>4.7821497284156869E-2</v>
      </c>
      <c r="I49" s="101">
        <f t="shared" si="10"/>
        <v>4.2284506887441217E-2</v>
      </c>
      <c r="J49" s="101">
        <f t="shared" si="10"/>
        <v>0.12696882111297325</v>
      </c>
      <c r="K49" s="101">
        <f t="shared" si="10"/>
        <v>0.10985433409473036</v>
      </c>
      <c r="L49" s="101">
        <f t="shared" si="10"/>
        <v>0.15654467094024638</v>
      </c>
      <c r="M49" s="101">
        <f t="shared" si="10"/>
        <v>0.15962286191925526</v>
      </c>
      <c r="N49" s="101">
        <f t="shared" si="10"/>
        <v>0.12920466285344501</v>
      </c>
      <c r="O49" s="101">
        <f t="shared" si="10"/>
        <v>-0.10233348776113774</v>
      </c>
      <c r="P49" s="101">
        <f t="shared" si="10"/>
        <v>0.14265516188287836</v>
      </c>
      <c r="Q49" s="101">
        <f t="shared" si="10"/>
        <v>0.1388213119400839</v>
      </c>
      <c r="R49" s="101">
        <f t="shared" si="10"/>
        <v>0.17146876255473797</v>
      </c>
      <c r="S49" s="101">
        <f t="shared" si="10"/>
        <v>8.7113592265240184E-3</v>
      </c>
      <c r="T49" s="101">
        <f t="shared" si="10"/>
        <v>0.1827153690762737</v>
      </c>
      <c r="U49" s="101">
        <f t="shared" si="10"/>
        <v>-4.4977166873942653E-2</v>
      </c>
      <c r="V49" s="101">
        <f t="shared" si="10"/>
        <v>7.9463775156011315E-2</v>
      </c>
      <c r="W49" s="101">
        <f t="shared" si="10"/>
        <v>5.8077430872235103E-2</v>
      </c>
      <c r="X49" s="101">
        <f t="shared" si="10"/>
        <v>2.6410890385588946E-2</v>
      </c>
      <c r="Y49" s="101">
        <f t="shared" si="10"/>
        <v>0.11689347262539919</v>
      </c>
      <c r="Z49" s="101">
        <f t="shared" si="10"/>
        <v>0.10502429806556618</v>
      </c>
      <c r="AA49" s="101">
        <f t="shared" si="10"/>
        <v>0.25160478456562052</v>
      </c>
      <c r="AB49" s="101">
        <f t="shared" si="10"/>
        <v>0.10949378202338912</v>
      </c>
      <c r="AC49" s="101">
        <f t="shared" si="10"/>
        <v>3.3224743469532796E-2</v>
      </c>
      <c r="AD49" s="101">
        <f t="shared" si="10"/>
        <v>6.3611030825602322E-2</v>
      </c>
      <c r="AE49" s="101">
        <f t="shared" si="10"/>
        <v>-4.8423644997431563E-2</v>
      </c>
      <c r="AF49" s="101">
        <f t="shared" si="10"/>
        <v>6.7818596803122883E-2</v>
      </c>
      <c r="AG49" s="101">
        <f t="shared" si="10"/>
        <v>5.1894238778922484E-2</v>
      </c>
      <c r="AH49" s="101">
        <f t="shared" si="10"/>
        <v>7.4200486727675027E-2</v>
      </c>
      <c r="AI49" s="101">
        <f t="shared" si="10"/>
        <v>1.8602404725896613E-2</v>
      </c>
      <c r="AJ49" s="101">
        <f t="shared" si="10"/>
        <v>0.13246317817074654</v>
      </c>
      <c r="AK49" s="101">
        <f t="shared" si="10"/>
        <v>3.3422282565052336E-2</v>
      </c>
      <c r="AL49" s="101">
        <f t="shared" si="10"/>
        <v>9.4077780343559902E-2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0.18434499086063105</v>
      </c>
      <c r="D50" s="101">
        <f t="shared" si="11"/>
        <v>0.16742351849158618</v>
      </c>
      <c r="E50" s="101">
        <f t="shared" si="11"/>
        <v>0.12809847533333887</v>
      </c>
      <c r="F50" s="101">
        <f t="shared" si="11"/>
        <v>0.19794424951267056</v>
      </c>
      <c r="G50" s="101">
        <f t="shared" si="11"/>
        <v>0.11632666770871304</v>
      </c>
      <c r="H50" s="101">
        <f t="shared" si="11"/>
        <v>0.14355607173725152</v>
      </c>
      <c r="I50" s="101">
        <f t="shared" si="11"/>
        <v>0.13095858114986872</v>
      </c>
      <c r="J50" s="101">
        <f t="shared" si="11"/>
        <v>0.21607732732732732</v>
      </c>
      <c r="K50" s="101">
        <f t="shared" si="11"/>
        <v>0.18673557737042895</v>
      </c>
      <c r="L50" s="101">
        <f t="shared" si="11"/>
        <v>0.2702246766042653</v>
      </c>
      <c r="M50" s="101">
        <f t="shared" si="11"/>
        <v>0.26857164201565054</v>
      </c>
      <c r="N50" s="101">
        <f t="shared" si="11"/>
        <v>0.21531308339395677</v>
      </c>
      <c r="O50" s="101">
        <f t="shared" si="11"/>
        <v>0.14355178826895565</v>
      </c>
      <c r="P50" s="101">
        <f t="shared" si="11"/>
        <v>0.26815853378043025</v>
      </c>
      <c r="Q50" s="101">
        <f t="shared" si="11"/>
        <v>0.30652298333657618</v>
      </c>
      <c r="R50" s="101">
        <f t="shared" si="11"/>
        <v>0.29591790769408172</v>
      </c>
      <c r="S50" s="101">
        <f t="shared" si="11"/>
        <v>0.16304918649487446</v>
      </c>
      <c r="T50" s="101">
        <f t="shared" si="11"/>
        <v>0.2694421088574746</v>
      </c>
      <c r="U50" s="101">
        <f t="shared" si="11"/>
        <v>5.8138013213912092E-2</v>
      </c>
      <c r="V50" s="101">
        <f t="shared" si="11"/>
        <v>0.16322627226246755</v>
      </c>
      <c r="W50" s="101">
        <f t="shared" si="11"/>
        <v>0.17144730682219403</v>
      </c>
      <c r="X50" s="101">
        <f t="shared" si="11"/>
        <v>0.11385873812946727</v>
      </c>
      <c r="Y50" s="101">
        <f t="shared" si="11"/>
        <v>0.20409782876447197</v>
      </c>
      <c r="Z50" s="101">
        <f t="shared" si="11"/>
        <v>0.19422778273731381</v>
      </c>
      <c r="AA50" s="101">
        <f t="shared" si="11"/>
        <v>0.38581372013651877</v>
      </c>
      <c r="AB50" s="101">
        <f t="shared" si="11"/>
        <v>0.18049779686228284</v>
      </c>
      <c r="AC50" s="101">
        <f t="shared" si="11"/>
        <v>0.18416561623374259</v>
      </c>
      <c r="AD50" s="101">
        <f t="shared" si="11"/>
        <v>0.17386709627671293</v>
      </c>
      <c r="AE50" s="101">
        <f t="shared" si="11"/>
        <v>5.2880149702652091E-2</v>
      </c>
      <c r="AF50" s="101">
        <f t="shared" si="11"/>
        <v>0.13633990018489203</v>
      </c>
      <c r="AG50" s="101">
        <f t="shared" si="11"/>
        <v>0.23265064409435113</v>
      </c>
      <c r="AH50" s="101">
        <f t="shared" si="11"/>
        <v>0.22586221184709659</v>
      </c>
      <c r="AI50" s="101">
        <f t="shared" si="11"/>
        <v>0.1382390157100005</v>
      </c>
      <c r="AJ50" s="101">
        <f t="shared" si="11"/>
        <v>0.26385122552375734</v>
      </c>
      <c r="AK50" s="101">
        <f t="shared" si="11"/>
        <v>0.20705462538583855</v>
      </c>
      <c r="AL50" s="101">
        <f t="shared" si="11"/>
        <v>0.16450473836945678</v>
      </c>
    </row>
    <row r="51" spans="1:38" s="104" customFormat="1" ht="13" x14ac:dyDescent="0.3">
      <c r="A51" s="101" t="s">
        <v>51</v>
      </c>
      <c r="B51" s="102"/>
      <c r="C51" s="103">
        <f>C47/C48</f>
        <v>9.265232189193362E-2</v>
      </c>
      <c r="D51" s="101">
        <f t="shared" ref="D51:AL51" si="12">D47/D48</f>
        <v>0.10692313342720659</v>
      </c>
      <c r="E51" s="101">
        <f t="shared" si="12"/>
        <v>6.2372141308652568E-2</v>
      </c>
      <c r="F51" s="101">
        <f t="shared" si="12"/>
        <v>0.13637181837263937</v>
      </c>
      <c r="G51" s="101">
        <f t="shared" si="12"/>
        <v>3.9335799664719999E-2</v>
      </c>
      <c r="H51" s="101">
        <f t="shared" si="12"/>
        <v>5.5837277498318266E-2</v>
      </c>
      <c r="I51" s="101">
        <f t="shared" si="12"/>
        <v>4.8656492050044971E-2</v>
      </c>
      <c r="J51" s="101">
        <f t="shared" si="12"/>
        <v>0.16196600192732166</v>
      </c>
      <c r="K51" s="101">
        <f t="shared" si="12"/>
        <v>0.13507824889171041</v>
      </c>
      <c r="L51" s="101">
        <f t="shared" si="12"/>
        <v>0.21451077601778132</v>
      </c>
      <c r="M51" s="101">
        <f t="shared" si="12"/>
        <v>0.21823444521503055</v>
      </c>
      <c r="N51" s="101">
        <f t="shared" si="12"/>
        <v>0.16465759797842147</v>
      </c>
      <c r="O51" s="101">
        <f t="shared" si="12"/>
        <v>-0.1194859027778251</v>
      </c>
      <c r="P51" s="101">
        <f t="shared" si="12"/>
        <v>0.19492631733452287</v>
      </c>
      <c r="Q51" s="101">
        <f t="shared" si="12"/>
        <v>0.20018156132701403</v>
      </c>
      <c r="R51" s="101">
        <f t="shared" si="12"/>
        <v>0.24353518492874282</v>
      </c>
      <c r="S51" s="101">
        <f t="shared" si="12"/>
        <v>1.0408448245651498E-2</v>
      </c>
      <c r="T51" s="101">
        <f t="shared" si="12"/>
        <v>0.25010388812654349</v>
      </c>
      <c r="U51" s="101">
        <f t="shared" si="12"/>
        <v>-4.7753458049005743E-2</v>
      </c>
      <c r="V51" s="101">
        <f t="shared" si="12"/>
        <v>9.4964471901938602E-2</v>
      </c>
      <c r="W51" s="101">
        <f t="shared" si="12"/>
        <v>7.0095036019358861E-2</v>
      </c>
      <c r="X51" s="101">
        <f t="shared" si="12"/>
        <v>2.9804379416707081E-2</v>
      </c>
      <c r="Y51" s="101">
        <f t="shared" si="12"/>
        <v>0.14686914654842348</v>
      </c>
      <c r="Z51" s="101">
        <f t="shared" si="12"/>
        <v>0.13033993455662629</v>
      </c>
      <c r="AA51" s="101">
        <f t="shared" si="12"/>
        <v>0.40965549510735766</v>
      </c>
      <c r="AB51" s="101">
        <f t="shared" si="12"/>
        <v>0.13361011307127471</v>
      </c>
      <c r="AC51" s="101">
        <f t="shared" si="12"/>
        <v>4.072486295092452E-2</v>
      </c>
      <c r="AD51" s="101">
        <f t="shared" si="12"/>
        <v>7.699854410702521E-2</v>
      </c>
      <c r="AE51" s="101">
        <f t="shared" si="12"/>
        <v>-5.1127262280722952E-2</v>
      </c>
      <c r="AF51" s="101">
        <f t="shared" si="12"/>
        <v>7.8524638127477994E-2</v>
      </c>
      <c r="AG51" s="101">
        <f t="shared" si="12"/>
        <v>6.762791729677721E-2</v>
      </c>
      <c r="AH51" s="101">
        <f t="shared" si="12"/>
        <v>9.5849198764366941E-2</v>
      </c>
      <c r="AI51" s="101">
        <f t="shared" si="12"/>
        <v>2.1586501437197276E-2</v>
      </c>
      <c r="AJ51" s="101">
        <f t="shared" si="12"/>
        <v>0.17994077116407869</v>
      </c>
      <c r="AK51" s="101">
        <f t="shared" si="12"/>
        <v>4.2149539722474892E-2</v>
      </c>
      <c r="AL51" s="101">
        <f t="shared" si="12"/>
        <v>0.11260121351252042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0.40995055036067263</v>
      </c>
      <c r="D52" s="101">
        <f t="shared" si="13"/>
        <v>0.53171553807210237</v>
      </c>
      <c r="E52" s="101">
        <f t="shared" si="13"/>
        <v>0.42453561576142407</v>
      </c>
      <c r="F52" s="101">
        <f t="shared" si="13"/>
        <v>0.55256872275639257</v>
      </c>
      <c r="G52" s="101">
        <f t="shared" si="13"/>
        <v>0.29881365857660541</v>
      </c>
      <c r="H52" s="101">
        <f t="shared" si="13"/>
        <v>0.33312068730665623</v>
      </c>
      <c r="I52" s="101">
        <f t="shared" si="13"/>
        <v>0.32288458317252933</v>
      </c>
      <c r="J52" s="101">
        <f t="shared" si="13"/>
        <v>0.58760825433865638</v>
      </c>
      <c r="K52" s="101">
        <f t="shared" si="13"/>
        <v>0.58828818611683931</v>
      </c>
      <c r="L52" s="101">
        <f t="shared" si="13"/>
        <v>0.57931301059340568</v>
      </c>
      <c r="M52" s="101">
        <f t="shared" si="13"/>
        <v>0.59433997097114788</v>
      </c>
      <c r="N52" s="101">
        <f t="shared" si="13"/>
        <v>0.60007808544100483</v>
      </c>
      <c r="O52" s="101">
        <f t="shared" si="13"/>
        <v>-0.71286808053834783</v>
      </c>
      <c r="P52" s="101">
        <f t="shared" si="13"/>
        <v>0.53198069019755767</v>
      </c>
      <c r="Q52" s="101">
        <f t="shared" si="13"/>
        <v>0.45289038501772572</v>
      </c>
      <c r="R52" s="101">
        <f t="shared" si="13"/>
        <v>0.57944706317672878</v>
      </c>
      <c r="S52" s="101">
        <f t="shared" si="13"/>
        <v>5.3427799388608817E-2</v>
      </c>
      <c r="T52" s="101">
        <f t="shared" si="13"/>
        <v>0.67812477363337331</v>
      </c>
      <c r="U52" s="101">
        <f t="shared" si="13"/>
        <v>-0.77362751816878184</v>
      </c>
      <c r="V52" s="101">
        <f t="shared" si="13"/>
        <v>0.48683201579359547</v>
      </c>
      <c r="W52" s="101">
        <f t="shared" si="13"/>
        <v>0.33874799172241599</v>
      </c>
      <c r="X52" s="101">
        <f t="shared" si="13"/>
        <v>0.23196191016588882</v>
      </c>
      <c r="Y52" s="101">
        <f t="shared" si="13"/>
        <v>0.57273256326648025</v>
      </c>
      <c r="Z52" s="101">
        <f t="shared" si="13"/>
        <v>0.54072747258618414</v>
      </c>
      <c r="AA52" s="101">
        <f t="shared" si="13"/>
        <v>0.65214058348311488</v>
      </c>
      <c r="AB52" s="101">
        <f t="shared" si="13"/>
        <v>0.60662115508773362</v>
      </c>
      <c r="AC52" s="101">
        <f t="shared" si="13"/>
        <v>0.18040687588156534</v>
      </c>
      <c r="AD52" s="101">
        <f t="shared" si="13"/>
        <v>0.36586008616813909</v>
      </c>
      <c r="AE52" s="101">
        <f t="shared" si="13"/>
        <v>-0.91572443099575751</v>
      </c>
      <c r="AF52" s="101">
        <f t="shared" si="13"/>
        <v>0.49742296063847297</v>
      </c>
      <c r="AG52" s="101">
        <f t="shared" si="13"/>
        <v>0.22305650165265331</v>
      </c>
      <c r="AH52" s="101">
        <f t="shared" si="13"/>
        <v>0.32852103112275821</v>
      </c>
      <c r="AI52" s="101">
        <f t="shared" si="13"/>
        <v>0.13456696454581943</v>
      </c>
      <c r="AJ52" s="101">
        <f t="shared" si="13"/>
        <v>0.50203738075425186</v>
      </c>
      <c r="AK52" s="101">
        <f t="shared" si="13"/>
        <v>0.16141770560677482</v>
      </c>
      <c r="AL52" s="101">
        <f t="shared" si="13"/>
        <v>0.57188492730387586</v>
      </c>
    </row>
    <row r="53" spans="1:38" s="108" customFormat="1" ht="13" x14ac:dyDescent="0.3">
      <c r="A53" s="106" t="s">
        <v>53</v>
      </c>
      <c r="B53" s="107"/>
      <c r="C53" s="87">
        <f>C45/C46</f>
        <v>5.0146611807821735</v>
      </c>
      <c r="D53" s="106">
        <f t="shared" ref="D53:AL53" si="14">D45/D46</f>
        <v>5.4411609670304628</v>
      </c>
      <c r="E53" s="106">
        <f t="shared" si="14"/>
        <v>7.3819585474032197</v>
      </c>
      <c r="F53" s="106">
        <f t="shared" si="14"/>
        <v>4.4993587894696656</v>
      </c>
      <c r="G53" s="106">
        <f t="shared" si="14"/>
        <v>8.2976674381229305</v>
      </c>
      <c r="H53" s="106">
        <f t="shared" si="14"/>
        <v>6.6327985378326657</v>
      </c>
      <c r="I53" s="106">
        <f t="shared" si="14"/>
        <v>7.3131175116852498</v>
      </c>
      <c r="J53" s="106">
        <f t="shared" si="14"/>
        <v>4.0403645754304662</v>
      </c>
      <c r="K53" s="106">
        <f t="shared" si="14"/>
        <v>4.7668777339600377</v>
      </c>
      <c r="L53" s="106">
        <f t="shared" si="14"/>
        <v>3.1213112720085321</v>
      </c>
      <c r="M53" s="106">
        <f t="shared" si="14"/>
        <v>3.1290613252153157</v>
      </c>
      <c r="N53" s="106">
        <f t="shared" si="14"/>
        <v>4.0443215220380599</v>
      </c>
      <c r="O53" s="106">
        <f t="shared" si="14"/>
        <v>7.6789951630266602</v>
      </c>
      <c r="P53" s="106">
        <f t="shared" si="14"/>
        <v>3.1971566447298696</v>
      </c>
      <c r="Q53" s="106">
        <f t="shared" si="14"/>
        <v>2.8095077200599432</v>
      </c>
      <c r="R53" s="106">
        <f t="shared" si="14"/>
        <v>2.799868530774396</v>
      </c>
      <c r="S53" s="106">
        <f t="shared" si="14"/>
        <v>6.0796908103840046</v>
      </c>
      <c r="T53" s="106">
        <f t="shared" si="14"/>
        <v>3.033247603313709</v>
      </c>
      <c r="U53" s="106">
        <f t="shared" si="14"/>
        <v>17.974077700747532</v>
      </c>
      <c r="V53" s="106">
        <f t="shared" si="14"/>
        <v>5.6396327140508857</v>
      </c>
      <c r="W53" s="106">
        <f t="shared" si="14"/>
        <v>5.4939478874673817</v>
      </c>
      <c r="X53" s="106">
        <f t="shared" si="14"/>
        <v>8.5508510423447319</v>
      </c>
      <c r="Y53" s="106">
        <f t="shared" si="14"/>
        <v>4.326878598957081</v>
      </c>
      <c r="Z53" s="106">
        <f t="shared" si="14"/>
        <v>4.6078665437109825</v>
      </c>
      <c r="AA53" s="106">
        <f t="shared" si="14"/>
        <v>1.9397838292779286</v>
      </c>
      <c r="AB53" s="106">
        <f t="shared" si="14"/>
        <v>4.9336126726026137</v>
      </c>
      <c r="AC53" s="106">
        <f t="shared" si="14"/>
        <v>5.2494883480499324</v>
      </c>
      <c r="AD53" s="106">
        <f t="shared" si="14"/>
        <v>5.3856594446376214</v>
      </c>
      <c r="AE53" s="106">
        <f t="shared" si="14"/>
        <v>19.826412196122245</v>
      </c>
      <c r="AF53" s="106">
        <f t="shared" si="14"/>
        <v>6.8371870738700533</v>
      </c>
      <c r="AG53" s="106">
        <f t="shared" si="14"/>
        <v>4.0752337691211151</v>
      </c>
      <c r="AH53" s="106">
        <f t="shared" si="14"/>
        <v>4.0989570840609204</v>
      </c>
      <c r="AI53" s="106">
        <f t="shared" si="14"/>
        <v>7.0992808378561607</v>
      </c>
      <c r="AJ53" s="106">
        <f t="shared" si="14"/>
        <v>3.2879772307562765</v>
      </c>
      <c r="AK53" s="106">
        <f t="shared" si="14"/>
        <v>4.6682256705628582</v>
      </c>
      <c r="AL53" s="106">
        <f t="shared" si="14"/>
        <v>5.5069673289401164</v>
      </c>
    </row>
    <row r="54" spans="1:38" s="110" customFormat="1" x14ac:dyDescent="0.3">
      <c r="A54" s="109" t="s">
        <v>54</v>
      </c>
      <c r="C54" s="111">
        <f t="shared" ref="C54:AL54" si="15">C48/C4</f>
        <v>0.81565500913936895</v>
      </c>
      <c r="D54" s="112">
        <f t="shared" si="15"/>
        <v>0.83257648150841379</v>
      </c>
      <c r="E54" s="112">
        <f t="shared" si="15"/>
        <v>0.87190152466666115</v>
      </c>
      <c r="F54" s="112">
        <f t="shared" si="15"/>
        <v>0.80205575048732947</v>
      </c>
      <c r="G54" s="112">
        <f t="shared" si="15"/>
        <v>0.88367333229128697</v>
      </c>
      <c r="H54" s="112">
        <f t="shared" si="15"/>
        <v>0.85644392826274851</v>
      </c>
      <c r="I54" s="112">
        <f t="shared" si="15"/>
        <v>0.86904141885013131</v>
      </c>
      <c r="J54" s="112">
        <f t="shared" si="15"/>
        <v>0.78392267267267268</v>
      </c>
      <c r="K54" s="112">
        <f t="shared" si="15"/>
        <v>0.81326442262957099</v>
      </c>
      <c r="L54" s="112">
        <f t="shared" si="15"/>
        <v>0.7297753233957347</v>
      </c>
      <c r="M54" s="112">
        <f t="shared" si="15"/>
        <v>0.73142835798434946</v>
      </c>
      <c r="N54" s="112">
        <f t="shared" si="15"/>
        <v>0.78468691660604317</v>
      </c>
      <c r="O54" s="112">
        <f t="shared" si="15"/>
        <v>0.85644821173104435</v>
      </c>
      <c r="P54" s="112">
        <f t="shared" si="15"/>
        <v>0.7318414662195698</v>
      </c>
      <c r="Q54" s="112">
        <f t="shared" si="15"/>
        <v>0.69347701666342376</v>
      </c>
      <c r="R54" s="112">
        <f t="shared" si="15"/>
        <v>0.70408209230591823</v>
      </c>
      <c r="S54" s="112">
        <f t="shared" si="15"/>
        <v>0.83695081350512557</v>
      </c>
      <c r="T54" s="112">
        <f t="shared" si="15"/>
        <v>0.73055789114252534</v>
      </c>
      <c r="U54" s="112">
        <f t="shared" si="15"/>
        <v>0.9418619867860879</v>
      </c>
      <c r="V54" s="112">
        <f t="shared" si="15"/>
        <v>0.83677372773753245</v>
      </c>
      <c r="W54" s="112">
        <f t="shared" si="15"/>
        <v>0.828552693177806</v>
      </c>
      <c r="X54" s="112">
        <f t="shared" si="15"/>
        <v>0.88614126187053277</v>
      </c>
      <c r="Y54" s="112">
        <f t="shared" si="15"/>
        <v>0.79590217123552798</v>
      </c>
      <c r="Z54" s="112">
        <f t="shared" si="15"/>
        <v>0.80577221726268622</v>
      </c>
      <c r="AA54" s="112">
        <f t="shared" si="15"/>
        <v>0.61418627986348118</v>
      </c>
      <c r="AB54" s="112">
        <f t="shared" si="15"/>
        <v>0.81950220313771716</v>
      </c>
      <c r="AC54" s="112">
        <f t="shared" si="15"/>
        <v>0.81583438376625739</v>
      </c>
      <c r="AD54" s="112">
        <f t="shared" si="15"/>
        <v>0.82613290372328707</v>
      </c>
      <c r="AE54" s="112">
        <f t="shared" si="15"/>
        <v>0.94711985029734791</v>
      </c>
      <c r="AF54" s="112">
        <f t="shared" si="15"/>
        <v>0.86366009981510794</v>
      </c>
      <c r="AG54" s="112">
        <f t="shared" si="15"/>
        <v>0.7673493559056489</v>
      </c>
      <c r="AH54" s="112">
        <f t="shared" si="15"/>
        <v>0.77413778815290346</v>
      </c>
      <c r="AI54" s="112">
        <f t="shared" si="15"/>
        <v>0.86176098428999948</v>
      </c>
      <c r="AJ54" s="112">
        <f t="shared" si="15"/>
        <v>0.73614877447624261</v>
      </c>
      <c r="AK54" s="112">
        <f t="shared" si="15"/>
        <v>0.79294537461416148</v>
      </c>
      <c r="AL54" s="112">
        <f t="shared" si="15"/>
        <v>0.83549526163054322</v>
      </c>
    </row>
    <row r="55" spans="1:38" s="110" customFormat="1" x14ac:dyDescent="0.3">
      <c r="A55" s="109" t="s">
        <v>55</v>
      </c>
      <c r="C55" s="111">
        <f t="shared" ref="C55:AL55" si="16">C44/C4</f>
        <v>0.1087726604010822</v>
      </c>
      <c r="D55" s="112">
        <f t="shared" si="16"/>
        <v>7.8401832270907801E-2</v>
      </c>
      <c r="E55" s="112">
        <f t="shared" si="16"/>
        <v>7.3716110229600215E-2</v>
      </c>
      <c r="F55" s="112">
        <f t="shared" si="16"/>
        <v>8.8566448382481511E-2</v>
      </c>
      <c r="G55" s="112">
        <f t="shared" si="16"/>
        <v>8.1566670540647396E-2</v>
      </c>
      <c r="H55" s="112">
        <f t="shared" si="16"/>
        <v>9.5734574453094717E-2</v>
      </c>
      <c r="I55" s="112">
        <f t="shared" si="16"/>
        <v>8.8674074262427488E-2</v>
      </c>
      <c r="J55" s="112">
        <f t="shared" si="16"/>
        <v>8.9108506214354025E-2</v>
      </c>
      <c r="K55" s="112">
        <f t="shared" si="16"/>
        <v>7.6881243275698591E-2</v>
      </c>
      <c r="L55" s="112">
        <f t="shared" si="16"/>
        <v>0.11368000566401891</v>
      </c>
      <c r="M55" s="112">
        <f t="shared" si="16"/>
        <v>0.10894878009639532</v>
      </c>
      <c r="N55" s="112">
        <f t="shared" si="16"/>
        <v>8.610842054051171E-2</v>
      </c>
      <c r="O55" s="112">
        <f t="shared" si="16"/>
        <v>0.24588527603009339</v>
      </c>
      <c r="P55" s="112">
        <f t="shared" si="16"/>
        <v>0.12550337189755187</v>
      </c>
      <c r="Q55" s="112">
        <f t="shared" si="16"/>
        <v>0.16770167139649228</v>
      </c>
      <c r="R55" s="112">
        <f t="shared" si="16"/>
        <v>0.12444914513934377</v>
      </c>
      <c r="S55" s="112">
        <f t="shared" si="16"/>
        <v>0.15433782726835035</v>
      </c>
      <c r="T55" s="112">
        <f t="shared" si="16"/>
        <v>8.6726739781200921E-2</v>
      </c>
      <c r="U55" s="112">
        <f t="shared" si="16"/>
        <v>0.10311518008785478</v>
      </c>
      <c r="V55" s="112">
        <f t="shared" si="16"/>
        <v>8.3762497106456169E-2</v>
      </c>
      <c r="W55" s="112">
        <f t="shared" si="16"/>
        <v>0.11336987594995891</v>
      </c>
      <c r="X55" s="112">
        <f t="shared" si="16"/>
        <v>8.7447847743878329E-2</v>
      </c>
      <c r="Y55" s="112">
        <f t="shared" si="16"/>
        <v>8.7204356139072806E-2</v>
      </c>
      <c r="Z55" s="112">
        <f t="shared" si="16"/>
        <v>8.9203484671747615E-2</v>
      </c>
      <c r="AA55" s="112">
        <f t="shared" si="16"/>
        <v>0.13420893557089822</v>
      </c>
      <c r="AB55" s="112">
        <f t="shared" si="16"/>
        <v>7.1004014838893667E-2</v>
      </c>
      <c r="AC55" s="112">
        <f t="shared" si="16"/>
        <v>0.15094087276420981</v>
      </c>
      <c r="AD55" s="112">
        <f t="shared" si="16"/>
        <v>0.11025606545111068</v>
      </c>
      <c r="AE55" s="112">
        <f t="shared" si="16"/>
        <v>0.10130379470008356</v>
      </c>
      <c r="AF55" s="112">
        <f t="shared" si="16"/>
        <v>6.8521303381769136E-2</v>
      </c>
      <c r="AG55" s="112">
        <f t="shared" si="16"/>
        <v>0.18075640531542866</v>
      </c>
      <c r="AH55" s="112">
        <f t="shared" si="16"/>
        <v>0.15166172511942164</v>
      </c>
      <c r="AI55" s="112">
        <f t="shared" si="16"/>
        <v>0.11963661098410396</v>
      </c>
      <c r="AJ55" s="112">
        <f t="shared" si="16"/>
        <v>0.13138804735301082</v>
      </c>
      <c r="AK55" s="112">
        <f t="shared" si="16"/>
        <v>0.17363234282078627</v>
      </c>
      <c r="AL55" s="112">
        <f t="shared" si="16"/>
        <v>7.0426958025896866E-2</v>
      </c>
    </row>
    <row r="56" spans="1:38" s="110" customFormat="1" x14ac:dyDescent="0.3">
      <c r="A56" s="113" t="s">
        <v>56</v>
      </c>
      <c r="C56" s="111">
        <f t="shared" ref="C56:AL56" si="17">C45/C4</f>
        <v>0.92442766954045108</v>
      </c>
      <c r="D56" s="112">
        <f t="shared" si="17"/>
        <v>0.9109783137793217</v>
      </c>
      <c r="E56" s="112">
        <f t="shared" si="17"/>
        <v>0.94561763489626138</v>
      </c>
      <c r="F56" s="112">
        <f t="shared" si="17"/>
        <v>0.89062219886981098</v>
      </c>
      <c r="G56" s="112">
        <f t="shared" si="17"/>
        <v>0.96524000283193434</v>
      </c>
      <c r="H56" s="112">
        <f t="shared" si="17"/>
        <v>0.95217850271584314</v>
      </c>
      <c r="I56" s="112">
        <f t="shared" si="17"/>
        <v>0.95771549311255877</v>
      </c>
      <c r="J56" s="112">
        <f t="shared" si="17"/>
        <v>0.87303117888702675</v>
      </c>
      <c r="K56" s="112">
        <f t="shared" si="17"/>
        <v>0.89014566590526967</v>
      </c>
      <c r="L56" s="112">
        <f t="shared" si="17"/>
        <v>0.84345532905975362</v>
      </c>
      <c r="M56" s="112">
        <f t="shared" si="17"/>
        <v>0.84037713808074477</v>
      </c>
      <c r="N56" s="112">
        <f t="shared" si="17"/>
        <v>0.87079533714655499</v>
      </c>
      <c r="O56" s="112">
        <f t="shared" si="17"/>
        <v>1.1023334877611377</v>
      </c>
      <c r="P56" s="112">
        <f t="shared" si="17"/>
        <v>0.8573448381171217</v>
      </c>
      <c r="Q56" s="112">
        <f t="shared" si="17"/>
        <v>0.86117868805991604</v>
      </c>
      <c r="R56" s="112">
        <f t="shared" si="17"/>
        <v>0.82853123744526203</v>
      </c>
      <c r="S56" s="112">
        <f t="shared" si="17"/>
        <v>0.991288640773476</v>
      </c>
      <c r="T56" s="112">
        <f t="shared" si="17"/>
        <v>0.81728463092372627</v>
      </c>
      <c r="U56" s="112">
        <f t="shared" si="17"/>
        <v>1.0449771668739427</v>
      </c>
      <c r="V56" s="112">
        <f t="shared" si="17"/>
        <v>0.92053622484398867</v>
      </c>
      <c r="W56" s="112">
        <f t="shared" si="17"/>
        <v>0.94192256912776495</v>
      </c>
      <c r="X56" s="112">
        <f t="shared" si="17"/>
        <v>0.97358910961441103</v>
      </c>
      <c r="Y56" s="112">
        <f t="shared" si="17"/>
        <v>0.88310652737460082</v>
      </c>
      <c r="Z56" s="112">
        <f t="shared" si="17"/>
        <v>0.89497570193443388</v>
      </c>
      <c r="AA56" s="112">
        <f t="shared" si="17"/>
        <v>0.74839521543437948</v>
      </c>
      <c r="AB56" s="112">
        <f t="shared" si="17"/>
        <v>0.89050621797661089</v>
      </c>
      <c r="AC56" s="112">
        <f t="shared" si="17"/>
        <v>0.96677525653046725</v>
      </c>
      <c r="AD56" s="112">
        <f t="shared" si="17"/>
        <v>0.93638896917439762</v>
      </c>
      <c r="AE56" s="112">
        <f t="shared" si="17"/>
        <v>1.0484236449974316</v>
      </c>
      <c r="AF56" s="112">
        <f t="shared" si="17"/>
        <v>0.93218140319687715</v>
      </c>
      <c r="AG56" s="112">
        <f t="shared" si="17"/>
        <v>0.94810576122107748</v>
      </c>
      <c r="AH56" s="112">
        <f t="shared" si="17"/>
        <v>0.92579951327232501</v>
      </c>
      <c r="AI56" s="112">
        <f t="shared" si="17"/>
        <v>0.98139759527410342</v>
      </c>
      <c r="AJ56" s="112">
        <f t="shared" si="17"/>
        <v>0.8675368218292534</v>
      </c>
      <c r="AK56" s="112">
        <f t="shared" si="17"/>
        <v>0.96657771743494769</v>
      </c>
      <c r="AL56" s="112">
        <f t="shared" si="17"/>
        <v>0.90592221965644004</v>
      </c>
    </row>
    <row r="57" spans="1:38" s="110" customFormat="1" x14ac:dyDescent="0.3">
      <c r="A57" s="113" t="s">
        <v>104</v>
      </c>
      <c r="C57" s="111">
        <f t="shared" ref="C57:AL57" si="18">SUM(C30:C39)/C44</f>
        <v>0.48275719341494056</v>
      </c>
      <c r="D57" s="112">
        <f t="shared" si="18"/>
        <v>0.65814135590580458</v>
      </c>
      <c r="E57" s="112">
        <f t="shared" si="18"/>
        <v>0.56997981143761467</v>
      </c>
      <c r="F57" s="112">
        <f t="shared" si="18"/>
        <v>0.58032021972559544</v>
      </c>
      <c r="G57" s="112">
        <f t="shared" si="18"/>
        <v>0.71554580825649183</v>
      </c>
      <c r="H57" s="112">
        <f t="shared" si="18"/>
        <v>0.43209992959243793</v>
      </c>
      <c r="I57" s="112">
        <f t="shared" si="18"/>
        <v>0.58048082922682331</v>
      </c>
      <c r="J57" s="112">
        <f t="shared" si="18"/>
        <v>0.74472969105900688</v>
      </c>
      <c r="K57" s="112">
        <f t="shared" si="18"/>
        <v>0.69731563666745411</v>
      </c>
      <c r="L57" s="112">
        <f t="shared" si="18"/>
        <v>0.39427650630634831</v>
      </c>
      <c r="M57" s="112">
        <f t="shared" si="18"/>
        <v>0.45523927812998705</v>
      </c>
      <c r="N57" s="112">
        <f t="shared" si="18"/>
        <v>0.52801287162042843</v>
      </c>
      <c r="O57" s="112">
        <f t="shared" si="18"/>
        <v>0.19181370671458237</v>
      </c>
      <c r="P57" s="112">
        <f t="shared" si="18"/>
        <v>0.45680568474146588</v>
      </c>
      <c r="Q57" s="112">
        <f t="shared" si="18"/>
        <v>0.45415668412174642</v>
      </c>
      <c r="R57" s="112">
        <f t="shared" si="18"/>
        <v>0.29985952562106727</v>
      </c>
      <c r="S57" s="112">
        <f t="shared" si="18"/>
        <v>0.35661599608443806</v>
      </c>
      <c r="T57" s="112">
        <f t="shared" si="18"/>
        <v>0.64017633757190273</v>
      </c>
      <c r="U57" s="112">
        <f t="shared" si="18"/>
        <v>0.77565639271754339</v>
      </c>
      <c r="V57" s="112">
        <f t="shared" si="18"/>
        <v>0.58709996510784068</v>
      </c>
      <c r="W57" s="112">
        <f t="shared" si="18"/>
        <v>0.35670054712806631</v>
      </c>
      <c r="X57" s="112">
        <f t="shared" si="18"/>
        <v>0.67379326848226273</v>
      </c>
      <c r="Y57" s="112">
        <f t="shared" si="18"/>
        <v>0.67559293294296263</v>
      </c>
      <c r="Z57" s="112">
        <f t="shared" si="18"/>
        <v>0.64372100127150222</v>
      </c>
      <c r="AA57" s="112">
        <f t="shared" si="18"/>
        <v>0.27796546440746633</v>
      </c>
      <c r="AB57" s="112">
        <f t="shared" si="18"/>
        <v>0.63247498405433233</v>
      </c>
      <c r="AC57" s="112">
        <f t="shared" si="18"/>
        <v>0.41693829589001685</v>
      </c>
      <c r="AD57" s="112">
        <f t="shared" si="18"/>
        <v>0.50760469082777337</v>
      </c>
      <c r="AE57" s="112">
        <f t="shared" si="18"/>
        <v>0.57102083688715288</v>
      </c>
      <c r="AF57" s="112">
        <f t="shared" si="18"/>
        <v>0.64911600323936447</v>
      </c>
      <c r="AG57" s="112">
        <f t="shared" si="18"/>
        <v>0.24477367111257567</v>
      </c>
      <c r="AH57" s="112">
        <f t="shared" si="18"/>
        <v>0.30349734729071753</v>
      </c>
      <c r="AI57" s="112">
        <f t="shared" si="18"/>
        <v>0.45090614698885406</v>
      </c>
      <c r="AJ57" s="112">
        <f t="shared" si="18"/>
        <v>0.42367441910712056</v>
      </c>
      <c r="AK57" s="112">
        <f t="shared" si="18"/>
        <v>0.28169805474836623</v>
      </c>
      <c r="AL57" s="112">
        <f t="shared" si="18"/>
        <v>0.70752409258007876</v>
      </c>
    </row>
    <row r="58" spans="1:38" s="110" customFormat="1" x14ac:dyDescent="0.3">
      <c r="A58" s="113" t="s">
        <v>58</v>
      </c>
      <c r="C58" s="111">
        <f>C41/C44</f>
        <v>0.27572712012585499</v>
      </c>
      <c r="D58" s="112">
        <f t="shared" ref="D58:AL58" si="19">D41/D44</f>
        <v>6.320081051087531E-2</v>
      </c>
      <c r="E58" s="112">
        <f t="shared" si="19"/>
        <v>0.17034920375777965</v>
      </c>
      <c r="F58" s="112">
        <f t="shared" si="19"/>
        <v>0.24938231207587674</v>
      </c>
      <c r="G58" s="112">
        <f t="shared" si="19"/>
        <v>6.5206082691991116E-2</v>
      </c>
      <c r="H58" s="112">
        <f t="shared" si="19"/>
        <v>3.9218323770895805E-2</v>
      </c>
      <c r="I58" s="112">
        <f t="shared" si="19"/>
        <v>5.5997907347590949E-2</v>
      </c>
      <c r="J58" s="112">
        <f t="shared" si="19"/>
        <v>6.2740939190184628E-2</v>
      </c>
      <c r="K58" s="112">
        <f t="shared" si="19"/>
        <v>6.3090620244950268E-2</v>
      </c>
      <c r="L58" s="112">
        <f t="shared" si="19"/>
        <v>0.39349651463203328</v>
      </c>
      <c r="M58" s="112">
        <f t="shared" si="19"/>
        <v>0.37887707015338451</v>
      </c>
      <c r="N58" s="112">
        <f t="shared" si="19"/>
        <v>0.29036354202178788</v>
      </c>
      <c r="O58" s="112">
        <f t="shared" si="19"/>
        <v>0.42458602354352865</v>
      </c>
      <c r="P58" s="112">
        <f t="shared" si="19"/>
        <v>0.31735776541563987</v>
      </c>
      <c r="Q58" s="112">
        <f t="shared" si="19"/>
        <v>0.21167083710060339</v>
      </c>
      <c r="R58" s="112">
        <f t="shared" si="19"/>
        <v>0.46214966938030633</v>
      </c>
      <c r="S58" s="112">
        <f t="shared" si="19"/>
        <v>0.2983584012599807</v>
      </c>
      <c r="T58" s="112">
        <f t="shared" si="19"/>
        <v>5.4730333834899385E-2</v>
      </c>
      <c r="U58" s="112">
        <f t="shared" si="19"/>
        <v>4.7764192232476202E-2</v>
      </c>
      <c r="V58" s="112">
        <f t="shared" si="19"/>
        <v>0.29451664744461203</v>
      </c>
      <c r="W58" s="112">
        <f t="shared" si="19"/>
        <v>0.42340223822996176</v>
      </c>
      <c r="X58" s="112">
        <f t="shared" si="19"/>
        <v>6.4373837688567859E-2</v>
      </c>
      <c r="Y58" s="112">
        <f t="shared" si="19"/>
        <v>5.609507962526436E-2</v>
      </c>
      <c r="Z58" s="112">
        <f t="shared" si="19"/>
        <v>9.795420506651753E-2</v>
      </c>
      <c r="AA58" s="112">
        <f t="shared" si="19"/>
        <v>0.48978832997455496</v>
      </c>
      <c r="AB58" s="112">
        <f t="shared" si="19"/>
        <v>5.9524035218358938E-2</v>
      </c>
      <c r="AC58" s="112">
        <f t="shared" si="19"/>
        <v>0.30946718046549498</v>
      </c>
      <c r="AD58" s="112">
        <f t="shared" si="19"/>
        <v>0.25814461714618397</v>
      </c>
      <c r="AE58" s="112">
        <f t="shared" si="19"/>
        <v>5.3775145446148663E-2</v>
      </c>
      <c r="AF58" s="112">
        <f t="shared" si="19"/>
        <v>6.565522728614416E-2</v>
      </c>
      <c r="AG58" s="112">
        <f t="shared" si="19"/>
        <v>0.65733107948038227</v>
      </c>
      <c r="AH58" s="112">
        <f t="shared" si="19"/>
        <v>0.47336229664267515</v>
      </c>
      <c r="AI58" s="112">
        <f t="shared" si="19"/>
        <v>0.30654474389208081</v>
      </c>
      <c r="AJ58" s="112">
        <f t="shared" si="19"/>
        <v>0.4307416107221157</v>
      </c>
      <c r="AK58" s="112">
        <f t="shared" si="19"/>
        <v>0.55019899365652902</v>
      </c>
      <c r="AL58" s="112">
        <f t="shared" si="19"/>
        <v>5.9665545630164907E-2</v>
      </c>
    </row>
    <row r="59" spans="1:38" s="110" customFormat="1" x14ac:dyDescent="0.3">
      <c r="A59" s="113" t="s">
        <v>59</v>
      </c>
      <c r="C59" s="111">
        <f>C43/C44</f>
        <v>0.1147119457678852</v>
      </c>
      <c r="D59" s="112">
        <f t="shared" ref="D59:AL59" si="20">D43/D44</f>
        <v>0.1513999408145526</v>
      </c>
      <c r="E59" s="112">
        <f t="shared" si="20"/>
        <v>0.12694118573880478</v>
      </c>
      <c r="F59" s="112">
        <f t="shared" si="20"/>
        <v>2.5837431230938169E-2</v>
      </c>
      <c r="G59" s="112">
        <f t="shared" si="20"/>
        <v>8.7952503631062454E-2</v>
      </c>
      <c r="H59" s="112">
        <f t="shared" si="20"/>
        <v>0.27009157190610433</v>
      </c>
      <c r="I59" s="112">
        <f t="shared" si="20"/>
        <v>0.22659647440801498</v>
      </c>
      <c r="J59" s="112">
        <f t="shared" si="20"/>
        <v>6.6197450157745988E-2</v>
      </c>
      <c r="K59" s="112">
        <f t="shared" si="20"/>
        <v>0.11255772375576503</v>
      </c>
      <c r="L59" s="112">
        <f t="shared" si="20"/>
        <v>6.3605868079451205E-2</v>
      </c>
      <c r="M59" s="112">
        <f t="shared" si="20"/>
        <v>4.1437596877141721E-2</v>
      </c>
      <c r="N59" s="112">
        <f t="shared" si="20"/>
        <v>6.6635542160886949E-2</v>
      </c>
      <c r="O59" s="112">
        <f t="shared" si="20"/>
        <v>0.30700818988976664</v>
      </c>
      <c r="P59" s="112">
        <f t="shared" si="20"/>
        <v>0.12876831749076095</v>
      </c>
      <c r="Q59" s="112">
        <f t="shared" si="20"/>
        <v>0.18060119296100777</v>
      </c>
      <c r="R59" s="112">
        <f t="shared" si="20"/>
        <v>0.16504454342663719</v>
      </c>
      <c r="S59" s="112">
        <f t="shared" si="20"/>
        <v>0.15538603485663885</v>
      </c>
      <c r="T59" s="112">
        <f t="shared" si="20"/>
        <v>7.6775301844222932E-2</v>
      </c>
      <c r="U59" s="112">
        <f t="shared" si="20"/>
        <v>8.0403900777717738E-2</v>
      </c>
      <c r="V59" s="112">
        <f t="shared" si="20"/>
        <v>0</v>
      </c>
      <c r="W59" s="112">
        <f t="shared" si="20"/>
        <v>0.13380229061812526</v>
      </c>
      <c r="X59" s="112">
        <f t="shared" si="20"/>
        <v>3.3805789646542142E-2</v>
      </c>
      <c r="Y59" s="112">
        <f t="shared" si="20"/>
        <v>0.15536182793059047</v>
      </c>
      <c r="Z59" s="112">
        <f t="shared" si="20"/>
        <v>0.12558608780826991</v>
      </c>
      <c r="AA59" s="112">
        <f t="shared" si="20"/>
        <v>0.17546885350392397</v>
      </c>
      <c r="AB59" s="112">
        <f t="shared" si="20"/>
        <v>0.18814645307566083</v>
      </c>
      <c r="AC59" s="112">
        <f t="shared" si="20"/>
        <v>0.19477811147419929</v>
      </c>
      <c r="AD59" s="112">
        <f t="shared" si="20"/>
        <v>0.12938296506498306</v>
      </c>
      <c r="AE59" s="112">
        <f t="shared" si="20"/>
        <v>0.23210883303409202</v>
      </c>
      <c r="AF59" s="112">
        <f t="shared" si="20"/>
        <v>0.14027639052323337</v>
      </c>
      <c r="AG59" s="112">
        <f t="shared" si="20"/>
        <v>2.287271318960114E-2</v>
      </c>
      <c r="AH59" s="112">
        <f t="shared" si="20"/>
        <v>0.10543637410385487</v>
      </c>
      <c r="AI59" s="112">
        <f t="shared" si="20"/>
        <v>9.3492397841931196E-2</v>
      </c>
      <c r="AJ59" s="112">
        <f t="shared" si="20"/>
        <v>2.084360510928443E-2</v>
      </c>
      <c r="AK59" s="112">
        <f t="shared" si="20"/>
        <v>2.3568345853261494E-2</v>
      </c>
      <c r="AL59" s="112">
        <f t="shared" si="20"/>
        <v>3.219168459160298E-2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955D-AAD4-49B6-91EA-274B40273DBC}">
  <sheetPr codeName="Sheet26">
    <tabColor theme="8" tint="0.79998168889431442"/>
  </sheetPr>
  <dimension ref="A1:AS69"/>
  <sheetViews>
    <sheetView zoomScaleNormal="100" workbookViewId="0">
      <pane xSplit="2" ySplit="2" topLeftCell="C42" activePane="bottomRight" state="frozen"/>
      <selection activeCell="C4" sqref="C4"/>
      <selection pane="topRight" activeCell="C4" sqref="C4"/>
      <selection pane="bottomLeft" activeCell="C4" sqref="C4"/>
      <selection pane="bottomRight" activeCell="C47" sqref="C47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9" width="15.08984375" style="115" customWidth="1"/>
    <col min="10" max="10" width="21.90625" style="115" customWidth="1"/>
    <col min="11" max="11" width="16.08984375" style="115" customWidth="1"/>
    <col min="12" max="12" width="16.453125" style="115" customWidth="1"/>
    <col min="13" max="13" width="18.36328125" style="115" customWidth="1"/>
    <col min="14" max="14" width="16.7265625" style="115" customWidth="1"/>
    <col min="15" max="15" width="17.453125" style="115" customWidth="1"/>
    <col min="16" max="16" width="16.453125" style="115" customWidth="1"/>
    <col min="17" max="17" width="16.81640625" style="115" customWidth="1"/>
    <col min="18" max="18" width="18.08984375" style="115" customWidth="1"/>
    <col min="19" max="19" width="14.453125" style="115" customWidth="1"/>
    <col min="20" max="20" width="18.36328125" style="115" customWidth="1"/>
    <col min="21" max="21" width="22.1796875" style="115" customWidth="1"/>
    <col min="22" max="22" width="18.453125" style="115" customWidth="1"/>
    <col min="23" max="23" width="19.08984375" style="115" customWidth="1"/>
    <col min="24" max="24" width="14.453125" style="115" customWidth="1"/>
    <col min="25" max="25" width="17.81640625" style="115" customWidth="1"/>
    <col min="26" max="26" width="15.7265625" style="115" customWidth="1"/>
    <col min="27" max="27" width="15.453125" style="115" customWidth="1"/>
    <col min="28" max="28" width="15.08984375" style="115" customWidth="1"/>
    <col min="29" max="29" width="14.453125" style="115" customWidth="1"/>
    <col min="30" max="30" width="13.36328125" style="115" customWidth="1"/>
    <col min="31" max="31" width="16.90625" style="115" customWidth="1"/>
    <col min="32" max="32" width="19.90625" style="115" customWidth="1"/>
    <col min="33" max="33" width="17.90625" style="115" customWidth="1"/>
    <col min="34" max="34" width="16" style="115" customWidth="1"/>
    <col min="35" max="35" width="17.453125" style="115" customWidth="1"/>
    <col min="36" max="36" width="15.36328125" style="115" customWidth="1"/>
    <col min="37" max="37" width="16.08984375" style="115" customWidth="1"/>
    <col min="38" max="38" width="21.08984375" style="115" customWidth="1"/>
    <col min="39" max="39" width="22.6328125" style="115" customWidth="1"/>
    <col min="40" max="40" width="16.90625" style="115" customWidth="1"/>
    <col min="41" max="41" width="34.08984375" style="115" customWidth="1"/>
    <col min="42" max="43" width="11.90625" style="115" bestFit="1" customWidth="1"/>
    <col min="44" max="16384" width="8.7265625" style="115"/>
  </cols>
  <sheetData>
    <row r="1" spans="1:41" s="57" customFormat="1" ht="44" customHeight="1" x14ac:dyDescent="0.3">
      <c r="A1" s="55" t="s">
        <v>193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</row>
    <row r="2" spans="1:41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 t="s">
        <v>183</v>
      </c>
      <c r="G2" s="58" t="s">
        <v>184</v>
      </c>
      <c r="H2" s="58" t="s">
        <v>188</v>
      </c>
      <c r="I2" s="58" t="s">
        <v>189</v>
      </c>
      <c r="J2" s="58" t="s">
        <v>190</v>
      </c>
      <c r="K2" s="58"/>
      <c r="L2" s="58"/>
    </row>
    <row r="3" spans="1:41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41" s="64" customFormat="1" ht="13" x14ac:dyDescent="0.3">
      <c r="A4" s="60" t="s">
        <v>194</v>
      </c>
      <c r="B4" s="61"/>
      <c r="C4" s="62">
        <f>SUM(D4:AO4)</f>
        <v>719968000</v>
      </c>
      <c r="D4" s="61">
        <v>79912000</v>
      </c>
      <c r="E4" s="61">
        <v>32939000</v>
      </c>
      <c r="F4" s="60">
        <v>92517000</v>
      </c>
      <c r="G4" s="60">
        <v>99201000</v>
      </c>
      <c r="H4" s="60">
        <v>202859000</v>
      </c>
      <c r="I4" s="60">
        <v>130246000</v>
      </c>
      <c r="J4" s="60">
        <v>82294000</v>
      </c>
      <c r="K4" s="63"/>
      <c r="L4" s="61"/>
      <c r="Q4" s="65"/>
      <c r="U4" s="65"/>
    </row>
    <row r="5" spans="1:41" s="68" customFormat="1" ht="13" x14ac:dyDescent="0.3">
      <c r="A5" s="66" t="s">
        <v>3</v>
      </c>
      <c r="B5" s="67"/>
      <c r="C5" s="62">
        <f t="shared" ref="C5:C18" si="0">SUM(D5:AO5)</f>
        <v>49500000</v>
      </c>
      <c r="D5" s="67">
        <v>7600000</v>
      </c>
      <c r="E5" s="67"/>
      <c r="F5" s="67"/>
      <c r="G5" s="67">
        <v>4400000</v>
      </c>
      <c r="H5" s="67">
        <v>26500000</v>
      </c>
      <c r="I5" s="67">
        <v>11000000</v>
      </c>
      <c r="J5" s="67"/>
      <c r="K5" s="67"/>
      <c r="L5" s="67"/>
    </row>
    <row r="6" spans="1:41" s="68" customFormat="1" ht="13" x14ac:dyDescent="0.3">
      <c r="A6" s="69" t="s">
        <v>4</v>
      </c>
      <c r="B6" s="67"/>
      <c r="C6" s="62">
        <f>SUM(D6:AO6)</f>
        <v>7500000</v>
      </c>
      <c r="D6" s="68">
        <v>1000000</v>
      </c>
      <c r="E6" s="67"/>
      <c r="F6" s="67"/>
      <c r="G6" s="67">
        <v>5500000</v>
      </c>
      <c r="H6" s="67">
        <v>1000000</v>
      </c>
      <c r="I6" s="67"/>
      <c r="J6" s="67"/>
      <c r="K6" s="67"/>
      <c r="L6" s="67"/>
      <c r="U6" s="70"/>
      <c r="Z6" s="70"/>
      <c r="AL6" s="70"/>
    </row>
    <row r="7" spans="1:41" s="68" customFormat="1" ht="13" x14ac:dyDescent="0.3">
      <c r="A7" s="71" t="s">
        <v>5</v>
      </c>
      <c r="B7" s="67"/>
      <c r="C7" s="62">
        <f t="shared" si="0"/>
        <v>0</v>
      </c>
      <c r="E7" s="67"/>
      <c r="F7" s="67"/>
      <c r="G7" s="67"/>
      <c r="H7" s="67"/>
      <c r="I7" s="67"/>
      <c r="J7" s="67"/>
      <c r="K7" s="67"/>
      <c r="L7" s="67"/>
      <c r="R7" s="72"/>
      <c r="S7" s="72"/>
      <c r="U7" s="70"/>
      <c r="Z7" s="70"/>
      <c r="AA7" s="72"/>
      <c r="AL7" s="70"/>
    </row>
    <row r="8" spans="1:41" s="68" customFormat="1" ht="13" x14ac:dyDescent="0.3">
      <c r="A8" s="71"/>
      <c r="B8" s="67" t="s">
        <v>6</v>
      </c>
      <c r="C8" s="62">
        <f t="shared" si="0"/>
        <v>10</v>
      </c>
      <c r="D8" s="68">
        <v>3</v>
      </c>
      <c r="E8" s="67">
        <v>0</v>
      </c>
      <c r="F8" s="67">
        <v>0</v>
      </c>
      <c r="G8" s="67">
        <v>2</v>
      </c>
      <c r="H8" s="67">
        <v>3</v>
      </c>
      <c r="I8" s="67">
        <v>2</v>
      </c>
      <c r="J8" s="67">
        <v>0</v>
      </c>
      <c r="K8" s="67"/>
      <c r="L8" s="67"/>
      <c r="W8" s="73"/>
      <c r="X8" s="73"/>
      <c r="Y8" s="73"/>
      <c r="Z8" s="73"/>
      <c r="AA8" s="73"/>
      <c r="AB8" s="73"/>
      <c r="AC8" s="74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68" customFormat="1" ht="13" x14ac:dyDescent="0.3">
      <c r="A9" s="71"/>
      <c r="B9" s="67" t="s">
        <v>7</v>
      </c>
      <c r="C9" s="62">
        <f t="shared" si="0"/>
        <v>10</v>
      </c>
      <c r="D9" s="68">
        <v>2</v>
      </c>
      <c r="E9" s="67">
        <v>0</v>
      </c>
      <c r="F9" s="67">
        <v>0</v>
      </c>
      <c r="G9" s="67">
        <v>1</v>
      </c>
      <c r="H9" s="67">
        <v>4</v>
      </c>
      <c r="I9" s="67">
        <v>3</v>
      </c>
      <c r="J9" s="67">
        <v>0</v>
      </c>
      <c r="K9" s="67"/>
      <c r="L9" s="67"/>
      <c r="W9" s="75"/>
      <c r="X9" s="75"/>
      <c r="Y9" s="73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</row>
    <row r="10" spans="1:41" s="68" customFormat="1" ht="13" x14ac:dyDescent="0.3">
      <c r="A10" s="71"/>
      <c r="B10" s="67" t="s">
        <v>195</v>
      </c>
      <c r="C10" s="62">
        <f t="shared" si="0"/>
        <v>3</v>
      </c>
      <c r="D10" s="68">
        <v>1</v>
      </c>
      <c r="E10" s="67">
        <v>0</v>
      </c>
      <c r="F10" s="67">
        <v>0</v>
      </c>
      <c r="G10" s="67">
        <v>1</v>
      </c>
      <c r="H10" s="67">
        <v>1</v>
      </c>
      <c r="I10" s="67">
        <v>0</v>
      </c>
      <c r="J10" s="67">
        <v>0</v>
      </c>
      <c r="K10" s="67"/>
      <c r="L10" s="67"/>
      <c r="W10" s="75"/>
      <c r="X10" s="75"/>
      <c r="Y10" s="73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</row>
    <row r="11" spans="1:41" s="68" customFormat="1" ht="16.5" customHeight="1" x14ac:dyDescent="0.3">
      <c r="A11" s="71"/>
      <c r="B11" s="67" t="s">
        <v>9</v>
      </c>
      <c r="C11" s="62">
        <f t="shared" si="0"/>
        <v>526850000</v>
      </c>
      <c r="D11" s="68">
        <v>47760000</v>
      </c>
      <c r="E11" s="67">
        <v>26400000</v>
      </c>
      <c r="F11" s="67">
        <v>74400000</v>
      </c>
      <c r="G11" s="67">
        <v>72500000</v>
      </c>
      <c r="H11" s="67">
        <v>148960000</v>
      </c>
      <c r="I11" s="67">
        <v>91030000</v>
      </c>
      <c r="J11" s="67">
        <v>65800000</v>
      </c>
      <c r="K11" s="67"/>
      <c r="L11" s="67"/>
      <c r="W11" s="75"/>
      <c r="X11" s="75"/>
      <c r="Y11" s="73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</row>
    <row r="12" spans="1:41" s="68" customFormat="1" ht="13" x14ac:dyDescent="0.3">
      <c r="A12" s="128" t="s">
        <v>10</v>
      </c>
      <c r="B12" s="69" t="s">
        <v>11</v>
      </c>
      <c r="C12" s="62">
        <f t="shared" si="0"/>
        <v>74586600</v>
      </c>
      <c r="D12" s="67">
        <v>12460000</v>
      </c>
      <c r="E12" s="67">
        <v>3884000</v>
      </c>
      <c r="F12" s="62">
        <v>9444000</v>
      </c>
      <c r="G12" s="62">
        <v>9304000</v>
      </c>
      <c r="H12" s="62">
        <v>13920000</v>
      </c>
      <c r="I12" s="62">
        <v>15370600</v>
      </c>
      <c r="J12" s="62">
        <v>10204000</v>
      </c>
      <c r="K12" s="62"/>
      <c r="L12" s="67"/>
      <c r="W12" s="75"/>
      <c r="X12" s="75"/>
      <c r="Y12" s="73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</row>
    <row r="13" spans="1:41" s="68" customFormat="1" ht="13" x14ac:dyDescent="0.3">
      <c r="A13" s="129"/>
      <c r="B13" s="69" t="s">
        <v>12</v>
      </c>
      <c r="C13" s="62">
        <f t="shared" si="0"/>
        <v>21153000</v>
      </c>
      <c r="D13" s="67">
        <v>3304000</v>
      </c>
      <c r="E13" s="68">
        <v>1575000</v>
      </c>
      <c r="F13" s="68">
        <v>2695000</v>
      </c>
      <c r="G13" s="68">
        <v>2305000</v>
      </c>
      <c r="H13" s="68">
        <v>6244000</v>
      </c>
      <c r="I13" s="68">
        <v>2870000</v>
      </c>
      <c r="J13" s="68">
        <v>2160000</v>
      </c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</row>
    <row r="14" spans="1:41" s="68" customFormat="1" ht="13" x14ac:dyDescent="0.3">
      <c r="A14" s="129"/>
      <c r="B14" s="69" t="s">
        <v>13</v>
      </c>
      <c r="C14" s="62">
        <f t="shared" si="0"/>
        <v>10967000</v>
      </c>
      <c r="D14" s="67">
        <v>1352000</v>
      </c>
      <c r="E14" s="67">
        <v>480000</v>
      </c>
      <c r="F14" s="68">
        <v>1560000</v>
      </c>
      <c r="G14" s="68">
        <v>1500000</v>
      </c>
      <c r="H14" s="68">
        <v>2447000</v>
      </c>
      <c r="I14" s="68">
        <v>2338000</v>
      </c>
      <c r="J14" s="68">
        <v>1290000</v>
      </c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5" spans="1:41" s="68" customFormat="1" ht="13" x14ac:dyDescent="0.3">
      <c r="A15" s="129"/>
      <c r="B15" s="69" t="s">
        <v>14</v>
      </c>
      <c r="C15" s="62">
        <f t="shared" si="0"/>
        <v>8233333.333333334</v>
      </c>
      <c r="D15" s="67">
        <v>853333.33333333337</v>
      </c>
      <c r="E15" s="68">
        <v>200000</v>
      </c>
      <c r="F15" s="68">
        <v>1100000</v>
      </c>
      <c r="G15" s="68">
        <v>1500000</v>
      </c>
      <c r="H15" s="68">
        <v>1660000</v>
      </c>
      <c r="I15" s="68">
        <v>1620000</v>
      </c>
      <c r="J15" s="68">
        <v>1300000</v>
      </c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 spans="1:41" s="68" customFormat="1" ht="13" x14ac:dyDescent="0.3">
      <c r="A16" s="129"/>
      <c r="B16" s="69" t="s">
        <v>15</v>
      </c>
      <c r="C16" s="62">
        <f t="shared" si="0"/>
        <v>1450000</v>
      </c>
      <c r="D16" s="67">
        <v>450000</v>
      </c>
      <c r="E16" s="68">
        <v>0</v>
      </c>
      <c r="F16" s="68">
        <v>0</v>
      </c>
      <c r="G16" s="68">
        <v>150000</v>
      </c>
      <c r="H16" s="68">
        <v>100000</v>
      </c>
      <c r="I16" s="68">
        <v>750000</v>
      </c>
      <c r="J16" s="68">
        <v>0</v>
      </c>
      <c r="W16" s="76"/>
      <c r="X16" s="73"/>
      <c r="Y16" s="73"/>
      <c r="Z16" s="73"/>
      <c r="AA16" s="73"/>
      <c r="AB16" s="76"/>
      <c r="AC16" s="76"/>
      <c r="AD16" s="76"/>
      <c r="AE16" s="76"/>
      <c r="AF16" s="73"/>
      <c r="AG16" s="76"/>
      <c r="AH16" s="76"/>
      <c r="AI16" s="76"/>
      <c r="AJ16" s="76"/>
      <c r="AK16" s="76"/>
      <c r="AL16" s="73"/>
      <c r="AM16" s="76"/>
      <c r="AN16" s="73"/>
      <c r="AO16" s="73"/>
    </row>
    <row r="17" spans="1:45" s="68" customFormat="1" ht="13" x14ac:dyDescent="0.3">
      <c r="A17" s="129"/>
      <c r="B17" s="69" t="s">
        <v>102</v>
      </c>
      <c r="C17" s="62">
        <f t="shared" si="0"/>
        <v>9702000</v>
      </c>
      <c r="D17" s="67">
        <v>1292000</v>
      </c>
      <c r="E17" s="68">
        <v>400000</v>
      </c>
      <c r="F17" s="68">
        <v>1560000</v>
      </c>
      <c r="G17" s="68">
        <v>1210000</v>
      </c>
      <c r="H17" s="68">
        <v>1982000</v>
      </c>
      <c r="I17" s="68">
        <v>2208000</v>
      </c>
      <c r="J17" s="68">
        <v>1050000</v>
      </c>
      <c r="W17" s="77"/>
      <c r="X17" s="77"/>
      <c r="Y17" s="73"/>
      <c r="Z17" s="70"/>
      <c r="AA17" s="77"/>
      <c r="AB17" s="77"/>
      <c r="AC17" s="77"/>
      <c r="AD17" s="77"/>
      <c r="AE17" s="77"/>
      <c r="AF17" s="77"/>
      <c r="AG17" s="77"/>
      <c r="AH17" s="77"/>
      <c r="AI17" s="70"/>
      <c r="AJ17" s="77"/>
      <c r="AK17" s="70"/>
      <c r="AL17" s="77"/>
      <c r="AM17" s="77"/>
      <c r="AN17" s="77"/>
      <c r="AO17" s="77"/>
    </row>
    <row r="18" spans="1:45" s="68" customFormat="1" ht="13.5" thickBot="1" x14ac:dyDescent="0.35">
      <c r="A18" s="129"/>
      <c r="B18" s="69" t="s">
        <v>17</v>
      </c>
      <c r="C18" s="62">
        <f t="shared" si="0"/>
        <v>14841000</v>
      </c>
      <c r="D18" s="67">
        <v>1352000</v>
      </c>
      <c r="E18" s="68">
        <v>0</v>
      </c>
      <c r="F18" s="68">
        <v>1560000</v>
      </c>
      <c r="G18" s="68">
        <v>1500000</v>
      </c>
      <c r="H18" s="68">
        <v>6801000</v>
      </c>
      <c r="I18" s="68">
        <v>2338000</v>
      </c>
      <c r="J18" s="68">
        <v>1290000</v>
      </c>
      <c r="W18" s="78"/>
      <c r="X18" s="78"/>
      <c r="Y18" s="73"/>
      <c r="Z18" s="78"/>
      <c r="AA18" s="78"/>
      <c r="AB18" s="78"/>
      <c r="AC18" s="78"/>
      <c r="AD18" s="79"/>
      <c r="AE18" s="78"/>
      <c r="AF18" s="78"/>
      <c r="AG18" s="78"/>
      <c r="AH18" s="78"/>
      <c r="AI18" s="78"/>
      <c r="AJ18" s="79"/>
      <c r="AK18" s="78"/>
      <c r="AL18" s="78"/>
      <c r="AM18" s="78"/>
      <c r="AN18" s="78"/>
      <c r="AO18" s="78"/>
    </row>
    <row r="19" spans="1:45" s="68" customFormat="1" ht="12" customHeight="1" x14ac:dyDescent="0.3">
      <c r="A19" s="130"/>
      <c r="B19" s="80" t="s">
        <v>18</v>
      </c>
      <c r="C19" s="81">
        <f>SUM(C12:C18)</f>
        <v>140932933.33333331</v>
      </c>
      <c r="D19" s="81">
        <f t="shared" ref="D19:AS19" si="1">SUM(D12:D18)</f>
        <v>21063333.333333332</v>
      </c>
      <c r="E19" s="81">
        <f>SUM(E12:E18)</f>
        <v>6539000</v>
      </c>
      <c r="F19" s="81">
        <f t="shared" si="1"/>
        <v>17919000</v>
      </c>
      <c r="G19" s="81">
        <f t="shared" si="1"/>
        <v>17469000</v>
      </c>
      <c r="H19" s="81">
        <f t="shared" si="1"/>
        <v>33154000</v>
      </c>
      <c r="I19" s="81">
        <f t="shared" si="1"/>
        <v>27494600</v>
      </c>
      <c r="J19" s="81">
        <f t="shared" si="1"/>
        <v>17294000</v>
      </c>
      <c r="K19" s="81">
        <f>SUM(K12:K18)</f>
        <v>0</v>
      </c>
      <c r="L19" s="81">
        <f>SUM(L12:L18)</f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 t="shared" si="1"/>
        <v>0</v>
      </c>
      <c r="R19" s="81">
        <f t="shared" si="1"/>
        <v>0</v>
      </c>
      <c r="S19" s="81">
        <f t="shared" si="1"/>
        <v>0</v>
      </c>
      <c r="T19" s="81">
        <f>SUM(T12:T18)</f>
        <v>0</v>
      </c>
      <c r="U19" s="81">
        <f>SUM(U12:U18)</f>
        <v>0</v>
      </c>
      <c r="V19" s="81">
        <f>SUM(V12:V18)</f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 t="shared" si="1"/>
        <v>0</v>
      </c>
      <c r="AC19" s="81">
        <f t="shared" si="1"/>
        <v>0</v>
      </c>
      <c r="AD19" s="81">
        <f t="shared" si="1"/>
        <v>0</v>
      </c>
      <c r="AE19" s="81">
        <f>SUM(AE12:AE18)</f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 t="shared" si="1"/>
        <v>0</v>
      </c>
      <c r="AL19" s="81">
        <f t="shared" si="1"/>
        <v>0</v>
      </c>
      <c r="AM19" s="81">
        <f t="shared" si="1"/>
        <v>0</v>
      </c>
      <c r="AN19" s="81">
        <f>SUM(AN12:AN18)</f>
        <v>0</v>
      </c>
      <c r="AO19" s="81">
        <f t="shared" si="1"/>
        <v>0</v>
      </c>
      <c r="AP19" s="81">
        <f t="shared" si="1"/>
        <v>0</v>
      </c>
      <c r="AQ19" s="81">
        <f t="shared" si="1"/>
        <v>0</v>
      </c>
      <c r="AR19" s="81">
        <f t="shared" si="1"/>
        <v>0</v>
      </c>
      <c r="AS19" s="81">
        <f t="shared" si="1"/>
        <v>0</v>
      </c>
    </row>
    <row r="20" spans="1:45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</row>
    <row r="21" spans="1:45" s="68" customFormat="1" ht="38.5" customHeight="1" x14ac:dyDescent="0.3">
      <c r="A21" s="62" t="s">
        <v>19</v>
      </c>
      <c r="B21" s="67" t="s">
        <v>20</v>
      </c>
      <c r="C21" s="62">
        <f t="shared" ref="C21:C28" si="2">SUM(D21:AO21)</f>
        <v>451500000</v>
      </c>
      <c r="D21" s="67">
        <v>48000000</v>
      </c>
      <c r="E21" s="68">
        <v>17000000</v>
      </c>
      <c r="F21" s="68">
        <v>62000000</v>
      </c>
      <c r="G21" s="68">
        <v>58500000</v>
      </c>
      <c r="H21" s="68">
        <v>130000000</v>
      </c>
      <c r="I21" s="68">
        <v>86000000</v>
      </c>
      <c r="J21" s="68">
        <v>50000000</v>
      </c>
      <c r="R21" s="82"/>
      <c r="S21" s="82"/>
      <c r="X21" s="82"/>
      <c r="AD21" s="83"/>
      <c r="AF21" s="82"/>
      <c r="AH21" s="82"/>
      <c r="AI21" s="82"/>
      <c r="AL21" s="82"/>
      <c r="AM21" s="82"/>
      <c r="AO21" s="82"/>
    </row>
    <row r="22" spans="1:45" s="68" customFormat="1" ht="39" customHeight="1" x14ac:dyDescent="0.3">
      <c r="A22" s="84" t="s">
        <v>21</v>
      </c>
      <c r="C22" s="62">
        <f t="shared" si="2"/>
        <v>4650000</v>
      </c>
      <c r="D22" s="67">
        <v>500000</v>
      </c>
      <c r="E22" s="82"/>
      <c r="G22" s="68">
        <v>4150000</v>
      </c>
      <c r="J22" s="82"/>
      <c r="R22" s="82"/>
      <c r="S22" s="82"/>
      <c r="W22" s="82"/>
      <c r="X22" s="82"/>
      <c r="Z22" s="82"/>
      <c r="AA22" s="82"/>
      <c r="AC22" s="82"/>
      <c r="AD22" s="83"/>
      <c r="AE22" s="82"/>
      <c r="AF22" s="82"/>
      <c r="AH22" s="82"/>
      <c r="AI22" s="82"/>
      <c r="AJ22" s="82"/>
      <c r="AK22" s="82"/>
      <c r="AL22" s="85"/>
      <c r="AO22" s="82"/>
    </row>
    <row r="23" spans="1:45" s="68" customFormat="1" ht="20.5" customHeight="1" x14ac:dyDescent="0.3">
      <c r="A23" s="131" t="s">
        <v>22</v>
      </c>
      <c r="B23" s="67" t="s">
        <v>23</v>
      </c>
      <c r="C23" s="62">
        <f t="shared" si="2"/>
        <v>102094148</v>
      </c>
      <c r="D23" s="82">
        <v>17258594</v>
      </c>
      <c r="E23" s="86">
        <v>4874839</v>
      </c>
      <c r="F23" s="82">
        <v>13357375</v>
      </c>
      <c r="G23" s="82">
        <v>14650308</v>
      </c>
      <c r="H23" s="82">
        <v>17101217</v>
      </c>
      <c r="I23" s="82">
        <v>22507113</v>
      </c>
      <c r="J23" s="82">
        <v>12344702</v>
      </c>
      <c r="K23" s="86"/>
      <c r="L23" s="83"/>
      <c r="M23" s="83"/>
      <c r="N23" s="83"/>
      <c r="O23" s="82"/>
      <c r="P23" s="82"/>
      <c r="Q23" s="83"/>
      <c r="R23" s="83"/>
      <c r="S23" s="83"/>
      <c r="T23" s="83"/>
      <c r="U23" s="82"/>
      <c r="V23" s="83"/>
      <c r="W23" s="82"/>
      <c r="X23" s="83"/>
      <c r="Y23" s="83"/>
      <c r="Z23" s="83"/>
      <c r="AA23" s="83"/>
      <c r="AB23" s="83"/>
      <c r="AC23" s="82"/>
      <c r="AD23" s="82"/>
      <c r="AE23" s="83"/>
      <c r="AF23" s="82"/>
      <c r="AG23" s="83"/>
      <c r="AH23" s="83"/>
      <c r="AI23" s="82"/>
      <c r="AJ23" s="82"/>
      <c r="AK23" s="82"/>
      <c r="AL23" s="83"/>
      <c r="AM23" s="83"/>
      <c r="AN23" s="83"/>
      <c r="AO23" s="83"/>
    </row>
    <row r="24" spans="1:45" s="68" customFormat="1" ht="20.5" customHeight="1" x14ac:dyDescent="0.3">
      <c r="A24" s="131"/>
      <c r="B24" s="68" t="s">
        <v>24</v>
      </c>
      <c r="C24" s="87">
        <f t="shared" si="2"/>
        <v>10033370</v>
      </c>
      <c r="D24" s="82">
        <v>300000</v>
      </c>
      <c r="E24" s="82">
        <v>861350</v>
      </c>
      <c r="F24" s="82">
        <v>2755400</v>
      </c>
      <c r="G24" s="82">
        <v>581900</v>
      </c>
      <c r="H24" s="82">
        <v>4300770</v>
      </c>
      <c r="I24" s="82">
        <v>0</v>
      </c>
      <c r="J24" s="82">
        <v>1233950</v>
      </c>
      <c r="K24" s="86"/>
      <c r="L24" s="83"/>
      <c r="M24" s="83"/>
      <c r="N24" s="83"/>
      <c r="O24" s="82"/>
      <c r="P24" s="82"/>
      <c r="Q24" s="83"/>
      <c r="R24" s="83"/>
      <c r="S24" s="83"/>
      <c r="T24" s="83"/>
      <c r="U24" s="82"/>
      <c r="V24" s="83"/>
      <c r="W24" s="82"/>
      <c r="X24" s="83"/>
      <c r="Y24" s="83"/>
      <c r="Z24" s="83"/>
      <c r="AA24" s="83"/>
      <c r="AB24" s="83"/>
      <c r="AC24" s="82"/>
      <c r="AD24" s="82"/>
      <c r="AE24" s="83"/>
      <c r="AF24" s="82"/>
      <c r="AG24" s="83"/>
      <c r="AH24" s="83"/>
      <c r="AI24" s="82"/>
      <c r="AJ24" s="82"/>
      <c r="AK24" s="82"/>
      <c r="AL24" s="83"/>
      <c r="AM24" s="83"/>
      <c r="AN24" s="83"/>
      <c r="AO24" s="83"/>
    </row>
    <row r="25" spans="1:45" s="68" customFormat="1" ht="19" customHeight="1" x14ac:dyDescent="0.3">
      <c r="A25" s="131"/>
      <c r="B25" s="67" t="s">
        <v>25</v>
      </c>
      <c r="C25" s="62">
        <f t="shared" si="2"/>
        <v>744000</v>
      </c>
      <c r="D25" s="82">
        <v>0</v>
      </c>
      <c r="E25" s="82">
        <v>400000</v>
      </c>
      <c r="F25" s="82">
        <v>344000</v>
      </c>
      <c r="G25" s="82">
        <v>0</v>
      </c>
      <c r="H25" s="82">
        <v>0</v>
      </c>
      <c r="I25" s="82">
        <v>0</v>
      </c>
      <c r="J25" s="82">
        <v>0</v>
      </c>
      <c r="K25" s="82"/>
      <c r="L25" s="83"/>
      <c r="M25" s="83"/>
      <c r="N25" s="83"/>
      <c r="O25" s="82"/>
      <c r="P25" s="82"/>
      <c r="Q25" s="82"/>
      <c r="R25" s="83"/>
      <c r="S25" s="83"/>
      <c r="T25" s="83"/>
      <c r="U25" s="82"/>
      <c r="V25" s="83"/>
      <c r="W25" s="82"/>
      <c r="X25" s="83"/>
      <c r="Y25" s="83"/>
      <c r="Z25" s="83"/>
      <c r="AA25" s="83"/>
      <c r="AB25" s="83"/>
      <c r="AC25" s="82"/>
      <c r="AD25" s="82"/>
      <c r="AE25" s="83"/>
      <c r="AF25" s="82"/>
      <c r="AG25" s="83"/>
      <c r="AH25" s="83"/>
      <c r="AI25" s="82"/>
      <c r="AJ25" s="82"/>
      <c r="AK25" s="82"/>
      <c r="AL25" s="83"/>
      <c r="AM25" s="83"/>
      <c r="AN25" s="83"/>
      <c r="AO25" s="83"/>
    </row>
    <row r="26" spans="1:45" s="68" customFormat="1" ht="18.5" customHeight="1" x14ac:dyDescent="0.3">
      <c r="A26" s="131"/>
      <c r="B26" s="67" t="s">
        <v>26</v>
      </c>
      <c r="C26" s="62">
        <f t="shared" si="2"/>
        <v>2100000</v>
      </c>
      <c r="D26" s="82">
        <v>300000</v>
      </c>
      <c r="E26" s="82">
        <v>200000</v>
      </c>
      <c r="F26" s="82">
        <v>350000</v>
      </c>
      <c r="G26" s="82">
        <v>300000</v>
      </c>
      <c r="H26" s="82">
        <v>300000</v>
      </c>
      <c r="I26" s="82">
        <v>350000</v>
      </c>
      <c r="J26" s="82">
        <v>300000</v>
      </c>
      <c r="K26" s="82"/>
      <c r="L26" s="83"/>
      <c r="M26" s="82"/>
      <c r="N26" s="83"/>
      <c r="O26" s="82"/>
      <c r="Q26" s="83"/>
      <c r="R26" s="83"/>
      <c r="S26" s="83"/>
      <c r="T26" s="83"/>
      <c r="U26" s="82"/>
      <c r="V26" s="83"/>
      <c r="W26" s="82"/>
      <c r="X26" s="83"/>
      <c r="Y26" s="83"/>
      <c r="Z26" s="83"/>
      <c r="AA26" s="82"/>
      <c r="AB26" s="82"/>
      <c r="AC26" s="82"/>
      <c r="AD26" s="82"/>
      <c r="AE26" s="83"/>
      <c r="AF26" s="82"/>
      <c r="AG26" s="82"/>
      <c r="AH26" s="83"/>
      <c r="AI26" s="82"/>
      <c r="AJ26" s="82"/>
      <c r="AK26" s="82"/>
      <c r="AL26" s="83"/>
      <c r="AM26" s="83"/>
      <c r="AN26" s="83"/>
      <c r="AO26" s="83"/>
    </row>
    <row r="27" spans="1:45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2"/>
      <c r="J27" s="82"/>
      <c r="K27" s="82"/>
      <c r="L27" s="83"/>
      <c r="M27" s="83"/>
      <c r="N27" s="82"/>
      <c r="O27" s="82"/>
      <c r="P27" s="82"/>
      <c r="Q27" s="83"/>
      <c r="R27" s="82"/>
      <c r="S27" s="83"/>
      <c r="T27" s="82"/>
      <c r="U27" s="82"/>
      <c r="V27" s="82"/>
      <c r="W27" s="82"/>
      <c r="X27" s="82"/>
      <c r="Y27" s="83"/>
      <c r="Z27" s="83"/>
      <c r="AA27" s="82"/>
      <c r="AB27" s="82"/>
      <c r="AC27" s="82"/>
      <c r="AD27" s="82"/>
      <c r="AE27" s="82"/>
      <c r="AF27" s="82"/>
      <c r="AG27" s="82"/>
      <c r="AH27" s="82"/>
      <c r="AI27" s="82"/>
      <c r="AK27" s="82"/>
      <c r="AL27" s="82"/>
      <c r="AM27" s="83"/>
      <c r="AN27" s="82"/>
      <c r="AO27" s="83"/>
    </row>
    <row r="28" spans="1:45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K28" s="82"/>
      <c r="L28" s="82"/>
      <c r="M28" s="82"/>
      <c r="O28" s="82"/>
      <c r="Q28" s="83"/>
      <c r="R28" s="82"/>
      <c r="S28" s="82"/>
      <c r="T28" s="82"/>
      <c r="U28" s="82"/>
      <c r="V28" s="82"/>
      <c r="W28" s="82"/>
      <c r="Y28" s="82"/>
      <c r="Z28" s="82"/>
      <c r="AA28" s="82"/>
      <c r="AB28" s="82"/>
      <c r="AC28" s="82"/>
      <c r="AD28" s="82"/>
      <c r="AE28" s="82"/>
      <c r="AF28" s="82"/>
      <c r="AG28" s="82"/>
      <c r="AI28" s="82"/>
      <c r="AK28" s="82"/>
      <c r="AL28" s="82"/>
      <c r="AM28" s="83"/>
      <c r="AN28" s="82"/>
      <c r="AO28" s="82"/>
    </row>
    <row r="29" spans="1:45" s="64" customFormat="1" ht="13" x14ac:dyDescent="0.3">
      <c r="A29" s="88" t="s">
        <v>29</v>
      </c>
      <c r="B29" s="60"/>
      <c r="C29" s="62">
        <f>SUM(C21:C28)</f>
        <v>571121518</v>
      </c>
      <c r="D29" s="60">
        <f>SUM(D21:D28)</f>
        <v>66358594</v>
      </c>
      <c r="E29" s="60">
        <f t="shared" ref="E29:AO29" si="3">SUM(E21:E28)</f>
        <v>23336189</v>
      </c>
      <c r="F29" s="60">
        <f t="shared" si="3"/>
        <v>78806775</v>
      </c>
      <c r="G29" s="60">
        <f t="shared" si="3"/>
        <v>78182208</v>
      </c>
      <c r="H29" s="60">
        <f t="shared" si="3"/>
        <v>151701987</v>
      </c>
      <c r="I29" s="60">
        <f t="shared" si="3"/>
        <v>108857113</v>
      </c>
      <c r="J29" s="60">
        <f t="shared" si="3"/>
        <v>63878652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 t="shared" si="3"/>
        <v>0</v>
      </c>
      <c r="R29" s="60">
        <f t="shared" si="3"/>
        <v>0</v>
      </c>
      <c r="S29" s="60">
        <f t="shared" si="3"/>
        <v>0</v>
      </c>
      <c r="T29" s="60">
        <f>SUM(T21:T28)</f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 t="shared" si="3"/>
        <v>0</v>
      </c>
      <c r="AC29" s="60">
        <f t="shared" si="3"/>
        <v>0</v>
      </c>
      <c r="AD29" s="60">
        <f t="shared" si="3"/>
        <v>0</v>
      </c>
      <c r="AE29" s="60">
        <f>SUM(AE21:AE28)</f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 t="shared" si="3"/>
        <v>0</v>
      </c>
      <c r="AK29" s="60">
        <f t="shared" si="3"/>
        <v>0</v>
      </c>
      <c r="AL29" s="60">
        <f t="shared" si="3"/>
        <v>0</v>
      </c>
      <c r="AM29" s="60">
        <f>SUM(AM21:AM28)</f>
        <v>0</v>
      </c>
      <c r="AN29" s="60">
        <f t="shared" si="3"/>
        <v>0</v>
      </c>
      <c r="AO29" s="60">
        <f t="shared" si="3"/>
        <v>0</v>
      </c>
    </row>
    <row r="30" spans="1:45" s="68" customFormat="1" ht="24" customHeight="1" x14ac:dyDescent="0.3">
      <c r="A30" s="132" t="s">
        <v>30</v>
      </c>
      <c r="B30" s="67" t="s">
        <v>31</v>
      </c>
      <c r="C30" s="62">
        <f t="shared" ref="C30:C42" si="4">SUM(D30:AO30)</f>
        <v>12375167.01712279</v>
      </c>
      <c r="D30" s="82">
        <v>1385173.3797051676</v>
      </c>
      <c r="E30" s="83">
        <v>606315.78947368416</v>
      </c>
      <c r="F30" s="82">
        <v>2087442.8002997823</v>
      </c>
      <c r="G30" s="83">
        <v>2060000.5893279335</v>
      </c>
      <c r="H30" s="82">
        <v>2143960.8264581282</v>
      </c>
      <c r="I30" s="82">
        <v>2644481.5193051873</v>
      </c>
      <c r="J30" s="82">
        <v>1447792.1125529078</v>
      </c>
      <c r="K30" s="82"/>
      <c r="L30" s="82"/>
      <c r="M30" s="83"/>
      <c r="N30" s="82"/>
      <c r="O30" s="82"/>
      <c r="P30" s="82"/>
      <c r="Q30" s="83"/>
      <c r="R30" s="83"/>
      <c r="S30" s="83"/>
      <c r="T30" s="83"/>
      <c r="U30" s="83"/>
      <c r="V30" s="83"/>
      <c r="W30" s="82"/>
      <c r="X30" s="83"/>
      <c r="Y30" s="83"/>
      <c r="Z30" s="83"/>
      <c r="AA30" s="83"/>
      <c r="AB30" s="82"/>
      <c r="AC30" s="83"/>
      <c r="AD30" s="82"/>
      <c r="AE30" s="82"/>
      <c r="AF30" s="82"/>
      <c r="AG30" s="82"/>
      <c r="AH30" s="82"/>
      <c r="AI30" s="82"/>
      <c r="AJ30" s="82"/>
      <c r="AK30" s="82"/>
      <c r="AL30" s="83"/>
      <c r="AM30" s="83"/>
      <c r="AN30" s="82"/>
      <c r="AO30" s="83"/>
    </row>
    <row r="31" spans="1:45" s="68" customFormat="1" ht="24" customHeight="1" x14ac:dyDescent="0.3">
      <c r="A31" s="133"/>
      <c r="B31" s="67" t="s">
        <v>32</v>
      </c>
      <c r="C31" s="62">
        <f t="shared" si="4"/>
        <v>1068303.9140445127</v>
      </c>
      <c r="D31" s="82">
        <v>138142.74750575595</v>
      </c>
      <c r="E31" s="83">
        <v>46047.582501918652</v>
      </c>
      <c r="F31" s="82">
        <v>156561.78050652341</v>
      </c>
      <c r="G31" s="83">
        <f>(12000000/1303)*17</f>
        <v>156561.78050652341</v>
      </c>
      <c r="H31" s="82">
        <v>211818.8795088258</v>
      </c>
      <c r="I31" s="82">
        <v>239447.42900997697</v>
      </c>
      <c r="J31" s="82">
        <v>119723.71450498849</v>
      </c>
      <c r="K31" s="82"/>
      <c r="L31" s="82"/>
      <c r="M31" s="83"/>
      <c r="N31" s="82"/>
      <c r="O31" s="82"/>
      <c r="P31" s="82"/>
      <c r="Q31" s="83"/>
      <c r="R31" s="83"/>
      <c r="S31" s="83"/>
      <c r="T31" s="83"/>
      <c r="U31" s="83"/>
      <c r="V31" s="83"/>
      <c r="W31" s="82"/>
      <c r="X31" s="83"/>
      <c r="Y31" s="83"/>
      <c r="Z31" s="83"/>
      <c r="AA31" s="83"/>
      <c r="AB31" s="82"/>
      <c r="AC31" s="83"/>
      <c r="AD31" s="82"/>
      <c r="AE31" s="82"/>
      <c r="AF31" s="82"/>
      <c r="AG31" s="82"/>
      <c r="AH31" s="82"/>
      <c r="AI31" s="82"/>
      <c r="AJ31" s="82"/>
      <c r="AK31" s="82"/>
      <c r="AL31" s="83"/>
      <c r="AM31" s="83"/>
      <c r="AN31" s="82"/>
      <c r="AO31" s="83"/>
    </row>
    <row r="32" spans="1:45" s="68" customFormat="1" ht="24" customHeight="1" x14ac:dyDescent="0.3">
      <c r="A32" s="133"/>
      <c r="B32" s="67" t="s">
        <v>33</v>
      </c>
      <c r="C32" s="62">
        <f t="shared" si="4"/>
        <v>3029531.8495778972</v>
      </c>
      <c r="D32" s="82">
        <v>391749.80813507293</v>
      </c>
      <c r="E32" s="83">
        <v>130583.26937835764</v>
      </c>
      <c r="F32" s="82">
        <v>443983.11588641594</v>
      </c>
      <c r="G32" s="83">
        <v>443983.11588641594</v>
      </c>
      <c r="H32" s="82">
        <v>600683.03914044518</v>
      </c>
      <c r="I32" s="82">
        <v>679033.00076745963</v>
      </c>
      <c r="J32" s="82">
        <v>339516.50038372981</v>
      </c>
      <c r="K32" s="82"/>
      <c r="L32" s="82"/>
      <c r="M32" s="83"/>
      <c r="N32" s="82"/>
      <c r="O32" s="82"/>
      <c r="P32" s="82"/>
      <c r="Q32" s="83"/>
      <c r="R32" s="83"/>
      <c r="S32" s="83"/>
      <c r="T32" s="83"/>
      <c r="U32" s="83"/>
      <c r="V32" s="83"/>
      <c r="W32" s="82"/>
      <c r="X32" s="83"/>
      <c r="Y32" s="83"/>
      <c r="Z32" s="83"/>
      <c r="AA32" s="83"/>
      <c r="AB32" s="82"/>
      <c r="AC32" s="83"/>
      <c r="AD32" s="82"/>
      <c r="AE32" s="82"/>
      <c r="AF32" s="82"/>
      <c r="AG32" s="82"/>
      <c r="AH32" s="82"/>
      <c r="AI32" s="82"/>
      <c r="AJ32" s="82"/>
      <c r="AK32" s="82"/>
      <c r="AL32" s="83"/>
      <c r="AM32" s="83"/>
      <c r="AN32" s="82"/>
      <c r="AO32" s="83"/>
    </row>
    <row r="33" spans="1:41" s="68" customFormat="1" ht="24" customHeight="1" x14ac:dyDescent="0.3">
      <c r="A33" s="133"/>
      <c r="B33" s="67" t="s">
        <v>34</v>
      </c>
      <c r="C33" s="62">
        <f t="shared" si="4"/>
        <v>0</v>
      </c>
      <c r="D33" s="82"/>
      <c r="E33" s="83"/>
      <c r="F33" s="82"/>
      <c r="G33" s="83"/>
      <c r="H33" s="82"/>
      <c r="I33" s="82"/>
      <c r="J33" s="82"/>
      <c r="K33" s="82"/>
      <c r="L33" s="82"/>
      <c r="M33" s="83"/>
      <c r="N33" s="82"/>
      <c r="O33" s="82"/>
      <c r="P33" s="82"/>
      <c r="Q33" s="83"/>
      <c r="R33" s="83"/>
      <c r="S33" s="83"/>
      <c r="T33" s="83"/>
      <c r="U33" s="83"/>
      <c r="V33" s="83"/>
      <c r="W33" s="82"/>
      <c r="X33" s="83"/>
      <c r="Y33" s="83"/>
      <c r="Z33" s="83"/>
      <c r="AA33" s="83"/>
      <c r="AB33" s="82"/>
      <c r="AC33" s="83"/>
      <c r="AD33" s="82"/>
      <c r="AE33" s="82"/>
      <c r="AF33" s="82"/>
      <c r="AG33" s="82"/>
      <c r="AH33" s="82"/>
      <c r="AI33" s="82"/>
      <c r="AJ33" s="82"/>
      <c r="AK33" s="82"/>
      <c r="AL33" s="83"/>
      <c r="AM33" s="83"/>
      <c r="AN33" s="82"/>
      <c r="AO33" s="83"/>
    </row>
    <row r="34" spans="1:41" s="68" customFormat="1" ht="24" customHeight="1" x14ac:dyDescent="0.3">
      <c r="A34" s="133"/>
      <c r="B34" s="67" t="s">
        <v>167</v>
      </c>
      <c r="C34" s="62">
        <f t="shared" si="4"/>
        <v>267075.97851112817</v>
      </c>
      <c r="D34" s="82">
        <f>(3000000/1303)*15</f>
        <v>34535.686876438987</v>
      </c>
      <c r="E34" s="82">
        <f>(3000000/1303)*5</f>
        <v>11511.895625479663</v>
      </c>
      <c r="F34" s="82">
        <f>(3000000/1303)*17</f>
        <v>39140.445126630853</v>
      </c>
      <c r="G34" s="82">
        <f>(3000000/1303)*17</f>
        <v>39140.445126630853</v>
      </c>
      <c r="H34" s="82">
        <f>(3000000/1303)*23</f>
        <v>52954.719877206451</v>
      </c>
      <c r="I34" s="82">
        <f>(3000000/1303)*26</f>
        <v>59861.857252494243</v>
      </c>
      <c r="J34" s="82">
        <v>29930.928626247121</v>
      </c>
      <c r="K34" s="82"/>
      <c r="L34" s="82"/>
      <c r="M34" s="83"/>
      <c r="N34" s="82"/>
      <c r="O34" s="82"/>
      <c r="P34" s="82"/>
      <c r="Q34" s="83"/>
      <c r="R34" s="83"/>
      <c r="S34" s="83"/>
      <c r="T34" s="83"/>
      <c r="U34" s="83"/>
      <c r="V34" s="83"/>
      <c r="W34" s="82"/>
      <c r="X34" s="83"/>
      <c r="Y34" s="83"/>
      <c r="Z34" s="83"/>
      <c r="AA34" s="83"/>
      <c r="AB34" s="82"/>
      <c r="AC34" s="83"/>
      <c r="AD34" s="82"/>
      <c r="AE34" s="82"/>
      <c r="AF34" s="82"/>
      <c r="AG34" s="82"/>
      <c r="AH34" s="82"/>
      <c r="AI34" s="82"/>
      <c r="AJ34" s="82"/>
      <c r="AK34" s="82"/>
      <c r="AL34" s="82"/>
      <c r="AM34" s="83"/>
      <c r="AN34" s="82"/>
      <c r="AO34" s="83"/>
    </row>
    <row r="35" spans="1:41" s="68" customFormat="1" ht="21.5" customHeight="1" x14ac:dyDescent="0.3">
      <c r="A35" s="133"/>
      <c r="B35" s="67" t="s">
        <v>35</v>
      </c>
      <c r="C35" s="62">
        <f t="shared" si="4"/>
        <v>4237605.6147352261</v>
      </c>
      <c r="D35" s="82">
        <v>547966.24328472756</v>
      </c>
      <c r="E35" s="83">
        <v>182655.41442824251</v>
      </c>
      <c r="F35" s="82">
        <v>621028.40905602451</v>
      </c>
      <c r="G35" s="83">
        <f>(SUM('[5]THÁNG 6'!$Y$131/1303)*17)</f>
        <v>621028.40905602451</v>
      </c>
      <c r="H35" s="82">
        <v>840214.90636991558</v>
      </c>
      <c r="I35" s="82">
        <v>949808.155026861</v>
      </c>
      <c r="J35" s="82">
        <v>474904.0775134305</v>
      </c>
      <c r="K35" s="82"/>
      <c r="L35" s="82"/>
      <c r="M35" s="83"/>
      <c r="N35" s="82"/>
      <c r="O35" s="82"/>
      <c r="P35" s="82"/>
      <c r="Q35" s="83"/>
      <c r="R35" s="83"/>
      <c r="S35" s="83"/>
      <c r="T35" s="83"/>
      <c r="U35" s="83"/>
      <c r="V35" s="83"/>
      <c r="W35" s="82"/>
      <c r="X35" s="83"/>
      <c r="Y35" s="83"/>
      <c r="Z35" s="83"/>
      <c r="AA35" s="83"/>
      <c r="AB35" s="82"/>
      <c r="AC35" s="83"/>
      <c r="AD35" s="82"/>
      <c r="AE35" s="82"/>
      <c r="AF35" s="82"/>
      <c r="AG35" s="82"/>
      <c r="AH35" s="82"/>
      <c r="AI35" s="82"/>
      <c r="AJ35" s="82"/>
      <c r="AK35" s="82"/>
      <c r="AL35" s="82"/>
      <c r="AM35" s="83"/>
      <c r="AN35" s="82"/>
      <c r="AO35" s="83"/>
    </row>
    <row r="36" spans="1:41" s="68" customFormat="1" ht="21" customHeight="1" x14ac:dyDescent="0.3">
      <c r="A36" s="133"/>
      <c r="B36" s="67" t="s">
        <v>36</v>
      </c>
      <c r="C36" s="62">
        <f t="shared" si="4"/>
        <v>3250000</v>
      </c>
      <c r="D36" s="82">
        <v>550000</v>
      </c>
      <c r="E36" s="83">
        <v>400000</v>
      </c>
      <c r="F36" s="82">
        <v>400000</v>
      </c>
      <c r="G36" s="83">
        <v>500000</v>
      </c>
      <c r="H36" s="82">
        <v>550000</v>
      </c>
      <c r="I36" s="82">
        <v>450000</v>
      </c>
      <c r="J36" s="82">
        <v>400000</v>
      </c>
      <c r="K36" s="82"/>
      <c r="L36" s="82"/>
      <c r="M36" s="83"/>
      <c r="N36" s="82"/>
      <c r="O36" s="82"/>
      <c r="P36" s="82"/>
      <c r="Q36" s="83"/>
      <c r="R36" s="83"/>
      <c r="S36" s="83"/>
      <c r="T36" s="83"/>
      <c r="U36" s="83"/>
      <c r="V36" s="83"/>
      <c r="W36" s="82"/>
      <c r="X36" s="83"/>
      <c r="Y36" s="83"/>
      <c r="Z36" s="83"/>
      <c r="AA36" s="83"/>
      <c r="AB36" s="82"/>
      <c r="AC36" s="83"/>
      <c r="AD36" s="82"/>
      <c r="AE36" s="82"/>
      <c r="AF36" s="82"/>
      <c r="AG36" s="82"/>
      <c r="AH36" s="82"/>
      <c r="AI36" s="82"/>
      <c r="AJ36" s="82"/>
      <c r="AK36" s="82"/>
      <c r="AL36" s="82"/>
      <c r="AM36" s="83"/>
      <c r="AN36" s="82"/>
      <c r="AO36" s="83"/>
    </row>
    <row r="37" spans="1:41" s="68" customFormat="1" ht="21.5" customHeight="1" x14ac:dyDescent="0.3">
      <c r="A37" s="133"/>
      <c r="B37" s="67" t="s">
        <v>37</v>
      </c>
      <c r="C37" s="62">
        <f t="shared" si="4"/>
        <v>1408050.6523407518</v>
      </c>
      <c r="D37" s="82">
        <v>183023.79125095933</v>
      </c>
      <c r="E37" s="83">
        <v>67674.597083653105</v>
      </c>
      <c r="F37" s="82">
        <v>206093.63008442055</v>
      </c>
      <c r="G37" s="83">
        <f>170000+10000+(2000000/1303)*17</f>
        <v>206093.63008442055</v>
      </c>
      <c r="H37" s="82">
        <v>275303.14658480429</v>
      </c>
      <c r="I37" s="82">
        <v>309907.90483499615</v>
      </c>
      <c r="J37" s="82">
        <v>159953.95241749808</v>
      </c>
      <c r="K37" s="82"/>
      <c r="L37" s="82"/>
      <c r="M37" s="83"/>
      <c r="N37" s="82"/>
      <c r="O37" s="82"/>
      <c r="P37" s="82"/>
      <c r="Q37" s="83"/>
      <c r="R37" s="83"/>
      <c r="S37" s="83"/>
      <c r="T37" s="83"/>
      <c r="U37" s="83"/>
      <c r="V37" s="83"/>
      <c r="W37" s="82"/>
      <c r="X37" s="83"/>
      <c r="Y37" s="83"/>
      <c r="Z37" s="83"/>
      <c r="AA37" s="83"/>
      <c r="AB37" s="82"/>
      <c r="AC37" s="83"/>
      <c r="AD37" s="82"/>
      <c r="AE37" s="82"/>
      <c r="AF37" s="82"/>
      <c r="AG37" s="82"/>
      <c r="AH37" s="82"/>
      <c r="AI37" s="82"/>
      <c r="AJ37" s="82"/>
      <c r="AK37" s="82"/>
      <c r="AL37" s="82"/>
      <c r="AM37" s="83"/>
      <c r="AN37" s="82"/>
      <c r="AO37" s="83"/>
    </row>
    <row r="38" spans="1:41" s="68" customFormat="1" ht="24" customHeight="1" x14ac:dyDescent="0.3">
      <c r="A38" s="133"/>
      <c r="B38" s="67" t="s">
        <v>38</v>
      </c>
      <c r="C38" s="62">
        <f t="shared" si="4"/>
        <v>1958557.1757482728</v>
      </c>
      <c r="D38" s="82">
        <v>253261.70376055257</v>
      </c>
      <c r="E38" s="83">
        <v>84420.567920184185</v>
      </c>
      <c r="F38" s="82">
        <v>287029.93092862621</v>
      </c>
      <c r="G38" s="83">
        <f>(22000000/1303)*17</f>
        <v>287029.93092862621</v>
      </c>
      <c r="H38" s="82">
        <v>388334.61243284727</v>
      </c>
      <c r="I38" s="82">
        <v>438986.95318495773</v>
      </c>
      <c r="J38" s="82">
        <v>219493.47659247887</v>
      </c>
      <c r="K38" s="82"/>
      <c r="L38" s="82"/>
      <c r="M38" s="83"/>
      <c r="N38" s="82"/>
      <c r="O38" s="82"/>
      <c r="P38" s="82"/>
      <c r="Q38" s="83"/>
      <c r="R38" s="83"/>
      <c r="S38" s="83"/>
      <c r="T38" s="83"/>
      <c r="U38" s="83"/>
      <c r="V38" s="83"/>
      <c r="W38" s="82"/>
      <c r="X38" s="83"/>
      <c r="Y38" s="83"/>
      <c r="Z38" s="83"/>
      <c r="AA38" s="83"/>
      <c r="AB38" s="82"/>
      <c r="AC38" s="83"/>
      <c r="AD38" s="83"/>
      <c r="AE38" s="82"/>
      <c r="AF38" s="82"/>
      <c r="AG38" s="82"/>
      <c r="AH38" s="82"/>
      <c r="AI38" s="82"/>
      <c r="AJ38" s="82"/>
      <c r="AK38" s="82"/>
      <c r="AL38" s="82"/>
      <c r="AM38" s="83"/>
      <c r="AN38" s="82"/>
      <c r="AO38" s="83"/>
    </row>
    <row r="39" spans="1:41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3"/>
      <c r="H39" s="82"/>
      <c r="I39" s="82"/>
      <c r="J39" s="82"/>
      <c r="K39" s="82"/>
      <c r="L39" s="82"/>
      <c r="M39" s="83"/>
      <c r="N39" s="82"/>
      <c r="O39" s="82"/>
      <c r="P39" s="82"/>
      <c r="Q39" s="83"/>
      <c r="R39" s="83"/>
      <c r="S39" s="83"/>
      <c r="T39" s="83"/>
      <c r="U39" s="83"/>
      <c r="V39" s="83"/>
      <c r="W39" s="82"/>
      <c r="X39" s="83"/>
      <c r="Y39" s="83"/>
      <c r="Z39" s="83"/>
      <c r="AA39" s="83"/>
      <c r="AB39" s="82"/>
      <c r="AC39" s="126"/>
      <c r="AD39" s="82"/>
      <c r="AE39" s="82"/>
      <c r="AF39" s="82"/>
      <c r="AG39" s="82"/>
      <c r="AH39" s="82"/>
      <c r="AI39" s="82"/>
      <c r="AJ39" s="82"/>
      <c r="AK39" s="82"/>
      <c r="AL39" s="82"/>
      <c r="AM39" s="83"/>
      <c r="AN39" s="82"/>
      <c r="AO39" s="89"/>
    </row>
    <row r="40" spans="1:41" s="68" customFormat="1" ht="25.5" customHeight="1" x14ac:dyDescent="0.3">
      <c r="A40" s="134"/>
      <c r="B40" s="67" t="s">
        <v>40</v>
      </c>
      <c r="C40" s="62">
        <f t="shared" si="4"/>
        <v>5411404.4512663083</v>
      </c>
      <c r="D40" s="82">
        <v>699750.5755947812</v>
      </c>
      <c r="E40" s="83">
        <v>233250.19186492707</v>
      </c>
      <c r="F40" s="82">
        <v>793050.65234075207</v>
      </c>
      <c r="G40" s="83">
        <f>('[6]THÁNG 6.26 '!$B$35/1303)*17</f>
        <v>793050.65234075207</v>
      </c>
      <c r="H40" s="82">
        <v>1072950.8825786645</v>
      </c>
      <c r="I40" s="82">
        <v>1212900.9976976209</v>
      </c>
      <c r="J40" s="82">
        <v>606450.49884881044</v>
      </c>
      <c r="K40" s="82"/>
      <c r="L40" s="82"/>
      <c r="M40" s="83"/>
      <c r="N40" s="82"/>
      <c r="O40" s="82"/>
      <c r="P40" s="82"/>
      <c r="Q40" s="83"/>
      <c r="R40" s="83"/>
      <c r="S40" s="83"/>
      <c r="T40" s="83"/>
      <c r="U40" s="83"/>
      <c r="V40" s="83"/>
      <c r="W40" s="82"/>
      <c r="X40" s="83"/>
      <c r="Y40" s="83"/>
      <c r="Z40" s="83"/>
      <c r="AA40" s="83"/>
      <c r="AB40" s="82"/>
      <c r="AC40" s="83"/>
      <c r="AD40" s="82"/>
      <c r="AE40" s="82"/>
      <c r="AF40" s="82"/>
      <c r="AG40" s="82"/>
      <c r="AH40" s="82"/>
      <c r="AI40" s="82"/>
      <c r="AJ40" s="82"/>
      <c r="AK40" s="82"/>
      <c r="AL40" s="82"/>
      <c r="AM40" s="83"/>
      <c r="AN40" s="82"/>
      <c r="AO40" s="83"/>
    </row>
    <row r="41" spans="1:41" s="68" customFormat="1" ht="33" customHeight="1" x14ac:dyDescent="0.3">
      <c r="A41" s="135" t="s">
        <v>41</v>
      </c>
      <c r="B41" s="66" t="s">
        <v>42</v>
      </c>
      <c r="C41" s="62">
        <f t="shared" si="4"/>
        <v>26395829.578664619</v>
      </c>
      <c r="D41" s="82">
        <v>4697521</v>
      </c>
      <c r="E41" s="82">
        <v>115840.36838066002</v>
      </c>
      <c r="F41" s="82">
        <v>393857.25249424408</v>
      </c>
      <c r="G41" s="82">
        <v>4618857</v>
      </c>
      <c r="H41" s="82">
        <v>10721199</v>
      </c>
      <c r="I41" s="82">
        <v>5547370</v>
      </c>
      <c r="J41" s="82">
        <v>301184.95778971608</v>
      </c>
      <c r="K41" s="82"/>
      <c r="L41" s="82"/>
      <c r="M41" s="83"/>
      <c r="P41" s="82"/>
      <c r="Q41" s="82"/>
      <c r="R41" s="82"/>
      <c r="T41" s="83"/>
      <c r="U41" s="83"/>
      <c r="V41" s="83"/>
      <c r="X41" s="82"/>
      <c r="Y41" s="83"/>
      <c r="Z41" s="82"/>
      <c r="AA41" s="90"/>
      <c r="AB41" s="82"/>
      <c r="AC41" s="83"/>
      <c r="AD41" s="82"/>
      <c r="AE41" s="82"/>
      <c r="AF41" s="82"/>
      <c r="AG41" s="82"/>
      <c r="AH41" s="82"/>
      <c r="AI41" s="82"/>
      <c r="AK41" s="82"/>
      <c r="AO41" s="83"/>
    </row>
    <row r="42" spans="1:41" s="68" customFormat="1" ht="33" customHeight="1" x14ac:dyDescent="0.3">
      <c r="A42" s="135"/>
      <c r="B42" s="69" t="s">
        <v>43</v>
      </c>
      <c r="C42" s="62">
        <f t="shared" si="4"/>
        <v>2427000</v>
      </c>
      <c r="D42" s="82"/>
      <c r="E42" s="83">
        <v>497000</v>
      </c>
      <c r="F42" s="82"/>
      <c r="G42" s="82">
        <v>120000</v>
      </c>
      <c r="H42" s="82">
        <v>1750000</v>
      </c>
      <c r="I42" s="82">
        <v>60000</v>
      </c>
      <c r="J42" s="82"/>
      <c r="K42" s="82"/>
      <c r="L42" s="82"/>
      <c r="M42" s="82"/>
      <c r="Q42" s="82"/>
      <c r="R42" s="82"/>
      <c r="T42" s="82"/>
      <c r="V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K42" s="82"/>
      <c r="AO42" s="82"/>
    </row>
    <row r="43" spans="1:41" s="68" customFormat="1" ht="54.5" customHeight="1" x14ac:dyDescent="0.3">
      <c r="A43" s="135"/>
      <c r="B43" s="69" t="s">
        <v>103</v>
      </c>
      <c r="C43" s="62">
        <f>SUM(D43:AO43)</f>
        <v>5736667</v>
      </c>
      <c r="D43" s="82">
        <v>1595000</v>
      </c>
      <c r="E43" s="82">
        <v>270000</v>
      </c>
      <c r="F43" s="82">
        <v>150000</v>
      </c>
      <c r="G43" s="82">
        <v>1381667</v>
      </c>
      <c r="H43" s="82">
        <v>1880000</v>
      </c>
      <c r="I43" s="82">
        <v>190000</v>
      </c>
      <c r="J43" s="67">
        <v>270000</v>
      </c>
      <c r="K43" s="67"/>
      <c r="L43" s="67"/>
      <c r="M43" s="82"/>
      <c r="N43" s="82"/>
      <c r="Q43" s="82"/>
      <c r="V43" s="82"/>
      <c r="W43" s="82"/>
      <c r="Y43" s="82"/>
      <c r="Z43" s="82"/>
      <c r="AA43" s="83"/>
      <c r="AC43" s="82"/>
      <c r="AD43" s="82"/>
      <c r="AE43" s="82"/>
      <c r="AF43" s="82"/>
      <c r="AH43" s="82"/>
      <c r="AJ43" s="82"/>
      <c r="AN43" s="82"/>
    </row>
    <row r="44" spans="1:41" s="93" customFormat="1" ht="13" x14ac:dyDescent="0.3">
      <c r="A44" s="91" t="s">
        <v>45</v>
      </c>
      <c r="B44" s="92"/>
      <c r="C44" s="62">
        <f>SUM(C30:C43)</f>
        <v>67565193.232011512</v>
      </c>
      <c r="D44" s="92">
        <f t="shared" ref="D44:AO44" si="5">SUM(D30:D43)</f>
        <v>10476124.936113456</v>
      </c>
      <c r="E44" s="92">
        <f t="shared" si="5"/>
        <v>2645299.6766571067</v>
      </c>
      <c r="F44" s="92">
        <f t="shared" si="5"/>
        <v>5578188.0167234195</v>
      </c>
      <c r="G44" s="92">
        <f t="shared" si="5"/>
        <v>11227412.553257328</v>
      </c>
      <c r="H44" s="92">
        <f t="shared" si="5"/>
        <v>20487420.012950838</v>
      </c>
      <c r="I44" s="92">
        <f t="shared" si="5"/>
        <v>12781797.817079553</v>
      </c>
      <c r="J44" s="92">
        <f t="shared" si="5"/>
        <v>4368950.2192298071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 t="shared" si="5"/>
        <v>0</v>
      </c>
      <c r="Q44" s="92">
        <f t="shared" si="5"/>
        <v>0</v>
      </c>
      <c r="R44" s="92">
        <f t="shared" si="5"/>
        <v>0</v>
      </c>
      <c r="S44" s="92">
        <f>SUM(S30:S43)</f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  <c r="AM44" s="92">
        <f t="shared" si="5"/>
        <v>0</v>
      </c>
      <c r="AN44" s="92">
        <f t="shared" si="5"/>
        <v>0</v>
      </c>
      <c r="AO44" s="92">
        <f t="shared" si="5"/>
        <v>0</v>
      </c>
    </row>
    <row r="45" spans="1:41" s="96" customFormat="1" ht="13" x14ac:dyDescent="0.3">
      <c r="A45" s="94" t="s">
        <v>46</v>
      </c>
      <c r="B45" s="95"/>
      <c r="C45" s="62">
        <f t="shared" ref="C45:AO45" si="6">C29+C44</f>
        <v>638686711.23201156</v>
      </c>
      <c r="D45" s="95">
        <f t="shared" si="6"/>
        <v>76834718.936113462</v>
      </c>
      <c r="E45" s="95">
        <f t="shared" si="6"/>
        <v>25981488.676657107</v>
      </c>
      <c r="F45" s="95">
        <f t="shared" si="6"/>
        <v>84384963.016723424</v>
      </c>
      <c r="G45" s="95">
        <f t="shared" si="6"/>
        <v>89409620.553257331</v>
      </c>
      <c r="H45" s="95">
        <f t="shared" si="6"/>
        <v>172189407.01295084</v>
      </c>
      <c r="I45" s="95">
        <f t="shared" si="6"/>
        <v>121638910.81707956</v>
      </c>
      <c r="J45" s="95">
        <f t="shared" si="6"/>
        <v>68247602.219229802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  <c r="AM45" s="95">
        <f t="shared" si="6"/>
        <v>0</v>
      </c>
      <c r="AN45" s="95">
        <f t="shared" si="6"/>
        <v>0</v>
      </c>
      <c r="AO45" s="95">
        <f t="shared" si="6"/>
        <v>0</v>
      </c>
    </row>
    <row r="46" spans="1:41" s="93" customFormat="1" ht="13" x14ac:dyDescent="0.3">
      <c r="A46" s="92" t="s">
        <v>47</v>
      </c>
      <c r="B46" s="92"/>
      <c r="C46" s="62">
        <f>C4-C29</f>
        <v>148846482</v>
      </c>
      <c r="D46" s="97">
        <f t="shared" ref="D46:AO46" si="7">D4-D29</f>
        <v>13553406</v>
      </c>
      <c r="E46" s="97">
        <f t="shared" si="7"/>
        <v>9602811</v>
      </c>
      <c r="F46" s="97">
        <f t="shared" si="7"/>
        <v>13710225</v>
      </c>
      <c r="G46" s="97">
        <f t="shared" si="7"/>
        <v>21018792</v>
      </c>
      <c r="H46" s="97">
        <f t="shared" si="7"/>
        <v>51157013</v>
      </c>
      <c r="I46" s="97">
        <f t="shared" si="7"/>
        <v>21388887</v>
      </c>
      <c r="J46" s="97">
        <f t="shared" si="7"/>
        <v>18415348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  <c r="AM46" s="97">
        <f t="shared" si="7"/>
        <v>0</v>
      </c>
      <c r="AN46" s="97">
        <f t="shared" si="7"/>
        <v>0</v>
      </c>
      <c r="AO46" s="97">
        <f t="shared" si="7"/>
        <v>0</v>
      </c>
    </row>
    <row r="47" spans="1:41" s="100" customFormat="1" ht="13" x14ac:dyDescent="0.3">
      <c r="A47" s="98" t="s">
        <v>48</v>
      </c>
      <c r="B47" s="98"/>
      <c r="C47" s="62">
        <f>C4-C45</f>
        <v>81281288.767988443</v>
      </c>
      <c r="D47" s="99">
        <f t="shared" ref="D47:AO47" si="8">D4-D45</f>
        <v>3077281.0638865381</v>
      </c>
      <c r="E47" s="99">
        <f t="shared" si="8"/>
        <v>6957511.3233428933</v>
      </c>
      <c r="F47" s="99">
        <f t="shared" si="8"/>
        <v>8132036.9832765758</v>
      </c>
      <c r="G47" s="99">
        <f t="shared" si="8"/>
        <v>9791379.4467426687</v>
      </c>
      <c r="H47" s="99">
        <f t="shared" si="8"/>
        <v>30669592.987049162</v>
      </c>
      <c r="I47" s="99">
        <f t="shared" si="8"/>
        <v>8607089.182920441</v>
      </c>
      <c r="J47" s="99">
        <f t="shared" si="8"/>
        <v>14046397.780770198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  <c r="AM47" s="99">
        <f t="shared" si="8"/>
        <v>0</v>
      </c>
      <c r="AN47" s="99">
        <f t="shared" si="8"/>
        <v>0</v>
      </c>
      <c r="AO47" s="99">
        <f t="shared" si="8"/>
        <v>0</v>
      </c>
    </row>
    <row r="48" spans="1:41" s="64" customFormat="1" ht="13" x14ac:dyDescent="0.3">
      <c r="A48" s="60" t="s">
        <v>29</v>
      </c>
      <c r="B48" s="60"/>
      <c r="C48" s="62">
        <f t="shared" ref="C48:AO48" si="9">C29</f>
        <v>571121518</v>
      </c>
      <c r="D48" s="61">
        <f t="shared" si="9"/>
        <v>66358594</v>
      </c>
      <c r="E48" s="61">
        <f t="shared" si="9"/>
        <v>23336189</v>
      </c>
      <c r="F48" s="61">
        <f t="shared" si="9"/>
        <v>78806775</v>
      </c>
      <c r="G48" s="61">
        <f t="shared" si="9"/>
        <v>78182208</v>
      </c>
      <c r="H48" s="61">
        <f t="shared" si="9"/>
        <v>151701987</v>
      </c>
      <c r="I48" s="61">
        <f t="shared" si="9"/>
        <v>108857113</v>
      </c>
      <c r="J48" s="61">
        <f t="shared" si="9"/>
        <v>63878652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  <c r="AM48" s="61">
        <f t="shared" si="9"/>
        <v>0</v>
      </c>
      <c r="AN48" s="61">
        <f t="shared" si="9"/>
        <v>0</v>
      </c>
      <c r="AO48" s="61">
        <f t="shared" si="9"/>
        <v>0</v>
      </c>
    </row>
    <row r="49" spans="1:41" s="104" customFormat="1" ht="13" x14ac:dyDescent="0.3">
      <c r="A49" s="101" t="s">
        <v>49</v>
      </c>
      <c r="B49" s="102"/>
      <c r="C49" s="103">
        <f t="shared" ref="C49:AO49" si="10">C47/C4</f>
        <v>0.11289569643093643</v>
      </c>
      <c r="D49" s="101">
        <f t="shared" si="10"/>
        <v>3.8508372508340903E-2</v>
      </c>
      <c r="E49" s="101">
        <f t="shared" si="10"/>
        <v>0.21122412105233593</v>
      </c>
      <c r="F49" s="101">
        <f t="shared" si="10"/>
        <v>8.7897759149957039E-2</v>
      </c>
      <c r="G49" s="101">
        <f t="shared" si="10"/>
        <v>9.8702426858022288E-2</v>
      </c>
      <c r="H49" s="101">
        <f t="shared" si="10"/>
        <v>0.15118675033914769</v>
      </c>
      <c r="I49" s="101">
        <f t="shared" si="10"/>
        <v>6.6083328339606909E-2</v>
      </c>
      <c r="J49" s="101">
        <f t="shared" si="10"/>
        <v>0.17068556371995769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  <c r="AM49" s="101" t="e">
        <f t="shared" si="10"/>
        <v>#DIV/0!</v>
      </c>
      <c r="AN49" s="101" t="e">
        <f t="shared" si="10"/>
        <v>#DIV/0!</v>
      </c>
      <c r="AO49" s="101" t="e">
        <f t="shared" si="10"/>
        <v>#DIV/0!</v>
      </c>
    </row>
    <row r="50" spans="1:41" s="104" customFormat="1" ht="13" x14ac:dyDescent="0.3">
      <c r="A50" s="101" t="s">
        <v>50</v>
      </c>
      <c r="B50" s="102"/>
      <c r="C50" s="103">
        <f t="shared" ref="C50:AO50" si="11">C46/C4</f>
        <v>0.20674041346282057</v>
      </c>
      <c r="D50" s="101">
        <f t="shared" si="11"/>
        <v>0.16960413955350886</v>
      </c>
      <c r="E50" s="101">
        <f t="shared" si="11"/>
        <v>0.29153316736998697</v>
      </c>
      <c r="F50" s="101">
        <f t="shared" si="11"/>
        <v>0.14819141346995687</v>
      </c>
      <c r="G50" s="101">
        <f t="shared" si="11"/>
        <v>0.21188084797532283</v>
      </c>
      <c r="H50" s="101">
        <f t="shared" si="11"/>
        <v>0.25218014975919234</v>
      </c>
      <c r="I50" s="101">
        <f t="shared" si="11"/>
        <v>0.16421914684520061</v>
      </c>
      <c r="J50" s="101">
        <f t="shared" si="11"/>
        <v>0.2237750990351666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  <c r="AM50" s="101" t="e">
        <f t="shared" si="11"/>
        <v>#DIV/0!</v>
      </c>
      <c r="AN50" s="101" t="e">
        <f t="shared" si="11"/>
        <v>#DIV/0!</v>
      </c>
      <c r="AO50" s="101" t="e">
        <f t="shared" si="11"/>
        <v>#DIV/0!</v>
      </c>
    </row>
    <row r="51" spans="1:41" s="104" customFormat="1" ht="13" x14ac:dyDescent="0.3">
      <c r="A51" s="101" t="s">
        <v>51</v>
      </c>
      <c r="B51" s="102"/>
      <c r="C51" s="103">
        <f>C47/C48</f>
        <v>0.14231872938814474</v>
      </c>
      <c r="D51" s="101">
        <f t="shared" ref="D51:AO51" si="12">D47/D48</f>
        <v>4.6373512131473706E-2</v>
      </c>
      <c r="E51" s="101">
        <f t="shared" si="12"/>
        <v>0.29814256832351216</v>
      </c>
      <c r="F51" s="101">
        <f t="shared" si="12"/>
        <v>0.10318956692843446</v>
      </c>
      <c r="G51" s="101">
        <f t="shared" si="12"/>
        <v>0.12523794987655848</v>
      </c>
      <c r="H51" s="101">
        <f t="shared" si="12"/>
        <v>0.20217001499821596</v>
      </c>
      <c r="I51" s="101">
        <f t="shared" si="12"/>
        <v>7.9067770086098471E-2</v>
      </c>
      <c r="J51" s="101">
        <f t="shared" si="12"/>
        <v>0.2198918940989894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  <c r="AM51" s="101" t="e">
        <f t="shared" si="12"/>
        <v>#DIV/0!</v>
      </c>
      <c r="AN51" s="101" t="e">
        <f t="shared" si="12"/>
        <v>#DIV/0!</v>
      </c>
      <c r="AO51" s="101" t="e">
        <f t="shared" si="12"/>
        <v>#DIV/0!</v>
      </c>
    </row>
    <row r="52" spans="1:41" s="105" customFormat="1" ht="13" x14ac:dyDescent="0.3">
      <c r="A52" s="101" t="s">
        <v>52</v>
      </c>
      <c r="B52" s="102"/>
      <c r="C52" s="103">
        <f t="shared" ref="C52:AO52" si="13">C47/C46</f>
        <v>0.54607463794803324</v>
      </c>
      <c r="D52" s="101">
        <f t="shared" si="13"/>
        <v>0.22704854144312789</v>
      </c>
      <c r="E52" s="101">
        <f t="shared" si="13"/>
        <v>0.72452861181407124</v>
      </c>
      <c r="F52" s="101">
        <f t="shared" si="13"/>
        <v>0.59313665408675464</v>
      </c>
      <c r="G52" s="101">
        <f t="shared" si="13"/>
        <v>0.46583930450154648</v>
      </c>
      <c r="H52" s="101">
        <f t="shared" si="13"/>
        <v>0.59951883795578842</v>
      </c>
      <c r="I52" s="101">
        <f t="shared" si="13"/>
        <v>0.40240939993373387</v>
      </c>
      <c r="J52" s="101">
        <f t="shared" si="13"/>
        <v>0.76275494662225218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  <c r="AM52" s="101" t="e">
        <f t="shared" si="13"/>
        <v>#DIV/0!</v>
      </c>
      <c r="AN52" s="101" t="e">
        <f t="shared" si="13"/>
        <v>#DIV/0!</v>
      </c>
      <c r="AO52" s="101" t="e">
        <f t="shared" si="13"/>
        <v>#DIV/0!</v>
      </c>
    </row>
    <row r="53" spans="1:41" s="108" customFormat="1" ht="13" x14ac:dyDescent="0.3">
      <c r="A53" s="106" t="s">
        <v>53</v>
      </c>
      <c r="B53" s="107"/>
      <c r="C53" s="87">
        <f>C45/C46</f>
        <v>4.2909090134358134</v>
      </c>
      <c r="D53" s="106">
        <f t="shared" ref="D53:AO53" si="14">D45/D46</f>
        <v>5.6690339635744298</v>
      </c>
      <c r="E53" s="106">
        <f t="shared" si="14"/>
        <v>2.7056128332273861</v>
      </c>
      <c r="F53" s="106">
        <f t="shared" si="14"/>
        <v>6.154892645213585</v>
      </c>
      <c r="G53" s="106">
        <f t="shared" si="14"/>
        <v>4.2537944403873134</v>
      </c>
      <c r="H53" s="106">
        <f t="shared" si="14"/>
        <v>3.3659003314550606</v>
      </c>
      <c r="I53" s="106">
        <f t="shared" si="14"/>
        <v>5.6870145144569495</v>
      </c>
      <c r="J53" s="106">
        <f t="shared" si="14"/>
        <v>3.706017514262006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  <c r="AM53" s="106" t="e">
        <f t="shared" si="14"/>
        <v>#DIV/0!</v>
      </c>
      <c r="AN53" s="106" t="e">
        <f t="shared" si="14"/>
        <v>#DIV/0!</v>
      </c>
      <c r="AO53" s="106" t="e">
        <f t="shared" si="14"/>
        <v>#DIV/0!</v>
      </c>
    </row>
    <row r="54" spans="1:41" s="110" customFormat="1" x14ac:dyDescent="0.3">
      <c r="A54" s="109" t="s">
        <v>54</v>
      </c>
      <c r="C54" s="111">
        <f t="shared" ref="C54:AO54" si="15">C48/C4</f>
        <v>0.79325958653717943</v>
      </c>
      <c r="D54" s="112">
        <f t="shared" si="15"/>
        <v>0.83039586044649116</v>
      </c>
      <c r="E54" s="112">
        <f t="shared" si="15"/>
        <v>0.70846683263001309</v>
      </c>
      <c r="F54" s="112">
        <f t="shared" si="15"/>
        <v>0.8518085865300431</v>
      </c>
      <c r="G54" s="112">
        <f t="shared" si="15"/>
        <v>0.78811915202467719</v>
      </c>
      <c r="H54" s="112">
        <f t="shared" si="15"/>
        <v>0.74781985024080766</v>
      </c>
      <c r="I54" s="112">
        <f t="shared" si="15"/>
        <v>0.83578085315479933</v>
      </c>
      <c r="J54" s="112">
        <f t="shared" si="15"/>
        <v>0.77622490096483343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  <c r="AM54" s="112" t="e">
        <f t="shared" si="15"/>
        <v>#DIV/0!</v>
      </c>
      <c r="AN54" s="112" t="e">
        <f t="shared" si="15"/>
        <v>#DIV/0!</v>
      </c>
      <c r="AO54" s="112" t="e">
        <f t="shared" si="15"/>
        <v>#DIV/0!</v>
      </c>
    </row>
    <row r="55" spans="1:41" s="110" customFormat="1" x14ac:dyDescent="0.3">
      <c r="A55" s="109" t="s">
        <v>55</v>
      </c>
      <c r="C55" s="111">
        <f t="shared" ref="C55:AO55" si="16">C44/C4</f>
        <v>9.3844717031884073E-2</v>
      </c>
      <c r="D55" s="112">
        <f t="shared" si="16"/>
        <v>0.1310957670451679</v>
      </c>
      <c r="E55" s="112">
        <f t="shared" si="16"/>
        <v>8.0309046317651012E-2</v>
      </c>
      <c r="F55" s="112">
        <f t="shared" si="16"/>
        <v>6.0293654319999779E-2</v>
      </c>
      <c r="G55" s="112">
        <f t="shared" si="16"/>
        <v>0.1131784211173005</v>
      </c>
      <c r="H55" s="112">
        <f t="shared" si="16"/>
        <v>0.10099339942004465</v>
      </c>
      <c r="I55" s="112">
        <f t="shared" si="16"/>
        <v>9.8135818505593678E-2</v>
      </c>
      <c r="J55" s="112">
        <f t="shared" si="16"/>
        <v>5.308953531520897E-2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  <c r="AM55" s="112" t="e">
        <f t="shared" si="16"/>
        <v>#DIV/0!</v>
      </c>
      <c r="AN55" s="112" t="e">
        <f t="shared" si="16"/>
        <v>#DIV/0!</v>
      </c>
      <c r="AO55" s="112" t="e">
        <f t="shared" si="16"/>
        <v>#DIV/0!</v>
      </c>
    </row>
    <row r="56" spans="1:41" s="110" customFormat="1" x14ac:dyDescent="0.3">
      <c r="A56" s="113" t="s">
        <v>56</v>
      </c>
      <c r="C56" s="111">
        <f t="shared" ref="C56:AO56" si="17">C45/C4</f>
        <v>0.88710430356906356</v>
      </c>
      <c r="D56" s="112">
        <f t="shared" si="17"/>
        <v>0.96149162749165906</v>
      </c>
      <c r="E56" s="112">
        <f t="shared" si="17"/>
        <v>0.7887758789476641</v>
      </c>
      <c r="F56" s="112">
        <f t="shared" si="17"/>
        <v>0.91210224085004299</v>
      </c>
      <c r="G56" s="112">
        <f t="shared" si="17"/>
        <v>0.90129757314197767</v>
      </c>
      <c r="H56" s="112">
        <f t="shared" si="17"/>
        <v>0.84881324966085225</v>
      </c>
      <c r="I56" s="112">
        <f t="shared" si="17"/>
        <v>0.93391667166039305</v>
      </c>
      <c r="J56" s="112">
        <f t="shared" si="17"/>
        <v>0.82931443628004231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  <c r="AM56" s="112" t="e">
        <f t="shared" si="17"/>
        <v>#DIV/0!</v>
      </c>
      <c r="AN56" s="112" t="e">
        <f t="shared" si="17"/>
        <v>#DIV/0!</v>
      </c>
      <c r="AO56" s="112" t="e">
        <f t="shared" si="17"/>
        <v>#DIV/0!</v>
      </c>
    </row>
    <row r="57" spans="1:41" s="110" customFormat="1" x14ac:dyDescent="0.3">
      <c r="A57" s="113" t="s">
        <v>104</v>
      </c>
      <c r="C57" s="111">
        <f t="shared" ref="C57:AO57" si="18">SUM(C30:C39)/C44</f>
        <v>0.40840987618173147</v>
      </c>
      <c r="D57" s="112">
        <f t="shared" si="18"/>
        <v>0.33255171943483447</v>
      </c>
      <c r="E57" s="112">
        <f t="shared" si="18"/>
        <v>0.57808539800072778</v>
      </c>
      <c r="F57" s="112">
        <f t="shared" si="18"/>
        <v>0.76033294309425514</v>
      </c>
      <c r="G57" s="112">
        <f t="shared" si="18"/>
        <v>0.3842236918304951</v>
      </c>
      <c r="H57" s="112">
        <f t="shared" si="18"/>
        <v>0.24714044653604486</v>
      </c>
      <c r="I57" s="112">
        <f t="shared" si="18"/>
        <v>0.45154264697175744</v>
      </c>
      <c r="J57" s="112">
        <f t="shared" si="18"/>
        <v>0.73045345047531129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  <c r="AM57" s="112" t="e">
        <f t="shared" si="18"/>
        <v>#DIV/0!</v>
      </c>
      <c r="AN57" s="112" t="e">
        <f t="shared" si="18"/>
        <v>#DIV/0!</v>
      </c>
      <c r="AO57" s="112" t="e">
        <f t="shared" si="18"/>
        <v>#DIV/0!</v>
      </c>
    </row>
    <row r="58" spans="1:41" s="110" customFormat="1" x14ac:dyDescent="0.3">
      <c r="A58" s="113" t="s">
        <v>58</v>
      </c>
      <c r="C58" s="111">
        <f>C41/C44</f>
        <v>0.39067200604347002</v>
      </c>
      <c r="D58" s="112">
        <f t="shared" ref="D58:AO58" si="19">D41/D44</f>
        <v>0.44840253706851418</v>
      </c>
      <c r="E58" s="112">
        <f t="shared" si="19"/>
        <v>4.3791018992240881E-2</v>
      </c>
      <c r="F58" s="112">
        <f t="shared" si="19"/>
        <v>7.0606664980359071E-2</v>
      </c>
      <c r="G58" s="112">
        <f t="shared" si="19"/>
        <v>0.41139104652032804</v>
      </c>
      <c r="H58" s="112">
        <f t="shared" si="19"/>
        <v>0.52330644821176819</v>
      </c>
      <c r="I58" s="112">
        <f t="shared" si="19"/>
        <v>0.43400545677442814</v>
      </c>
      <c r="J58" s="112">
        <f t="shared" si="19"/>
        <v>6.8937603469149011E-2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  <c r="AM58" s="112" t="e">
        <f t="shared" si="19"/>
        <v>#DIV/0!</v>
      </c>
      <c r="AN58" s="112" t="e">
        <f t="shared" si="19"/>
        <v>#DIV/0!</v>
      </c>
      <c r="AO58" s="112" t="e">
        <f t="shared" si="19"/>
        <v>#DIV/0!</v>
      </c>
    </row>
    <row r="59" spans="1:41" s="110" customFormat="1" x14ac:dyDescent="0.3">
      <c r="A59" s="113" t="s">
        <v>59</v>
      </c>
      <c r="C59" s="111">
        <f>C43/C44</f>
        <v>8.4905655198837526E-2</v>
      </c>
      <c r="D59" s="112">
        <f t="shared" ref="D59:AO59" si="20">D43/D44</f>
        <v>0.15225095249691914</v>
      </c>
      <c r="E59" s="112">
        <f t="shared" si="20"/>
        <v>0.10206783087094384</v>
      </c>
      <c r="F59" s="112">
        <f t="shared" si="20"/>
        <v>2.6890452517968143E-2</v>
      </c>
      <c r="G59" s="112">
        <f t="shared" si="20"/>
        <v>0.12306192485989544</v>
      </c>
      <c r="H59" s="112">
        <f t="shared" si="20"/>
        <v>9.17636285492065E-2</v>
      </c>
      <c r="I59" s="112">
        <f t="shared" si="20"/>
        <v>1.4864888548472762E-2</v>
      </c>
      <c r="J59" s="112">
        <f t="shared" si="20"/>
        <v>6.1799742833324782E-2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  <c r="AM59" s="112" t="e">
        <f t="shared" si="20"/>
        <v>#DIV/0!</v>
      </c>
      <c r="AN59" s="112" t="e">
        <f t="shared" si="20"/>
        <v>#DIV/0!</v>
      </c>
      <c r="AO59" s="112" t="e">
        <f t="shared" si="20"/>
        <v>#DIV/0!</v>
      </c>
    </row>
    <row r="60" spans="1:41" x14ac:dyDescent="0.3">
      <c r="A60" s="114"/>
    </row>
    <row r="61" spans="1:41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</row>
    <row r="62" spans="1:41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</row>
    <row r="63" spans="1:41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</row>
    <row r="64" spans="1:41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</row>
    <row r="65" spans="1:45" x14ac:dyDescent="0.3">
      <c r="B65" s="119"/>
    </row>
    <row r="66" spans="1:45" x14ac:dyDescent="0.3">
      <c r="B66" s="119"/>
    </row>
    <row r="67" spans="1:45" x14ac:dyDescent="0.3">
      <c r="B67" s="119"/>
    </row>
    <row r="68" spans="1:45" x14ac:dyDescent="0.3">
      <c r="B68" s="119"/>
    </row>
    <row r="69" spans="1:45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AAA0-EECB-46A3-9F80-A469E137CB1A}">
  <sheetPr codeName="Sheet27">
    <tabColor theme="8" tint="0.79998168889431442"/>
  </sheetPr>
  <dimension ref="A1:Z68"/>
  <sheetViews>
    <sheetView topLeftCell="B5" workbookViewId="0">
      <selection activeCell="D3" sqref="D3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196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194</v>
      </c>
      <c r="B3" s="7"/>
      <c r="C3" s="8">
        <f>SUM(D3:F3)</f>
        <v>6538374431</v>
      </c>
      <c r="D3" s="9">
        <v>2394946397</v>
      </c>
      <c r="E3" s="9">
        <v>3423460034</v>
      </c>
      <c r="F3" s="9">
        <v>719968000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393000000</v>
      </c>
      <c r="D4" s="12">
        <v>146500000</v>
      </c>
      <c r="E4" s="12">
        <v>197000000</v>
      </c>
      <c r="F4" s="12">
        <v>49500000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22100000</v>
      </c>
      <c r="D5" s="12">
        <v>6400000</v>
      </c>
      <c r="E5" s="12">
        <v>8200000</v>
      </c>
      <c r="F5" s="12">
        <v>7500000</v>
      </c>
    </row>
    <row r="6" spans="1:26" s="1" customFormat="1" ht="15.5" x14ac:dyDescent="0.35">
      <c r="A6" s="13" t="s">
        <v>5</v>
      </c>
      <c r="B6" s="11"/>
      <c r="C6" s="3">
        <f t="shared" si="0"/>
        <v>42684000</v>
      </c>
      <c r="D6" s="12">
        <v>12435000</v>
      </c>
      <c r="E6" s="12">
        <v>30249000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50</v>
      </c>
      <c r="D7" s="12">
        <v>22</v>
      </c>
      <c r="E7" s="12">
        <v>18</v>
      </c>
      <c r="F7" s="12">
        <v>10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100</v>
      </c>
      <c r="D8" s="12">
        <v>35</v>
      </c>
      <c r="E8" s="12">
        <v>55</v>
      </c>
      <c r="F8" s="12">
        <v>10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22</v>
      </c>
      <c r="D9" s="12">
        <v>12</v>
      </c>
      <c r="E9" s="12">
        <v>7</v>
      </c>
      <c r="F9" s="12">
        <v>3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4773147204.301075</v>
      </c>
      <c r="D10" s="12">
        <v>1732020537.6344087</v>
      </c>
      <c r="E10" s="12">
        <v>2514276666.6666665</v>
      </c>
      <c r="F10" s="12">
        <v>526850000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784854200</v>
      </c>
      <c r="D11" s="12">
        <v>295654500</v>
      </c>
      <c r="E11" s="12">
        <v>414613100</v>
      </c>
      <c r="F11" s="12">
        <v>74586600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234005000</v>
      </c>
      <c r="D12" s="12">
        <v>89480000</v>
      </c>
      <c r="E12" s="12">
        <v>123372000</v>
      </c>
      <c r="F12" s="12">
        <v>21153000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111016666.66666666</v>
      </c>
      <c r="D13" s="12">
        <v>40474666.666666664</v>
      </c>
      <c r="E13" s="12">
        <v>59575000</v>
      </c>
      <c r="F13" s="12">
        <v>10967000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99446666.666666657</v>
      </c>
      <c r="D14" s="12">
        <v>37403333.333333336</v>
      </c>
      <c r="E14" s="12">
        <v>53809999.999999993</v>
      </c>
      <c r="F14" s="12">
        <v>8233333.333333334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11060000</v>
      </c>
      <c r="D15" s="12">
        <v>7810000</v>
      </c>
      <c r="E15" s="12">
        <v>1800000</v>
      </c>
      <c r="F15" s="12">
        <v>1450000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56010666.666666664</v>
      </c>
      <c r="D16" s="12">
        <v>16876000</v>
      </c>
      <c r="E16" s="12">
        <v>29432666.666666664</v>
      </c>
      <c r="F16" s="12">
        <v>9702000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119794000</v>
      </c>
      <c r="D17" s="12">
        <v>44438000</v>
      </c>
      <c r="E17" s="12">
        <v>60515000</v>
      </c>
      <c r="F17" s="12">
        <v>14841000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1416187200.0000002</v>
      </c>
      <c r="D18" s="16">
        <f>SUM(D11:D17)</f>
        <v>532136500</v>
      </c>
      <c r="E18" s="16">
        <f>SUM(E11:E17)</f>
        <v>743117766.66666663</v>
      </c>
      <c r="F18" s="16">
        <f>SUM(F11:F17)</f>
        <v>140932933.33333331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3967416666.666667</v>
      </c>
      <c r="D20" s="17">
        <v>1465916666.666667</v>
      </c>
      <c r="E20" s="17">
        <v>2050000000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56197000</v>
      </c>
      <c r="D21" s="17">
        <v>46267000</v>
      </c>
      <c r="E21" s="17">
        <v>5280000</v>
      </c>
      <c r="F21" s="12">
        <v>4650000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944601214</v>
      </c>
      <c r="D22" s="17">
        <v>330411545</v>
      </c>
      <c r="E22" s="17">
        <v>512095521</v>
      </c>
      <c r="F22" s="18">
        <v>102094148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220241975.33333334</v>
      </c>
      <c r="D23" s="17">
        <v>86533810</v>
      </c>
      <c r="E23" s="17">
        <v>123674795.33333334</v>
      </c>
      <c r="F23" s="18">
        <v>10033370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32647066.583333332</v>
      </c>
      <c r="D24" s="17">
        <v>14321003.666666668</v>
      </c>
      <c r="E24" s="17">
        <v>17582062.916666664</v>
      </c>
      <c r="F24" s="18">
        <v>744000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19710000</v>
      </c>
      <c r="D25" s="17">
        <v>6600000</v>
      </c>
      <c r="E25" s="17">
        <v>11010000</v>
      </c>
      <c r="F25" s="12">
        <v>2100000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8262000</v>
      </c>
      <c r="D26" s="12">
        <v>0</v>
      </c>
      <c r="E26" s="12">
        <v>8262000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6216666.666666666</v>
      </c>
      <c r="D27" s="12">
        <v>3400000</v>
      </c>
      <c r="E27" s="12">
        <v>2816666.6666666665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5255292589.25</v>
      </c>
      <c r="D28" s="8">
        <f>SUM(D20:D27)</f>
        <v>1953450025.3333337</v>
      </c>
      <c r="E28" s="8">
        <f>SUM(E20:E27)</f>
        <v>2730721045.9166665</v>
      </c>
      <c r="F28" s="8">
        <f>SUM(F20:F27)</f>
        <v>571121518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141295903.21207529</v>
      </c>
      <c r="D29" s="17">
        <v>52813444.866414696</v>
      </c>
      <c r="E29" s="17">
        <v>76107291.328537822</v>
      </c>
      <c r="F29" s="17">
        <v>12375167.01712279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11926323.867996929</v>
      </c>
      <c r="D30" s="17">
        <v>4632386.7996930154</v>
      </c>
      <c r="E30" s="17">
        <v>6225633.1542594004</v>
      </c>
      <c r="F30" s="17">
        <v>1068303.9140445127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33617996.930161171</v>
      </c>
      <c r="D31" s="17">
        <v>13136676.899462778</v>
      </c>
      <c r="E31" s="17">
        <v>17451788.181120496</v>
      </c>
      <c r="F31" s="17">
        <v>3029531.8495778972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0</v>
      </c>
      <c r="D32" s="17"/>
      <c r="E32" s="17">
        <v>0</v>
      </c>
      <c r="F32" s="17">
        <v>0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2981580.9669992323</v>
      </c>
      <c r="D33" s="17">
        <v>1158096.6999232539</v>
      </c>
      <c r="E33" s="17">
        <v>1556408.2885648501</v>
      </c>
      <c r="F33" s="17">
        <v>267075.97851112817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47307752.33691483</v>
      </c>
      <c r="D34" s="17">
        <v>18375134.691481199</v>
      </c>
      <c r="E34" s="17">
        <v>24695012.030698404</v>
      </c>
      <c r="F34" s="17">
        <v>4237605.6147352261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41700000</v>
      </c>
      <c r="D35" s="17">
        <v>16000000</v>
      </c>
      <c r="E35" s="17">
        <v>22450000</v>
      </c>
      <c r="F35" s="17">
        <v>3250000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15857720.644666154</v>
      </c>
      <c r="D36" s="17">
        <v>6152064.4666155027</v>
      </c>
      <c r="E36" s="17">
        <v>8297605.525709901</v>
      </c>
      <c r="F36" s="17">
        <v>1408050.6523407518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21864927.091327701</v>
      </c>
      <c r="D37" s="17">
        <v>8492709.1327705272</v>
      </c>
      <c r="E37" s="17">
        <v>11413660.7828089</v>
      </c>
      <c r="F37" s="17">
        <v>1958557.1757482728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60411799.693016119</v>
      </c>
      <c r="D39" s="17">
        <v>23464969.301611669</v>
      </c>
      <c r="E39" s="17">
        <v>31535425.940138139</v>
      </c>
      <c r="F39" s="17">
        <v>5411404.4512663083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202324992.11204913</v>
      </c>
      <c r="D40" s="17">
        <v>71828208.261703759</v>
      </c>
      <c r="E40" s="17">
        <v>104100954.27168073</v>
      </c>
      <c r="F40" s="12">
        <v>26395829.578664619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20051000</v>
      </c>
      <c r="D41" s="17">
        <v>9568000</v>
      </c>
      <c r="E41" s="17">
        <v>8056000</v>
      </c>
      <c r="F41" s="12">
        <v>2427000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75660835</v>
      </c>
      <c r="D42" s="12">
        <v>29883000</v>
      </c>
      <c r="E42" s="12">
        <v>40041168</v>
      </c>
      <c r="F42" s="12">
        <v>5736667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680000831.85520661</v>
      </c>
      <c r="D43" s="21">
        <f>SUM(D29:D42)</f>
        <v>260504691.11967638</v>
      </c>
      <c r="E43" s="21">
        <f>SUM(E29:E42)</f>
        <v>351930947.50351864</v>
      </c>
      <c r="F43" s="21">
        <f>SUM(F29:F42)</f>
        <v>67565193.232011512</v>
      </c>
    </row>
    <row r="44" spans="1:26" s="25" customFormat="1" ht="18.5" customHeight="1" x14ac:dyDescent="0.35">
      <c r="A44" s="23" t="s">
        <v>46</v>
      </c>
      <c r="B44" s="23"/>
      <c r="C44" s="24">
        <f>C28+C43</f>
        <v>5935293421.1052065</v>
      </c>
      <c r="D44" s="24">
        <f>D28+D43</f>
        <v>2213954716.4530101</v>
      </c>
      <c r="E44" s="24">
        <f>E28+E43</f>
        <v>3082651993.4201851</v>
      </c>
      <c r="F44" s="24">
        <f>F28+F43</f>
        <v>638686711.23201156</v>
      </c>
    </row>
    <row r="45" spans="1:26" s="22" customFormat="1" ht="18" customHeight="1" x14ac:dyDescent="0.35">
      <c r="A45" s="19" t="s">
        <v>47</v>
      </c>
      <c r="B45" s="19"/>
      <c r="C45" s="20">
        <f>C3-C28</f>
        <v>1283081841.75</v>
      </c>
      <c r="D45" s="26">
        <f>D3-D28</f>
        <v>441496371.66666627</v>
      </c>
      <c r="E45" s="26">
        <f>E3-E28</f>
        <v>692738988.08333349</v>
      </c>
      <c r="F45" s="26">
        <f>F3-F28</f>
        <v>148846482</v>
      </c>
    </row>
    <row r="46" spans="1:26" s="30" customFormat="1" ht="15.5" x14ac:dyDescent="0.35">
      <c r="A46" s="27" t="s">
        <v>48</v>
      </c>
      <c r="B46" s="27"/>
      <c r="C46" s="28">
        <f>C3-C44</f>
        <v>603081009.89479351</v>
      </c>
      <c r="D46" s="29">
        <f>D3-D44</f>
        <v>180991680.54698992</v>
      </c>
      <c r="E46" s="29">
        <f>E3-E44</f>
        <v>340808040.57981491</v>
      </c>
      <c r="F46" s="29">
        <f>F3-F44</f>
        <v>81281288.767988443</v>
      </c>
    </row>
    <row r="47" spans="1:26" s="10" customFormat="1" ht="15.5" x14ac:dyDescent="0.35">
      <c r="A47" s="6" t="s">
        <v>29</v>
      </c>
      <c r="B47" s="6"/>
      <c r="C47" s="8">
        <f>C28</f>
        <v>5255292589.25</v>
      </c>
      <c r="D47" s="31">
        <f>D28</f>
        <v>1953450025.3333337</v>
      </c>
      <c r="E47" s="31">
        <f>E28</f>
        <v>2730721045.9166665</v>
      </c>
      <c r="F47" s="31">
        <f>F28</f>
        <v>571121518</v>
      </c>
    </row>
    <row r="48" spans="1:26" s="35" customFormat="1" ht="15" x14ac:dyDescent="0.35">
      <c r="A48" s="32" t="s">
        <v>49</v>
      </c>
      <c r="B48" s="33"/>
      <c r="C48" s="34">
        <f>C46/C3</f>
        <v>9.223714797296434E-2</v>
      </c>
      <c r="D48" s="34">
        <f>D46/D3</f>
        <v>7.5572330459548864E-2</v>
      </c>
      <c r="E48" s="34">
        <f>E46/E3</f>
        <v>9.955075776994303E-2</v>
      </c>
      <c r="F48" s="34">
        <f>F46/F3</f>
        <v>0.11289569643093643</v>
      </c>
    </row>
    <row r="49" spans="1:6" s="35" customFormat="1" ht="15" x14ac:dyDescent="0.35">
      <c r="A49" s="32" t="s">
        <v>50</v>
      </c>
      <c r="B49" s="33"/>
      <c r="C49" s="34">
        <f>C45/C3</f>
        <v>0.19623866073906712</v>
      </c>
      <c r="D49" s="34">
        <f>D45/D3</f>
        <v>0.18434499086063105</v>
      </c>
      <c r="E49" s="34">
        <f>E45/E3</f>
        <v>0.20235054044838122</v>
      </c>
      <c r="F49" s="34">
        <f>F45/F3</f>
        <v>0.20674041346282057</v>
      </c>
    </row>
    <row r="50" spans="1:6" s="35" customFormat="1" ht="15" x14ac:dyDescent="0.35">
      <c r="A50" s="32" t="s">
        <v>51</v>
      </c>
      <c r="B50" s="33"/>
      <c r="C50" s="34">
        <f>C46/C47</f>
        <v>0.1147568854926232</v>
      </c>
      <c r="D50" s="34">
        <f>D46/D47</f>
        <v>9.265232189193362E-2</v>
      </c>
      <c r="E50" s="34">
        <f>E46/E47</f>
        <v>0.12480514664412022</v>
      </c>
      <c r="F50" s="34">
        <f>F46/F47</f>
        <v>0.14231872938814474</v>
      </c>
    </row>
    <row r="51" spans="1:6" s="35" customFormat="1" ht="15" x14ac:dyDescent="0.35">
      <c r="A51" s="32" t="s">
        <v>52</v>
      </c>
      <c r="B51" s="33"/>
      <c r="C51" s="34">
        <f>C46/C45</f>
        <v>0.47002536414376272</v>
      </c>
      <c r="D51" s="34">
        <f>D46/D45</f>
        <v>0.40995055036067263</v>
      </c>
      <c r="E51" s="34">
        <f>E46/E45</f>
        <v>0.49197179088008425</v>
      </c>
      <c r="F51" s="34">
        <f>F46/F45</f>
        <v>0.54607463794803324</v>
      </c>
    </row>
    <row r="52" spans="1:6" s="39" customFormat="1" ht="15" x14ac:dyDescent="0.35">
      <c r="A52" s="36" t="s">
        <v>53</v>
      </c>
      <c r="B52" s="37"/>
      <c r="C52" s="38">
        <f>C44/C45</f>
        <v>4.6258104728612155</v>
      </c>
      <c r="D52" s="38">
        <f>D44/D45</f>
        <v>5.0146611807821735</v>
      </c>
      <c r="E52" s="38">
        <f>E44/E45</f>
        <v>4.4499473054768437</v>
      </c>
      <c r="F52" s="38">
        <f>F44/F45</f>
        <v>4.2909090134358134</v>
      </c>
    </row>
    <row r="53" spans="1:6" s="42" customFormat="1" ht="15" x14ac:dyDescent="0.35">
      <c r="A53" s="40" t="s">
        <v>54</v>
      </c>
      <c r="B53" s="40"/>
      <c r="C53" s="41">
        <f>C47/C3</f>
        <v>0.80376133926093285</v>
      </c>
      <c r="D53" s="41">
        <f>D47/D3</f>
        <v>0.81565500913936895</v>
      </c>
      <c r="E53" s="41">
        <f>E47/E3</f>
        <v>0.79764945955161881</v>
      </c>
      <c r="F53" s="41">
        <f>F47/F3</f>
        <v>0.79325958653717943</v>
      </c>
    </row>
    <row r="54" spans="1:6" s="42" customFormat="1" ht="15" x14ac:dyDescent="0.35">
      <c r="A54" s="40" t="s">
        <v>55</v>
      </c>
      <c r="B54" s="40"/>
      <c r="C54" s="41">
        <f>C43/C3</f>
        <v>0.1040015127661028</v>
      </c>
      <c r="D54" s="41">
        <f>D43/D3</f>
        <v>0.1087726604010822</v>
      </c>
      <c r="E54" s="41">
        <f>E43/E3</f>
        <v>0.1027997826784382</v>
      </c>
      <c r="F54" s="41">
        <f>F43/F3</f>
        <v>9.3844717031884073E-2</v>
      </c>
    </row>
    <row r="55" spans="1:6" s="42" customFormat="1" ht="15" x14ac:dyDescent="0.35">
      <c r="A55" s="40" t="s">
        <v>56</v>
      </c>
      <c r="B55" s="40"/>
      <c r="C55" s="41">
        <f>C44/C3</f>
        <v>0.90776285202703566</v>
      </c>
      <c r="D55" s="41">
        <f>D44/D3</f>
        <v>0.92442766954045108</v>
      </c>
      <c r="E55" s="41">
        <f>E44/E3</f>
        <v>0.90044924223005696</v>
      </c>
      <c r="F55" s="41">
        <f>F44/F3</f>
        <v>0.88710430356906356</v>
      </c>
    </row>
    <row r="56" spans="1:6" s="42" customFormat="1" ht="15" x14ac:dyDescent="0.35">
      <c r="A56" s="40" t="s">
        <v>57</v>
      </c>
      <c r="B56" s="40"/>
      <c r="C56" s="41">
        <f>SUM(C29:C38)/C43</f>
        <v>0.47287031130957474</v>
      </c>
      <c r="D56" s="41">
        <f>SUM(D29:D38)/D43</f>
        <v>0.48275719341494056</v>
      </c>
      <c r="E56" s="41">
        <f>SUM(E29:E38)/E43</f>
        <v>0.47792727660024303</v>
      </c>
      <c r="F56" s="41">
        <f>SUM(F29:F38)/F43</f>
        <v>0.40840987618173147</v>
      </c>
    </row>
    <row r="57" spans="1:6" s="42" customFormat="1" ht="15" x14ac:dyDescent="0.35">
      <c r="A57" s="40" t="s">
        <v>58</v>
      </c>
      <c r="B57" s="40"/>
      <c r="C57" s="41">
        <f>C40/C43</f>
        <v>0.2975363891247863</v>
      </c>
      <c r="D57" s="41">
        <f>D40/D43</f>
        <v>0.27572712012585499</v>
      </c>
      <c r="E57" s="41">
        <f>E40/E43</f>
        <v>0.29579937487776609</v>
      </c>
      <c r="F57" s="41">
        <f>F40/F43</f>
        <v>0.39067200604347002</v>
      </c>
    </row>
    <row r="58" spans="1:6" s="42" customFormat="1" ht="15" x14ac:dyDescent="0.35">
      <c r="A58" s="40" t="s">
        <v>59</v>
      </c>
      <c r="B58" s="40"/>
      <c r="C58" s="41">
        <f>C42/C43</f>
        <v>0.11126579771024538</v>
      </c>
      <c r="D58" s="41">
        <f>D42/D43</f>
        <v>0.1147119457678852</v>
      </c>
      <c r="E58" s="41">
        <f>E42/E43</f>
        <v>0.11377563776086974</v>
      </c>
      <c r="F58" s="41">
        <f>F42/F43</f>
        <v>8.4905655198837526E-2</v>
      </c>
    </row>
    <row r="59" spans="1:6" s="46" customFormat="1" x14ac:dyDescent="0.35">
      <c r="A59" s="43" t="s">
        <v>60</v>
      </c>
      <c r="B59" s="44"/>
      <c r="C59" s="45">
        <f>C46/C3</f>
        <v>9.223714797296434E-2</v>
      </c>
      <c r="D59" s="45">
        <f>D46/D3</f>
        <v>7.5572330459548864E-2</v>
      </c>
      <c r="E59" s="45">
        <f>E46/E3</f>
        <v>9.955075776994303E-2</v>
      </c>
      <c r="F59" s="45">
        <f>F46/F3</f>
        <v>0.11289569643093643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2ABF-675F-4F8F-B3A8-CC3BC6571A41}">
  <sheetPr codeName="Sheet28">
    <tabColor theme="8" tint="0.79998168889431442"/>
  </sheetPr>
  <dimension ref="A1:Z68"/>
  <sheetViews>
    <sheetView topLeftCell="B43" workbookViewId="0">
      <selection activeCell="B59" sqref="B59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196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194</v>
      </c>
      <c r="B3" s="7"/>
      <c r="C3" s="8">
        <f>SUM(D3:F3)</f>
        <v>6145374431</v>
      </c>
      <c r="D3" s="9">
        <f>2394946397-D4</f>
        <v>2248446397</v>
      </c>
      <c r="E3" s="9">
        <f>3423460034-E4</f>
        <v>3226460034</v>
      </c>
      <c r="F3" s="9">
        <f>719968000-F4</f>
        <v>670468000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393000000</v>
      </c>
      <c r="D4" s="12">
        <v>146500000</v>
      </c>
      <c r="E4" s="12">
        <v>197000000</v>
      </c>
      <c r="F4" s="12">
        <v>49500000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22100000</v>
      </c>
      <c r="D5" s="12">
        <v>6400000</v>
      </c>
      <c r="E5" s="12">
        <v>8200000</v>
      </c>
      <c r="F5" s="12">
        <v>7500000</v>
      </c>
    </row>
    <row r="6" spans="1:26" s="1" customFormat="1" ht="15.5" x14ac:dyDescent="0.35">
      <c r="A6" s="13" t="s">
        <v>5</v>
      </c>
      <c r="B6" s="11"/>
      <c r="C6" s="3">
        <f t="shared" si="0"/>
        <v>42684000</v>
      </c>
      <c r="D6" s="12">
        <v>12435000</v>
      </c>
      <c r="E6" s="12">
        <v>30249000</v>
      </c>
      <c r="F6" s="12">
        <v>0</v>
      </c>
    </row>
    <row r="7" spans="1:26" s="1" customFormat="1" ht="15.5" x14ac:dyDescent="0.35">
      <c r="A7" s="13"/>
      <c r="B7" s="11" t="s">
        <v>6</v>
      </c>
      <c r="C7" s="3">
        <f t="shared" si="0"/>
        <v>50</v>
      </c>
      <c r="D7" s="12">
        <v>22</v>
      </c>
      <c r="E7" s="12">
        <v>18</v>
      </c>
      <c r="F7" s="12">
        <v>10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100</v>
      </c>
      <c r="D8" s="12">
        <v>35</v>
      </c>
      <c r="E8" s="12">
        <v>55</v>
      </c>
      <c r="F8" s="12">
        <v>10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22</v>
      </c>
      <c r="D9" s="12">
        <v>12</v>
      </c>
      <c r="E9" s="12">
        <v>7</v>
      </c>
      <c r="F9" s="12">
        <v>3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4768937204.301075</v>
      </c>
      <c r="D10" s="12">
        <v>1727810537.6344087</v>
      </c>
      <c r="E10" s="12">
        <v>2514276666.6666665</v>
      </c>
      <c r="F10" s="12">
        <v>526850000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784854200</v>
      </c>
      <c r="D11" s="12">
        <v>295654500</v>
      </c>
      <c r="E11" s="12">
        <v>414613100</v>
      </c>
      <c r="F11" s="12">
        <v>74586600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234005000</v>
      </c>
      <c r="D12" s="12">
        <v>89480000</v>
      </c>
      <c r="E12" s="12">
        <v>123372000</v>
      </c>
      <c r="F12" s="12">
        <v>21153000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111016666.66666666</v>
      </c>
      <c r="D13" s="12">
        <v>40474666.666666664</v>
      </c>
      <c r="E13" s="12">
        <v>59575000</v>
      </c>
      <c r="F13" s="12">
        <v>10967000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99446666.666666657</v>
      </c>
      <c r="D14" s="12">
        <v>37403333.333333336</v>
      </c>
      <c r="E14" s="12">
        <v>53809999.999999993</v>
      </c>
      <c r="F14" s="12">
        <v>8233333.333333334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11060000</v>
      </c>
      <c r="D15" s="12">
        <v>7810000</v>
      </c>
      <c r="E15" s="12">
        <v>1800000</v>
      </c>
      <c r="F15" s="12">
        <v>1450000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56010666.666666664</v>
      </c>
      <c r="D16" s="12">
        <v>16876000</v>
      </c>
      <c r="E16" s="12">
        <v>29432666.666666664</v>
      </c>
      <c r="F16" s="12">
        <v>9702000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119794000</v>
      </c>
      <c r="D17" s="12">
        <v>44438000</v>
      </c>
      <c r="E17" s="12">
        <v>60515000</v>
      </c>
      <c r="F17" s="12">
        <v>14841000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1416187200.0000002</v>
      </c>
      <c r="D18" s="16">
        <f>SUM(D11:D17)</f>
        <v>532136500</v>
      </c>
      <c r="E18" s="16">
        <f>SUM(E11:E17)</f>
        <v>743117766.66666663</v>
      </c>
      <c r="F18" s="16">
        <f>SUM(F11:F17)</f>
        <v>140932933.33333331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3967416666.666667</v>
      </c>
      <c r="D20" s="17">
        <v>1465916666.666667</v>
      </c>
      <c r="E20" s="17">
        <v>2050000000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944601214</v>
      </c>
      <c r="D22" s="17">
        <v>330411545</v>
      </c>
      <c r="E22" s="17">
        <v>512095521</v>
      </c>
      <c r="F22" s="18">
        <v>102094148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220241975.33333334</v>
      </c>
      <c r="D23" s="17">
        <v>86533810</v>
      </c>
      <c r="E23" s="17">
        <v>123674795.33333334</v>
      </c>
      <c r="F23" s="18">
        <v>10033370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32647066.583333332</v>
      </c>
      <c r="D24" s="17">
        <v>14321003.666666668</v>
      </c>
      <c r="E24" s="17">
        <v>17582062.916666664</v>
      </c>
      <c r="F24" s="18">
        <v>744000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19710000</v>
      </c>
      <c r="D25" s="17">
        <v>6600000</v>
      </c>
      <c r="E25" s="17">
        <v>11010000</v>
      </c>
      <c r="F25" s="12">
        <v>2100000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8262000</v>
      </c>
      <c r="D26" s="12">
        <v>0</v>
      </c>
      <c r="E26" s="12">
        <v>8262000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6216666.666666666</v>
      </c>
      <c r="D27" s="12">
        <v>3400000</v>
      </c>
      <c r="E27" s="12">
        <v>2816666.6666666665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5199095589.25</v>
      </c>
      <c r="D28" s="8">
        <f>SUM(D20:D27)</f>
        <v>1907183025.3333337</v>
      </c>
      <c r="E28" s="8">
        <f>SUM(E20:E27)</f>
        <v>2725441045.9166665</v>
      </c>
      <c r="F28" s="8">
        <f>SUM(F20:F27)</f>
        <v>566471518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141295903.21207529</v>
      </c>
      <c r="D29" s="17">
        <v>52813444.866414696</v>
      </c>
      <c r="E29" s="17">
        <v>76107291.328537822</v>
      </c>
      <c r="F29" s="17">
        <v>12375167.01712279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11926323.867996929</v>
      </c>
      <c r="D30" s="17">
        <v>4632386.7996930154</v>
      </c>
      <c r="E30" s="17">
        <v>6225633.1542594004</v>
      </c>
      <c r="F30" s="17">
        <v>1068303.9140445127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33617996.930161171</v>
      </c>
      <c r="D31" s="17">
        <v>13136676.899462778</v>
      </c>
      <c r="E31" s="17">
        <v>17451788.181120496</v>
      </c>
      <c r="F31" s="17">
        <v>3029531.8495778972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0</v>
      </c>
      <c r="D32" s="17"/>
      <c r="E32" s="17">
        <v>0</v>
      </c>
      <c r="F32" s="17">
        <v>0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2981580.9669992323</v>
      </c>
      <c r="D33" s="17">
        <v>1158096.6999232539</v>
      </c>
      <c r="E33" s="17">
        <v>1556408.2885648501</v>
      </c>
      <c r="F33" s="17">
        <v>267075.97851112817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47307752.33691483</v>
      </c>
      <c r="D34" s="17">
        <v>18375134.691481199</v>
      </c>
      <c r="E34" s="17">
        <v>24695012.030698404</v>
      </c>
      <c r="F34" s="17">
        <v>4237605.6147352261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41700000</v>
      </c>
      <c r="D35" s="17">
        <v>16000000</v>
      </c>
      <c r="E35" s="17">
        <v>22450000</v>
      </c>
      <c r="F35" s="17">
        <v>3250000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15857720.644666154</v>
      </c>
      <c r="D36" s="17">
        <v>6152064.4666155027</v>
      </c>
      <c r="E36" s="17">
        <v>8297605.525709901</v>
      </c>
      <c r="F36" s="17">
        <v>1408050.6523407518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21864927.091327701</v>
      </c>
      <c r="D37" s="17">
        <v>8492709.1327705272</v>
      </c>
      <c r="E37" s="17">
        <v>11413660.7828089</v>
      </c>
      <c r="F37" s="17">
        <v>1958557.1757482728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5000000</v>
      </c>
      <c r="D38" s="17">
        <v>5000000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60411799.693016119</v>
      </c>
      <c r="D39" s="17">
        <v>23464969.301611669</v>
      </c>
      <c r="E39" s="17">
        <v>31535425.940138139</v>
      </c>
      <c r="F39" s="17">
        <v>5411404.4512663083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202324992.11204913</v>
      </c>
      <c r="D40" s="17">
        <v>71828208.261703759</v>
      </c>
      <c r="E40" s="17">
        <v>104100954.27168073</v>
      </c>
      <c r="F40" s="12">
        <v>26395829.578664619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20051000</v>
      </c>
      <c r="D41" s="17">
        <v>9568000</v>
      </c>
      <c r="E41" s="17">
        <v>8056000</v>
      </c>
      <c r="F41" s="12">
        <v>2427000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75660835</v>
      </c>
      <c r="D42" s="12">
        <v>29883000</v>
      </c>
      <c r="E42" s="12">
        <v>40041168</v>
      </c>
      <c r="F42" s="12">
        <v>5736667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680000831.85520661</v>
      </c>
      <c r="D43" s="21">
        <f>SUM(D29:D42)</f>
        <v>260504691.11967638</v>
      </c>
      <c r="E43" s="21">
        <f>SUM(E29:E42)</f>
        <v>351930947.50351864</v>
      </c>
      <c r="F43" s="21">
        <f>SUM(F29:F42)</f>
        <v>67565193.232011512</v>
      </c>
    </row>
    <row r="44" spans="1:26" s="25" customFormat="1" ht="18.5" customHeight="1" x14ac:dyDescent="0.35">
      <c r="A44" s="23" t="s">
        <v>46</v>
      </c>
      <c r="B44" s="23"/>
      <c r="C44" s="24">
        <f>C28+C43</f>
        <v>5879096421.1052065</v>
      </c>
      <c r="D44" s="24">
        <f>D28+D43</f>
        <v>2167687716.4530101</v>
      </c>
      <c r="E44" s="24">
        <f>E28+E43</f>
        <v>3077371993.4201851</v>
      </c>
      <c r="F44" s="24">
        <f>F28+F43</f>
        <v>634036711.23201156</v>
      </c>
    </row>
    <row r="45" spans="1:26" s="22" customFormat="1" ht="18" customHeight="1" x14ac:dyDescent="0.35">
      <c r="A45" s="19" t="s">
        <v>47</v>
      </c>
      <c r="B45" s="19"/>
      <c r="C45" s="20">
        <f>C3-C28</f>
        <v>946278841.75</v>
      </c>
      <c r="D45" s="26">
        <f>D3-D28</f>
        <v>341263371.66666627</v>
      </c>
      <c r="E45" s="26">
        <f>E3-E28</f>
        <v>501018988.08333349</v>
      </c>
      <c r="F45" s="26">
        <f>F3-F28</f>
        <v>103996482</v>
      </c>
    </row>
    <row r="46" spans="1:26" s="30" customFormat="1" ht="15.5" x14ac:dyDescent="0.35">
      <c r="A46" s="27" t="s">
        <v>48</v>
      </c>
      <c r="B46" s="27"/>
      <c r="C46" s="28">
        <f>C3-C44</f>
        <v>266278009.89479351</v>
      </c>
      <c r="D46" s="29">
        <f>D3-D44</f>
        <v>80758680.546989918</v>
      </c>
      <c r="E46" s="29">
        <f>E3-E44</f>
        <v>149088040.57981491</v>
      </c>
      <c r="F46" s="29">
        <f>F3-F44</f>
        <v>36431288.767988443</v>
      </c>
    </row>
    <row r="47" spans="1:26" s="10" customFormat="1" ht="15.5" x14ac:dyDescent="0.35">
      <c r="A47" s="6" t="s">
        <v>29</v>
      </c>
      <c r="B47" s="6"/>
      <c r="C47" s="8">
        <f>C28</f>
        <v>5199095589.25</v>
      </c>
      <c r="D47" s="31">
        <f>D28</f>
        <v>1907183025.3333337</v>
      </c>
      <c r="E47" s="31">
        <f>E28</f>
        <v>2725441045.9166665</v>
      </c>
      <c r="F47" s="31">
        <f>F28</f>
        <v>566471518</v>
      </c>
    </row>
    <row r="48" spans="1:26" s="35" customFormat="1" ht="15" x14ac:dyDescent="0.35">
      <c r="A48" s="32" t="s">
        <v>49</v>
      </c>
      <c r="B48" s="33"/>
      <c r="C48" s="34">
        <f>C46/C3</f>
        <v>4.33298268290324E-2</v>
      </c>
      <c r="D48" s="34">
        <f>D46/D3</f>
        <v>3.5917547625214707E-2</v>
      </c>
      <c r="E48" s="34">
        <f>E46/E3</f>
        <v>4.6207930366018883E-2</v>
      </c>
      <c r="F48" s="34">
        <f>F46/F3</f>
        <v>5.4337102990729524E-2</v>
      </c>
    </row>
    <row r="49" spans="1:6" s="35" customFormat="1" ht="15" x14ac:dyDescent="0.35">
      <c r="A49" s="32" t="s">
        <v>50</v>
      </c>
      <c r="B49" s="33"/>
      <c r="C49" s="34">
        <f>C45/C3</f>
        <v>0.15398229227116722</v>
      </c>
      <c r="D49" s="34">
        <f>D45/D3</f>
        <v>0.15177741044749765</v>
      </c>
      <c r="E49" s="34">
        <f>E45/E3</f>
        <v>0.15528442404482407</v>
      </c>
      <c r="F49" s="34">
        <f>F45/F3</f>
        <v>0.15511028415972128</v>
      </c>
    </row>
    <row r="50" spans="1:6" s="35" customFormat="1" ht="15" x14ac:dyDescent="0.35">
      <c r="A50" s="32" t="s">
        <v>51</v>
      </c>
      <c r="B50" s="33"/>
      <c r="C50" s="34">
        <f>C46/C47</f>
        <v>5.1216217383147918E-2</v>
      </c>
      <c r="D50" s="34">
        <f>D46/D47</f>
        <v>4.2344483709357193E-2</v>
      </c>
      <c r="E50" s="34">
        <f>E46/E47</f>
        <v>5.4702353882569894E-2</v>
      </c>
      <c r="F50" s="34">
        <f>F46/F47</f>
        <v>6.431265758358648E-2</v>
      </c>
    </row>
    <row r="51" spans="1:6" s="35" customFormat="1" ht="15" x14ac:dyDescent="0.35">
      <c r="A51" s="32" t="s">
        <v>52</v>
      </c>
      <c r="B51" s="33"/>
      <c r="C51" s="34">
        <f>C46/C45</f>
        <v>0.28139486813670322</v>
      </c>
      <c r="D51" s="34">
        <f>D46/D45</f>
        <v>0.23664620129778263</v>
      </c>
      <c r="E51" s="34">
        <f>E46/E45</f>
        <v>0.29756964132269054</v>
      </c>
      <c r="F51" s="34">
        <f>F46/F45</f>
        <v>0.35031270353922589</v>
      </c>
    </row>
    <row r="52" spans="1:6" s="39" customFormat="1" ht="15" x14ac:dyDescent="0.35">
      <c r="A52" s="36" t="s">
        <v>53</v>
      </c>
      <c r="B52" s="37"/>
      <c r="C52" s="38">
        <f>C44/C45</f>
        <v>6.2128583687158265</v>
      </c>
      <c r="D52" s="38">
        <f>D44/D45</f>
        <v>6.3519495393438508</v>
      </c>
      <c r="E52" s="38">
        <f>E44/E45</f>
        <v>6.1422262760794446</v>
      </c>
      <c r="F52" s="38">
        <f>F44/F45</f>
        <v>6.0967130718134444</v>
      </c>
    </row>
    <row r="53" spans="1:6" s="42" customFormat="1" ht="15" x14ac:dyDescent="0.35">
      <c r="A53" s="40" t="s">
        <v>54</v>
      </c>
      <c r="B53" s="40"/>
      <c r="C53" s="41">
        <f>C47/C3</f>
        <v>0.84601770772883278</v>
      </c>
      <c r="D53" s="41">
        <f>D47/D3</f>
        <v>0.84822258955250229</v>
      </c>
      <c r="E53" s="41">
        <f>E47/E3</f>
        <v>0.84471557595517588</v>
      </c>
      <c r="F53" s="41">
        <f>F47/F3</f>
        <v>0.84488971584027872</v>
      </c>
    </row>
    <row r="54" spans="1:6" s="42" customFormat="1" ht="15" x14ac:dyDescent="0.35">
      <c r="A54" s="40" t="s">
        <v>55</v>
      </c>
      <c r="B54" s="40"/>
      <c r="C54" s="41">
        <f>C43/C3</f>
        <v>0.11065246544213485</v>
      </c>
      <c r="D54" s="41">
        <f>D43/D3</f>
        <v>0.11585986282228296</v>
      </c>
      <c r="E54" s="41">
        <f>E43/E3</f>
        <v>0.1090764936788052</v>
      </c>
      <c r="F54" s="41">
        <f>F43/F3</f>
        <v>0.10077318116899167</v>
      </c>
    </row>
    <row r="55" spans="1:6" s="42" customFormat="1" ht="15" x14ac:dyDescent="0.35">
      <c r="A55" s="40" t="s">
        <v>56</v>
      </c>
      <c r="B55" s="40"/>
      <c r="C55" s="41">
        <f>C44/C3</f>
        <v>0.95667017317096759</v>
      </c>
      <c r="D55" s="41">
        <f>D44/D3</f>
        <v>0.96408245237478529</v>
      </c>
      <c r="E55" s="41">
        <f>E44/E3</f>
        <v>0.95379206963398111</v>
      </c>
      <c r="F55" s="41">
        <f>F44/F3</f>
        <v>0.94566289700927042</v>
      </c>
    </row>
    <row r="56" spans="1:6" s="42" customFormat="1" ht="15" x14ac:dyDescent="0.35">
      <c r="A56" s="40" t="s">
        <v>57</v>
      </c>
      <c r="B56" s="40"/>
      <c r="C56" s="41">
        <f>SUM(C29:C38)/C43</f>
        <v>0.47287031130957474</v>
      </c>
      <c r="D56" s="41">
        <f>SUM(D29:D38)/D43</f>
        <v>0.48275719341494056</v>
      </c>
      <c r="E56" s="41">
        <f>SUM(E29:E38)/E43</f>
        <v>0.47792727660024303</v>
      </c>
      <c r="F56" s="41">
        <f>SUM(F29:F38)/F43</f>
        <v>0.40840987618173147</v>
      </c>
    </row>
    <row r="57" spans="1:6" s="42" customFormat="1" ht="15" x14ac:dyDescent="0.35">
      <c r="A57" s="40" t="s">
        <v>58</v>
      </c>
      <c r="B57" s="40"/>
      <c r="C57" s="41">
        <f>C40/C43</f>
        <v>0.2975363891247863</v>
      </c>
      <c r="D57" s="41">
        <f>D40/D43</f>
        <v>0.27572712012585499</v>
      </c>
      <c r="E57" s="41">
        <f>E40/E43</f>
        <v>0.29579937487776609</v>
      </c>
      <c r="F57" s="41">
        <f>F40/F43</f>
        <v>0.39067200604347002</v>
      </c>
    </row>
    <row r="58" spans="1:6" s="42" customFormat="1" ht="15" x14ac:dyDescent="0.35">
      <c r="A58" s="40" t="s">
        <v>59</v>
      </c>
      <c r="B58" s="40"/>
      <c r="C58" s="41">
        <f>C42/C43</f>
        <v>0.11126579771024538</v>
      </c>
      <c r="D58" s="41">
        <f>D42/D43</f>
        <v>0.1147119457678852</v>
      </c>
      <c r="E58" s="41">
        <f>E42/E43</f>
        <v>0.11377563776086974</v>
      </c>
      <c r="F58" s="41">
        <f>F42/F43</f>
        <v>8.4905655198837526E-2</v>
      </c>
    </row>
    <row r="59" spans="1:6" s="46" customFormat="1" x14ac:dyDescent="0.35">
      <c r="A59" s="43" t="s">
        <v>60</v>
      </c>
      <c r="B59" s="44"/>
      <c r="C59" s="45">
        <f>C46/C3</f>
        <v>4.33298268290324E-2</v>
      </c>
      <c r="D59" s="45">
        <f>D46/D3</f>
        <v>3.5917547625214707E-2</v>
      </c>
      <c r="E59" s="45">
        <f>E46/E3</f>
        <v>4.6207930366018883E-2</v>
      </c>
      <c r="F59" s="45">
        <f>F46/F3</f>
        <v>5.4337102990729524E-2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225B-6335-4626-9ACD-E637E2AC38E5}">
  <sheetPr codeName="Sheet29">
    <tabColor theme="6" tint="0.79998168889431442"/>
  </sheetPr>
  <dimension ref="A1:AS69"/>
  <sheetViews>
    <sheetView zoomScaleNormal="100" workbookViewId="0">
      <pane xSplit="2" ySplit="2" topLeftCell="C41" activePane="bottomRight" state="frozen"/>
      <selection activeCell="C4" sqref="C4"/>
      <selection pane="topRight" activeCell="C4" sqref="C4"/>
      <selection pane="bottomLeft" activeCell="C4" sqref="C4"/>
      <selection pane="bottomRight" activeCell="B49" sqref="B49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9" width="15.08984375" style="115" customWidth="1"/>
    <col min="10" max="10" width="21.90625" style="115" customWidth="1"/>
    <col min="11" max="11" width="16.08984375" style="115" customWidth="1"/>
    <col min="12" max="12" width="16.453125" style="115" customWidth="1"/>
    <col min="13" max="13" width="18.36328125" style="115" customWidth="1"/>
    <col min="14" max="14" width="16.7265625" style="115" customWidth="1"/>
    <col min="15" max="15" width="17.453125" style="115" customWidth="1"/>
    <col min="16" max="16" width="16.453125" style="115" customWidth="1"/>
    <col min="17" max="17" width="16.81640625" style="115" customWidth="1"/>
    <col min="18" max="18" width="18.08984375" style="115" customWidth="1"/>
    <col min="19" max="19" width="14.453125" style="115" customWidth="1"/>
    <col min="20" max="20" width="18.36328125" style="115" customWidth="1"/>
    <col min="21" max="21" width="22.1796875" style="115" customWidth="1"/>
    <col min="22" max="22" width="18.453125" style="115" customWidth="1"/>
    <col min="23" max="23" width="19.08984375" style="115" customWidth="1"/>
    <col min="24" max="24" width="14.453125" style="115" customWidth="1"/>
    <col min="25" max="25" width="17.81640625" style="115" customWidth="1"/>
    <col min="26" max="26" width="15.7265625" style="115" customWidth="1"/>
    <col min="27" max="27" width="15.453125" style="115" customWidth="1"/>
    <col min="28" max="28" width="15.08984375" style="115" customWidth="1"/>
    <col min="29" max="29" width="14.453125" style="115" customWidth="1"/>
    <col min="30" max="30" width="13.36328125" style="115" customWidth="1"/>
    <col min="31" max="31" width="16.90625" style="115" customWidth="1"/>
    <col min="32" max="32" width="19.90625" style="115" customWidth="1"/>
    <col min="33" max="33" width="17.90625" style="115" customWidth="1"/>
    <col min="34" max="34" width="16" style="115" customWidth="1"/>
    <col min="35" max="35" width="17.453125" style="115" customWidth="1"/>
    <col min="36" max="36" width="15.36328125" style="115" customWidth="1"/>
    <col min="37" max="37" width="16.08984375" style="115" customWidth="1"/>
    <col min="38" max="38" width="21.08984375" style="115" customWidth="1"/>
    <col min="39" max="39" width="22.6328125" style="115" customWidth="1"/>
    <col min="40" max="40" width="16.90625" style="115" customWidth="1"/>
    <col min="41" max="41" width="34.08984375" style="115" customWidth="1"/>
    <col min="42" max="43" width="11.90625" style="115" bestFit="1" customWidth="1"/>
    <col min="44" max="16384" width="8.7265625" style="115"/>
  </cols>
  <sheetData>
    <row r="1" spans="1:41" s="57" customFormat="1" ht="44" customHeight="1" x14ac:dyDescent="0.3">
      <c r="A1" s="55" t="s">
        <v>197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</row>
    <row r="2" spans="1:41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 t="s">
        <v>183</v>
      </c>
      <c r="G2" s="58" t="s">
        <v>184</v>
      </c>
      <c r="H2" s="58" t="s">
        <v>188</v>
      </c>
      <c r="I2" s="58" t="s">
        <v>189</v>
      </c>
      <c r="J2" s="58" t="s">
        <v>190</v>
      </c>
      <c r="K2" s="58"/>
      <c r="L2" s="58"/>
    </row>
    <row r="3" spans="1:41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41" s="64" customFormat="1" ht="13" x14ac:dyDescent="0.3">
      <c r="A4" s="60" t="s">
        <v>198</v>
      </c>
      <c r="B4" s="61"/>
      <c r="C4" s="62">
        <f>SUM(D4:AO4)</f>
        <v>780593700</v>
      </c>
      <c r="D4" s="61">
        <v>84657000</v>
      </c>
      <c r="E4" s="61">
        <v>34625000</v>
      </c>
      <c r="F4" s="60">
        <v>99829000</v>
      </c>
      <c r="G4" s="60">
        <v>106590000</v>
      </c>
      <c r="H4" s="60">
        <v>232576000</v>
      </c>
      <c r="I4" s="60">
        <v>133918700</v>
      </c>
      <c r="J4" s="60">
        <v>88398000</v>
      </c>
      <c r="K4" s="63"/>
      <c r="L4" s="61"/>
      <c r="Q4" s="65"/>
      <c r="U4" s="65"/>
    </row>
    <row r="5" spans="1:41" s="68" customFormat="1" ht="13" x14ac:dyDescent="0.3">
      <c r="A5" s="66" t="s">
        <v>3</v>
      </c>
      <c r="B5" s="67"/>
      <c r="C5" s="62">
        <f t="shared" ref="C5:C18" si="0">SUM(D5:AO5)</f>
        <v>44500000</v>
      </c>
      <c r="D5" s="67">
        <v>3600000</v>
      </c>
      <c r="E5" s="67"/>
      <c r="F5" s="67"/>
      <c r="G5" s="67">
        <v>13500000</v>
      </c>
      <c r="H5" s="67">
        <v>27400000</v>
      </c>
      <c r="I5" s="67"/>
      <c r="J5" s="67"/>
      <c r="K5" s="67"/>
      <c r="L5" s="67"/>
    </row>
    <row r="6" spans="1:41" s="68" customFormat="1" ht="13" x14ac:dyDescent="0.3">
      <c r="A6" s="69" t="s">
        <v>4</v>
      </c>
      <c r="B6" s="67"/>
      <c r="C6" s="62">
        <f>SUM(D6:AO6)</f>
        <v>0</v>
      </c>
      <c r="E6" s="67"/>
      <c r="F6" s="67"/>
      <c r="G6" s="67"/>
      <c r="H6" s="67"/>
      <c r="I6" s="67"/>
      <c r="J6" s="67"/>
      <c r="K6" s="67"/>
      <c r="L6" s="67"/>
      <c r="U6" s="70"/>
      <c r="Z6" s="70"/>
      <c r="AL6" s="70"/>
    </row>
    <row r="7" spans="1:41" s="68" customFormat="1" ht="13" x14ac:dyDescent="0.3">
      <c r="A7" s="71" t="s">
        <v>5</v>
      </c>
      <c r="B7" s="67"/>
      <c r="C7" s="62">
        <f t="shared" si="0"/>
        <v>2087000</v>
      </c>
      <c r="E7" s="67"/>
      <c r="F7" s="67"/>
      <c r="G7" s="67">
        <v>2087000</v>
      </c>
      <c r="H7" s="67"/>
      <c r="I7" s="67"/>
      <c r="J7" s="67"/>
      <c r="K7" s="67"/>
      <c r="L7" s="67"/>
      <c r="R7" s="72"/>
      <c r="S7" s="72"/>
      <c r="U7" s="70"/>
      <c r="Z7" s="70"/>
      <c r="AA7" s="72"/>
      <c r="AL7" s="70"/>
    </row>
    <row r="8" spans="1:41" s="68" customFormat="1" ht="13" x14ac:dyDescent="0.3">
      <c r="A8" s="71"/>
      <c r="B8" s="67" t="s">
        <v>6</v>
      </c>
      <c r="C8" s="62">
        <f t="shared" si="0"/>
        <v>3</v>
      </c>
      <c r="D8" s="68">
        <v>0</v>
      </c>
      <c r="E8" s="67">
        <v>0</v>
      </c>
      <c r="F8" s="67">
        <v>0</v>
      </c>
      <c r="G8" s="67">
        <v>1</v>
      </c>
      <c r="H8" s="67">
        <v>2</v>
      </c>
      <c r="I8" s="67">
        <v>0</v>
      </c>
      <c r="J8" s="67">
        <v>0</v>
      </c>
      <c r="K8" s="67"/>
      <c r="L8" s="67"/>
      <c r="W8" s="73"/>
      <c r="X8" s="73"/>
      <c r="Y8" s="73"/>
      <c r="Z8" s="73"/>
      <c r="AA8" s="73"/>
      <c r="AB8" s="73"/>
      <c r="AC8" s="74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 spans="1:41" s="68" customFormat="1" ht="13" x14ac:dyDescent="0.3">
      <c r="A9" s="71"/>
      <c r="B9" s="67" t="s">
        <v>7</v>
      </c>
      <c r="C9" s="62">
        <f t="shared" si="0"/>
        <v>8</v>
      </c>
      <c r="D9" s="68">
        <v>1</v>
      </c>
      <c r="E9" s="67">
        <v>0</v>
      </c>
      <c r="F9" s="67">
        <v>0</v>
      </c>
      <c r="G9" s="67">
        <v>3</v>
      </c>
      <c r="H9" s="67">
        <v>4</v>
      </c>
      <c r="I9" s="67">
        <v>0</v>
      </c>
      <c r="J9" s="67">
        <v>0</v>
      </c>
      <c r="K9" s="67"/>
      <c r="L9" s="67"/>
      <c r="W9" s="75"/>
      <c r="X9" s="75"/>
      <c r="Y9" s="73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</row>
    <row r="10" spans="1:41" s="68" customFormat="1" ht="13" x14ac:dyDescent="0.3">
      <c r="A10" s="71"/>
      <c r="B10" s="67" t="s">
        <v>199</v>
      </c>
      <c r="C10" s="62">
        <f t="shared" si="0"/>
        <v>0</v>
      </c>
      <c r="D10" s="68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/>
      <c r="L10" s="67"/>
      <c r="W10" s="75"/>
      <c r="X10" s="75"/>
      <c r="Y10" s="73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</row>
    <row r="11" spans="1:41" s="68" customFormat="1" ht="16.5" customHeight="1" x14ac:dyDescent="0.3">
      <c r="A11" s="71"/>
      <c r="B11" s="67" t="s">
        <v>9</v>
      </c>
      <c r="C11" s="62">
        <f t="shared" si="0"/>
        <v>551774193.54838705</v>
      </c>
      <c r="D11" s="68">
        <v>57000000</v>
      </c>
      <c r="E11" s="67">
        <v>26400000</v>
      </c>
      <c r="F11" s="67">
        <v>74400000</v>
      </c>
      <c r="G11" s="67">
        <v>71187096.774193555</v>
      </c>
      <c r="H11" s="67">
        <v>160487096.77419356</v>
      </c>
      <c r="I11" s="67">
        <v>96500000</v>
      </c>
      <c r="J11" s="67">
        <v>65800000</v>
      </c>
      <c r="K11" s="67"/>
      <c r="L11" s="67"/>
      <c r="W11" s="75"/>
      <c r="X11" s="75"/>
      <c r="Y11" s="73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</row>
    <row r="12" spans="1:41" s="68" customFormat="1" ht="13" x14ac:dyDescent="0.3">
      <c r="A12" s="128" t="s">
        <v>10</v>
      </c>
      <c r="B12" s="69" t="s">
        <v>11</v>
      </c>
      <c r="C12" s="62">
        <f t="shared" si="0"/>
        <v>116073700</v>
      </c>
      <c r="D12" s="67">
        <v>15467000</v>
      </c>
      <c r="E12" s="67">
        <v>5380000</v>
      </c>
      <c r="F12" s="62">
        <v>16552000</v>
      </c>
      <c r="G12" s="62">
        <v>15456000</v>
      </c>
      <c r="H12" s="62">
        <v>23856000</v>
      </c>
      <c r="I12" s="62">
        <v>23370700</v>
      </c>
      <c r="J12" s="62">
        <v>15992000</v>
      </c>
      <c r="K12" s="62"/>
      <c r="L12" s="67"/>
      <c r="W12" s="75"/>
      <c r="X12" s="75"/>
      <c r="Y12" s="73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</row>
    <row r="13" spans="1:41" s="68" customFormat="1" ht="13" x14ac:dyDescent="0.3">
      <c r="A13" s="129"/>
      <c r="B13" s="69" t="s">
        <v>12</v>
      </c>
      <c r="C13" s="62">
        <f t="shared" si="0"/>
        <v>22351129.032258064</v>
      </c>
      <c r="D13" s="67">
        <v>2880000</v>
      </c>
      <c r="E13" s="68">
        <v>1645000</v>
      </c>
      <c r="F13" s="68">
        <v>3185000</v>
      </c>
      <c r="G13" s="68">
        <v>2520000</v>
      </c>
      <c r="H13" s="68">
        <v>6236129.0322580645</v>
      </c>
      <c r="I13" s="68">
        <v>3850000</v>
      </c>
      <c r="J13" s="68">
        <v>2035000</v>
      </c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</row>
    <row r="14" spans="1:41" s="68" customFormat="1" ht="13" x14ac:dyDescent="0.3">
      <c r="A14" s="129"/>
      <c r="B14" s="69" t="s">
        <v>13</v>
      </c>
      <c r="C14" s="62">
        <f t="shared" si="0"/>
        <v>11731774.193548387</v>
      </c>
      <c r="D14" s="67">
        <v>1440000</v>
      </c>
      <c r="E14" s="67">
        <v>600000</v>
      </c>
      <c r="F14" s="68">
        <v>1560000</v>
      </c>
      <c r="G14" s="68">
        <v>1403225.8064516129</v>
      </c>
      <c r="H14" s="68">
        <v>2968548.3870967743</v>
      </c>
      <c r="I14" s="68">
        <v>2590000</v>
      </c>
      <c r="J14" s="68">
        <v>1170000</v>
      </c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5" spans="1:41" s="68" customFormat="1" ht="13" x14ac:dyDescent="0.3">
      <c r="A15" s="129"/>
      <c r="B15" s="69" t="s">
        <v>14</v>
      </c>
      <c r="C15" s="62">
        <f t="shared" si="0"/>
        <v>8667741.935483871</v>
      </c>
      <c r="D15" s="67">
        <v>1000000</v>
      </c>
      <c r="E15" s="68">
        <v>200000</v>
      </c>
      <c r="F15" s="68">
        <v>1100000</v>
      </c>
      <c r="G15" s="68">
        <v>1419354.8387096773</v>
      </c>
      <c r="H15" s="68">
        <v>1848387.0967741935</v>
      </c>
      <c r="I15" s="68">
        <v>1800000</v>
      </c>
      <c r="J15" s="68">
        <v>1300000</v>
      </c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 spans="1:41" s="68" customFormat="1" ht="13" x14ac:dyDescent="0.3">
      <c r="A16" s="129"/>
      <c r="B16" s="69" t="s">
        <v>15</v>
      </c>
      <c r="C16" s="62">
        <f t="shared" si="0"/>
        <v>1450000</v>
      </c>
      <c r="D16" s="67">
        <v>450000</v>
      </c>
      <c r="E16" s="68">
        <v>0</v>
      </c>
      <c r="F16" s="68">
        <v>0</v>
      </c>
      <c r="G16" s="68">
        <v>150000</v>
      </c>
      <c r="H16" s="68">
        <v>100000</v>
      </c>
      <c r="I16" s="68">
        <v>750000</v>
      </c>
      <c r="J16" s="68">
        <v>0</v>
      </c>
      <c r="W16" s="76"/>
      <c r="X16" s="73"/>
      <c r="Y16" s="73"/>
      <c r="Z16" s="73"/>
      <c r="AA16" s="73"/>
      <c r="AB16" s="76"/>
      <c r="AC16" s="76"/>
      <c r="AD16" s="76"/>
      <c r="AE16" s="76"/>
      <c r="AF16" s="73"/>
      <c r="AG16" s="76"/>
      <c r="AH16" s="76"/>
      <c r="AI16" s="76"/>
      <c r="AJ16" s="76"/>
      <c r="AK16" s="76"/>
      <c r="AL16" s="73"/>
      <c r="AM16" s="76"/>
      <c r="AN16" s="73"/>
      <c r="AO16" s="73"/>
    </row>
    <row r="17" spans="1:45" s="68" customFormat="1" ht="13" x14ac:dyDescent="0.3">
      <c r="A17" s="129"/>
      <c r="B17" s="69" t="s">
        <v>102</v>
      </c>
      <c r="C17" s="62">
        <f t="shared" si="0"/>
        <v>10037419.35483871</v>
      </c>
      <c r="D17" s="67">
        <v>1380000</v>
      </c>
      <c r="E17" s="68">
        <v>400000</v>
      </c>
      <c r="F17" s="68">
        <v>1560000</v>
      </c>
      <c r="G17" s="68">
        <v>1129354.8387096773</v>
      </c>
      <c r="H17" s="68">
        <v>2158064.5161290322</v>
      </c>
      <c r="I17" s="68">
        <v>2460000</v>
      </c>
      <c r="J17" s="68">
        <v>950000</v>
      </c>
      <c r="W17" s="77"/>
      <c r="X17" s="77"/>
      <c r="Y17" s="73"/>
      <c r="Z17" s="70"/>
      <c r="AA17" s="77"/>
      <c r="AB17" s="77"/>
      <c r="AC17" s="77"/>
      <c r="AD17" s="77"/>
      <c r="AE17" s="77"/>
      <c r="AF17" s="77"/>
      <c r="AG17" s="77"/>
      <c r="AH17" s="77"/>
      <c r="AI17" s="70"/>
      <c r="AJ17" s="77"/>
      <c r="AK17" s="70"/>
      <c r="AL17" s="77"/>
      <c r="AM17" s="77"/>
      <c r="AN17" s="77"/>
      <c r="AO17" s="77"/>
    </row>
    <row r="18" spans="1:45" s="68" customFormat="1" ht="13.5" thickBot="1" x14ac:dyDescent="0.35">
      <c r="A18" s="129"/>
      <c r="B18" s="69" t="s">
        <v>17</v>
      </c>
      <c r="C18" s="62">
        <f t="shared" si="0"/>
        <v>15301774.193548387</v>
      </c>
      <c r="D18" s="67">
        <v>1440000</v>
      </c>
      <c r="E18" s="68">
        <v>0</v>
      </c>
      <c r="F18" s="68">
        <v>1560000</v>
      </c>
      <c r="G18" s="68">
        <v>1403225.8064516129</v>
      </c>
      <c r="H18" s="68">
        <v>7138548.3870967738</v>
      </c>
      <c r="I18" s="68">
        <v>2590000</v>
      </c>
      <c r="J18" s="68">
        <v>1170000</v>
      </c>
      <c r="W18" s="78"/>
      <c r="X18" s="78"/>
      <c r="Y18" s="73"/>
      <c r="Z18" s="78"/>
      <c r="AA18" s="78"/>
      <c r="AB18" s="78"/>
      <c r="AC18" s="78"/>
      <c r="AD18" s="79"/>
      <c r="AE18" s="78"/>
      <c r="AF18" s="78"/>
      <c r="AG18" s="78"/>
      <c r="AH18" s="78"/>
      <c r="AI18" s="78"/>
      <c r="AJ18" s="79"/>
      <c r="AK18" s="78"/>
      <c r="AL18" s="78"/>
      <c r="AM18" s="78"/>
      <c r="AN18" s="78"/>
      <c r="AO18" s="78"/>
    </row>
    <row r="19" spans="1:45" s="68" customFormat="1" ht="12" customHeight="1" x14ac:dyDescent="0.3">
      <c r="A19" s="130"/>
      <c r="B19" s="80" t="s">
        <v>18</v>
      </c>
      <c r="C19" s="81">
        <f>SUM(C12:C18)</f>
        <v>185613538.7096774</v>
      </c>
      <c r="D19" s="81">
        <f t="shared" ref="D19:AS19" si="1">SUM(D12:D18)</f>
        <v>24057000</v>
      </c>
      <c r="E19" s="81">
        <f>SUM(E12:E18)</f>
        <v>8225000</v>
      </c>
      <c r="F19" s="81">
        <f t="shared" si="1"/>
        <v>25517000</v>
      </c>
      <c r="G19" s="81">
        <f t="shared" si="1"/>
        <v>23481161.290322579</v>
      </c>
      <c r="H19" s="81">
        <f t="shared" si="1"/>
        <v>44305677.419354841</v>
      </c>
      <c r="I19" s="81">
        <f t="shared" si="1"/>
        <v>37410700</v>
      </c>
      <c r="J19" s="81">
        <f t="shared" si="1"/>
        <v>22617000</v>
      </c>
      <c r="K19" s="81">
        <f>SUM(K12:K18)</f>
        <v>0</v>
      </c>
      <c r="L19" s="81">
        <f>SUM(L12:L18)</f>
        <v>0</v>
      </c>
      <c r="M19" s="81">
        <f t="shared" si="1"/>
        <v>0</v>
      </c>
      <c r="N19" s="81">
        <f t="shared" si="1"/>
        <v>0</v>
      </c>
      <c r="O19" s="81">
        <f t="shared" si="1"/>
        <v>0</v>
      </c>
      <c r="P19" s="81">
        <f t="shared" si="1"/>
        <v>0</v>
      </c>
      <c r="Q19" s="81">
        <f t="shared" si="1"/>
        <v>0</v>
      </c>
      <c r="R19" s="81">
        <f t="shared" si="1"/>
        <v>0</v>
      </c>
      <c r="S19" s="81">
        <f t="shared" si="1"/>
        <v>0</v>
      </c>
      <c r="T19" s="81">
        <f>SUM(T12:T18)</f>
        <v>0</v>
      </c>
      <c r="U19" s="81">
        <f>SUM(U12:U18)</f>
        <v>0</v>
      </c>
      <c r="V19" s="81">
        <f>SUM(V12:V18)</f>
        <v>0</v>
      </c>
      <c r="W19" s="81">
        <f t="shared" si="1"/>
        <v>0</v>
      </c>
      <c r="X19" s="81">
        <f t="shared" si="1"/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 t="shared" si="1"/>
        <v>0</v>
      </c>
      <c r="AC19" s="81">
        <f t="shared" si="1"/>
        <v>0</v>
      </c>
      <c r="AD19" s="81">
        <f t="shared" si="1"/>
        <v>0</v>
      </c>
      <c r="AE19" s="81">
        <f>SUM(AE12:AE18)</f>
        <v>0</v>
      </c>
      <c r="AF19" s="81">
        <f t="shared" si="1"/>
        <v>0</v>
      </c>
      <c r="AG19" s="81">
        <f t="shared" si="1"/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 t="shared" si="1"/>
        <v>0</v>
      </c>
      <c r="AL19" s="81">
        <f t="shared" si="1"/>
        <v>0</v>
      </c>
      <c r="AM19" s="81">
        <f t="shared" si="1"/>
        <v>0</v>
      </c>
      <c r="AN19" s="81">
        <f>SUM(AN12:AN18)</f>
        <v>0</v>
      </c>
      <c r="AO19" s="81">
        <f t="shared" si="1"/>
        <v>0</v>
      </c>
      <c r="AP19" s="81">
        <f t="shared" si="1"/>
        <v>0</v>
      </c>
      <c r="AQ19" s="81">
        <f t="shared" si="1"/>
        <v>0</v>
      </c>
      <c r="AR19" s="81">
        <f t="shared" si="1"/>
        <v>0</v>
      </c>
      <c r="AS19" s="81">
        <f t="shared" si="1"/>
        <v>0</v>
      </c>
    </row>
    <row r="20" spans="1:45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</row>
    <row r="21" spans="1:45" s="68" customFormat="1" ht="38.5" customHeight="1" x14ac:dyDescent="0.3">
      <c r="A21" s="62" t="s">
        <v>19</v>
      </c>
      <c r="B21" s="67" t="s">
        <v>20</v>
      </c>
      <c r="C21" s="62">
        <f t="shared" ref="C21:C28" si="2">SUM(D21:AO21)</f>
        <v>451500000</v>
      </c>
      <c r="D21" s="67">
        <v>48000000</v>
      </c>
      <c r="E21" s="68">
        <v>17000000</v>
      </c>
      <c r="F21" s="68">
        <v>62000000</v>
      </c>
      <c r="G21" s="68">
        <v>58500000</v>
      </c>
      <c r="H21" s="68">
        <v>130000000</v>
      </c>
      <c r="I21" s="68">
        <v>86000000</v>
      </c>
      <c r="J21" s="68">
        <v>50000000</v>
      </c>
      <c r="R21" s="82"/>
      <c r="S21" s="82"/>
      <c r="X21" s="82"/>
      <c r="AD21" s="83"/>
      <c r="AF21" s="82"/>
      <c r="AH21" s="82"/>
      <c r="AI21" s="82"/>
      <c r="AL21" s="82"/>
      <c r="AM21" s="82"/>
      <c r="AO21" s="82"/>
    </row>
    <row r="22" spans="1:45" s="68" customFormat="1" ht="39" customHeight="1" x14ac:dyDescent="0.3">
      <c r="A22" s="84" t="s">
        <v>21</v>
      </c>
      <c r="C22" s="62">
        <f t="shared" si="2"/>
        <v>0</v>
      </c>
      <c r="D22" s="67"/>
      <c r="E22" s="82"/>
      <c r="J22" s="82"/>
      <c r="R22" s="82"/>
      <c r="S22" s="82"/>
      <c r="W22" s="82"/>
      <c r="X22" s="82"/>
      <c r="Z22" s="82"/>
      <c r="AA22" s="82"/>
      <c r="AC22" s="82"/>
      <c r="AD22" s="83"/>
      <c r="AE22" s="82"/>
      <c r="AF22" s="82"/>
      <c r="AH22" s="82"/>
      <c r="AI22" s="82"/>
      <c r="AJ22" s="82"/>
      <c r="AK22" s="82"/>
      <c r="AL22" s="85"/>
      <c r="AO22" s="82"/>
    </row>
    <row r="23" spans="1:45" s="68" customFormat="1" ht="20.5" customHeight="1" x14ac:dyDescent="0.3">
      <c r="A23" s="131" t="s">
        <v>22</v>
      </c>
      <c r="B23" s="67" t="s">
        <v>23</v>
      </c>
      <c r="C23" s="62">
        <f t="shared" si="2"/>
        <v>109961397</v>
      </c>
      <c r="D23" s="82">
        <v>17210016</v>
      </c>
      <c r="E23" s="86">
        <v>5767934</v>
      </c>
      <c r="F23" s="82">
        <v>16163712</v>
      </c>
      <c r="G23" s="82">
        <v>14063630</v>
      </c>
      <c r="H23" s="82">
        <v>17337920</v>
      </c>
      <c r="I23" s="82">
        <v>24495091</v>
      </c>
      <c r="J23" s="82">
        <v>14923094</v>
      </c>
      <c r="K23" s="86"/>
      <c r="L23" s="83"/>
      <c r="M23" s="83"/>
      <c r="N23" s="83"/>
      <c r="O23" s="82"/>
      <c r="P23" s="82"/>
      <c r="Q23" s="83"/>
      <c r="R23" s="83"/>
      <c r="S23" s="83"/>
      <c r="T23" s="83"/>
      <c r="U23" s="82"/>
      <c r="V23" s="83"/>
      <c r="W23" s="82"/>
      <c r="X23" s="83"/>
      <c r="Y23" s="83"/>
      <c r="Z23" s="83"/>
      <c r="AA23" s="83"/>
      <c r="AB23" s="83"/>
      <c r="AC23" s="82"/>
      <c r="AD23" s="82"/>
      <c r="AE23" s="83"/>
      <c r="AF23" s="82"/>
      <c r="AG23" s="83"/>
      <c r="AH23" s="83"/>
      <c r="AI23" s="82"/>
      <c r="AJ23" s="82"/>
      <c r="AK23" s="82"/>
      <c r="AL23" s="83"/>
      <c r="AM23" s="83"/>
      <c r="AN23" s="83"/>
      <c r="AO23" s="83"/>
    </row>
    <row r="24" spans="1:45" s="68" customFormat="1" ht="20.5" customHeight="1" x14ac:dyDescent="0.3">
      <c r="A24" s="131"/>
      <c r="B24" s="68" t="s">
        <v>24</v>
      </c>
      <c r="C24" s="87">
        <f t="shared" si="2"/>
        <v>9364070</v>
      </c>
      <c r="D24" s="82">
        <v>300000</v>
      </c>
      <c r="E24" s="82">
        <v>861350</v>
      </c>
      <c r="F24" s="82">
        <v>2382800</v>
      </c>
      <c r="G24" s="82">
        <v>830300</v>
      </c>
      <c r="H24" s="82">
        <v>3600420</v>
      </c>
      <c r="I24" s="82">
        <v>0</v>
      </c>
      <c r="J24" s="82">
        <v>1389200</v>
      </c>
      <c r="K24" s="86"/>
      <c r="L24" s="83"/>
      <c r="M24" s="83"/>
      <c r="N24" s="83"/>
      <c r="O24" s="82"/>
      <c r="P24" s="82"/>
      <c r="Q24" s="83"/>
      <c r="R24" s="83"/>
      <c r="S24" s="83"/>
      <c r="T24" s="83"/>
      <c r="U24" s="82"/>
      <c r="V24" s="83"/>
      <c r="W24" s="82"/>
      <c r="X24" s="83"/>
      <c r="Y24" s="83"/>
      <c r="Z24" s="83"/>
      <c r="AA24" s="83"/>
      <c r="AB24" s="83"/>
      <c r="AC24" s="82"/>
      <c r="AD24" s="82"/>
      <c r="AE24" s="83"/>
      <c r="AF24" s="82"/>
      <c r="AG24" s="83"/>
      <c r="AH24" s="83"/>
      <c r="AI24" s="82"/>
      <c r="AJ24" s="82"/>
      <c r="AK24" s="82"/>
      <c r="AL24" s="83"/>
      <c r="AM24" s="83"/>
      <c r="AN24" s="83"/>
      <c r="AO24" s="83"/>
    </row>
    <row r="25" spans="1:45" s="68" customFormat="1" ht="19" customHeight="1" x14ac:dyDescent="0.3">
      <c r="A25" s="131"/>
      <c r="B25" s="67" t="s">
        <v>25</v>
      </c>
      <c r="C25" s="62">
        <f t="shared" si="2"/>
        <v>744000</v>
      </c>
      <c r="D25" s="82">
        <v>0</v>
      </c>
      <c r="E25" s="82">
        <v>400000</v>
      </c>
      <c r="F25" s="82">
        <v>344000</v>
      </c>
      <c r="G25" s="82">
        <v>0</v>
      </c>
      <c r="H25" s="82">
        <v>0</v>
      </c>
      <c r="I25" s="82">
        <v>0</v>
      </c>
      <c r="J25" s="82">
        <v>0</v>
      </c>
      <c r="K25" s="82"/>
      <c r="L25" s="83"/>
      <c r="M25" s="83"/>
      <c r="N25" s="83"/>
      <c r="O25" s="82"/>
      <c r="P25" s="82"/>
      <c r="Q25" s="82"/>
      <c r="R25" s="83"/>
      <c r="S25" s="83"/>
      <c r="T25" s="83"/>
      <c r="U25" s="82"/>
      <c r="V25" s="83"/>
      <c r="W25" s="82"/>
      <c r="X25" s="83"/>
      <c r="Y25" s="83"/>
      <c r="Z25" s="83"/>
      <c r="AA25" s="83"/>
      <c r="AB25" s="83"/>
      <c r="AC25" s="82"/>
      <c r="AD25" s="82"/>
      <c r="AE25" s="83"/>
      <c r="AF25" s="82"/>
      <c r="AG25" s="83"/>
      <c r="AH25" s="83"/>
      <c r="AI25" s="82"/>
      <c r="AJ25" s="82"/>
      <c r="AK25" s="82"/>
      <c r="AL25" s="83"/>
      <c r="AM25" s="83"/>
      <c r="AN25" s="83"/>
      <c r="AO25" s="83"/>
    </row>
    <row r="26" spans="1:45" s="68" customFormat="1" ht="18.5" customHeight="1" x14ac:dyDescent="0.3">
      <c r="A26" s="131"/>
      <c r="B26" s="67" t="s">
        <v>26</v>
      </c>
      <c r="C26" s="62">
        <f t="shared" si="2"/>
        <v>2100000</v>
      </c>
      <c r="D26" s="82">
        <v>300000</v>
      </c>
      <c r="E26" s="82">
        <v>200000</v>
      </c>
      <c r="F26" s="82">
        <v>350000</v>
      </c>
      <c r="G26" s="82">
        <v>300000</v>
      </c>
      <c r="H26" s="82">
        <v>300000</v>
      </c>
      <c r="I26" s="82">
        <v>300000</v>
      </c>
      <c r="J26" s="82">
        <v>350000</v>
      </c>
      <c r="K26" s="82"/>
      <c r="L26" s="83"/>
      <c r="M26" s="82"/>
      <c r="N26" s="83"/>
      <c r="O26" s="82"/>
      <c r="Q26" s="83"/>
      <c r="R26" s="83"/>
      <c r="S26" s="83"/>
      <c r="T26" s="83"/>
      <c r="U26" s="82"/>
      <c r="V26" s="83"/>
      <c r="W26" s="82"/>
      <c r="X26" s="83"/>
      <c r="Y26" s="83"/>
      <c r="Z26" s="83"/>
      <c r="AA26" s="82"/>
      <c r="AB26" s="82"/>
      <c r="AC26" s="82"/>
      <c r="AD26" s="82"/>
      <c r="AE26" s="83"/>
      <c r="AF26" s="82"/>
      <c r="AG26" s="82"/>
      <c r="AH26" s="83"/>
      <c r="AI26" s="82"/>
      <c r="AJ26" s="82"/>
      <c r="AK26" s="82"/>
      <c r="AL26" s="83"/>
      <c r="AM26" s="83"/>
      <c r="AN26" s="83"/>
      <c r="AO26" s="83"/>
    </row>
    <row r="27" spans="1:45" s="68" customFormat="1" ht="17.5" customHeight="1" x14ac:dyDescent="0.3">
      <c r="A27" s="131"/>
      <c r="B27" s="67" t="s">
        <v>27</v>
      </c>
      <c r="C27" s="62">
        <f t="shared" si="2"/>
        <v>5430240</v>
      </c>
      <c r="D27" s="82">
        <v>1620000</v>
      </c>
      <c r="E27" s="82"/>
      <c r="F27" s="82">
        <v>1620000</v>
      </c>
      <c r="G27" s="82"/>
      <c r="H27" s="82"/>
      <c r="I27" s="82">
        <v>2190240</v>
      </c>
      <c r="J27" s="82"/>
      <c r="K27" s="82"/>
      <c r="L27" s="83"/>
      <c r="M27" s="83"/>
      <c r="N27" s="82"/>
      <c r="O27" s="82"/>
      <c r="P27" s="82"/>
      <c r="Q27" s="83"/>
      <c r="R27" s="82"/>
      <c r="S27" s="83"/>
      <c r="T27" s="82"/>
      <c r="U27" s="82"/>
      <c r="V27" s="82"/>
      <c r="W27" s="82"/>
      <c r="X27" s="82"/>
      <c r="Y27" s="83"/>
      <c r="Z27" s="83"/>
      <c r="AA27" s="82"/>
      <c r="AB27" s="82"/>
      <c r="AC27" s="82"/>
      <c r="AD27" s="82"/>
      <c r="AE27" s="82"/>
      <c r="AF27" s="82"/>
      <c r="AG27" s="82"/>
      <c r="AH27" s="82"/>
      <c r="AI27" s="82"/>
      <c r="AK27" s="82"/>
      <c r="AL27" s="82"/>
      <c r="AM27" s="83"/>
      <c r="AN27" s="82"/>
      <c r="AO27" s="83"/>
    </row>
    <row r="28" spans="1:45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K28" s="82"/>
      <c r="L28" s="82"/>
      <c r="M28" s="82"/>
      <c r="O28" s="82"/>
      <c r="Q28" s="83"/>
      <c r="R28" s="82"/>
      <c r="S28" s="82"/>
      <c r="T28" s="82"/>
      <c r="U28" s="82"/>
      <c r="V28" s="82"/>
      <c r="W28" s="82"/>
      <c r="Y28" s="82"/>
      <c r="Z28" s="82"/>
      <c r="AA28" s="82"/>
      <c r="AB28" s="82"/>
      <c r="AC28" s="82"/>
      <c r="AD28" s="82"/>
      <c r="AE28" s="82"/>
      <c r="AF28" s="82"/>
      <c r="AG28" s="82"/>
      <c r="AI28" s="82"/>
      <c r="AK28" s="82"/>
      <c r="AL28" s="82"/>
      <c r="AM28" s="83"/>
      <c r="AN28" s="82"/>
      <c r="AO28" s="82"/>
    </row>
    <row r="29" spans="1:45" s="64" customFormat="1" ht="13" x14ac:dyDescent="0.3">
      <c r="A29" s="88" t="s">
        <v>29</v>
      </c>
      <c r="B29" s="60"/>
      <c r="C29" s="62">
        <f>SUM(C21:C28)</f>
        <v>579099707</v>
      </c>
      <c r="D29" s="60">
        <f>SUM(D21:D28)</f>
        <v>67430016</v>
      </c>
      <c r="E29" s="60">
        <f t="shared" ref="E29:AO29" si="3">SUM(E21:E28)</f>
        <v>24229284</v>
      </c>
      <c r="F29" s="60">
        <f t="shared" si="3"/>
        <v>82860512</v>
      </c>
      <c r="G29" s="60">
        <f t="shared" si="3"/>
        <v>73693930</v>
      </c>
      <c r="H29" s="60">
        <f t="shared" si="3"/>
        <v>151238340</v>
      </c>
      <c r="I29" s="60">
        <f t="shared" si="3"/>
        <v>112985331</v>
      </c>
      <c r="J29" s="60">
        <f t="shared" si="3"/>
        <v>66662294</v>
      </c>
      <c r="K29" s="60">
        <f t="shared" si="3"/>
        <v>0</v>
      </c>
      <c r="L29" s="60">
        <f t="shared" si="3"/>
        <v>0</v>
      </c>
      <c r="M29" s="60">
        <f t="shared" si="3"/>
        <v>0</v>
      </c>
      <c r="N29" s="60">
        <f t="shared" si="3"/>
        <v>0</v>
      </c>
      <c r="O29" s="60">
        <f t="shared" si="3"/>
        <v>0</v>
      </c>
      <c r="P29" s="60">
        <f t="shared" si="3"/>
        <v>0</v>
      </c>
      <c r="Q29" s="60">
        <f t="shared" si="3"/>
        <v>0</v>
      </c>
      <c r="R29" s="60">
        <f t="shared" si="3"/>
        <v>0</v>
      </c>
      <c r="S29" s="60">
        <f t="shared" si="3"/>
        <v>0</v>
      </c>
      <c r="T29" s="60">
        <f>SUM(T21:T28)</f>
        <v>0</v>
      </c>
      <c r="U29" s="60">
        <f t="shared" si="3"/>
        <v>0</v>
      </c>
      <c r="V29" s="60">
        <f t="shared" si="3"/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 t="shared" si="3"/>
        <v>0</v>
      </c>
      <c r="AC29" s="60">
        <f t="shared" si="3"/>
        <v>0</v>
      </c>
      <c r="AD29" s="60">
        <f t="shared" si="3"/>
        <v>0</v>
      </c>
      <c r="AE29" s="60">
        <f>SUM(AE21:AE28)</f>
        <v>0</v>
      </c>
      <c r="AF29" s="60">
        <f t="shared" si="3"/>
        <v>0</v>
      </c>
      <c r="AG29" s="60">
        <f t="shared" si="3"/>
        <v>0</v>
      </c>
      <c r="AH29" s="60">
        <f t="shared" si="3"/>
        <v>0</v>
      </c>
      <c r="AI29" s="60">
        <f t="shared" si="3"/>
        <v>0</v>
      </c>
      <c r="AJ29" s="60">
        <f t="shared" si="3"/>
        <v>0</v>
      </c>
      <c r="AK29" s="60">
        <f t="shared" si="3"/>
        <v>0</v>
      </c>
      <c r="AL29" s="60">
        <f t="shared" si="3"/>
        <v>0</v>
      </c>
      <c r="AM29" s="60">
        <f>SUM(AM21:AM28)</f>
        <v>0</v>
      </c>
      <c r="AN29" s="60">
        <f t="shared" si="3"/>
        <v>0</v>
      </c>
      <c r="AO29" s="60">
        <f t="shared" si="3"/>
        <v>0</v>
      </c>
    </row>
    <row r="30" spans="1:45" s="68" customFormat="1" ht="24" customHeight="1" x14ac:dyDescent="0.3">
      <c r="A30" s="132" t="s">
        <v>30</v>
      </c>
      <c r="B30" s="67" t="s">
        <v>31</v>
      </c>
      <c r="C30" s="62">
        <f t="shared" ref="C30:C42" si="4">SUM(D30:AO30)</f>
        <v>13661650.979453593</v>
      </c>
      <c r="D30" s="82">
        <v>1783507.0737155622</v>
      </c>
      <c r="E30" s="83">
        <v>617484.81404553819</v>
      </c>
      <c r="F30" s="82">
        <v>2098831.3217756096</v>
      </c>
      <c r="G30" s="83">
        <v>2015653.0414287932</v>
      </c>
      <c r="H30" s="82">
        <v>2616713.9623294058</v>
      </c>
      <c r="I30" s="82">
        <v>2971407.8033820214</v>
      </c>
      <c r="J30" s="82">
        <v>1558052.9627766637</v>
      </c>
      <c r="K30" s="82"/>
      <c r="L30" s="82"/>
      <c r="M30" s="83"/>
      <c r="N30" s="82"/>
      <c r="O30" s="82"/>
      <c r="P30" s="82"/>
      <c r="Q30" s="83"/>
      <c r="R30" s="83"/>
      <c r="S30" s="83"/>
      <c r="T30" s="83"/>
      <c r="U30" s="83"/>
      <c r="V30" s="83"/>
      <c r="W30" s="82"/>
      <c r="X30" s="83"/>
      <c r="Y30" s="83"/>
      <c r="Z30" s="83"/>
      <c r="AA30" s="83"/>
      <c r="AB30" s="82"/>
      <c r="AC30" s="83"/>
      <c r="AD30" s="82"/>
      <c r="AE30" s="82"/>
      <c r="AF30" s="82"/>
      <c r="AG30" s="82"/>
      <c r="AH30" s="82"/>
      <c r="AI30" s="82"/>
      <c r="AJ30" s="82"/>
      <c r="AK30" s="82"/>
      <c r="AL30" s="83"/>
      <c r="AM30" s="83"/>
      <c r="AN30" s="82"/>
      <c r="AO30" s="83"/>
    </row>
    <row r="31" spans="1:45" s="68" customFormat="1" ht="24" customHeight="1" x14ac:dyDescent="0.3">
      <c r="A31" s="133"/>
      <c r="B31" s="67" t="s">
        <v>32</v>
      </c>
      <c r="C31" s="62">
        <f t="shared" si="4"/>
        <v>1036485.4802680567</v>
      </c>
      <c r="D31" s="82">
        <v>134028.2948622487</v>
      </c>
      <c r="E31" s="83">
        <v>44676.098287416236</v>
      </c>
      <c r="F31" s="82">
        <v>151898.7341772152</v>
      </c>
      <c r="G31" s="83">
        <v>151898.7341772152</v>
      </c>
      <c r="H31" s="82">
        <v>205510.05212211469</v>
      </c>
      <c r="I31" s="82">
        <v>232315.71109456441</v>
      </c>
      <c r="J31" s="82">
        <v>116157.8555472822</v>
      </c>
      <c r="K31" s="82"/>
      <c r="L31" s="82"/>
      <c r="M31" s="83"/>
      <c r="N31" s="82"/>
      <c r="O31" s="82"/>
      <c r="P31" s="82"/>
      <c r="Q31" s="83"/>
      <c r="R31" s="83"/>
      <c r="S31" s="83"/>
      <c r="T31" s="83"/>
      <c r="U31" s="83"/>
      <c r="V31" s="83"/>
      <c r="W31" s="82"/>
      <c r="X31" s="83"/>
      <c r="Y31" s="83"/>
      <c r="Z31" s="83"/>
      <c r="AA31" s="83"/>
      <c r="AB31" s="82"/>
      <c r="AC31" s="83"/>
      <c r="AD31" s="82"/>
      <c r="AE31" s="82"/>
      <c r="AF31" s="82"/>
      <c r="AG31" s="82"/>
      <c r="AH31" s="82"/>
      <c r="AI31" s="82"/>
      <c r="AJ31" s="82"/>
      <c r="AK31" s="82"/>
      <c r="AL31" s="83"/>
      <c r="AM31" s="83"/>
      <c r="AN31" s="82"/>
      <c r="AO31" s="83"/>
    </row>
    <row r="32" spans="1:45" s="68" customFormat="1" ht="24" customHeight="1" x14ac:dyDescent="0.3">
      <c r="A32" s="133"/>
      <c r="B32" s="67" t="s">
        <v>33</v>
      </c>
      <c r="C32" s="62">
        <f t="shared" si="4"/>
        <v>2973849.5904690991</v>
      </c>
      <c r="D32" s="82">
        <v>384549.51600893523</v>
      </c>
      <c r="E32" s="83">
        <v>128183.1720029784</v>
      </c>
      <c r="F32" s="82">
        <v>435822.78481012658</v>
      </c>
      <c r="G32" s="83">
        <v>435822.78481012658</v>
      </c>
      <c r="H32" s="82">
        <v>589642.59121370059</v>
      </c>
      <c r="I32" s="82">
        <v>666552.49441548774</v>
      </c>
      <c r="J32" s="82">
        <v>333276.24720774387</v>
      </c>
      <c r="K32" s="82"/>
      <c r="L32" s="82"/>
      <c r="M32" s="83"/>
      <c r="N32" s="82"/>
      <c r="O32" s="82"/>
      <c r="P32" s="82"/>
      <c r="Q32" s="83"/>
      <c r="R32" s="83"/>
      <c r="S32" s="83"/>
      <c r="T32" s="83"/>
      <c r="U32" s="83"/>
      <c r="V32" s="83"/>
      <c r="W32" s="82"/>
      <c r="X32" s="83"/>
      <c r="Y32" s="83"/>
      <c r="Z32" s="83"/>
      <c r="AA32" s="83"/>
      <c r="AB32" s="82"/>
      <c r="AC32" s="83"/>
      <c r="AD32" s="82"/>
      <c r="AE32" s="82"/>
      <c r="AF32" s="82"/>
      <c r="AG32" s="82"/>
      <c r="AH32" s="82"/>
      <c r="AI32" s="82"/>
      <c r="AJ32" s="82"/>
      <c r="AK32" s="82"/>
      <c r="AL32" s="83"/>
      <c r="AM32" s="83"/>
      <c r="AN32" s="82"/>
      <c r="AO32" s="83"/>
    </row>
    <row r="33" spans="1:41" s="68" customFormat="1" ht="24" customHeight="1" x14ac:dyDescent="0.3">
      <c r="A33" s="133"/>
      <c r="B33" s="67" t="s">
        <v>34</v>
      </c>
      <c r="C33" s="62">
        <f t="shared" si="4"/>
        <v>0</v>
      </c>
      <c r="D33" s="82">
        <v>0</v>
      </c>
      <c r="E33" s="83">
        <v>0</v>
      </c>
      <c r="F33" s="82">
        <v>0</v>
      </c>
      <c r="G33" s="83"/>
      <c r="H33" s="82"/>
      <c r="I33" s="82"/>
      <c r="J33" s="82"/>
      <c r="K33" s="82"/>
      <c r="L33" s="82"/>
      <c r="M33" s="83"/>
      <c r="N33" s="82"/>
      <c r="O33" s="82"/>
      <c r="P33" s="82"/>
      <c r="Q33" s="83"/>
      <c r="R33" s="83"/>
      <c r="S33" s="83"/>
      <c r="T33" s="83"/>
      <c r="U33" s="83"/>
      <c r="V33" s="83"/>
      <c r="W33" s="82"/>
      <c r="X33" s="83"/>
      <c r="Y33" s="83"/>
      <c r="Z33" s="83"/>
      <c r="AA33" s="83"/>
      <c r="AB33" s="82"/>
      <c r="AC33" s="83"/>
      <c r="AD33" s="82"/>
      <c r="AE33" s="82"/>
      <c r="AF33" s="82"/>
      <c r="AG33" s="82"/>
      <c r="AH33" s="82"/>
      <c r="AI33" s="82"/>
      <c r="AJ33" s="82"/>
      <c r="AK33" s="82"/>
      <c r="AL33" s="83"/>
      <c r="AM33" s="83"/>
      <c r="AN33" s="82"/>
      <c r="AO33" s="83"/>
    </row>
    <row r="34" spans="1:41" s="68" customFormat="1" ht="24" customHeight="1" x14ac:dyDescent="0.3">
      <c r="A34" s="133"/>
      <c r="B34" s="67" t="s">
        <v>167</v>
      </c>
      <c r="C34" s="62">
        <f t="shared" si="4"/>
        <v>259121.37006701418</v>
      </c>
      <c r="D34" s="82">
        <v>33507.073715562175</v>
      </c>
      <c r="E34" s="82">
        <v>11169.024571854059</v>
      </c>
      <c r="F34" s="82">
        <v>37974.6835443038</v>
      </c>
      <c r="G34" s="82">
        <v>37974.6835443038</v>
      </c>
      <c r="H34" s="82">
        <v>51377.513030528673</v>
      </c>
      <c r="I34" s="82">
        <v>58078.927773641102</v>
      </c>
      <c r="J34" s="82">
        <v>29039.463886820551</v>
      </c>
      <c r="K34" s="82"/>
      <c r="L34" s="82"/>
      <c r="M34" s="83"/>
      <c r="N34" s="82"/>
      <c r="O34" s="82"/>
      <c r="P34" s="82"/>
      <c r="Q34" s="83"/>
      <c r="R34" s="83"/>
      <c r="S34" s="83"/>
      <c r="T34" s="83"/>
      <c r="U34" s="83"/>
      <c r="V34" s="83"/>
      <c r="W34" s="82"/>
      <c r="X34" s="83"/>
      <c r="Y34" s="83"/>
      <c r="Z34" s="83"/>
      <c r="AA34" s="83"/>
      <c r="AB34" s="82"/>
      <c r="AC34" s="83"/>
      <c r="AD34" s="82"/>
      <c r="AE34" s="82"/>
      <c r="AF34" s="82"/>
      <c r="AG34" s="82"/>
      <c r="AH34" s="82"/>
      <c r="AI34" s="82"/>
      <c r="AJ34" s="82"/>
      <c r="AK34" s="82"/>
      <c r="AL34" s="82"/>
      <c r="AM34" s="83"/>
      <c r="AN34" s="82"/>
      <c r="AO34" s="83"/>
    </row>
    <row r="35" spans="1:41" s="68" customFormat="1" ht="21.5" customHeight="1" x14ac:dyDescent="0.3">
      <c r="A35" s="133"/>
      <c r="B35" s="67" t="s">
        <v>35</v>
      </c>
      <c r="C35" s="62">
        <f t="shared" si="4"/>
        <v>4100097.3045420703</v>
      </c>
      <c r="D35" s="82">
        <v>530184.99627699179</v>
      </c>
      <c r="E35" s="83">
        <v>176728.33209233062</v>
      </c>
      <c r="F35" s="82">
        <v>600876.32911392406</v>
      </c>
      <c r="G35" s="83">
        <v>600876.32911392406</v>
      </c>
      <c r="H35" s="82">
        <v>812950.32762472075</v>
      </c>
      <c r="I35" s="82">
        <v>918987.32688011916</v>
      </c>
      <c r="J35" s="82">
        <v>459493.66344005958</v>
      </c>
      <c r="K35" s="82"/>
      <c r="L35" s="82"/>
      <c r="M35" s="83"/>
      <c r="N35" s="82"/>
      <c r="O35" s="82"/>
      <c r="P35" s="82"/>
      <c r="Q35" s="83"/>
      <c r="R35" s="83"/>
      <c r="S35" s="83"/>
      <c r="T35" s="83"/>
      <c r="U35" s="83"/>
      <c r="V35" s="83"/>
      <c r="W35" s="82"/>
      <c r="X35" s="83"/>
      <c r="Y35" s="83"/>
      <c r="Z35" s="83"/>
      <c r="AA35" s="83"/>
      <c r="AB35" s="82"/>
      <c r="AC35" s="83"/>
      <c r="AD35" s="82"/>
      <c r="AE35" s="82"/>
      <c r="AF35" s="82"/>
      <c r="AG35" s="82"/>
      <c r="AH35" s="82"/>
      <c r="AI35" s="82"/>
      <c r="AJ35" s="82"/>
      <c r="AK35" s="82"/>
      <c r="AL35" s="82"/>
      <c r="AM35" s="83"/>
      <c r="AN35" s="82"/>
      <c r="AO35" s="83"/>
    </row>
    <row r="36" spans="1:41" s="68" customFormat="1" ht="21" customHeight="1" x14ac:dyDescent="0.3">
      <c r="A36" s="133"/>
      <c r="B36" s="67" t="s">
        <v>36</v>
      </c>
      <c r="C36" s="62">
        <f t="shared" si="4"/>
        <v>3250000</v>
      </c>
      <c r="D36" s="82">
        <v>550000</v>
      </c>
      <c r="E36" s="83">
        <v>400000</v>
      </c>
      <c r="F36" s="82">
        <v>400000</v>
      </c>
      <c r="G36" s="83">
        <v>500000</v>
      </c>
      <c r="H36" s="82">
        <v>550000</v>
      </c>
      <c r="I36" s="82">
        <v>450000</v>
      </c>
      <c r="J36" s="82">
        <v>400000</v>
      </c>
      <c r="K36" s="82"/>
      <c r="L36" s="82"/>
      <c r="M36" s="83"/>
      <c r="N36" s="82"/>
      <c r="O36" s="82"/>
      <c r="P36" s="82"/>
      <c r="Q36" s="83"/>
      <c r="R36" s="83"/>
      <c r="S36" s="83"/>
      <c r="T36" s="83"/>
      <c r="U36" s="83"/>
      <c r="V36" s="83"/>
      <c r="W36" s="82"/>
      <c r="X36" s="83"/>
      <c r="Y36" s="83"/>
      <c r="Z36" s="83"/>
      <c r="AA36" s="83"/>
      <c r="AB36" s="82"/>
      <c r="AC36" s="83"/>
      <c r="AD36" s="82"/>
      <c r="AE36" s="82"/>
      <c r="AF36" s="82"/>
      <c r="AG36" s="82"/>
      <c r="AH36" s="82"/>
      <c r="AI36" s="82"/>
      <c r="AJ36" s="82"/>
      <c r="AK36" s="82"/>
      <c r="AL36" s="82"/>
      <c r="AM36" s="83"/>
      <c r="AN36" s="82"/>
      <c r="AO36" s="83"/>
    </row>
    <row r="37" spans="1:41" s="68" customFormat="1" ht="21.5" customHeight="1" x14ac:dyDescent="0.3">
      <c r="A37" s="133"/>
      <c r="B37" s="67" t="s">
        <v>37</v>
      </c>
      <c r="C37" s="62">
        <f t="shared" si="4"/>
        <v>1402747.5800446761</v>
      </c>
      <c r="D37" s="82">
        <v>182338.04914370811</v>
      </c>
      <c r="E37" s="83">
        <v>67446.016381236041</v>
      </c>
      <c r="F37" s="82">
        <v>205316.45569620252</v>
      </c>
      <c r="G37" s="83">
        <v>205316.45569620252</v>
      </c>
      <c r="H37" s="82">
        <v>274251.6753536858</v>
      </c>
      <c r="I37" s="82">
        <v>308719.28518242738</v>
      </c>
      <c r="J37" s="82">
        <v>159359.64259121369</v>
      </c>
      <c r="K37" s="82"/>
      <c r="L37" s="82"/>
      <c r="M37" s="83"/>
      <c r="N37" s="82"/>
      <c r="O37" s="82"/>
      <c r="P37" s="82"/>
      <c r="Q37" s="83"/>
      <c r="R37" s="83"/>
      <c r="S37" s="83"/>
      <c r="T37" s="83"/>
      <c r="U37" s="83"/>
      <c r="V37" s="83"/>
      <c r="W37" s="82"/>
      <c r="X37" s="83"/>
      <c r="Y37" s="83"/>
      <c r="Z37" s="83"/>
      <c r="AA37" s="83"/>
      <c r="AB37" s="82"/>
      <c r="AC37" s="83"/>
      <c r="AD37" s="82"/>
      <c r="AE37" s="82"/>
      <c r="AF37" s="82"/>
      <c r="AG37" s="82"/>
      <c r="AH37" s="82"/>
      <c r="AI37" s="82"/>
      <c r="AJ37" s="82"/>
      <c r="AK37" s="82"/>
      <c r="AL37" s="82"/>
      <c r="AM37" s="83"/>
      <c r="AN37" s="82"/>
      <c r="AO37" s="83"/>
    </row>
    <row r="38" spans="1:41" s="68" customFormat="1" ht="24" customHeight="1" x14ac:dyDescent="0.3">
      <c r="A38" s="133"/>
      <c r="B38" s="67" t="s">
        <v>38</v>
      </c>
      <c r="C38" s="62">
        <f t="shared" si="4"/>
        <v>1468354.4303797467</v>
      </c>
      <c r="D38" s="82">
        <v>189873.41772151898</v>
      </c>
      <c r="E38" s="83">
        <v>63291.139240506323</v>
      </c>
      <c r="F38" s="82">
        <v>215189.87341772151</v>
      </c>
      <c r="G38" s="83">
        <v>215189.87341772151</v>
      </c>
      <c r="H38" s="82">
        <v>291139.24050632911</v>
      </c>
      <c r="I38" s="82">
        <v>329113.92405063292</v>
      </c>
      <c r="J38" s="82">
        <v>164556.96202531646</v>
      </c>
      <c r="K38" s="82"/>
      <c r="L38" s="82"/>
      <c r="M38" s="83"/>
      <c r="N38" s="82"/>
      <c r="O38" s="82"/>
      <c r="P38" s="82"/>
      <c r="Q38" s="83"/>
      <c r="R38" s="83"/>
      <c r="S38" s="83"/>
      <c r="T38" s="83"/>
      <c r="U38" s="83"/>
      <c r="V38" s="83"/>
      <c r="W38" s="82"/>
      <c r="X38" s="83"/>
      <c r="Y38" s="83"/>
      <c r="Z38" s="83"/>
      <c r="AA38" s="83"/>
      <c r="AB38" s="82"/>
      <c r="AC38" s="83"/>
      <c r="AD38" s="83"/>
      <c r="AE38" s="82"/>
      <c r="AF38" s="82"/>
      <c r="AG38" s="82"/>
      <c r="AH38" s="82"/>
      <c r="AI38" s="82"/>
      <c r="AJ38" s="82"/>
      <c r="AK38" s="82"/>
      <c r="AL38" s="82"/>
      <c r="AM38" s="83"/>
      <c r="AN38" s="82"/>
      <c r="AO38" s="83"/>
    </row>
    <row r="39" spans="1:41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3"/>
      <c r="H39" s="82"/>
      <c r="I39" s="82"/>
      <c r="J39" s="82"/>
      <c r="K39" s="82"/>
      <c r="L39" s="82"/>
      <c r="M39" s="83"/>
      <c r="N39" s="82"/>
      <c r="O39" s="82"/>
      <c r="P39" s="82"/>
      <c r="Q39" s="83"/>
      <c r="R39" s="83"/>
      <c r="S39" s="83"/>
      <c r="T39" s="83"/>
      <c r="U39" s="83"/>
      <c r="V39" s="83"/>
      <c r="W39" s="82"/>
      <c r="X39" s="83"/>
      <c r="Y39" s="83"/>
      <c r="Z39" s="83"/>
      <c r="AA39" s="83"/>
      <c r="AB39" s="82"/>
      <c r="AC39" s="126"/>
      <c r="AD39" s="82"/>
      <c r="AE39" s="82"/>
      <c r="AF39" s="82"/>
      <c r="AG39" s="82"/>
      <c r="AH39" s="82"/>
      <c r="AI39" s="82"/>
      <c r="AJ39" s="82"/>
      <c r="AK39" s="82"/>
      <c r="AL39" s="82"/>
      <c r="AM39" s="83"/>
      <c r="AN39" s="82"/>
      <c r="AO39" s="89"/>
    </row>
    <row r="40" spans="1:41" s="68" customFormat="1" ht="25.5" customHeight="1" x14ac:dyDescent="0.3">
      <c r="A40" s="134"/>
      <c r="B40" s="67" t="s">
        <v>40</v>
      </c>
      <c r="C40" s="62">
        <f t="shared" si="4"/>
        <v>10222719.043931497</v>
      </c>
      <c r="D40" s="82">
        <v>1321903.3246463144</v>
      </c>
      <c r="E40" s="83">
        <v>440634.44154877146</v>
      </c>
      <c r="F40" s="82">
        <v>1498157.1012658228</v>
      </c>
      <c r="G40" s="83">
        <v>1498157.1012658228</v>
      </c>
      <c r="H40" s="82">
        <v>2026918.4311243487</v>
      </c>
      <c r="I40" s="82">
        <v>2291299.0960536115</v>
      </c>
      <c r="J40" s="82">
        <v>1145649.5480268057</v>
      </c>
      <c r="K40" s="82"/>
      <c r="L40" s="82"/>
      <c r="M40" s="83"/>
      <c r="N40" s="82"/>
      <c r="O40" s="82"/>
      <c r="P40" s="82"/>
      <c r="Q40" s="83"/>
      <c r="R40" s="83"/>
      <c r="S40" s="83"/>
      <c r="T40" s="83"/>
      <c r="U40" s="83"/>
      <c r="V40" s="83"/>
      <c r="W40" s="82"/>
      <c r="X40" s="83"/>
      <c r="Y40" s="83"/>
      <c r="Z40" s="83"/>
      <c r="AA40" s="83"/>
      <c r="AB40" s="82"/>
      <c r="AC40" s="83"/>
      <c r="AD40" s="82"/>
      <c r="AE40" s="82"/>
      <c r="AF40" s="82"/>
      <c r="AG40" s="82"/>
      <c r="AH40" s="82"/>
      <c r="AI40" s="82"/>
      <c r="AJ40" s="82"/>
      <c r="AK40" s="82"/>
      <c r="AL40" s="82"/>
      <c r="AM40" s="83"/>
      <c r="AN40" s="82"/>
      <c r="AO40" s="83"/>
    </row>
    <row r="41" spans="1:41" s="68" customFormat="1" ht="33" customHeight="1" x14ac:dyDescent="0.3">
      <c r="A41" s="135" t="s">
        <v>41</v>
      </c>
      <c r="B41" s="66" t="s">
        <v>42</v>
      </c>
      <c r="C41" s="62">
        <f t="shared" si="4"/>
        <v>24293356.26805659</v>
      </c>
      <c r="D41" s="82">
        <v>2151512</v>
      </c>
      <c r="E41" s="82">
        <v>117170.51377513031</v>
      </c>
      <c r="F41" s="82">
        <v>398379.74683544307</v>
      </c>
      <c r="G41" s="82">
        <v>6473380</v>
      </c>
      <c r="H41" s="82">
        <v>14238984</v>
      </c>
      <c r="I41" s="82">
        <v>609286.67163067765</v>
      </c>
      <c r="J41" s="82">
        <v>304643.33581533883</v>
      </c>
      <c r="K41" s="82"/>
      <c r="L41" s="82"/>
      <c r="M41" s="83"/>
      <c r="P41" s="82"/>
      <c r="Q41" s="82"/>
      <c r="R41" s="82"/>
      <c r="T41" s="83"/>
      <c r="U41" s="83"/>
      <c r="V41" s="83"/>
      <c r="X41" s="82"/>
      <c r="Y41" s="83"/>
      <c r="Z41" s="82"/>
      <c r="AA41" s="90"/>
      <c r="AB41" s="82"/>
      <c r="AC41" s="83"/>
      <c r="AD41" s="82"/>
      <c r="AE41" s="82"/>
      <c r="AF41" s="82"/>
      <c r="AG41" s="82"/>
      <c r="AH41" s="82"/>
      <c r="AI41" s="82"/>
      <c r="AK41" s="82"/>
      <c r="AO41" s="83"/>
    </row>
    <row r="42" spans="1:41" s="68" customFormat="1" ht="33" customHeight="1" x14ac:dyDescent="0.3">
      <c r="A42" s="135"/>
      <c r="B42" s="69" t="s">
        <v>43</v>
      </c>
      <c r="C42" s="62">
        <f t="shared" si="4"/>
        <v>90000</v>
      </c>
      <c r="D42" s="82"/>
      <c r="E42" s="83"/>
      <c r="F42" s="82"/>
      <c r="G42" s="82"/>
      <c r="H42" s="82">
        <v>90000</v>
      </c>
      <c r="I42" s="82"/>
      <c r="J42" s="82"/>
      <c r="K42" s="82"/>
      <c r="L42" s="82"/>
      <c r="M42" s="82"/>
      <c r="Q42" s="82"/>
      <c r="R42" s="82"/>
      <c r="T42" s="82"/>
      <c r="V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K42" s="82"/>
      <c r="AO42" s="82"/>
    </row>
    <row r="43" spans="1:41" s="68" customFormat="1" ht="54.5" customHeight="1" x14ac:dyDescent="0.3">
      <c r="A43" s="135"/>
      <c r="B43" s="69" t="s">
        <v>103</v>
      </c>
      <c r="C43" s="62">
        <f>SUM(D43:AO43)</f>
        <v>180000</v>
      </c>
      <c r="D43" s="82"/>
      <c r="E43" s="82"/>
      <c r="F43" s="82"/>
      <c r="G43" s="82"/>
      <c r="H43" s="82">
        <v>180000</v>
      </c>
      <c r="I43" s="82"/>
      <c r="J43" s="67"/>
      <c r="K43" s="67"/>
      <c r="L43" s="67"/>
      <c r="M43" s="82"/>
      <c r="N43" s="82"/>
      <c r="Q43" s="82"/>
      <c r="V43" s="82"/>
      <c r="W43" s="82"/>
      <c r="Y43" s="82"/>
      <c r="Z43" s="82"/>
      <c r="AA43" s="83"/>
      <c r="AC43" s="82"/>
      <c r="AD43" s="82"/>
      <c r="AE43" s="82"/>
      <c r="AF43" s="82"/>
      <c r="AH43" s="82"/>
      <c r="AJ43" s="82"/>
      <c r="AN43" s="82"/>
    </row>
    <row r="44" spans="1:41" s="93" customFormat="1" ht="13" x14ac:dyDescent="0.3">
      <c r="A44" s="91" t="s">
        <v>45</v>
      </c>
      <c r="B44" s="92"/>
      <c r="C44" s="62">
        <f>SUM(C30:C43)</f>
        <v>62938382.047212347</v>
      </c>
      <c r="D44" s="92">
        <f t="shared" ref="D44:AO44" si="5">SUM(D30:D43)</f>
        <v>7261403.7460908415</v>
      </c>
      <c r="E44" s="92">
        <f t="shared" si="5"/>
        <v>2066783.5519457615</v>
      </c>
      <c r="F44" s="92">
        <f t="shared" si="5"/>
        <v>6042447.0306363693</v>
      </c>
      <c r="G44" s="92">
        <f t="shared" si="5"/>
        <v>12134269.00345411</v>
      </c>
      <c r="H44" s="92">
        <f t="shared" si="5"/>
        <v>21927487.793304831</v>
      </c>
      <c r="I44" s="92">
        <f t="shared" si="5"/>
        <v>8835761.2404631823</v>
      </c>
      <c r="J44" s="92">
        <f t="shared" si="5"/>
        <v>4670229.6813172437</v>
      </c>
      <c r="K44" s="92">
        <f t="shared" si="5"/>
        <v>0</v>
      </c>
      <c r="L44" s="92">
        <f t="shared" si="5"/>
        <v>0</v>
      </c>
      <c r="M44" s="92">
        <f t="shared" si="5"/>
        <v>0</v>
      </c>
      <c r="N44" s="92">
        <f t="shared" si="5"/>
        <v>0</v>
      </c>
      <c r="O44" s="92">
        <f t="shared" si="5"/>
        <v>0</v>
      </c>
      <c r="P44" s="92">
        <f t="shared" si="5"/>
        <v>0</v>
      </c>
      <c r="Q44" s="92">
        <f t="shared" si="5"/>
        <v>0</v>
      </c>
      <c r="R44" s="92">
        <f t="shared" si="5"/>
        <v>0</v>
      </c>
      <c r="S44" s="92">
        <f>SUM(S30:S43)</f>
        <v>0</v>
      </c>
      <c r="T44" s="92">
        <f t="shared" si="5"/>
        <v>0</v>
      </c>
      <c r="U44" s="92">
        <f t="shared" si="5"/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  <c r="AM44" s="92">
        <f t="shared" si="5"/>
        <v>0</v>
      </c>
      <c r="AN44" s="92">
        <f t="shared" si="5"/>
        <v>0</v>
      </c>
      <c r="AO44" s="92">
        <f t="shared" si="5"/>
        <v>0</v>
      </c>
    </row>
    <row r="45" spans="1:41" s="96" customFormat="1" ht="13" x14ac:dyDescent="0.3">
      <c r="A45" s="94" t="s">
        <v>46</v>
      </c>
      <c r="B45" s="95"/>
      <c r="C45" s="62">
        <f t="shared" ref="C45:AO45" si="6">C29+C44</f>
        <v>642038089.04721236</v>
      </c>
      <c r="D45" s="95">
        <f t="shared" si="6"/>
        <v>74691419.746090844</v>
      </c>
      <c r="E45" s="95">
        <f t="shared" si="6"/>
        <v>26296067.551945761</v>
      </c>
      <c r="F45" s="95">
        <f t="shared" si="6"/>
        <v>88902959.03063637</v>
      </c>
      <c r="G45" s="95">
        <f t="shared" si="6"/>
        <v>85828199.003454104</v>
      </c>
      <c r="H45" s="95">
        <f t="shared" si="6"/>
        <v>173165827.79330483</v>
      </c>
      <c r="I45" s="95">
        <f t="shared" si="6"/>
        <v>121821092.24046318</v>
      </c>
      <c r="J45" s="95">
        <f t="shared" si="6"/>
        <v>71332523.68131724</v>
      </c>
      <c r="K45" s="95">
        <f t="shared" si="6"/>
        <v>0</v>
      </c>
      <c r="L45" s="95">
        <f t="shared" si="6"/>
        <v>0</v>
      </c>
      <c r="M45" s="95">
        <f t="shared" si="6"/>
        <v>0</v>
      </c>
      <c r="N45" s="95">
        <f t="shared" si="6"/>
        <v>0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  <c r="AM45" s="95">
        <f t="shared" si="6"/>
        <v>0</v>
      </c>
      <c r="AN45" s="95">
        <f t="shared" si="6"/>
        <v>0</v>
      </c>
      <c r="AO45" s="95">
        <f t="shared" si="6"/>
        <v>0</v>
      </c>
    </row>
    <row r="46" spans="1:41" s="93" customFormat="1" ht="13" x14ac:dyDescent="0.3">
      <c r="A46" s="92" t="s">
        <v>47</v>
      </c>
      <c r="B46" s="92"/>
      <c r="C46" s="62">
        <f>C4-C29</f>
        <v>201493993</v>
      </c>
      <c r="D46" s="97">
        <f t="shared" ref="D46:AO46" si="7">D4-D29</f>
        <v>17226984</v>
      </c>
      <c r="E46" s="97">
        <f t="shared" si="7"/>
        <v>10395716</v>
      </c>
      <c r="F46" s="97">
        <f t="shared" si="7"/>
        <v>16968488</v>
      </c>
      <c r="G46" s="97">
        <f t="shared" si="7"/>
        <v>32896070</v>
      </c>
      <c r="H46" s="97">
        <f t="shared" si="7"/>
        <v>81337660</v>
      </c>
      <c r="I46" s="97">
        <f t="shared" si="7"/>
        <v>20933369</v>
      </c>
      <c r="J46" s="97">
        <f t="shared" si="7"/>
        <v>21735706</v>
      </c>
      <c r="K46" s="97">
        <f t="shared" si="7"/>
        <v>0</v>
      </c>
      <c r="L46" s="97">
        <f t="shared" si="7"/>
        <v>0</v>
      </c>
      <c r="M46" s="97">
        <f t="shared" si="7"/>
        <v>0</v>
      </c>
      <c r="N46" s="97">
        <f t="shared" si="7"/>
        <v>0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  <c r="AM46" s="97">
        <f t="shared" si="7"/>
        <v>0</v>
      </c>
      <c r="AN46" s="97">
        <f t="shared" si="7"/>
        <v>0</v>
      </c>
      <c r="AO46" s="97">
        <f t="shared" si="7"/>
        <v>0</v>
      </c>
    </row>
    <row r="47" spans="1:41" s="100" customFormat="1" ht="13" x14ac:dyDescent="0.3">
      <c r="A47" s="98" t="s">
        <v>48</v>
      </c>
      <c r="B47" s="98"/>
      <c r="C47" s="62">
        <f>C4-C45</f>
        <v>138555610.95278764</v>
      </c>
      <c r="D47" s="99">
        <f t="shared" ref="D47:AO47" si="8">D4-D45</f>
        <v>9965580.2539091557</v>
      </c>
      <c r="E47" s="99">
        <f t="shared" si="8"/>
        <v>8328932.4480542392</v>
      </c>
      <c r="F47" s="99">
        <f t="shared" si="8"/>
        <v>10926040.96936363</v>
      </c>
      <c r="G47" s="99">
        <f t="shared" si="8"/>
        <v>20761800.996545896</v>
      </c>
      <c r="H47" s="99">
        <f t="shared" si="8"/>
        <v>59410172.206695169</v>
      </c>
      <c r="I47" s="99">
        <f t="shared" si="8"/>
        <v>12097607.759536818</v>
      </c>
      <c r="J47" s="99">
        <f t="shared" si="8"/>
        <v>17065476.31868276</v>
      </c>
      <c r="K47" s="99">
        <f t="shared" si="8"/>
        <v>0</v>
      </c>
      <c r="L47" s="99">
        <f t="shared" si="8"/>
        <v>0</v>
      </c>
      <c r="M47" s="99">
        <f t="shared" si="8"/>
        <v>0</v>
      </c>
      <c r="N47" s="99">
        <f t="shared" si="8"/>
        <v>0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  <c r="AM47" s="99">
        <f t="shared" si="8"/>
        <v>0</v>
      </c>
      <c r="AN47" s="99">
        <f t="shared" si="8"/>
        <v>0</v>
      </c>
      <c r="AO47" s="99">
        <f t="shared" si="8"/>
        <v>0</v>
      </c>
    </row>
    <row r="48" spans="1:41" s="64" customFormat="1" ht="13" x14ac:dyDescent="0.3">
      <c r="A48" s="60" t="s">
        <v>29</v>
      </c>
      <c r="B48" s="60"/>
      <c r="C48" s="62">
        <f t="shared" ref="C48:AO48" si="9">C29</f>
        <v>579099707</v>
      </c>
      <c r="D48" s="61">
        <f t="shared" si="9"/>
        <v>67430016</v>
      </c>
      <c r="E48" s="61">
        <f t="shared" si="9"/>
        <v>24229284</v>
      </c>
      <c r="F48" s="61">
        <f t="shared" si="9"/>
        <v>82860512</v>
      </c>
      <c r="G48" s="61">
        <f t="shared" si="9"/>
        <v>73693930</v>
      </c>
      <c r="H48" s="61">
        <f t="shared" si="9"/>
        <v>151238340</v>
      </c>
      <c r="I48" s="61">
        <f t="shared" si="9"/>
        <v>112985331</v>
      </c>
      <c r="J48" s="61">
        <f t="shared" si="9"/>
        <v>66662294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  <c r="AM48" s="61">
        <f t="shared" si="9"/>
        <v>0</v>
      </c>
      <c r="AN48" s="61">
        <f t="shared" si="9"/>
        <v>0</v>
      </c>
      <c r="AO48" s="61">
        <f t="shared" si="9"/>
        <v>0</v>
      </c>
    </row>
    <row r="49" spans="1:41" s="104" customFormat="1" ht="13" x14ac:dyDescent="0.3">
      <c r="A49" s="101" t="s">
        <v>49</v>
      </c>
      <c r="B49" s="102"/>
      <c r="C49" s="103">
        <f t="shared" ref="C49:AO49" si="10">C47/C4</f>
        <v>0.17750029362623301</v>
      </c>
      <c r="D49" s="101">
        <f t="shared" si="10"/>
        <v>0.11771714393268314</v>
      </c>
      <c r="E49" s="101">
        <f t="shared" si="10"/>
        <v>0.24054678550337152</v>
      </c>
      <c r="F49" s="101">
        <f t="shared" si="10"/>
        <v>0.10944756502983732</v>
      </c>
      <c r="G49" s="101">
        <f t="shared" si="10"/>
        <v>0.19478188382161457</v>
      </c>
      <c r="H49" s="101">
        <f t="shared" si="10"/>
        <v>0.25544412238019043</v>
      </c>
      <c r="I49" s="101">
        <f t="shared" si="10"/>
        <v>9.033546293039596E-2</v>
      </c>
      <c r="J49" s="101">
        <f t="shared" si="10"/>
        <v>0.19305274235483563</v>
      </c>
      <c r="K49" s="101" t="e">
        <f t="shared" si="10"/>
        <v>#DIV/0!</v>
      </c>
      <c r="L49" s="101" t="e">
        <f t="shared" si="10"/>
        <v>#DIV/0!</v>
      </c>
      <c r="M49" s="101" t="e">
        <f t="shared" si="10"/>
        <v>#DIV/0!</v>
      </c>
      <c r="N49" s="101" t="e">
        <f t="shared" si="10"/>
        <v>#DIV/0!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  <c r="AM49" s="101" t="e">
        <f t="shared" si="10"/>
        <v>#DIV/0!</v>
      </c>
      <c r="AN49" s="101" t="e">
        <f t="shared" si="10"/>
        <v>#DIV/0!</v>
      </c>
      <c r="AO49" s="101" t="e">
        <f t="shared" si="10"/>
        <v>#DIV/0!</v>
      </c>
    </row>
    <row r="50" spans="1:41" s="104" customFormat="1" ht="13" x14ac:dyDescent="0.3">
      <c r="A50" s="101" t="s">
        <v>50</v>
      </c>
      <c r="B50" s="102"/>
      <c r="C50" s="103">
        <f t="shared" ref="C50:AO50" si="11">C46/C4</f>
        <v>0.25812915605134912</v>
      </c>
      <c r="D50" s="101">
        <f t="shared" si="11"/>
        <v>0.20349154824763457</v>
      </c>
      <c r="E50" s="101">
        <f t="shared" si="11"/>
        <v>0.30023728519855597</v>
      </c>
      <c r="F50" s="101">
        <f t="shared" si="11"/>
        <v>0.16997553817027117</v>
      </c>
      <c r="G50" s="101">
        <f t="shared" si="11"/>
        <v>0.30862247865653436</v>
      </c>
      <c r="H50" s="101">
        <f t="shared" si="11"/>
        <v>0.34972507911392403</v>
      </c>
      <c r="I50" s="101">
        <f t="shared" si="11"/>
        <v>0.15631400991795769</v>
      </c>
      <c r="J50" s="101">
        <f t="shared" si="11"/>
        <v>0.24588459014909839</v>
      </c>
      <c r="K50" s="101" t="e">
        <f t="shared" si="11"/>
        <v>#DIV/0!</v>
      </c>
      <c r="L50" s="101" t="e">
        <f t="shared" si="11"/>
        <v>#DIV/0!</v>
      </c>
      <c r="M50" s="101" t="e">
        <f t="shared" si="11"/>
        <v>#DIV/0!</v>
      </c>
      <c r="N50" s="101" t="e">
        <f t="shared" si="11"/>
        <v>#DIV/0!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  <c r="AM50" s="101" t="e">
        <f t="shared" si="11"/>
        <v>#DIV/0!</v>
      </c>
      <c r="AN50" s="101" t="e">
        <f t="shared" si="11"/>
        <v>#DIV/0!</v>
      </c>
      <c r="AO50" s="101" t="e">
        <f t="shared" si="11"/>
        <v>#DIV/0!</v>
      </c>
    </row>
    <row r="51" spans="1:41" s="104" customFormat="1" ht="13" x14ac:dyDescent="0.3">
      <c r="A51" s="101" t="s">
        <v>51</v>
      </c>
      <c r="B51" s="102"/>
      <c r="C51" s="103">
        <f>C47/C48</f>
        <v>0.23926037136259098</v>
      </c>
      <c r="D51" s="101">
        <f t="shared" ref="D51:AO51" si="12">D47/D48</f>
        <v>0.14779145616559183</v>
      </c>
      <c r="E51" s="101">
        <f t="shared" si="12"/>
        <v>0.34375479061016573</v>
      </c>
      <c r="F51" s="101">
        <f t="shared" si="12"/>
        <v>0.13186064997237321</v>
      </c>
      <c r="G51" s="101">
        <f t="shared" si="12"/>
        <v>0.28173013702140592</v>
      </c>
      <c r="H51" s="101">
        <f t="shared" si="12"/>
        <v>0.39282481020814675</v>
      </c>
      <c r="I51" s="101">
        <f t="shared" si="12"/>
        <v>0.10707237525849102</v>
      </c>
      <c r="J51" s="101">
        <f t="shared" si="12"/>
        <v>0.25599893575043725</v>
      </c>
      <c r="K51" s="101" t="e">
        <f t="shared" si="12"/>
        <v>#DIV/0!</v>
      </c>
      <c r="L51" s="101" t="e">
        <f t="shared" si="12"/>
        <v>#DIV/0!</v>
      </c>
      <c r="M51" s="101" t="e">
        <f t="shared" si="12"/>
        <v>#DIV/0!</v>
      </c>
      <c r="N51" s="101" t="e">
        <f t="shared" si="12"/>
        <v>#DIV/0!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  <c r="AM51" s="101" t="e">
        <f t="shared" si="12"/>
        <v>#DIV/0!</v>
      </c>
      <c r="AN51" s="101" t="e">
        <f t="shared" si="12"/>
        <v>#DIV/0!</v>
      </c>
      <c r="AO51" s="101" t="e">
        <f t="shared" si="12"/>
        <v>#DIV/0!</v>
      </c>
    </row>
    <row r="52" spans="1:41" s="105" customFormat="1" ht="13" x14ac:dyDescent="0.3">
      <c r="A52" s="101" t="s">
        <v>52</v>
      </c>
      <c r="B52" s="102"/>
      <c r="C52" s="103">
        <f t="shared" ref="C52:AO52" si="13">C47/C46</f>
        <v>0.68764139759137954</v>
      </c>
      <c r="D52" s="101">
        <f t="shared" si="13"/>
        <v>0.57848664942796457</v>
      </c>
      <c r="E52" s="101">
        <f t="shared" si="13"/>
        <v>0.80118891744005316</v>
      </c>
      <c r="F52" s="101">
        <f t="shared" si="13"/>
        <v>0.64390185910280451</v>
      </c>
      <c r="G52" s="101">
        <f t="shared" si="13"/>
        <v>0.63113317172981132</v>
      </c>
      <c r="H52" s="101">
        <f t="shared" si="13"/>
        <v>0.73041408133323693</v>
      </c>
      <c r="I52" s="101">
        <f t="shared" si="13"/>
        <v>0.57791021404805021</v>
      </c>
      <c r="J52" s="101">
        <f t="shared" si="13"/>
        <v>0.78513558835782749</v>
      </c>
      <c r="K52" s="101" t="e">
        <f t="shared" si="13"/>
        <v>#DIV/0!</v>
      </c>
      <c r="L52" s="101" t="e">
        <f t="shared" si="13"/>
        <v>#DIV/0!</v>
      </c>
      <c r="M52" s="101" t="e">
        <f t="shared" si="13"/>
        <v>#DIV/0!</v>
      </c>
      <c r="N52" s="101" t="e">
        <f t="shared" si="13"/>
        <v>#DIV/0!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  <c r="AM52" s="101" t="e">
        <f t="shared" si="13"/>
        <v>#DIV/0!</v>
      </c>
      <c r="AN52" s="101" t="e">
        <f t="shared" si="13"/>
        <v>#DIV/0!</v>
      </c>
      <c r="AO52" s="101" t="e">
        <f t="shared" si="13"/>
        <v>#DIV/0!</v>
      </c>
    </row>
    <row r="53" spans="1:41" s="108" customFormat="1" ht="13" x14ac:dyDescent="0.3">
      <c r="A53" s="106" t="s">
        <v>53</v>
      </c>
      <c r="B53" s="107"/>
      <c r="C53" s="87">
        <f>C45/C46</f>
        <v>3.1863882366320091</v>
      </c>
      <c r="D53" s="106">
        <f t="shared" ref="D53:AO53" si="14">D45/D46</f>
        <v>4.3357223612729214</v>
      </c>
      <c r="E53" s="106">
        <f t="shared" si="14"/>
        <v>2.529509997382168</v>
      </c>
      <c r="F53" s="106">
        <f t="shared" si="14"/>
        <v>5.2392976339810815</v>
      </c>
      <c r="G53" s="106">
        <f t="shared" si="14"/>
        <v>2.6090715092548775</v>
      </c>
      <c r="H53" s="106">
        <f t="shared" si="14"/>
        <v>2.1289747921602959</v>
      </c>
      <c r="I53" s="106">
        <f t="shared" si="14"/>
        <v>5.8194690133472156</v>
      </c>
      <c r="J53" s="106">
        <f t="shared" si="14"/>
        <v>3.2818130536600578</v>
      </c>
      <c r="K53" s="106" t="e">
        <f t="shared" si="14"/>
        <v>#DIV/0!</v>
      </c>
      <c r="L53" s="106" t="e">
        <f t="shared" si="14"/>
        <v>#DIV/0!</v>
      </c>
      <c r="M53" s="106" t="e">
        <f t="shared" si="14"/>
        <v>#DIV/0!</v>
      </c>
      <c r="N53" s="106" t="e">
        <f t="shared" si="14"/>
        <v>#DIV/0!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  <c r="AM53" s="106" t="e">
        <f t="shared" si="14"/>
        <v>#DIV/0!</v>
      </c>
      <c r="AN53" s="106" t="e">
        <f t="shared" si="14"/>
        <v>#DIV/0!</v>
      </c>
      <c r="AO53" s="106" t="e">
        <f t="shared" si="14"/>
        <v>#DIV/0!</v>
      </c>
    </row>
    <row r="54" spans="1:41" s="110" customFormat="1" x14ac:dyDescent="0.3">
      <c r="A54" s="109" t="s">
        <v>54</v>
      </c>
      <c r="C54" s="111">
        <f t="shared" ref="C54:AO54" si="15">C48/C4</f>
        <v>0.74187084394865088</v>
      </c>
      <c r="D54" s="112">
        <f t="shared" si="15"/>
        <v>0.7965084517523654</v>
      </c>
      <c r="E54" s="112">
        <f t="shared" si="15"/>
        <v>0.69976271480144403</v>
      </c>
      <c r="F54" s="112">
        <f t="shared" si="15"/>
        <v>0.83002446182972889</v>
      </c>
      <c r="G54" s="112">
        <f t="shared" si="15"/>
        <v>0.69137752134346564</v>
      </c>
      <c r="H54" s="112">
        <f t="shared" si="15"/>
        <v>0.65027492088607597</v>
      </c>
      <c r="I54" s="112">
        <f t="shared" si="15"/>
        <v>0.84368599008204226</v>
      </c>
      <c r="J54" s="112">
        <f t="shared" si="15"/>
        <v>0.75411540985090164</v>
      </c>
      <c r="K54" s="112" t="e">
        <f t="shared" si="15"/>
        <v>#DIV/0!</v>
      </c>
      <c r="L54" s="112" t="e">
        <f t="shared" si="15"/>
        <v>#DIV/0!</v>
      </c>
      <c r="M54" s="112" t="e">
        <f t="shared" si="15"/>
        <v>#DIV/0!</v>
      </c>
      <c r="N54" s="112" t="e">
        <f t="shared" si="15"/>
        <v>#DIV/0!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  <c r="AM54" s="112" t="e">
        <f t="shared" si="15"/>
        <v>#DIV/0!</v>
      </c>
      <c r="AN54" s="112" t="e">
        <f t="shared" si="15"/>
        <v>#DIV/0!</v>
      </c>
      <c r="AO54" s="112" t="e">
        <f t="shared" si="15"/>
        <v>#DIV/0!</v>
      </c>
    </row>
    <row r="55" spans="1:41" s="110" customFormat="1" x14ac:dyDescent="0.3">
      <c r="A55" s="109" t="s">
        <v>55</v>
      </c>
      <c r="C55" s="111">
        <f t="shared" ref="C55:AO55" si="16">C44/C4</f>
        <v>8.0628862425116091E-2</v>
      </c>
      <c r="D55" s="112">
        <f t="shared" si="16"/>
        <v>8.5774404314951411E-2</v>
      </c>
      <c r="E55" s="112">
        <f t="shared" si="16"/>
        <v>5.9690499695184446E-2</v>
      </c>
      <c r="F55" s="112">
        <f t="shared" si="16"/>
        <v>6.0527973140433837E-2</v>
      </c>
      <c r="G55" s="112">
        <f t="shared" si="16"/>
        <v>0.11384059483491987</v>
      </c>
      <c r="H55" s="112">
        <f t="shared" si="16"/>
        <v>9.4280956733733629E-2</v>
      </c>
      <c r="I55" s="112">
        <f t="shared" si="16"/>
        <v>6.5978546987561726E-2</v>
      </c>
      <c r="J55" s="112">
        <f t="shared" si="16"/>
        <v>5.283184779426281E-2</v>
      </c>
      <c r="K55" s="112" t="e">
        <f t="shared" si="16"/>
        <v>#DIV/0!</v>
      </c>
      <c r="L55" s="112" t="e">
        <f t="shared" si="16"/>
        <v>#DIV/0!</v>
      </c>
      <c r="M55" s="112" t="e">
        <f t="shared" si="16"/>
        <v>#DIV/0!</v>
      </c>
      <c r="N55" s="112" t="e">
        <f t="shared" si="16"/>
        <v>#DIV/0!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  <c r="AM55" s="112" t="e">
        <f t="shared" si="16"/>
        <v>#DIV/0!</v>
      </c>
      <c r="AN55" s="112" t="e">
        <f t="shared" si="16"/>
        <v>#DIV/0!</v>
      </c>
      <c r="AO55" s="112" t="e">
        <f t="shared" si="16"/>
        <v>#DIV/0!</v>
      </c>
    </row>
    <row r="56" spans="1:41" s="110" customFormat="1" x14ac:dyDescent="0.3">
      <c r="A56" s="113" t="s">
        <v>56</v>
      </c>
      <c r="C56" s="111">
        <f t="shared" ref="C56:AO56" si="17">C45/C4</f>
        <v>0.82249970637376701</v>
      </c>
      <c r="D56" s="112">
        <f t="shared" si="17"/>
        <v>0.88228285606731682</v>
      </c>
      <c r="E56" s="112">
        <f t="shared" si="17"/>
        <v>0.7594532144966285</v>
      </c>
      <c r="F56" s="112">
        <f t="shared" si="17"/>
        <v>0.89055243497016268</v>
      </c>
      <c r="G56" s="112">
        <f t="shared" si="17"/>
        <v>0.80521811617838546</v>
      </c>
      <c r="H56" s="112">
        <f t="shared" si="17"/>
        <v>0.74455587761980957</v>
      </c>
      <c r="I56" s="112">
        <f t="shared" si="17"/>
        <v>0.90966453706960404</v>
      </c>
      <c r="J56" s="112">
        <f t="shared" si="17"/>
        <v>0.8069472576451644</v>
      </c>
      <c r="K56" s="112" t="e">
        <f t="shared" si="17"/>
        <v>#DIV/0!</v>
      </c>
      <c r="L56" s="112" t="e">
        <f t="shared" si="17"/>
        <v>#DIV/0!</v>
      </c>
      <c r="M56" s="112" t="e">
        <f t="shared" si="17"/>
        <v>#DIV/0!</v>
      </c>
      <c r="N56" s="112" t="e">
        <f t="shared" si="17"/>
        <v>#DIV/0!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  <c r="AM56" s="112" t="e">
        <f t="shared" si="17"/>
        <v>#DIV/0!</v>
      </c>
      <c r="AN56" s="112" t="e">
        <f t="shared" si="17"/>
        <v>#DIV/0!</v>
      </c>
      <c r="AO56" s="112" t="e">
        <f t="shared" si="17"/>
        <v>#DIV/0!</v>
      </c>
    </row>
    <row r="57" spans="1:41" s="110" customFormat="1" x14ac:dyDescent="0.3">
      <c r="A57" s="113" t="s">
        <v>104</v>
      </c>
      <c r="C57" s="111">
        <f t="shared" ref="C57:AO57" si="18">SUM(C30:C39)/C44</f>
        <v>0.44729949864466167</v>
      </c>
      <c r="D57" s="112">
        <f t="shared" si="18"/>
        <v>0.52166062567224436</v>
      </c>
      <c r="E57" s="112">
        <f t="shared" si="18"/>
        <v>0.73010964075132134</v>
      </c>
      <c r="F57" s="112">
        <f t="shared" si="18"/>
        <v>0.68613099320764259</v>
      </c>
      <c r="G57" s="112">
        <f t="shared" si="18"/>
        <v>0.34305584464983707</v>
      </c>
      <c r="H57" s="112">
        <f t="shared" si="18"/>
        <v>0.24588249292409636</v>
      </c>
      <c r="I57" s="112">
        <f t="shared" si="18"/>
        <v>0.67172202951782845</v>
      </c>
      <c r="J57" s="112">
        <f t="shared" si="18"/>
        <v>0.68946005168784619</v>
      </c>
      <c r="K57" s="112" t="e">
        <f t="shared" si="18"/>
        <v>#DIV/0!</v>
      </c>
      <c r="L57" s="112" t="e">
        <f t="shared" si="18"/>
        <v>#DIV/0!</v>
      </c>
      <c r="M57" s="112" t="e">
        <f t="shared" si="18"/>
        <v>#DIV/0!</v>
      </c>
      <c r="N57" s="112" t="e">
        <f t="shared" si="18"/>
        <v>#DIV/0!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  <c r="AM57" s="112" t="e">
        <f t="shared" si="18"/>
        <v>#DIV/0!</v>
      </c>
      <c r="AN57" s="112" t="e">
        <f t="shared" si="18"/>
        <v>#DIV/0!</v>
      </c>
      <c r="AO57" s="112" t="e">
        <f t="shared" si="18"/>
        <v>#DIV/0!</v>
      </c>
    </row>
    <row r="58" spans="1:41" s="110" customFormat="1" x14ac:dyDescent="0.3">
      <c r="A58" s="113" t="s">
        <v>58</v>
      </c>
      <c r="C58" s="111">
        <f>C41/C44</f>
        <v>0.38598634851835351</v>
      </c>
      <c r="D58" s="112">
        <f t="shared" ref="D58:AO58" si="19">D41/D44</f>
        <v>0.2962942256389835</v>
      </c>
      <c r="E58" s="112">
        <f t="shared" si="19"/>
        <v>5.669220352795086E-2</v>
      </c>
      <c r="F58" s="112">
        <f t="shared" si="19"/>
        <v>6.5930200929454758E-2</v>
      </c>
      <c r="G58" s="112">
        <f t="shared" si="19"/>
        <v>0.5334791900655329</v>
      </c>
      <c r="H58" s="112">
        <f t="shared" si="19"/>
        <v>0.64936686474168837</v>
      </c>
      <c r="I58" s="112">
        <f t="shared" si="19"/>
        <v>6.8956896304583487E-2</v>
      </c>
      <c r="J58" s="112">
        <f t="shared" si="19"/>
        <v>6.5230910812380818E-2</v>
      </c>
      <c r="K58" s="112" t="e">
        <f t="shared" si="19"/>
        <v>#DIV/0!</v>
      </c>
      <c r="L58" s="112" t="e">
        <f t="shared" si="19"/>
        <v>#DIV/0!</v>
      </c>
      <c r="M58" s="112" t="e">
        <f t="shared" si="19"/>
        <v>#DIV/0!</v>
      </c>
      <c r="N58" s="112" t="e">
        <f t="shared" si="19"/>
        <v>#DIV/0!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  <c r="AM58" s="112" t="e">
        <f t="shared" si="19"/>
        <v>#DIV/0!</v>
      </c>
      <c r="AN58" s="112" t="e">
        <f t="shared" si="19"/>
        <v>#DIV/0!</v>
      </c>
      <c r="AO58" s="112" t="e">
        <f t="shared" si="19"/>
        <v>#DIV/0!</v>
      </c>
    </row>
    <row r="59" spans="1:41" s="110" customFormat="1" x14ac:dyDescent="0.3">
      <c r="A59" s="113" t="s">
        <v>59</v>
      </c>
      <c r="C59" s="111">
        <f>C43/C44</f>
        <v>2.859940057959792E-3</v>
      </c>
      <c r="D59" s="112">
        <f t="shared" ref="D59:AO59" si="20">D43/D44</f>
        <v>0</v>
      </c>
      <c r="E59" s="112">
        <f t="shared" si="20"/>
        <v>0</v>
      </c>
      <c r="F59" s="112">
        <f t="shared" si="20"/>
        <v>0</v>
      </c>
      <c r="G59" s="112">
        <f t="shared" si="20"/>
        <v>0</v>
      </c>
      <c r="H59" s="112">
        <f t="shared" si="20"/>
        <v>8.2088747099866039E-3</v>
      </c>
      <c r="I59" s="112">
        <f t="shared" si="20"/>
        <v>0</v>
      </c>
      <c r="J59" s="112">
        <f t="shared" si="20"/>
        <v>0</v>
      </c>
      <c r="K59" s="112" t="e">
        <f t="shared" si="20"/>
        <v>#DIV/0!</v>
      </c>
      <c r="L59" s="112" t="e">
        <f t="shared" si="20"/>
        <v>#DIV/0!</v>
      </c>
      <c r="M59" s="112" t="e">
        <f t="shared" si="20"/>
        <v>#DIV/0!</v>
      </c>
      <c r="N59" s="112" t="e">
        <f t="shared" si="20"/>
        <v>#DIV/0!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  <c r="AM59" s="112" t="e">
        <f t="shared" si="20"/>
        <v>#DIV/0!</v>
      </c>
      <c r="AN59" s="112" t="e">
        <f t="shared" si="20"/>
        <v>#DIV/0!</v>
      </c>
      <c r="AO59" s="112" t="e">
        <f t="shared" si="20"/>
        <v>#DIV/0!</v>
      </c>
    </row>
    <row r="60" spans="1:41" x14ac:dyDescent="0.3">
      <c r="A60" s="114"/>
    </row>
    <row r="61" spans="1:41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</row>
    <row r="62" spans="1:41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</row>
    <row r="63" spans="1:41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</row>
    <row r="64" spans="1:41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</row>
    <row r="65" spans="1:45" x14ac:dyDescent="0.3">
      <c r="B65" s="119"/>
    </row>
    <row r="66" spans="1:45" x14ac:dyDescent="0.3">
      <c r="B66" s="119"/>
    </row>
    <row r="67" spans="1:45" x14ac:dyDescent="0.3">
      <c r="B67" s="119"/>
    </row>
    <row r="68" spans="1:45" x14ac:dyDescent="0.3">
      <c r="B68" s="119"/>
    </row>
    <row r="69" spans="1:45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B13E-81C3-4587-8763-074FCA6859D4}">
  <sheetPr codeName="Sheet30">
    <tabColor rgb="FFFFC000"/>
  </sheetPr>
  <dimension ref="A1:AU71"/>
  <sheetViews>
    <sheetView zoomScaleNormal="100" workbookViewId="0">
      <pane xSplit="2" ySplit="2" topLeftCell="C55" activePane="bottomRight" state="frozen"/>
      <selection activeCell="C4" sqref="C4"/>
      <selection pane="topRight" activeCell="C4" sqref="C4"/>
      <selection pane="bottomLeft" activeCell="C4" sqref="C4"/>
      <selection pane="bottomRight" activeCell="C58" sqref="C58:C59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11" width="15.08984375" style="115" customWidth="1"/>
    <col min="12" max="12" width="21.90625" style="115" customWidth="1"/>
    <col min="13" max="13" width="16.08984375" style="115" customWidth="1"/>
    <col min="14" max="14" width="16.453125" style="115" customWidth="1"/>
    <col min="15" max="15" width="18.36328125" style="115" customWidth="1"/>
    <col min="16" max="16" width="16.7265625" style="115" customWidth="1"/>
    <col min="17" max="17" width="17.453125" style="115" customWidth="1"/>
    <col min="18" max="18" width="16.453125" style="115" customWidth="1"/>
    <col min="19" max="19" width="16.81640625" style="115" customWidth="1"/>
    <col min="20" max="20" width="18.08984375" style="115" customWidth="1"/>
    <col min="21" max="21" width="14.453125" style="115" customWidth="1"/>
    <col min="22" max="22" width="18.36328125" style="115" customWidth="1"/>
    <col min="23" max="23" width="22.1796875" style="115" customWidth="1"/>
    <col min="24" max="24" width="18.453125" style="115" customWidth="1"/>
    <col min="25" max="25" width="19.08984375" style="115" customWidth="1"/>
    <col min="26" max="26" width="14.453125" style="115" customWidth="1"/>
    <col min="27" max="27" width="17.81640625" style="115" customWidth="1"/>
    <col min="28" max="28" width="15.7265625" style="115" customWidth="1"/>
    <col min="29" max="29" width="15.453125" style="115" customWidth="1"/>
    <col min="30" max="30" width="15.08984375" style="115" customWidth="1"/>
    <col min="31" max="31" width="14.453125" style="115" customWidth="1"/>
    <col min="32" max="32" width="13.36328125" style="115" customWidth="1"/>
    <col min="33" max="33" width="16.90625" style="115" customWidth="1"/>
    <col min="34" max="34" width="19.90625" style="115" customWidth="1"/>
    <col min="35" max="35" width="17.90625" style="115" customWidth="1"/>
    <col min="36" max="36" width="16" style="115" customWidth="1"/>
    <col min="37" max="37" width="17.453125" style="115" customWidth="1"/>
    <col min="38" max="38" width="15.36328125" style="115" customWidth="1"/>
    <col min="39" max="39" width="16.08984375" style="115" customWidth="1"/>
    <col min="40" max="40" width="21.08984375" style="115" customWidth="1"/>
    <col min="41" max="41" width="22.6328125" style="115" customWidth="1"/>
    <col min="42" max="42" width="16.90625" style="115" customWidth="1"/>
    <col min="43" max="43" width="34.08984375" style="115" customWidth="1"/>
    <col min="44" max="45" width="11.90625" style="115" bestFit="1" customWidth="1"/>
    <col min="46" max="16384" width="8.7265625" style="115"/>
  </cols>
  <sheetData>
    <row r="1" spans="1:43" s="57" customFormat="1" ht="44" customHeight="1" x14ac:dyDescent="0.3">
      <c r="A1" s="55" t="s">
        <v>201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</row>
    <row r="2" spans="1:43" s="59" customFormat="1" ht="19" customHeight="1" x14ac:dyDescent="0.35">
      <c r="A2" s="58"/>
      <c r="B2" s="58"/>
      <c r="C2" s="58" t="s">
        <v>0</v>
      </c>
      <c r="D2" s="58" t="s">
        <v>171</v>
      </c>
      <c r="E2" s="58" t="s">
        <v>178</v>
      </c>
      <c r="F2" s="58" t="s">
        <v>183</v>
      </c>
      <c r="G2" s="58" t="s">
        <v>184</v>
      </c>
      <c r="H2" s="58" t="s">
        <v>188</v>
      </c>
      <c r="I2" s="58" t="s">
        <v>189</v>
      </c>
      <c r="J2" s="58" t="s">
        <v>190</v>
      </c>
      <c r="K2" s="58" t="s">
        <v>204</v>
      </c>
      <c r="L2" s="58" t="s">
        <v>205</v>
      </c>
      <c r="M2" s="58" t="s">
        <v>206</v>
      </c>
      <c r="N2" s="58" t="s">
        <v>207</v>
      </c>
    </row>
    <row r="3" spans="1:43" s="59" customFormat="1" ht="19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43" s="64" customFormat="1" ht="13" x14ac:dyDescent="0.3">
      <c r="A4" s="60" t="s">
        <v>202</v>
      </c>
      <c r="B4" s="61"/>
      <c r="C4" s="62">
        <f>SUM(D4:AQ4)</f>
        <v>956808600</v>
      </c>
      <c r="D4" s="61">
        <v>84186000</v>
      </c>
      <c r="E4" s="61">
        <v>33793000</v>
      </c>
      <c r="F4" s="60">
        <v>99680000</v>
      </c>
      <c r="G4" s="60">
        <v>99879000</v>
      </c>
      <c r="H4" s="60">
        <v>210654000</v>
      </c>
      <c r="I4" s="60">
        <v>129907600</v>
      </c>
      <c r="J4" s="60">
        <v>79674000</v>
      </c>
      <c r="K4" s="60">
        <v>92248000</v>
      </c>
      <c r="L4" s="60">
        <v>38031000</v>
      </c>
      <c r="M4" s="63">
        <v>38321000</v>
      </c>
      <c r="N4" s="61">
        <v>50435000</v>
      </c>
      <c r="S4" s="65"/>
      <c r="W4" s="65"/>
    </row>
    <row r="5" spans="1:43" s="68" customFormat="1" ht="13" x14ac:dyDescent="0.3">
      <c r="A5" s="66" t="s">
        <v>3</v>
      </c>
      <c r="B5" s="67"/>
      <c r="C5" s="62">
        <f t="shared" ref="C5:C18" si="0">SUM(D5:AQ5)</f>
        <v>31800000</v>
      </c>
      <c r="D5" s="67">
        <v>8000000</v>
      </c>
      <c r="E5" s="67"/>
      <c r="F5" s="67">
        <v>4300000</v>
      </c>
      <c r="G5" s="67">
        <v>4700000</v>
      </c>
      <c r="H5" s="67">
        <v>8000000</v>
      </c>
      <c r="I5" s="67"/>
      <c r="J5" s="67"/>
      <c r="K5" s="67">
        <v>3800000</v>
      </c>
      <c r="L5" s="67">
        <v>3000000</v>
      </c>
      <c r="M5" s="67"/>
      <c r="N5" s="67"/>
    </row>
    <row r="6" spans="1:43" s="68" customFormat="1" ht="13" x14ac:dyDescent="0.3">
      <c r="A6" s="69" t="s">
        <v>4</v>
      </c>
      <c r="B6" s="67"/>
      <c r="C6" s="62">
        <f>SUM(D6:AQ6)</f>
        <v>1000000</v>
      </c>
      <c r="E6" s="67"/>
      <c r="F6" s="67"/>
      <c r="G6" s="67"/>
      <c r="H6" s="67">
        <v>1000000</v>
      </c>
      <c r="I6" s="67"/>
      <c r="J6" s="67"/>
      <c r="K6" s="67"/>
      <c r="L6" s="67"/>
      <c r="M6" s="67"/>
      <c r="N6" s="67"/>
      <c r="W6" s="70"/>
      <c r="AB6" s="70"/>
      <c r="AN6" s="70"/>
    </row>
    <row r="7" spans="1:43" s="68" customFormat="1" ht="13" x14ac:dyDescent="0.3">
      <c r="A7" s="71" t="s">
        <v>5</v>
      </c>
      <c r="B7" s="67"/>
      <c r="C7" s="62">
        <f t="shared" si="0"/>
        <v>4952000</v>
      </c>
      <c r="D7" s="68">
        <v>2940000</v>
      </c>
      <c r="E7" s="67"/>
      <c r="F7" s="67"/>
      <c r="G7" s="67"/>
      <c r="H7" s="67"/>
      <c r="I7" s="67"/>
      <c r="J7" s="67"/>
      <c r="K7" s="67"/>
      <c r="L7" s="67">
        <v>2012000</v>
      </c>
      <c r="M7" s="67"/>
      <c r="N7" s="67"/>
      <c r="T7" s="72"/>
      <c r="U7" s="72"/>
      <c r="W7" s="70"/>
      <c r="AB7" s="70"/>
      <c r="AC7" s="72"/>
      <c r="AN7" s="70"/>
    </row>
    <row r="8" spans="1:43" s="68" customFormat="1" ht="13" x14ac:dyDescent="0.3">
      <c r="A8" s="71"/>
      <c r="B8" s="67" t="s">
        <v>6</v>
      </c>
      <c r="C8" s="62">
        <f t="shared" si="0"/>
        <v>6</v>
      </c>
      <c r="D8" s="68">
        <v>1</v>
      </c>
      <c r="E8" s="67">
        <v>0</v>
      </c>
      <c r="F8" s="67">
        <v>1</v>
      </c>
      <c r="G8" s="67">
        <v>1</v>
      </c>
      <c r="H8" s="67">
        <v>2</v>
      </c>
      <c r="I8" s="67">
        <v>0</v>
      </c>
      <c r="J8" s="67">
        <v>1</v>
      </c>
      <c r="K8" s="67">
        <v>0</v>
      </c>
      <c r="L8" s="67">
        <v>0</v>
      </c>
      <c r="M8" s="67">
        <v>0</v>
      </c>
      <c r="N8" s="67">
        <v>0</v>
      </c>
      <c r="Y8" s="73"/>
      <c r="Z8" s="73"/>
      <c r="AA8" s="73"/>
      <c r="AB8" s="73"/>
      <c r="AC8" s="73"/>
      <c r="AD8" s="73"/>
      <c r="AE8" s="74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</row>
    <row r="9" spans="1:43" s="68" customFormat="1" ht="13" x14ac:dyDescent="0.3">
      <c r="A9" s="71"/>
      <c r="B9" s="67" t="s">
        <v>7</v>
      </c>
      <c r="C9" s="62">
        <f t="shared" si="0"/>
        <v>7</v>
      </c>
      <c r="D9" s="68">
        <v>2</v>
      </c>
      <c r="E9" s="67">
        <v>0</v>
      </c>
      <c r="F9" s="67">
        <v>1</v>
      </c>
      <c r="G9" s="67">
        <v>1</v>
      </c>
      <c r="H9" s="67">
        <v>1</v>
      </c>
      <c r="I9" s="67">
        <v>0</v>
      </c>
      <c r="J9" s="67">
        <v>0</v>
      </c>
      <c r="K9" s="67">
        <v>1</v>
      </c>
      <c r="L9" s="67">
        <v>1</v>
      </c>
      <c r="M9" s="67">
        <v>0</v>
      </c>
      <c r="N9" s="67">
        <v>0</v>
      </c>
      <c r="Y9" s="75"/>
      <c r="Z9" s="75"/>
      <c r="AA9" s="73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</row>
    <row r="10" spans="1:43" s="68" customFormat="1" ht="13" x14ac:dyDescent="0.3">
      <c r="A10" s="71"/>
      <c r="B10" s="67" t="s">
        <v>203</v>
      </c>
      <c r="C10" s="62">
        <f t="shared" si="0"/>
        <v>1</v>
      </c>
      <c r="D10" s="68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1</v>
      </c>
      <c r="K10" s="67">
        <v>0</v>
      </c>
      <c r="L10" s="67">
        <v>0</v>
      </c>
      <c r="M10" s="67">
        <v>0</v>
      </c>
      <c r="N10" s="67">
        <v>0</v>
      </c>
      <c r="Y10" s="75"/>
      <c r="Z10" s="75"/>
      <c r="AA10" s="73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</row>
    <row r="11" spans="1:43" s="68" customFormat="1" ht="16.5" customHeight="1" x14ac:dyDescent="0.3">
      <c r="A11" s="71"/>
      <c r="B11" s="67" t="s">
        <v>9</v>
      </c>
      <c r="C11" s="62">
        <f t="shared" si="0"/>
        <v>712648709.67741942</v>
      </c>
      <c r="D11" s="68">
        <v>57348387.096774191</v>
      </c>
      <c r="E11" s="67">
        <v>26400000</v>
      </c>
      <c r="F11" s="67">
        <v>72735483.870967746</v>
      </c>
      <c r="G11" s="67">
        <v>71860000</v>
      </c>
      <c r="H11" s="67">
        <v>158012903.22580644</v>
      </c>
      <c r="I11" s="67">
        <v>96500000</v>
      </c>
      <c r="J11" s="67">
        <v>60400000</v>
      </c>
      <c r="K11" s="67">
        <v>70441935.483870968</v>
      </c>
      <c r="L11" s="67">
        <v>29350000</v>
      </c>
      <c r="M11" s="67">
        <v>31000000</v>
      </c>
      <c r="N11" s="67">
        <v>38600000</v>
      </c>
      <c r="Y11" s="75"/>
      <c r="Z11" s="75"/>
      <c r="AA11" s="73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</row>
    <row r="12" spans="1:43" s="68" customFormat="1" ht="13" x14ac:dyDescent="0.3">
      <c r="A12" s="128" t="s">
        <v>10</v>
      </c>
      <c r="B12" s="69" t="s">
        <v>11</v>
      </c>
      <c r="C12" s="62">
        <f t="shared" si="0"/>
        <v>121369100</v>
      </c>
      <c r="D12" s="67">
        <v>12099500</v>
      </c>
      <c r="E12" s="67">
        <v>4948000</v>
      </c>
      <c r="F12" s="62">
        <v>14700000</v>
      </c>
      <c r="G12" s="62">
        <v>10880000</v>
      </c>
      <c r="H12" s="62">
        <v>22196000</v>
      </c>
      <c r="I12" s="62">
        <v>19697600</v>
      </c>
      <c r="J12" s="62">
        <v>12424000</v>
      </c>
      <c r="K12" s="62">
        <v>9488000</v>
      </c>
      <c r="L12" s="62">
        <v>5180000</v>
      </c>
      <c r="M12" s="62">
        <v>4116000</v>
      </c>
      <c r="N12" s="67">
        <v>5640000</v>
      </c>
      <c r="Y12" s="75"/>
      <c r="Z12" s="75"/>
      <c r="AA12" s="73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</row>
    <row r="13" spans="1:43" s="68" customFormat="1" ht="13" x14ac:dyDescent="0.3">
      <c r="A13" s="129"/>
      <c r="B13" s="69" t="s">
        <v>12</v>
      </c>
      <c r="C13" s="62">
        <f t="shared" si="0"/>
        <v>27513548.387096774</v>
      </c>
      <c r="D13" s="67">
        <v>3344516.1290322579</v>
      </c>
      <c r="E13" s="68">
        <v>1365000</v>
      </c>
      <c r="F13" s="68">
        <v>2625000</v>
      </c>
      <c r="G13" s="68">
        <v>1510000</v>
      </c>
      <c r="H13" s="68">
        <v>6349032.2580645159</v>
      </c>
      <c r="I13" s="68">
        <v>3570000</v>
      </c>
      <c r="J13" s="68">
        <v>2300000</v>
      </c>
      <c r="K13" s="68">
        <v>3340000</v>
      </c>
      <c r="L13" s="68">
        <v>580000</v>
      </c>
      <c r="M13" s="68">
        <v>1305000</v>
      </c>
      <c r="N13" s="68">
        <v>1225000</v>
      </c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</row>
    <row r="14" spans="1:43" s="68" customFormat="1" ht="13" x14ac:dyDescent="0.3">
      <c r="A14" s="129"/>
      <c r="B14" s="69" t="s">
        <v>13</v>
      </c>
      <c r="C14" s="62">
        <f t="shared" si="0"/>
        <v>17823548.387096774</v>
      </c>
      <c r="D14" s="67">
        <v>1792258.064516129</v>
      </c>
      <c r="E14" s="67">
        <v>480000</v>
      </c>
      <c r="F14" s="68">
        <v>1416774.1935483871</v>
      </c>
      <c r="G14" s="68">
        <v>1500000</v>
      </c>
      <c r="H14" s="68">
        <v>3114516.1290322579</v>
      </c>
      <c r="I14" s="68">
        <v>2590000</v>
      </c>
      <c r="J14" s="68">
        <v>1260000</v>
      </c>
      <c r="K14" s="68">
        <v>1590000</v>
      </c>
      <c r="L14" s="68">
        <v>1170000</v>
      </c>
      <c r="M14" s="68">
        <v>720000</v>
      </c>
      <c r="N14" s="68">
        <v>2190000</v>
      </c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</row>
    <row r="15" spans="1:43" s="68" customFormat="1" ht="13" x14ac:dyDescent="0.3">
      <c r="A15" s="129"/>
      <c r="B15" s="69" t="s">
        <v>14</v>
      </c>
      <c r="C15" s="62">
        <f t="shared" si="0"/>
        <v>11212903.225806452</v>
      </c>
      <c r="D15" s="67">
        <v>1093548.3870967743</v>
      </c>
      <c r="E15" s="68">
        <v>200000</v>
      </c>
      <c r="F15" s="68">
        <v>1061290.3225806451</v>
      </c>
      <c r="G15" s="68">
        <v>1500000</v>
      </c>
      <c r="H15" s="68">
        <v>1958064.5161290322</v>
      </c>
      <c r="I15" s="68">
        <v>1900000</v>
      </c>
      <c r="J15" s="68">
        <v>1100000</v>
      </c>
      <c r="K15" s="68">
        <v>1000000</v>
      </c>
      <c r="L15" s="68">
        <v>300000</v>
      </c>
      <c r="M15" s="68">
        <v>500000</v>
      </c>
      <c r="N15" s="68">
        <v>600000</v>
      </c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</row>
    <row r="16" spans="1:43" s="68" customFormat="1" ht="13" x14ac:dyDescent="0.3">
      <c r="A16" s="129"/>
      <c r="B16" s="69" t="s">
        <v>15</v>
      </c>
      <c r="C16" s="62">
        <f t="shared" si="0"/>
        <v>1300000</v>
      </c>
      <c r="D16" s="67">
        <v>300000</v>
      </c>
      <c r="E16" s="68">
        <v>0</v>
      </c>
      <c r="F16" s="68">
        <v>0</v>
      </c>
      <c r="G16" s="68">
        <v>150000</v>
      </c>
      <c r="H16" s="68">
        <v>100000</v>
      </c>
      <c r="I16" s="68">
        <v>600000</v>
      </c>
      <c r="J16" s="68">
        <v>0</v>
      </c>
      <c r="K16" s="68">
        <v>150000</v>
      </c>
      <c r="L16" s="68">
        <v>0</v>
      </c>
      <c r="M16" s="68">
        <v>0</v>
      </c>
      <c r="N16" s="68">
        <v>0</v>
      </c>
      <c r="Y16" s="76"/>
      <c r="Z16" s="73"/>
      <c r="AA16" s="73"/>
      <c r="AB16" s="73"/>
      <c r="AC16" s="73"/>
      <c r="AD16" s="76"/>
      <c r="AE16" s="76"/>
      <c r="AF16" s="76"/>
      <c r="AG16" s="76"/>
      <c r="AH16" s="73"/>
      <c r="AI16" s="76"/>
      <c r="AJ16" s="76"/>
      <c r="AK16" s="76"/>
      <c r="AL16" s="76"/>
      <c r="AM16" s="76"/>
      <c r="AN16" s="73"/>
      <c r="AO16" s="76"/>
      <c r="AP16" s="73"/>
      <c r="AQ16" s="73"/>
    </row>
    <row r="17" spans="1:47" s="68" customFormat="1" ht="13" x14ac:dyDescent="0.3">
      <c r="A17" s="129"/>
      <c r="B17" s="69" t="s">
        <v>102</v>
      </c>
      <c r="C17" s="62">
        <f t="shared" si="0"/>
        <v>10727419.35483871</v>
      </c>
      <c r="D17" s="67">
        <v>1792258.064516129</v>
      </c>
      <c r="E17" s="68">
        <v>400000</v>
      </c>
      <c r="F17" s="68">
        <v>1410645.1612903227</v>
      </c>
      <c r="G17" s="68">
        <v>1160000</v>
      </c>
      <c r="H17" s="68">
        <v>2504516.1290322579</v>
      </c>
      <c r="I17" s="68">
        <v>2460000</v>
      </c>
      <c r="J17" s="68">
        <v>1000000</v>
      </c>
      <c r="K17" s="68">
        <v>0</v>
      </c>
      <c r="L17" s="68">
        <v>0</v>
      </c>
      <c r="M17" s="68">
        <v>0</v>
      </c>
      <c r="N17" s="68">
        <v>0</v>
      </c>
      <c r="Y17" s="77"/>
      <c r="Z17" s="77"/>
      <c r="AA17" s="73"/>
      <c r="AB17" s="70"/>
      <c r="AC17" s="77"/>
      <c r="AD17" s="77"/>
      <c r="AE17" s="77"/>
      <c r="AF17" s="77"/>
      <c r="AG17" s="77"/>
      <c r="AH17" s="77"/>
      <c r="AI17" s="77"/>
      <c r="AJ17" s="77"/>
      <c r="AK17" s="70"/>
      <c r="AL17" s="77"/>
      <c r="AM17" s="70"/>
      <c r="AN17" s="77"/>
      <c r="AO17" s="77"/>
      <c r="AP17" s="77"/>
      <c r="AQ17" s="77"/>
    </row>
    <row r="18" spans="1:47" s="68" customFormat="1" ht="13.5" thickBot="1" x14ac:dyDescent="0.35">
      <c r="A18" s="129"/>
      <c r="B18" s="69" t="s">
        <v>17</v>
      </c>
      <c r="C18" s="62">
        <f t="shared" si="0"/>
        <v>19922580.64516129</v>
      </c>
      <c r="D18" s="67">
        <v>1792258.064516129</v>
      </c>
      <c r="E18" s="68">
        <v>0</v>
      </c>
      <c r="F18" s="68">
        <v>1416774.1935483871</v>
      </c>
      <c r="G18" s="68">
        <v>1500000</v>
      </c>
      <c r="H18" s="68">
        <v>7883548.3870967738</v>
      </c>
      <c r="I18" s="68">
        <v>2590000</v>
      </c>
      <c r="J18" s="68">
        <v>1260000</v>
      </c>
      <c r="K18" s="68">
        <v>1590000</v>
      </c>
      <c r="L18" s="68">
        <v>1170000</v>
      </c>
      <c r="M18" s="68">
        <v>720000</v>
      </c>
      <c r="N18" s="68">
        <v>0</v>
      </c>
      <c r="Y18" s="78"/>
      <c r="Z18" s="78"/>
      <c r="AA18" s="73"/>
      <c r="AB18" s="78"/>
      <c r="AC18" s="78"/>
      <c r="AD18" s="78"/>
      <c r="AE18" s="78"/>
      <c r="AF18" s="79"/>
      <c r="AG18" s="78"/>
      <c r="AH18" s="78"/>
      <c r="AI18" s="78"/>
      <c r="AJ18" s="78"/>
      <c r="AK18" s="78"/>
      <c r="AL18" s="79"/>
      <c r="AM18" s="78"/>
      <c r="AN18" s="78"/>
      <c r="AO18" s="78"/>
      <c r="AP18" s="78"/>
      <c r="AQ18" s="78"/>
    </row>
    <row r="19" spans="1:47" s="68" customFormat="1" ht="12" customHeight="1" x14ac:dyDescent="0.3">
      <c r="A19" s="130"/>
      <c r="B19" s="80" t="s">
        <v>18</v>
      </c>
      <c r="C19" s="81">
        <f>SUM(C12:C18)</f>
        <v>209869099.99999997</v>
      </c>
      <c r="D19" s="81">
        <f t="shared" ref="D19:AU19" si="1">SUM(D12:D18)</f>
        <v>22214338.709677421</v>
      </c>
      <c r="E19" s="81">
        <f>SUM(E12:E18)</f>
        <v>7393000</v>
      </c>
      <c r="F19" s="81">
        <f t="shared" si="1"/>
        <v>22630483.870967746</v>
      </c>
      <c r="G19" s="81">
        <f t="shared" si="1"/>
        <v>18200000</v>
      </c>
      <c r="H19" s="81">
        <f t="shared" si="1"/>
        <v>44105677.419354841</v>
      </c>
      <c r="I19" s="81">
        <f t="shared" si="1"/>
        <v>33407600</v>
      </c>
      <c r="J19" s="81">
        <f>SUM(J12:J18)</f>
        <v>19344000</v>
      </c>
      <c r="K19" s="81">
        <f t="shared" si="1"/>
        <v>17158000</v>
      </c>
      <c r="L19" s="81">
        <f t="shared" si="1"/>
        <v>8400000</v>
      </c>
      <c r="M19" s="81">
        <f>SUM(M12:M18)</f>
        <v>7361000</v>
      </c>
      <c r="N19" s="81">
        <f>SUM(N12:N18)</f>
        <v>9655000</v>
      </c>
      <c r="O19" s="81">
        <f t="shared" si="1"/>
        <v>0</v>
      </c>
      <c r="P19" s="81">
        <f t="shared" si="1"/>
        <v>0</v>
      </c>
      <c r="Q19" s="81">
        <f t="shared" si="1"/>
        <v>0</v>
      </c>
      <c r="R19" s="81">
        <f t="shared" si="1"/>
        <v>0</v>
      </c>
      <c r="S19" s="81">
        <f t="shared" si="1"/>
        <v>0</v>
      </c>
      <c r="T19" s="81">
        <f t="shared" si="1"/>
        <v>0</v>
      </c>
      <c r="U19" s="81">
        <f t="shared" si="1"/>
        <v>0</v>
      </c>
      <c r="V19" s="81">
        <f>SUM(V12:V18)</f>
        <v>0</v>
      </c>
      <c r="W19" s="81">
        <f>SUM(W12:W18)</f>
        <v>0</v>
      </c>
      <c r="X19" s="81">
        <f>SUM(X12:X18)</f>
        <v>0</v>
      </c>
      <c r="Y19" s="81">
        <f t="shared" si="1"/>
        <v>0</v>
      </c>
      <c r="Z19" s="81">
        <f t="shared" si="1"/>
        <v>0</v>
      </c>
      <c r="AA19" s="81">
        <f t="shared" si="1"/>
        <v>0</v>
      </c>
      <c r="AB19" s="81">
        <f t="shared" si="1"/>
        <v>0</v>
      </c>
      <c r="AC19" s="81">
        <f t="shared" si="1"/>
        <v>0</v>
      </c>
      <c r="AD19" s="81">
        <f t="shared" si="1"/>
        <v>0</v>
      </c>
      <c r="AE19" s="81">
        <f t="shared" si="1"/>
        <v>0</v>
      </c>
      <c r="AF19" s="81">
        <f t="shared" si="1"/>
        <v>0</v>
      </c>
      <c r="AG19" s="81">
        <f>SUM(AG12:AG18)</f>
        <v>0</v>
      </c>
      <c r="AH19" s="81">
        <f t="shared" si="1"/>
        <v>0</v>
      </c>
      <c r="AI19" s="81">
        <f t="shared" si="1"/>
        <v>0</v>
      </c>
      <c r="AJ19" s="81">
        <f t="shared" si="1"/>
        <v>0</v>
      </c>
      <c r="AK19" s="81">
        <f t="shared" si="1"/>
        <v>0</v>
      </c>
      <c r="AL19" s="81">
        <f t="shared" si="1"/>
        <v>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>SUM(AP12:AP18)</f>
        <v>0</v>
      </c>
      <c r="AQ19" s="81">
        <f t="shared" si="1"/>
        <v>0</v>
      </c>
      <c r="AR19" s="81">
        <f t="shared" si="1"/>
        <v>0</v>
      </c>
      <c r="AS19" s="81">
        <f t="shared" si="1"/>
        <v>0</v>
      </c>
      <c r="AT19" s="81">
        <f t="shared" si="1"/>
        <v>0</v>
      </c>
      <c r="AU19" s="81">
        <f t="shared" si="1"/>
        <v>0</v>
      </c>
    </row>
    <row r="20" spans="1:4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</row>
    <row r="21" spans="1:47" s="68" customFormat="1" ht="38.5" customHeight="1" x14ac:dyDescent="0.3">
      <c r="A21" s="62" t="s">
        <v>19</v>
      </c>
      <c r="B21" s="67" t="s">
        <v>20</v>
      </c>
      <c r="C21" s="62">
        <f t="shared" ref="C21:C28" si="2">SUM(D21:AQ21)</f>
        <v>581500000</v>
      </c>
      <c r="D21" s="67">
        <v>48000000</v>
      </c>
      <c r="E21" s="68">
        <v>17000000</v>
      </c>
      <c r="F21" s="68">
        <v>62000000</v>
      </c>
      <c r="G21" s="68">
        <v>58500000</v>
      </c>
      <c r="H21" s="68">
        <v>130000000</v>
      </c>
      <c r="I21" s="68">
        <v>86000000</v>
      </c>
      <c r="J21" s="68">
        <v>50000000</v>
      </c>
      <c r="K21" s="68">
        <v>56000000</v>
      </c>
      <c r="L21" s="68">
        <v>22000000</v>
      </c>
      <c r="M21" s="68">
        <v>24000000</v>
      </c>
      <c r="N21" s="68">
        <v>28000000</v>
      </c>
      <c r="T21" s="82"/>
      <c r="U21" s="82"/>
      <c r="Z21" s="82"/>
      <c r="AF21" s="83"/>
      <c r="AH21" s="82"/>
      <c r="AJ21" s="82"/>
      <c r="AK21" s="82"/>
      <c r="AN21" s="82"/>
      <c r="AO21" s="82"/>
      <c r="AQ21" s="82"/>
    </row>
    <row r="22" spans="1:47" s="68" customFormat="1" ht="39" customHeight="1" x14ac:dyDescent="0.3">
      <c r="A22" s="84" t="s">
        <v>21</v>
      </c>
      <c r="C22" s="62">
        <f t="shared" si="2"/>
        <v>5440000</v>
      </c>
      <c r="D22" s="67"/>
      <c r="E22" s="82"/>
      <c r="H22" s="68">
        <v>940000</v>
      </c>
      <c r="K22" s="68">
        <v>4080000</v>
      </c>
      <c r="L22" s="82"/>
      <c r="M22" s="68">
        <v>420000</v>
      </c>
      <c r="T22" s="82"/>
      <c r="U22" s="82"/>
      <c r="Y22" s="82"/>
      <c r="Z22" s="82"/>
      <c r="AB22" s="82"/>
      <c r="AC22" s="82"/>
      <c r="AE22" s="82"/>
      <c r="AF22" s="83"/>
      <c r="AG22" s="82"/>
      <c r="AH22" s="82"/>
      <c r="AJ22" s="82"/>
      <c r="AK22" s="82"/>
      <c r="AL22" s="82"/>
      <c r="AM22" s="82"/>
      <c r="AN22" s="85"/>
      <c r="AQ22" s="82"/>
    </row>
    <row r="23" spans="1:47" s="68" customFormat="1" ht="20.5" customHeight="1" x14ac:dyDescent="0.3">
      <c r="A23" s="131" t="s">
        <v>22</v>
      </c>
      <c r="B23" s="67" t="s">
        <v>23</v>
      </c>
      <c r="C23" s="62">
        <f t="shared" si="2"/>
        <v>123336034</v>
      </c>
      <c r="D23" s="82">
        <v>12595068</v>
      </c>
      <c r="E23" s="86">
        <v>5300834</v>
      </c>
      <c r="F23" s="82">
        <v>13338691</v>
      </c>
      <c r="G23" s="82">
        <v>10868666</v>
      </c>
      <c r="H23" s="82">
        <v>17257515</v>
      </c>
      <c r="I23" s="82">
        <v>20896553</v>
      </c>
      <c r="J23" s="82">
        <v>12789382</v>
      </c>
      <c r="K23" s="82">
        <v>14058199</v>
      </c>
      <c r="L23" s="82">
        <v>4863629</v>
      </c>
      <c r="M23" s="86">
        <v>5203678</v>
      </c>
      <c r="N23" s="83">
        <v>6163819</v>
      </c>
      <c r="O23" s="83"/>
      <c r="P23" s="83"/>
      <c r="Q23" s="82"/>
      <c r="R23" s="82"/>
      <c r="S23" s="83"/>
      <c r="T23" s="83"/>
      <c r="U23" s="83"/>
      <c r="V23" s="83"/>
      <c r="W23" s="82"/>
      <c r="X23" s="83"/>
      <c r="Y23" s="82"/>
      <c r="Z23" s="83"/>
      <c r="AA23" s="83"/>
      <c r="AB23" s="83"/>
      <c r="AC23" s="83"/>
      <c r="AD23" s="83"/>
      <c r="AE23" s="82"/>
      <c r="AF23" s="82"/>
      <c r="AG23" s="83"/>
      <c r="AH23" s="82"/>
      <c r="AI23" s="83"/>
      <c r="AJ23" s="83"/>
      <c r="AK23" s="82"/>
      <c r="AL23" s="82"/>
      <c r="AM23" s="82"/>
      <c r="AN23" s="83"/>
      <c r="AO23" s="83"/>
      <c r="AP23" s="83"/>
      <c r="AQ23" s="83"/>
    </row>
    <row r="24" spans="1:47" s="68" customFormat="1" ht="20.5" customHeight="1" x14ac:dyDescent="0.3">
      <c r="A24" s="131"/>
      <c r="B24" s="68" t="s">
        <v>24</v>
      </c>
      <c r="C24" s="87">
        <f t="shared" si="2"/>
        <v>15678320</v>
      </c>
      <c r="D24" s="82">
        <v>300000</v>
      </c>
      <c r="E24" s="82">
        <v>675050</v>
      </c>
      <c r="F24" s="82">
        <v>2413850</v>
      </c>
      <c r="G24" s="82">
        <v>3100000</v>
      </c>
      <c r="H24" s="82">
        <v>4067320</v>
      </c>
      <c r="I24" s="82">
        <v>0</v>
      </c>
      <c r="J24" s="82">
        <v>1761800</v>
      </c>
      <c r="K24" s="82"/>
      <c r="L24" s="82">
        <v>985550</v>
      </c>
      <c r="M24" s="86">
        <v>1171850</v>
      </c>
      <c r="N24" s="83">
        <v>1202900</v>
      </c>
      <c r="O24" s="83"/>
      <c r="P24" s="83"/>
      <c r="Q24" s="82"/>
      <c r="R24" s="82"/>
      <c r="S24" s="83"/>
      <c r="T24" s="83"/>
      <c r="U24" s="83"/>
      <c r="V24" s="83"/>
      <c r="W24" s="82"/>
      <c r="X24" s="83"/>
      <c r="Y24" s="82"/>
      <c r="Z24" s="83"/>
      <c r="AA24" s="83"/>
      <c r="AB24" s="83"/>
      <c r="AC24" s="83"/>
      <c r="AD24" s="83"/>
      <c r="AE24" s="82"/>
      <c r="AF24" s="82"/>
      <c r="AG24" s="83"/>
      <c r="AH24" s="82"/>
      <c r="AI24" s="83"/>
      <c r="AJ24" s="83"/>
      <c r="AK24" s="82"/>
      <c r="AL24" s="82"/>
      <c r="AM24" s="82"/>
      <c r="AN24" s="83"/>
      <c r="AO24" s="83"/>
      <c r="AP24" s="83"/>
      <c r="AQ24" s="83"/>
    </row>
    <row r="25" spans="1:47" s="68" customFormat="1" ht="19" customHeight="1" x14ac:dyDescent="0.3">
      <c r="A25" s="131"/>
      <c r="B25" s="67" t="s">
        <v>25</v>
      </c>
      <c r="C25" s="62">
        <f t="shared" si="2"/>
        <v>2150301</v>
      </c>
      <c r="D25" s="82">
        <v>0</v>
      </c>
      <c r="E25" s="82">
        <v>400000</v>
      </c>
      <c r="F25" s="82">
        <v>344000</v>
      </c>
      <c r="G25" s="82">
        <v>0</v>
      </c>
      <c r="H25" s="82">
        <v>559800</v>
      </c>
      <c r="I25" s="82">
        <v>0</v>
      </c>
      <c r="J25" s="82">
        <v>0</v>
      </c>
      <c r="K25" s="82">
        <v>561501</v>
      </c>
      <c r="L25" s="82">
        <v>285000</v>
      </c>
      <c r="M25" s="82"/>
      <c r="N25" s="83"/>
      <c r="O25" s="83"/>
      <c r="P25" s="83"/>
      <c r="Q25" s="82"/>
      <c r="R25" s="82"/>
      <c r="S25" s="82"/>
      <c r="T25" s="83"/>
      <c r="U25" s="83"/>
      <c r="V25" s="83"/>
      <c r="W25" s="82"/>
      <c r="X25" s="83"/>
      <c r="Y25" s="82"/>
      <c r="Z25" s="83"/>
      <c r="AA25" s="83"/>
      <c r="AB25" s="83"/>
      <c r="AC25" s="83"/>
      <c r="AD25" s="83"/>
      <c r="AE25" s="82"/>
      <c r="AF25" s="82"/>
      <c r="AG25" s="83"/>
      <c r="AH25" s="82"/>
      <c r="AI25" s="83"/>
      <c r="AJ25" s="83"/>
      <c r="AK25" s="82"/>
      <c r="AL25" s="82"/>
      <c r="AM25" s="82"/>
      <c r="AN25" s="83"/>
      <c r="AO25" s="83"/>
      <c r="AP25" s="83"/>
      <c r="AQ25" s="83"/>
    </row>
    <row r="26" spans="1:47" s="68" customFormat="1" ht="18.5" customHeight="1" x14ac:dyDescent="0.3">
      <c r="A26" s="131"/>
      <c r="B26" s="67" t="s">
        <v>26</v>
      </c>
      <c r="C26" s="62">
        <f t="shared" si="2"/>
        <v>2400000</v>
      </c>
      <c r="D26" s="82">
        <v>300000</v>
      </c>
      <c r="E26" s="82">
        <v>200000</v>
      </c>
      <c r="F26" s="82">
        <v>350000</v>
      </c>
      <c r="G26" s="82">
        <v>300000</v>
      </c>
      <c r="H26" s="82">
        <v>300000</v>
      </c>
      <c r="I26" s="82">
        <v>300000</v>
      </c>
      <c r="J26" s="82">
        <v>350000</v>
      </c>
      <c r="K26" s="82"/>
      <c r="L26" s="82">
        <v>300000</v>
      </c>
      <c r="M26" s="82"/>
      <c r="N26" s="83"/>
      <c r="O26" s="82"/>
      <c r="P26" s="83"/>
      <c r="Q26" s="82"/>
      <c r="S26" s="83"/>
      <c r="T26" s="83"/>
      <c r="U26" s="83"/>
      <c r="V26" s="83"/>
      <c r="W26" s="82"/>
      <c r="X26" s="83"/>
      <c r="Y26" s="82"/>
      <c r="Z26" s="83"/>
      <c r="AA26" s="83"/>
      <c r="AB26" s="83"/>
      <c r="AC26" s="82"/>
      <c r="AD26" s="82"/>
      <c r="AE26" s="82"/>
      <c r="AF26" s="82"/>
      <c r="AG26" s="83"/>
      <c r="AH26" s="82"/>
      <c r="AI26" s="82"/>
      <c r="AJ26" s="83"/>
      <c r="AK26" s="82"/>
      <c r="AL26" s="82"/>
      <c r="AM26" s="82"/>
      <c r="AN26" s="83"/>
      <c r="AO26" s="83"/>
      <c r="AP26" s="83"/>
      <c r="AQ26" s="83"/>
    </row>
    <row r="27" spans="1:47" s="68" customFormat="1" ht="17.5" customHeight="1" x14ac:dyDescent="0.3">
      <c r="A27" s="131"/>
      <c r="B27" s="67" t="s">
        <v>27</v>
      </c>
      <c r="C27" s="62">
        <f t="shared" si="2"/>
        <v>0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3"/>
      <c r="O27" s="83"/>
      <c r="P27" s="82"/>
      <c r="Q27" s="82"/>
      <c r="R27" s="82"/>
      <c r="S27" s="83"/>
      <c r="T27" s="82"/>
      <c r="U27" s="83"/>
      <c r="V27" s="82"/>
      <c r="W27" s="82"/>
      <c r="X27" s="82"/>
      <c r="Y27" s="82"/>
      <c r="Z27" s="82"/>
      <c r="AA27" s="83"/>
      <c r="AB27" s="83"/>
      <c r="AC27" s="82"/>
      <c r="AD27" s="82"/>
      <c r="AE27" s="82"/>
      <c r="AF27" s="82"/>
      <c r="AG27" s="82"/>
      <c r="AH27" s="82"/>
      <c r="AI27" s="82"/>
      <c r="AJ27" s="82"/>
      <c r="AK27" s="82"/>
      <c r="AM27" s="82"/>
      <c r="AN27" s="82"/>
      <c r="AO27" s="83"/>
      <c r="AP27" s="82"/>
      <c r="AQ27" s="83"/>
    </row>
    <row r="28" spans="1:47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Q28" s="82"/>
      <c r="S28" s="83"/>
      <c r="T28" s="82"/>
      <c r="U28" s="82"/>
      <c r="V28" s="82"/>
      <c r="W28" s="82"/>
      <c r="X28" s="82"/>
      <c r="Y28" s="82"/>
      <c r="AA28" s="82"/>
      <c r="AB28" s="82"/>
      <c r="AC28" s="82"/>
      <c r="AD28" s="82"/>
      <c r="AE28" s="82"/>
      <c r="AF28" s="82"/>
      <c r="AG28" s="82"/>
      <c r="AH28" s="82"/>
      <c r="AI28" s="82"/>
      <c r="AK28" s="82"/>
      <c r="AM28" s="82"/>
      <c r="AN28" s="82"/>
      <c r="AO28" s="83"/>
      <c r="AP28" s="82"/>
      <c r="AQ28" s="82"/>
    </row>
    <row r="29" spans="1:47" s="64" customFormat="1" ht="13" x14ac:dyDescent="0.3">
      <c r="A29" s="88" t="s">
        <v>29</v>
      </c>
      <c r="B29" s="60"/>
      <c r="C29" s="62">
        <f>SUM(C21:C28)</f>
        <v>730504655</v>
      </c>
      <c r="D29" s="60">
        <f>SUM(D21:D28)</f>
        <v>61195068</v>
      </c>
      <c r="E29" s="60">
        <f t="shared" ref="E29:AQ29" si="3">SUM(E21:E28)</f>
        <v>23575884</v>
      </c>
      <c r="F29" s="60">
        <f t="shared" si="3"/>
        <v>78446541</v>
      </c>
      <c r="G29" s="60">
        <f t="shared" si="3"/>
        <v>72768666</v>
      </c>
      <c r="H29" s="60">
        <f>SUM(H21:H28)</f>
        <v>153124635</v>
      </c>
      <c r="I29" s="60">
        <f t="shared" si="3"/>
        <v>107196553</v>
      </c>
      <c r="J29" s="60">
        <f t="shared" si="3"/>
        <v>64901182</v>
      </c>
      <c r="K29" s="60">
        <f t="shared" si="3"/>
        <v>74699700</v>
      </c>
      <c r="L29" s="60">
        <f t="shared" si="3"/>
        <v>28434179</v>
      </c>
      <c r="M29" s="60">
        <f t="shared" si="3"/>
        <v>30795528</v>
      </c>
      <c r="N29" s="60">
        <f t="shared" si="3"/>
        <v>35366719</v>
      </c>
      <c r="O29" s="60">
        <f t="shared" si="3"/>
        <v>0</v>
      </c>
      <c r="P29" s="60">
        <f t="shared" si="3"/>
        <v>0</v>
      </c>
      <c r="Q29" s="60">
        <f t="shared" si="3"/>
        <v>0</v>
      </c>
      <c r="R29" s="60">
        <f t="shared" si="3"/>
        <v>0</v>
      </c>
      <c r="S29" s="60">
        <f t="shared" si="3"/>
        <v>0</v>
      </c>
      <c r="T29" s="60">
        <f t="shared" si="3"/>
        <v>0</v>
      </c>
      <c r="U29" s="60">
        <f t="shared" si="3"/>
        <v>0</v>
      </c>
      <c r="V29" s="60">
        <f>SUM(V21:V28)</f>
        <v>0</v>
      </c>
      <c r="W29" s="60">
        <f t="shared" si="3"/>
        <v>0</v>
      </c>
      <c r="X29" s="60">
        <f t="shared" si="3"/>
        <v>0</v>
      </c>
      <c r="Y29" s="60">
        <f t="shared" si="3"/>
        <v>0</v>
      </c>
      <c r="Z29" s="60">
        <f t="shared" si="3"/>
        <v>0</v>
      </c>
      <c r="AA29" s="60">
        <f t="shared" si="3"/>
        <v>0</v>
      </c>
      <c r="AB29" s="60">
        <f t="shared" si="3"/>
        <v>0</v>
      </c>
      <c r="AC29" s="60">
        <f t="shared" si="3"/>
        <v>0</v>
      </c>
      <c r="AD29" s="60">
        <f t="shared" si="3"/>
        <v>0</v>
      </c>
      <c r="AE29" s="60">
        <f t="shared" si="3"/>
        <v>0</v>
      </c>
      <c r="AF29" s="60">
        <f t="shared" si="3"/>
        <v>0</v>
      </c>
      <c r="AG29" s="60">
        <f>SUM(AG21:AG28)</f>
        <v>0</v>
      </c>
      <c r="AH29" s="60">
        <f t="shared" si="3"/>
        <v>0</v>
      </c>
      <c r="AI29" s="60">
        <f t="shared" si="3"/>
        <v>0</v>
      </c>
      <c r="AJ29" s="60">
        <f t="shared" si="3"/>
        <v>0</v>
      </c>
      <c r="AK29" s="60">
        <f t="shared" si="3"/>
        <v>0</v>
      </c>
      <c r="AL29" s="60">
        <f t="shared" si="3"/>
        <v>0</v>
      </c>
      <c r="AM29" s="60">
        <f t="shared" si="3"/>
        <v>0</v>
      </c>
      <c r="AN29" s="60">
        <f t="shared" si="3"/>
        <v>0</v>
      </c>
      <c r="AO29" s="60">
        <f>SUM(AO21:AO28)</f>
        <v>0</v>
      </c>
      <c r="AP29" s="60">
        <f t="shared" si="3"/>
        <v>0</v>
      </c>
      <c r="AQ29" s="60">
        <f t="shared" si="3"/>
        <v>0</v>
      </c>
    </row>
    <row r="30" spans="1:47" s="68" customFormat="1" ht="24" customHeight="1" x14ac:dyDescent="0.3">
      <c r="A30" s="132" t="s">
        <v>30</v>
      </c>
      <c r="B30" s="67" t="s">
        <v>31</v>
      </c>
      <c r="C30" s="62">
        <f t="shared" ref="C30:C42" si="4">SUM(D30:AQ30)</f>
        <v>18576303.521398526</v>
      </c>
      <c r="D30" s="82">
        <v>1752429.2642787572</v>
      </c>
      <c r="E30" s="83">
        <v>601487.58307154861</v>
      </c>
      <c r="F30" s="82">
        <v>2012773.5556777965</v>
      </c>
      <c r="G30" s="83">
        <v>2211048.3241012953</v>
      </c>
      <c r="H30" s="82">
        <v>2467699.9309299653</v>
      </c>
      <c r="I30" s="82">
        <v>2923937.2576886322</v>
      </c>
      <c r="J30" s="82">
        <v>1304202.8752743129</v>
      </c>
      <c r="K30" s="82">
        <v>1927694.7330286086</v>
      </c>
      <c r="L30" s="82">
        <v>1206149.8394509254</v>
      </c>
      <c r="M30" s="82">
        <v>1094447.1682059609</v>
      </c>
      <c r="N30" s="82">
        <v>1074432.9896907215</v>
      </c>
      <c r="O30" s="83"/>
      <c r="P30" s="82"/>
      <c r="Q30" s="82"/>
      <c r="R30" s="82"/>
      <c r="S30" s="83"/>
      <c r="T30" s="83"/>
      <c r="U30" s="83"/>
      <c r="V30" s="83"/>
      <c r="W30" s="83"/>
      <c r="X30" s="83"/>
      <c r="Y30" s="82"/>
      <c r="Z30" s="83"/>
      <c r="AA30" s="83"/>
      <c r="AB30" s="83"/>
      <c r="AC30" s="83"/>
      <c r="AD30" s="82"/>
      <c r="AE30" s="83"/>
      <c r="AF30" s="82"/>
      <c r="AG30" s="82"/>
      <c r="AH30" s="82"/>
      <c r="AI30" s="82"/>
      <c r="AJ30" s="82"/>
      <c r="AK30" s="82"/>
      <c r="AL30" s="82"/>
      <c r="AM30" s="82"/>
      <c r="AN30" s="83"/>
      <c r="AO30" s="83"/>
      <c r="AP30" s="82"/>
      <c r="AQ30" s="83"/>
    </row>
    <row r="31" spans="1:47" s="68" customFormat="1" ht="24" customHeight="1" x14ac:dyDescent="0.3">
      <c r="A31" s="133"/>
      <c r="B31" s="67" t="s">
        <v>32</v>
      </c>
      <c r="C31" s="62">
        <f t="shared" si="4"/>
        <v>1542691.7510853831</v>
      </c>
      <c r="D31" s="82">
        <v>141099.85528219971</v>
      </c>
      <c r="E31" s="83">
        <v>47033.285094066567</v>
      </c>
      <c r="F31" s="82">
        <v>159913.16931982632</v>
      </c>
      <c r="G31" s="83">
        <v>159913.16931982632</v>
      </c>
      <c r="H31" s="82">
        <v>216353.11143270621</v>
      </c>
      <c r="I31" s="82">
        <v>244573.08248914615</v>
      </c>
      <c r="J31" s="82">
        <v>122286.54124457308</v>
      </c>
      <c r="K31" s="82">
        <v>188133.14037626627</v>
      </c>
      <c r="L31" s="82">
        <v>94066.570188133133</v>
      </c>
      <c r="M31" s="82">
        <v>84659.913169319829</v>
      </c>
      <c r="N31" s="82">
        <v>84659.913169319829</v>
      </c>
      <c r="O31" s="83"/>
      <c r="P31" s="82"/>
      <c r="Q31" s="82"/>
      <c r="R31" s="82"/>
      <c r="S31" s="83"/>
      <c r="T31" s="83"/>
      <c r="U31" s="83"/>
      <c r="V31" s="83"/>
      <c r="W31" s="83"/>
      <c r="X31" s="83"/>
      <c r="Y31" s="82"/>
      <c r="Z31" s="83"/>
      <c r="AA31" s="83"/>
      <c r="AB31" s="83"/>
      <c r="AC31" s="83"/>
      <c r="AD31" s="82"/>
      <c r="AE31" s="83"/>
      <c r="AF31" s="82"/>
      <c r="AG31" s="82"/>
      <c r="AH31" s="82"/>
      <c r="AI31" s="82"/>
      <c r="AJ31" s="82"/>
      <c r="AK31" s="82"/>
      <c r="AL31" s="82"/>
      <c r="AM31" s="82"/>
      <c r="AN31" s="83"/>
      <c r="AO31" s="83"/>
      <c r="AP31" s="82"/>
      <c r="AQ31" s="83"/>
    </row>
    <row r="32" spans="1:47" s="68" customFormat="1" ht="24" customHeight="1" x14ac:dyDescent="0.3">
      <c r="A32" s="133"/>
      <c r="B32" s="67" t="s">
        <v>33</v>
      </c>
      <c r="C32" s="62">
        <f t="shared" si="4"/>
        <v>4013371.9247467434</v>
      </c>
      <c r="D32" s="82">
        <v>367076.70043415343</v>
      </c>
      <c r="E32" s="83">
        <v>122358.9001447178</v>
      </c>
      <c r="F32" s="82">
        <v>416020.26049204054</v>
      </c>
      <c r="G32" s="83">
        <v>416020.26049204054</v>
      </c>
      <c r="H32" s="82">
        <v>562850.94066570187</v>
      </c>
      <c r="I32" s="82">
        <v>636266.28075253253</v>
      </c>
      <c r="J32" s="82">
        <v>318133.14037626627</v>
      </c>
      <c r="K32" s="82">
        <v>489435.60057887121</v>
      </c>
      <c r="L32" s="82">
        <v>244717.8002894356</v>
      </c>
      <c r="M32" s="82">
        <v>220246.02026049205</v>
      </c>
      <c r="N32" s="82">
        <v>220246.02026049205</v>
      </c>
      <c r="O32" s="83"/>
      <c r="P32" s="82"/>
      <c r="Q32" s="82"/>
      <c r="R32" s="82"/>
      <c r="S32" s="83"/>
      <c r="T32" s="83"/>
      <c r="U32" s="83"/>
      <c r="V32" s="83"/>
      <c r="W32" s="83"/>
      <c r="X32" s="83"/>
      <c r="Y32" s="82"/>
      <c r="Z32" s="83"/>
      <c r="AA32" s="83"/>
      <c r="AB32" s="83"/>
      <c r="AC32" s="83"/>
      <c r="AD32" s="82"/>
      <c r="AE32" s="83"/>
      <c r="AF32" s="82"/>
      <c r="AG32" s="82"/>
      <c r="AH32" s="82"/>
      <c r="AI32" s="82"/>
      <c r="AJ32" s="82"/>
      <c r="AK32" s="82"/>
      <c r="AL32" s="82"/>
      <c r="AM32" s="82"/>
      <c r="AN32" s="83"/>
      <c r="AO32" s="83"/>
      <c r="AP32" s="82"/>
      <c r="AQ32" s="83"/>
    </row>
    <row r="33" spans="1:43" s="68" customFormat="1" ht="24" customHeight="1" x14ac:dyDescent="0.3">
      <c r="A33" s="133"/>
      <c r="B33" s="67" t="s">
        <v>34</v>
      </c>
      <c r="C33" s="62">
        <f t="shared" si="4"/>
        <v>474674.38494934869</v>
      </c>
      <c r="D33" s="82">
        <v>43415.340086830678</v>
      </c>
      <c r="E33" s="83">
        <v>14471.78002894356</v>
      </c>
      <c r="F33" s="82">
        <v>49204.052098408109</v>
      </c>
      <c r="G33" s="83">
        <v>49204.052098408109</v>
      </c>
      <c r="H33" s="82">
        <v>66570.188133140371</v>
      </c>
      <c r="I33" s="82">
        <v>75253.25615050651</v>
      </c>
      <c r="J33" s="82">
        <v>37626.628075253255</v>
      </c>
      <c r="K33" s="82">
        <v>57887.12011577424</v>
      </c>
      <c r="L33" s="82">
        <v>28943.56005788712</v>
      </c>
      <c r="M33" s="82">
        <v>26049.204052098408</v>
      </c>
      <c r="N33" s="82">
        <v>26049.204052098408</v>
      </c>
      <c r="O33" s="83"/>
      <c r="P33" s="82"/>
      <c r="Q33" s="82"/>
      <c r="R33" s="82"/>
      <c r="S33" s="83"/>
      <c r="T33" s="83"/>
      <c r="U33" s="83"/>
      <c r="V33" s="83"/>
      <c r="W33" s="83"/>
      <c r="X33" s="83"/>
      <c r="Y33" s="82"/>
      <c r="Z33" s="83"/>
      <c r="AA33" s="83"/>
      <c r="AB33" s="83"/>
      <c r="AC33" s="83"/>
      <c r="AD33" s="82"/>
      <c r="AE33" s="83"/>
      <c r="AF33" s="82"/>
      <c r="AG33" s="82"/>
      <c r="AH33" s="82"/>
      <c r="AI33" s="82"/>
      <c r="AJ33" s="82"/>
      <c r="AK33" s="82"/>
      <c r="AL33" s="82"/>
      <c r="AM33" s="82"/>
      <c r="AN33" s="83"/>
      <c r="AO33" s="83"/>
      <c r="AP33" s="82"/>
      <c r="AQ33" s="83"/>
    </row>
    <row r="34" spans="1:43" s="68" customFormat="1" ht="24" customHeight="1" x14ac:dyDescent="0.3">
      <c r="A34" s="133"/>
      <c r="B34" s="67" t="s">
        <v>167</v>
      </c>
      <c r="C34" s="62">
        <f t="shared" si="4"/>
        <v>356005.78871201159</v>
      </c>
      <c r="D34" s="82">
        <v>32561.505065123012</v>
      </c>
      <c r="E34" s="82">
        <v>10853.835021707671</v>
      </c>
      <c r="F34" s="82">
        <v>36903.039073806081</v>
      </c>
      <c r="G34" s="82">
        <v>36903.039073806081</v>
      </c>
      <c r="H34" s="82">
        <v>49927.641099855289</v>
      </c>
      <c r="I34" s="82">
        <v>56439.942112879886</v>
      </c>
      <c r="J34" s="82">
        <v>28219.971056439943</v>
      </c>
      <c r="K34" s="82">
        <v>43415.340086830685</v>
      </c>
      <c r="L34" s="82">
        <v>21707.670043415343</v>
      </c>
      <c r="M34" s="82">
        <v>19536.903039073808</v>
      </c>
      <c r="N34" s="82">
        <v>19536.903039073808</v>
      </c>
      <c r="O34" s="83"/>
      <c r="P34" s="82"/>
      <c r="Q34" s="82"/>
      <c r="R34" s="82"/>
      <c r="S34" s="83"/>
      <c r="T34" s="83"/>
      <c r="U34" s="83"/>
      <c r="V34" s="83"/>
      <c r="W34" s="83"/>
      <c r="X34" s="83"/>
      <c r="Y34" s="82"/>
      <c r="Z34" s="83"/>
      <c r="AA34" s="83"/>
      <c r="AB34" s="83"/>
      <c r="AC34" s="83"/>
      <c r="AD34" s="82"/>
      <c r="AE34" s="83"/>
      <c r="AF34" s="82"/>
      <c r="AG34" s="82"/>
      <c r="AH34" s="82"/>
      <c r="AI34" s="82"/>
      <c r="AJ34" s="82"/>
      <c r="AK34" s="82"/>
      <c r="AL34" s="82"/>
      <c r="AM34" s="82"/>
      <c r="AN34" s="82"/>
      <c r="AO34" s="83"/>
      <c r="AP34" s="82"/>
      <c r="AQ34" s="83"/>
    </row>
    <row r="35" spans="1:43" s="68" customFormat="1" ht="21.5" customHeight="1" x14ac:dyDescent="0.3">
      <c r="A35" s="133"/>
      <c r="B35" s="67" t="s">
        <v>35</v>
      </c>
      <c r="C35" s="62">
        <f t="shared" si="4"/>
        <v>6799710.6830680156</v>
      </c>
      <c r="D35" s="82">
        <v>621924.75759768451</v>
      </c>
      <c r="E35" s="83">
        <v>207308.25253256148</v>
      </c>
      <c r="F35" s="82">
        <v>704848.05861070903</v>
      </c>
      <c r="G35" s="83">
        <v>704848.05861070903</v>
      </c>
      <c r="H35" s="82">
        <v>953617.96164978284</v>
      </c>
      <c r="I35" s="82">
        <v>1078002.9131693197</v>
      </c>
      <c r="J35" s="82">
        <v>539001.45658465987</v>
      </c>
      <c r="K35" s="82">
        <v>829233.01013024594</v>
      </c>
      <c r="L35" s="82">
        <v>414616.50506512297</v>
      </c>
      <c r="M35" s="82">
        <v>373154.85455861071</v>
      </c>
      <c r="N35" s="82">
        <v>373154.85455861071</v>
      </c>
      <c r="O35" s="83"/>
      <c r="P35" s="82"/>
      <c r="Q35" s="82"/>
      <c r="R35" s="82"/>
      <c r="S35" s="83"/>
      <c r="T35" s="83"/>
      <c r="U35" s="83"/>
      <c r="V35" s="83"/>
      <c r="W35" s="83"/>
      <c r="X35" s="83"/>
      <c r="Y35" s="82"/>
      <c r="Z35" s="83"/>
      <c r="AA35" s="83"/>
      <c r="AB35" s="83"/>
      <c r="AC35" s="83"/>
      <c r="AD35" s="82"/>
      <c r="AE35" s="83"/>
      <c r="AF35" s="82"/>
      <c r="AG35" s="82"/>
      <c r="AH35" s="82"/>
      <c r="AI35" s="82"/>
      <c r="AJ35" s="82"/>
      <c r="AK35" s="82"/>
      <c r="AL35" s="82"/>
      <c r="AM35" s="82"/>
      <c r="AN35" s="82"/>
      <c r="AO35" s="83"/>
      <c r="AP35" s="82"/>
      <c r="AQ35" s="83"/>
    </row>
    <row r="36" spans="1:43" s="68" customFormat="1" ht="21" customHeight="1" x14ac:dyDescent="0.3">
      <c r="A36" s="133"/>
      <c r="B36" s="67" t="s">
        <v>36</v>
      </c>
      <c r="C36" s="62">
        <f t="shared" si="4"/>
        <v>5000000</v>
      </c>
      <c r="D36" s="82">
        <v>550000</v>
      </c>
      <c r="E36" s="83">
        <v>400000</v>
      </c>
      <c r="F36" s="82">
        <v>400000</v>
      </c>
      <c r="G36" s="83">
        <v>500000</v>
      </c>
      <c r="H36" s="82">
        <v>550000</v>
      </c>
      <c r="I36" s="82">
        <v>450000</v>
      </c>
      <c r="J36" s="82">
        <v>400000</v>
      </c>
      <c r="K36" s="82">
        <v>550000</v>
      </c>
      <c r="L36" s="82">
        <v>400000</v>
      </c>
      <c r="M36" s="82">
        <v>400000</v>
      </c>
      <c r="N36" s="82">
        <v>400000</v>
      </c>
      <c r="O36" s="83"/>
      <c r="P36" s="82"/>
      <c r="Q36" s="82"/>
      <c r="R36" s="82"/>
      <c r="S36" s="83"/>
      <c r="T36" s="83"/>
      <c r="U36" s="83"/>
      <c r="V36" s="83"/>
      <c r="W36" s="83"/>
      <c r="X36" s="83"/>
      <c r="Y36" s="82"/>
      <c r="Z36" s="83"/>
      <c r="AA36" s="83"/>
      <c r="AB36" s="83"/>
      <c r="AC36" s="83"/>
      <c r="AD36" s="82"/>
      <c r="AE36" s="83"/>
      <c r="AF36" s="82"/>
      <c r="AG36" s="82"/>
      <c r="AH36" s="82"/>
      <c r="AI36" s="82"/>
      <c r="AJ36" s="82"/>
      <c r="AK36" s="82"/>
      <c r="AL36" s="82"/>
      <c r="AM36" s="82"/>
      <c r="AN36" s="82"/>
      <c r="AO36" s="83"/>
      <c r="AP36" s="82"/>
      <c r="AQ36" s="83"/>
    </row>
    <row r="37" spans="1:43" s="68" customFormat="1" ht="21.5" customHeight="1" x14ac:dyDescent="0.3">
      <c r="A37" s="133"/>
      <c r="B37" s="67" t="s">
        <v>37</v>
      </c>
      <c r="C37" s="62">
        <f t="shared" si="4"/>
        <v>1987337.1924746744</v>
      </c>
      <c r="D37" s="82">
        <v>181707.67004341533</v>
      </c>
      <c r="E37" s="83">
        <v>67235.890014471777</v>
      </c>
      <c r="F37" s="82">
        <v>204602.02604920405</v>
      </c>
      <c r="G37" s="83">
        <v>204602.02604920405</v>
      </c>
      <c r="H37" s="82">
        <v>273285.09406657016</v>
      </c>
      <c r="I37" s="82">
        <v>307626.62807525328</v>
      </c>
      <c r="J37" s="82">
        <v>158813.31403762664</v>
      </c>
      <c r="K37" s="82">
        <v>238943.56005788711</v>
      </c>
      <c r="L37" s="82">
        <v>124471.78002894355</v>
      </c>
      <c r="M37" s="82">
        <v>113024.60202604921</v>
      </c>
      <c r="N37" s="82">
        <v>113024.60202604921</v>
      </c>
      <c r="O37" s="83"/>
      <c r="P37" s="82"/>
      <c r="Q37" s="82"/>
      <c r="R37" s="82"/>
      <c r="S37" s="83"/>
      <c r="T37" s="83"/>
      <c r="U37" s="83"/>
      <c r="V37" s="83"/>
      <c r="W37" s="83"/>
      <c r="X37" s="83"/>
      <c r="Y37" s="82"/>
      <c r="Z37" s="83"/>
      <c r="AA37" s="83"/>
      <c r="AB37" s="83"/>
      <c r="AC37" s="83"/>
      <c r="AD37" s="82"/>
      <c r="AE37" s="83"/>
      <c r="AF37" s="82"/>
      <c r="AG37" s="82"/>
      <c r="AH37" s="82"/>
      <c r="AI37" s="82"/>
      <c r="AJ37" s="82"/>
      <c r="AK37" s="82"/>
      <c r="AL37" s="82"/>
      <c r="AM37" s="82"/>
      <c r="AN37" s="82"/>
      <c r="AO37" s="83"/>
      <c r="AP37" s="82"/>
      <c r="AQ37" s="83"/>
    </row>
    <row r="38" spans="1:43" s="68" customFormat="1" ht="24" customHeight="1" x14ac:dyDescent="0.3">
      <c r="A38" s="133"/>
      <c r="B38" s="67" t="s">
        <v>38</v>
      </c>
      <c r="C38" s="62">
        <f t="shared" si="4"/>
        <v>2851584.5144410692</v>
      </c>
      <c r="D38" s="82">
        <v>279225.61429635144</v>
      </c>
      <c r="E38" s="83">
        <v>90448.625180897245</v>
      </c>
      <c r="F38" s="82">
        <v>184515.19536903038</v>
      </c>
      <c r="G38" s="83">
        <v>307525.32561505068</v>
      </c>
      <c r="H38" s="82">
        <v>416063.67583212734</v>
      </c>
      <c r="I38" s="82">
        <v>470332.8509406657</v>
      </c>
      <c r="J38" s="82">
        <v>235166.42547033285</v>
      </c>
      <c r="K38" s="82">
        <v>361794.50072358898</v>
      </c>
      <c r="L38" s="82">
        <v>180897.25036179449</v>
      </c>
      <c r="M38" s="82">
        <v>162807.52532561505</v>
      </c>
      <c r="N38" s="82">
        <v>162807.52532561505</v>
      </c>
      <c r="O38" s="83"/>
      <c r="P38" s="82"/>
      <c r="Q38" s="82"/>
      <c r="R38" s="82"/>
      <c r="S38" s="83"/>
      <c r="T38" s="83"/>
      <c r="U38" s="83"/>
      <c r="V38" s="83"/>
      <c r="W38" s="83"/>
      <c r="X38" s="83"/>
      <c r="Y38" s="82"/>
      <c r="Z38" s="83"/>
      <c r="AA38" s="83"/>
      <c r="AB38" s="83"/>
      <c r="AC38" s="83"/>
      <c r="AD38" s="82"/>
      <c r="AE38" s="83"/>
      <c r="AF38" s="83"/>
      <c r="AG38" s="82"/>
      <c r="AH38" s="82"/>
      <c r="AI38" s="82"/>
      <c r="AJ38" s="82"/>
      <c r="AK38" s="82"/>
      <c r="AL38" s="82"/>
      <c r="AM38" s="82"/>
      <c r="AN38" s="82"/>
      <c r="AO38" s="83"/>
      <c r="AP38" s="82"/>
      <c r="AQ38" s="83"/>
    </row>
    <row r="39" spans="1:43" s="68" customFormat="1" ht="21" customHeight="1" x14ac:dyDescent="0.35">
      <c r="A39" s="133"/>
      <c r="B39" s="67" t="s">
        <v>39</v>
      </c>
      <c r="C39" s="62">
        <f t="shared" si="4"/>
        <v>0</v>
      </c>
      <c r="D39" s="82"/>
      <c r="E39" s="83"/>
      <c r="F39" s="82"/>
      <c r="G39" s="83"/>
      <c r="H39" s="82"/>
      <c r="I39" s="82"/>
      <c r="J39" s="82"/>
      <c r="K39" s="82"/>
      <c r="L39" s="82"/>
      <c r="M39" s="82"/>
      <c r="N39" s="82"/>
      <c r="O39" s="83"/>
      <c r="P39" s="82"/>
      <c r="Q39" s="82"/>
      <c r="R39" s="82"/>
      <c r="S39" s="83"/>
      <c r="T39" s="83"/>
      <c r="U39" s="83"/>
      <c r="V39" s="83"/>
      <c r="W39" s="83"/>
      <c r="X39" s="83"/>
      <c r="Y39" s="82"/>
      <c r="Z39" s="83"/>
      <c r="AA39" s="83"/>
      <c r="AB39" s="83"/>
      <c r="AC39" s="83"/>
      <c r="AD39" s="82"/>
      <c r="AE39" s="126"/>
      <c r="AF39" s="82"/>
      <c r="AG39" s="82"/>
      <c r="AH39" s="82"/>
      <c r="AI39" s="82"/>
      <c r="AJ39" s="82"/>
      <c r="AK39" s="82"/>
      <c r="AL39" s="82"/>
      <c r="AM39" s="82"/>
      <c r="AN39" s="82"/>
      <c r="AO39" s="83"/>
      <c r="AP39" s="82"/>
      <c r="AQ39" s="89"/>
    </row>
    <row r="40" spans="1:43" s="68" customFormat="1" ht="25.5" customHeight="1" x14ac:dyDescent="0.3">
      <c r="A40" s="134"/>
      <c r="B40" s="67" t="s">
        <v>40</v>
      </c>
      <c r="C40" s="62">
        <f t="shared" si="4"/>
        <v>6390449.9884225763</v>
      </c>
      <c r="D40" s="82">
        <v>584492.37698986987</v>
      </c>
      <c r="E40" s="83">
        <v>194830.7923299566</v>
      </c>
      <c r="F40" s="82">
        <v>662424.69392185239</v>
      </c>
      <c r="G40" s="83">
        <v>662424.69392185239</v>
      </c>
      <c r="H40" s="82">
        <v>896221.64471780043</v>
      </c>
      <c r="I40" s="82">
        <v>1013120.1201157743</v>
      </c>
      <c r="J40" s="82">
        <v>506560.06005788717</v>
      </c>
      <c r="K40" s="82">
        <v>779323.16931982641</v>
      </c>
      <c r="L40" s="82">
        <v>389661.58465991321</v>
      </c>
      <c r="M40" s="82">
        <v>350695.42619392188</v>
      </c>
      <c r="N40" s="82">
        <v>350695.42619392188</v>
      </c>
      <c r="O40" s="83"/>
      <c r="P40" s="82"/>
      <c r="Q40" s="82"/>
      <c r="R40" s="82"/>
      <c r="S40" s="83"/>
      <c r="T40" s="83"/>
      <c r="U40" s="83"/>
      <c r="V40" s="83"/>
      <c r="W40" s="83"/>
      <c r="X40" s="83"/>
      <c r="Y40" s="82"/>
      <c r="Z40" s="83"/>
      <c r="AA40" s="83"/>
      <c r="AB40" s="83"/>
      <c r="AC40" s="83"/>
      <c r="AD40" s="82"/>
      <c r="AE40" s="83"/>
      <c r="AF40" s="82"/>
      <c r="AG40" s="82"/>
      <c r="AH40" s="82"/>
      <c r="AI40" s="82"/>
      <c r="AJ40" s="82"/>
      <c r="AK40" s="82"/>
      <c r="AL40" s="82"/>
      <c r="AM40" s="82"/>
      <c r="AN40" s="82"/>
      <c r="AO40" s="83"/>
      <c r="AP40" s="82"/>
      <c r="AQ40" s="83"/>
    </row>
    <row r="41" spans="1:43" s="68" customFormat="1" ht="33" customHeight="1" x14ac:dyDescent="0.3">
      <c r="A41" s="135" t="s">
        <v>41</v>
      </c>
      <c r="B41" s="66" t="s">
        <v>42</v>
      </c>
      <c r="C41" s="62">
        <f t="shared" si="4"/>
        <v>20444545.290882781</v>
      </c>
      <c r="D41" s="82">
        <v>3672030</v>
      </c>
      <c r="E41" s="82">
        <v>85676.555716353105</v>
      </c>
      <c r="F41" s="82">
        <v>2441300</v>
      </c>
      <c r="G41" s="82">
        <v>4460655</v>
      </c>
      <c r="H41" s="82">
        <v>4894112</v>
      </c>
      <c r="I41" s="82">
        <v>445518.08972503617</v>
      </c>
      <c r="J41" s="82">
        <v>222759.04486251809</v>
      </c>
      <c r="K41" s="82">
        <v>2242706</v>
      </c>
      <c r="L41" s="82">
        <v>1671353</v>
      </c>
      <c r="M41" s="82">
        <v>154217.8002894356</v>
      </c>
      <c r="N41" s="82">
        <v>154217.8002894356</v>
      </c>
      <c r="O41" s="83"/>
      <c r="R41" s="82"/>
      <c r="S41" s="82"/>
      <c r="T41" s="82"/>
      <c r="V41" s="83"/>
      <c r="W41" s="83"/>
      <c r="X41" s="83"/>
      <c r="Z41" s="82"/>
      <c r="AA41" s="83"/>
      <c r="AB41" s="82"/>
      <c r="AC41" s="90"/>
      <c r="AD41" s="82"/>
      <c r="AE41" s="83"/>
      <c r="AF41" s="82"/>
      <c r="AG41" s="82"/>
      <c r="AH41" s="82"/>
      <c r="AI41" s="82"/>
      <c r="AJ41" s="82"/>
      <c r="AK41" s="82"/>
      <c r="AM41" s="82"/>
      <c r="AQ41" s="83"/>
    </row>
    <row r="42" spans="1:43" s="68" customFormat="1" ht="33" customHeight="1" x14ac:dyDescent="0.3">
      <c r="A42" s="135"/>
      <c r="B42" s="69" t="s">
        <v>43</v>
      </c>
      <c r="C42" s="62">
        <f t="shared" si="4"/>
        <v>7618000</v>
      </c>
      <c r="D42" s="82">
        <v>100000</v>
      </c>
      <c r="E42" s="83"/>
      <c r="F42" s="82">
        <v>160000</v>
      </c>
      <c r="G42" s="82">
        <v>390000</v>
      </c>
      <c r="H42" s="82">
        <v>455000</v>
      </c>
      <c r="I42" s="82"/>
      <c r="J42" s="82"/>
      <c r="K42" s="82">
        <v>3263000</v>
      </c>
      <c r="L42" s="82">
        <v>1460000</v>
      </c>
      <c r="M42" s="82">
        <v>1190000</v>
      </c>
      <c r="N42" s="82">
        <v>600000</v>
      </c>
      <c r="O42" s="82"/>
      <c r="S42" s="82"/>
      <c r="T42" s="82"/>
      <c r="V42" s="82"/>
      <c r="X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M42" s="82"/>
      <c r="AQ42" s="82"/>
    </row>
    <row r="43" spans="1:43" s="68" customFormat="1" ht="54.5" customHeight="1" x14ac:dyDescent="0.3">
      <c r="A43" s="135"/>
      <c r="B43" s="69" t="s">
        <v>103</v>
      </c>
      <c r="C43" s="62">
        <f>SUM(D43:AQ43)</f>
        <v>2105000</v>
      </c>
      <c r="D43" s="82"/>
      <c r="E43" s="82"/>
      <c r="F43" s="82">
        <v>100000</v>
      </c>
      <c r="G43" s="82">
        <v>150000</v>
      </c>
      <c r="H43" s="82">
        <v>656000</v>
      </c>
      <c r="I43" s="82">
        <v>200000</v>
      </c>
      <c r="J43" s="82"/>
      <c r="K43" s="82">
        <v>439000</v>
      </c>
      <c r="L43" s="67">
        <v>500000</v>
      </c>
      <c r="M43" s="67">
        <v>60000</v>
      </c>
      <c r="N43" s="67"/>
      <c r="O43" s="82"/>
      <c r="P43" s="82"/>
      <c r="S43" s="82"/>
      <c r="X43" s="82"/>
      <c r="Y43" s="82"/>
      <c r="AA43" s="82"/>
      <c r="AB43" s="82"/>
      <c r="AC43" s="83"/>
      <c r="AE43" s="82"/>
      <c r="AF43" s="82"/>
      <c r="AG43" s="82"/>
      <c r="AH43" s="82"/>
      <c r="AJ43" s="82"/>
      <c r="AL43" s="82"/>
      <c r="AP43" s="82"/>
    </row>
    <row r="44" spans="1:43" s="93" customFormat="1" ht="13" x14ac:dyDescent="0.3">
      <c r="A44" s="91" t="s">
        <v>45</v>
      </c>
      <c r="B44" s="92"/>
      <c r="C44" s="62">
        <f>SUM(C30:C43)</f>
        <v>78159675.04018113</v>
      </c>
      <c r="D44" s="92">
        <f t="shared" ref="D44:AQ44" si="5">SUM(D30:D43)</f>
        <v>8325963.0840743855</v>
      </c>
      <c r="E44" s="92">
        <f t="shared" si="5"/>
        <v>1841705.4991352241</v>
      </c>
      <c r="F44" s="92">
        <f t="shared" si="5"/>
        <v>7532504.0506126741</v>
      </c>
      <c r="G44" s="92">
        <f t="shared" si="5"/>
        <v>10253143.949282192</v>
      </c>
      <c r="H44" s="92">
        <f t="shared" si="5"/>
        <v>12457702.188527651</v>
      </c>
      <c r="I44" s="92">
        <f t="shared" si="5"/>
        <v>7901070.4212197466</v>
      </c>
      <c r="J44" s="92">
        <f>SUM(J30:J43)</f>
        <v>3872769.4570398699</v>
      </c>
      <c r="K44" s="92">
        <f>SUM(K30:K43)</f>
        <v>11410566.174417898</v>
      </c>
      <c r="L44" s="92">
        <f t="shared" si="5"/>
        <v>6736585.56014557</v>
      </c>
      <c r="M44" s="92">
        <f t="shared" si="5"/>
        <v>4248839.4171205778</v>
      </c>
      <c r="N44" s="92">
        <f t="shared" si="5"/>
        <v>3578825.2386053377</v>
      </c>
      <c r="O44" s="92">
        <f t="shared" si="5"/>
        <v>0</v>
      </c>
      <c r="P44" s="92">
        <f t="shared" si="5"/>
        <v>0</v>
      </c>
      <c r="Q44" s="92">
        <f t="shared" si="5"/>
        <v>0</v>
      </c>
      <c r="R44" s="92">
        <f t="shared" si="5"/>
        <v>0</v>
      </c>
      <c r="S44" s="92">
        <f t="shared" si="5"/>
        <v>0</v>
      </c>
      <c r="T44" s="92">
        <f t="shared" si="5"/>
        <v>0</v>
      </c>
      <c r="U44" s="92">
        <f>SUM(U30:U43)</f>
        <v>0</v>
      </c>
      <c r="V44" s="92">
        <f t="shared" si="5"/>
        <v>0</v>
      </c>
      <c r="W44" s="92">
        <f t="shared" si="5"/>
        <v>0</v>
      </c>
      <c r="X44" s="92">
        <f t="shared" si="5"/>
        <v>0</v>
      </c>
      <c r="Y44" s="92">
        <f t="shared" si="5"/>
        <v>0</v>
      </c>
      <c r="Z44" s="92">
        <f t="shared" si="5"/>
        <v>0</v>
      </c>
      <c r="AA44" s="92">
        <f t="shared" si="5"/>
        <v>0</v>
      </c>
      <c r="AB44" s="92">
        <f t="shared" si="5"/>
        <v>0</v>
      </c>
      <c r="AC44" s="92">
        <f t="shared" si="5"/>
        <v>0</v>
      </c>
      <c r="AD44" s="92">
        <f t="shared" si="5"/>
        <v>0</v>
      </c>
      <c r="AE44" s="92">
        <f t="shared" si="5"/>
        <v>0</v>
      </c>
      <c r="AF44" s="92">
        <f t="shared" si="5"/>
        <v>0</v>
      </c>
      <c r="AG44" s="92">
        <f t="shared" si="5"/>
        <v>0</v>
      </c>
      <c r="AH44" s="92">
        <f t="shared" si="5"/>
        <v>0</v>
      </c>
      <c r="AI44" s="92">
        <f t="shared" si="5"/>
        <v>0</v>
      </c>
      <c r="AJ44" s="92">
        <f t="shared" si="5"/>
        <v>0</v>
      </c>
      <c r="AK44" s="92">
        <f t="shared" si="5"/>
        <v>0</v>
      </c>
      <c r="AL44" s="92">
        <f t="shared" si="5"/>
        <v>0</v>
      </c>
      <c r="AM44" s="92">
        <f t="shared" si="5"/>
        <v>0</v>
      </c>
      <c r="AN44" s="92">
        <f t="shared" si="5"/>
        <v>0</v>
      </c>
      <c r="AO44" s="92">
        <f t="shared" si="5"/>
        <v>0</v>
      </c>
      <c r="AP44" s="92">
        <f t="shared" si="5"/>
        <v>0</v>
      </c>
      <c r="AQ44" s="92">
        <f t="shared" si="5"/>
        <v>0</v>
      </c>
    </row>
    <row r="45" spans="1:43" s="96" customFormat="1" ht="13" x14ac:dyDescent="0.3">
      <c r="A45" s="94" t="s">
        <v>46</v>
      </c>
      <c r="B45" s="95"/>
      <c r="C45" s="62">
        <f t="shared" ref="C45:AQ45" si="6">C29+C44</f>
        <v>808664330.04018116</v>
      </c>
      <c r="D45" s="95">
        <f t="shared" si="6"/>
        <v>69521031.084074378</v>
      </c>
      <c r="E45" s="95">
        <f t="shared" si="6"/>
        <v>25417589.499135226</v>
      </c>
      <c r="F45" s="95">
        <f t="shared" si="6"/>
        <v>85979045.050612673</v>
      </c>
      <c r="G45" s="95">
        <f t="shared" si="6"/>
        <v>83021809.949282199</v>
      </c>
      <c r="H45" s="95">
        <f t="shared" si="6"/>
        <v>165582337.18852764</v>
      </c>
      <c r="I45" s="95">
        <f t="shared" si="6"/>
        <v>115097623.42121975</v>
      </c>
      <c r="J45" s="95">
        <f>J29+J44</f>
        <v>68773951.457039863</v>
      </c>
      <c r="K45" s="95">
        <f>K29+K44</f>
        <v>86110266.174417898</v>
      </c>
      <c r="L45" s="95">
        <f t="shared" si="6"/>
        <v>35170764.560145572</v>
      </c>
      <c r="M45" s="95">
        <f t="shared" si="6"/>
        <v>35044367.417120576</v>
      </c>
      <c r="N45" s="95">
        <f t="shared" si="6"/>
        <v>38945544.238605335</v>
      </c>
      <c r="O45" s="95">
        <f t="shared" si="6"/>
        <v>0</v>
      </c>
      <c r="P45" s="95">
        <f t="shared" si="6"/>
        <v>0</v>
      </c>
      <c r="Q45" s="95">
        <f t="shared" si="6"/>
        <v>0</v>
      </c>
      <c r="R45" s="95">
        <f t="shared" si="6"/>
        <v>0</v>
      </c>
      <c r="S45" s="95">
        <f t="shared" si="6"/>
        <v>0</v>
      </c>
      <c r="T45" s="95">
        <f t="shared" si="6"/>
        <v>0</v>
      </c>
      <c r="U45" s="95">
        <f t="shared" si="6"/>
        <v>0</v>
      </c>
      <c r="V45" s="95">
        <f t="shared" si="6"/>
        <v>0</v>
      </c>
      <c r="W45" s="95">
        <f t="shared" si="6"/>
        <v>0</v>
      </c>
      <c r="X45" s="95">
        <f t="shared" si="6"/>
        <v>0</v>
      </c>
      <c r="Y45" s="95">
        <f t="shared" si="6"/>
        <v>0</v>
      </c>
      <c r="Z45" s="95">
        <f t="shared" si="6"/>
        <v>0</v>
      </c>
      <c r="AA45" s="95">
        <f t="shared" si="6"/>
        <v>0</v>
      </c>
      <c r="AB45" s="95">
        <f t="shared" si="6"/>
        <v>0</v>
      </c>
      <c r="AC45" s="95">
        <f t="shared" si="6"/>
        <v>0</v>
      </c>
      <c r="AD45" s="95">
        <f t="shared" si="6"/>
        <v>0</v>
      </c>
      <c r="AE45" s="95">
        <f t="shared" si="6"/>
        <v>0</v>
      </c>
      <c r="AF45" s="95">
        <f t="shared" si="6"/>
        <v>0</v>
      </c>
      <c r="AG45" s="95">
        <f t="shared" si="6"/>
        <v>0</v>
      </c>
      <c r="AH45" s="95">
        <f t="shared" si="6"/>
        <v>0</v>
      </c>
      <c r="AI45" s="95">
        <f t="shared" si="6"/>
        <v>0</v>
      </c>
      <c r="AJ45" s="95">
        <f t="shared" si="6"/>
        <v>0</v>
      </c>
      <c r="AK45" s="95">
        <f t="shared" si="6"/>
        <v>0</v>
      </c>
      <c r="AL45" s="95">
        <f t="shared" si="6"/>
        <v>0</v>
      </c>
      <c r="AM45" s="95">
        <f t="shared" si="6"/>
        <v>0</v>
      </c>
      <c r="AN45" s="95">
        <f t="shared" si="6"/>
        <v>0</v>
      </c>
      <c r="AO45" s="95">
        <f t="shared" si="6"/>
        <v>0</v>
      </c>
      <c r="AP45" s="95">
        <f t="shared" si="6"/>
        <v>0</v>
      </c>
      <c r="AQ45" s="95">
        <f t="shared" si="6"/>
        <v>0</v>
      </c>
    </row>
    <row r="46" spans="1:43" s="93" customFormat="1" ht="13" x14ac:dyDescent="0.3">
      <c r="A46" s="92" t="s">
        <v>47</v>
      </c>
      <c r="B46" s="92"/>
      <c r="C46" s="62">
        <f>C4-C29</f>
        <v>226303945</v>
      </c>
      <c r="D46" s="97">
        <f t="shared" ref="D46:AQ46" si="7">D4-D29</f>
        <v>22990932</v>
      </c>
      <c r="E46" s="97">
        <f t="shared" si="7"/>
        <v>10217116</v>
      </c>
      <c r="F46" s="97">
        <f t="shared" si="7"/>
        <v>21233459</v>
      </c>
      <c r="G46" s="97">
        <f t="shared" si="7"/>
        <v>27110334</v>
      </c>
      <c r="H46" s="97">
        <f t="shared" si="7"/>
        <v>57529365</v>
      </c>
      <c r="I46" s="97">
        <f t="shared" si="7"/>
        <v>22711047</v>
      </c>
      <c r="J46" s="97">
        <f>J4-J29</f>
        <v>14772818</v>
      </c>
      <c r="K46" s="97">
        <f>K4-K29</f>
        <v>17548300</v>
      </c>
      <c r="L46" s="97">
        <f t="shared" si="7"/>
        <v>9596821</v>
      </c>
      <c r="M46" s="97">
        <f t="shared" si="7"/>
        <v>7525472</v>
      </c>
      <c r="N46" s="97">
        <f t="shared" si="7"/>
        <v>15068281</v>
      </c>
      <c r="O46" s="97">
        <f t="shared" si="7"/>
        <v>0</v>
      </c>
      <c r="P46" s="97">
        <f t="shared" si="7"/>
        <v>0</v>
      </c>
      <c r="Q46" s="97">
        <f t="shared" si="7"/>
        <v>0</v>
      </c>
      <c r="R46" s="97">
        <f t="shared" si="7"/>
        <v>0</v>
      </c>
      <c r="S46" s="97">
        <f t="shared" si="7"/>
        <v>0</v>
      </c>
      <c r="T46" s="97">
        <f t="shared" si="7"/>
        <v>0</v>
      </c>
      <c r="U46" s="97">
        <f t="shared" si="7"/>
        <v>0</v>
      </c>
      <c r="V46" s="97">
        <f t="shared" si="7"/>
        <v>0</v>
      </c>
      <c r="W46" s="97">
        <f t="shared" si="7"/>
        <v>0</v>
      </c>
      <c r="X46" s="97">
        <f t="shared" si="7"/>
        <v>0</v>
      </c>
      <c r="Y46" s="97">
        <f t="shared" si="7"/>
        <v>0</v>
      </c>
      <c r="Z46" s="97">
        <f t="shared" si="7"/>
        <v>0</v>
      </c>
      <c r="AA46" s="97">
        <f t="shared" si="7"/>
        <v>0</v>
      </c>
      <c r="AB46" s="97">
        <f t="shared" si="7"/>
        <v>0</v>
      </c>
      <c r="AC46" s="97">
        <f t="shared" si="7"/>
        <v>0</v>
      </c>
      <c r="AD46" s="97">
        <f t="shared" si="7"/>
        <v>0</v>
      </c>
      <c r="AE46" s="97">
        <f t="shared" si="7"/>
        <v>0</v>
      </c>
      <c r="AF46" s="97">
        <f t="shared" si="7"/>
        <v>0</v>
      </c>
      <c r="AG46" s="97">
        <f t="shared" si="7"/>
        <v>0</v>
      </c>
      <c r="AH46" s="97">
        <f t="shared" si="7"/>
        <v>0</v>
      </c>
      <c r="AI46" s="97">
        <f t="shared" si="7"/>
        <v>0</v>
      </c>
      <c r="AJ46" s="97">
        <f t="shared" si="7"/>
        <v>0</v>
      </c>
      <c r="AK46" s="97">
        <f t="shared" si="7"/>
        <v>0</v>
      </c>
      <c r="AL46" s="97">
        <f t="shared" si="7"/>
        <v>0</v>
      </c>
      <c r="AM46" s="97">
        <f t="shared" si="7"/>
        <v>0</v>
      </c>
      <c r="AN46" s="97">
        <f t="shared" si="7"/>
        <v>0</v>
      </c>
      <c r="AO46" s="97">
        <f t="shared" si="7"/>
        <v>0</v>
      </c>
      <c r="AP46" s="97">
        <f t="shared" si="7"/>
        <v>0</v>
      </c>
      <c r="AQ46" s="97">
        <f t="shared" si="7"/>
        <v>0</v>
      </c>
    </row>
    <row r="47" spans="1:43" s="100" customFormat="1" ht="13" x14ac:dyDescent="0.3">
      <c r="A47" s="98" t="s">
        <v>48</v>
      </c>
      <c r="B47" s="98"/>
      <c r="C47" s="62">
        <f>C4-C45</f>
        <v>148144269.95981884</v>
      </c>
      <c r="D47" s="99">
        <f t="shared" ref="D47:AQ47" si="8">D4-D45</f>
        <v>14664968.915925622</v>
      </c>
      <c r="E47" s="99">
        <f t="shared" si="8"/>
        <v>8375410.500864774</v>
      </c>
      <c r="F47" s="99">
        <f t="shared" si="8"/>
        <v>13700954.949387327</v>
      </c>
      <c r="G47" s="99">
        <f t="shared" si="8"/>
        <v>16857190.050717801</v>
      </c>
      <c r="H47" s="99">
        <f t="shared" si="8"/>
        <v>45071662.811472356</v>
      </c>
      <c r="I47" s="99">
        <f t="shared" si="8"/>
        <v>14809976.578780249</v>
      </c>
      <c r="J47" s="99">
        <f>J4-J45</f>
        <v>10900048.542960137</v>
      </c>
      <c r="K47" s="99">
        <f>K4-K45</f>
        <v>6137733.8255821019</v>
      </c>
      <c r="L47" s="99">
        <f t="shared" si="8"/>
        <v>2860235.4398544282</v>
      </c>
      <c r="M47" s="99">
        <f t="shared" si="8"/>
        <v>3276632.5828794241</v>
      </c>
      <c r="N47" s="99">
        <f t="shared" si="8"/>
        <v>11489455.761394665</v>
      </c>
      <c r="O47" s="99">
        <f t="shared" si="8"/>
        <v>0</v>
      </c>
      <c r="P47" s="99">
        <f t="shared" si="8"/>
        <v>0</v>
      </c>
      <c r="Q47" s="99">
        <f t="shared" si="8"/>
        <v>0</v>
      </c>
      <c r="R47" s="99">
        <f t="shared" si="8"/>
        <v>0</v>
      </c>
      <c r="S47" s="99">
        <f t="shared" si="8"/>
        <v>0</v>
      </c>
      <c r="T47" s="99">
        <f t="shared" si="8"/>
        <v>0</v>
      </c>
      <c r="U47" s="99">
        <f t="shared" si="8"/>
        <v>0</v>
      </c>
      <c r="V47" s="99">
        <f t="shared" si="8"/>
        <v>0</v>
      </c>
      <c r="W47" s="99">
        <f t="shared" si="8"/>
        <v>0</v>
      </c>
      <c r="X47" s="99">
        <f t="shared" si="8"/>
        <v>0</v>
      </c>
      <c r="Y47" s="99">
        <f t="shared" si="8"/>
        <v>0</v>
      </c>
      <c r="Z47" s="99">
        <f t="shared" si="8"/>
        <v>0</v>
      </c>
      <c r="AA47" s="99">
        <f t="shared" si="8"/>
        <v>0</v>
      </c>
      <c r="AB47" s="99">
        <f t="shared" si="8"/>
        <v>0</v>
      </c>
      <c r="AC47" s="99">
        <f t="shared" si="8"/>
        <v>0</v>
      </c>
      <c r="AD47" s="99">
        <f t="shared" si="8"/>
        <v>0</v>
      </c>
      <c r="AE47" s="99">
        <f t="shared" si="8"/>
        <v>0</v>
      </c>
      <c r="AF47" s="99">
        <f t="shared" si="8"/>
        <v>0</v>
      </c>
      <c r="AG47" s="99">
        <f t="shared" si="8"/>
        <v>0</v>
      </c>
      <c r="AH47" s="99">
        <f t="shared" si="8"/>
        <v>0</v>
      </c>
      <c r="AI47" s="99">
        <f t="shared" si="8"/>
        <v>0</v>
      </c>
      <c r="AJ47" s="99">
        <f t="shared" si="8"/>
        <v>0</v>
      </c>
      <c r="AK47" s="99">
        <f t="shared" si="8"/>
        <v>0</v>
      </c>
      <c r="AL47" s="99">
        <f t="shared" si="8"/>
        <v>0</v>
      </c>
      <c r="AM47" s="99">
        <f t="shared" si="8"/>
        <v>0</v>
      </c>
      <c r="AN47" s="99">
        <f t="shared" si="8"/>
        <v>0</v>
      </c>
      <c r="AO47" s="99">
        <f t="shared" si="8"/>
        <v>0</v>
      </c>
      <c r="AP47" s="99">
        <f t="shared" si="8"/>
        <v>0</v>
      </c>
      <c r="AQ47" s="99">
        <f t="shared" si="8"/>
        <v>0</v>
      </c>
    </row>
    <row r="48" spans="1:43" s="64" customFormat="1" ht="13" x14ac:dyDescent="0.3">
      <c r="A48" s="60" t="s">
        <v>29</v>
      </c>
      <c r="B48" s="60"/>
      <c r="C48" s="62">
        <f t="shared" ref="C48:AQ48" si="9">C29</f>
        <v>730504655</v>
      </c>
      <c r="D48" s="61">
        <f t="shared" si="9"/>
        <v>61195068</v>
      </c>
      <c r="E48" s="61">
        <f t="shared" si="9"/>
        <v>23575884</v>
      </c>
      <c r="F48" s="61">
        <f t="shared" si="9"/>
        <v>78446541</v>
      </c>
      <c r="G48" s="61">
        <f t="shared" si="9"/>
        <v>72768666</v>
      </c>
      <c r="H48" s="61">
        <f t="shared" si="9"/>
        <v>153124635</v>
      </c>
      <c r="I48" s="61">
        <f t="shared" si="9"/>
        <v>107196553</v>
      </c>
      <c r="J48" s="61">
        <f>J29</f>
        <v>64901182</v>
      </c>
      <c r="K48" s="61">
        <f>K29</f>
        <v>74699700</v>
      </c>
      <c r="L48" s="61">
        <f t="shared" si="9"/>
        <v>28434179</v>
      </c>
      <c r="M48" s="61">
        <f t="shared" si="9"/>
        <v>30795528</v>
      </c>
      <c r="N48" s="61">
        <f t="shared" si="9"/>
        <v>35366719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1">
        <f t="shared" si="9"/>
        <v>0</v>
      </c>
      <c r="AH48" s="61">
        <f t="shared" si="9"/>
        <v>0</v>
      </c>
      <c r="AI48" s="61">
        <f t="shared" si="9"/>
        <v>0</v>
      </c>
      <c r="AJ48" s="61">
        <f t="shared" si="9"/>
        <v>0</v>
      </c>
      <c r="AK48" s="61">
        <f t="shared" si="9"/>
        <v>0</v>
      </c>
      <c r="AL48" s="61">
        <f t="shared" si="9"/>
        <v>0</v>
      </c>
      <c r="AM48" s="61">
        <f t="shared" si="9"/>
        <v>0</v>
      </c>
      <c r="AN48" s="61">
        <f t="shared" si="9"/>
        <v>0</v>
      </c>
      <c r="AO48" s="61">
        <f t="shared" si="9"/>
        <v>0</v>
      </c>
      <c r="AP48" s="61">
        <f t="shared" si="9"/>
        <v>0</v>
      </c>
      <c r="AQ48" s="61">
        <f t="shared" si="9"/>
        <v>0</v>
      </c>
    </row>
    <row r="49" spans="1:43" s="104" customFormat="1" ht="13" x14ac:dyDescent="0.3">
      <c r="A49" s="101" t="s">
        <v>49</v>
      </c>
      <c r="B49" s="102"/>
      <c r="C49" s="103">
        <f t="shared" ref="C49:AQ49" si="10">C47/C4</f>
        <v>0.15483166639578577</v>
      </c>
      <c r="D49" s="101">
        <f t="shared" si="10"/>
        <v>0.17419724082300647</v>
      </c>
      <c r="E49" s="101">
        <f t="shared" si="10"/>
        <v>0.247844538835403</v>
      </c>
      <c r="F49" s="101">
        <f t="shared" si="10"/>
        <v>0.137449387533982</v>
      </c>
      <c r="G49" s="101">
        <f t="shared" si="10"/>
        <v>0.16877611961190842</v>
      </c>
      <c r="H49" s="101">
        <f t="shared" si="10"/>
        <v>0.21396063123165168</v>
      </c>
      <c r="I49" s="101">
        <f t="shared" si="10"/>
        <v>0.11400392724351961</v>
      </c>
      <c r="J49" s="101">
        <f>J47/J4</f>
        <v>0.13680809979366088</v>
      </c>
      <c r="K49" s="101">
        <f>K47/K4</f>
        <v>6.6535142502624461E-2</v>
      </c>
      <c r="L49" s="101">
        <f t="shared" si="10"/>
        <v>7.5207999785817575E-2</v>
      </c>
      <c r="M49" s="101">
        <f t="shared" si="10"/>
        <v>8.5504881993669901E-2</v>
      </c>
      <c r="N49" s="101">
        <f t="shared" si="10"/>
        <v>0.22780719265182245</v>
      </c>
      <c r="O49" s="101" t="e">
        <f t="shared" si="10"/>
        <v>#DIV/0!</v>
      </c>
      <c r="P49" s="101" t="e">
        <f t="shared" si="10"/>
        <v>#DIV/0!</v>
      </c>
      <c r="Q49" s="101" t="e">
        <f t="shared" si="10"/>
        <v>#DIV/0!</v>
      </c>
      <c r="R49" s="101" t="e">
        <f t="shared" si="10"/>
        <v>#DIV/0!</v>
      </c>
      <c r="S49" s="101" t="e">
        <f t="shared" si="10"/>
        <v>#DIV/0!</v>
      </c>
      <c r="T49" s="101" t="e">
        <f t="shared" si="10"/>
        <v>#DIV/0!</v>
      </c>
      <c r="U49" s="101" t="e">
        <f t="shared" si="10"/>
        <v>#DIV/0!</v>
      </c>
      <c r="V49" s="101" t="e">
        <f t="shared" si="10"/>
        <v>#DIV/0!</v>
      </c>
      <c r="W49" s="101" t="e">
        <f t="shared" si="10"/>
        <v>#DIV/0!</v>
      </c>
      <c r="X49" s="101" t="e">
        <f t="shared" si="10"/>
        <v>#DIV/0!</v>
      </c>
      <c r="Y49" s="101" t="e">
        <f t="shared" si="10"/>
        <v>#DIV/0!</v>
      </c>
      <c r="Z49" s="101" t="e">
        <f t="shared" si="10"/>
        <v>#DIV/0!</v>
      </c>
      <c r="AA49" s="101" t="e">
        <f t="shared" si="10"/>
        <v>#DIV/0!</v>
      </c>
      <c r="AB49" s="101" t="e">
        <f t="shared" si="10"/>
        <v>#DIV/0!</v>
      </c>
      <c r="AC49" s="101" t="e">
        <f t="shared" si="10"/>
        <v>#DIV/0!</v>
      </c>
      <c r="AD49" s="101" t="e">
        <f t="shared" si="10"/>
        <v>#DIV/0!</v>
      </c>
      <c r="AE49" s="101" t="e">
        <f t="shared" si="10"/>
        <v>#DIV/0!</v>
      </c>
      <c r="AF49" s="101" t="e">
        <f t="shared" si="10"/>
        <v>#DIV/0!</v>
      </c>
      <c r="AG49" s="101" t="e">
        <f t="shared" si="10"/>
        <v>#DIV/0!</v>
      </c>
      <c r="AH49" s="101" t="e">
        <f t="shared" si="10"/>
        <v>#DIV/0!</v>
      </c>
      <c r="AI49" s="101" t="e">
        <f t="shared" si="10"/>
        <v>#DIV/0!</v>
      </c>
      <c r="AJ49" s="101" t="e">
        <f t="shared" si="10"/>
        <v>#DIV/0!</v>
      </c>
      <c r="AK49" s="101" t="e">
        <f t="shared" si="10"/>
        <v>#DIV/0!</v>
      </c>
      <c r="AL49" s="101" t="e">
        <f t="shared" si="10"/>
        <v>#DIV/0!</v>
      </c>
      <c r="AM49" s="101" t="e">
        <f t="shared" si="10"/>
        <v>#DIV/0!</v>
      </c>
      <c r="AN49" s="101" t="e">
        <f t="shared" si="10"/>
        <v>#DIV/0!</v>
      </c>
      <c r="AO49" s="101" t="e">
        <f t="shared" si="10"/>
        <v>#DIV/0!</v>
      </c>
      <c r="AP49" s="101" t="e">
        <f t="shared" si="10"/>
        <v>#DIV/0!</v>
      </c>
      <c r="AQ49" s="101" t="e">
        <f t="shared" si="10"/>
        <v>#DIV/0!</v>
      </c>
    </row>
    <row r="50" spans="1:43" s="104" customFormat="1" ht="13" x14ac:dyDescent="0.3">
      <c r="A50" s="101" t="s">
        <v>50</v>
      </c>
      <c r="B50" s="102"/>
      <c r="C50" s="103">
        <f t="shared" ref="C50:AQ50" si="11">C46/C4</f>
        <v>0.23651955573977909</v>
      </c>
      <c r="D50" s="101">
        <f t="shared" si="11"/>
        <v>0.27309685695958946</v>
      </c>
      <c r="E50" s="101">
        <f t="shared" si="11"/>
        <v>0.30234415411475751</v>
      </c>
      <c r="F50" s="101">
        <f t="shared" si="11"/>
        <v>0.21301624197431782</v>
      </c>
      <c r="G50" s="101">
        <f t="shared" si="11"/>
        <v>0.27143177244465805</v>
      </c>
      <c r="H50" s="101">
        <f t="shared" si="11"/>
        <v>0.27309884929790085</v>
      </c>
      <c r="I50" s="101">
        <f t="shared" si="11"/>
        <v>0.17482462150020475</v>
      </c>
      <c r="J50" s="101">
        <f>J46/J4</f>
        <v>0.18541579436202527</v>
      </c>
      <c r="K50" s="101">
        <f>K46/K4</f>
        <v>0.19022959847367965</v>
      </c>
      <c r="L50" s="101">
        <f t="shared" si="11"/>
        <v>0.25234206305382451</v>
      </c>
      <c r="M50" s="101">
        <f t="shared" si="11"/>
        <v>0.19637984394979255</v>
      </c>
      <c r="N50" s="101">
        <f t="shared" si="11"/>
        <v>0.29876635273123825</v>
      </c>
      <c r="O50" s="101" t="e">
        <f t="shared" si="11"/>
        <v>#DIV/0!</v>
      </c>
      <c r="P50" s="101" t="e">
        <f t="shared" si="11"/>
        <v>#DIV/0!</v>
      </c>
      <c r="Q50" s="101" t="e">
        <f t="shared" si="11"/>
        <v>#DIV/0!</v>
      </c>
      <c r="R50" s="101" t="e">
        <f t="shared" si="11"/>
        <v>#DIV/0!</v>
      </c>
      <c r="S50" s="101" t="e">
        <f t="shared" si="11"/>
        <v>#DIV/0!</v>
      </c>
      <c r="T50" s="101" t="e">
        <f t="shared" si="11"/>
        <v>#DIV/0!</v>
      </c>
      <c r="U50" s="101" t="e">
        <f t="shared" si="11"/>
        <v>#DIV/0!</v>
      </c>
      <c r="V50" s="101" t="e">
        <f t="shared" si="11"/>
        <v>#DIV/0!</v>
      </c>
      <c r="W50" s="101" t="e">
        <f t="shared" si="11"/>
        <v>#DIV/0!</v>
      </c>
      <c r="X50" s="101" t="e">
        <f t="shared" si="11"/>
        <v>#DIV/0!</v>
      </c>
      <c r="Y50" s="101" t="e">
        <f t="shared" si="11"/>
        <v>#DIV/0!</v>
      </c>
      <c r="Z50" s="101" t="e">
        <f t="shared" si="11"/>
        <v>#DIV/0!</v>
      </c>
      <c r="AA50" s="101" t="e">
        <f t="shared" si="11"/>
        <v>#DIV/0!</v>
      </c>
      <c r="AB50" s="101" t="e">
        <f t="shared" si="11"/>
        <v>#DIV/0!</v>
      </c>
      <c r="AC50" s="101" t="e">
        <f t="shared" si="11"/>
        <v>#DIV/0!</v>
      </c>
      <c r="AD50" s="101" t="e">
        <f t="shared" si="11"/>
        <v>#DIV/0!</v>
      </c>
      <c r="AE50" s="101" t="e">
        <f t="shared" si="11"/>
        <v>#DIV/0!</v>
      </c>
      <c r="AF50" s="101" t="e">
        <f t="shared" si="11"/>
        <v>#DIV/0!</v>
      </c>
      <c r="AG50" s="101" t="e">
        <f t="shared" si="11"/>
        <v>#DIV/0!</v>
      </c>
      <c r="AH50" s="101" t="e">
        <f t="shared" si="11"/>
        <v>#DIV/0!</v>
      </c>
      <c r="AI50" s="101" t="e">
        <f t="shared" si="11"/>
        <v>#DIV/0!</v>
      </c>
      <c r="AJ50" s="101" t="e">
        <f t="shared" si="11"/>
        <v>#DIV/0!</v>
      </c>
      <c r="AK50" s="101" t="e">
        <f t="shared" si="11"/>
        <v>#DIV/0!</v>
      </c>
      <c r="AL50" s="101" t="e">
        <f t="shared" si="11"/>
        <v>#DIV/0!</v>
      </c>
      <c r="AM50" s="101" t="e">
        <f t="shared" si="11"/>
        <v>#DIV/0!</v>
      </c>
      <c r="AN50" s="101" t="e">
        <f t="shared" si="11"/>
        <v>#DIV/0!</v>
      </c>
      <c r="AO50" s="101" t="e">
        <f t="shared" si="11"/>
        <v>#DIV/0!</v>
      </c>
      <c r="AP50" s="101" t="e">
        <f t="shared" si="11"/>
        <v>#DIV/0!</v>
      </c>
      <c r="AQ50" s="101" t="e">
        <f t="shared" si="11"/>
        <v>#DIV/0!</v>
      </c>
    </row>
    <row r="51" spans="1:43" s="104" customFormat="1" ht="13" x14ac:dyDescent="0.3">
      <c r="A51" s="101" t="s">
        <v>51</v>
      </c>
      <c r="B51" s="102"/>
      <c r="C51" s="103">
        <f>C47/C48</f>
        <v>0.20279716076527787</v>
      </c>
      <c r="D51" s="101">
        <f t="shared" ref="D51:AQ51" si="12">D47/D48</f>
        <v>0.2396429875022873</v>
      </c>
      <c r="E51" s="101">
        <f t="shared" si="12"/>
        <v>0.35525329615910795</v>
      </c>
      <c r="F51" s="101">
        <f t="shared" si="12"/>
        <v>0.17465339803047947</v>
      </c>
      <c r="G51" s="101">
        <f t="shared" si="12"/>
        <v>0.23165451529258213</v>
      </c>
      <c r="H51" s="101">
        <f t="shared" si="12"/>
        <v>0.29434625467987147</v>
      </c>
      <c r="I51" s="101">
        <f t="shared" si="12"/>
        <v>0.13815720901753481</v>
      </c>
      <c r="J51" s="101">
        <f>J47/J48</f>
        <v>0.16794838255734906</v>
      </c>
      <c r="K51" s="101">
        <f>K47/K48</f>
        <v>8.2165441435268174E-2</v>
      </c>
      <c r="L51" s="101">
        <f t="shared" si="12"/>
        <v>0.10059145508841413</v>
      </c>
      <c r="M51" s="101">
        <f t="shared" si="12"/>
        <v>0.10639962344141085</v>
      </c>
      <c r="N51" s="101">
        <f t="shared" si="12"/>
        <v>0.32486631743800337</v>
      </c>
      <c r="O51" s="101" t="e">
        <f t="shared" si="12"/>
        <v>#DIV/0!</v>
      </c>
      <c r="P51" s="101" t="e">
        <f t="shared" si="12"/>
        <v>#DIV/0!</v>
      </c>
      <c r="Q51" s="101" t="e">
        <f t="shared" si="12"/>
        <v>#DIV/0!</v>
      </c>
      <c r="R51" s="101" t="e">
        <f t="shared" si="12"/>
        <v>#DIV/0!</v>
      </c>
      <c r="S51" s="101" t="e">
        <f t="shared" si="12"/>
        <v>#DIV/0!</v>
      </c>
      <c r="T51" s="101" t="e">
        <f t="shared" si="12"/>
        <v>#DIV/0!</v>
      </c>
      <c r="U51" s="101" t="e">
        <f t="shared" si="12"/>
        <v>#DIV/0!</v>
      </c>
      <c r="V51" s="101" t="e">
        <f t="shared" si="12"/>
        <v>#DIV/0!</v>
      </c>
      <c r="W51" s="101" t="e">
        <f t="shared" si="12"/>
        <v>#DIV/0!</v>
      </c>
      <c r="X51" s="101" t="e">
        <f t="shared" si="12"/>
        <v>#DIV/0!</v>
      </c>
      <c r="Y51" s="101" t="e">
        <f t="shared" si="12"/>
        <v>#DIV/0!</v>
      </c>
      <c r="Z51" s="101" t="e">
        <f t="shared" si="12"/>
        <v>#DIV/0!</v>
      </c>
      <c r="AA51" s="101" t="e">
        <f t="shared" si="12"/>
        <v>#DIV/0!</v>
      </c>
      <c r="AB51" s="101" t="e">
        <f t="shared" si="12"/>
        <v>#DIV/0!</v>
      </c>
      <c r="AC51" s="101" t="e">
        <f t="shared" si="12"/>
        <v>#DIV/0!</v>
      </c>
      <c r="AD51" s="101" t="e">
        <f t="shared" si="12"/>
        <v>#DIV/0!</v>
      </c>
      <c r="AE51" s="101" t="e">
        <f t="shared" si="12"/>
        <v>#DIV/0!</v>
      </c>
      <c r="AF51" s="101" t="e">
        <f t="shared" si="12"/>
        <v>#DIV/0!</v>
      </c>
      <c r="AG51" s="101" t="e">
        <f t="shared" si="12"/>
        <v>#DIV/0!</v>
      </c>
      <c r="AH51" s="101" t="e">
        <f t="shared" si="12"/>
        <v>#DIV/0!</v>
      </c>
      <c r="AI51" s="101" t="e">
        <f t="shared" si="12"/>
        <v>#DIV/0!</v>
      </c>
      <c r="AJ51" s="101" t="e">
        <f t="shared" si="12"/>
        <v>#DIV/0!</v>
      </c>
      <c r="AK51" s="101" t="e">
        <f t="shared" si="12"/>
        <v>#DIV/0!</v>
      </c>
      <c r="AL51" s="101" t="e">
        <f t="shared" si="12"/>
        <v>#DIV/0!</v>
      </c>
      <c r="AM51" s="101" t="e">
        <f t="shared" si="12"/>
        <v>#DIV/0!</v>
      </c>
      <c r="AN51" s="101" t="e">
        <f t="shared" si="12"/>
        <v>#DIV/0!</v>
      </c>
      <c r="AO51" s="101" t="e">
        <f t="shared" si="12"/>
        <v>#DIV/0!</v>
      </c>
      <c r="AP51" s="101" t="e">
        <f t="shared" si="12"/>
        <v>#DIV/0!</v>
      </c>
      <c r="AQ51" s="101" t="e">
        <f t="shared" si="12"/>
        <v>#DIV/0!</v>
      </c>
    </row>
    <row r="52" spans="1:43" s="105" customFormat="1" ht="13" x14ac:dyDescent="0.3">
      <c r="A52" s="101" t="s">
        <v>52</v>
      </c>
      <c r="B52" s="102"/>
      <c r="C52" s="103">
        <f t="shared" ref="C52:AQ52" si="13">C47/C46</f>
        <v>0.65462522078357421</v>
      </c>
      <c r="D52" s="101">
        <f t="shared" si="13"/>
        <v>0.63785882694645102</v>
      </c>
      <c r="E52" s="101">
        <f t="shared" si="13"/>
        <v>0.81974311546083789</v>
      </c>
      <c r="F52" s="101">
        <f t="shared" si="13"/>
        <v>0.64525308614989796</v>
      </c>
      <c r="G52" s="101">
        <f t="shared" si="13"/>
        <v>0.62179942344929429</v>
      </c>
      <c r="H52" s="101">
        <f t="shared" si="13"/>
        <v>0.78345489840661997</v>
      </c>
      <c r="I52" s="101">
        <f t="shared" si="13"/>
        <v>0.65210452775604089</v>
      </c>
      <c r="J52" s="101">
        <f>J47/J46</f>
        <v>0.73784490832826455</v>
      </c>
      <c r="K52" s="101">
        <f>K47/K46</f>
        <v>0.34976230321923502</v>
      </c>
      <c r="L52" s="101">
        <f t="shared" si="13"/>
        <v>0.29803988631802431</v>
      </c>
      <c r="M52" s="101">
        <f t="shared" si="13"/>
        <v>0.43540559088910624</v>
      </c>
      <c r="N52" s="101">
        <f t="shared" si="13"/>
        <v>0.76249279937072212</v>
      </c>
      <c r="O52" s="101" t="e">
        <f t="shared" si="13"/>
        <v>#DIV/0!</v>
      </c>
      <c r="P52" s="101" t="e">
        <f t="shared" si="13"/>
        <v>#DIV/0!</v>
      </c>
      <c r="Q52" s="101" t="e">
        <f t="shared" si="13"/>
        <v>#DIV/0!</v>
      </c>
      <c r="R52" s="101" t="e">
        <f t="shared" si="13"/>
        <v>#DIV/0!</v>
      </c>
      <c r="S52" s="101" t="e">
        <f t="shared" si="13"/>
        <v>#DIV/0!</v>
      </c>
      <c r="T52" s="101" t="e">
        <f t="shared" si="13"/>
        <v>#DIV/0!</v>
      </c>
      <c r="U52" s="101" t="e">
        <f t="shared" si="13"/>
        <v>#DIV/0!</v>
      </c>
      <c r="V52" s="101" t="e">
        <f t="shared" si="13"/>
        <v>#DIV/0!</v>
      </c>
      <c r="W52" s="101" t="e">
        <f t="shared" si="13"/>
        <v>#DIV/0!</v>
      </c>
      <c r="X52" s="101" t="e">
        <f t="shared" si="13"/>
        <v>#DIV/0!</v>
      </c>
      <c r="Y52" s="101" t="e">
        <f t="shared" si="13"/>
        <v>#DIV/0!</v>
      </c>
      <c r="Z52" s="101" t="e">
        <f t="shared" si="13"/>
        <v>#DIV/0!</v>
      </c>
      <c r="AA52" s="101" t="e">
        <f t="shared" si="13"/>
        <v>#DIV/0!</v>
      </c>
      <c r="AB52" s="101" t="e">
        <f t="shared" si="13"/>
        <v>#DIV/0!</v>
      </c>
      <c r="AC52" s="101" t="e">
        <f t="shared" si="13"/>
        <v>#DIV/0!</v>
      </c>
      <c r="AD52" s="101" t="e">
        <f t="shared" si="13"/>
        <v>#DIV/0!</v>
      </c>
      <c r="AE52" s="101" t="e">
        <f t="shared" si="13"/>
        <v>#DIV/0!</v>
      </c>
      <c r="AF52" s="101" t="e">
        <f t="shared" si="13"/>
        <v>#DIV/0!</v>
      </c>
      <c r="AG52" s="101" t="e">
        <f t="shared" si="13"/>
        <v>#DIV/0!</v>
      </c>
      <c r="AH52" s="101" t="e">
        <f t="shared" si="13"/>
        <v>#DIV/0!</v>
      </c>
      <c r="AI52" s="101" t="e">
        <f t="shared" si="13"/>
        <v>#DIV/0!</v>
      </c>
      <c r="AJ52" s="101" t="e">
        <f t="shared" si="13"/>
        <v>#DIV/0!</v>
      </c>
      <c r="AK52" s="101" t="e">
        <f t="shared" si="13"/>
        <v>#DIV/0!</v>
      </c>
      <c r="AL52" s="101" t="e">
        <f t="shared" si="13"/>
        <v>#DIV/0!</v>
      </c>
      <c r="AM52" s="101" t="e">
        <f t="shared" si="13"/>
        <v>#DIV/0!</v>
      </c>
      <c r="AN52" s="101" t="e">
        <f t="shared" si="13"/>
        <v>#DIV/0!</v>
      </c>
      <c r="AO52" s="101" t="e">
        <f t="shared" si="13"/>
        <v>#DIV/0!</v>
      </c>
      <c r="AP52" s="101" t="e">
        <f t="shared" si="13"/>
        <v>#DIV/0!</v>
      </c>
      <c r="AQ52" s="101" t="e">
        <f t="shared" si="13"/>
        <v>#DIV/0!</v>
      </c>
    </row>
    <row r="53" spans="1:43" s="108" customFormat="1" ht="13" x14ac:dyDescent="0.3">
      <c r="A53" s="106" t="s">
        <v>53</v>
      </c>
      <c r="B53" s="107"/>
      <c r="C53" s="87">
        <f>C45/C46</f>
        <v>3.5733549852176956</v>
      </c>
      <c r="D53" s="106">
        <f t="shared" ref="D53:AQ53" si="14">D45/D46</f>
        <v>3.0238457094333704</v>
      </c>
      <c r="E53" s="106">
        <f t="shared" si="14"/>
        <v>2.4877460037778985</v>
      </c>
      <c r="F53" s="106">
        <f t="shared" si="14"/>
        <v>4.0492246247120018</v>
      </c>
      <c r="G53" s="106">
        <f t="shared" si="14"/>
        <v>3.0623676546840848</v>
      </c>
      <c r="H53" s="106">
        <f t="shared" si="14"/>
        <v>2.878222924736396</v>
      </c>
      <c r="I53" s="106">
        <f t="shared" si="14"/>
        <v>5.0679135762089587</v>
      </c>
      <c r="J53" s="106">
        <f>J45/J46</f>
        <v>4.6554388916887666</v>
      </c>
      <c r="K53" s="106">
        <f>K45/K46</f>
        <v>4.9070431993080756</v>
      </c>
      <c r="L53" s="106">
        <f t="shared" si="14"/>
        <v>3.6648349031565317</v>
      </c>
      <c r="M53" s="106">
        <f t="shared" si="14"/>
        <v>4.6567667007625007</v>
      </c>
      <c r="N53" s="106">
        <f t="shared" si="14"/>
        <v>2.5846043247139692</v>
      </c>
      <c r="O53" s="106" t="e">
        <f t="shared" si="14"/>
        <v>#DIV/0!</v>
      </c>
      <c r="P53" s="106" t="e">
        <f t="shared" si="14"/>
        <v>#DIV/0!</v>
      </c>
      <c r="Q53" s="106" t="e">
        <f t="shared" si="14"/>
        <v>#DIV/0!</v>
      </c>
      <c r="R53" s="106" t="e">
        <f t="shared" si="14"/>
        <v>#DIV/0!</v>
      </c>
      <c r="S53" s="106" t="e">
        <f t="shared" si="14"/>
        <v>#DIV/0!</v>
      </c>
      <c r="T53" s="106" t="e">
        <f t="shared" si="14"/>
        <v>#DIV/0!</v>
      </c>
      <c r="U53" s="106" t="e">
        <f t="shared" si="14"/>
        <v>#DIV/0!</v>
      </c>
      <c r="V53" s="106" t="e">
        <f t="shared" si="14"/>
        <v>#DIV/0!</v>
      </c>
      <c r="W53" s="106" t="e">
        <f t="shared" si="14"/>
        <v>#DIV/0!</v>
      </c>
      <c r="X53" s="106" t="e">
        <f t="shared" si="14"/>
        <v>#DIV/0!</v>
      </c>
      <c r="Y53" s="106" t="e">
        <f t="shared" si="14"/>
        <v>#DIV/0!</v>
      </c>
      <c r="Z53" s="106" t="e">
        <f t="shared" si="14"/>
        <v>#DIV/0!</v>
      </c>
      <c r="AA53" s="106" t="e">
        <f t="shared" si="14"/>
        <v>#DIV/0!</v>
      </c>
      <c r="AB53" s="106" t="e">
        <f t="shared" si="14"/>
        <v>#DIV/0!</v>
      </c>
      <c r="AC53" s="106" t="e">
        <f t="shared" si="14"/>
        <v>#DIV/0!</v>
      </c>
      <c r="AD53" s="106" t="e">
        <f t="shared" si="14"/>
        <v>#DIV/0!</v>
      </c>
      <c r="AE53" s="106" t="e">
        <f t="shared" si="14"/>
        <v>#DIV/0!</v>
      </c>
      <c r="AF53" s="106" t="e">
        <f t="shared" si="14"/>
        <v>#DIV/0!</v>
      </c>
      <c r="AG53" s="106" t="e">
        <f t="shared" si="14"/>
        <v>#DIV/0!</v>
      </c>
      <c r="AH53" s="106" t="e">
        <f t="shared" si="14"/>
        <v>#DIV/0!</v>
      </c>
      <c r="AI53" s="106" t="e">
        <f t="shared" si="14"/>
        <v>#DIV/0!</v>
      </c>
      <c r="AJ53" s="106" t="e">
        <f t="shared" si="14"/>
        <v>#DIV/0!</v>
      </c>
      <c r="AK53" s="106" t="e">
        <f t="shared" si="14"/>
        <v>#DIV/0!</v>
      </c>
      <c r="AL53" s="106" t="e">
        <f t="shared" si="14"/>
        <v>#DIV/0!</v>
      </c>
      <c r="AM53" s="106" t="e">
        <f t="shared" si="14"/>
        <v>#DIV/0!</v>
      </c>
      <c r="AN53" s="106" t="e">
        <f t="shared" si="14"/>
        <v>#DIV/0!</v>
      </c>
      <c r="AO53" s="106" t="e">
        <f t="shared" si="14"/>
        <v>#DIV/0!</v>
      </c>
      <c r="AP53" s="106" t="e">
        <f t="shared" si="14"/>
        <v>#DIV/0!</v>
      </c>
      <c r="AQ53" s="106" t="e">
        <f t="shared" si="14"/>
        <v>#DIV/0!</v>
      </c>
    </row>
    <row r="54" spans="1:43" s="110" customFormat="1" x14ac:dyDescent="0.3">
      <c r="A54" s="109" t="s">
        <v>54</v>
      </c>
      <c r="C54" s="111">
        <f t="shared" ref="C54:AQ54" si="15">C48/C4</f>
        <v>0.76348044426022088</v>
      </c>
      <c r="D54" s="112">
        <f t="shared" si="15"/>
        <v>0.72690314304041048</v>
      </c>
      <c r="E54" s="112">
        <f t="shared" si="15"/>
        <v>0.69765584588524254</v>
      </c>
      <c r="F54" s="112">
        <f t="shared" si="15"/>
        <v>0.78698375802568221</v>
      </c>
      <c r="G54" s="112">
        <f t="shared" si="15"/>
        <v>0.72856822755534201</v>
      </c>
      <c r="H54" s="112">
        <f t="shared" si="15"/>
        <v>0.72690115070209915</v>
      </c>
      <c r="I54" s="112">
        <f t="shared" si="15"/>
        <v>0.82517537849979528</v>
      </c>
      <c r="J54" s="112">
        <f>J48/J4</f>
        <v>0.81458420563797473</v>
      </c>
      <c r="K54" s="112">
        <f>K48/K4</f>
        <v>0.8097704015263204</v>
      </c>
      <c r="L54" s="112">
        <f t="shared" si="15"/>
        <v>0.74765793694617544</v>
      </c>
      <c r="M54" s="112">
        <f t="shared" si="15"/>
        <v>0.80362015605020742</v>
      </c>
      <c r="N54" s="112">
        <f t="shared" si="15"/>
        <v>0.70123364726876181</v>
      </c>
      <c r="O54" s="112" t="e">
        <f t="shared" si="15"/>
        <v>#DIV/0!</v>
      </c>
      <c r="P54" s="112" t="e">
        <f t="shared" si="15"/>
        <v>#DIV/0!</v>
      </c>
      <c r="Q54" s="112" t="e">
        <f t="shared" si="15"/>
        <v>#DIV/0!</v>
      </c>
      <c r="R54" s="112" t="e">
        <f t="shared" si="15"/>
        <v>#DIV/0!</v>
      </c>
      <c r="S54" s="112" t="e">
        <f t="shared" si="15"/>
        <v>#DIV/0!</v>
      </c>
      <c r="T54" s="112" t="e">
        <f t="shared" si="15"/>
        <v>#DIV/0!</v>
      </c>
      <c r="U54" s="112" t="e">
        <f t="shared" si="15"/>
        <v>#DIV/0!</v>
      </c>
      <c r="V54" s="112" t="e">
        <f t="shared" si="15"/>
        <v>#DIV/0!</v>
      </c>
      <c r="W54" s="112" t="e">
        <f t="shared" si="15"/>
        <v>#DIV/0!</v>
      </c>
      <c r="X54" s="112" t="e">
        <f t="shared" si="15"/>
        <v>#DIV/0!</v>
      </c>
      <c r="Y54" s="112" t="e">
        <f t="shared" si="15"/>
        <v>#DIV/0!</v>
      </c>
      <c r="Z54" s="112" t="e">
        <f t="shared" si="15"/>
        <v>#DIV/0!</v>
      </c>
      <c r="AA54" s="112" t="e">
        <f t="shared" si="15"/>
        <v>#DIV/0!</v>
      </c>
      <c r="AB54" s="112" t="e">
        <f t="shared" si="15"/>
        <v>#DIV/0!</v>
      </c>
      <c r="AC54" s="112" t="e">
        <f t="shared" si="15"/>
        <v>#DIV/0!</v>
      </c>
      <c r="AD54" s="112" t="e">
        <f t="shared" si="15"/>
        <v>#DIV/0!</v>
      </c>
      <c r="AE54" s="112" t="e">
        <f t="shared" si="15"/>
        <v>#DIV/0!</v>
      </c>
      <c r="AF54" s="112" t="e">
        <f t="shared" si="15"/>
        <v>#DIV/0!</v>
      </c>
      <c r="AG54" s="112" t="e">
        <f t="shared" si="15"/>
        <v>#DIV/0!</v>
      </c>
      <c r="AH54" s="112" t="e">
        <f t="shared" si="15"/>
        <v>#DIV/0!</v>
      </c>
      <c r="AI54" s="112" t="e">
        <f t="shared" si="15"/>
        <v>#DIV/0!</v>
      </c>
      <c r="AJ54" s="112" t="e">
        <f t="shared" si="15"/>
        <v>#DIV/0!</v>
      </c>
      <c r="AK54" s="112" t="e">
        <f t="shared" si="15"/>
        <v>#DIV/0!</v>
      </c>
      <c r="AL54" s="112" t="e">
        <f t="shared" si="15"/>
        <v>#DIV/0!</v>
      </c>
      <c r="AM54" s="112" t="e">
        <f t="shared" si="15"/>
        <v>#DIV/0!</v>
      </c>
      <c r="AN54" s="112" t="e">
        <f t="shared" si="15"/>
        <v>#DIV/0!</v>
      </c>
      <c r="AO54" s="112" t="e">
        <f t="shared" si="15"/>
        <v>#DIV/0!</v>
      </c>
      <c r="AP54" s="112" t="e">
        <f t="shared" si="15"/>
        <v>#DIV/0!</v>
      </c>
      <c r="AQ54" s="112" t="e">
        <f t="shared" si="15"/>
        <v>#DIV/0!</v>
      </c>
    </row>
    <row r="55" spans="1:43" s="110" customFormat="1" x14ac:dyDescent="0.3">
      <c r="A55" s="109" t="s">
        <v>55</v>
      </c>
      <c r="C55" s="111">
        <f t="shared" ref="C55:AQ55" si="16">C44/C4</f>
        <v>8.1687889343993278E-2</v>
      </c>
      <c r="D55" s="112">
        <f t="shared" si="16"/>
        <v>9.8899616136583102E-2</v>
      </c>
      <c r="E55" s="112">
        <f t="shared" si="16"/>
        <v>5.449961527935443E-2</v>
      </c>
      <c r="F55" s="112">
        <f t="shared" si="16"/>
        <v>7.5566854440335812E-2</v>
      </c>
      <c r="G55" s="112">
        <f t="shared" si="16"/>
        <v>0.10265565283274955</v>
      </c>
      <c r="H55" s="112">
        <f t="shared" si="16"/>
        <v>5.9138218066249165E-2</v>
      </c>
      <c r="I55" s="112">
        <f t="shared" si="16"/>
        <v>6.0820694256685112E-2</v>
      </c>
      <c r="J55" s="112">
        <f>J44/J4</f>
        <v>4.860769456836446E-2</v>
      </c>
      <c r="K55" s="112">
        <f>K44/K4</f>
        <v>0.12369445597105518</v>
      </c>
      <c r="L55" s="112">
        <f t="shared" si="16"/>
        <v>0.17713406326800687</v>
      </c>
      <c r="M55" s="112">
        <f t="shared" si="16"/>
        <v>0.11087496195612269</v>
      </c>
      <c r="N55" s="112">
        <f t="shared" si="16"/>
        <v>7.0959160079415842E-2</v>
      </c>
      <c r="O55" s="112" t="e">
        <f t="shared" si="16"/>
        <v>#DIV/0!</v>
      </c>
      <c r="P55" s="112" t="e">
        <f t="shared" si="16"/>
        <v>#DIV/0!</v>
      </c>
      <c r="Q55" s="112" t="e">
        <f t="shared" si="16"/>
        <v>#DIV/0!</v>
      </c>
      <c r="R55" s="112" t="e">
        <f t="shared" si="16"/>
        <v>#DIV/0!</v>
      </c>
      <c r="S55" s="112" t="e">
        <f t="shared" si="16"/>
        <v>#DIV/0!</v>
      </c>
      <c r="T55" s="112" t="e">
        <f t="shared" si="16"/>
        <v>#DIV/0!</v>
      </c>
      <c r="U55" s="112" t="e">
        <f t="shared" si="16"/>
        <v>#DIV/0!</v>
      </c>
      <c r="V55" s="112" t="e">
        <f t="shared" si="16"/>
        <v>#DIV/0!</v>
      </c>
      <c r="W55" s="112" t="e">
        <f t="shared" si="16"/>
        <v>#DIV/0!</v>
      </c>
      <c r="X55" s="112" t="e">
        <f t="shared" si="16"/>
        <v>#DIV/0!</v>
      </c>
      <c r="Y55" s="112" t="e">
        <f t="shared" si="16"/>
        <v>#DIV/0!</v>
      </c>
      <c r="Z55" s="112" t="e">
        <f t="shared" si="16"/>
        <v>#DIV/0!</v>
      </c>
      <c r="AA55" s="112" t="e">
        <f t="shared" si="16"/>
        <v>#DIV/0!</v>
      </c>
      <c r="AB55" s="112" t="e">
        <f t="shared" si="16"/>
        <v>#DIV/0!</v>
      </c>
      <c r="AC55" s="112" t="e">
        <f t="shared" si="16"/>
        <v>#DIV/0!</v>
      </c>
      <c r="AD55" s="112" t="e">
        <f t="shared" si="16"/>
        <v>#DIV/0!</v>
      </c>
      <c r="AE55" s="112" t="e">
        <f t="shared" si="16"/>
        <v>#DIV/0!</v>
      </c>
      <c r="AF55" s="112" t="e">
        <f t="shared" si="16"/>
        <v>#DIV/0!</v>
      </c>
      <c r="AG55" s="112" t="e">
        <f t="shared" si="16"/>
        <v>#DIV/0!</v>
      </c>
      <c r="AH55" s="112" t="e">
        <f t="shared" si="16"/>
        <v>#DIV/0!</v>
      </c>
      <c r="AI55" s="112" t="e">
        <f t="shared" si="16"/>
        <v>#DIV/0!</v>
      </c>
      <c r="AJ55" s="112" t="e">
        <f t="shared" si="16"/>
        <v>#DIV/0!</v>
      </c>
      <c r="AK55" s="112" t="e">
        <f t="shared" si="16"/>
        <v>#DIV/0!</v>
      </c>
      <c r="AL55" s="112" t="e">
        <f t="shared" si="16"/>
        <v>#DIV/0!</v>
      </c>
      <c r="AM55" s="112" t="e">
        <f t="shared" si="16"/>
        <v>#DIV/0!</v>
      </c>
      <c r="AN55" s="112" t="e">
        <f t="shared" si="16"/>
        <v>#DIV/0!</v>
      </c>
      <c r="AO55" s="112" t="e">
        <f t="shared" si="16"/>
        <v>#DIV/0!</v>
      </c>
      <c r="AP55" s="112" t="e">
        <f t="shared" si="16"/>
        <v>#DIV/0!</v>
      </c>
      <c r="AQ55" s="112" t="e">
        <f t="shared" si="16"/>
        <v>#DIV/0!</v>
      </c>
    </row>
    <row r="56" spans="1:43" s="110" customFormat="1" x14ac:dyDescent="0.3">
      <c r="A56" s="113" t="s">
        <v>56</v>
      </c>
      <c r="C56" s="111">
        <f t="shared" ref="C56:AQ56" si="17">C45/C4</f>
        <v>0.84516833360421417</v>
      </c>
      <c r="D56" s="112">
        <f t="shared" si="17"/>
        <v>0.82580275917699353</v>
      </c>
      <c r="E56" s="112">
        <f t="shared" si="17"/>
        <v>0.75215546116459697</v>
      </c>
      <c r="F56" s="112">
        <f t="shared" si="17"/>
        <v>0.86255061246601794</v>
      </c>
      <c r="G56" s="112">
        <f t="shared" si="17"/>
        <v>0.83122388038809158</v>
      </c>
      <c r="H56" s="112">
        <f t="shared" si="17"/>
        <v>0.78603936876834835</v>
      </c>
      <c r="I56" s="112">
        <f t="shared" si="17"/>
        <v>0.8859960727564804</v>
      </c>
      <c r="J56" s="112">
        <f>J45/J4</f>
        <v>0.86319190020633907</v>
      </c>
      <c r="K56" s="112">
        <f>K45/K4</f>
        <v>0.93346485749737551</v>
      </c>
      <c r="L56" s="112">
        <f t="shared" si="17"/>
        <v>0.9247920002141824</v>
      </c>
      <c r="M56" s="112">
        <f t="shared" si="17"/>
        <v>0.9144951180063301</v>
      </c>
      <c r="N56" s="112">
        <f t="shared" si="17"/>
        <v>0.77219280734817752</v>
      </c>
      <c r="O56" s="112" t="e">
        <f t="shared" si="17"/>
        <v>#DIV/0!</v>
      </c>
      <c r="P56" s="112" t="e">
        <f t="shared" si="17"/>
        <v>#DIV/0!</v>
      </c>
      <c r="Q56" s="112" t="e">
        <f t="shared" si="17"/>
        <v>#DIV/0!</v>
      </c>
      <c r="R56" s="112" t="e">
        <f t="shared" si="17"/>
        <v>#DIV/0!</v>
      </c>
      <c r="S56" s="112" t="e">
        <f t="shared" si="17"/>
        <v>#DIV/0!</v>
      </c>
      <c r="T56" s="112" t="e">
        <f t="shared" si="17"/>
        <v>#DIV/0!</v>
      </c>
      <c r="U56" s="112" t="e">
        <f t="shared" si="17"/>
        <v>#DIV/0!</v>
      </c>
      <c r="V56" s="112" t="e">
        <f t="shared" si="17"/>
        <v>#DIV/0!</v>
      </c>
      <c r="W56" s="112" t="e">
        <f t="shared" si="17"/>
        <v>#DIV/0!</v>
      </c>
      <c r="X56" s="112" t="e">
        <f t="shared" si="17"/>
        <v>#DIV/0!</v>
      </c>
      <c r="Y56" s="112" t="e">
        <f t="shared" si="17"/>
        <v>#DIV/0!</v>
      </c>
      <c r="Z56" s="112" t="e">
        <f t="shared" si="17"/>
        <v>#DIV/0!</v>
      </c>
      <c r="AA56" s="112" t="e">
        <f t="shared" si="17"/>
        <v>#DIV/0!</v>
      </c>
      <c r="AB56" s="112" t="e">
        <f t="shared" si="17"/>
        <v>#DIV/0!</v>
      </c>
      <c r="AC56" s="112" t="e">
        <f t="shared" si="17"/>
        <v>#DIV/0!</v>
      </c>
      <c r="AD56" s="112" t="e">
        <f t="shared" si="17"/>
        <v>#DIV/0!</v>
      </c>
      <c r="AE56" s="112" t="e">
        <f t="shared" si="17"/>
        <v>#DIV/0!</v>
      </c>
      <c r="AF56" s="112" t="e">
        <f t="shared" si="17"/>
        <v>#DIV/0!</v>
      </c>
      <c r="AG56" s="112" t="e">
        <f t="shared" si="17"/>
        <v>#DIV/0!</v>
      </c>
      <c r="AH56" s="112" t="e">
        <f t="shared" si="17"/>
        <v>#DIV/0!</v>
      </c>
      <c r="AI56" s="112" t="e">
        <f t="shared" si="17"/>
        <v>#DIV/0!</v>
      </c>
      <c r="AJ56" s="112" t="e">
        <f t="shared" si="17"/>
        <v>#DIV/0!</v>
      </c>
      <c r="AK56" s="112" t="e">
        <f t="shared" si="17"/>
        <v>#DIV/0!</v>
      </c>
      <c r="AL56" s="112" t="e">
        <f t="shared" si="17"/>
        <v>#DIV/0!</v>
      </c>
      <c r="AM56" s="112" t="e">
        <f t="shared" si="17"/>
        <v>#DIV/0!</v>
      </c>
      <c r="AN56" s="112" t="e">
        <f t="shared" si="17"/>
        <v>#DIV/0!</v>
      </c>
      <c r="AO56" s="112" t="e">
        <f t="shared" si="17"/>
        <v>#DIV/0!</v>
      </c>
      <c r="AP56" s="112" t="e">
        <f t="shared" si="17"/>
        <v>#DIV/0!</v>
      </c>
      <c r="AQ56" s="112" t="e">
        <f t="shared" si="17"/>
        <v>#DIV/0!</v>
      </c>
    </row>
    <row r="57" spans="1:43" s="110" customFormat="1" x14ac:dyDescent="0.3">
      <c r="A57" s="113" t="s">
        <v>104</v>
      </c>
      <c r="C57" s="111">
        <f t="shared" ref="C57:AQ57" si="18">SUM(C30:C39)/C44</f>
        <v>0.53226526005243446</v>
      </c>
      <c r="D57" s="112">
        <f t="shared" si="18"/>
        <v>0.47675454082628888</v>
      </c>
      <c r="E57" s="112">
        <f t="shared" si="18"/>
        <v>0.84769152930366864</v>
      </c>
      <c r="F57" s="112">
        <f t="shared" si="18"/>
        <v>0.55343871422833746</v>
      </c>
      <c r="G57" s="112">
        <f t="shared" si="18"/>
        <v>0.44767383332033328</v>
      </c>
      <c r="H57" s="112">
        <f t="shared" si="18"/>
        <v>0.44601873280665932</v>
      </c>
      <c r="I57" s="112">
        <f t="shared" si="18"/>
        <v>0.79007424039833396</v>
      </c>
      <c r="J57" s="112">
        <f>SUM(J30:J39)/J44</f>
        <v>0.81168021670005208</v>
      </c>
      <c r="K57" s="112">
        <f>SUM(K30:K39)/K44</f>
        <v>0.41071905928779673</v>
      </c>
      <c r="L57" s="112">
        <f t="shared" si="18"/>
        <v>0.40310791739234986</v>
      </c>
      <c r="M57" s="112">
        <f t="shared" si="18"/>
        <v>0.58696645031770678</v>
      </c>
      <c r="N57" s="112">
        <f t="shared" si="18"/>
        <v>0.69126371006762533</v>
      </c>
      <c r="O57" s="112" t="e">
        <f t="shared" si="18"/>
        <v>#DIV/0!</v>
      </c>
      <c r="P57" s="112" t="e">
        <f t="shared" si="18"/>
        <v>#DIV/0!</v>
      </c>
      <c r="Q57" s="112" t="e">
        <f t="shared" si="18"/>
        <v>#DIV/0!</v>
      </c>
      <c r="R57" s="112" t="e">
        <f t="shared" si="18"/>
        <v>#DIV/0!</v>
      </c>
      <c r="S57" s="112" t="e">
        <f t="shared" si="18"/>
        <v>#DIV/0!</v>
      </c>
      <c r="T57" s="112" t="e">
        <f t="shared" si="18"/>
        <v>#DIV/0!</v>
      </c>
      <c r="U57" s="112" t="e">
        <f t="shared" si="18"/>
        <v>#DIV/0!</v>
      </c>
      <c r="V57" s="112" t="e">
        <f t="shared" si="18"/>
        <v>#DIV/0!</v>
      </c>
      <c r="W57" s="112" t="e">
        <f t="shared" si="18"/>
        <v>#DIV/0!</v>
      </c>
      <c r="X57" s="112" t="e">
        <f t="shared" si="18"/>
        <v>#DIV/0!</v>
      </c>
      <c r="Y57" s="112" t="e">
        <f t="shared" si="18"/>
        <v>#DIV/0!</v>
      </c>
      <c r="Z57" s="112" t="e">
        <f t="shared" si="18"/>
        <v>#DIV/0!</v>
      </c>
      <c r="AA57" s="112" t="e">
        <f t="shared" si="18"/>
        <v>#DIV/0!</v>
      </c>
      <c r="AB57" s="112" t="e">
        <f t="shared" si="18"/>
        <v>#DIV/0!</v>
      </c>
      <c r="AC57" s="112" t="e">
        <f t="shared" si="18"/>
        <v>#DIV/0!</v>
      </c>
      <c r="AD57" s="112" t="e">
        <f t="shared" si="18"/>
        <v>#DIV/0!</v>
      </c>
      <c r="AE57" s="112" t="e">
        <f t="shared" si="18"/>
        <v>#DIV/0!</v>
      </c>
      <c r="AF57" s="112" t="e">
        <f t="shared" si="18"/>
        <v>#DIV/0!</v>
      </c>
      <c r="AG57" s="112" t="e">
        <f t="shared" si="18"/>
        <v>#DIV/0!</v>
      </c>
      <c r="AH57" s="112" t="e">
        <f t="shared" si="18"/>
        <v>#DIV/0!</v>
      </c>
      <c r="AI57" s="112" t="e">
        <f t="shared" si="18"/>
        <v>#DIV/0!</v>
      </c>
      <c r="AJ57" s="112" t="e">
        <f t="shared" si="18"/>
        <v>#DIV/0!</v>
      </c>
      <c r="AK57" s="112" t="e">
        <f t="shared" si="18"/>
        <v>#DIV/0!</v>
      </c>
      <c r="AL57" s="112" t="e">
        <f t="shared" si="18"/>
        <v>#DIV/0!</v>
      </c>
      <c r="AM57" s="112" t="e">
        <f t="shared" si="18"/>
        <v>#DIV/0!</v>
      </c>
      <c r="AN57" s="112" t="e">
        <f t="shared" si="18"/>
        <v>#DIV/0!</v>
      </c>
      <c r="AO57" s="112" t="e">
        <f t="shared" si="18"/>
        <v>#DIV/0!</v>
      </c>
      <c r="AP57" s="112" t="e">
        <f t="shared" si="18"/>
        <v>#DIV/0!</v>
      </c>
      <c r="AQ57" s="112" t="e">
        <f t="shared" si="18"/>
        <v>#DIV/0!</v>
      </c>
    </row>
    <row r="58" spans="1:43" s="110" customFormat="1" x14ac:dyDescent="0.3">
      <c r="A58" s="113" t="s">
        <v>210</v>
      </c>
      <c r="C58" s="111">
        <f>C19/(SUM(C23:C28)+C36)</f>
        <v>1.4126448851511819</v>
      </c>
      <c r="D58" s="112">
        <f t="shared" ref="D58:AQ58" si="19">D19/(SUM(D23:D28)+D36)</f>
        <v>1.6161679745547581</v>
      </c>
      <c r="E58" s="112">
        <f t="shared" si="19"/>
        <v>1.0597939988681004</v>
      </c>
      <c r="F58" s="112">
        <f t="shared" si="19"/>
        <v>1.343331184185985</v>
      </c>
      <c r="G58" s="112">
        <f t="shared" si="19"/>
        <v>1.2323387907885519</v>
      </c>
      <c r="H58" s="112">
        <f t="shared" si="19"/>
        <v>1.9400213559335719</v>
      </c>
      <c r="I58" s="112">
        <f t="shared" si="19"/>
        <v>1.5433219321339522</v>
      </c>
      <c r="J58" s="112">
        <f t="shared" si="19"/>
        <v>1.2642160586025315</v>
      </c>
      <c r="K58" s="112">
        <f t="shared" si="19"/>
        <v>1.1310704891988634</v>
      </c>
      <c r="L58" s="112">
        <f t="shared" si="19"/>
        <v>1.2291161820607859</v>
      </c>
      <c r="M58" s="112">
        <f t="shared" si="19"/>
        <v>1.0864097971405329</v>
      </c>
      <c r="N58" s="112">
        <f t="shared" si="19"/>
        <v>1.243124670790845</v>
      </c>
      <c r="O58" s="112" t="e">
        <f t="shared" si="19"/>
        <v>#DIV/0!</v>
      </c>
      <c r="P58" s="112" t="e">
        <f t="shared" si="19"/>
        <v>#DIV/0!</v>
      </c>
      <c r="Q58" s="112" t="e">
        <f t="shared" si="19"/>
        <v>#DIV/0!</v>
      </c>
      <c r="R58" s="112" t="e">
        <f t="shared" si="19"/>
        <v>#DIV/0!</v>
      </c>
      <c r="S58" s="112" t="e">
        <f t="shared" si="19"/>
        <v>#DIV/0!</v>
      </c>
      <c r="T58" s="112" t="e">
        <f t="shared" si="19"/>
        <v>#DIV/0!</v>
      </c>
      <c r="U58" s="112" t="e">
        <f t="shared" si="19"/>
        <v>#DIV/0!</v>
      </c>
      <c r="V58" s="112" t="e">
        <f t="shared" si="19"/>
        <v>#DIV/0!</v>
      </c>
      <c r="W58" s="112" t="e">
        <f t="shared" si="19"/>
        <v>#DIV/0!</v>
      </c>
      <c r="X58" s="112" t="e">
        <f t="shared" si="19"/>
        <v>#DIV/0!</v>
      </c>
      <c r="Y58" s="112" t="e">
        <f t="shared" si="19"/>
        <v>#DIV/0!</v>
      </c>
      <c r="Z58" s="112" t="e">
        <f t="shared" si="19"/>
        <v>#DIV/0!</v>
      </c>
      <c r="AA58" s="112" t="e">
        <f t="shared" si="19"/>
        <v>#DIV/0!</v>
      </c>
      <c r="AB58" s="112" t="e">
        <f t="shared" si="19"/>
        <v>#DIV/0!</v>
      </c>
      <c r="AC58" s="112" t="e">
        <f t="shared" si="19"/>
        <v>#DIV/0!</v>
      </c>
      <c r="AD58" s="112" t="e">
        <f t="shared" si="19"/>
        <v>#DIV/0!</v>
      </c>
      <c r="AE58" s="112" t="e">
        <f t="shared" si="19"/>
        <v>#DIV/0!</v>
      </c>
      <c r="AF58" s="112" t="e">
        <f t="shared" si="19"/>
        <v>#DIV/0!</v>
      </c>
      <c r="AG58" s="112" t="e">
        <f t="shared" si="19"/>
        <v>#DIV/0!</v>
      </c>
      <c r="AH58" s="112" t="e">
        <f t="shared" si="19"/>
        <v>#DIV/0!</v>
      </c>
      <c r="AI58" s="112" t="e">
        <f t="shared" si="19"/>
        <v>#DIV/0!</v>
      </c>
      <c r="AJ58" s="112" t="e">
        <f t="shared" si="19"/>
        <v>#DIV/0!</v>
      </c>
      <c r="AK58" s="112" t="e">
        <f t="shared" si="19"/>
        <v>#DIV/0!</v>
      </c>
      <c r="AL58" s="112" t="e">
        <f t="shared" si="19"/>
        <v>#DIV/0!</v>
      </c>
      <c r="AM58" s="112" t="e">
        <f t="shared" si="19"/>
        <v>#DIV/0!</v>
      </c>
      <c r="AN58" s="112" t="e">
        <f t="shared" si="19"/>
        <v>#DIV/0!</v>
      </c>
      <c r="AO58" s="112" t="e">
        <f t="shared" si="19"/>
        <v>#DIV/0!</v>
      </c>
      <c r="AP58" s="112" t="e">
        <f t="shared" si="19"/>
        <v>#DIV/0!</v>
      </c>
      <c r="AQ58" s="112" t="e">
        <f t="shared" si="19"/>
        <v>#DIV/0!</v>
      </c>
    </row>
    <row r="59" spans="1:43" s="110" customFormat="1" x14ac:dyDescent="0.3">
      <c r="A59" s="113" t="s">
        <v>211</v>
      </c>
      <c r="C59" s="111">
        <f>C11/C21</f>
        <v>1.2255351843119853</v>
      </c>
      <c r="D59" s="112">
        <f t="shared" ref="D59:AQ59" si="20">D11/D21</f>
        <v>1.1947580645161289</v>
      </c>
      <c r="E59" s="112">
        <f t="shared" si="20"/>
        <v>1.5529411764705883</v>
      </c>
      <c r="F59" s="112">
        <f t="shared" si="20"/>
        <v>1.17315296566077</v>
      </c>
      <c r="G59" s="112">
        <f t="shared" si="20"/>
        <v>1.2283760683760683</v>
      </c>
      <c r="H59" s="112">
        <f t="shared" si="20"/>
        <v>1.2154838709677418</v>
      </c>
      <c r="I59" s="112">
        <f t="shared" si="20"/>
        <v>1.1220930232558139</v>
      </c>
      <c r="J59" s="112">
        <f t="shared" si="20"/>
        <v>1.208</v>
      </c>
      <c r="K59" s="112">
        <f t="shared" si="20"/>
        <v>1.2578917050691245</v>
      </c>
      <c r="L59" s="112">
        <f t="shared" si="20"/>
        <v>1.334090909090909</v>
      </c>
      <c r="M59" s="112">
        <f t="shared" si="20"/>
        <v>1.2916666666666667</v>
      </c>
      <c r="N59" s="112">
        <f t="shared" si="20"/>
        <v>1.3785714285714286</v>
      </c>
      <c r="O59" s="112" t="e">
        <f t="shared" si="20"/>
        <v>#DIV/0!</v>
      </c>
      <c r="P59" s="112" t="e">
        <f t="shared" si="20"/>
        <v>#DIV/0!</v>
      </c>
      <c r="Q59" s="112" t="e">
        <f t="shared" si="20"/>
        <v>#DIV/0!</v>
      </c>
      <c r="R59" s="112" t="e">
        <f t="shared" si="20"/>
        <v>#DIV/0!</v>
      </c>
      <c r="S59" s="112" t="e">
        <f t="shared" si="20"/>
        <v>#DIV/0!</v>
      </c>
      <c r="T59" s="112" t="e">
        <f t="shared" si="20"/>
        <v>#DIV/0!</v>
      </c>
      <c r="U59" s="112" t="e">
        <f t="shared" si="20"/>
        <v>#DIV/0!</v>
      </c>
      <c r="V59" s="112" t="e">
        <f t="shared" si="20"/>
        <v>#DIV/0!</v>
      </c>
      <c r="W59" s="112" t="e">
        <f t="shared" si="20"/>
        <v>#DIV/0!</v>
      </c>
      <c r="X59" s="112" t="e">
        <f t="shared" si="20"/>
        <v>#DIV/0!</v>
      </c>
      <c r="Y59" s="112" t="e">
        <f t="shared" si="20"/>
        <v>#DIV/0!</v>
      </c>
      <c r="Z59" s="112" t="e">
        <f t="shared" si="20"/>
        <v>#DIV/0!</v>
      </c>
      <c r="AA59" s="112" t="e">
        <f t="shared" si="20"/>
        <v>#DIV/0!</v>
      </c>
      <c r="AB59" s="112" t="e">
        <f t="shared" si="20"/>
        <v>#DIV/0!</v>
      </c>
      <c r="AC59" s="112" t="e">
        <f t="shared" si="20"/>
        <v>#DIV/0!</v>
      </c>
      <c r="AD59" s="112" t="e">
        <f t="shared" si="20"/>
        <v>#DIV/0!</v>
      </c>
      <c r="AE59" s="112" t="e">
        <f t="shared" si="20"/>
        <v>#DIV/0!</v>
      </c>
      <c r="AF59" s="112" t="e">
        <f t="shared" si="20"/>
        <v>#DIV/0!</v>
      </c>
      <c r="AG59" s="112" t="e">
        <f t="shared" si="20"/>
        <v>#DIV/0!</v>
      </c>
      <c r="AH59" s="112" t="e">
        <f t="shared" si="20"/>
        <v>#DIV/0!</v>
      </c>
      <c r="AI59" s="112" t="e">
        <f t="shared" si="20"/>
        <v>#DIV/0!</v>
      </c>
      <c r="AJ59" s="112" t="e">
        <f t="shared" si="20"/>
        <v>#DIV/0!</v>
      </c>
      <c r="AK59" s="112" t="e">
        <f t="shared" si="20"/>
        <v>#DIV/0!</v>
      </c>
      <c r="AL59" s="112" t="e">
        <f t="shared" si="20"/>
        <v>#DIV/0!</v>
      </c>
      <c r="AM59" s="112" t="e">
        <f t="shared" si="20"/>
        <v>#DIV/0!</v>
      </c>
      <c r="AN59" s="112" t="e">
        <f t="shared" si="20"/>
        <v>#DIV/0!</v>
      </c>
      <c r="AO59" s="112" t="e">
        <f t="shared" si="20"/>
        <v>#DIV/0!</v>
      </c>
      <c r="AP59" s="112" t="e">
        <f t="shared" si="20"/>
        <v>#DIV/0!</v>
      </c>
      <c r="AQ59" s="112" t="e">
        <f t="shared" si="20"/>
        <v>#DIV/0!</v>
      </c>
    </row>
    <row r="60" spans="1:43" s="110" customFormat="1" x14ac:dyDescent="0.3">
      <c r="A60" s="113" t="s">
        <v>58</v>
      </c>
      <c r="C60" s="111">
        <f>C41/C44</f>
        <v>0.2615740825479691</v>
      </c>
      <c r="D60" s="112">
        <f t="shared" ref="D60:AQ60" si="21">D41/D44</f>
        <v>0.44103366336366928</v>
      </c>
      <c r="E60" s="112">
        <f t="shared" si="21"/>
        <v>4.652022582143707E-2</v>
      </c>
      <c r="F60" s="112">
        <f t="shared" si="21"/>
        <v>0.32410204941096993</v>
      </c>
      <c r="G60" s="112">
        <f t="shared" si="21"/>
        <v>0.43505241144227613</v>
      </c>
      <c r="H60" s="112">
        <f t="shared" si="21"/>
        <v>0.3928583237851847</v>
      </c>
      <c r="I60" s="112">
        <f t="shared" si="21"/>
        <v>5.6387054661418683E-2</v>
      </c>
      <c r="J60" s="112">
        <f>J41/J44</f>
        <v>5.7519314623179954E-2</v>
      </c>
      <c r="K60" s="112">
        <f>K41/K44</f>
        <v>0.19654642598086594</v>
      </c>
      <c r="L60" s="112">
        <f t="shared" si="21"/>
        <v>0.24810090884734254</v>
      </c>
      <c r="M60" s="112">
        <f t="shared" si="21"/>
        <v>3.6296453019151381E-2</v>
      </c>
      <c r="N60" s="112">
        <f t="shared" si="21"/>
        <v>4.3091738212267111E-2</v>
      </c>
      <c r="O60" s="112" t="e">
        <f t="shared" si="21"/>
        <v>#DIV/0!</v>
      </c>
      <c r="P60" s="112" t="e">
        <f t="shared" si="21"/>
        <v>#DIV/0!</v>
      </c>
      <c r="Q60" s="112" t="e">
        <f t="shared" si="21"/>
        <v>#DIV/0!</v>
      </c>
      <c r="R60" s="112" t="e">
        <f t="shared" si="21"/>
        <v>#DIV/0!</v>
      </c>
      <c r="S60" s="112" t="e">
        <f t="shared" si="21"/>
        <v>#DIV/0!</v>
      </c>
      <c r="T60" s="112" t="e">
        <f t="shared" si="21"/>
        <v>#DIV/0!</v>
      </c>
      <c r="U60" s="112" t="e">
        <f t="shared" si="21"/>
        <v>#DIV/0!</v>
      </c>
      <c r="V60" s="112" t="e">
        <f t="shared" si="21"/>
        <v>#DIV/0!</v>
      </c>
      <c r="W60" s="112" t="e">
        <f t="shared" si="21"/>
        <v>#DIV/0!</v>
      </c>
      <c r="X60" s="112" t="e">
        <f t="shared" si="21"/>
        <v>#DIV/0!</v>
      </c>
      <c r="Y60" s="112" t="e">
        <f t="shared" si="21"/>
        <v>#DIV/0!</v>
      </c>
      <c r="Z60" s="112" t="e">
        <f t="shared" si="21"/>
        <v>#DIV/0!</v>
      </c>
      <c r="AA60" s="112" t="e">
        <f t="shared" si="21"/>
        <v>#DIV/0!</v>
      </c>
      <c r="AB60" s="112" t="e">
        <f t="shared" si="21"/>
        <v>#DIV/0!</v>
      </c>
      <c r="AC60" s="112" t="e">
        <f t="shared" si="21"/>
        <v>#DIV/0!</v>
      </c>
      <c r="AD60" s="112" t="e">
        <f t="shared" si="21"/>
        <v>#DIV/0!</v>
      </c>
      <c r="AE60" s="112" t="e">
        <f t="shared" si="21"/>
        <v>#DIV/0!</v>
      </c>
      <c r="AF60" s="112" t="e">
        <f t="shared" si="21"/>
        <v>#DIV/0!</v>
      </c>
      <c r="AG60" s="112" t="e">
        <f t="shared" si="21"/>
        <v>#DIV/0!</v>
      </c>
      <c r="AH60" s="112" t="e">
        <f t="shared" si="21"/>
        <v>#DIV/0!</v>
      </c>
      <c r="AI60" s="112" t="e">
        <f t="shared" si="21"/>
        <v>#DIV/0!</v>
      </c>
      <c r="AJ60" s="112" t="e">
        <f t="shared" si="21"/>
        <v>#DIV/0!</v>
      </c>
      <c r="AK60" s="112" t="e">
        <f t="shared" si="21"/>
        <v>#DIV/0!</v>
      </c>
      <c r="AL60" s="112" t="e">
        <f t="shared" si="21"/>
        <v>#DIV/0!</v>
      </c>
      <c r="AM60" s="112" t="e">
        <f t="shared" si="21"/>
        <v>#DIV/0!</v>
      </c>
      <c r="AN60" s="112" t="e">
        <f t="shared" si="21"/>
        <v>#DIV/0!</v>
      </c>
      <c r="AO60" s="112" t="e">
        <f t="shared" si="21"/>
        <v>#DIV/0!</v>
      </c>
      <c r="AP60" s="112" t="e">
        <f t="shared" si="21"/>
        <v>#DIV/0!</v>
      </c>
      <c r="AQ60" s="112" t="e">
        <f t="shared" si="21"/>
        <v>#DIV/0!</v>
      </c>
    </row>
    <row r="61" spans="1:43" s="110" customFormat="1" x14ac:dyDescent="0.3">
      <c r="A61" s="113" t="s">
        <v>59</v>
      </c>
      <c r="C61" s="111">
        <f>C43/C44</f>
        <v>2.6932046466644596E-2</v>
      </c>
      <c r="D61" s="112">
        <f t="shared" ref="D61:AQ61" si="22">D43/D44</f>
        <v>0</v>
      </c>
      <c r="E61" s="112">
        <f t="shared" si="22"/>
        <v>0</v>
      </c>
      <c r="F61" s="112">
        <f t="shared" si="22"/>
        <v>1.3275797706589518E-2</v>
      </c>
      <c r="G61" s="112">
        <f t="shared" si="22"/>
        <v>1.462965903355929E-2</v>
      </c>
      <c r="H61" s="112">
        <f t="shared" si="22"/>
        <v>5.2658186082190431E-2</v>
      </c>
      <c r="I61" s="112">
        <f t="shared" si="22"/>
        <v>2.5313025873413809E-2</v>
      </c>
      <c r="J61" s="112">
        <f>J43/J44</f>
        <v>0</v>
      </c>
      <c r="K61" s="112">
        <f>K43/K44</f>
        <v>3.8473112840292104E-2</v>
      </c>
      <c r="L61" s="112">
        <f t="shared" si="22"/>
        <v>7.4221576425609226E-2</v>
      </c>
      <c r="M61" s="112">
        <f t="shared" si="22"/>
        <v>1.412150333529474E-2</v>
      </c>
      <c r="N61" s="112">
        <f t="shared" si="22"/>
        <v>0</v>
      </c>
      <c r="O61" s="112" t="e">
        <f t="shared" si="22"/>
        <v>#DIV/0!</v>
      </c>
      <c r="P61" s="112" t="e">
        <f t="shared" si="22"/>
        <v>#DIV/0!</v>
      </c>
      <c r="Q61" s="112" t="e">
        <f t="shared" si="22"/>
        <v>#DIV/0!</v>
      </c>
      <c r="R61" s="112" t="e">
        <f t="shared" si="22"/>
        <v>#DIV/0!</v>
      </c>
      <c r="S61" s="112" t="e">
        <f t="shared" si="22"/>
        <v>#DIV/0!</v>
      </c>
      <c r="T61" s="112" t="e">
        <f t="shared" si="22"/>
        <v>#DIV/0!</v>
      </c>
      <c r="U61" s="112" t="e">
        <f t="shared" si="22"/>
        <v>#DIV/0!</v>
      </c>
      <c r="V61" s="112" t="e">
        <f t="shared" si="22"/>
        <v>#DIV/0!</v>
      </c>
      <c r="W61" s="112" t="e">
        <f t="shared" si="22"/>
        <v>#DIV/0!</v>
      </c>
      <c r="X61" s="112" t="e">
        <f t="shared" si="22"/>
        <v>#DIV/0!</v>
      </c>
      <c r="Y61" s="112" t="e">
        <f t="shared" si="22"/>
        <v>#DIV/0!</v>
      </c>
      <c r="Z61" s="112" t="e">
        <f t="shared" si="22"/>
        <v>#DIV/0!</v>
      </c>
      <c r="AA61" s="112" t="e">
        <f t="shared" si="22"/>
        <v>#DIV/0!</v>
      </c>
      <c r="AB61" s="112" t="e">
        <f t="shared" si="22"/>
        <v>#DIV/0!</v>
      </c>
      <c r="AC61" s="112" t="e">
        <f t="shared" si="22"/>
        <v>#DIV/0!</v>
      </c>
      <c r="AD61" s="112" t="e">
        <f t="shared" si="22"/>
        <v>#DIV/0!</v>
      </c>
      <c r="AE61" s="112" t="e">
        <f t="shared" si="22"/>
        <v>#DIV/0!</v>
      </c>
      <c r="AF61" s="112" t="e">
        <f t="shared" si="22"/>
        <v>#DIV/0!</v>
      </c>
      <c r="AG61" s="112" t="e">
        <f t="shared" si="22"/>
        <v>#DIV/0!</v>
      </c>
      <c r="AH61" s="112" t="e">
        <f t="shared" si="22"/>
        <v>#DIV/0!</v>
      </c>
      <c r="AI61" s="112" t="e">
        <f t="shared" si="22"/>
        <v>#DIV/0!</v>
      </c>
      <c r="AJ61" s="112" t="e">
        <f t="shared" si="22"/>
        <v>#DIV/0!</v>
      </c>
      <c r="AK61" s="112" t="e">
        <f t="shared" si="22"/>
        <v>#DIV/0!</v>
      </c>
      <c r="AL61" s="112" t="e">
        <f t="shared" si="22"/>
        <v>#DIV/0!</v>
      </c>
      <c r="AM61" s="112" t="e">
        <f t="shared" si="22"/>
        <v>#DIV/0!</v>
      </c>
      <c r="AN61" s="112" t="e">
        <f t="shared" si="22"/>
        <v>#DIV/0!</v>
      </c>
      <c r="AO61" s="112" t="e">
        <f t="shared" si="22"/>
        <v>#DIV/0!</v>
      </c>
      <c r="AP61" s="112" t="e">
        <f t="shared" si="22"/>
        <v>#DIV/0!</v>
      </c>
      <c r="AQ61" s="112" t="e">
        <f t="shared" si="22"/>
        <v>#DIV/0!</v>
      </c>
    </row>
    <row r="62" spans="1:43" x14ac:dyDescent="0.3">
      <c r="A62" s="114"/>
    </row>
    <row r="63" spans="1:43" x14ac:dyDescent="0.3">
      <c r="A63" s="1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</row>
    <row r="64" spans="1:43" x14ac:dyDescent="0.3">
      <c r="A64" s="1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</row>
    <row r="65" spans="1:47" x14ac:dyDescent="0.3">
      <c r="A65" s="114"/>
      <c r="C65" s="118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</row>
    <row r="66" spans="1:47" x14ac:dyDescent="0.3">
      <c r="A66" s="114"/>
      <c r="C66" s="118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</row>
    <row r="67" spans="1:47" x14ac:dyDescent="0.3">
      <c r="B67" s="119"/>
    </row>
    <row r="68" spans="1:47" x14ac:dyDescent="0.3">
      <c r="B68" s="119"/>
    </row>
    <row r="69" spans="1:47" x14ac:dyDescent="0.3">
      <c r="B69" s="119"/>
    </row>
    <row r="70" spans="1:47" x14ac:dyDescent="0.3">
      <c r="B70" s="119"/>
    </row>
    <row r="71" spans="1:47" s="120" customFormat="1" x14ac:dyDescent="0.3">
      <c r="A71" s="115"/>
      <c r="B71" s="119"/>
      <c r="C71" s="116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821A-58EF-47EE-9289-EDF17702B758}">
  <sheetPr codeName="Sheet31">
    <tabColor theme="6" tint="0.79998168889431442"/>
  </sheetPr>
  <dimension ref="A1:BE69"/>
  <sheetViews>
    <sheetView zoomScale="110" zoomScaleNormal="110" workbookViewId="0">
      <pane xSplit="2" ySplit="2" topLeftCell="T3" activePane="bottomRight" state="frozen"/>
      <selection activeCell="T47" sqref="T47"/>
      <selection pane="topRight" activeCell="T47" sqref="T47"/>
      <selection pane="bottomLeft" activeCell="T47" sqref="T47"/>
      <selection pane="bottomRight" activeCell="Y8" sqref="Y8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197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198</v>
      </c>
      <c r="B4" s="61"/>
      <c r="C4" s="62">
        <f>SUM(D4:BC4)</f>
        <v>3629467937</v>
      </c>
      <c r="D4" s="64">
        <v>40124000</v>
      </c>
      <c r="E4" s="64">
        <v>73762000</v>
      </c>
      <c r="F4" s="64">
        <v>63245000</v>
      </c>
      <c r="G4" s="64">
        <v>90084000</v>
      </c>
      <c r="H4" s="64">
        <v>80960000</v>
      </c>
      <c r="I4" s="64">
        <v>69433000</v>
      </c>
      <c r="J4" s="64">
        <v>66367000</v>
      </c>
      <c r="K4" s="65">
        <v>37908400</v>
      </c>
      <c r="L4" s="64">
        <v>121593000</v>
      </c>
      <c r="M4" s="64">
        <v>112755000</v>
      </c>
      <c r="N4" s="64">
        <v>77513000</v>
      </c>
      <c r="O4" s="64">
        <v>89695000</v>
      </c>
      <c r="P4" s="64">
        <v>100855000</v>
      </c>
      <c r="Q4" s="64">
        <v>57183000</v>
      </c>
      <c r="R4" s="64">
        <v>76290774</v>
      </c>
      <c r="S4" s="64">
        <v>51801000</v>
      </c>
      <c r="T4" s="64">
        <v>28162000</v>
      </c>
      <c r="U4" s="65">
        <v>99479000</v>
      </c>
      <c r="V4" s="64">
        <v>57685000</v>
      </c>
      <c r="W4" s="64">
        <v>64798000</v>
      </c>
      <c r="X4" s="64">
        <v>47082000</v>
      </c>
      <c r="Y4" s="64">
        <v>35938000</v>
      </c>
      <c r="Z4" s="64">
        <v>87413000</v>
      </c>
      <c r="AA4" s="64">
        <v>79779000</v>
      </c>
      <c r="AB4" s="65">
        <v>26142000</v>
      </c>
      <c r="AC4" s="64">
        <v>48517463</v>
      </c>
      <c r="AD4" s="64">
        <v>63856400</v>
      </c>
      <c r="AE4" s="64">
        <v>23696000</v>
      </c>
      <c r="AF4" s="64">
        <v>63979000</v>
      </c>
      <c r="AG4" s="64">
        <v>56658900</v>
      </c>
      <c r="AH4" s="64">
        <v>67652000</v>
      </c>
      <c r="AI4" s="74">
        <v>26852000</v>
      </c>
      <c r="AJ4" s="64">
        <v>102970000</v>
      </c>
      <c r="AK4" s="64">
        <v>68719000</v>
      </c>
      <c r="AL4" s="64">
        <v>63366000</v>
      </c>
      <c r="AM4" s="64">
        <v>85069000</v>
      </c>
      <c r="AN4" s="64">
        <v>37837000</v>
      </c>
      <c r="AO4" s="64">
        <v>28701000</v>
      </c>
      <c r="AP4" s="64">
        <v>59052000</v>
      </c>
      <c r="AQ4" s="64">
        <v>141283000</v>
      </c>
      <c r="AR4" s="65">
        <v>46949000</v>
      </c>
      <c r="AS4" s="64">
        <v>92057000</v>
      </c>
      <c r="AT4" s="64">
        <v>180652000</v>
      </c>
      <c r="AU4" s="64">
        <v>49299000</v>
      </c>
      <c r="AV4" s="64">
        <v>44812000</v>
      </c>
      <c r="AW4" s="64">
        <v>39336000</v>
      </c>
      <c r="AX4" s="64">
        <v>98962000</v>
      </c>
      <c r="AY4" s="64">
        <v>100286000</v>
      </c>
      <c r="AZ4" s="64">
        <v>54991000</v>
      </c>
      <c r="BA4" s="64">
        <v>43053000</v>
      </c>
      <c r="BB4" s="64">
        <v>59227000</v>
      </c>
      <c r="BC4" s="64">
        <v>145588000</v>
      </c>
    </row>
    <row r="5" spans="1:55" s="68" customFormat="1" ht="13" x14ac:dyDescent="0.3">
      <c r="A5" s="66" t="s">
        <v>3</v>
      </c>
      <c r="B5" s="67"/>
      <c r="C5" s="62">
        <f t="shared" ref="C5:C18" si="0">SUM(D5:BC5)</f>
        <v>121200000</v>
      </c>
      <c r="D5" s="68">
        <v>3500000</v>
      </c>
      <c r="E5" s="68">
        <v>6400000</v>
      </c>
      <c r="F5" s="68">
        <v>7200000</v>
      </c>
      <c r="G5" s="68">
        <v>3000000</v>
      </c>
      <c r="H5" s="68">
        <v>3500000</v>
      </c>
      <c r="M5" s="68">
        <v>4500000</v>
      </c>
      <c r="N5" s="68">
        <v>3400000</v>
      </c>
      <c r="R5" s="68">
        <v>4500000</v>
      </c>
      <c r="U5" s="68">
        <v>5700000</v>
      </c>
      <c r="V5" s="68">
        <v>4200000</v>
      </c>
      <c r="W5" s="68">
        <v>8000000</v>
      </c>
      <c r="AA5" s="68">
        <v>9300000</v>
      </c>
      <c r="AB5" s="86"/>
      <c r="AD5" s="68">
        <v>3600000</v>
      </c>
      <c r="AF5" s="68">
        <v>4500000</v>
      </c>
      <c r="AH5" s="68">
        <v>3500000</v>
      </c>
      <c r="AI5" s="83"/>
      <c r="AK5" s="68">
        <v>4000000</v>
      </c>
      <c r="AN5" s="68">
        <v>2000000</v>
      </c>
      <c r="AP5" s="68">
        <v>8400000</v>
      </c>
      <c r="AQ5" s="68">
        <v>4600000</v>
      </c>
      <c r="AS5" s="68">
        <v>4800000</v>
      </c>
      <c r="AW5" s="68">
        <v>3000000</v>
      </c>
      <c r="AX5" s="68">
        <v>4000000</v>
      </c>
      <c r="AZ5" s="68">
        <v>3300000</v>
      </c>
      <c r="BB5" s="68">
        <v>4200000</v>
      </c>
      <c r="BC5" s="68">
        <v>8100000</v>
      </c>
    </row>
    <row r="6" spans="1:55" s="68" customFormat="1" ht="13" x14ac:dyDescent="0.3">
      <c r="A6" s="69" t="s">
        <v>4</v>
      </c>
      <c r="B6" s="67"/>
      <c r="C6" s="62">
        <f t="shared" si="0"/>
        <v>3000000</v>
      </c>
      <c r="D6" s="72">
        <v>1000000</v>
      </c>
      <c r="O6" s="83"/>
      <c r="AH6" s="68">
        <v>1000000</v>
      </c>
      <c r="AS6" s="68">
        <v>1000000</v>
      </c>
    </row>
    <row r="7" spans="1:55" s="68" customFormat="1" ht="13" x14ac:dyDescent="0.3">
      <c r="A7" s="71" t="s">
        <v>158</v>
      </c>
      <c r="B7" s="67"/>
      <c r="C7" s="62">
        <f t="shared" si="0"/>
        <v>22153000</v>
      </c>
      <c r="F7" s="68">
        <v>5244000</v>
      </c>
      <c r="H7" s="72"/>
      <c r="M7" s="68">
        <v>3268000</v>
      </c>
      <c r="N7" s="68">
        <v>1601000</v>
      </c>
      <c r="W7" s="68">
        <v>1244000</v>
      </c>
      <c r="AF7" s="68">
        <v>2575000</v>
      </c>
      <c r="AP7" s="68">
        <v>3099000</v>
      </c>
      <c r="AS7" s="68">
        <v>2592000</v>
      </c>
      <c r="BC7" s="68">
        <v>2530000</v>
      </c>
    </row>
    <row r="8" spans="1:55" s="68" customFormat="1" ht="13" x14ac:dyDescent="0.3">
      <c r="A8" s="71"/>
      <c r="B8" s="67" t="s">
        <v>6</v>
      </c>
      <c r="C8" s="62">
        <f t="shared" si="0"/>
        <v>24</v>
      </c>
      <c r="D8" s="68">
        <v>1</v>
      </c>
      <c r="E8" s="68">
        <v>1</v>
      </c>
      <c r="F8" s="68">
        <v>3</v>
      </c>
      <c r="G8" s="68">
        <v>2</v>
      </c>
      <c r="H8" s="68">
        <v>1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86">
        <v>0</v>
      </c>
      <c r="P8" s="68">
        <v>0</v>
      </c>
      <c r="Q8" s="68">
        <v>0</v>
      </c>
      <c r="R8" s="68">
        <v>1</v>
      </c>
      <c r="S8" s="68">
        <v>0</v>
      </c>
      <c r="T8" s="68">
        <v>0</v>
      </c>
      <c r="U8" s="68">
        <v>0</v>
      </c>
      <c r="V8" s="68">
        <v>1</v>
      </c>
      <c r="W8" s="68">
        <v>0</v>
      </c>
      <c r="X8" s="68">
        <v>0</v>
      </c>
      <c r="Y8" s="68">
        <v>0</v>
      </c>
      <c r="Z8" s="68">
        <v>0</v>
      </c>
      <c r="AA8" s="68">
        <v>1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1</v>
      </c>
      <c r="AK8" s="68">
        <v>1</v>
      </c>
      <c r="AL8" s="68">
        <v>0</v>
      </c>
      <c r="AM8" s="68">
        <v>0</v>
      </c>
      <c r="AN8" s="68">
        <v>1</v>
      </c>
      <c r="AO8" s="68">
        <v>0</v>
      </c>
      <c r="AP8" s="68">
        <v>1</v>
      </c>
      <c r="AQ8" s="68">
        <v>1</v>
      </c>
      <c r="AR8" s="68">
        <v>0</v>
      </c>
      <c r="AS8" s="68">
        <v>0</v>
      </c>
      <c r="AT8" s="68">
        <v>0</v>
      </c>
      <c r="AU8" s="68">
        <v>0</v>
      </c>
      <c r="AV8" s="68">
        <v>0</v>
      </c>
      <c r="AW8" s="68">
        <v>1</v>
      </c>
      <c r="AX8" s="68">
        <v>2</v>
      </c>
      <c r="AY8" s="68">
        <v>0</v>
      </c>
      <c r="AZ8" s="68">
        <v>1</v>
      </c>
      <c r="BA8" s="68">
        <v>0</v>
      </c>
      <c r="BB8" s="68">
        <v>2</v>
      </c>
      <c r="BC8" s="68">
        <v>2</v>
      </c>
    </row>
    <row r="9" spans="1:55" s="68" customFormat="1" ht="13" x14ac:dyDescent="0.3">
      <c r="A9" s="71"/>
      <c r="B9" s="67" t="s">
        <v>7</v>
      </c>
      <c r="C9" s="62">
        <f t="shared" si="0"/>
        <v>32</v>
      </c>
      <c r="D9" s="68">
        <v>1</v>
      </c>
      <c r="E9" s="68">
        <v>2</v>
      </c>
      <c r="F9" s="68">
        <v>2</v>
      </c>
      <c r="G9" s="68">
        <v>1</v>
      </c>
      <c r="H9" s="68">
        <v>1</v>
      </c>
      <c r="I9" s="68">
        <v>0</v>
      </c>
      <c r="J9" s="68">
        <v>0</v>
      </c>
      <c r="K9" s="68">
        <v>0</v>
      </c>
      <c r="L9" s="68">
        <v>0</v>
      </c>
      <c r="M9" s="68">
        <v>1</v>
      </c>
      <c r="N9" s="68">
        <v>1</v>
      </c>
      <c r="O9" s="86">
        <v>0</v>
      </c>
      <c r="P9" s="68">
        <v>0</v>
      </c>
      <c r="Q9" s="68">
        <v>0</v>
      </c>
      <c r="R9" s="68">
        <v>1</v>
      </c>
      <c r="S9" s="68">
        <v>0</v>
      </c>
      <c r="T9" s="68">
        <v>0</v>
      </c>
      <c r="U9" s="68">
        <v>2</v>
      </c>
      <c r="V9" s="68">
        <v>1</v>
      </c>
      <c r="W9" s="68">
        <v>2</v>
      </c>
      <c r="X9" s="68">
        <v>0</v>
      </c>
      <c r="Y9" s="68">
        <v>0</v>
      </c>
      <c r="Z9" s="68">
        <v>0</v>
      </c>
      <c r="AA9" s="68">
        <v>3</v>
      </c>
      <c r="AB9" s="68">
        <v>0</v>
      </c>
      <c r="AC9" s="68">
        <v>0</v>
      </c>
      <c r="AD9" s="68">
        <v>1</v>
      </c>
      <c r="AE9" s="68">
        <v>0</v>
      </c>
      <c r="AF9" s="68">
        <v>0</v>
      </c>
      <c r="AG9" s="68">
        <v>0</v>
      </c>
      <c r="AH9" s="68">
        <v>1</v>
      </c>
      <c r="AI9" s="68">
        <v>0</v>
      </c>
      <c r="AJ9" s="68">
        <v>0</v>
      </c>
      <c r="AK9" s="68">
        <v>1</v>
      </c>
      <c r="AL9" s="68">
        <v>0</v>
      </c>
      <c r="AM9" s="68">
        <v>0</v>
      </c>
      <c r="AN9" s="68">
        <v>1</v>
      </c>
      <c r="AO9" s="68">
        <v>0</v>
      </c>
      <c r="AP9" s="68">
        <v>2</v>
      </c>
      <c r="AQ9" s="68">
        <v>1</v>
      </c>
      <c r="AR9" s="68">
        <v>0</v>
      </c>
      <c r="AS9" s="68">
        <v>1</v>
      </c>
      <c r="AT9" s="68">
        <v>0</v>
      </c>
      <c r="AU9" s="68">
        <v>0</v>
      </c>
      <c r="AV9" s="68">
        <v>0</v>
      </c>
      <c r="AW9" s="68">
        <v>1</v>
      </c>
      <c r="AX9" s="68">
        <v>1</v>
      </c>
      <c r="AY9" s="68">
        <v>0</v>
      </c>
      <c r="AZ9" s="68">
        <v>1</v>
      </c>
      <c r="BA9" s="68">
        <v>0</v>
      </c>
      <c r="BB9" s="68">
        <v>1</v>
      </c>
      <c r="BC9" s="68">
        <v>2</v>
      </c>
    </row>
    <row r="10" spans="1:55" s="68" customFormat="1" ht="13" x14ac:dyDescent="0.3">
      <c r="A10" s="71"/>
      <c r="B10" s="67" t="s">
        <v>199</v>
      </c>
      <c r="C10" s="62">
        <f>SUM(D10:BC10)</f>
        <v>9</v>
      </c>
      <c r="D10" s="68">
        <v>0</v>
      </c>
      <c r="E10" s="68">
        <v>0</v>
      </c>
      <c r="F10" s="68">
        <v>2</v>
      </c>
      <c r="G10" s="68">
        <v>1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86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1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1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0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1</v>
      </c>
      <c r="AY10" s="68">
        <v>0</v>
      </c>
      <c r="AZ10" s="68">
        <v>0</v>
      </c>
      <c r="BA10" s="68">
        <v>0</v>
      </c>
      <c r="BB10" s="68">
        <v>2</v>
      </c>
      <c r="BC10" s="68">
        <v>1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2506488302.4516129</v>
      </c>
      <c r="D11" s="68">
        <v>26090322.580645163</v>
      </c>
      <c r="E11" s="68">
        <v>50822580.645161293</v>
      </c>
      <c r="F11" s="68">
        <v>41084109</v>
      </c>
      <c r="G11" s="68">
        <v>61145161.290322579</v>
      </c>
      <c r="H11" s="68">
        <v>52554838.709677421</v>
      </c>
      <c r="I11" s="68">
        <v>47400000</v>
      </c>
      <c r="J11" s="68">
        <v>44700000</v>
      </c>
      <c r="K11" s="68">
        <v>28300000</v>
      </c>
      <c r="L11" s="68">
        <v>86800000</v>
      </c>
      <c r="M11" s="68">
        <v>78800000</v>
      </c>
      <c r="N11" s="68">
        <v>51300000</v>
      </c>
      <c r="O11" s="86">
        <v>61300000</v>
      </c>
      <c r="P11" s="68">
        <v>71200000</v>
      </c>
      <c r="Q11" s="68">
        <v>39600000</v>
      </c>
      <c r="R11" s="68">
        <v>51096774.193548389</v>
      </c>
      <c r="S11" s="68">
        <v>38000000</v>
      </c>
      <c r="T11" s="68">
        <v>20000000</v>
      </c>
      <c r="U11" s="68">
        <v>67650000</v>
      </c>
      <c r="V11" s="68">
        <v>38948387</v>
      </c>
      <c r="W11" s="68">
        <v>43300000</v>
      </c>
      <c r="X11" s="68">
        <v>30600000</v>
      </c>
      <c r="Y11" s="68">
        <v>23000000</v>
      </c>
      <c r="Z11" s="68">
        <v>53100000</v>
      </c>
      <c r="AA11" s="68">
        <v>52035483.870967738</v>
      </c>
      <c r="AB11" s="68">
        <v>18600000</v>
      </c>
      <c r="AC11" s="68">
        <v>35500000</v>
      </c>
      <c r="AD11" s="68">
        <v>44200000</v>
      </c>
      <c r="AE11" s="68">
        <v>16400000</v>
      </c>
      <c r="AF11" s="68">
        <v>46300000</v>
      </c>
      <c r="AG11" s="68">
        <v>41700000</v>
      </c>
      <c r="AH11" s="68">
        <v>44764516.129032254</v>
      </c>
      <c r="AI11" s="68">
        <v>16800000</v>
      </c>
      <c r="AJ11" s="68">
        <v>69650000</v>
      </c>
      <c r="AK11" s="68">
        <v>47054838.709677421</v>
      </c>
      <c r="AL11" s="68">
        <v>42700000</v>
      </c>
      <c r="AM11" s="68">
        <v>60630000</v>
      </c>
      <c r="AN11" s="68">
        <v>25377419.35483871</v>
      </c>
      <c r="AO11" s="68">
        <v>19300000</v>
      </c>
      <c r="AP11" s="68">
        <v>39858064.516129032</v>
      </c>
      <c r="AQ11" s="68">
        <v>94638709.67741935</v>
      </c>
      <c r="AR11" s="68">
        <v>35100000</v>
      </c>
      <c r="AS11" s="68">
        <v>67800000</v>
      </c>
      <c r="AT11" s="68">
        <v>136400000</v>
      </c>
      <c r="AU11" s="68">
        <v>34100000</v>
      </c>
      <c r="AV11" s="68">
        <v>32300000</v>
      </c>
      <c r="AW11" s="68">
        <v>25829032.258064516</v>
      </c>
      <c r="AX11" s="68">
        <v>68725806.451612905</v>
      </c>
      <c r="AY11" s="68">
        <v>67800000</v>
      </c>
      <c r="AZ11" s="68">
        <v>39680645.161290325</v>
      </c>
      <c r="BA11" s="68">
        <v>30800000</v>
      </c>
      <c r="BB11" s="68">
        <v>41300000</v>
      </c>
      <c r="BC11" s="68">
        <v>104351612.90322581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697697100</v>
      </c>
      <c r="D12" s="68">
        <v>5928000</v>
      </c>
      <c r="E12" s="68">
        <v>11368000</v>
      </c>
      <c r="F12" s="68">
        <v>11032000</v>
      </c>
      <c r="G12" s="68">
        <v>17036000</v>
      </c>
      <c r="H12" s="68">
        <v>16620000</v>
      </c>
      <c r="I12" s="68">
        <v>15852000</v>
      </c>
      <c r="J12" s="68">
        <v>15432000</v>
      </c>
      <c r="K12" s="68">
        <v>5888000</v>
      </c>
      <c r="L12" s="68">
        <v>23768000</v>
      </c>
      <c r="M12" s="68">
        <v>20948000</v>
      </c>
      <c r="N12" s="68">
        <v>17974200</v>
      </c>
      <c r="O12" s="86">
        <v>19215500</v>
      </c>
      <c r="P12" s="68">
        <v>16480000</v>
      </c>
      <c r="Q12" s="68">
        <v>11988000</v>
      </c>
      <c r="R12" s="68">
        <v>15164000</v>
      </c>
      <c r="S12" s="68">
        <v>9076000</v>
      </c>
      <c r="T12" s="68">
        <v>4792000</v>
      </c>
      <c r="U12" s="68">
        <v>16364000</v>
      </c>
      <c r="V12" s="68">
        <v>9612000</v>
      </c>
      <c r="W12" s="68">
        <v>10920000</v>
      </c>
      <c r="X12" s="68">
        <v>12732000</v>
      </c>
      <c r="Y12" s="68">
        <v>10088000</v>
      </c>
      <c r="Z12" s="68">
        <v>26279000</v>
      </c>
      <c r="AA12" s="68">
        <v>12522000</v>
      </c>
      <c r="AB12" s="68">
        <v>5128000</v>
      </c>
      <c r="AC12" s="68">
        <v>8342900</v>
      </c>
      <c r="AD12" s="68">
        <v>10876400</v>
      </c>
      <c r="AE12" s="68">
        <v>4956000</v>
      </c>
      <c r="AF12" s="68">
        <v>12184000</v>
      </c>
      <c r="AG12" s="68">
        <v>8919800</v>
      </c>
      <c r="AH12" s="68">
        <v>16213600</v>
      </c>
      <c r="AI12" s="68">
        <v>7112000</v>
      </c>
      <c r="AJ12" s="68">
        <v>22151000</v>
      </c>
      <c r="AK12" s="68">
        <v>11724000</v>
      </c>
      <c r="AL12" s="68">
        <v>13976000</v>
      </c>
      <c r="AM12" s="68">
        <v>16384000</v>
      </c>
      <c r="AN12" s="68">
        <v>6756000</v>
      </c>
      <c r="AO12" s="68">
        <v>6541000</v>
      </c>
      <c r="AP12" s="68">
        <v>9016000</v>
      </c>
      <c r="AQ12" s="68">
        <v>30422000</v>
      </c>
      <c r="AR12" s="68">
        <v>7904000</v>
      </c>
      <c r="AS12" s="68">
        <v>14312000</v>
      </c>
      <c r="AT12" s="68">
        <v>31196000</v>
      </c>
      <c r="AU12" s="68">
        <v>11124000</v>
      </c>
      <c r="AV12" s="68">
        <v>8542000</v>
      </c>
      <c r="AW12" s="68">
        <v>6892000</v>
      </c>
      <c r="AX12" s="68">
        <v>15804000</v>
      </c>
      <c r="AY12" s="68">
        <v>22826000</v>
      </c>
      <c r="AZ12" s="68">
        <v>8035200</v>
      </c>
      <c r="BA12" s="68">
        <v>8212500</v>
      </c>
      <c r="BB12" s="68">
        <v>10260000</v>
      </c>
      <c r="BC12" s="68">
        <v>24808000</v>
      </c>
    </row>
    <row r="13" spans="1:55" s="68" customFormat="1" ht="13" x14ac:dyDescent="0.3">
      <c r="A13" s="129"/>
      <c r="B13" s="69" t="s">
        <v>12</v>
      </c>
      <c r="C13" s="62">
        <f t="shared" si="0"/>
        <v>127581774.19354838</v>
      </c>
      <c r="D13" s="68">
        <v>1875000</v>
      </c>
      <c r="E13" s="68">
        <v>2501935.4838709678</v>
      </c>
      <c r="F13" s="68">
        <v>2275322.5806451612</v>
      </c>
      <c r="G13" s="68">
        <v>4190000</v>
      </c>
      <c r="H13" s="68">
        <v>2760000</v>
      </c>
      <c r="I13" s="68">
        <v>2670000</v>
      </c>
      <c r="J13" s="68">
        <v>2575000</v>
      </c>
      <c r="K13" s="68">
        <v>1550000</v>
      </c>
      <c r="L13" s="68">
        <v>3850000</v>
      </c>
      <c r="M13" s="68">
        <v>3990000</v>
      </c>
      <c r="N13" s="68">
        <v>3310000</v>
      </c>
      <c r="O13" s="86">
        <v>3090000</v>
      </c>
      <c r="P13" s="68">
        <v>5055000</v>
      </c>
      <c r="Q13" s="68">
        <v>2125000</v>
      </c>
      <c r="R13" s="68">
        <v>2660000</v>
      </c>
      <c r="S13" s="68">
        <v>1745000</v>
      </c>
      <c r="T13" s="68">
        <v>1300000</v>
      </c>
      <c r="U13" s="68">
        <v>2290000</v>
      </c>
      <c r="V13" s="68">
        <v>1685000</v>
      </c>
      <c r="W13" s="68">
        <v>1590000</v>
      </c>
      <c r="X13" s="68">
        <v>1720000</v>
      </c>
      <c r="Y13" s="68">
        <v>1400000</v>
      </c>
      <c r="Z13" s="68">
        <v>3210000</v>
      </c>
      <c r="AA13" s="68">
        <v>2481290.3225806449</v>
      </c>
      <c r="AB13" s="68">
        <v>960000</v>
      </c>
      <c r="AC13" s="68">
        <v>1540000</v>
      </c>
      <c r="AD13" s="68">
        <v>1920000</v>
      </c>
      <c r="AE13" s="68">
        <v>960000</v>
      </c>
      <c r="AF13" s="68">
        <v>1925000</v>
      </c>
      <c r="AG13" s="68">
        <v>2200000</v>
      </c>
      <c r="AH13" s="68">
        <v>2520000</v>
      </c>
      <c r="AI13" s="68">
        <v>1200000</v>
      </c>
      <c r="AJ13" s="68">
        <v>3915000</v>
      </c>
      <c r="AK13" s="68">
        <v>2081290.3225806451</v>
      </c>
      <c r="AL13" s="68">
        <v>3040000</v>
      </c>
      <c r="AM13" s="68">
        <v>3555000</v>
      </c>
      <c r="AN13" s="68">
        <v>1521290.3225806451</v>
      </c>
      <c r="AO13" s="68">
        <v>1080000</v>
      </c>
      <c r="AP13" s="68">
        <v>1940000</v>
      </c>
      <c r="AQ13" s="68">
        <v>4805000</v>
      </c>
      <c r="AR13" s="68">
        <v>1325000</v>
      </c>
      <c r="AS13" s="68">
        <v>2685000</v>
      </c>
      <c r="AT13" s="68">
        <v>5635000</v>
      </c>
      <c r="AU13" s="68">
        <v>1445000</v>
      </c>
      <c r="AV13" s="68">
        <v>1560000</v>
      </c>
      <c r="AW13" s="68">
        <v>1295000</v>
      </c>
      <c r="AX13" s="68">
        <v>3006774.1935483869</v>
      </c>
      <c r="AY13" s="68">
        <v>3610000</v>
      </c>
      <c r="AZ13" s="68">
        <v>2366774.1935483869</v>
      </c>
      <c r="BA13" s="68">
        <v>1760000</v>
      </c>
      <c r="BB13" s="68">
        <v>1290000</v>
      </c>
      <c r="BC13" s="68">
        <v>4542096.7741935486</v>
      </c>
    </row>
    <row r="14" spans="1:55" s="68" customFormat="1" ht="13" x14ac:dyDescent="0.3">
      <c r="A14" s="129"/>
      <c r="B14" s="69" t="s">
        <v>13</v>
      </c>
      <c r="C14" s="62">
        <f t="shared" si="0"/>
        <v>58572150.537634417</v>
      </c>
      <c r="D14" s="68">
        <v>690000</v>
      </c>
      <c r="E14" s="68">
        <v>1243548.3870967741</v>
      </c>
      <c r="F14" s="68">
        <v>865161.29032258061</v>
      </c>
      <c r="G14" s="68">
        <v>1605000</v>
      </c>
      <c r="H14" s="68">
        <v>1449677.4193548388</v>
      </c>
      <c r="I14" s="68">
        <v>1110000</v>
      </c>
      <c r="J14" s="68">
        <v>1020000</v>
      </c>
      <c r="K14" s="68">
        <v>570000</v>
      </c>
      <c r="L14" s="68">
        <v>1890000</v>
      </c>
      <c r="M14" s="68">
        <v>2370000</v>
      </c>
      <c r="N14" s="68">
        <v>1320000</v>
      </c>
      <c r="O14" s="86">
        <v>1590000</v>
      </c>
      <c r="P14" s="68">
        <v>2370000</v>
      </c>
      <c r="Q14" s="68">
        <v>810000</v>
      </c>
      <c r="R14" s="68">
        <v>630000</v>
      </c>
      <c r="S14" s="68">
        <v>660000</v>
      </c>
      <c r="T14" s="68">
        <v>390000</v>
      </c>
      <c r="U14" s="68">
        <v>1770000</v>
      </c>
      <c r="V14" s="68">
        <v>600000</v>
      </c>
      <c r="W14" s="68">
        <v>1020000</v>
      </c>
      <c r="X14" s="68">
        <v>930000</v>
      </c>
      <c r="Y14" s="68">
        <v>600000</v>
      </c>
      <c r="Z14" s="68">
        <v>1440000</v>
      </c>
      <c r="AA14" s="68">
        <v>1180645.1612903224</v>
      </c>
      <c r="AB14" s="68">
        <v>455000</v>
      </c>
      <c r="AC14" s="68">
        <v>900000</v>
      </c>
      <c r="AD14" s="68">
        <v>910000</v>
      </c>
      <c r="AE14" s="68">
        <v>440000</v>
      </c>
      <c r="AF14" s="68">
        <v>596666.66666666663</v>
      </c>
      <c r="AG14" s="68">
        <v>1080000</v>
      </c>
      <c r="AH14" s="68">
        <v>1030000</v>
      </c>
      <c r="AI14" s="68">
        <v>570000</v>
      </c>
      <c r="AJ14" s="68">
        <v>1920000</v>
      </c>
      <c r="AK14" s="68">
        <v>910645.16129032255</v>
      </c>
      <c r="AL14" s="68">
        <v>1325000</v>
      </c>
      <c r="AM14" s="68">
        <v>1480000</v>
      </c>
      <c r="AN14" s="68">
        <v>700645.16129032255</v>
      </c>
      <c r="AO14" s="68">
        <v>540000</v>
      </c>
      <c r="AP14" s="68">
        <v>1358709.6774193549</v>
      </c>
      <c r="AQ14" s="68">
        <v>2233548.3870967743</v>
      </c>
      <c r="AR14" s="68">
        <v>810000</v>
      </c>
      <c r="AS14" s="68">
        <v>1560000</v>
      </c>
      <c r="AT14" s="68">
        <v>1720000</v>
      </c>
      <c r="AU14" s="68">
        <v>660000</v>
      </c>
      <c r="AV14" s="68">
        <v>780000</v>
      </c>
      <c r="AW14" s="68">
        <v>762580.6451612903</v>
      </c>
      <c r="AX14" s="68">
        <v>1608387.0967741935</v>
      </c>
      <c r="AY14" s="68">
        <v>1775000</v>
      </c>
      <c r="AZ14" s="68">
        <v>888387.09677419357</v>
      </c>
      <c r="BA14" s="68">
        <v>840000</v>
      </c>
      <c r="BB14" s="68">
        <v>600000</v>
      </c>
      <c r="BC14" s="68">
        <v>1993548.3870967743</v>
      </c>
    </row>
    <row r="15" spans="1:55" s="68" customFormat="1" ht="13" x14ac:dyDescent="0.3">
      <c r="A15" s="129"/>
      <c r="B15" s="69" t="s">
        <v>14</v>
      </c>
      <c r="C15" s="62">
        <f t="shared" si="0"/>
        <v>53757096.774193555</v>
      </c>
      <c r="D15" s="68">
        <v>500000</v>
      </c>
      <c r="E15" s="68">
        <v>1522580.6451612904</v>
      </c>
      <c r="F15" s="68">
        <v>961290.32258064509</v>
      </c>
      <c r="G15" s="68">
        <v>1600000</v>
      </c>
      <c r="H15" s="68">
        <v>938709.67741935479</v>
      </c>
      <c r="I15" s="68">
        <v>1400000</v>
      </c>
      <c r="J15" s="68">
        <v>1300000</v>
      </c>
      <c r="K15" s="68">
        <v>1000000</v>
      </c>
      <c r="L15" s="68">
        <v>1900000</v>
      </c>
      <c r="M15" s="68">
        <v>1300000</v>
      </c>
      <c r="N15" s="68">
        <v>1400000</v>
      </c>
      <c r="O15" s="86">
        <v>1200000</v>
      </c>
      <c r="P15" s="68">
        <v>1600000</v>
      </c>
      <c r="Q15" s="68">
        <v>900000</v>
      </c>
      <c r="R15" s="68">
        <v>900000</v>
      </c>
      <c r="S15" s="68">
        <v>700000</v>
      </c>
      <c r="T15" s="68">
        <v>800000</v>
      </c>
      <c r="U15" s="68">
        <v>2100000</v>
      </c>
      <c r="V15" s="68">
        <v>900000</v>
      </c>
      <c r="W15" s="68">
        <v>800000</v>
      </c>
      <c r="X15" s="68">
        <v>600000</v>
      </c>
      <c r="Y15" s="68">
        <v>450000</v>
      </c>
      <c r="Z15" s="68">
        <v>700000</v>
      </c>
      <c r="AA15" s="68">
        <v>1067741.935483871</v>
      </c>
      <c r="AB15" s="68">
        <v>400000</v>
      </c>
      <c r="AC15" s="68">
        <v>700000</v>
      </c>
      <c r="AD15" s="68">
        <v>600000</v>
      </c>
      <c r="AE15" s="68">
        <v>500000</v>
      </c>
      <c r="AF15" s="68">
        <v>900000</v>
      </c>
      <c r="AG15" s="68">
        <v>800000</v>
      </c>
      <c r="AH15" s="68">
        <v>600000</v>
      </c>
      <c r="AI15" s="68">
        <v>600000</v>
      </c>
      <c r="AJ15" s="68">
        <v>1200000</v>
      </c>
      <c r="AK15" s="68">
        <v>903870.96774193551</v>
      </c>
      <c r="AL15" s="68">
        <v>1000000</v>
      </c>
      <c r="AM15" s="68">
        <v>1600000</v>
      </c>
      <c r="AN15" s="68">
        <v>783870.96774193551</v>
      </c>
      <c r="AO15" s="68">
        <v>700000</v>
      </c>
      <c r="AP15" s="68">
        <v>554838.70967741939</v>
      </c>
      <c r="AQ15" s="68">
        <v>1422580.6451612904</v>
      </c>
      <c r="AR15" s="68">
        <v>1000000</v>
      </c>
      <c r="AS15" s="68">
        <v>1500000</v>
      </c>
      <c r="AT15" s="68">
        <v>2500000</v>
      </c>
      <c r="AU15" s="68">
        <v>700000</v>
      </c>
      <c r="AV15" s="68">
        <v>700000</v>
      </c>
      <c r="AW15" s="68">
        <v>870967.74193548388</v>
      </c>
      <c r="AX15" s="68">
        <v>1680645.1612903227</v>
      </c>
      <c r="AY15" s="68">
        <v>1000000</v>
      </c>
      <c r="AZ15" s="68">
        <v>500000</v>
      </c>
      <c r="BA15" s="68">
        <v>600000</v>
      </c>
      <c r="BB15" s="68">
        <v>700000</v>
      </c>
      <c r="BC15" s="68">
        <v>2200000</v>
      </c>
    </row>
    <row r="16" spans="1:55" s="68" customFormat="1" ht="13" x14ac:dyDescent="0.3">
      <c r="A16" s="129"/>
      <c r="B16" s="69" t="s">
        <v>15</v>
      </c>
      <c r="C16" s="62">
        <f t="shared" si="0"/>
        <v>2200000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350000</v>
      </c>
      <c r="K16" s="68">
        <v>0</v>
      </c>
      <c r="L16" s="68">
        <v>150000</v>
      </c>
      <c r="M16" s="68">
        <v>0</v>
      </c>
      <c r="N16" s="68">
        <v>0</v>
      </c>
      <c r="O16" s="86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300000</v>
      </c>
      <c r="AG16" s="68">
        <v>0</v>
      </c>
      <c r="AH16" s="68">
        <v>100000</v>
      </c>
      <c r="AI16" s="68">
        <v>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150000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0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29908408.602150537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1650000</v>
      </c>
      <c r="M17" s="68">
        <v>1800000</v>
      </c>
      <c r="N17" s="68">
        <v>0</v>
      </c>
      <c r="O17" s="86">
        <v>1620000</v>
      </c>
      <c r="P17" s="68">
        <v>1810000</v>
      </c>
      <c r="Q17" s="68">
        <v>800000</v>
      </c>
      <c r="R17" s="68">
        <v>800000</v>
      </c>
      <c r="S17" s="68">
        <v>670000</v>
      </c>
      <c r="T17" s="68">
        <v>340000</v>
      </c>
      <c r="U17" s="68">
        <v>1450000</v>
      </c>
      <c r="V17" s="68">
        <v>640000</v>
      </c>
      <c r="W17" s="68">
        <v>900000</v>
      </c>
      <c r="X17" s="68">
        <v>0</v>
      </c>
      <c r="Y17" s="68">
        <v>0</v>
      </c>
      <c r="Z17" s="68">
        <v>1280000</v>
      </c>
      <c r="AA17" s="68">
        <v>0</v>
      </c>
      <c r="AB17" s="68">
        <v>144000</v>
      </c>
      <c r="AC17" s="68">
        <v>500000</v>
      </c>
      <c r="AD17" s="68">
        <v>840000</v>
      </c>
      <c r="AE17" s="68">
        <v>0</v>
      </c>
      <c r="AF17" s="68">
        <v>906666.66666666663</v>
      </c>
      <c r="AG17" s="68">
        <v>880000</v>
      </c>
      <c r="AH17" s="68">
        <v>0</v>
      </c>
      <c r="AI17" s="68">
        <v>0</v>
      </c>
      <c r="AJ17" s="68">
        <v>1710000</v>
      </c>
      <c r="AK17" s="68">
        <v>1243870.9677419355</v>
      </c>
      <c r="AL17" s="68">
        <v>0</v>
      </c>
      <c r="AM17" s="68">
        <v>0</v>
      </c>
      <c r="AN17" s="68">
        <v>0</v>
      </c>
      <c r="AO17" s="68">
        <v>0</v>
      </c>
      <c r="AP17" s="68">
        <v>1152258.064516129</v>
      </c>
      <c r="AQ17" s="68">
        <v>1211290.3225806451</v>
      </c>
      <c r="AR17" s="68">
        <v>0</v>
      </c>
      <c r="AS17" s="68">
        <v>1340000</v>
      </c>
      <c r="AT17" s="68">
        <v>1480000</v>
      </c>
      <c r="AU17" s="68">
        <v>0</v>
      </c>
      <c r="AV17" s="68">
        <v>0</v>
      </c>
      <c r="AW17" s="68">
        <v>0</v>
      </c>
      <c r="AX17" s="68">
        <v>1040322.5806451613</v>
      </c>
      <c r="AY17" s="68">
        <v>1500000</v>
      </c>
      <c r="AZ17" s="68">
        <v>0</v>
      </c>
      <c r="BA17" s="68">
        <v>0</v>
      </c>
      <c r="BB17" s="68">
        <v>510000</v>
      </c>
      <c r="BC17" s="68">
        <v>1690000</v>
      </c>
    </row>
    <row r="18" spans="1:57" s="68" customFormat="1" ht="13" x14ac:dyDescent="0.3">
      <c r="A18" s="129"/>
      <c r="B18" s="121" t="s">
        <v>17</v>
      </c>
      <c r="C18" s="62">
        <f t="shared" si="0"/>
        <v>59452150.537634417</v>
      </c>
      <c r="D18" s="68">
        <v>780000</v>
      </c>
      <c r="E18" s="68">
        <v>1213548.3870967741</v>
      </c>
      <c r="F18" s="68">
        <v>985161.29032258061</v>
      </c>
      <c r="G18" s="68">
        <v>1905000</v>
      </c>
      <c r="H18" s="68">
        <v>1569677.4193548388</v>
      </c>
      <c r="I18" s="68">
        <v>960000</v>
      </c>
      <c r="J18" s="68">
        <v>990000</v>
      </c>
      <c r="K18" s="68">
        <v>900000</v>
      </c>
      <c r="L18" s="68">
        <v>1560000</v>
      </c>
      <c r="M18" s="68">
        <v>2370000</v>
      </c>
      <c r="N18" s="68">
        <v>1500000</v>
      </c>
      <c r="O18" s="86">
        <v>1680000</v>
      </c>
      <c r="P18" s="68">
        <v>2340000</v>
      </c>
      <c r="Q18" s="68">
        <v>960000</v>
      </c>
      <c r="R18" s="68">
        <v>690000</v>
      </c>
      <c r="S18" s="68">
        <v>900000</v>
      </c>
      <c r="T18" s="68">
        <v>540000</v>
      </c>
      <c r="U18" s="68">
        <v>1770000</v>
      </c>
      <c r="V18" s="68">
        <v>600000</v>
      </c>
      <c r="W18" s="68">
        <v>1020000</v>
      </c>
      <c r="X18" s="68">
        <v>300000</v>
      </c>
      <c r="Y18" s="68">
        <v>750000</v>
      </c>
      <c r="Z18" s="68">
        <v>1360000</v>
      </c>
      <c r="AA18" s="68">
        <v>1180645.1612903224</v>
      </c>
      <c r="AB18" s="68">
        <v>455000</v>
      </c>
      <c r="AC18" s="68">
        <v>900000</v>
      </c>
      <c r="AD18" s="68">
        <v>910000</v>
      </c>
      <c r="AE18" s="68">
        <v>440000</v>
      </c>
      <c r="AF18" s="68">
        <v>596666.66666666663</v>
      </c>
      <c r="AG18" s="68">
        <v>1080000</v>
      </c>
      <c r="AH18" s="68">
        <v>960000</v>
      </c>
      <c r="AI18" s="68">
        <v>570000</v>
      </c>
      <c r="AJ18" s="68">
        <v>2430000</v>
      </c>
      <c r="AK18" s="68">
        <v>1070645.1612903227</v>
      </c>
      <c r="AL18" s="68">
        <v>1325000</v>
      </c>
      <c r="AM18" s="68">
        <v>1420000</v>
      </c>
      <c r="AN18" s="68">
        <v>700645.16129032255</v>
      </c>
      <c r="AO18" s="68">
        <v>540000</v>
      </c>
      <c r="AP18" s="68">
        <v>1358709.6774193549</v>
      </c>
      <c r="AQ18" s="68">
        <v>1873548.3870967743</v>
      </c>
      <c r="AR18" s="68">
        <v>810000</v>
      </c>
      <c r="AS18" s="68">
        <v>1560000</v>
      </c>
      <c r="AT18" s="68">
        <v>1720000</v>
      </c>
      <c r="AU18" s="68">
        <v>660000</v>
      </c>
      <c r="AV18" s="68">
        <v>780000</v>
      </c>
      <c r="AW18" s="68">
        <v>762580.6451612903</v>
      </c>
      <c r="AX18" s="68">
        <v>1608387.0967741935</v>
      </c>
      <c r="AY18" s="68">
        <v>1775000</v>
      </c>
      <c r="AZ18" s="68">
        <v>888387.09677419357</v>
      </c>
      <c r="BA18" s="68">
        <v>840000</v>
      </c>
      <c r="BB18" s="68">
        <v>600000</v>
      </c>
      <c r="BC18" s="68">
        <v>1993548.3870967743</v>
      </c>
    </row>
    <row r="19" spans="1:57" s="68" customFormat="1" ht="13" x14ac:dyDescent="0.3">
      <c r="A19" s="130"/>
      <c r="B19" s="80" t="s">
        <v>18</v>
      </c>
      <c r="C19" s="62">
        <f>SUM(C12:C18)</f>
        <v>1029168680.6451613</v>
      </c>
      <c r="D19" s="81">
        <f t="shared" ref="D19:BA19" si="1">SUM(D12:D18)</f>
        <v>9773000</v>
      </c>
      <c r="E19" s="81">
        <f t="shared" si="1"/>
        <v>17849612.903225806</v>
      </c>
      <c r="F19" s="81">
        <f t="shared" si="1"/>
        <v>16268935.483870968</v>
      </c>
      <c r="G19" s="81">
        <f t="shared" si="1"/>
        <v>26336000</v>
      </c>
      <c r="H19" s="81">
        <f>SUM(H12:H18)</f>
        <v>23338064.516129028</v>
      </c>
      <c r="I19" s="81">
        <f t="shared" si="1"/>
        <v>22142000</v>
      </c>
      <c r="J19" s="81">
        <f t="shared" si="1"/>
        <v>21667000</v>
      </c>
      <c r="K19" s="81">
        <f>SUM(K12:K18)</f>
        <v>9908000</v>
      </c>
      <c r="L19" s="81">
        <f t="shared" si="1"/>
        <v>34768000</v>
      </c>
      <c r="M19" s="81">
        <f t="shared" si="1"/>
        <v>32778000</v>
      </c>
      <c r="N19" s="81">
        <f>SUM(N12:N18)</f>
        <v>25504200</v>
      </c>
      <c r="O19" s="81">
        <f t="shared" si="1"/>
        <v>28395500</v>
      </c>
      <c r="P19" s="81">
        <f t="shared" si="1"/>
        <v>29655000</v>
      </c>
      <c r="Q19" s="81">
        <f t="shared" si="1"/>
        <v>17583000</v>
      </c>
      <c r="R19" s="81">
        <f t="shared" si="1"/>
        <v>20894000</v>
      </c>
      <c r="S19" s="81">
        <f t="shared" si="1"/>
        <v>13751000</v>
      </c>
      <c r="T19" s="81">
        <f t="shared" si="1"/>
        <v>8162000</v>
      </c>
      <c r="U19" s="81">
        <f t="shared" si="1"/>
        <v>25744000</v>
      </c>
      <c r="V19" s="81">
        <f t="shared" si="1"/>
        <v>14037000</v>
      </c>
      <c r="W19" s="81">
        <f t="shared" si="1"/>
        <v>16250000</v>
      </c>
      <c r="X19" s="81">
        <f t="shared" si="1"/>
        <v>16482000</v>
      </c>
      <c r="Y19" s="81">
        <f t="shared" si="1"/>
        <v>13288000</v>
      </c>
      <c r="Z19" s="81">
        <f t="shared" si="1"/>
        <v>34269000</v>
      </c>
      <c r="AA19" s="81">
        <f t="shared" si="1"/>
        <v>18582322.580645163</v>
      </c>
      <c r="AB19" s="81">
        <f t="shared" si="1"/>
        <v>7542000</v>
      </c>
      <c r="AC19" s="81">
        <f t="shared" si="1"/>
        <v>12882900</v>
      </c>
      <c r="AD19" s="81">
        <f t="shared" si="1"/>
        <v>16056400</v>
      </c>
      <c r="AE19" s="81">
        <f>SUM(AE12:AE18)</f>
        <v>7296000</v>
      </c>
      <c r="AF19" s="81">
        <f t="shared" si="1"/>
        <v>17409000</v>
      </c>
      <c r="AG19" s="81">
        <f>SUM(AG12:AG18)</f>
        <v>14959800</v>
      </c>
      <c r="AH19" s="81">
        <f t="shared" si="1"/>
        <v>21423600</v>
      </c>
      <c r="AI19" s="81">
        <f t="shared" si="1"/>
        <v>10052000</v>
      </c>
      <c r="AJ19" s="81">
        <f t="shared" si="1"/>
        <v>33326000</v>
      </c>
      <c r="AK19" s="81">
        <f t="shared" si="1"/>
        <v>17934322.580645163</v>
      </c>
      <c r="AL19" s="81">
        <f t="shared" si="1"/>
        <v>20666000</v>
      </c>
      <c r="AM19" s="81">
        <f t="shared" si="1"/>
        <v>24439000</v>
      </c>
      <c r="AN19" s="81">
        <f t="shared" si="1"/>
        <v>10462451.612903228</v>
      </c>
      <c r="AO19" s="81">
        <f t="shared" si="1"/>
        <v>9401000</v>
      </c>
      <c r="AP19" s="81">
        <f t="shared" si="1"/>
        <v>15380516.129032258</v>
      </c>
      <c r="AQ19" s="81">
        <f t="shared" si="1"/>
        <v>41967967.741935492</v>
      </c>
      <c r="AR19" s="81">
        <f>SUM(AR12:AR18)</f>
        <v>11849000</v>
      </c>
      <c r="AS19" s="81">
        <f>SUM(AS12:AS18)</f>
        <v>22957000</v>
      </c>
      <c r="AT19" s="81">
        <f t="shared" si="1"/>
        <v>44251000</v>
      </c>
      <c r="AU19" s="81">
        <f t="shared" si="1"/>
        <v>14589000</v>
      </c>
      <c r="AV19" s="81">
        <f>SUM(AV12:AV18)</f>
        <v>12512000</v>
      </c>
      <c r="AW19" s="81">
        <f t="shared" si="1"/>
        <v>10583129.032258064</v>
      </c>
      <c r="AX19" s="81">
        <f>SUM(AX12:AX18)</f>
        <v>25048516.129032262</v>
      </c>
      <c r="AY19" s="81">
        <f t="shared" si="1"/>
        <v>32486000</v>
      </c>
      <c r="AZ19" s="81">
        <f t="shared" si="1"/>
        <v>12678748.387096776</v>
      </c>
      <c r="BA19" s="81">
        <f t="shared" si="1"/>
        <v>12252500</v>
      </c>
      <c r="BB19" s="81">
        <f>SUM(BB12:BB18)</f>
        <v>13960000</v>
      </c>
      <c r="BC19" s="81">
        <f>SUM(BC12:BC18)</f>
        <v>37377193.548387095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2">SUM(D21:BC21)</f>
        <v>2050000000</v>
      </c>
      <c r="D21" s="82">
        <v>24000000</v>
      </c>
      <c r="E21" s="83">
        <v>51000000</v>
      </c>
      <c r="F21" s="83">
        <v>42666666.666666664</v>
      </c>
      <c r="G21" s="82">
        <v>47800000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50000000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38750000</v>
      </c>
      <c r="AE21" s="82">
        <v>11250000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19500000</v>
      </c>
      <c r="AX21" s="82">
        <v>60000000</v>
      </c>
      <c r="AY21" s="82">
        <v>50000000</v>
      </c>
      <c r="AZ21" s="82">
        <v>30000000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2"/>
        <v>10918000</v>
      </c>
      <c r="D22" s="82"/>
      <c r="E22" s="82"/>
      <c r="F22" s="82"/>
      <c r="G22" s="82">
        <v>5429000</v>
      </c>
      <c r="H22" s="82"/>
      <c r="I22" s="82">
        <v>5489000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3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2"/>
        <v>610532649</v>
      </c>
      <c r="D23" s="82">
        <v>5796252</v>
      </c>
      <c r="E23" s="83">
        <v>9194321</v>
      </c>
      <c r="F23" s="83">
        <v>11192083</v>
      </c>
      <c r="G23" s="83">
        <v>19016942</v>
      </c>
      <c r="H23" s="82">
        <v>17146490</v>
      </c>
      <c r="I23" s="83">
        <v>9414567.2000000011</v>
      </c>
      <c r="J23" s="82">
        <v>14121850.799999999</v>
      </c>
      <c r="K23" s="83">
        <v>9463630</v>
      </c>
      <c r="L23" s="83">
        <v>15052262</v>
      </c>
      <c r="M23" s="83">
        <v>14918602</v>
      </c>
      <c r="N23" s="82">
        <v>12250526</v>
      </c>
      <c r="O23" s="82">
        <v>18973786</v>
      </c>
      <c r="P23" s="82">
        <v>11708172</v>
      </c>
      <c r="Q23" s="82">
        <v>8214998</v>
      </c>
      <c r="R23" s="82">
        <v>12665225</v>
      </c>
      <c r="S23" s="82">
        <v>7202261</v>
      </c>
      <c r="T23" s="83">
        <v>4999890</v>
      </c>
      <c r="U23" s="83">
        <v>16952177</v>
      </c>
      <c r="V23" s="82">
        <v>6934939</v>
      </c>
      <c r="W23" s="83">
        <v>8418060</v>
      </c>
      <c r="X23" s="82">
        <v>7873135</v>
      </c>
      <c r="Y23" s="83">
        <v>11227399</v>
      </c>
      <c r="Z23" s="83">
        <v>20236759</v>
      </c>
      <c r="AA23" s="83">
        <v>8443483</v>
      </c>
      <c r="AB23" s="83">
        <v>4475002</v>
      </c>
      <c r="AC23" s="83">
        <v>9560786</v>
      </c>
      <c r="AD23" s="83">
        <v>7246075.5999999996</v>
      </c>
      <c r="AE23" s="83">
        <v>3872050.4000000004</v>
      </c>
      <c r="AF23" s="83">
        <v>9171187</v>
      </c>
      <c r="AG23" s="83">
        <v>6976066</v>
      </c>
      <c r="AH23" s="83">
        <v>11232648</v>
      </c>
      <c r="AI23" s="83">
        <v>7225286</v>
      </c>
      <c r="AJ23" s="83">
        <v>22676954</v>
      </c>
      <c r="AK23" s="83">
        <v>9659563</v>
      </c>
      <c r="AL23" s="83">
        <v>14706982</v>
      </c>
      <c r="AM23" s="83">
        <v>13128871</v>
      </c>
      <c r="AN23" s="83">
        <v>7019762</v>
      </c>
      <c r="AO23" s="83">
        <v>5007139</v>
      </c>
      <c r="AP23" s="122">
        <v>7670074</v>
      </c>
      <c r="AQ23" s="83">
        <v>20433982</v>
      </c>
      <c r="AR23" s="83">
        <v>8099698</v>
      </c>
      <c r="AS23" s="83">
        <v>11448562</v>
      </c>
      <c r="AT23" s="83">
        <v>29203459</v>
      </c>
      <c r="AU23" s="83">
        <v>6510823</v>
      </c>
      <c r="AV23" s="83">
        <v>8596692</v>
      </c>
      <c r="AW23" s="83">
        <v>5067468</v>
      </c>
      <c r="AX23" s="83">
        <v>22378010</v>
      </c>
      <c r="AY23" s="83">
        <v>23581260</v>
      </c>
      <c r="AZ23" s="83">
        <v>8282801</v>
      </c>
      <c r="BA23" s="83">
        <v>7257233</v>
      </c>
      <c r="BB23" s="83">
        <v>10194779</v>
      </c>
      <c r="BC23" s="83">
        <v>28431626</v>
      </c>
    </row>
    <row r="24" spans="1:57" s="68" customFormat="1" ht="20.5" customHeight="1" x14ac:dyDescent="0.3">
      <c r="A24" s="131"/>
      <c r="B24" s="68" t="s">
        <v>24</v>
      </c>
      <c r="C24" s="67">
        <f t="shared" si="2"/>
        <v>118135351.66666666</v>
      </c>
      <c r="D24" s="82">
        <v>1420250</v>
      </c>
      <c r="E24" s="83">
        <v>2037800</v>
      </c>
      <c r="F24" s="83">
        <v>2134400</v>
      </c>
      <c r="G24" s="83">
        <v>150000</v>
      </c>
      <c r="H24" s="82">
        <v>4735700</v>
      </c>
      <c r="I24" s="83">
        <v>3058000</v>
      </c>
      <c r="J24" s="82">
        <v>3908333.3333333335</v>
      </c>
      <c r="K24" s="83">
        <v>1356666.6666666667</v>
      </c>
      <c r="L24" s="83">
        <v>3808333.3333333335</v>
      </c>
      <c r="M24" s="83">
        <v>3483333.3333333335</v>
      </c>
      <c r="N24" s="82">
        <v>1000000</v>
      </c>
      <c r="O24" s="82">
        <v>3632850</v>
      </c>
      <c r="P24" s="82">
        <v>5581755</v>
      </c>
      <c r="Q24" s="82">
        <v>340400</v>
      </c>
      <c r="R24" s="82">
        <v>3534410</v>
      </c>
      <c r="S24" s="82">
        <v>2034350</v>
      </c>
      <c r="T24" s="82">
        <v>0</v>
      </c>
      <c r="U24" s="83">
        <v>3128000</v>
      </c>
      <c r="V24" s="82">
        <v>675050</v>
      </c>
      <c r="W24" s="83">
        <v>1078700</v>
      </c>
      <c r="X24" s="82">
        <v>2072300</v>
      </c>
      <c r="Y24" s="82">
        <v>1681075</v>
      </c>
      <c r="Z24" s="83">
        <v>4102000</v>
      </c>
      <c r="AA24" s="83">
        <v>2704800</v>
      </c>
      <c r="AB24" s="83">
        <v>581900</v>
      </c>
      <c r="AC24" s="83">
        <v>1544450</v>
      </c>
      <c r="AD24" s="83">
        <v>828867</v>
      </c>
      <c r="AE24" s="83">
        <v>552578</v>
      </c>
      <c r="AF24" s="83">
        <v>1886000</v>
      </c>
      <c r="AG24" s="83">
        <v>1631000</v>
      </c>
      <c r="AH24" s="83">
        <v>3208500</v>
      </c>
      <c r="AI24" s="83">
        <v>985550</v>
      </c>
      <c r="AJ24" s="83">
        <v>3244150</v>
      </c>
      <c r="AK24" s="83">
        <v>1420250</v>
      </c>
      <c r="AL24" s="83">
        <v>1127000</v>
      </c>
      <c r="AM24" s="83">
        <v>4790900</v>
      </c>
      <c r="AN24" s="83">
        <v>519800</v>
      </c>
      <c r="AO24" s="83">
        <v>0</v>
      </c>
      <c r="AP24" s="83">
        <v>1513400</v>
      </c>
      <c r="AQ24" s="83">
        <v>5764000</v>
      </c>
      <c r="AR24" s="83">
        <v>1033850</v>
      </c>
      <c r="AS24" s="83">
        <v>5448700</v>
      </c>
      <c r="AT24" s="83">
        <v>6017150</v>
      </c>
      <c r="AU24" s="83">
        <v>830300</v>
      </c>
      <c r="AV24" s="83">
        <v>3245300</v>
      </c>
      <c r="AW24" s="83">
        <v>1109750</v>
      </c>
      <c r="AX24" s="83">
        <v>813000</v>
      </c>
      <c r="AY24" s="83">
        <v>3347350</v>
      </c>
      <c r="AZ24" s="83">
        <v>2156300</v>
      </c>
      <c r="BA24" s="83">
        <v>1117800</v>
      </c>
      <c r="BB24" s="83">
        <v>1127000</v>
      </c>
      <c r="BC24" s="83">
        <v>4632000</v>
      </c>
    </row>
    <row r="25" spans="1:57" s="68" customFormat="1" ht="19" customHeight="1" x14ac:dyDescent="0.3">
      <c r="A25" s="131"/>
      <c r="B25" s="67" t="s">
        <v>25</v>
      </c>
      <c r="C25" s="67">
        <f t="shared" si="2"/>
        <v>17559896.25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3">
        <v>545000</v>
      </c>
      <c r="V25" s="82">
        <v>300000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537500</v>
      </c>
      <c r="AK25" s="83">
        <v>245000</v>
      </c>
      <c r="AL25" s="83">
        <v>450000</v>
      </c>
      <c r="AM25" s="83">
        <v>639996</v>
      </c>
      <c r="AN25" s="83">
        <v>336500</v>
      </c>
      <c r="AO25" s="83">
        <v>235000</v>
      </c>
      <c r="AP25" s="83">
        <v>215000</v>
      </c>
      <c r="AQ25" s="83">
        <v>470000</v>
      </c>
      <c r="AR25" s="83">
        <v>235000</v>
      </c>
      <c r="AS25" s="83">
        <v>270000</v>
      </c>
      <c r="AT25" s="83">
        <v>785000</v>
      </c>
      <c r="AU25" s="83">
        <v>235000</v>
      </c>
      <c r="AV25" s="83">
        <v>240000</v>
      </c>
      <c r="AW25" s="83">
        <v>235000</v>
      </c>
      <c r="AX25" s="83">
        <v>235000</v>
      </c>
      <c r="AY25" s="83">
        <v>235000</v>
      </c>
      <c r="AZ25" s="83">
        <v>235000</v>
      </c>
      <c r="BA25" s="83">
        <v>240000</v>
      </c>
      <c r="BB25" s="83">
        <v>240000</v>
      </c>
      <c r="BC25" s="83">
        <v>480000</v>
      </c>
    </row>
    <row r="26" spans="1:57" s="68" customFormat="1" ht="18.5" customHeight="1" x14ac:dyDescent="0.3">
      <c r="A26" s="131"/>
      <c r="B26" s="67" t="s">
        <v>26</v>
      </c>
      <c r="C26" s="67">
        <f t="shared" si="2"/>
        <v>11110000</v>
      </c>
      <c r="D26" s="82">
        <v>200000</v>
      </c>
      <c r="E26" s="82">
        <v>300000</v>
      </c>
      <c r="F26" s="83">
        <v>300000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300000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3">
        <v>300000</v>
      </c>
      <c r="V26" s="82">
        <v>200000</v>
      </c>
      <c r="W26" s="83">
        <v>200000</v>
      </c>
      <c r="X26" s="82">
        <v>200000</v>
      </c>
      <c r="Y26" s="82"/>
      <c r="Z26" s="83">
        <v>300000</v>
      </c>
      <c r="AA26" s="83">
        <v>500000</v>
      </c>
      <c r="AB26" s="83">
        <v>300000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/>
      <c r="AJ26" s="83">
        <v>300000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250000</v>
      </c>
      <c r="AQ26" s="83">
        <v>400000</v>
      </c>
      <c r="AR26" s="83">
        <v>200000</v>
      </c>
      <c r="AS26" s="83"/>
      <c r="AT26" s="83">
        <v>400000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>
        <v>0</v>
      </c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2"/>
        <v>0</v>
      </c>
      <c r="D27" s="82"/>
      <c r="F27" s="83"/>
      <c r="H27" s="82"/>
      <c r="I27" s="82"/>
      <c r="J27" s="83"/>
      <c r="K27" s="83"/>
      <c r="L27" s="82"/>
      <c r="M27" s="83"/>
      <c r="N27" s="82"/>
      <c r="U27" s="83"/>
      <c r="W27" s="83"/>
      <c r="AA27" s="83"/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2"/>
        <v>1000000</v>
      </c>
      <c r="F28" s="82"/>
      <c r="I28" s="82"/>
      <c r="L28" s="82"/>
      <c r="M28" s="82">
        <v>333333.33333333331</v>
      </c>
      <c r="N28" s="82"/>
      <c r="S28" s="68">
        <v>333333.33333333331</v>
      </c>
      <c r="U28" s="83"/>
      <c r="AQ28" s="68">
        <v>333333.33333333331</v>
      </c>
    </row>
    <row r="29" spans="1:57" s="64" customFormat="1" ht="13" x14ac:dyDescent="0.3">
      <c r="A29" s="88" t="s">
        <v>29</v>
      </c>
      <c r="B29" s="60"/>
      <c r="C29" s="62">
        <f>SUM(C21:C28)</f>
        <v>2819255896.9166665</v>
      </c>
      <c r="D29" s="60">
        <f t="shared" ref="D29:BC29" si="3">SUM(D21:D28)</f>
        <v>31696502</v>
      </c>
      <c r="E29" s="60">
        <f t="shared" si="3"/>
        <v>62970021</v>
      </c>
      <c r="F29" s="60">
        <f t="shared" si="3"/>
        <v>56553149.666666664</v>
      </c>
      <c r="G29" s="60">
        <f t="shared" si="3"/>
        <v>72940942</v>
      </c>
      <c r="H29" s="60">
        <f t="shared" si="3"/>
        <v>67342190</v>
      </c>
      <c r="I29" s="60">
        <f>SUM(I21:I28)</f>
        <v>56374067.450000003</v>
      </c>
      <c r="J29" s="60">
        <f t="shared" si="3"/>
        <v>54442684.133333333</v>
      </c>
      <c r="K29" s="60">
        <f t="shared" si="3"/>
        <v>33232796.666666668</v>
      </c>
      <c r="L29" s="60">
        <f t="shared" si="3"/>
        <v>93173095.333333328</v>
      </c>
      <c r="M29" s="60">
        <f t="shared" si="3"/>
        <v>84335268.666666657</v>
      </c>
      <c r="N29" s="60">
        <f t="shared" si="3"/>
        <v>59895526</v>
      </c>
      <c r="O29" s="60">
        <f t="shared" si="3"/>
        <v>73206636</v>
      </c>
      <c r="P29" s="60">
        <f t="shared" si="3"/>
        <v>78984927</v>
      </c>
      <c r="Q29" s="60">
        <f t="shared" si="3"/>
        <v>39725398</v>
      </c>
      <c r="R29" s="60">
        <f t="shared" si="3"/>
        <v>61769635</v>
      </c>
      <c r="S29" s="60">
        <f t="shared" si="3"/>
        <v>35168111</v>
      </c>
      <c r="T29" s="60">
        <f t="shared" si="3"/>
        <v>16219890</v>
      </c>
      <c r="U29" s="60">
        <f t="shared" si="3"/>
        <v>80925177</v>
      </c>
      <c r="V29" s="60">
        <f t="shared" si="3"/>
        <v>41109989</v>
      </c>
      <c r="W29" s="60">
        <f t="shared" si="3"/>
        <v>48526760</v>
      </c>
      <c r="X29" s="60">
        <f t="shared" si="3"/>
        <v>34475435</v>
      </c>
      <c r="Y29" s="60">
        <f t="shared" si="3"/>
        <v>27128474</v>
      </c>
      <c r="Z29" s="60">
        <f t="shared" si="3"/>
        <v>68203759</v>
      </c>
      <c r="AA29" s="60">
        <f t="shared" si="3"/>
        <v>54178116.333333336</v>
      </c>
      <c r="AB29" s="60">
        <f t="shared" si="3"/>
        <v>16101902</v>
      </c>
      <c r="AC29" s="60">
        <f t="shared" si="3"/>
        <v>40305236</v>
      </c>
      <c r="AD29" s="60">
        <f t="shared" si="3"/>
        <v>47294942.600000001</v>
      </c>
      <c r="AE29" s="60">
        <f t="shared" si="3"/>
        <v>16144628.4</v>
      </c>
      <c r="AF29" s="60">
        <f t="shared" si="3"/>
        <v>48537187</v>
      </c>
      <c r="AG29" s="60">
        <f t="shared" si="3"/>
        <v>40418732.666666672</v>
      </c>
      <c r="AH29" s="60">
        <f t="shared" si="3"/>
        <v>51286148</v>
      </c>
      <c r="AI29" s="60">
        <f t="shared" si="3"/>
        <v>18430836</v>
      </c>
      <c r="AJ29" s="60">
        <f t="shared" si="3"/>
        <v>88758604</v>
      </c>
      <c r="AK29" s="60">
        <f t="shared" si="3"/>
        <v>48624813</v>
      </c>
      <c r="AL29" s="60">
        <f t="shared" si="3"/>
        <v>51283982</v>
      </c>
      <c r="AM29" s="60">
        <f t="shared" si="3"/>
        <v>68859767</v>
      </c>
      <c r="AN29" s="60">
        <f t="shared" si="3"/>
        <v>27176062</v>
      </c>
      <c r="AO29" s="60">
        <f t="shared" si="3"/>
        <v>15242139</v>
      </c>
      <c r="AP29" s="60">
        <f t="shared" si="3"/>
        <v>45648474</v>
      </c>
      <c r="AQ29" s="60">
        <f t="shared" si="3"/>
        <v>107401315.33333333</v>
      </c>
      <c r="AR29" s="60">
        <f t="shared" si="3"/>
        <v>35568548</v>
      </c>
      <c r="AS29" s="60">
        <f t="shared" si="3"/>
        <v>70467262</v>
      </c>
      <c r="AT29" s="60">
        <f t="shared" si="3"/>
        <v>141405609</v>
      </c>
      <c r="AU29" s="60">
        <f t="shared" si="3"/>
        <v>34542789.666666672</v>
      </c>
      <c r="AV29" s="60">
        <f t="shared" si="3"/>
        <v>38381992</v>
      </c>
      <c r="AW29" s="60">
        <f t="shared" si="3"/>
        <v>26162218</v>
      </c>
      <c r="AX29" s="60">
        <f t="shared" si="3"/>
        <v>83926010</v>
      </c>
      <c r="AY29" s="60">
        <f t="shared" si="3"/>
        <v>77463610</v>
      </c>
      <c r="AZ29" s="60">
        <f t="shared" si="3"/>
        <v>40674101</v>
      </c>
      <c r="BA29" s="60">
        <f t="shared" si="3"/>
        <v>24915033</v>
      </c>
      <c r="BB29" s="60">
        <f t="shared" si="3"/>
        <v>52811779</v>
      </c>
      <c r="BC29" s="60">
        <f t="shared" si="3"/>
        <v>128843626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4">SUM(D30:BC30)</f>
        <v>78388443.118289262</v>
      </c>
      <c r="D30" s="82">
        <v>757586.0995802274</v>
      </c>
      <c r="E30" s="83">
        <v>1941717.5962900938</v>
      </c>
      <c r="F30" s="83">
        <v>1175044.9985403391</v>
      </c>
      <c r="G30" s="82">
        <v>2041269.080877136</v>
      </c>
      <c r="H30" s="83">
        <v>1811459.5452337377</v>
      </c>
      <c r="I30" s="82">
        <v>1595849.742186473</v>
      </c>
      <c r="J30" s="82">
        <v>1597460.5165183994</v>
      </c>
      <c r="K30" s="82">
        <v>1203999.6405496788</v>
      </c>
      <c r="L30" s="83">
        <v>2469432.0490613361</v>
      </c>
      <c r="M30" s="82">
        <v>2246637.1342364848</v>
      </c>
      <c r="N30" s="82">
        <v>1637775.7893668707</v>
      </c>
      <c r="O30" s="82">
        <v>2237199.437070067</v>
      </c>
      <c r="P30" s="82">
        <v>2172177.4546989766</v>
      </c>
      <c r="Q30" s="82">
        <v>1309338.0491437081</v>
      </c>
      <c r="R30" s="82">
        <v>1320591.7802493223</v>
      </c>
      <c r="S30" s="82">
        <v>1161205.6722210669</v>
      </c>
      <c r="T30" s="83">
        <v>994284.97908534517</v>
      </c>
      <c r="U30" s="83">
        <v>2192598.3614822119</v>
      </c>
      <c r="V30" s="83">
        <v>1008447.2104738648</v>
      </c>
      <c r="W30" s="83">
        <v>1202292.6589325401</v>
      </c>
      <c r="X30" s="82">
        <v>912042.77868073108</v>
      </c>
      <c r="Y30" s="82">
        <v>801442.45683742908</v>
      </c>
      <c r="Z30" s="82">
        <v>1624433.2866521433</v>
      </c>
      <c r="AA30" s="82">
        <v>1772032.7053371845</v>
      </c>
      <c r="AB30" s="82">
        <v>906478.73966375377</v>
      </c>
      <c r="AC30" s="82">
        <v>979158.65831703891</v>
      </c>
      <c r="AD30" s="82">
        <v>1301363.2035008683</v>
      </c>
      <c r="AE30" s="82">
        <v>788883.89976183802</v>
      </c>
      <c r="AF30" s="82">
        <v>1302976.3470160486</v>
      </c>
      <c r="AG30" s="82">
        <v>1359597.9434545375</v>
      </c>
      <c r="AH30" s="82">
        <v>1543544.9850464968</v>
      </c>
      <c r="AI30" s="82">
        <v>955544.85791961756</v>
      </c>
      <c r="AJ30" s="83">
        <v>1924177.1194693949</v>
      </c>
      <c r="AK30" s="82">
        <v>1140040.8094838387</v>
      </c>
      <c r="AL30" s="82">
        <v>1545394.3330512203</v>
      </c>
      <c r="AM30" s="82">
        <v>2074769.8447540535</v>
      </c>
      <c r="AN30" s="82">
        <v>1036267.0378682084</v>
      </c>
      <c r="AO30" s="82">
        <v>954834.49536316248</v>
      </c>
      <c r="AP30" s="82">
        <v>1091249.5197238454</v>
      </c>
      <c r="AQ30" s="82">
        <v>2482943.9680442614</v>
      </c>
      <c r="AR30" s="82">
        <v>1300874.4554278965</v>
      </c>
      <c r="AS30" s="82">
        <v>2102236.1123291967</v>
      </c>
      <c r="AT30" s="82">
        <v>3246468.9314950574</v>
      </c>
      <c r="AU30" s="82">
        <v>1085515.6583651204</v>
      </c>
      <c r="AV30" s="83">
        <v>919845.34682981856</v>
      </c>
      <c r="AW30" s="82">
        <v>1011476.379845318</v>
      </c>
      <c r="AX30" s="82">
        <v>2051349.1041046039</v>
      </c>
      <c r="AY30" s="82">
        <v>1997994.4437007033</v>
      </c>
      <c r="AZ30" s="82">
        <v>1195695.9418344214</v>
      </c>
      <c r="BA30" s="82">
        <v>1186331.3805491272</v>
      </c>
      <c r="BB30" s="83">
        <v>788943.93907347682</v>
      </c>
      <c r="BC30" s="82">
        <v>2928166.6389909359</v>
      </c>
    </row>
    <row r="31" spans="1:57" s="68" customFormat="1" ht="24" customHeight="1" x14ac:dyDescent="0.3">
      <c r="A31" s="133"/>
      <c r="B31" s="67" t="s">
        <v>32</v>
      </c>
      <c r="C31" s="67">
        <f t="shared" si="4"/>
        <v>6040208.4884586725</v>
      </c>
      <c r="D31" s="82">
        <v>71481.757259865975</v>
      </c>
      <c r="E31" s="83">
        <v>151898.7341772152</v>
      </c>
      <c r="F31" s="83">
        <v>125093.07520476545</v>
      </c>
      <c r="G31" s="82">
        <v>196574.83246463144</v>
      </c>
      <c r="H31" s="83">
        <v>134028.2948622487</v>
      </c>
      <c r="I31" s="82">
        <v>116157.8555472822</v>
      </c>
      <c r="J31" s="82">
        <v>116157.8555472822</v>
      </c>
      <c r="K31" s="82">
        <v>89352.196574832473</v>
      </c>
      <c r="L31" s="83">
        <v>169769.1734921817</v>
      </c>
      <c r="M31" s="82">
        <v>160833.95383469845</v>
      </c>
      <c r="N31" s="82">
        <v>134028.2948622487</v>
      </c>
      <c r="O31" s="82">
        <v>151898.7341772152</v>
      </c>
      <c r="P31" s="82">
        <v>160833.95383469845</v>
      </c>
      <c r="Q31" s="82">
        <v>89352.196574832473</v>
      </c>
      <c r="R31" s="82">
        <v>107222.63588979896</v>
      </c>
      <c r="S31" s="82">
        <v>80416.976917349224</v>
      </c>
      <c r="T31" s="83">
        <v>80416.976917349224</v>
      </c>
      <c r="U31" s="83">
        <v>187639.61280714819</v>
      </c>
      <c r="V31" s="83">
        <v>89352.196574832473</v>
      </c>
      <c r="W31" s="83">
        <v>98287.416232315722</v>
      </c>
      <c r="X31" s="82">
        <v>71481.757259865975</v>
      </c>
      <c r="Y31" s="82">
        <v>62546.537602382727</v>
      </c>
      <c r="Z31" s="82">
        <v>116157.8555472822</v>
      </c>
      <c r="AA31" s="82">
        <v>134028.2948622487</v>
      </c>
      <c r="AB31" s="82">
        <v>62546.537602382727</v>
      </c>
      <c r="AC31" s="82">
        <v>80416.976917349224</v>
      </c>
      <c r="AD31" s="82">
        <v>98287.416232315722</v>
      </c>
      <c r="AE31" s="82">
        <v>62546.537602382727</v>
      </c>
      <c r="AF31" s="82">
        <v>89352.196574832473</v>
      </c>
      <c r="AG31" s="82">
        <v>98287.416232315722</v>
      </c>
      <c r="AH31" s="82">
        <v>125093.07520476545</v>
      </c>
      <c r="AI31" s="82">
        <v>71481.757259865975</v>
      </c>
      <c r="AJ31" s="83">
        <v>151898.7341772152</v>
      </c>
      <c r="AK31" s="82">
        <v>98287.416232315722</v>
      </c>
      <c r="AL31" s="82">
        <v>125093.07520476545</v>
      </c>
      <c r="AM31" s="82">
        <v>160833.95383469845</v>
      </c>
      <c r="AN31" s="82">
        <v>80416.976917349224</v>
      </c>
      <c r="AO31" s="82">
        <v>62546.537602382727</v>
      </c>
      <c r="AP31" s="82">
        <v>89352.196574832473</v>
      </c>
      <c r="AQ31" s="82">
        <v>196574.83246463144</v>
      </c>
      <c r="AR31" s="82">
        <v>89352.196574832473</v>
      </c>
      <c r="AS31" s="82">
        <v>142963.51451973195</v>
      </c>
      <c r="AT31" s="82">
        <v>232315.71109456441</v>
      </c>
      <c r="AU31" s="82">
        <v>80416.976917349224</v>
      </c>
      <c r="AV31" s="83">
        <v>71481.757259865975</v>
      </c>
      <c r="AW31" s="82">
        <v>80416.976917349224</v>
      </c>
      <c r="AX31" s="82">
        <v>160833.95383469845</v>
      </c>
      <c r="AY31" s="82">
        <v>134028.2948622487</v>
      </c>
      <c r="AZ31" s="82">
        <v>89352.196574832473</v>
      </c>
      <c r="BA31" s="82">
        <v>80416.976917349224</v>
      </c>
      <c r="BB31" s="83">
        <v>89352.196574832473</v>
      </c>
      <c r="BC31" s="82">
        <v>241250.93075204766</v>
      </c>
    </row>
    <row r="32" spans="1:57" s="68" customFormat="1" ht="24" customHeight="1" x14ac:dyDescent="0.3">
      <c r="A32" s="133"/>
      <c r="B32" s="67" t="s">
        <v>33</v>
      </c>
      <c r="C32" s="67">
        <f t="shared" si="4"/>
        <v>17133343.261355177</v>
      </c>
      <c r="D32" s="82">
        <v>205093.07520476545</v>
      </c>
      <c r="E32" s="83">
        <v>435822.78481012658</v>
      </c>
      <c r="F32" s="83">
        <v>161891.28816083394</v>
      </c>
      <c r="G32" s="82">
        <v>564005.95681310492</v>
      </c>
      <c r="H32" s="83">
        <v>384549.51600893523</v>
      </c>
      <c r="I32" s="82">
        <v>333276.24720774387</v>
      </c>
      <c r="J32" s="82">
        <v>333276.24720774387</v>
      </c>
      <c r="K32" s="82">
        <v>256366.34400595681</v>
      </c>
      <c r="L32" s="83">
        <v>487096.05361131794</v>
      </c>
      <c r="M32" s="82">
        <v>461459.41921072226</v>
      </c>
      <c r="N32" s="82">
        <v>384549.51600893523</v>
      </c>
      <c r="O32" s="82">
        <v>435822.78481012658</v>
      </c>
      <c r="P32" s="82">
        <v>461459.41921072226</v>
      </c>
      <c r="Q32" s="82">
        <v>256366.34400595681</v>
      </c>
      <c r="R32" s="82">
        <v>307639.61280714819</v>
      </c>
      <c r="S32" s="82">
        <v>230729.70960536113</v>
      </c>
      <c r="T32" s="83">
        <v>230729.70960536113</v>
      </c>
      <c r="U32" s="83">
        <v>538369.32241250924</v>
      </c>
      <c r="V32" s="83">
        <v>256366.34400595681</v>
      </c>
      <c r="W32" s="83">
        <v>282002.97840655246</v>
      </c>
      <c r="X32" s="82">
        <v>205093.07520476545</v>
      </c>
      <c r="Y32" s="82">
        <v>179456.44080416978</v>
      </c>
      <c r="Z32" s="82">
        <v>333276.24720774387</v>
      </c>
      <c r="AA32" s="82">
        <v>384549.51600893523</v>
      </c>
      <c r="AB32" s="82">
        <v>179456.44080416978</v>
      </c>
      <c r="AC32" s="82">
        <v>230729.70960536113</v>
      </c>
      <c r="AD32" s="82">
        <v>282002.97840655246</v>
      </c>
      <c r="AE32" s="82">
        <v>179456.44080416978</v>
      </c>
      <c r="AF32" s="82">
        <v>256366.34400595681</v>
      </c>
      <c r="AG32" s="82">
        <v>282002.97840655246</v>
      </c>
      <c r="AH32" s="82">
        <v>358912.88160833955</v>
      </c>
      <c r="AI32" s="82">
        <v>205093.07520476545</v>
      </c>
      <c r="AJ32" s="82">
        <v>435822.78481012658</v>
      </c>
      <c r="AK32" s="82">
        <v>282002.97840655246</v>
      </c>
      <c r="AL32" s="82">
        <v>358912.88160833955</v>
      </c>
      <c r="AM32" s="82">
        <v>461459.41921072226</v>
      </c>
      <c r="AN32" s="82">
        <v>230729.70960536113</v>
      </c>
      <c r="AO32" s="82">
        <v>179456.44080416978</v>
      </c>
      <c r="AP32" s="82">
        <v>256366.34400595681</v>
      </c>
      <c r="AQ32" s="82">
        <v>564005.95681310492</v>
      </c>
      <c r="AR32" s="82">
        <v>256366.34400595681</v>
      </c>
      <c r="AS32" s="82">
        <v>410186.15040953091</v>
      </c>
      <c r="AT32" s="82">
        <v>666552.49441548774</v>
      </c>
      <c r="AU32" s="82">
        <v>230729.70960536113</v>
      </c>
      <c r="AV32" s="82">
        <v>205093.07520476545</v>
      </c>
      <c r="AW32" s="82">
        <v>230729.70960536113</v>
      </c>
      <c r="AX32" s="82">
        <v>461459.41921072226</v>
      </c>
      <c r="AY32" s="82">
        <v>384549.51600893523</v>
      </c>
      <c r="AZ32" s="82">
        <v>256366.34400595681</v>
      </c>
      <c r="BA32" s="82">
        <v>230729.70960536113</v>
      </c>
      <c r="BB32" s="83">
        <v>256366.34400595681</v>
      </c>
      <c r="BC32" s="82">
        <v>692189.12881608342</v>
      </c>
    </row>
    <row r="33" spans="1:57" s="68" customFormat="1" ht="24" customHeight="1" x14ac:dyDescent="0.3">
      <c r="A33" s="133"/>
      <c r="B33" s="67" t="s">
        <v>166</v>
      </c>
      <c r="C33" s="67">
        <f t="shared" si="4"/>
        <v>0</v>
      </c>
      <c r="D33" s="82"/>
      <c r="E33" s="83"/>
      <c r="F33" s="83"/>
      <c r="G33" s="82"/>
      <c r="H33" s="83"/>
      <c r="I33" s="82"/>
      <c r="J33" s="82"/>
      <c r="K33" s="82"/>
      <c r="L33" s="83"/>
      <c r="M33" s="82"/>
      <c r="N33" s="82"/>
      <c r="O33" s="82"/>
      <c r="P33" s="82"/>
      <c r="Q33" s="82"/>
      <c r="R33" s="82"/>
      <c r="S33" s="82"/>
      <c r="T33" s="83"/>
      <c r="U33" s="83"/>
      <c r="V33" s="83"/>
      <c r="W33" s="83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3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3"/>
      <c r="AW33" s="82"/>
      <c r="AX33" s="82"/>
      <c r="AY33" s="82"/>
      <c r="AZ33" s="82"/>
      <c r="BA33" s="82"/>
      <c r="BB33" s="83"/>
      <c r="BC33" s="82"/>
    </row>
    <row r="34" spans="1:57" s="68" customFormat="1" ht="24" customHeight="1" x14ac:dyDescent="0.3">
      <c r="A34" s="133"/>
      <c r="B34" s="67" t="s">
        <v>167</v>
      </c>
      <c r="C34" s="67">
        <f t="shared" si="4"/>
        <v>1510052.1221146681</v>
      </c>
      <c r="D34" s="82">
        <v>17870.439314966494</v>
      </c>
      <c r="E34" s="82">
        <v>37974.6835443038</v>
      </c>
      <c r="F34" s="82">
        <v>31273.268801191363</v>
      </c>
      <c r="G34" s="82">
        <v>49143.708116157861</v>
      </c>
      <c r="H34" s="82">
        <v>33507.073715562175</v>
      </c>
      <c r="I34" s="82">
        <v>29039.463886820551</v>
      </c>
      <c r="J34" s="82">
        <v>29039.463886820551</v>
      </c>
      <c r="K34" s="82">
        <v>22338.049143708118</v>
      </c>
      <c r="L34" s="82">
        <v>42442.293373045424</v>
      </c>
      <c r="M34" s="82">
        <v>40208.488458674612</v>
      </c>
      <c r="N34" s="82">
        <v>33507.073715562175</v>
      </c>
      <c r="O34" s="82">
        <v>37974.6835443038</v>
      </c>
      <c r="P34" s="82">
        <v>40208.488458674612</v>
      </c>
      <c r="Q34" s="82">
        <v>22338.049143708118</v>
      </c>
      <c r="R34" s="82">
        <v>26805.658972449739</v>
      </c>
      <c r="S34" s="82">
        <v>20104.244229337306</v>
      </c>
      <c r="T34" s="82">
        <v>20104.244229337306</v>
      </c>
      <c r="U34" s="82">
        <v>46909.903201787049</v>
      </c>
      <c r="V34" s="82">
        <v>22338.049143708118</v>
      </c>
      <c r="W34" s="82">
        <v>24571.85405807893</v>
      </c>
      <c r="X34" s="82">
        <v>17870.439314966494</v>
      </c>
      <c r="Y34" s="82">
        <v>15636.634400595682</v>
      </c>
      <c r="Z34" s="82">
        <v>29039.463886820551</v>
      </c>
      <c r="AA34" s="82">
        <v>33507.073715562175</v>
      </c>
      <c r="AB34" s="82">
        <v>15636.634400595682</v>
      </c>
      <c r="AC34" s="82">
        <v>20104.244229337306</v>
      </c>
      <c r="AD34" s="82">
        <v>24571.85405807893</v>
      </c>
      <c r="AE34" s="82">
        <v>15636.634400595682</v>
      </c>
      <c r="AF34" s="82">
        <v>22338.049143708118</v>
      </c>
      <c r="AG34" s="82">
        <v>24571.85405807893</v>
      </c>
      <c r="AH34" s="82">
        <v>31273.268801191363</v>
      </c>
      <c r="AI34" s="82">
        <v>17870.439314966494</v>
      </c>
      <c r="AJ34" s="82">
        <v>37974.6835443038</v>
      </c>
      <c r="AK34" s="82">
        <v>24571.85405807893</v>
      </c>
      <c r="AL34" s="82">
        <v>31273.268801191363</v>
      </c>
      <c r="AM34" s="82">
        <v>40208.488458674612</v>
      </c>
      <c r="AN34" s="82">
        <v>20104.244229337306</v>
      </c>
      <c r="AO34" s="82">
        <v>15636.634400595682</v>
      </c>
      <c r="AP34" s="82">
        <v>22338.049143708118</v>
      </c>
      <c r="AQ34" s="82">
        <v>49143.708116157861</v>
      </c>
      <c r="AR34" s="82">
        <v>22338.049143708118</v>
      </c>
      <c r="AS34" s="82">
        <v>35740.878629932988</v>
      </c>
      <c r="AT34" s="82">
        <v>58078.927773641102</v>
      </c>
      <c r="AU34" s="82">
        <v>20104.244229337306</v>
      </c>
      <c r="AV34" s="82">
        <v>17870.439314966494</v>
      </c>
      <c r="AW34" s="82">
        <v>20104.244229337306</v>
      </c>
      <c r="AX34" s="82">
        <v>40208.488458674612</v>
      </c>
      <c r="AY34" s="82">
        <v>33507.073715562175</v>
      </c>
      <c r="AZ34" s="82">
        <v>22338.049143708118</v>
      </c>
      <c r="BA34" s="82">
        <v>20104.244229337306</v>
      </c>
      <c r="BB34" s="83">
        <v>22338.049143708118</v>
      </c>
      <c r="BC34" s="82">
        <v>60312.732688011914</v>
      </c>
    </row>
    <row r="35" spans="1:57" s="68" customFormat="1" ht="21.5" customHeight="1" x14ac:dyDescent="0.3">
      <c r="A35" s="133"/>
      <c r="B35" s="67" t="s">
        <v>35</v>
      </c>
      <c r="C35" s="67">
        <f t="shared" si="4"/>
        <v>23893670.498883091</v>
      </c>
      <c r="D35" s="82">
        <v>282765.33134772896</v>
      </c>
      <c r="E35" s="83">
        <v>600876.32911392406</v>
      </c>
      <c r="F35" s="83">
        <v>494839.32985852566</v>
      </c>
      <c r="G35" s="82">
        <v>777604.66120625462</v>
      </c>
      <c r="H35" s="83">
        <v>530184.99627699179</v>
      </c>
      <c r="I35" s="82">
        <v>459493.66344005958</v>
      </c>
      <c r="J35" s="82">
        <v>459493.66344005958</v>
      </c>
      <c r="K35" s="82">
        <v>353456.66418466123</v>
      </c>
      <c r="L35" s="83">
        <v>671567.66195085633</v>
      </c>
      <c r="M35" s="82">
        <v>636221.9955323902</v>
      </c>
      <c r="N35" s="82">
        <v>530184.99627699179</v>
      </c>
      <c r="O35" s="82">
        <v>600876.32911392406</v>
      </c>
      <c r="P35" s="82">
        <v>636221.9955323902</v>
      </c>
      <c r="Q35" s="82">
        <v>353456.66418466123</v>
      </c>
      <c r="R35" s="82">
        <v>424147.99702159344</v>
      </c>
      <c r="S35" s="82">
        <v>318110.9977661951</v>
      </c>
      <c r="T35" s="83">
        <v>318110.9977661951</v>
      </c>
      <c r="U35" s="83">
        <v>742258.99478778848</v>
      </c>
      <c r="V35" s="83">
        <v>353456.66418466123</v>
      </c>
      <c r="W35" s="83">
        <v>388802.33060312731</v>
      </c>
      <c r="X35" s="82">
        <v>282765.33134772896</v>
      </c>
      <c r="Y35" s="82">
        <v>247419.66492926283</v>
      </c>
      <c r="Z35" s="82">
        <v>459493.66344005958</v>
      </c>
      <c r="AA35" s="82">
        <v>530184.99627699179</v>
      </c>
      <c r="AB35" s="82">
        <v>247419.66492926283</v>
      </c>
      <c r="AC35" s="82">
        <v>318110.9977661951</v>
      </c>
      <c r="AD35" s="82">
        <v>388802.33060312731</v>
      </c>
      <c r="AE35" s="82">
        <v>247419.66492926283</v>
      </c>
      <c r="AF35" s="82">
        <v>353456.66418466123</v>
      </c>
      <c r="AG35" s="82">
        <v>388802.33060312731</v>
      </c>
      <c r="AH35" s="82">
        <v>494839.32985852566</v>
      </c>
      <c r="AI35" s="82">
        <v>282765.33134772896</v>
      </c>
      <c r="AJ35" s="83">
        <v>600876.32911392406</v>
      </c>
      <c r="AK35" s="82">
        <v>388802.33060312731</v>
      </c>
      <c r="AL35" s="82">
        <v>494839.32985852566</v>
      </c>
      <c r="AM35" s="82">
        <v>636221.9955323902</v>
      </c>
      <c r="AN35" s="82">
        <v>318110.9977661951</v>
      </c>
      <c r="AO35" s="82">
        <v>247419.66492926283</v>
      </c>
      <c r="AP35" s="82">
        <v>353456.66418466123</v>
      </c>
      <c r="AQ35" s="82">
        <v>777604.66120625462</v>
      </c>
      <c r="AR35" s="82">
        <v>353456.66418466123</v>
      </c>
      <c r="AS35" s="82">
        <v>565530.66269545793</v>
      </c>
      <c r="AT35" s="82">
        <v>918987.32688011916</v>
      </c>
      <c r="AU35" s="82">
        <v>318110.9977661951</v>
      </c>
      <c r="AV35" s="83">
        <v>282765.33134772896</v>
      </c>
      <c r="AW35" s="82">
        <v>318110.9977661951</v>
      </c>
      <c r="AX35" s="82">
        <v>636221.9955323902</v>
      </c>
      <c r="AY35" s="82">
        <v>530184.99627699179</v>
      </c>
      <c r="AZ35" s="82">
        <v>353456.66418466123</v>
      </c>
      <c r="BA35" s="82">
        <v>318110.9977661951</v>
      </c>
      <c r="BB35" s="83">
        <v>353456.66418466123</v>
      </c>
      <c r="BC35" s="82">
        <v>954332.99329858529</v>
      </c>
    </row>
    <row r="36" spans="1:57" s="68" customFormat="1" ht="21" customHeight="1" x14ac:dyDescent="0.3">
      <c r="A36" s="133"/>
      <c r="B36" s="67" t="s">
        <v>36</v>
      </c>
      <c r="C36" s="67">
        <f t="shared" si="4"/>
        <v>22450000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460000</v>
      </c>
      <c r="J36" s="82">
        <v>460000</v>
      </c>
      <c r="K36" s="82">
        <v>460000</v>
      </c>
      <c r="L36" s="83">
        <v>460000</v>
      </c>
      <c r="M36" s="82">
        <v>460000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3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3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4"/>
        <v>8266701.4147431133</v>
      </c>
      <c r="D37" s="82">
        <v>101913.62620997766</v>
      </c>
      <c r="E37" s="83">
        <v>205316.45569620252</v>
      </c>
      <c r="F37" s="83">
        <v>170848.84586746091</v>
      </c>
      <c r="G37" s="82">
        <v>262762.47207743855</v>
      </c>
      <c r="H37" s="83">
        <v>182338.04914370811</v>
      </c>
      <c r="I37" s="82">
        <v>159359.64259121369</v>
      </c>
      <c r="J37" s="82">
        <v>159359.64259121369</v>
      </c>
      <c r="K37" s="82">
        <v>124892.03276247208</v>
      </c>
      <c r="L37" s="83">
        <v>228294.86224869694</v>
      </c>
      <c r="M37" s="82">
        <v>216805.65897244975</v>
      </c>
      <c r="N37" s="82">
        <v>182338.04914370811</v>
      </c>
      <c r="O37" s="82">
        <v>205316.45569620252</v>
      </c>
      <c r="P37" s="82">
        <v>216805.65897244975</v>
      </c>
      <c r="Q37" s="82">
        <v>124892.03276247208</v>
      </c>
      <c r="R37" s="82">
        <v>147870.4393149665</v>
      </c>
      <c r="S37" s="82">
        <v>113402.82948622487</v>
      </c>
      <c r="T37" s="83">
        <v>113402.82948622487</v>
      </c>
      <c r="U37" s="83">
        <v>251273.26880119136</v>
      </c>
      <c r="V37" s="83">
        <v>124892.03276247208</v>
      </c>
      <c r="W37" s="83">
        <v>136381.23603871927</v>
      </c>
      <c r="X37" s="82">
        <v>101913.62620997766</v>
      </c>
      <c r="Y37" s="82">
        <v>90424.422933730457</v>
      </c>
      <c r="Z37" s="82">
        <v>159359.64259121369</v>
      </c>
      <c r="AA37" s="82">
        <v>182338.04914370811</v>
      </c>
      <c r="AB37" s="82">
        <v>90424.422933730457</v>
      </c>
      <c r="AC37" s="82">
        <v>113402.82948622487</v>
      </c>
      <c r="AD37" s="82">
        <v>136381.23603871927</v>
      </c>
      <c r="AE37" s="82">
        <v>90424.422933730457</v>
      </c>
      <c r="AF37" s="82">
        <v>124892.03276247208</v>
      </c>
      <c r="AG37" s="82">
        <v>136381.23603871927</v>
      </c>
      <c r="AH37" s="82">
        <v>170848.84586746091</v>
      </c>
      <c r="AI37" s="82">
        <v>101913.62620997766</v>
      </c>
      <c r="AJ37" s="83">
        <v>205316.45569620252</v>
      </c>
      <c r="AK37" s="82">
        <v>136381.23603871927</v>
      </c>
      <c r="AL37" s="82">
        <v>170848.84586746091</v>
      </c>
      <c r="AM37" s="82">
        <v>216805.65897244975</v>
      </c>
      <c r="AN37" s="82">
        <v>113402.82948622487</v>
      </c>
      <c r="AO37" s="82">
        <v>90424.422933730457</v>
      </c>
      <c r="AP37" s="82">
        <v>124892.03276247208</v>
      </c>
      <c r="AQ37" s="82">
        <v>262762.47207743855</v>
      </c>
      <c r="AR37" s="82">
        <v>124892.03276247208</v>
      </c>
      <c r="AS37" s="82">
        <v>193827.25241995533</v>
      </c>
      <c r="AT37" s="82">
        <v>288719.28518242738</v>
      </c>
      <c r="AU37" s="82">
        <v>113402.82948622487</v>
      </c>
      <c r="AV37" s="83">
        <v>101913.62620997766</v>
      </c>
      <c r="AW37" s="82">
        <v>113402.82948622487</v>
      </c>
      <c r="AX37" s="82">
        <v>216805.65897244975</v>
      </c>
      <c r="AY37" s="82">
        <v>182338.04914370811</v>
      </c>
      <c r="AZ37" s="82">
        <v>124892.03276247208</v>
      </c>
      <c r="BA37" s="82">
        <v>113402.82948622487</v>
      </c>
      <c r="BB37" s="83">
        <v>124892.03276247208</v>
      </c>
      <c r="BC37" s="82">
        <v>320208.48845867463</v>
      </c>
    </row>
    <row r="38" spans="1:57" s="68" customFormat="1" ht="24" customHeight="1" x14ac:dyDescent="0.3">
      <c r="A38" s="133"/>
      <c r="B38" s="67" t="s">
        <v>38</v>
      </c>
      <c r="C38" s="67">
        <f t="shared" si="4"/>
        <v>8676098.2874162309</v>
      </c>
      <c r="D38" s="82">
        <v>101265.82278481012</v>
      </c>
      <c r="E38" s="83">
        <v>215189.87341772151</v>
      </c>
      <c r="F38" s="83">
        <v>177215.18987341772</v>
      </c>
      <c r="G38" s="82">
        <v>278481.01265822782</v>
      </c>
      <c r="H38" s="83">
        <v>189873.41772151898</v>
      </c>
      <c r="I38" s="82">
        <v>164556.96202531646</v>
      </c>
      <c r="J38" s="82">
        <v>164556.96202531646</v>
      </c>
      <c r="K38" s="82">
        <v>126582.27848101265</v>
      </c>
      <c r="L38" s="83">
        <v>240506.32911392403</v>
      </c>
      <c r="M38" s="82">
        <v>227848.10126582277</v>
      </c>
      <c r="N38" s="83">
        <v>189873.41772151898</v>
      </c>
      <c r="O38" s="82">
        <v>215189.87341772151</v>
      </c>
      <c r="P38" s="82">
        <v>227848.10126582277</v>
      </c>
      <c r="Q38" s="82">
        <v>126582.27848101265</v>
      </c>
      <c r="R38" s="82">
        <v>151898.7341772152</v>
      </c>
      <c r="S38" s="82">
        <v>113924.05063291139</v>
      </c>
      <c r="T38" s="83">
        <v>113924.05063291139</v>
      </c>
      <c r="U38" s="83">
        <v>344005.95681310497</v>
      </c>
      <c r="V38" s="83">
        <v>126582.27848101265</v>
      </c>
      <c r="W38" s="83">
        <v>180193.59642591214</v>
      </c>
      <c r="X38" s="82">
        <v>101265.82278481012</v>
      </c>
      <c r="Y38" s="82">
        <v>88607.594936708861</v>
      </c>
      <c r="Z38" s="82">
        <v>164556.96202531646</v>
      </c>
      <c r="AA38" s="82">
        <v>189873.41772151898</v>
      </c>
      <c r="AB38" s="82">
        <v>88607.594936708861</v>
      </c>
      <c r="AC38" s="82">
        <v>113924.05063291139</v>
      </c>
      <c r="AD38" s="82">
        <v>139240.50632911391</v>
      </c>
      <c r="AE38" s="82">
        <v>88607.594936708861</v>
      </c>
      <c r="AF38" s="82">
        <v>126582.27848101265</v>
      </c>
      <c r="AG38" s="82">
        <v>139240.50632911391</v>
      </c>
      <c r="AH38" s="82">
        <v>177215.18987341772</v>
      </c>
      <c r="AI38" s="82">
        <v>101265.82278481012</v>
      </c>
      <c r="AJ38" s="83">
        <v>215189.87341772151</v>
      </c>
      <c r="AK38" s="82">
        <v>139240.50632911391</v>
      </c>
      <c r="AL38" s="82">
        <v>177215.18987341772</v>
      </c>
      <c r="AM38" s="82">
        <v>227848.10126582277</v>
      </c>
      <c r="AN38" s="82">
        <v>113924.05063291139</v>
      </c>
      <c r="AO38" s="82">
        <v>88607.594936708861</v>
      </c>
      <c r="AP38" s="82">
        <v>126582.27848101265</v>
      </c>
      <c r="AQ38" s="82">
        <v>278481.01265822782</v>
      </c>
      <c r="AR38" s="82">
        <v>126582.27848101265</v>
      </c>
      <c r="AS38" s="82">
        <v>202531.64556962025</v>
      </c>
      <c r="AT38" s="82">
        <v>329113.92405063292</v>
      </c>
      <c r="AU38" s="82">
        <v>113924.05063291139</v>
      </c>
      <c r="AV38" s="83">
        <v>101265.82278481012</v>
      </c>
      <c r="AW38" s="82">
        <v>113924.05063291139</v>
      </c>
      <c r="AX38" s="82">
        <v>227848.10126582277</v>
      </c>
      <c r="AY38" s="82">
        <v>189873.41772151898</v>
      </c>
      <c r="AZ38" s="82">
        <v>126582.27848101265</v>
      </c>
      <c r="BA38" s="82">
        <v>113924.05063291139</v>
      </c>
      <c r="BB38" s="83">
        <v>126582.27848101265</v>
      </c>
      <c r="BC38" s="82">
        <v>341772.15189873416</v>
      </c>
    </row>
    <row r="39" spans="1:57" s="68" customFormat="1" ht="21" customHeight="1" x14ac:dyDescent="0.35">
      <c r="A39" s="133"/>
      <c r="B39" s="67" t="s">
        <v>39</v>
      </c>
      <c r="C39" s="67">
        <f t="shared" si="4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U39" s="83"/>
      <c r="V39" s="83"/>
      <c r="W39" s="83"/>
      <c r="AJ39" s="83"/>
      <c r="AV39" s="83"/>
      <c r="BB39" s="83"/>
    </row>
    <row r="40" spans="1:57" s="68" customFormat="1" ht="25.5" customHeight="1" x14ac:dyDescent="0.3">
      <c r="A40" s="134"/>
      <c r="B40" s="67" t="s">
        <v>40</v>
      </c>
      <c r="C40" s="67">
        <f t="shared" si="4"/>
        <v>59573776.497393936</v>
      </c>
      <c r="D40" s="82">
        <v>705015.10647803429</v>
      </c>
      <c r="E40" s="83">
        <v>1498157.1012658228</v>
      </c>
      <c r="F40" s="83">
        <v>1233776.4363365599</v>
      </c>
      <c r="G40" s="82">
        <v>1938791.5428145942</v>
      </c>
      <c r="H40" s="83">
        <v>1321903.3246463144</v>
      </c>
      <c r="I40" s="82">
        <v>1145649.5480268057</v>
      </c>
      <c r="J40" s="82">
        <v>1145649.5480268057</v>
      </c>
      <c r="K40" s="82">
        <v>881268.88309754292</v>
      </c>
      <c r="L40" s="83">
        <v>1674410.8778853314</v>
      </c>
      <c r="M40" s="82">
        <v>1586283.9895755772</v>
      </c>
      <c r="N40" s="82">
        <v>1321903.3246463144</v>
      </c>
      <c r="O40" s="83">
        <v>1498157.1012658228</v>
      </c>
      <c r="P40" s="83">
        <v>1586283.9895755772</v>
      </c>
      <c r="Q40" s="83">
        <v>881268.88309754292</v>
      </c>
      <c r="R40" s="83">
        <v>1057522.6597170513</v>
      </c>
      <c r="S40" s="83">
        <v>793141.9947877886</v>
      </c>
      <c r="T40" s="83">
        <v>793141.9947877886</v>
      </c>
      <c r="U40" s="83">
        <v>1850664.65450484</v>
      </c>
      <c r="V40" s="83">
        <v>881268.88309754292</v>
      </c>
      <c r="W40" s="83">
        <v>969395.77140729711</v>
      </c>
      <c r="X40" s="83">
        <v>705015.10647803429</v>
      </c>
      <c r="Y40" s="83">
        <v>616888.21816827997</v>
      </c>
      <c r="Z40" s="83">
        <v>1145649.5480268057</v>
      </c>
      <c r="AA40" s="83">
        <v>1321903.3246463144</v>
      </c>
      <c r="AB40" s="83">
        <v>616888.21816827997</v>
      </c>
      <c r="AC40" s="83">
        <v>793141.9947877886</v>
      </c>
      <c r="AD40" s="83">
        <v>969395.77140729711</v>
      </c>
      <c r="AE40" s="83">
        <v>616888.21816827997</v>
      </c>
      <c r="AF40" s="83">
        <v>881268.88309754292</v>
      </c>
      <c r="AG40" s="83">
        <v>969395.77140729711</v>
      </c>
      <c r="AH40" s="83">
        <v>1233776.4363365599</v>
      </c>
      <c r="AI40" s="83">
        <v>705015.10647803429</v>
      </c>
      <c r="AJ40" s="83">
        <v>1498157.1012658228</v>
      </c>
      <c r="AK40" s="83">
        <v>969395.77140729711</v>
      </c>
      <c r="AL40" s="83">
        <v>1233776.4363365599</v>
      </c>
      <c r="AM40" s="83">
        <v>1586283.9895755772</v>
      </c>
      <c r="AN40" s="83">
        <v>793141.9947877886</v>
      </c>
      <c r="AO40" s="83">
        <v>616888.21816827997</v>
      </c>
      <c r="AP40" s="83">
        <v>881268.88309754292</v>
      </c>
      <c r="AQ40" s="83">
        <v>1938791.5428145942</v>
      </c>
      <c r="AR40" s="83">
        <v>881268.88309754292</v>
      </c>
      <c r="AS40" s="83">
        <v>1410030.2129560686</v>
      </c>
      <c r="AT40" s="83">
        <v>2291299.0960536115</v>
      </c>
      <c r="AU40" s="83">
        <v>793141.9947877886</v>
      </c>
      <c r="AV40" s="83">
        <v>705015.10647803429</v>
      </c>
      <c r="AW40" s="83">
        <v>793141.9947877886</v>
      </c>
      <c r="AX40" s="83">
        <v>1586283.9895755772</v>
      </c>
      <c r="AY40" s="83">
        <v>1321903.3246463144</v>
      </c>
      <c r="AZ40" s="83">
        <v>881268.88309754292</v>
      </c>
      <c r="BA40" s="83">
        <v>793141.9947877886</v>
      </c>
      <c r="BB40" s="83">
        <v>881268.88309754292</v>
      </c>
      <c r="BC40" s="83">
        <v>2379425.9843633659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4"/>
        <v>64470453.806403577</v>
      </c>
      <c r="D41" s="82">
        <v>2437473</v>
      </c>
      <c r="E41" s="82">
        <v>2254380</v>
      </c>
      <c r="F41" s="82">
        <v>3928077</v>
      </c>
      <c r="G41" s="83">
        <v>2015550</v>
      </c>
      <c r="H41" s="83">
        <v>2101512</v>
      </c>
      <c r="I41" s="82">
        <v>304643</v>
      </c>
      <c r="J41" s="82">
        <v>304643.33581533883</v>
      </c>
      <c r="K41" s="82">
        <v>234341.02755026062</v>
      </c>
      <c r="L41" s="82">
        <v>445247.95234549517</v>
      </c>
      <c r="M41" s="82">
        <v>2671814</v>
      </c>
      <c r="N41" s="82">
        <v>2051512</v>
      </c>
      <c r="O41" s="68">
        <v>398379.74683544307</v>
      </c>
      <c r="P41" s="68">
        <v>421813.84959046915</v>
      </c>
      <c r="Q41" s="68">
        <v>234341.02755026062</v>
      </c>
      <c r="R41" s="68">
        <v>1856209</v>
      </c>
      <c r="S41" s="68">
        <v>210906.92479523458</v>
      </c>
      <c r="T41" s="83">
        <v>210906.92479523458</v>
      </c>
      <c r="U41" s="68">
        <v>3342116</v>
      </c>
      <c r="V41" s="83">
        <v>2334341</v>
      </c>
      <c r="W41" s="83">
        <v>257775.13030528667</v>
      </c>
      <c r="X41" s="68">
        <v>187472.8220402085</v>
      </c>
      <c r="Y41" s="68">
        <v>164038.71928518242</v>
      </c>
      <c r="Z41" s="68">
        <v>304643.33581533883</v>
      </c>
      <c r="AA41" s="68">
        <v>4044512</v>
      </c>
      <c r="AB41" s="68">
        <v>164038.71928518242</v>
      </c>
      <c r="AC41" s="68">
        <v>210906.92479523458</v>
      </c>
      <c r="AD41" s="68">
        <v>1517775</v>
      </c>
      <c r="AE41" s="68">
        <v>164038.71928518242</v>
      </c>
      <c r="AF41" s="68">
        <v>2484341</v>
      </c>
      <c r="AG41" s="68">
        <v>257775.13030528667</v>
      </c>
      <c r="AH41" s="68">
        <v>2053077</v>
      </c>
      <c r="AI41" s="68">
        <v>187472.8220402085</v>
      </c>
      <c r="AJ41" s="68">
        <v>398379.74683544307</v>
      </c>
      <c r="AK41" s="68">
        <v>2257775</v>
      </c>
      <c r="AL41" s="68">
        <v>328077.43857036484</v>
      </c>
      <c r="AM41" s="68">
        <v>421813.84959046915</v>
      </c>
      <c r="AN41" s="68">
        <v>910907</v>
      </c>
      <c r="AO41" s="68">
        <v>164038.71928518242</v>
      </c>
      <c r="AP41" s="68">
        <v>3789341</v>
      </c>
      <c r="AQ41" s="68">
        <v>2125550</v>
      </c>
      <c r="AR41" s="68">
        <v>234341.02755026062</v>
      </c>
      <c r="AS41" s="68">
        <v>3274946</v>
      </c>
      <c r="AT41" s="68">
        <v>609286.67163067765</v>
      </c>
      <c r="AU41" s="68">
        <v>210906.92479523458</v>
      </c>
      <c r="AV41" s="83">
        <v>187472.8220402085</v>
      </c>
      <c r="AW41" s="68">
        <v>1710907</v>
      </c>
      <c r="AX41" s="68">
        <v>1821814</v>
      </c>
      <c r="AY41" s="68">
        <v>351511.54132539092</v>
      </c>
      <c r="AZ41" s="68">
        <v>1389341</v>
      </c>
      <c r="BA41" s="68">
        <v>210906.92479523458</v>
      </c>
      <c r="BB41" s="83">
        <v>234341.02755026062</v>
      </c>
      <c r="BC41" s="68">
        <v>4082721</v>
      </c>
    </row>
    <row r="42" spans="1:57" s="68" customFormat="1" ht="33" customHeight="1" x14ac:dyDescent="0.3">
      <c r="A42" s="135"/>
      <c r="B42" s="66" t="s">
        <v>43</v>
      </c>
      <c r="C42" s="67">
        <f t="shared" si="4"/>
        <v>15230000</v>
      </c>
      <c r="D42" s="82">
        <v>55000</v>
      </c>
      <c r="E42" s="82"/>
      <c r="F42" s="82">
        <v>280000</v>
      </c>
      <c r="G42" s="82">
        <v>1850000</v>
      </c>
      <c r="H42" s="68">
        <v>1240000</v>
      </c>
      <c r="I42" s="82"/>
      <c r="J42" s="68">
        <v>35000</v>
      </c>
      <c r="N42" s="68">
        <v>1500000</v>
      </c>
      <c r="O42" s="68">
        <v>25000</v>
      </c>
      <c r="P42" s="68">
        <v>200000</v>
      </c>
      <c r="W42" s="68">
        <v>2420000</v>
      </c>
      <c r="X42" s="68">
        <v>950000</v>
      </c>
      <c r="Z42" s="68">
        <v>685000</v>
      </c>
      <c r="AA42" s="68">
        <v>315000</v>
      </c>
      <c r="AD42" s="68">
        <v>400000</v>
      </c>
      <c r="AE42" s="68">
        <v>80000</v>
      </c>
      <c r="AH42" s="68">
        <v>10000</v>
      </c>
      <c r="AJ42" s="68">
        <v>160000</v>
      </c>
      <c r="AK42" s="68">
        <v>80000</v>
      </c>
      <c r="AP42" s="68">
        <v>80000</v>
      </c>
      <c r="AQ42" s="68">
        <v>490000</v>
      </c>
      <c r="AS42" s="68">
        <v>50000</v>
      </c>
      <c r="AV42" s="68">
        <v>30000</v>
      </c>
      <c r="AX42" s="68">
        <v>3000000</v>
      </c>
      <c r="AZ42" s="68">
        <v>400000</v>
      </c>
      <c r="BA42" s="68">
        <v>895000</v>
      </c>
    </row>
    <row r="43" spans="1:57" s="68" customFormat="1" ht="54.5" customHeight="1" x14ac:dyDescent="0.3">
      <c r="A43" s="135"/>
      <c r="B43" s="66" t="s">
        <v>44</v>
      </c>
      <c r="C43" s="67">
        <f t="shared" si="4"/>
        <v>9251000</v>
      </c>
      <c r="D43" s="82">
        <v>200000</v>
      </c>
      <c r="E43" s="82">
        <v>150000</v>
      </c>
      <c r="F43" s="82">
        <v>900000</v>
      </c>
      <c r="G43" s="68">
        <v>1300000</v>
      </c>
      <c r="H43" s="68">
        <v>850000</v>
      </c>
      <c r="I43" s="82"/>
      <c r="J43" s="82"/>
      <c r="L43" s="82">
        <v>530000</v>
      </c>
      <c r="M43" s="82"/>
      <c r="N43" s="68">
        <v>995000</v>
      </c>
      <c r="P43" s="68">
        <v>200000</v>
      </c>
      <c r="W43" s="68">
        <v>100000</v>
      </c>
      <c r="AA43" s="68">
        <v>1215000</v>
      </c>
      <c r="AD43" s="68">
        <v>10000</v>
      </c>
      <c r="AF43" s="68">
        <v>170000</v>
      </c>
      <c r="AG43" s="68">
        <v>10000</v>
      </c>
      <c r="AH43" s="68">
        <v>550000</v>
      </c>
      <c r="AO43" s="68">
        <v>310000</v>
      </c>
      <c r="AP43" s="68">
        <v>150000</v>
      </c>
      <c r="AS43" s="68">
        <v>10000</v>
      </c>
      <c r="AU43" s="68">
        <v>40000</v>
      </c>
      <c r="AW43" s="68">
        <v>150000</v>
      </c>
      <c r="AX43" s="68">
        <v>853000</v>
      </c>
      <c r="AZ43" s="68">
        <v>200000</v>
      </c>
      <c r="BC43" s="68">
        <v>358000</v>
      </c>
    </row>
    <row r="44" spans="1:57" s="93" customFormat="1" ht="13" x14ac:dyDescent="0.3">
      <c r="A44" s="91" t="s">
        <v>45</v>
      </c>
      <c r="B44" s="92"/>
      <c r="C44" s="62">
        <f t="shared" ref="C44:BC44" si="5">SUM(C30:C43)</f>
        <v>314883747.4950577</v>
      </c>
      <c r="D44" s="92">
        <f t="shared" si="5"/>
        <v>5335464.2581803761</v>
      </c>
      <c r="E44" s="92">
        <f>SUM(E30:E43)</f>
        <v>8041333.5583154103</v>
      </c>
      <c r="F44" s="92">
        <f t="shared" si="5"/>
        <v>9028059.4326430932</v>
      </c>
      <c r="G44" s="92">
        <f t="shared" si="5"/>
        <v>11874183.267027546</v>
      </c>
      <c r="H44" s="92">
        <f t="shared" si="5"/>
        <v>9179356.2176090181</v>
      </c>
      <c r="I44" s="92">
        <f t="shared" si="5"/>
        <v>4768026.1249117143</v>
      </c>
      <c r="J44" s="92">
        <f t="shared" si="5"/>
        <v>4804637.2350589801</v>
      </c>
      <c r="K44" s="92">
        <f t="shared" si="5"/>
        <v>3752597.1163501255</v>
      </c>
      <c r="L44" s="92">
        <f t="shared" si="5"/>
        <v>7418767.253082186</v>
      </c>
      <c r="M44" s="92">
        <f t="shared" si="5"/>
        <v>8708112.7410868183</v>
      </c>
      <c r="N44" s="92">
        <f t="shared" si="5"/>
        <v>9310672.4617421497</v>
      </c>
      <c r="O44" s="92">
        <f t="shared" si="5"/>
        <v>6355815.1459308257</v>
      </c>
      <c r="P44" s="92">
        <f t="shared" si="5"/>
        <v>6873652.9111397807</v>
      </c>
      <c r="Q44" s="92">
        <f t="shared" si="5"/>
        <v>3797935.524944155</v>
      </c>
      <c r="R44" s="92">
        <f t="shared" si="5"/>
        <v>5799908.5181495454</v>
      </c>
      <c r="S44" s="92">
        <f t="shared" si="5"/>
        <v>3041943.4004414687</v>
      </c>
      <c r="T44" s="92">
        <f t="shared" si="5"/>
        <v>3275022.7073057471</v>
      </c>
      <c r="U44" s="92">
        <f t="shared" si="5"/>
        <v>10045836.074810581</v>
      </c>
      <c r="V44" s="92">
        <f t="shared" si="5"/>
        <v>5597044.658724051</v>
      </c>
      <c r="W44" s="92">
        <f t="shared" si="5"/>
        <v>6459702.9724098295</v>
      </c>
      <c r="X44" s="92">
        <f t="shared" si="5"/>
        <v>3934920.7593210884</v>
      </c>
      <c r="Y44" s="92">
        <f t="shared" si="5"/>
        <v>2666460.6898977421</v>
      </c>
      <c r="Z44" s="92">
        <f t="shared" si="5"/>
        <v>5571610.0051927231</v>
      </c>
      <c r="AA44" s="92">
        <f t="shared" si="5"/>
        <v>10672929.377712464</v>
      </c>
      <c r="AB44" s="92">
        <f t="shared" si="5"/>
        <v>2771496.972724067</v>
      </c>
      <c r="AC44" s="92">
        <f t="shared" si="5"/>
        <v>3259896.3865374406</v>
      </c>
      <c r="AD44" s="92">
        <f t="shared" si="5"/>
        <v>5542820.2965760734</v>
      </c>
      <c r="AE44" s="92">
        <f t="shared" si="5"/>
        <v>2608902.1328221504</v>
      </c>
      <c r="AF44" s="92">
        <f t="shared" si="5"/>
        <v>6211573.7952662352</v>
      </c>
      <c r="AG44" s="92">
        <f t="shared" si="5"/>
        <v>4066055.1668350287</v>
      </c>
      <c r="AH44" s="92">
        <f t="shared" si="5"/>
        <v>7148581.0125967572</v>
      </c>
      <c r="AI44" s="92">
        <f t="shared" si="5"/>
        <v>3028422.8385599749</v>
      </c>
      <c r="AJ44" s="92">
        <f t="shared" si="5"/>
        <v>6177792.8283301545</v>
      </c>
      <c r="AK44" s="92">
        <f t="shared" si="5"/>
        <v>5866497.9025590438</v>
      </c>
      <c r="AL44" s="92">
        <f t="shared" si="5"/>
        <v>4865430.7991718464</v>
      </c>
      <c r="AM44" s="92">
        <f t="shared" si="5"/>
        <v>6376245.3011948569</v>
      </c>
      <c r="AN44" s="92">
        <f t="shared" si="5"/>
        <v>4017004.8412933755</v>
      </c>
      <c r="AO44" s="92">
        <f t="shared" si="5"/>
        <v>3079852.7284234753</v>
      </c>
      <c r="AP44" s="92">
        <f t="shared" si="5"/>
        <v>7314846.9679740313</v>
      </c>
      <c r="AQ44" s="92">
        <f t="shared" si="5"/>
        <v>9665858.1541946717</v>
      </c>
      <c r="AR44" s="92">
        <f t="shared" si="5"/>
        <v>3789471.9312283434</v>
      </c>
      <c r="AS44" s="92">
        <f t="shared" si="5"/>
        <v>8947992.4295294955</v>
      </c>
      <c r="AT44" s="92">
        <f t="shared" si="5"/>
        <v>9190822.3685762174</v>
      </c>
      <c r="AU44" s="92">
        <f t="shared" si="5"/>
        <v>3406253.3865855224</v>
      </c>
      <c r="AV44" s="92">
        <f t="shared" si="5"/>
        <v>3022723.3274701759</v>
      </c>
      <c r="AW44" s="92">
        <f t="shared" si="5"/>
        <v>4942214.1832704851</v>
      </c>
      <c r="AX44" s="92">
        <f t="shared" si="5"/>
        <v>11605824.710954938</v>
      </c>
      <c r="AY44" s="92">
        <f t="shared" si="5"/>
        <v>5675890.6574013736</v>
      </c>
      <c r="AZ44" s="92">
        <f t="shared" si="5"/>
        <v>5439293.3900846075</v>
      </c>
      <c r="BA44" s="92">
        <f t="shared" si="5"/>
        <v>4362069.1087695286</v>
      </c>
      <c r="BB44" s="92">
        <f t="shared" si="5"/>
        <v>3277541.4148739236</v>
      </c>
      <c r="BC44" s="92">
        <f t="shared" si="5"/>
        <v>12908380.049266439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3134139644.4117241</v>
      </c>
      <c r="D45" s="95">
        <f t="shared" ref="D45:BC45" si="6">D29+D44</f>
        <v>37031966.25818038</v>
      </c>
      <c r="E45" s="95">
        <f t="shared" si="6"/>
        <v>71011354.558315411</v>
      </c>
      <c r="F45" s="95">
        <f t="shared" si="6"/>
        <v>65581209.099309757</v>
      </c>
      <c r="G45" s="95">
        <f t="shared" si="6"/>
        <v>84815125.267027542</v>
      </c>
      <c r="H45" s="95">
        <f t="shared" si="6"/>
        <v>76521546.217609018</v>
      </c>
      <c r="I45" s="95">
        <f t="shared" si="6"/>
        <v>61142093.574911714</v>
      </c>
      <c r="J45" s="95">
        <f t="shared" si="6"/>
        <v>59247321.368392311</v>
      </c>
      <c r="K45" s="95">
        <f t="shared" si="6"/>
        <v>36985393.783016793</v>
      </c>
      <c r="L45" s="95">
        <f t="shared" si="6"/>
        <v>100591862.58641551</v>
      </c>
      <c r="M45" s="95">
        <f t="shared" si="6"/>
        <v>93043381.407753468</v>
      </c>
      <c r="N45" s="95">
        <f t="shared" si="6"/>
        <v>69206198.461742148</v>
      </c>
      <c r="O45" s="95">
        <f t="shared" si="6"/>
        <v>79562451.145930827</v>
      </c>
      <c r="P45" s="95">
        <f t="shared" si="6"/>
        <v>85858579.911139786</v>
      </c>
      <c r="Q45" s="95">
        <f t="shared" si="6"/>
        <v>43523333.524944156</v>
      </c>
      <c r="R45" s="95">
        <f t="shared" si="6"/>
        <v>67569543.51814954</v>
      </c>
      <c r="S45" s="95">
        <f t="shared" si="6"/>
        <v>38210054.400441468</v>
      </c>
      <c r="T45" s="95">
        <f t="shared" si="6"/>
        <v>19494912.707305748</v>
      </c>
      <c r="U45" s="95">
        <f t="shared" si="6"/>
        <v>90971013.074810579</v>
      </c>
      <c r="V45" s="95">
        <f t="shared" si="6"/>
        <v>46707033.658724055</v>
      </c>
      <c r="W45" s="95">
        <f t="shared" si="6"/>
        <v>54986462.972409829</v>
      </c>
      <c r="X45" s="95">
        <f t="shared" si="6"/>
        <v>38410355.759321086</v>
      </c>
      <c r="Y45" s="95">
        <f t="shared" si="6"/>
        <v>29794934.689897742</v>
      </c>
      <c r="Z45" s="95">
        <f t="shared" si="6"/>
        <v>73775369.005192727</v>
      </c>
      <c r="AA45" s="95">
        <f t="shared" si="6"/>
        <v>64851045.711045802</v>
      </c>
      <c r="AB45" s="95">
        <f t="shared" si="6"/>
        <v>18873398.972724065</v>
      </c>
      <c r="AC45" s="95">
        <f t="shared" si="6"/>
        <v>43565132.38653744</v>
      </c>
      <c r="AD45" s="95">
        <f t="shared" si="6"/>
        <v>52837762.896576077</v>
      </c>
      <c r="AE45" s="95">
        <f t="shared" si="6"/>
        <v>18753530.532822151</v>
      </c>
      <c r="AF45" s="95">
        <f t="shared" si="6"/>
        <v>54748760.795266233</v>
      </c>
      <c r="AG45" s="95">
        <f t="shared" si="6"/>
        <v>44484787.833501697</v>
      </c>
      <c r="AH45" s="95">
        <f t="shared" si="6"/>
        <v>58434729.012596756</v>
      </c>
      <c r="AI45" s="95">
        <f t="shared" si="6"/>
        <v>21459258.838559974</v>
      </c>
      <c r="AJ45" s="95">
        <f t="shared" si="6"/>
        <v>94936396.828330159</v>
      </c>
      <c r="AK45" s="95">
        <f t="shared" si="6"/>
        <v>54491310.902559042</v>
      </c>
      <c r="AL45" s="95">
        <f t="shared" si="6"/>
        <v>56149412.79917185</v>
      </c>
      <c r="AM45" s="95">
        <f t="shared" si="6"/>
        <v>75236012.301194862</v>
      </c>
      <c r="AN45" s="95">
        <f t="shared" si="6"/>
        <v>31193066.841293376</v>
      </c>
      <c r="AO45" s="95">
        <f t="shared" si="6"/>
        <v>18321991.728423476</v>
      </c>
      <c r="AP45" s="95">
        <f t="shared" si="6"/>
        <v>52963320.967974029</v>
      </c>
      <c r="AQ45" s="95">
        <f t="shared" si="6"/>
        <v>117067173.487528</v>
      </c>
      <c r="AR45" s="95">
        <f t="shared" si="6"/>
        <v>39358019.93122834</v>
      </c>
      <c r="AS45" s="95">
        <f t="shared" si="6"/>
        <v>79415254.429529488</v>
      </c>
      <c r="AT45" s="95">
        <f t="shared" si="6"/>
        <v>150596431.36857623</v>
      </c>
      <c r="AU45" s="95">
        <f t="shared" si="6"/>
        <v>37949043.05325219</v>
      </c>
      <c r="AV45" s="95">
        <f t="shared" si="6"/>
        <v>41404715.327470176</v>
      </c>
      <c r="AW45" s="95">
        <f t="shared" si="6"/>
        <v>31104432.183270484</v>
      </c>
      <c r="AX45" s="95">
        <f t="shared" si="6"/>
        <v>95531834.710954934</v>
      </c>
      <c r="AY45" s="95">
        <f t="shared" si="6"/>
        <v>83139500.657401368</v>
      </c>
      <c r="AZ45" s="95">
        <f t="shared" si="6"/>
        <v>46113394.390084609</v>
      </c>
      <c r="BA45" s="95">
        <f t="shared" si="6"/>
        <v>29277102.108769529</v>
      </c>
      <c r="BB45" s="95">
        <f t="shared" si="6"/>
        <v>56089320.41487392</v>
      </c>
      <c r="BC45" s="95">
        <f t="shared" si="6"/>
        <v>141752006.04926643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7">C4-C29</f>
        <v>810212040.08333349</v>
      </c>
      <c r="D46" s="97">
        <f t="shared" si="7"/>
        <v>8427498</v>
      </c>
      <c r="E46" s="97">
        <f t="shared" si="7"/>
        <v>10791979</v>
      </c>
      <c r="F46" s="97">
        <f t="shared" si="7"/>
        <v>6691850.3333333358</v>
      </c>
      <c r="G46" s="97">
        <f t="shared" si="7"/>
        <v>17143058</v>
      </c>
      <c r="H46" s="97">
        <f t="shared" si="7"/>
        <v>13617810</v>
      </c>
      <c r="I46" s="97">
        <f t="shared" si="7"/>
        <v>13058932.549999997</v>
      </c>
      <c r="J46" s="97">
        <f t="shared" si="7"/>
        <v>11924315.866666667</v>
      </c>
      <c r="K46" s="97">
        <f t="shared" si="7"/>
        <v>4675603.3333333321</v>
      </c>
      <c r="L46" s="97">
        <f t="shared" si="7"/>
        <v>28419904.666666672</v>
      </c>
      <c r="M46" s="97">
        <f t="shared" si="7"/>
        <v>28419731.333333343</v>
      </c>
      <c r="N46" s="97">
        <f t="shared" si="7"/>
        <v>17617474</v>
      </c>
      <c r="O46" s="97">
        <f t="shared" si="7"/>
        <v>16488364</v>
      </c>
      <c r="P46" s="97">
        <f t="shared" si="7"/>
        <v>21870073</v>
      </c>
      <c r="Q46" s="97">
        <f t="shared" si="7"/>
        <v>17457602</v>
      </c>
      <c r="R46" s="97">
        <f t="shared" si="7"/>
        <v>14521139</v>
      </c>
      <c r="S46" s="97">
        <f t="shared" si="7"/>
        <v>16632889</v>
      </c>
      <c r="T46" s="97">
        <f t="shared" si="7"/>
        <v>11942110</v>
      </c>
      <c r="U46" s="97">
        <f t="shared" si="7"/>
        <v>18553823</v>
      </c>
      <c r="V46" s="97">
        <f t="shared" si="7"/>
        <v>16575011</v>
      </c>
      <c r="W46" s="97">
        <f t="shared" si="7"/>
        <v>16271240</v>
      </c>
      <c r="X46" s="97">
        <f t="shared" si="7"/>
        <v>12606565</v>
      </c>
      <c r="Y46" s="97">
        <f t="shared" si="7"/>
        <v>8809526</v>
      </c>
      <c r="Z46" s="97">
        <f t="shared" si="7"/>
        <v>19209241</v>
      </c>
      <c r="AA46" s="97">
        <f t="shared" si="7"/>
        <v>25600883.666666664</v>
      </c>
      <c r="AB46" s="97">
        <f t="shared" si="7"/>
        <v>10040098</v>
      </c>
      <c r="AC46" s="97">
        <f t="shared" si="7"/>
        <v>8212227</v>
      </c>
      <c r="AD46" s="97">
        <f t="shared" si="7"/>
        <v>16561457.399999999</v>
      </c>
      <c r="AE46" s="97">
        <f t="shared" si="7"/>
        <v>7551371.5999999996</v>
      </c>
      <c r="AF46" s="97">
        <f t="shared" si="7"/>
        <v>15441813</v>
      </c>
      <c r="AG46" s="97">
        <f t="shared" si="7"/>
        <v>16240167.333333328</v>
      </c>
      <c r="AH46" s="97">
        <f t="shared" si="7"/>
        <v>16365852</v>
      </c>
      <c r="AI46" s="97">
        <f t="shared" si="7"/>
        <v>8421164</v>
      </c>
      <c r="AJ46" s="97">
        <f t="shared" si="7"/>
        <v>14211396</v>
      </c>
      <c r="AK46" s="97">
        <f t="shared" si="7"/>
        <v>20094187</v>
      </c>
      <c r="AL46" s="97">
        <f t="shared" si="7"/>
        <v>12082018</v>
      </c>
      <c r="AM46" s="97">
        <f t="shared" si="7"/>
        <v>16209233</v>
      </c>
      <c r="AN46" s="97">
        <f t="shared" si="7"/>
        <v>10660938</v>
      </c>
      <c r="AO46" s="97">
        <f t="shared" si="7"/>
        <v>13458861</v>
      </c>
      <c r="AP46" s="97">
        <f t="shared" si="7"/>
        <v>13403526</v>
      </c>
      <c r="AQ46" s="97">
        <f t="shared" si="7"/>
        <v>33881684.666666672</v>
      </c>
      <c r="AR46" s="97">
        <f t="shared" si="7"/>
        <v>11380452</v>
      </c>
      <c r="AS46" s="97">
        <f t="shared" si="7"/>
        <v>21589738</v>
      </c>
      <c r="AT46" s="97">
        <f t="shared" si="7"/>
        <v>39246391</v>
      </c>
      <c r="AU46" s="97">
        <f t="shared" si="7"/>
        <v>14756210.333333328</v>
      </c>
      <c r="AV46" s="97">
        <f t="shared" si="7"/>
        <v>6430008</v>
      </c>
      <c r="AW46" s="97">
        <f t="shared" si="7"/>
        <v>13173782</v>
      </c>
      <c r="AX46" s="97">
        <f t="shared" si="7"/>
        <v>15035990</v>
      </c>
      <c r="AY46" s="97">
        <f t="shared" si="7"/>
        <v>22822390</v>
      </c>
      <c r="AZ46" s="97">
        <f t="shared" si="7"/>
        <v>14316899</v>
      </c>
      <c r="BA46" s="97">
        <f t="shared" si="7"/>
        <v>18137967</v>
      </c>
      <c r="BB46" s="97">
        <f t="shared" si="7"/>
        <v>6415221</v>
      </c>
      <c r="BC46" s="97">
        <f t="shared" si="7"/>
        <v>16744374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495328292.58827591</v>
      </c>
      <c r="D47" s="99">
        <f t="shared" ref="D47:BC47" si="8">D4-D45</f>
        <v>3092033.7418196201</v>
      </c>
      <c r="E47" s="99">
        <f t="shared" si="8"/>
        <v>2750645.4416845888</v>
      </c>
      <c r="F47" s="99">
        <f t="shared" si="8"/>
        <v>-2336209.0993097574</v>
      </c>
      <c r="G47" s="99">
        <f t="shared" si="8"/>
        <v>5268874.732972458</v>
      </c>
      <c r="H47" s="99">
        <f t="shared" si="8"/>
        <v>4438453.7823909819</v>
      </c>
      <c r="I47" s="99">
        <f t="shared" si="8"/>
        <v>8290906.4250882864</v>
      </c>
      <c r="J47" s="99">
        <f t="shared" si="8"/>
        <v>7119678.631607689</v>
      </c>
      <c r="K47" s="99">
        <f t="shared" si="8"/>
        <v>923006.21698320657</v>
      </c>
      <c r="L47" s="99">
        <f t="shared" si="8"/>
        <v>21001137.413584486</v>
      </c>
      <c r="M47" s="99">
        <f t="shared" si="8"/>
        <v>19711618.592246532</v>
      </c>
      <c r="N47" s="99">
        <f t="shared" si="8"/>
        <v>8306801.5382578522</v>
      </c>
      <c r="O47" s="99">
        <f t="shared" si="8"/>
        <v>10132548.854069173</v>
      </c>
      <c r="P47" s="99">
        <f t="shared" si="8"/>
        <v>14996420.088860214</v>
      </c>
      <c r="Q47" s="99">
        <f t="shared" si="8"/>
        <v>13659666.475055844</v>
      </c>
      <c r="R47" s="99">
        <f t="shared" si="8"/>
        <v>8721230.4818504602</v>
      </c>
      <c r="S47" s="99">
        <f t="shared" si="8"/>
        <v>13590945.599558532</v>
      </c>
      <c r="T47" s="99">
        <f t="shared" si="8"/>
        <v>8667087.292694252</v>
      </c>
      <c r="U47" s="99">
        <f t="shared" si="8"/>
        <v>8507986.9251894206</v>
      </c>
      <c r="V47" s="99">
        <f t="shared" si="8"/>
        <v>10977966.341275945</v>
      </c>
      <c r="W47" s="99">
        <f t="shared" si="8"/>
        <v>9811537.0275901705</v>
      </c>
      <c r="X47" s="99">
        <f t="shared" si="8"/>
        <v>8671644.2406789139</v>
      </c>
      <c r="Y47" s="99">
        <f t="shared" si="8"/>
        <v>6143065.3101022579</v>
      </c>
      <c r="Z47" s="99">
        <f t="shared" si="8"/>
        <v>13637630.994807273</v>
      </c>
      <c r="AA47" s="99">
        <f t="shared" si="8"/>
        <v>14927954.288954198</v>
      </c>
      <c r="AB47" s="99">
        <f t="shared" si="8"/>
        <v>7268601.0272759348</v>
      </c>
      <c r="AC47" s="99">
        <f t="shared" si="8"/>
        <v>4952330.6134625599</v>
      </c>
      <c r="AD47" s="99">
        <f t="shared" si="8"/>
        <v>11018637.103423923</v>
      </c>
      <c r="AE47" s="99">
        <f t="shared" si="8"/>
        <v>4942469.4671778493</v>
      </c>
      <c r="AF47" s="99">
        <f t="shared" si="8"/>
        <v>9230239.2047337666</v>
      </c>
      <c r="AG47" s="99">
        <f t="shared" si="8"/>
        <v>12174112.166498303</v>
      </c>
      <c r="AH47" s="99">
        <f t="shared" si="8"/>
        <v>9217270.9874032438</v>
      </c>
      <c r="AI47" s="99">
        <f t="shared" si="8"/>
        <v>5392741.161440026</v>
      </c>
      <c r="AJ47" s="99">
        <f t="shared" si="8"/>
        <v>8033603.1716698408</v>
      </c>
      <c r="AK47" s="99">
        <f t="shared" si="8"/>
        <v>14227689.097440958</v>
      </c>
      <c r="AL47" s="99">
        <f t="shared" si="8"/>
        <v>7216587.2008281499</v>
      </c>
      <c r="AM47" s="99">
        <f t="shared" si="8"/>
        <v>9832987.6988051385</v>
      </c>
      <c r="AN47" s="99">
        <f t="shared" si="8"/>
        <v>6643933.1587066241</v>
      </c>
      <c r="AO47" s="99">
        <f t="shared" si="8"/>
        <v>10379008.271576524</v>
      </c>
      <c r="AP47" s="99">
        <f t="shared" si="8"/>
        <v>6088679.0320259705</v>
      </c>
      <c r="AQ47" s="99">
        <f t="shared" si="8"/>
        <v>24215826.512472004</v>
      </c>
      <c r="AR47" s="99">
        <f t="shared" si="8"/>
        <v>7590980.0687716603</v>
      </c>
      <c r="AS47" s="99">
        <f t="shared" si="8"/>
        <v>12641745.570470512</v>
      </c>
      <c r="AT47" s="99">
        <f t="shared" si="8"/>
        <v>30055568.631423771</v>
      </c>
      <c r="AU47" s="99">
        <f t="shared" si="8"/>
        <v>11349956.94674781</v>
      </c>
      <c r="AV47" s="99">
        <f t="shared" si="8"/>
        <v>3407284.6725298241</v>
      </c>
      <c r="AW47" s="99">
        <f t="shared" si="8"/>
        <v>8231567.8167295158</v>
      </c>
      <c r="AX47" s="99">
        <f t="shared" si="8"/>
        <v>3430165.2890450656</v>
      </c>
      <c r="AY47" s="99">
        <f t="shared" si="8"/>
        <v>17146499.342598632</v>
      </c>
      <c r="AZ47" s="99">
        <f t="shared" si="8"/>
        <v>8877605.6099153906</v>
      </c>
      <c r="BA47" s="99">
        <f t="shared" si="8"/>
        <v>13775897.891230471</v>
      </c>
      <c r="BB47" s="99">
        <f t="shared" si="8"/>
        <v>3137679.5851260796</v>
      </c>
      <c r="BC47" s="99">
        <f t="shared" si="8"/>
        <v>3835993.9507335722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9">C29</f>
        <v>2819255896.9166665</v>
      </c>
      <c r="D48" s="61">
        <f t="shared" si="9"/>
        <v>31696502</v>
      </c>
      <c r="E48" s="61">
        <f t="shared" si="9"/>
        <v>62970021</v>
      </c>
      <c r="F48" s="61">
        <f t="shared" si="9"/>
        <v>56553149.666666664</v>
      </c>
      <c r="G48" s="61">
        <f t="shared" si="9"/>
        <v>72940942</v>
      </c>
      <c r="H48" s="61">
        <f t="shared" si="9"/>
        <v>67342190</v>
      </c>
      <c r="I48" s="61">
        <f t="shared" si="9"/>
        <v>56374067.450000003</v>
      </c>
      <c r="J48" s="61">
        <f t="shared" si="9"/>
        <v>54442684.133333333</v>
      </c>
      <c r="K48" s="61">
        <f t="shared" si="9"/>
        <v>33232796.666666668</v>
      </c>
      <c r="L48" s="61">
        <f t="shared" si="9"/>
        <v>93173095.333333328</v>
      </c>
      <c r="M48" s="61">
        <f t="shared" si="9"/>
        <v>84335268.666666657</v>
      </c>
      <c r="N48" s="61">
        <f t="shared" si="9"/>
        <v>59895526</v>
      </c>
      <c r="O48" s="61">
        <f t="shared" si="9"/>
        <v>73206636</v>
      </c>
      <c r="P48" s="61">
        <f t="shared" si="9"/>
        <v>78984927</v>
      </c>
      <c r="Q48" s="61">
        <f t="shared" si="9"/>
        <v>39725398</v>
      </c>
      <c r="R48" s="61">
        <f t="shared" si="9"/>
        <v>61769635</v>
      </c>
      <c r="S48" s="61">
        <f t="shared" si="9"/>
        <v>35168111</v>
      </c>
      <c r="T48" s="61">
        <f t="shared" si="9"/>
        <v>16219890</v>
      </c>
      <c r="U48" s="61">
        <f t="shared" si="9"/>
        <v>80925177</v>
      </c>
      <c r="V48" s="61">
        <f t="shared" si="9"/>
        <v>41109989</v>
      </c>
      <c r="W48" s="61">
        <f t="shared" si="9"/>
        <v>48526760</v>
      </c>
      <c r="X48" s="61">
        <f t="shared" si="9"/>
        <v>34475435</v>
      </c>
      <c r="Y48" s="61">
        <f t="shared" si="9"/>
        <v>27128474</v>
      </c>
      <c r="Z48" s="61">
        <f t="shared" si="9"/>
        <v>68203759</v>
      </c>
      <c r="AA48" s="61">
        <f t="shared" si="9"/>
        <v>54178116.333333336</v>
      </c>
      <c r="AB48" s="61">
        <f t="shared" si="9"/>
        <v>16101902</v>
      </c>
      <c r="AC48" s="61">
        <f t="shared" si="9"/>
        <v>40305236</v>
      </c>
      <c r="AD48" s="61">
        <f t="shared" si="9"/>
        <v>47294942.600000001</v>
      </c>
      <c r="AE48" s="61">
        <f t="shared" si="9"/>
        <v>16144628.4</v>
      </c>
      <c r="AF48" s="61">
        <f t="shared" si="9"/>
        <v>48537187</v>
      </c>
      <c r="AG48" s="61">
        <f t="shared" si="9"/>
        <v>40418732.666666672</v>
      </c>
      <c r="AH48" s="61">
        <f t="shared" si="9"/>
        <v>51286148</v>
      </c>
      <c r="AI48" s="61">
        <f t="shared" si="9"/>
        <v>18430836</v>
      </c>
      <c r="AJ48" s="61">
        <f t="shared" si="9"/>
        <v>88758604</v>
      </c>
      <c r="AK48" s="61">
        <f t="shared" si="9"/>
        <v>48624813</v>
      </c>
      <c r="AL48" s="61">
        <f t="shared" si="9"/>
        <v>51283982</v>
      </c>
      <c r="AM48" s="61">
        <f t="shared" si="9"/>
        <v>68859767</v>
      </c>
      <c r="AN48" s="61">
        <f t="shared" si="9"/>
        <v>27176062</v>
      </c>
      <c r="AO48" s="61">
        <f t="shared" si="9"/>
        <v>15242139</v>
      </c>
      <c r="AP48" s="61">
        <f t="shared" si="9"/>
        <v>45648474</v>
      </c>
      <c r="AQ48" s="61">
        <f t="shared" si="9"/>
        <v>107401315.33333333</v>
      </c>
      <c r="AR48" s="61">
        <f t="shared" si="9"/>
        <v>35568548</v>
      </c>
      <c r="AS48" s="61">
        <f t="shared" si="9"/>
        <v>70467262</v>
      </c>
      <c r="AT48" s="61">
        <f t="shared" si="9"/>
        <v>141405609</v>
      </c>
      <c r="AU48" s="61">
        <f t="shared" si="9"/>
        <v>34542789.666666672</v>
      </c>
      <c r="AV48" s="61">
        <f t="shared" si="9"/>
        <v>38381992</v>
      </c>
      <c r="AW48" s="61">
        <f t="shared" si="9"/>
        <v>26162218</v>
      </c>
      <c r="AX48" s="61">
        <f t="shared" si="9"/>
        <v>83926010</v>
      </c>
      <c r="AY48" s="61">
        <f t="shared" si="9"/>
        <v>77463610</v>
      </c>
      <c r="AZ48" s="61">
        <f t="shared" si="9"/>
        <v>40674101</v>
      </c>
      <c r="BA48" s="61">
        <f t="shared" si="9"/>
        <v>24915033</v>
      </c>
      <c r="BB48" s="61">
        <f t="shared" si="9"/>
        <v>52811779</v>
      </c>
      <c r="BC48" s="61">
        <f t="shared" si="9"/>
        <v>128843626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0">C47/C4</f>
        <v>0.1364740786214792</v>
      </c>
      <c r="D49" s="101">
        <f t="shared" si="10"/>
        <v>7.7061951495853362E-2</v>
      </c>
      <c r="E49" s="101">
        <f t="shared" si="10"/>
        <v>3.7290819686079404E-2</v>
      </c>
      <c r="F49" s="101">
        <f t="shared" si="10"/>
        <v>-3.6939032323658111E-2</v>
      </c>
      <c r="G49" s="101">
        <f t="shared" si="10"/>
        <v>5.8488463356117154E-2</v>
      </c>
      <c r="H49" s="101">
        <f t="shared" si="10"/>
        <v>5.4822798695540784E-2</v>
      </c>
      <c r="I49" s="101">
        <f t="shared" si="10"/>
        <v>0.11940873108015333</v>
      </c>
      <c r="J49" s="101">
        <f t="shared" si="10"/>
        <v>0.10727739134822561</v>
      </c>
      <c r="K49" s="101">
        <f t="shared" si="10"/>
        <v>2.434832957822558E-2</v>
      </c>
      <c r="L49" s="101">
        <f t="shared" si="10"/>
        <v>0.1727166647223482</v>
      </c>
      <c r="M49" s="101">
        <f t="shared" si="10"/>
        <v>0.17481813305171862</v>
      </c>
      <c r="N49" s="101">
        <f t="shared" si="10"/>
        <v>0.10716655965138561</v>
      </c>
      <c r="O49" s="101">
        <f t="shared" si="10"/>
        <v>0.11296670777712441</v>
      </c>
      <c r="P49" s="101">
        <f t="shared" si="10"/>
        <v>0.14869287679203028</v>
      </c>
      <c r="Q49" s="101">
        <f t="shared" si="10"/>
        <v>0.23887635267572258</v>
      </c>
      <c r="R49" s="101">
        <f t="shared" si="10"/>
        <v>0.11431566393402248</v>
      </c>
      <c r="S49" s="101">
        <f t="shared" si="10"/>
        <v>0.2623684021458762</v>
      </c>
      <c r="T49" s="101">
        <f t="shared" si="10"/>
        <v>0.30775823069008779</v>
      </c>
      <c r="U49" s="101">
        <f t="shared" si="10"/>
        <v>8.5525456882250731E-2</v>
      </c>
      <c r="V49" s="101">
        <f t="shared" si="10"/>
        <v>0.19030885570383888</v>
      </c>
      <c r="W49" s="101">
        <f t="shared" si="10"/>
        <v>0.15141728182336137</v>
      </c>
      <c r="X49" s="101">
        <f t="shared" si="10"/>
        <v>0.18418173061210047</v>
      </c>
      <c r="Y49" s="101">
        <f t="shared" si="10"/>
        <v>0.17093509127114079</v>
      </c>
      <c r="Z49" s="101">
        <f t="shared" si="10"/>
        <v>0.15601376219563765</v>
      </c>
      <c r="AA49" s="101">
        <f t="shared" si="10"/>
        <v>0.18711633749425535</v>
      </c>
      <c r="AB49" s="101">
        <f t="shared" si="10"/>
        <v>0.27804303524121854</v>
      </c>
      <c r="AC49" s="101">
        <f t="shared" si="10"/>
        <v>0.10207315690563952</v>
      </c>
      <c r="AD49" s="101">
        <f t="shared" si="10"/>
        <v>0.17255337136800578</v>
      </c>
      <c r="AE49" s="101">
        <f t="shared" si="10"/>
        <v>0.20857821856759998</v>
      </c>
      <c r="AF49" s="101">
        <f t="shared" si="10"/>
        <v>0.14426982611065767</v>
      </c>
      <c r="AG49" s="101">
        <f t="shared" si="10"/>
        <v>0.21486672290669787</v>
      </c>
      <c r="AH49" s="101">
        <f t="shared" si="10"/>
        <v>0.13624535841369426</v>
      </c>
      <c r="AI49" s="101">
        <f t="shared" si="10"/>
        <v>0.2008320110770157</v>
      </c>
      <c r="AJ49" s="101">
        <f t="shared" si="10"/>
        <v>7.8018871240845306E-2</v>
      </c>
      <c r="AK49" s="101">
        <f t="shared" si="10"/>
        <v>0.20704156197617773</v>
      </c>
      <c r="AL49" s="101">
        <f t="shared" si="10"/>
        <v>0.11388737178973188</v>
      </c>
      <c r="AM49" s="101">
        <f t="shared" si="10"/>
        <v>0.1155883776558457</v>
      </c>
      <c r="AN49" s="101">
        <f t="shared" si="10"/>
        <v>0.17559355019442938</v>
      </c>
      <c r="AO49" s="101">
        <f t="shared" si="10"/>
        <v>0.36162531868494213</v>
      </c>
      <c r="AP49" s="101">
        <f t="shared" si="10"/>
        <v>0.10310707566256809</v>
      </c>
      <c r="AQ49" s="101">
        <f t="shared" si="10"/>
        <v>0.1713994359722826</v>
      </c>
      <c r="AR49" s="101">
        <f t="shared" si="10"/>
        <v>0.16168566037128929</v>
      </c>
      <c r="AS49" s="101">
        <f t="shared" si="10"/>
        <v>0.13732519602496834</v>
      </c>
      <c r="AT49" s="101">
        <f t="shared" si="10"/>
        <v>0.16637274224156817</v>
      </c>
      <c r="AU49" s="101">
        <f t="shared" si="10"/>
        <v>0.23022692035838069</v>
      </c>
      <c r="AV49" s="101">
        <f t="shared" si="10"/>
        <v>7.6035094897121847E-2</v>
      </c>
      <c r="AW49" s="101">
        <f t="shared" si="10"/>
        <v>0.20926296056359356</v>
      </c>
      <c r="AX49" s="101">
        <f t="shared" si="10"/>
        <v>3.4661438623361143E-2</v>
      </c>
      <c r="AY49" s="101">
        <f t="shared" si="10"/>
        <v>0.17097600206009445</v>
      </c>
      <c r="AZ49" s="101">
        <f t="shared" si="10"/>
        <v>0.16143742812306361</v>
      </c>
      <c r="BA49" s="101">
        <f t="shared" si="10"/>
        <v>0.31997533020301655</v>
      </c>
      <c r="BB49" s="101">
        <f t="shared" si="10"/>
        <v>5.2977182452700285E-2</v>
      </c>
      <c r="BC49" s="101">
        <f t="shared" si="10"/>
        <v>2.6348283860850977E-2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1">C46/C4</f>
        <v>0.2232316290285315</v>
      </c>
      <c r="D50" s="101">
        <f t="shared" si="11"/>
        <v>0.21003633735420196</v>
      </c>
      <c r="E50" s="101">
        <f t="shared" si="11"/>
        <v>0.14630811257829235</v>
      </c>
      <c r="F50" s="101">
        <f t="shared" si="11"/>
        <v>0.10580836956808183</v>
      </c>
      <c r="G50" s="101">
        <f t="shared" si="11"/>
        <v>0.19030080813462991</v>
      </c>
      <c r="H50" s="101">
        <f t="shared" si="11"/>
        <v>0.16820417490118578</v>
      </c>
      <c r="I50" s="101">
        <f t="shared" si="11"/>
        <v>0.18807962424207506</v>
      </c>
      <c r="J50" s="101">
        <f t="shared" si="11"/>
        <v>0.17967236528194233</v>
      </c>
      <c r="K50" s="101">
        <f t="shared" si="11"/>
        <v>0.12333950610770521</v>
      </c>
      <c r="L50" s="101">
        <f t="shared" si="11"/>
        <v>0.2337297761110152</v>
      </c>
      <c r="M50" s="101">
        <f t="shared" si="11"/>
        <v>0.25204852408614559</v>
      </c>
      <c r="N50" s="101">
        <f t="shared" si="11"/>
        <v>0.22728412008308282</v>
      </c>
      <c r="O50" s="101">
        <f t="shared" si="11"/>
        <v>0.18382701376888344</v>
      </c>
      <c r="P50" s="101">
        <f t="shared" si="11"/>
        <v>0.21684669079371374</v>
      </c>
      <c r="Q50" s="101">
        <f t="shared" si="11"/>
        <v>0.30529356626969556</v>
      </c>
      <c r="R50" s="101">
        <f t="shared" si="11"/>
        <v>0.19033938494319116</v>
      </c>
      <c r="S50" s="101">
        <f t="shared" si="11"/>
        <v>0.32109204455512441</v>
      </c>
      <c r="T50" s="101">
        <f t="shared" si="11"/>
        <v>0.42405049357289964</v>
      </c>
      <c r="U50" s="101">
        <f t="shared" si="11"/>
        <v>0.18650994682294755</v>
      </c>
      <c r="V50" s="101">
        <f t="shared" si="11"/>
        <v>0.287336586634307</v>
      </c>
      <c r="W50" s="101">
        <f t="shared" si="11"/>
        <v>0.25110713293620174</v>
      </c>
      <c r="X50" s="101">
        <f t="shared" si="11"/>
        <v>0.26775763561445987</v>
      </c>
      <c r="Y50" s="101">
        <f t="shared" si="11"/>
        <v>0.24513122600033391</v>
      </c>
      <c r="Z50" s="101">
        <f t="shared" si="11"/>
        <v>0.2197526798073513</v>
      </c>
      <c r="AA50" s="101">
        <f t="shared" si="11"/>
        <v>0.32089752524682769</v>
      </c>
      <c r="AB50" s="101">
        <f t="shared" si="11"/>
        <v>0.38406005661387804</v>
      </c>
      <c r="AC50" s="101">
        <f t="shared" si="11"/>
        <v>0.16926332277514181</v>
      </c>
      <c r="AD50" s="101">
        <f t="shared" si="11"/>
        <v>0.25935469898083824</v>
      </c>
      <c r="AE50" s="101">
        <f t="shared" si="11"/>
        <v>0.31867705941931124</v>
      </c>
      <c r="AF50" s="101">
        <f t="shared" si="11"/>
        <v>0.24135752356241891</v>
      </c>
      <c r="AG50" s="101">
        <f t="shared" si="11"/>
        <v>0.28663047347077564</v>
      </c>
      <c r="AH50" s="101">
        <f t="shared" si="11"/>
        <v>0.24191231596996393</v>
      </c>
      <c r="AI50" s="101">
        <f t="shared" si="11"/>
        <v>0.31361403247430358</v>
      </c>
      <c r="AJ50" s="101">
        <f t="shared" si="11"/>
        <v>0.13801491696610663</v>
      </c>
      <c r="AK50" s="101">
        <f t="shared" si="11"/>
        <v>0.29241093438495902</v>
      </c>
      <c r="AL50" s="101">
        <f t="shared" si="11"/>
        <v>0.19067035949878483</v>
      </c>
      <c r="AM50" s="101">
        <f t="shared" si="11"/>
        <v>0.19054218340406023</v>
      </c>
      <c r="AN50" s="101">
        <f t="shared" si="11"/>
        <v>0.2817596003911515</v>
      </c>
      <c r="AO50" s="101">
        <f t="shared" si="11"/>
        <v>0.46893352148008782</v>
      </c>
      <c r="AP50" s="101">
        <f t="shared" si="11"/>
        <v>0.22697835805730543</v>
      </c>
      <c r="AQ50" s="101">
        <f t="shared" si="11"/>
        <v>0.23981430651010152</v>
      </c>
      <c r="AR50" s="101">
        <f t="shared" si="11"/>
        <v>0.24240030671579799</v>
      </c>
      <c r="AS50" s="101">
        <f t="shared" si="11"/>
        <v>0.2345257612131614</v>
      </c>
      <c r="AT50" s="101">
        <f t="shared" si="11"/>
        <v>0.2172485829107898</v>
      </c>
      <c r="AU50" s="101">
        <f t="shared" si="11"/>
        <v>0.29932068263724071</v>
      </c>
      <c r="AV50" s="101">
        <f t="shared" si="11"/>
        <v>0.14348852985807373</v>
      </c>
      <c r="AW50" s="101">
        <f t="shared" si="11"/>
        <v>0.33490395566402276</v>
      </c>
      <c r="AX50" s="101">
        <f t="shared" si="11"/>
        <v>0.15193700612356259</v>
      </c>
      <c r="AY50" s="101">
        <f t="shared" si="11"/>
        <v>0.227573041102447</v>
      </c>
      <c r="AZ50" s="101">
        <f t="shared" si="11"/>
        <v>0.2603498572493681</v>
      </c>
      <c r="BA50" s="101">
        <f t="shared" si="11"/>
        <v>0.42129391680022299</v>
      </c>
      <c r="BB50" s="101">
        <f t="shared" si="11"/>
        <v>0.10831581879885863</v>
      </c>
      <c r="BC50" s="101">
        <f t="shared" si="11"/>
        <v>0.1150120476962387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0.17569469062031626</v>
      </c>
      <c r="D51" s="101">
        <f t="shared" ref="D51:BC51" si="12">D47/D48</f>
        <v>9.7551261076683479E-2</v>
      </c>
      <c r="E51" s="101">
        <f t="shared" si="12"/>
        <v>4.3681825065368628E-2</v>
      </c>
      <c r="F51" s="101">
        <f t="shared" si="12"/>
        <v>-4.1309973238975166E-2</v>
      </c>
      <c r="G51" s="101">
        <f t="shared" si="12"/>
        <v>7.2234805151988005E-2</v>
      </c>
      <c r="H51" s="101">
        <f t="shared" si="12"/>
        <v>6.5908961119188161E-2</v>
      </c>
      <c r="I51" s="101">
        <f t="shared" si="12"/>
        <v>0.14706950908663388</v>
      </c>
      <c r="J51" s="101">
        <f t="shared" si="12"/>
        <v>0.13077383573100801</v>
      </c>
      <c r="K51" s="101">
        <f t="shared" si="12"/>
        <v>2.7773955536790712E-2</v>
      </c>
      <c r="L51" s="101">
        <f t="shared" si="12"/>
        <v>0.22539915990180892</v>
      </c>
      <c r="M51" s="101">
        <f>M47/M48</f>
        <v>0.23372924405038992</v>
      </c>
      <c r="N51" s="101">
        <f t="shared" si="12"/>
        <v>0.13868818078762432</v>
      </c>
      <c r="O51" s="101">
        <f t="shared" si="12"/>
        <v>0.13841025086945907</v>
      </c>
      <c r="P51" s="101">
        <f t="shared" si="12"/>
        <v>0.18986432802375336</v>
      </c>
      <c r="Q51" s="101">
        <f t="shared" si="12"/>
        <v>0.34385222459082332</v>
      </c>
      <c r="R51" s="101">
        <f t="shared" si="12"/>
        <v>0.14118960686509577</v>
      </c>
      <c r="S51" s="101">
        <f t="shared" si="12"/>
        <v>0.3864565145269967</v>
      </c>
      <c r="T51" s="101">
        <f t="shared" si="12"/>
        <v>0.53434932620962605</v>
      </c>
      <c r="U51" s="101">
        <f t="shared" si="12"/>
        <v>0.10513399217142794</v>
      </c>
      <c r="V51" s="101">
        <f t="shared" si="12"/>
        <v>0.26703890242529488</v>
      </c>
      <c r="W51" s="101">
        <f t="shared" si="12"/>
        <v>0.20218817468114852</v>
      </c>
      <c r="X51" s="101">
        <f t="shared" si="12"/>
        <v>0.25153110441329934</v>
      </c>
      <c r="Y51" s="101">
        <f t="shared" si="12"/>
        <v>0.22644345237045982</v>
      </c>
      <c r="Z51" s="101">
        <f t="shared" si="12"/>
        <v>0.1999542429150756</v>
      </c>
      <c r="AA51" s="101">
        <f t="shared" si="12"/>
        <v>0.27553476014391637</v>
      </c>
      <c r="AB51" s="101">
        <f t="shared" si="12"/>
        <v>0.45141257394784384</v>
      </c>
      <c r="AC51" s="101">
        <f t="shared" si="12"/>
        <v>0.1228706516806541</v>
      </c>
      <c r="AD51" s="101">
        <f t="shared" si="12"/>
        <v>0.23297706895671172</v>
      </c>
      <c r="AE51" s="101">
        <f t="shared" si="12"/>
        <v>0.30613708440498072</v>
      </c>
      <c r="AF51" s="101">
        <f t="shared" si="12"/>
        <v>0.19016840025635945</v>
      </c>
      <c r="AG51" s="101">
        <f t="shared" si="12"/>
        <v>0.30119974980161351</v>
      </c>
      <c r="AH51" s="101">
        <f t="shared" si="12"/>
        <v>0.17972242694856405</v>
      </c>
      <c r="AI51" s="101">
        <f t="shared" si="12"/>
        <v>0.29259341038247133</v>
      </c>
      <c r="AJ51" s="101">
        <f t="shared" si="12"/>
        <v>9.0510697663404444E-2</v>
      </c>
      <c r="AK51" s="101">
        <f t="shared" si="12"/>
        <v>0.29260141519600202</v>
      </c>
      <c r="AL51" s="101">
        <f t="shared" si="12"/>
        <v>0.14071815251842476</v>
      </c>
      <c r="AM51" s="101">
        <f t="shared" si="12"/>
        <v>0.14279728391769228</v>
      </c>
      <c r="AN51" s="101">
        <f t="shared" si="12"/>
        <v>0.2444774065759279</v>
      </c>
      <c r="AO51" s="101">
        <f t="shared" si="12"/>
        <v>0.68094171504252288</v>
      </c>
      <c r="AP51" s="101">
        <f t="shared" si="12"/>
        <v>0.13338187454033995</v>
      </c>
      <c r="AQ51" s="101">
        <f t="shared" si="12"/>
        <v>0.2254704836464542</v>
      </c>
      <c r="AR51" s="101">
        <f t="shared" si="12"/>
        <v>0.2134183287091635</v>
      </c>
      <c r="AS51" s="101">
        <f t="shared" si="12"/>
        <v>0.17939884723306707</v>
      </c>
      <c r="AT51" s="101">
        <f t="shared" si="12"/>
        <v>0.21254863116090233</v>
      </c>
      <c r="AU51" s="101">
        <f t="shared" si="12"/>
        <v>0.32857673211322497</v>
      </c>
      <c r="AV51" s="101">
        <f t="shared" si="12"/>
        <v>8.8773002519770841E-2</v>
      </c>
      <c r="AW51" s="101">
        <f t="shared" si="12"/>
        <v>0.31463570163391791</v>
      </c>
      <c r="AX51" s="101">
        <f t="shared" si="12"/>
        <v>4.0871301865119829E-2</v>
      </c>
      <c r="AY51" s="101">
        <f t="shared" si="12"/>
        <v>0.22134908691447031</v>
      </c>
      <c r="AZ51" s="101">
        <f t="shared" si="12"/>
        <v>0.21826187651732956</v>
      </c>
      <c r="BA51" s="101">
        <f t="shared" si="12"/>
        <v>0.55291509713153786</v>
      </c>
      <c r="BB51" s="101">
        <f t="shared" si="12"/>
        <v>5.9412495555699413E-2</v>
      </c>
      <c r="BC51" s="101">
        <f t="shared" si="12"/>
        <v>2.9772477458322791E-2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3">C47/C46</f>
        <v>0.61135637102767504</v>
      </c>
      <c r="D52" s="101">
        <f t="shared" si="13"/>
        <v>0.366898187554553</v>
      </c>
      <c r="E52" s="101">
        <f t="shared" si="13"/>
        <v>0.25487868737370495</v>
      </c>
      <c r="F52" s="101">
        <f t="shared" si="13"/>
        <v>-0.3491125746899435</v>
      </c>
      <c r="G52" s="101">
        <f t="shared" si="13"/>
        <v>0.30734742500273043</v>
      </c>
      <c r="H52" s="101">
        <f t="shared" si="13"/>
        <v>0.32593007116349704</v>
      </c>
      <c r="I52" s="101">
        <f t="shared" si="13"/>
        <v>0.63488393047012781</v>
      </c>
      <c r="J52" s="101">
        <f t="shared" si="13"/>
        <v>0.59707229422780539</v>
      </c>
      <c r="K52" s="101">
        <f t="shared" si="13"/>
        <v>0.19740900824561111</v>
      </c>
      <c r="L52" s="101">
        <f t="shared" si="13"/>
        <v>0.73895875654419207</v>
      </c>
      <c r="M52" s="101">
        <f>M47/M46</f>
        <v>0.6935891955152611</v>
      </c>
      <c r="N52" s="101">
        <f t="shared" si="13"/>
        <v>0.47150922647922466</v>
      </c>
      <c r="O52" s="101">
        <f t="shared" si="13"/>
        <v>0.6145272420034622</v>
      </c>
      <c r="P52" s="101">
        <f t="shared" si="13"/>
        <v>0.68570507692682203</v>
      </c>
      <c r="Q52" s="101">
        <f t="shared" si="13"/>
        <v>0.78244804040416571</v>
      </c>
      <c r="R52" s="101">
        <f t="shared" si="13"/>
        <v>0.60058859582918811</v>
      </c>
      <c r="S52" s="101">
        <f t="shared" si="13"/>
        <v>0.81711274569069348</v>
      </c>
      <c r="T52" s="101">
        <f t="shared" si="13"/>
        <v>0.72575845413367079</v>
      </c>
      <c r="U52" s="101">
        <f t="shared" si="13"/>
        <v>0.45855708148069652</v>
      </c>
      <c r="V52" s="101">
        <f t="shared" si="13"/>
        <v>0.66232030502278072</v>
      </c>
      <c r="W52" s="101">
        <f t="shared" si="13"/>
        <v>0.60299872828316525</v>
      </c>
      <c r="X52" s="101">
        <f t="shared" si="13"/>
        <v>0.68786733266983624</v>
      </c>
      <c r="Y52" s="101">
        <f t="shared" si="13"/>
        <v>0.6973207537048256</v>
      </c>
      <c r="Z52" s="101">
        <f t="shared" si="13"/>
        <v>0.70995157980511947</v>
      </c>
      <c r="AA52" s="101">
        <f t="shared" si="13"/>
        <v>0.58310308672629807</v>
      </c>
      <c r="AB52" s="101">
        <f t="shared" si="13"/>
        <v>0.72395717923031577</v>
      </c>
      <c r="AC52" s="101">
        <f t="shared" si="13"/>
        <v>0.60304356095643241</v>
      </c>
      <c r="AD52" s="101">
        <f t="shared" si="13"/>
        <v>0.66531808386766278</v>
      </c>
      <c r="AE52" s="101">
        <f t="shared" si="13"/>
        <v>0.65451281290114893</v>
      </c>
      <c r="AF52" s="101">
        <f t="shared" si="13"/>
        <v>0.59774323162272247</v>
      </c>
      <c r="AG52" s="101">
        <f t="shared" si="13"/>
        <v>0.74962972465872624</v>
      </c>
      <c r="AH52" s="101">
        <f t="shared" si="13"/>
        <v>0.56320141398096746</v>
      </c>
      <c r="AI52" s="101">
        <f t="shared" si="13"/>
        <v>0.64037954390153495</v>
      </c>
      <c r="AJ52" s="101">
        <f t="shared" si="13"/>
        <v>0.56529303466526726</v>
      </c>
      <c r="AK52" s="101">
        <f t="shared" si="13"/>
        <v>0.70804999960640147</v>
      </c>
      <c r="AL52" s="101">
        <f t="shared" si="13"/>
        <v>0.59729982200226406</v>
      </c>
      <c r="AM52" s="101">
        <f t="shared" si="13"/>
        <v>0.60662880833443122</v>
      </c>
      <c r="AN52" s="101">
        <f t="shared" si="13"/>
        <v>0.62320343282238622</v>
      </c>
      <c r="AO52" s="101">
        <f t="shared" si="13"/>
        <v>0.77116542563122714</v>
      </c>
      <c r="AP52" s="101">
        <f t="shared" si="13"/>
        <v>0.45425950097205547</v>
      </c>
      <c r="AQ52" s="101">
        <f t="shared" si="13"/>
        <v>0.71471730968253511</v>
      </c>
      <c r="AR52" s="101">
        <f t="shared" si="13"/>
        <v>0.66701920703779261</v>
      </c>
      <c r="AS52" s="101">
        <f t="shared" si="13"/>
        <v>0.58554418633845917</v>
      </c>
      <c r="AT52" s="101">
        <f t="shared" si="13"/>
        <v>0.76581738767836693</v>
      </c>
      <c r="AU52" s="101">
        <f t="shared" si="13"/>
        <v>0.76916475777720439</v>
      </c>
      <c r="AV52" s="101">
        <f t="shared" si="13"/>
        <v>0.52990364437024406</v>
      </c>
      <c r="AW52" s="101">
        <f t="shared" si="13"/>
        <v>0.62484469658975039</v>
      </c>
      <c r="AX52" s="101">
        <f t="shared" si="13"/>
        <v>0.22813032524263888</v>
      </c>
      <c r="AY52" s="101">
        <f t="shared" si="13"/>
        <v>0.7513016534464021</v>
      </c>
      <c r="AZ52" s="101">
        <f t="shared" si="13"/>
        <v>0.62007880407030813</v>
      </c>
      <c r="BA52" s="101">
        <f t="shared" si="13"/>
        <v>0.75950617239685525</v>
      </c>
      <c r="BB52" s="101">
        <f t="shared" si="13"/>
        <v>0.48909921967241343</v>
      </c>
      <c r="BC52" s="101">
        <f t="shared" si="13"/>
        <v>0.22909151161659266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3.8682955687616856</v>
      </c>
      <c r="D53" s="106">
        <f t="shared" ref="D53:BC53" si="14">D45/D46</f>
        <v>4.3941827406165368</v>
      </c>
      <c r="E53" s="106">
        <f t="shared" si="14"/>
        <v>6.5800122997195798</v>
      </c>
      <c r="F53" s="106">
        <f t="shared" si="14"/>
        <v>9.8001607675888547</v>
      </c>
      <c r="G53" s="106">
        <f t="shared" si="14"/>
        <v>4.947491005806989</v>
      </c>
      <c r="H53" s="106">
        <f t="shared" si="14"/>
        <v>5.6192255742743527</v>
      </c>
      <c r="I53" s="106">
        <f t="shared" si="14"/>
        <v>4.6820131232634115</v>
      </c>
      <c r="J53" s="106">
        <f t="shared" si="14"/>
        <v>4.9686138836704901</v>
      </c>
      <c r="K53" s="106">
        <f t="shared" si="14"/>
        <v>7.9102933132373225</v>
      </c>
      <c r="L53" s="106">
        <f t="shared" si="14"/>
        <v>3.5394862778832037</v>
      </c>
      <c r="M53" s="106">
        <f>M45/M46</f>
        <v>3.2739008091404229</v>
      </c>
      <c r="N53" s="106">
        <f t="shared" si="14"/>
        <v>3.9282702197682906</v>
      </c>
      <c r="O53" s="106">
        <f t="shared" si="14"/>
        <v>4.8253696452802002</v>
      </c>
      <c r="P53" s="106">
        <f t="shared" si="14"/>
        <v>3.9258478886256936</v>
      </c>
      <c r="Q53" s="106">
        <f t="shared" si="14"/>
        <v>2.4930877405123657</v>
      </c>
      <c r="R53" s="106">
        <f t="shared" si="14"/>
        <v>4.653184816848702</v>
      </c>
      <c r="S53" s="106">
        <f t="shared" si="14"/>
        <v>2.2972590270061604</v>
      </c>
      <c r="T53" s="106">
        <f t="shared" si="14"/>
        <v>1.6324512759726504</v>
      </c>
      <c r="U53" s="106">
        <f t="shared" si="14"/>
        <v>4.903087254567998</v>
      </c>
      <c r="V53" s="106">
        <f t="shared" si="14"/>
        <v>2.8179187126164837</v>
      </c>
      <c r="W53" s="106">
        <f t="shared" si="14"/>
        <v>3.3793652464354178</v>
      </c>
      <c r="X53" s="106">
        <f t="shared" si="14"/>
        <v>3.0468534259190418</v>
      </c>
      <c r="Y53" s="106">
        <f t="shared" si="14"/>
        <v>3.3821268805946816</v>
      </c>
      <c r="Z53" s="106">
        <f t="shared" si="14"/>
        <v>3.8406186379353939</v>
      </c>
      <c r="AA53" s="106">
        <f t="shared" si="14"/>
        <v>2.5331565330100054</v>
      </c>
      <c r="AB53" s="106">
        <f t="shared" si="14"/>
        <v>1.8798022661456157</v>
      </c>
      <c r="AC53" s="106">
        <f t="shared" si="14"/>
        <v>5.30491088306953</v>
      </c>
      <c r="AD53" s="106">
        <f t="shared" si="14"/>
        <v>3.1904053864592909</v>
      </c>
      <c r="AE53" s="106">
        <f t="shared" si="14"/>
        <v>2.4834601614390359</v>
      </c>
      <c r="AF53" s="106">
        <f t="shared" si="14"/>
        <v>3.5454878773150686</v>
      </c>
      <c r="AG53" s="106">
        <f t="shared" si="14"/>
        <v>2.7391828495631088</v>
      </c>
      <c r="AH53" s="106">
        <f t="shared" si="14"/>
        <v>3.5705277679766843</v>
      </c>
      <c r="AI53" s="106">
        <f t="shared" si="14"/>
        <v>2.5482532864292837</v>
      </c>
      <c r="AJ53" s="106">
        <f t="shared" si="14"/>
        <v>6.6803005720430395</v>
      </c>
      <c r="AK53" s="106">
        <f t="shared" si="14"/>
        <v>2.7117947545008434</v>
      </c>
      <c r="AL53" s="106">
        <f t="shared" si="14"/>
        <v>4.6473538442975215</v>
      </c>
      <c r="AM53" s="106">
        <f t="shared" si="14"/>
        <v>4.6415528915646327</v>
      </c>
      <c r="AN53" s="106">
        <f t="shared" si="14"/>
        <v>2.9259214190433691</v>
      </c>
      <c r="AO53" s="106">
        <f t="shared" si="14"/>
        <v>1.361333007928641</v>
      </c>
      <c r="AP53" s="106">
        <f t="shared" si="14"/>
        <v>3.9514468780807399</v>
      </c>
      <c r="AQ53" s="106">
        <f t="shared" si="14"/>
        <v>3.4551756985891702</v>
      </c>
      <c r="AR53" s="106">
        <f t="shared" si="14"/>
        <v>3.4583881142179886</v>
      </c>
      <c r="AS53" s="106">
        <f t="shared" si="14"/>
        <v>3.6783797204731936</v>
      </c>
      <c r="AT53" s="106">
        <f t="shared" si="14"/>
        <v>3.8372045819085945</v>
      </c>
      <c r="AU53" s="106">
        <f t="shared" si="14"/>
        <v>2.5717336766017591</v>
      </c>
      <c r="AV53" s="106">
        <f t="shared" si="14"/>
        <v>6.4392945277004596</v>
      </c>
      <c r="AW53" s="106">
        <f t="shared" si="14"/>
        <v>2.3610859951432688</v>
      </c>
      <c r="AX53" s="106">
        <f t="shared" si="14"/>
        <v>6.3535447091249022</v>
      </c>
      <c r="AY53" s="106">
        <f t="shared" si="14"/>
        <v>3.6428919432803211</v>
      </c>
      <c r="AZ53" s="106">
        <f t="shared" si="14"/>
        <v>3.2209065936753909</v>
      </c>
      <c r="BA53" s="106">
        <f t="shared" si="14"/>
        <v>1.6141336076292083</v>
      </c>
      <c r="BB53" s="106">
        <f t="shared" si="14"/>
        <v>8.7431626151108315</v>
      </c>
      <c r="BC53" s="106">
        <f t="shared" si="14"/>
        <v>8.4656497788013105</v>
      </c>
      <c r="BE53" s="123"/>
    </row>
    <row r="54" spans="1:57" s="112" customFormat="1" ht="13" x14ac:dyDescent="0.3">
      <c r="A54" s="112" t="s">
        <v>54</v>
      </c>
      <c r="C54" s="111">
        <f t="shared" ref="C54:BC54" si="15">C48/C4</f>
        <v>0.77676837097146856</v>
      </c>
      <c r="D54" s="112">
        <f t="shared" si="15"/>
        <v>0.78996366264579798</v>
      </c>
      <c r="E54" s="112">
        <f t="shared" si="15"/>
        <v>0.85369188742170765</v>
      </c>
      <c r="F54" s="112">
        <f t="shared" si="15"/>
        <v>0.89419163043191818</v>
      </c>
      <c r="G54" s="112">
        <f t="shared" si="15"/>
        <v>0.80969919186537009</v>
      </c>
      <c r="H54" s="112">
        <f t="shared" si="15"/>
        <v>0.83179582509881422</v>
      </c>
      <c r="I54" s="112">
        <f t="shared" si="15"/>
        <v>0.81192037575792497</v>
      </c>
      <c r="J54" s="112">
        <f t="shared" si="15"/>
        <v>0.8203276347180577</v>
      </c>
      <c r="K54" s="112">
        <f t="shared" si="15"/>
        <v>0.87666049389229483</v>
      </c>
      <c r="L54" s="112">
        <f t="shared" si="15"/>
        <v>0.7662702238889848</v>
      </c>
      <c r="M54" s="112">
        <f t="shared" si="15"/>
        <v>0.74795147591385447</v>
      </c>
      <c r="N54" s="112">
        <f t="shared" si="15"/>
        <v>0.77271587991691715</v>
      </c>
      <c r="O54" s="112">
        <f t="shared" si="15"/>
        <v>0.81617298623111656</v>
      </c>
      <c r="P54" s="112">
        <f t="shared" si="15"/>
        <v>0.78315330920628623</v>
      </c>
      <c r="Q54" s="112">
        <f t="shared" si="15"/>
        <v>0.6947064337303045</v>
      </c>
      <c r="R54" s="112">
        <f t="shared" si="15"/>
        <v>0.80966061505680886</v>
      </c>
      <c r="S54" s="112">
        <f t="shared" si="15"/>
        <v>0.67890795544487559</v>
      </c>
      <c r="T54" s="112">
        <f t="shared" si="15"/>
        <v>0.5759495064271003</v>
      </c>
      <c r="U54" s="112">
        <f t="shared" si="15"/>
        <v>0.81349005317705247</v>
      </c>
      <c r="V54" s="112">
        <f t="shared" si="15"/>
        <v>0.71266341336569294</v>
      </c>
      <c r="W54" s="112">
        <f t="shared" si="15"/>
        <v>0.74889286706379832</v>
      </c>
      <c r="X54" s="112">
        <f t="shared" si="15"/>
        <v>0.73224236438554013</v>
      </c>
      <c r="Y54" s="112">
        <f t="shared" si="15"/>
        <v>0.75486877399966612</v>
      </c>
      <c r="Z54" s="112">
        <f t="shared" si="15"/>
        <v>0.78024732019264864</v>
      </c>
      <c r="AA54" s="112">
        <f t="shared" si="15"/>
        <v>0.67910247475317231</v>
      </c>
      <c r="AB54" s="112">
        <f t="shared" si="15"/>
        <v>0.6159399433861219</v>
      </c>
      <c r="AC54" s="112">
        <f t="shared" si="15"/>
        <v>0.83073667722485822</v>
      </c>
      <c r="AD54" s="112">
        <f t="shared" si="15"/>
        <v>0.74064530101916182</v>
      </c>
      <c r="AE54" s="112">
        <f t="shared" si="15"/>
        <v>0.68132294058068876</v>
      </c>
      <c r="AF54" s="112">
        <f t="shared" si="15"/>
        <v>0.75864247643758109</v>
      </c>
      <c r="AG54" s="112">
        <f t="shared" si="15"/>
        <v>0.71336952652922436</v>
      </c>
      <c r="AH54" s="112">
        <f t="shared" si="15"/>
        <v>0.75808768403003601</v>
      </c>
      <c r="AI54" s="112">
        <f t="shared" si="15"/>
        <v>0.68638596752569636</v>
      </c>
      <c r="AJ54" s="112">
        <f t="shared" si="15"/>
        <v>0.86198508303389332</v>
      </c>
      <c r="AK54" s="112">
        <f t="shared" si="15"/>
        <v>0.70758906561504098</v>
      </c>
      <c r="AL54" s="112">
        <f t="shared" si="15"/>
        <v>0.80932964050121514</v>
      </c>
      <c r="AM54" s="112">
        <f t="shared" si="15"/>
        <v>0.80945781659593974</v>
      </c>
      <c r="AN54" s="112">
        <f t="shared" si="15"/>
        <v>0.71824039960884845</v>
      </c>
      <c r="AO54" s="112">
        <f t="shared" si="15"/>
        <v>0.53106647851991218</v>
      </c>
      <c r="AP54" s="112">
        <f t="shared" si="15"/>
        <v>0.77302164194269463</v>
      </c>
      <c r="AQ54" s="112">
        <f t="shared" si="15"/>
        <v>0.76018569348989851</v>
      </c>
      <c r="AR54" s="112">
        <f t="shared" si="15"/>
        <v>0.75759969328420196</v>
      </c>
      <c r="AS54" s="112">
        <f t="shared" si="15"/>
        <v>0.76547423878683862</v>
      </c>
      <c r="AT54" s="112">
        <f t="shared" si="15"/>
        <v>0.78275141708921014</v>
      </c>
      <c r="AU54" s="112">
        <f t="shared" si="15"/>
        <v>0.70067931736275935</v>
      </c>
      <c r="AV54" s="112">
        <f t="shared" si="15"/>
        <v>0.8565114701419263</v>
      </c>
      <c r="AW54" s="112">
        <f t="shared" si="15"/>
        <v>0.66509604433597724</v>
      </c>
      <c r="AX54" s="112">
        <f t="shared" si="15"/>
        <v>0.84806299387643747</v>
      </c>
      <c r="AY54" s="112">
        <f t="shared" si="15"/>
        <v>0.77242695889755297</v>
      </c>
      <c r="AZ54" s="112">
        <f t="shared" si="15"/>
        <v>0.7396501427506319</v>
      </c>
      <c r="BA54" s="112">
        <f t="shared" si="15"/>
        <v>0.57870608319977701</v>
      </c>
      <c r="BB54" s="112">
        <f t="shared" si="15"/>
        <v>0.89168418120114135</v>
      </c>
      <c r="BC54" s="112">
        <f t="shared" si="15"/>
        <v>0.88498795230376126</v>
      </c>
      <c r="BE54" s="123"/>
    </row>
    <row r="55" spans="1:57" s="112" customFormat="1" ht="13" x14ac:dyDescent="0.3">
      <c r="A55" s="112" t="s">
        <v>55</v>
      </c>
      <c r="C55" s="111">
        <f t="shared" ref="C55:BC55" si="16">C44/C4</f>
        <v>8.6757550407052325E-2</v>
      </c>
      <c r="D55" s="112">
        <f t="shared" si="16"/>
        <v>0.13297438585834853</v>
      </c>
      <c r="E55" s="112">
        <f t="shared" si="16"/>
        <v>0.10901729289221293</v>
      </c>
      <c r="F55" s="112">
        <f t="shared" si="16"/>
        <v>0.14274740189173996</v>
      </c>
      <c r="G55" s="112">
        <f t="shared" si="16"/>
        <v>0.13181234477851278</v>
      </c>
      <c r="H55" s="112">
        <f t="shared" si="16"/>
        <v>0.11338137620564499</v>
      </c>
      <c r="I55" s="112">
        <f t="shared" si="16"/>
        <v>6.8670893161921764E-2</v>
      </c>
      <c r="J55" s="112">
        <f t="shared" si="16"/>
        <v>7.2394973933716758E-2</v>
      </c>
      <c r="K55" s="112">
        <f t="shared" si="16"/>
        <v>9.8991176529479627E-2</v>
      </c>
      <c r="L55" s="112">
        <f t="shared" si="16"/>
        <v>6.1013111388666996E-2</v>
      </c>
      <c r="M55" s="112">
        <f t="shared" si="16"/>
        <v>7.7230391034427012E-2</v>
      </c>
      <c r="N55" s="112">
        <f t="shared" si="16"/>
        <v>0.12011756043169726</v>
      </c>
      <c r="O55" s="112">
        <f t="shared" si="16"/>
        <v>7.0860305991759021E-2</v>
      </c>
      <c r="P55" s="112">
        <f t="shared" si="16"/>
        <v>6.815381400168341E-2</v>
      </c>
      <c r="Q55" s="112">
        <f t="shared" si="16"/>
        <v>6.6417213593972943E-2</v>
      </c>
      <c r="R55" s="112">
        <f t="shared" si="16"/>
        <v>7.6023721009168752E-2</v>
      </c>
      <c r="S55" s="112">
        <f t="shared" si="16"/>
        <v>5.8723642409248253E-2</v>
      </c>
      <c r="T55" s="112">
        <f t="shared" si="16"/>
        <v>0.11629226288281184</v>
      </c>
      <c r="U55" s="112">
        <f t="shared" si="16"/>
        <v>0.10098448994069684</v>
      </c>
      <c r="V55" s="112">
        <f t="shared" si="16"/>
        <v>9.702773093046807E-2</v>
      </c>
      <c r="W55" s="112">
        <f t="shared" si="16"/>
        <v>9.9689851112840358E-2</v>
      </c>
      <c r="X55" s="112">
        <f t="shared" si="16"/>
        <v>8.3575905002359466E-2</v>
      </c>
      <c r="Y55" s="112">
        <f t="shared" si="16"/>
        <v>7.4196134729193119E-2</v>
      </c>
      <c r="Z55" s="112">
        <f t="shared" si="16"/>
        <v>6.373891761171363E-2</v>
      </c>
      <c r="AA55" s="112">
        <f t="shared" si="16"/>
        <v>0.13378118775257228</v>
      </c>
      <c r="AB55" s="112">
        <f t="shared" si="16"/>
        <v>0.10601702137265959</v>
      </c>
      <c r="AC55" s="112">
        <f t="shared" si="16"/>
        <v>6.71901658695023E-2</v>
      </c>
      <c r="AD55" s="112">
        <f t="shared" si="16"/>
        <v>8.6801327612832435E-2</v>
      </c>
      <c r="AE55" s="112">
        <f t="shared" si="16"/>
        <v>0.11009884085171127</v>
      </c>
      <c r="AF55" s="112">
        <f t="shared" si="16"/>
        <v>9.7087697451761282E-2</v>
      </c>
      <c r="AG55" s="112">
        <f t="shared" si="16"/>
        <v>7.1763750564077813E-2</v>
      </c>
      <c r="AH55" s="112">
        <f t="shared" si="16"/>
        <v>0.10566695755626969</v>
      </c>
      <c r="AI55" s="112">
        <f t="shared" si="16"/>
        <v>0.11278202139728791</v>
      </c>
      <c r="AJ55" s="112">
        <f t="shared" si="16"/>
        <v>5.9996045725261286E-2</v>
      </c>
      <c r="AK55" s="112">
        <f t="shared" si="16"/>
        <v>8.5369372408781327E-2</v>
      </c>
      <c r="AL55" s="112">
        <f t="shared" si="16"/>
        <v>7.6782987709052911E-2</v>
      </c>
      <c r="AM55" s="112">
        <f t="shared" si="16"/>
        <v>7.4953805748214475E-2</v>
      </c>
      <c r="AN55" s="112">
        <f t="shared" si="16"/>
        <v>0.10616605019672214</v>
      </c>
      <c r="AO55" s="112">
        <f t="shared" si="16"/>
        <v>0.10730820279514565</v>
      </c>
      <c r="AP55" s="112">
        <f t="shared" si="16"/>
        <v>0.12387128239473737</v>
      </c>
      <c r="AQ55" s="112">
        <f t="shared" si="16"/>
        <v>6.8414870537818931E-2</v>
      </c>
      <c r="AR55" s="112">
        <f t="shared" si="16"/>
        <v>8.0714646344508797E-2</v>
      </c>
      <c r="AS55" s="112">
        <f t="shared" si="16"/>
        <v>9.720056518819313E-2</v>
      </c>
      <c r="AT55" s="112">
        <f t="shared" si="16"/>
        <v>5.0875840669221586E-2</v>
      </c>
      <c r="AU55" s="112">
        <f t="shared" si="16"/>
        <v>6.9093762278860063E-2</v>
      </c>
      <c r="AV55" s="112">
        <f t="shared" si="16"/>
        <v>6.745343496095188E-2</v>
      </c>
      <c r="AW55" s="112">
        <f t="shared" si="16"/>
        <v>0.12564099510042925</v>
      </c>
      <c r="AX55" s="112">
        <f t="shared" si="16"/>
        <v>0.11727556750020147</v>
      </c>
      <c r="AY55" s="112">
        <f t="shared" si="16"/>
        <v>5.6597039042352609E-2</v>
      </c>
      <c r="AZ55" s="112">
        <f t="shared" si="16"/>
        <v>9.8912429126304435E-2</v>
      </c>
      <c r="BA55" s="112">
        <f t="shared" si="16"/>
        <v>0.10131858659720644</v>
      </c>
      <c r="BB55" s="112">
        <f t="shared" si="16"/>
        <v>5.5338636346158404E-2</v>
      </c>
      <c r="BC55" s="112">
        <f t="shared" si="16"/>
        <v>8.8663763835387793E-2</v>
      </c>
      <c r="BE55" s="123"/>
    </row>
    <row r="56" spans="1:57" s="112" customFormat="1" ht="13" x14ac:dyDescent="0.3">
      <c r="A56" s="112" t="s">
        <v>56</v>
      </c>
      <c r="C56" s="111">
        <f t="shared" ref="C56:BC56" si="17">C45/C4</f>
        <v>0.8635259213785208</v>
      </c>
      <c r="D56" s="112">
        <f t="shared" si="17"/>
        <v>0.92293804850414662</v>
      </c>
      <c r="E56" s="112">
        <f t="shared" si="17"/>
        <v>0.96270918031392061</v>
      </c>
      <c r="F56" s="112">
        <f t="shared" si="17"/>
        <v>1.036939032323658</v>
      </c>
      <c r="G56" s="112">
        <f t="shared" si="17"/>
        <v>0.94151153664388287</v>
      </c>
      <c r="H56" s="112">
        <f t="shared" si="17"/>
        <v>0.94517720130445926</v>
      </c>
      <c r="I56" s="112">
        <f t="shared" si="17"/>
        <v>0.88059126891984663</v>
      </c>
      <c r="J56" s="112">
        <f t="shared" si="17"/>
        <v>0.89272260865177444</v>
      </c>
      <c r="K56" s="112">
        <f t="shared" si="17"/>
        <v>0.97565167042177448</v>
      </c>
      <c r="L56" s="112">
        <f t="shared" si="17"/>
        <v>0.82728333527765174</v>
      </c>
      <c r="M56" s="112">
        <f t="shared" si="17"/>
        <v>0.82518186694828144</v>
      </c>
      <c r="N56" s="112">
        <f t="shared" si="17"/>
        <v>0.89283344034861445</v>
      </c>
      <c r="O56" s="112">
        <f t="shared" si="17"/>
        <v>0.88703329222287564</v>
      </c>
      <c r="P56" s="112">
        <f t="shared" si="17"/>
        <v>0.85130712320796975</v>
      </c>
      <c r="Q56" s="112">
        <f t="shared" si="17"/>
        <v>0.7611236473242774</v>
      </c>
      <c r="R56" s="112">
        <f t="shared" si="17"/>
        <v>0.88568433606597752</v>
      </c>
      <c r="S56" s="112">
        <f t="shared" si="17"/>
        <v>0.7376315978541238</v>
      </c>
      <c r="T56" s="112">
        <f t="shared" si="17"/>
        <v>0.69224176930991221</v>
      </c>
      <c r="U56" s="112">
        <f t="shared" si="17"/>
        <v>0.91447454311774923</v>
      </c>
      <c r="V56" s="112">
        <f t="shared" si="17"/>
        <v>0.80969114429616118</v>
      </c>
      <c r="W56" s="112">
        <f t="shared" si="17"/>
        <v>0.84858271817663866</v>
      </c>
      <c r="X56" s="112">
        <f t="shared" si="17"/>
        <v>0.81581826938789959</v>
      </c>
      <c r="Y56" s="112">
        <f t="shared" si="17"/>
        <v>0.82906490872885918</v>
      </c>
      <c r="Z56" s="112">
        <f t="shared" si="17"/>
        <v>0.84398623780436233</v>
      </c>
      <c r="AA56" s="112">
        <f t="shared" si="17"/>
        <v>0.81288366250574462</v>
      </c>
      <c r="AB56" s="112">
        <f t="shared" si="17"/>
        <v>0.72195696475878146</v>
      </c>
      <c r="AC56" s="112">
        <f t="shared" si="17"/>
        <v>0.89792684309436044</v>
      </c>
      <c r="AD56" s="112">
        <f t="shared" si="17"/>
        <v>0.82744662863199425</v>
      </c>
      <c r="AE56" s="112">
        <f t="shared" si="17"/>
        <v>0.79142178143240005</v>
      </c>
      <c r="AF56" s="112">
        <f t="shared" si="17"/>
        <v>0.85573017388934236</v>
      </c>
      <c r="AG56" s="112">
        <f t="shared" si="17"/>
        <v>0.78513327709330216</v>
      </c>
      <c r="AH56" s="112">
        <f t="shared" si="17"/>
        <v>0.86375464158630577</v>
      </c>
      <c r="AI56" s="112">
        <f t="shared" si="17"/>
        <v>0.79916798892298424</v>
      </c>
      <c r="AJ56" s="112">
        <f t="shared" si="17"/>
        <v>0.92198112875915472</v>
      </c>
      <c r="AK56" s="112">
        <f t="shared" si="17"/>
        <v>0.79295843802382227</v>
      </c>
      <c r="AL56" s="112">
        <f t="shared" si="17"/>
        <v>0.88611262821026815</v>
      </c>
      <c r="AM56" s="112">
        <f t="shared" si="17"/>
        <v>0.88441162234415427</v>
      </c>
      <c r="AN56" s="112">
        <f t="shared" si="17"/>
        <v>0.82440644980557065</v>
      </c>
      <c r="AO56" s="112">
        <f t="shared" si="17"/>
        <v>0.63837468131505792</v>
      </c>
      <c r="AP56" s="112">
        <f t="shared" si="17"/>
        <v>0.89689292433743195</v>
      </c>
      <c r="AQ56" s="112">
        <f t="shared" si="17"/>
        <v>0.82860056402771742</v>
      </c>
      <c r="AR56" s="112">
        <f t="shared" si="17"/>
        <v>0.83831433962871071</v>
      </c>
      <c r="AS56" s="112">
        <f t="shared" si="17"/>
        <v>0.8626748039750316</v>
      </c>
      <c r="AT56" s="112">
        <f t="shared" si="17"/>
        <v>0.83362725775843183</v>
      </c>
      <c r="AU56" s="112">
        <f t="shared" si="17"/>
        <v>0.76977307964161934</v>
      </c>
      <c r="AV56" s="112">
        <f t="shared" si="17"/>
        <v>0.92396490510287821</v>
      </c>
      <c r="AW56" s="112">
        <f t="shared" si="17"/>
        <v>0.7907370394364065</v>
      </c>
      <c r="AX56" s="112">
        <f t="shared" si="17"/>
        <v>0.96533856137663887</v>
      </c>
      <c r="AY56" s="112">
        <f t="shared" si="17"/>
        <v>0.82902399793990555</v>
      </c>
      <c r="AZ56" s="112">
        <f t="shared" si="17"/>
        <v>0.83856257187693639</v>
      </c>
      <c r="BA56" s="112">
        <f t="shared" si="17"/>
        <v>0.68002466979698351</v>
      </c>
      <c r="BB56" s="112">
        <f t="shared" si="17"/>
        <v>0.94702281754729967</v>
      </c>
      <c r="BC56" s="112">
        <f t="shared" si="17"/>
        <v>0.97365171613914903</v>
      </c>
      <c r="BE56" s="123"/>
    </row>
    <row r="57" spans="1:57" s="112" customFormat="1" ht="13" x14ac:dyDescent="0.3">
      <c r="A57" s="112" t="s">
        <v>57</v>
      </c>
      <c r="C57" s="111">
        <f t="shared" ref="C57:BC57" si="18">SUM(C30:C39)/C44</f>
        <v>0.52831725522407702</v>
      </c>
      <c r="D57" s="112">
        <f t="shared" si="18"/>
        <v>0.36322540231265188</v>
      </c>
      <c r="E57" s="112">
        <f t="shared" si="18"/>
        <v>0.51469030939149718</v>
      </c>
      <c r="F57" s="112">
        <f t="shared" si="18"/>
        <v>0.2975396890492234</v>
      </c>
      <c r="G57" s="112">
        <f t="shared" si="18"/>
        <v>0.4016985098636584</v>
      </c>
      <c r="H57" s="112">
        <f t="shared" si="18"/>
        <v>0.39936797375073263</v>
      </c>
      <c r="I57" s="112">
        <f t="shared" si="18"/>
        <v>0.69582957181182414</v>
      </c>
      <c r="J57" s="112">
        <f t="shared" si="18"/>
        <v>0.69086263724468022</v>
      </c>
      <c r="K57" s="112">
        <f t="shared" si="18"/>
        <v>0.7027099163437841</v>
      </c>
      <c r="L57" s="112">
        <f t="shared" si="18"/>
        <v>0.64284378524882224</v>
      </c>
      <c r="M57" s="112">
        <f t="shared" si="18"/>
        <v>0.5110194233608254</v>
      </c>
      <c r="N57" s="112">
        <f t="shared" si="18"/>
        <v>0.36971090447442762</v>
      </c>
      <c r="O57" s="112">
        <f t="shared" si="18"/>
        <v>0.6976726345901535</v>
      </c>
      <c r="P57" s="112">
        <f t="shared" si="18"/>
        <v>0.64966257821028994</v>
      </c>
      <c r="Q57" s="112">
        <f t="shared" si="18"/>
        <v>0.70625886002522187</v>
      </c>
      <c r="R57" s="112">
        <f t="shared" si="18"/>
        <v>0.49762454862879901</v>
      </c>
      <c r="S57" s="112">
        <f t="shared" si="18"/>
        <v>0.66993175499672075</v>
      </c>
      <c r="T57" s="112">
        <f t="shared" si="18"/>
        <v>0.69342230289174978</v>
      </c>
      <c r="U57" s="112">
        <f t="shared" si="18"/>
        <v>0.48309124140244819</v>
      </c>
      <c r="V57" s="112">
        <f t="shared" si="18"/>
        <v>0.42548075293889109</v>
      </c>
      <c r="W57" s="112">
        <f t="shared" si="18"/>
        <v>0.41991591289611885</v>
      </c>
      <c r="X57" s="112">
        <f t="shared" si="18"/>
        <v>0.5317598393427021</v>
      </c>
      <c r="Y57" s="112">
        <f t="shared" si="18"/>
        <v>0.70712977678159183</v>
      </c>
      <c r="Z57" s="112">
        <f t="shared" si="18"/>
        <v>0.61675478329386701</v>
      </c>
      <c r="AA57" s="112">
        <f t="shared" si="18"/>
        <v>0.35384044243301949</v>
      </c>
      <c r="AB57" s="112">
        <f t="shared" si="18"/>
        <v>0.71822919341459712</v>
      </c>
      <c r="AC57" s="112">
        <f t="shared" si="18"/>
        <v>0.69199974461473845</v>
      </c>
      <c r="AD57" s="112">
        <f t="shared" si="18"/>
        <v>0.47731107696258063</v>
      </c>
      <c r="AE57" s="112">
        <f t="shared" si="18"/>
        <v>0.67000412678486942</v>
      </c>
      <c r="AF57" s="112">
        <f t="shared" si="18"/>
        <v>0.43080288512518539</v>
      </c>
      <c r="AG57" s="112">
        <f t="shared" si="18"/>
        <v>0.69573189468661756</v>
      </c>
      <c r="AH57" s="112">
        <f t="shared" si="18"/>
        <v>0.46187174355891208</v>
      </c>
      <c r="AI57" s="112">
        <f t="shared" si="18"/>
        <v>0.70529613066099328</v>
      </c>
      <c r="AJ57" s="112">
        <f t="shared" si="18"/>
        <v>0.66710815573640014</v>
      </c>
      <c r="AK57" s="112">
        <f t="shared" si="18"/>
        <v>0.43626149257384617</v>
      </c>
      <c r="AL57" s="112">
        <f t="shared" si="18"/>
        <v>0.6789896024884845</v>
      </c>
      <c r="AM57" s="112">
        <f t="shared" si="18"/>
        <v>0.68506578020300679</v>
      </c>
      <c r="AN57" s="112">
        <f t="shared" si="18"/>
        <v>0.57579115233549805</v>
      </c>
      <c r="AO57" s="112">
        <f t="shared" si="18"/>
        <v>0.64578600548478515</v>
      </c>
      <c r="AP57" s="112">
        <f t="shared" si="18"/>
        <v>0.33004615071874183</v>
      </c>
      <c r="AQ57" s="112">
        <f t="shared" si="18"/>
        <v>0.52882181073201895</v>
      </c>
      <c r="AR57" s="112">
        <f t="shared" si="18"/>
        <v>0.7056028040597776</v>
      </c>
      <c r="AS57" s="112">
        <f t="shared" si="18"/>
        <v>0.46971611226479659</v>
      </c>
      <c r="AT57" s="112">
        <f t="shared" si="18"/>
        <v>0.68440410973434718</v>
      </c>
      <c r="AU57" s="112">
        <f t="shared" si="18"/>
        <v>0.69349053018348916</v>
      </c>
      <c r="AV57" s="112">
        <f t="shared" si="18"/>
        <v>0.69481562532211461</v>
      </c>
      <c r="AW57" s="112">
        <f t="shared" si="18"/>
        <v>0.46298381729958027</v>
      </c>
      <c r="AX57" s="112">
        <f t="shared" si="18"/>
        <v>0.37435743082336048</v>
      </c>
      <c r="AY57" s="112">
        <f t="shared" si="18"/>
        <v>0.70517140533890155</v>
      </c>
      <c r="AZ57" s="112">
        <f t="shared" si="18"/>
        <v>0.47224580892613133</v>
      </c>
      <c r="BA57" s="112">
        <f t="shared" si="18"/>
        <v>0.56464492601339955</v>
      </c>
      <c r="BB57" s="112">
        <f t="shared" si="18"/>
        <v>0.65961988898598944</v>
      </c>
      <c r="BC57" s="112">
        <f t="shared" si="18"/>
        <v>0.47164966027236366</v>
      </c>
      <c r="BE57" s="123"/>
    </row>
    <row r="58" spans="1:57" s="112" customFormat="1" ht="13" x14ac:dyDescent="0.3">
      <c r="A58" s="112" t="s">
        <v>58</v>
      </c>
      <c r="C58" s="111">
        <f>C41/C44</f>
        <v>0.20474366911367975</v>
      </c>
      <c r="D58" s="112">
        <f t="shared" ref="D58:AM58" si="19">D41/D44</f>
        <v>0.45684365634402802</v>
      </c>
      <c r="E58" s="112">
        <f t="shared" si="19"/>
        <v>0.28034902216794411</v>
      </c>
      <c r="F58" s="112">
        <f t="shared" si="19"/>
        <v>0.43509649325048799</v>
      </c>
      <c r="G58" s="112">
        <f t="shared" si="19"/>
        <v>0.1697422007622888</v>
      </c>
      <c r="H58" s="112">
        <f t="shared" si="19"/>
        <v>0.22893893102967397</v>
      </c>
      <c r="I58" s="112">
        <f>I41/I44</f>
        <v>6.3892896561182508E-2</v>
      </c>
      <c r="J58" s="112">
        <f t="shared" si="19"/>
        <v>6.3406105583244748E-2</v>
      </c>
      <c r="K58" s="112">
        <f t="shared" si="19"/>
        <v>6.2447691634477102E-2</v>
      </c>
      <c r="L58" s="112">
        <f t="shared" si="19"/>
        <v>6.0016433614427434E-2</v>
      </c>
      <c r="M58" s="112">
        <f>M41/M44</f>
        <v>0.30681894911555124</v>
      </c>
      <c r="N58" s="112">
        <f t="shared" si="19"/>
        <v>0.22033983135264701</v>
      </c>
      <c r="O58" s="112">
        <f t="shared" si="19"/>
        <v>6.2679567874232026E-2</v>
      </c>
      <c r="P58" s="112">
        <f t="shared" si="19"/>
        <v>6.1366765974880236E-2</v>
      </c>
      <c r="Q58" s="112">
        <f t="shared" si="19"/>
        <v>6.1702213218510701E-2</v>
      </c>
      <c r="R58" s="112">
        <f t="shared" si="19"/>
        <v>0.32004108240524826</v>
      </c>
      <c r="S58" s="112">
        <f t="shared" si="19"/>
        <v>6.933295496708658E-2</v>
      </c>
      <c r="T58" s="112">
        <f t="shared" si="19"/>
        <v>6.4398614496551307E-2</v>
      </c>
      <c r="U58" s="112">
        <f t="shared" si="19"/>
        <v>0.33268669477697177</v>
      </c>
      <c r="V58" s="112">
        <f t="shared" si="19"/>
        <v>0.41706670972537063</v>
      </c>
      <c r="W58" s="112">
        <f t="shared" si="19"/>
        <v>3.99051057620258E-2</v>
      </c>
      <c r="X58" s="112">
        <f t="shared" si="19"/>
        <v>4.7643353832760311E-2</v>
      </c>
      <c r="Y58" s="112">
        <f t="shared" si="19"/>
        <v>6.1519271559736834E-2</v>
      </c>
      <c r="Z58" s="112">
        <f t="shared" si="19"/>
        <v>5.4677792510856318E-2</v>
      </c>
      <c r="AA58" s="112">
        <f t="shared" si="19"/>
        <v>0.37895050710687483</v>
      </c>
      <c r="AB58" s="112">
        <f t="shared" si="19"/>
        <v>5.9187767801871696E-2</v>
      </c>
      <c r="AC58" s="112">
        <f t="shared" si="19"/>
        <v>6.4697432000056079E-2</v>
      </c>
      <c r="AD58" s="112">
        <f t="shared" si="19"/>
        <v>0.27382720687112377</v>
      </c>
      <c r="AE58" s="112">
        <f t="shared" si="19"/>
        <v>6.2876532324244519E-2</v>
      </c>
      <c r="AF58" s="112">
        <f t="shared" si="19"/>
        <v>0.39995355152880674</v>
      </c>
      <c r="AG58" s="112">
        <f t="shared" si="19"/>
        <v>6.3396860034719088E-2</v>
      </c>
      <c r="AH58" s="112">
        <f t="shared" si="19"/>
        <v>0.28720063413734886</v>
      </c>
      <c r="AI58" s="112">
        <f t="shared" si="19"/>
        <v>6.1904440705298748E-2</v>
      </c>
      <c r="AJ58" s="112">
        <f t="shared" si="19"/>
        <v>6.4485773140295535E-2</v>
      </c>
      <c r="AK58" s="112">
        <f t="shared" si="19"/>
        <v>0.38485908245447914</v>
      </c>
      <c r="AL58" s="112">
        <f t="shared" si="19"/>
        <v>6.7430295920806738E-2</v>
      </c>
      <c r="AM58" s="112">
        <f t="shared" si="19"/>
        <v>6.615395576318632E-2</v>
      </c>
      <c r="AN58" s="112">
        <f>AN41/AN44</f>
        <v>0.22676273392459009</v>
      </c>
      <c r="AO58" s="112">
        <f>AO41/AO44</f>
        <v>5.3261871183415667E-2</v>
      </c>
      <c r="AP58" s="112">
        <f>AP41/AP44</f>
        <v>0.51803421405677352</v>
      </c>
      <c r="AQ58" s="112">
        <f>AQ41/AQ44</f>
        <v>0.21990287526385638</v>
      </c>
      <c r="AR58" s="112">
        <f t="shared" ref="AR58:BB58" si="20">AR41/AR44</f>
        <v>6.1840021988050414E-2</v>
      </c>
      <c r="AS58" s="112">
        <f t="shared" si="20"/>
        <v>0.36599785100312199</v>
      </c>
      <c r="AT58" s="112">
        <f t="shared" si="20"/>
        <v>6.6292943895189693E-2</v>
      </c>
      <c r="AU58" s="112">
        <f t="shared" si="20"/>
        <v>6.1917567737569491E-2</v>
      </c>
      <c r="AV58" s="112">
        <f t="shared" si="20"/>
        <v>6.2021164933117164E-2</v>
      </c>
      <c r="AW58" s="112">
        <f t="shared" si="20"/>
        <v>0.34618228521771915</v>
      </c>
      <c r="AX58" s="112">
        <f t="shared" si="20"/>
        <v>0.15697410958484995</v>
      </c>
      <c r="AY58" s="112">
        <f t="shared" si="20"/>
        <v>6.1930640060343503E-2</v>
      </c>
      <c r="AZ58" s="112">
        <f t="shared" si="20"/>
        <v>0.25542674394667814</v>
      </c>
      <c r="BA58" s="112">
        <f t="shared" si="20"/>
        <v>4.8350202515413179E-2</v>
      </c>
      <c r="BB58" s="112">
        <f t="shared" si="20"/>
        <v>7.1499028658124505E-2</v>
      </c>
      <c r="BC58" s="112">
        <f>BC41/BC44</f>
        <v>0.31628453643429982</v>
      </c>
      <c r="BE58" s="123"/>
    </row>
    <row r="59" spans="1:57" s="112" customFormat="1" ht="13" x14ac:dyDescent="0.3">
      <c r="A59" s="112" t="s">
        <v>59</v>
      </c>
      <c r="C59" s="111">
        <f>C43/C44</f>
        <v>2.9379096487490833E-2</v>
      </c>
      <c r="D59" s="112">
        <f t="shared" ref="D59:BC59" si="21">D43/D44</f>
        <v>3.7485022918738217E-2</v>
      </c>
      <c r="E59" s="112">
        <f t="shared" si="21"/>
        <v>1.8653622426206592E-2</v>
      </c>
      <c r="F59" s="112">
        <f t="shared" si="21"/>
        <v>9.9689197519661446E-2</v>
      </c>
      <c r="G59" s="112">
        <f t="shared" si="21"/>
        <v>0.10948121405620076</v>
      </c>
      <c r="H59" s="112">
        <f t="shared" si="21"/>
        <v>9.2599086455477236E-2</v>
      </c>
      <c r="I59" s="112">
        <f t="shared" si="21"/>
        <v>0</v>
      </c>
      <c r="J59" s="112">
        <f t="shared" si="21"/>
        <v>0</v>
      </c>
      <c r="K59" s="112">
        <f t="shared" si="21"/>
        <v>0</v>
      </c>
      <c r="L59" s="112">
        <f t="shared" si="21"/>
        <v>7.1440440428941515E-2</v>
      </c>
      <c r="M59" s="112">
        <f>M43/M44</f>
        <v>0</v>
      </c>
      <c r="N59" s="112">
        <f t="shared" si="21"/>
        <v>0.10686660969854613</v>
      </c>
      <c r="O59" s="112">
        <f t="shared" si="21"/>
        <v>0</v>
      </c>
      <c r="P59" s="112">
        <f t="shared" si="21"/>
        <v>2.9096610286485393E-2</v>
      </c>
      <c r="Q59" s="112">
        <f t="shared" si="21"/>
        <v>0</v>
      </c>
      <c r="R59" s="112">
        <f t="shared" si="21"/>
        <v>0</v>
      </c>
      <c r="S59" s="112">
        <f t="shared" si="21"/>
        <v>0</v>
      </c>
      <c r="T59" s="112">
        <f t="shared" si="21"/>
        <v>0</v>
      </c>
      <c r="U59" s="112">
        <f t="shared" si="21"/>
        <v>0</v>
      </c>
      <c r="V59" s="112">
        <f t="shared" si="21"/>
        <v>0</v>
      </c>
      <c r="W59" s="112">
        <f t="shared" si="21"/>
        <v>1.5480587950732729E-2</v>
      </c>
      <c r="X59" s="112">
        <f t="shared" si="21"/>
        <v>0</v>
      </c>
      <c r="Y59" s="112">
        <f t="shared" si="21"/>
        <v>0</v>
      </c>
      <c r="Z59" s="112">
        <f t="shared" si="21"/>
        <v>0</v>
      </c>
      <c r="AA59" s="112">
        <f t="shared" si="21"/>
        <v>0.11383941156185293</v>
      </c>
      <c r="AB59" s="112">
        <f t="shared" si="21"/>
        <v>0</v>
      </c>
      <c r="AC59" s="112">
        <f t="shared" si="21"/>
        <v>0</v>
      </c>
      <c r="AD59" s="112">
        <f t="shared" si="21"/>
        <v>1.8041357043772875E-3</v>
      </c>
      <c r="AE59" s="112">
        <f t="shared" si="21"/>
        <v>0</v>
      </c>
      <c r="AF59" s="112">
        <f t="shared" si="21"/>
        <v>2.7368265370936257E-2</v>
      </c>
      <c r="AG59" s="112">
        <f t="shared" si="21"/>
        <v>2.4593862084227171E-3</v>
      </c>
      <c r="AH59" s="112">
        <f t="shared" si="21"/>
        <v>7.6938346090059881E-2</v>
      </c>
      <c r="AI59" s="112">
        <f t="shared" si="21"/>
        <v>0</v>
      </c>
      <c r="AJ59" s="112">
        <f t="shared" si="21"/>
        <v>0</v>
      </c>
      <c r="AK59" s="112">
        <f t="shared" si="21"/>
        <v>0</v>
      </c>
      <c r="AL59" s="112">
        <f t="shared" si="21"/>
        <v>0</v>
      </c>
      <c r="AM59" s="112">
        <f t="shared" si="21"/>
        <v>0</v>
      </c>
      <c r="AN59" s="112">
        <f t="shared" si="21"/>
        <v>0</v>
      </c>
      <c r="AO59" s="112">
        <f t="shared" si="21"/>
        <v>0.10065416347316183</v>
      </c>
      <c r="AP59" s="112">
        <f t="shared" si="21"/>
        <v>2.0506238976253661E-2</v>
      </c>
      <c r="AQ59" s="112">
        <f t="shared" si="21"/>
        <v>0</v>
      </c>
      <c r="AR59" s="112">
        <f t="shared" si="21"/>
        <v>0</v>
      </c>
      <c r="AS59" s="112">
        <f t="shared" si="21"/>
        <v>1.1175691171797092E-3</v>
      </c>
      <c r="AT59" s="112">
        <f t="shared" si="21"/>
        <v>0</v>
      </c>
      <c r="AU59" s="112">
        <f t="shared" si="21"/>
        <v>1.1743107590741092E-2</v>
      </c>
      <c r="AV59" s="112">
        <f t="shared" si="21"/>
        <v>0</v>
      </c>
      <c r="AW59" s="112">
        <f t="shared" si="21"/>
        <v>3.0350768792609926E-2</v>
      </c>
      <c r="AX59" s="112">
        <f t="shared" si="21"/>
        <v>7.3497577401357664E-2</v>
      </c>
      <c r="AY59" s="112">
        <f t="shared" si="21"/>
        <v>0</v>
      </c>
      <c r="AZ59" s="112">
        <f t="shared" si="21"/>
        <v>3.6769481926564915E-2</v>
      </c>
      <c r="BA59" s="112">
        <f t="shared" si="21"/>
        <v>0</v>
      </c>
      <c r="BB59" s="112">
        <f t="shared" si="21"/>
        <v>0</v>
      </c>
      <c r="BC59" s="112">
        <f t="shared" si="21"/>
        <v>2.7733921579132969E-2</v>
      </c>
      <c r="BE59" s="123"/>
    </row>
    <row r="60" spans="1:57" x14ac:dyDescent="0.3">
      <c r="A60" s="124"/>
    </row>
    <row r="61" spans="1:57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</row>
    <row r="62" spans="1:57" x14ac:dyDescent="0.3">
      <c r="A62" s="125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</row>
    <row r="63" spans="1:57" x14ac:dyDescent="0.3">
      <c r="A63" s="125"/>
      <c r="B63" s="119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B64" s="119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B65" s="119"/>
    </row>
    <row r="69" spans="1:55" s="120" customFormat="1" x14ac:dyDescent="0.3">
      <c r="A69" s="115"/>
      <c r="B69" s="11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F7A4-DA22-4823-997A-7B27931FB1BB}">
  <sheetPr codeName="Sheet35">
    <tabColor rgb="FFFFC000"/>
  </sheetPr>
  <dimension ref="A1:BE71"/>
  <sheetViews>
    <sheetView zoomScale="110" zoomScaleNormal="110" workbookViewId="0">
      <pane xSplit="2" ySplit="2" topLeftCell="C56" activePane="bottomRight" state="frozen"/>
      <selection activeCell="T47" sqref="T47"/>
      <selection pane="topRight" activeCell="T47" sqref="T47"/>
      <selection pane="bottomLeft" activeCell="T47" sqref="T47"/>
      <selection pane="bottomRight" activeCell="C58" sqref="C58:C59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5" width="13.7265625" style="115" customWidth="1"/>
    <col min="56" max="56" width="8.7265625" style="115"/>
    <col min="57" max="57" width="14.7265625" style="115" bestFit="1" customWidth="1"/>
    <col min="58" max="58" width="10.453125" style="115" bestFit="1" customWidth="1"/>
    <col min="59" max="16384" width="8.7265625" style="115"/>
  </cols>
  <sheetData>
    <row r="1" spans="1:55" s="57" customFormat="1" ht="47.5" customHeight="1" x14ac:dyDescent="0.3">
      <c r="A1" s="55" t="s">
        <v>201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170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149</v>
      </c>
      <c r="AV2" s="59" t="s">
        <v>150</v>
      </c>
      <c r="AW2" s="59" t="s">
        <v>151</v>
      </c>
      <c r="AX2" s="59" t="s">
        <v>152</v>
      </c>
      <c r="AY2" s="59" t="s">
        <v>153</v>
      </c>
      <c r="AZ2" s="59" t="s">
        <v>154</v>
      </c>
      <c r="BA2" s="59" t="s">
        <v>155</v>
      </c>
      <c r="BB2" s="59" t="s">
        <v>156</v>
      </c>
      <c r="BC2" s="59" t="s">
        <v>157</v>
      </c>
    </row>
    <row r="3" spans="1:55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5" s="64" customFormat="1" ht="13" x14ac:dyDescent="0.3">
      <c r="A4" s="60" t="s">
        <v>202</v>
      </c>
      <c r="B4" s="61"/>
      <c r="C4" s="62">
        <f>SUM(D4:BC4)</f>
        <v>3551745507</v>
      </c>
      <c r="D4" s="64">
        <v>41134000</v>
      </c>
      <c r="E4" s="64">
        <v>68608000</v>
      </c>
      <c r="F4" s="64">
        <v>78180000</v>
      </c>
      <c r="G4" s="64">
        <v>94325000</v>
      </c>
      <c r="H4" s="64">
        <v>76096000</v>
      </c>
      <c r="I4" s="64">
        <v>64397000</v>
      </c>
      <c r="J4" s="64">
        <v>63481000</v>
      </c>
      <c r="K4" s="65">
        <v>37669000</v>
      </c>
      <c r="L4" s="64">
        <v>120557000</v>
      </c>
      <c r="M4" s="64">
        <v>111885000</v>
      </c>
      <c r="N4" s="64">
        <v>72463200</v>
      </c>
      <c r="O4" s="64">
        <v>80324000</v>
      </c>
      <c r="P4" s="64">
        <v>95437000</v>
      </c>
      <c r="Q4" s="64">
        <v>53419000</v>
      </c>
      <c r="R4" s="64">
        <v>75171726</v>
      </c>
      <c r="S4" s="64">
        <v>49381000</v>
      </c>
      <c r="T4" s="64">
        <v>24174000</v>
      </c>
      <c r="U4" s="65">
        <v>102191000</v>
      </c>
      <c r="V4" s="64">
        <v>56602000</v>
      </c>
      <c r="W4" s="64">
        <v>58863000</v>
      </c>
      <c r="X4" s="64">
        <v>47337000</v>
      </c>
      <c r="Y4" s="64">
        <v>35092000</v>
      </c>
      <c r="Z4" s="64">
        <v>86880000</v>
      </c>
      <c r="AA4" s="64">
        <v>74415419</v>
      </c>
      <c r="AB4" s="65">
        <v>25022000</v>
      </c>
      <c r="AC4" s="64">
        <v>46354000</v>
      </c>
      <c r="AD4" s="64">
        <v>57991000</v>
      </c>
      <c r="AE4" s="64">
        <v>22964000</v>
      </c>
      <c r="AF4" s="64">
        <v>60465000</v>
      </c>
      <c r="AG4" s="64">
        <v>54962000</v>
      </c>
      <c r="AH4" s="64">
        <v>64047226</v>
      </c>
      <c r="AI4" s="74">
        <v>26560334</v>
      </c>
      <c r="AJ4" s="64">
        <v>114145000</v>
      </c>
      <c r="AK4" s="64">
        <v>65688000</v>
      </c>
      <c r="AL4" s="64">
        <v>59910000</v>
      </c>
      <c r="AM4" s="64">
        <v>84142000</v>
      </c>
      <c r="AN4" s="64">
        <v>37090000</v>
      </c>
      <c r="AO4" s="64">
        <v>27064500</v>
      </c>
      <c r="AP4" s="64">
        <v>58174000</v>
      </c>
      <c r="AQ4" s="64">
        <v>131182500</v>
      </c>
      <c r="AR4" s="65">
        <v>45203000</v>
      </c>
      <c r="AS4" s="64">
        <v>87306000</v>
      </c>
      <c r="AT4" s="64">
        <v>182065000</v>
      </c>
      <c r="AU4" s="64">
        <v>51967000</v>
      </c>
      <c r="AV4" s="64">
        <v>44845600</v>
      </c>
      <c r="AW4" s="64">
        <v>35164000</v>
      </c>
      <c r="AX4" s="64">
        <v>98088002</v>
      </c>
      <c r="AY4" s="64">
        <v>96642000</v>
      </c>
      <c r="AZ4" s="64">
        <v>53349000</v>
      </c>
      <c r="BA4" s="64">
        <v>41249000</v>
      </c>
      <c r="BB4" s="64">
        <v>63205000</v>
      </c>
      <c r="BC4" s="64">
        <v>148818000</v>
      </c>
    </row>
    <row r="5" spans="1:55" s="68" customFormat="1" ht="13" x14ac:dyDescent="0.3">
      <c r="A5" s="66" t="s">
        <v>3</v>
      </c>
      <c r="B5" s="67"/>
      <c r="C5" s="62">
        <f t="shared" ref="C5:C18" si="0">SUM(D5:BC5)</f>
        <v>187450000</v>
      </c>
      <c r="E5" s="68">
        <v>3100000</v>
      </c>
      <c r="F5" s="68">
        <v>7150000</v>
      </c>
      <c r="G5" s="68">
        <v>9400000</v>
      </c>
      <c r="L5" s="68">
        <v>4600000</v>
      </c>
      <c r="M5" s="68">
        <v>13500000</v>
      </c>
      <c r="N5" s="68">
        <v>3500000</v>
      </c>
      <c r="O5" s="68">
        <v>11200000</v>
      </c>
      <c r="S5" s="68">
        <v>4200000</v>
      </c>
      <c r="U5" s="68">
        <v>13500000</v>
      </c>
      <c r="V5" s="68">
        <v>4200000</v>
      </c>
      <c r="W5" s="68">
        <v>3800000</v>
      </c>
      <c r="X5" s="68">
        <v>3800000</v>
      </c>
      <c r="Y5" s="68">
        <v>3200000</v>
      </c>
      <c r="Z5" s="68">
        <v>4200000</v>
      </c>
      <c r="AA5" s="68">
        <v>12600000</v>
      </c>
      <c r="AB5" s="86"/>
      <c r="AH5" s="68">
        <v>6900000</v>
      </c>
      <c r="AI5" s="83"/>
      <c r="AJ5" s="68">
        <v>8700000</v>
      </c>
      <c r="AN5" s="68">
        <v>5000000</v>
      </c>
      <c r="AP5" s="68">
        <v>4200000</v>
      </c>
      <c r="AQ5" s="68">
        <v>11200000</v>
      </c>
      <c r="AS5" s="68">
        <v>4200000</v>
      </c>
      <c r="AT5" s="68">
        <v>10300000</v>
      </c>
      <c r="AU5" s="68">
        <v>3800000</v>
      </c>
      <c r="AV5" s="68">
        <v>3800000</v>
      </c>
      <c r="AX5" s="68">
        <v>4000000</v>
      </c>
      <c r="BB5" s="68">
        <v>10600000</v>
      </c>
      <c r="BC5" s="68">
        <v>12800000</v>
      </c>
    </row>
    <row r="6" spans="1:55" s="68" customFormat="1" ht="13" x14ac:dyDescent="0.3">
      <c r="A6" s="69" t="s">
        <v>4</v>
      </c>
      <c r="B6" s="67"/>
      <c r="C6" s="62">
        <f t="shared" si="0"/>
        <v>7900000</v>
      </c>
      <c r="D6" s="72"/>
      <c r="J6" s="68">
        <v>1000000</v>
      </c>
      <c r="O6" s="83"/>
      <c r="AN6" s="68">
        <v>1900000</v>
      </c>
      <c r="AQ6" s="68">
        <v>2000000</v>
      </c>
      <c r="AU6" s="68">
        <v>2000000</v>
      </c>
      <c r="BC6" s="68">
        <v>1000000</v>
      </c>
    </row>
    <row r="7" spans="1:55" s="68" customFormat="1" ht="13" x14ac:dyDescent="0.3">
      <c r="A7" s="71" t="s">
        <v>158</v>
      </c>
      <c r="B7" s="67"/>
      <c r="C7" s="62">
        <f t="shared" si="0"/>
        <v>67345774</v>
      </c>
      <c r="E7" s="68">
        <v>1638000</v>
      </c>
      <c r="G7" s="68">
        <v>4702000</v>
      </c>
      <c r="H7" s="72"/>
      <c r="M7" s="68">
        <v>5916000</v>
      </c>
      <c r="N7" s="68">
        <v>2765000</v>
      </c>
      <c r="O7" s="68">
        <v>7448000</v>
      </c>
      <c r="S7" s="68">
        <v>3129000</v>
      </c>
      <c r="W7" s="68">
        <v>1761000</v>
      </c>
      <c r="Y7" s="68">
        <v>688000</v>
      </c>
      <c r="AA7" s="68">
        <v>5256000</v>
      </c>
      <c r="AH7" s="68">
        <v>6520774</v>
      </c>
      <c r="AJ7" s="68">
        <v>1090000</v>
      </c>
      <c r="AN7" s="68">
        <v>2456000</v>
      </c>
      <c r="AP7" s="68">
        <v>3608000</v>
      </c>
      <c r="AQ7" s="68">
        <v>3988000</v>
      </c>
      <c r="AS7" s="68">
        <v>2758000</v>
      </c>
      <c r="AT7" s="68">
        <v>3459000</v>
      </c>
      <c r="AV7" s="68">
        <v>3340000</v>
      </c>
      <c r="BB7" s="68">
        <v>3057000</v>
      </c>
      <c r="BC7" s="68">
        <v>3766000</v>
      </c>
    </row>
    <row r="8" spans="1:55" s="68" customFormat="1" ht="13" x14ac:dyDescent="0.3">
      <c r="A8" s="71"/>
      <c r="B8" s="67" t="s">
        <v>6</v>
      </c>
      <c r="C8" s="62">
        <f t="shared" si="0"/>
        <v>15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1</v>
      </c>
      <c r="M8" s="68">
        <v>1</v>
      </c>
      <c r="N8" s="68">
        <v>0</v>
      </c>
      <c r="O8" s="86">
        <v>1</v>
      </c>
      <c r="P8" s="68">
        <v>0</v>
      </c>
      <c r="Q8" s="68">
        <v>0</v>
      </c>
      <c r="R8" s="68">
        <v>0</v>
      </c>
      <c r="S8" s="68">
        <v>0</v>
      </c>
      <c r="T8" s="68">
        <v>1</v>
      </c>
      <c r="U8" s="68">
        <v>4</v>
      </c>
      <c r="V8" s="68">
        <v>0</v>
      </c>
      <c r="W8" s="68">
        <v>0</v>
      </c>
      <c r="X8" s="68">
        <v>0</v>
      </c>
      <c r="Y8" s="68">
        <v>0</v>
      </c>
      <c r="Z8" s="68">
        <v>1</v>
      </c>
      <c r="AA8" s="68">
        <v>1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1</v>
      </c>
      <c r="AH8" s="68">
        <v>0</v>
      </c>
      <c r="AI8" s="68">
        <v>0</v>
      </c>
      <c r="AJ8" s="68">
        <v>0</v>
      </c>
      <c r="AK8" s="68">
        <v>0</v>
      </c>
      <c r="AL8" s="68">
        <v>0</v>
      </c>
      <c r="AM8" s="68">
        <v>0</v>
      </c>
      <c r="AN8" s="68">
        <v>1</v>
      </c>
      <c r="AO8" s="68">
        <v>0</v>
      </c>
      <c r="AP8" s="68">
        <v>0</v>
      </c>
      <c r="AQ8" s="68">
        <v>2</v>
      </c>
      <c r="AR8" s="68">
        <v>0</v>
      </c>
      <c r="AS8" s="68">
        <v>0</v>
      </c>
      <c r="AT8" s="68">
        <v>1</v>
      </c>
      <c r="AU8" s="68">
        <v>0</v>
      </c>
      <c r="AV8" s="68">
        <v>0</v>
      </c>
      <c r="AW8" s="68">
        <v>0</v>
      </c>
      <c r="AX8" s="68">
        <v>0</v>
      </c>
      <c r="AY8" s="68">
        <v>0</v>
      </c>
      <c r="AZ8" s="68">
        <v>0</v>
      </c>
      <c r="BA8" s="68">
        <v>0</v>
      </c>
      <c r="BB8" s="68">
        <v>0</v>
      </c>
      <c r="BC8" s="68">
        <v>0</v>
      </c>
    </row>
    <row r="9" spans="1:55" s="68" customFormat="1" ht="13" x14ac:dyDescent="0.3">
      <c r="A9" s="71"/>
      <c r="B9" s="67" t="s">
        <v>7</v>
      </c>
      <c r="C9" s="62">
        <f t="shared" si="0"/>
        <v>47</v>
      </c>
      <c r="D9" s="68">
        <v>0</v>
      </c>
      <c r="E9" s="68">
        <v>1</v>
      </c>
      <c r="F9" s="68">
        <v>2</v>
      </c>
      <c r="G9" s="68">
        <v>3</v>
      </c>
      <c r="H9" s="68">
        <v>0</v>
      </c>
      <c r="I9" s="68">
        <v>0</v>
      </c>
      <c r="J9" s="68">
        <v>0</v>
      </c>
      <c r="K9" s="68">
        <v>0</v>
      </c>
      <c r="L9" s="68">
        <v>1</v>
      </c>
      <c r="M9" s="68">
        <v>3</v>
      </c>
      <c r="N9" s="68">
        <v>1</v>
      </c>
      <c r="O9" s="86">
        <v>3</v>
      </c>
      <c r="P9" s="68">
        <v>0</v>
      </c>
      <c r="Q9" s="68">
        <v>0</v>
      </c>
      <c r="R9" s="68">
        <v>0</v>
      </c>
      <c r="S9" s="68">
        <v>1</v>
      </c>
      <c r="T9" s="68">
        <v>0</v>
      </c>
      <c r="U9" s="68">
        <v>4</v>
      </c>
      <c r="V9" s="68">
        <v>1</v>
      </c>
      <c r="W9" s="68">
        <v>1</v>
      </c>
      <c r="X9" s="68">
        <v>1</v>
      </c>
      <c r="Y9" s="68">
        <v>1</v>
      </c>
      <c r="Z9" s="68">
        <v>1</v>
      </c>
      <c r="AA9" s="68">
        <v>3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2</v>
      </c>
      <c r="AI9" s="68">
        <v>0</v>
      </c>
      <c r="AJ9" s="68">
        <v>2</v>
      </c>
      <c r="AK9" s="68">
        <v>0</v>
      </c>
      <c r="AL9" s="68">
        <v>0</v>
      </c>
      <c r="AM9" s="68">
        <v>0</v>
      </c>
      <c r="AN9" s="68">
        <v>2</v>
      </c>
      <c r="AO9" s="68">
        <v>0</v>
      </c>
      <c r="AP9" s="68">
        <v>1</v>
      </c>
      <c r="AQ9" s="68">
        <v>2</v>
      </c>
      <c r="AR9" s="68">
        <v>0</v>
      </c>
      <c r="AS9" s="68">
        <v>1</v>
      </c>
      <c r="AT9" s="68">
        <v>2</v>
      </c>
      <c r="AU9" s="68">
        <v>1</v>
      </c>
      <c r="AV9" s="68">
        <v>1</v>
      </c>
      <c r="AW9" s="68">
        <v>0</v>
      </c>
      <c r="AX9" s="68">
        <v>1</v>
      </c>
      <c r="AY9" s="68">
        <v>0</v>
      </c>
      <c r="AZ9" s="68">
        <v>0</v>
      </c>
      <c r="BA9" s="68">
        <v>0</v>
      </c>
      <c r="BB9" s="68">
        <v>2</v>
      </c>
      <c r="BC9" s="68">
        <v>3</v>
      </c>
    </row>
    <row r="10" spans="1:55" s="68" customFormat="1" ht="13" x14ac:dyDescent="0.3">
      <c r="A10" s="71"/>
      <c r="B10" s="67" t="s">
        <v>203</v>
      </c>
      <c r="C10" s="62">
        <f>SUM(D10:BC10)</f>
        <v>4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86">
        <v>1</v>
      </c>
      <c r="P10" s="68">
        <v>0</v>
      </c>
      <c r="Q10" s="68">
        <v>0</v>
      </c>
      <c r="R10" s="68">
        <v>0</v>
      </c>
      <c r="S10" s="68">
        <v>0</v>
      </c>
      <c r="T10" s="68">
        <v>1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1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0</v>
      </c>
      <c r="BB10" s="68">
        <v>1</v>
      </c>
      <c r="BC10" s="68">
        <v>0</v>
      </c>
    </row>
    <row r="11" spans="1:55" s="68" customFormat="1" ht="16.5" customHeight="1" x14ac:dyDescent="0.3">
      <c r="A11" s="71"/>
      <c r="B11" s="67" t="s">
        <v>9</v>
      </c>
      <c r="C11" s="62">
        <f t="shared" si="0"/>
        <v>2539543161.2903223</v>
      </c>
      <c r="D11" s="68">
        <v>28800000</v>
      </c>
      <c r="E11" s="68">
        <v>51868000</v>
      </c>
      <c r="F11" s="68">
        <v>50950000</v>
      </c>
      <c r="G11" s="68">
        <v>66100000</v>
      </c>
      <c r="H11" s="68">
        <v>54700000</v>
      </c>
      <c r="I11" s="68">
        <v>47400000</v>
      </c>
      <c r="J11" s="68">
        <v>44700000</v>
      </c>
      <c r="K11" s="68">
        <v>28300000</v>
      </c>
      <c r="L11" s="68">
        <v>86800000</v>
      </c>
      <c r="M11" s="68">
        <v>77793548.387096778</v>
      </c>
      <c r="N11" s="68">
        <v>50745161.290322579</v>
      </c>
      <c r="O11" s="86">
        <v>54458064.516129032</v>
      </c>
      <c r="P11" s="68">
        <v>71200000</v>
      </c>
      <c r="Q11" s="68">
        <v>39600000</v>
      </c>
      <c r="R11" s="68">
        <v>54000000</v>
      </c>
      <c r="S11" s="68">
        <v>38400000</v>
      </c>
      <c r="T11" s="68">
        <v>17700000</v>
      </c>
      <c r="U11" s="68">
        <v>66151612.903225809</v>
      </c>
      <c r="V11" s="68">
        <v>40100000</v>
      </c>
      <c r="W11" s="68">
        <v>43100000</v>
      </c>
      <c r="X11" s="68">
        <v>31135483.870967742</v>
      </c>
      <c r="Y11" s="68">
        <v>22900000</v>
      </c>
      <c r="Z11" s="68">
        <v>51603225.806451611</v>
      </c>
      <c r="AA11" s="68">
        <v>51522580.645161293</v>
      </c>
      <c r="AB11" s="68">
        <v>18600000</v>
      </c>
      <c r="AC11" s="68">
        <v>35500000</v>
      </c>
      <c r="AD11" s="68">
        <v>44200000</v>
      </c>
      <c r="AE11" s="68">
        <v>16400000</v>
      </c>
      <c r="AF11" s="68">
        <v>46300000</v>
      </c>
      <c r="AG11" s="68">
        <v>40467741.935483873</v>
      </c>
      <c r="AH11" s="68">
        <v>49154838.709677421</v>
      </c>
      <c r="AI11" s="68">
        <v>16800000</v>
      </c>
      <c r="AJ11" s="68">
        <v>74050000</v>
      </c>
      <c r="AK11" s="68">
        <v>47700000</v>
      </c>
      <c r="AL11" s="68">
        <v>43000000</v>
      </c>
      <c r="AM11" s="68">
        <v>60630000</v>
      </c>
      <c r="AN11" s="68">
        <v>24348387.096774194</v>
      </c>
      <c r="AO11" s="68">
        <v>19300000</v>
      </c>
      <c r="AP11" s="68">
        <v>43425806.451612905</v>
      </c>
      <c r="AQ11" s="68">
        <v>91574193.548387095</v>
      </c>
      <c r="AR11" s="68">
        <v>35100000</v>
      </c>
      <c r="AS11" s="68">
        <v>67800000</v>
      </c>
      <c r="AT11" s="68">
        <v>136800000</v>
      </c>
      <c r="AU11" s="68">
        <v>35448387.096774191</v>
      </c>
      <c r="AV11" s="68">
        <v>32300000</v>
      </c>
      <c r="AW11" s="68">
        <v>26700000</v>
      </c>
      <c r="AX11" s="68">
        <v>73500000</v>
      </c>
      <c r="AY11" s="68">
        <v>67800000</v>
      </c>
      <c r="AZ11" s="68">
        <v>40000000</v>
      </c>
      <c r="BA11" s="68">
        <v>30800000</v>
      </c>
      <c r="BB11" s="68">
        <v>43335483.870967746</v>
      </c>
      <c r="BC11" s="68">
        <v>108480645.16129032</v>
      </c>
    </row>
    <row r="12" spans="1:55" s="68" customFormat="1" ht="13" x14ac:dyDescent="0.3">
      <c r="A12" s="128" t="s">
        <v>10</v>
      </c>
      <c r="B12" s="69" t="s">
        <v>11</v>
      </c>
      <c r="C12" s="62">
        <f t="shared" si="0"/>
        <v>566431806.45161295</v>
      </c>
      <c r="D12" s="68">
        <v>8764000</v>
      </c>
      <c r="E12" s="68">
        <v>9040000</v>
      </c>
      <c r="F12" s="68">
        <v>8128000</v>
      </c>
      <c r="G12" s="68">
        <v>13532000</v>
      </c>
      <c r="H12" s="68">
        <v>14216000</v>
      </c>
      <c r="I12" s="68">
        <v>10432000</v>
      </c>
      <c r="J12" s="68">
        <v>11528000</v>
      </c>
      <c r="K12" s="68">
        <v>5344000</v>
      </c>
      <c r="L12" s="68">
        <v>18612000</v>
      </c>
      <c r="M12" s="68">
        <v>16520000</v>
      </c>
      <c r="N12" s="68">
        <v>14015200</v>
      </c>
      <c r="O12" s="86">
        <v>17149000</v>
      </c>
      <c r="P12" s="68">
        <v>10992000</v>
      </c>
      <c r="Q12" s="68">
        <v>8644000</v>
      </c>
      <c r="R12" s="68">
        <v>15557500</v>
      </c>
      <c r="S12" s="68">
        <v>6056000</v>
      </c>
      <c r="T12" s="68">
        <v>3468000</v>
      </c>
      <c r="U12" s="68">
        <v>13429806.451612903</v>
      </c>
      <c r="V12" s="68">
        <v>6712000</v>
      </c>
      <c r="W12" s="68">
        <v>10224000</v>
      </c>
      <c r="X12" s="68">
        <v>7752000</v>
      </c>
      <c r="Y12" s="68">
        <v>9012000</v>
      </c>
      <c r="Z12" s="68">
        <v>23215000</v>
      </c>
      <c r="AA12" s="68">
        <v>11932000</v>
      </c>
      <c r="AB12" s="68">
        <v>3924000</v>
      </c>
      <c r="AC12" s="68">
        <v>6524200</v>
      </c>
      <c r="AD12" s="68">
        <v>8911000</v>
      </c>
      <c r="AE12" s="68">
        <v>4224000</v>
      </c>
      <c r="AF12" s="68">
        <v>9220000</v>
      </c>
      <c r="AG12" s="68">
        <v>9268000</v>
      </c>
      <c r="AH12" s="68">
        <v>9732900</v>
      </c>
      <c r="AI12" s="68">
        <v>6820000</v>
      </c>
      <c r="AJ12" s="68">
        <v>20497000</v>
      </c>
      <c r="AK12" s="68">
        <v>9368000</v>
      </c>
      <c r="AL12" s="68">
        <v>11120000</v>
      </c>
      <c r="AM12" s="68">
        <v>14712000</v>
      </c>
      <c r="AN12" s="68">
        <v>5204000</v>
      </c>
      <c r="AO12" s="68">
        <v>4904500</v>
      </c>
      <c r="AP12" s="68">
        <v>7492000</v>
      </c>
      <c r="AQ12" s="68">
        <v>21223500</v>
      </c>
      <c r="AR12" s="68">
        <v>6208000</v>
      </c>
      <c r="AS12" s="68">
        <v>11148000</v>
      </c>
      <c r="AT12" s="68">
        <v>26960000</v>
      </c>
      <c r="AU12" s="68">
        <v>6904000</v>
      </c>
      <c r="AV12" s="68">
        <v>7985600</v>
      </c>
      <c r="AW12" s="68">
        <v>5236000</v>
      </c>
      <c r="AX12" s="68">
        <v>11340000</v>
      </c>
      <c r="AY12" s="68">
        <v>18862000</v>
      </c>
      <c r="AZ12" s="68">
        <v>7455600</v>
      </c>
      <c r="BA12" s="68">
        <v>6409000</v>
      </c>
      <c r="BB12" s="68">
        <v>9720000</v>
      </c>
      <c r="BC12" s="68">
        <v>20784000</v>
      </c>
    </row>
    <row r="13" spans="1:55" s="68" customFormat="1" ht="13" x14ac:dyDescent="0.3">
      <c r="A13" s="129"/>
      <c r="B13" s="69" t="s">
        <v>12</v>
      </c>
      <c r="C13" s="62">
        <f t="shared" si="0"/>
        <v>122013225.80645162</v>
      </c>
      <c r="D13" s="68">
        <v>1600000</v>
      </c>
      <c r="E13" s="68">
        <v>2060000</v>
      </c>
      <c r="F13" s="68">
        <v>2620000</v>
      </c>
      <c r="G13" s="68">
        <v>4530000</v>
      </c>
      <c r="H13" s="68">
        <v>2880000</v>
      </c>
      <c r="I13" s="68">
        <v>2720000</v>
      </c>
      <c r="J13" s="68">
        <v>2365000</v>
      </c>
      <c r="K13" s="68">
        <v>1555000</v>
      </c>
      <c r="L13" s="68">
        <v>3435000</v>
      </c>
      <c r="M13" s="68">
        <v>3710000</v>
      </c>
      <c r="N13" s="68">
        <v>2240000</v>
      </c>
      <c r="O13" s="86">
        <v>2482419.3548387098</v>
      </c>
      <c r="P13" s="68">
        <v>5125000</v>
      </c>
      <c r="Q13" s="68">
        <v>1705000</v>
      </c>
      <c r="R13" s="68">
        <v>2105000</v>
      </c>
      <c r="S13" s="68">
        <v>1415000</v>
      </c>
      <c r="T13" s="68">
        <v>1180000</v>
      </c>
      <c r="U13" s="68">
        <v>2865000</v>
      </c>
      <c r="V13" s="68">
        <v>1165000</v>
      </c>
      <c r="W13" s="68">
        <v>1590000</v>
      </c>
      <c r="X13" s="68">
        <v>1460000</v>
      </c>
      <c r="Y13" s="68">
        <v>1220000</v>
      </c>
      <c r="Z13" s="68">
        <v>3035806.4516129033</v>
      </c>
      <c r="AA13" s="68">
        <v>2183225.8064516126</v>
      </c>
      <c r="AB13" s="68">
        <v>960000</v>
      </c>
      <c r="AC13" s="68">
        <v>1330000</v>
      </c>
      <c r="AD13" s="68">
        <v>1790000</v>
      </c>
      <c r="AE13" s="68">
        <v>960000</v>
      </c>
      <c r="AF13" s="68">
        <v>1645000</v>
      </c>
      <c r="AG13" s="68">
        <v>1789032.2580645161</v>
      </c>
      <c r="AH13" s="68">
        <v>3012903.2258064514</v>
      </c>
      <c r="AI13" s="68">
        <v>1200000</v>
      </c>
      <c r="AJ13" s="68">
        <v>4140000</v>
      </c>
      <c r="AK13" s="68">
        <v>2000000</v>
      </c>
      <c r="AL13" s="68">
        <v>2440000</v>
      </c>
      <c r="AM13" s="68">
        <v>4200000</v>
      </c>
      <c r="AN13" s="68">
        <v>1275483.8709677418</v>
      </c>
      <c r="AO13" s="68">
        <v>1080000</v>
      </c>
      <c r="AP13" s="68">
        <v>2375000</v>
      </c>
      <c r="AQ13" s="68">
        <v>4835000</v>
      </c>
      <c r="AR13" s="68">
        <v>1395000</v>
      </c>
      <c r="AS13" s="68">
        <v>2335000</v>
      </c>
      <c r="AT13" s="68">
        <v>5355000</v>
      </c>
      <c r="AU13" s="68">
        <v>1570000</v>
      </c>
      <c r="AV13" s="68">
        <v>1680000</v>
      </c>
      <c r="AW13" s="68">
        <v>1225000</v>
      </c>
      <c r="AX13" s="68">
        <v>2770000</v>
      </c>
      <c r="AY13" s="68">
        <v>3590000</v>
      </c>
      <c r="AZ13" s="68">
        <v>2390000</v>
      </c>
      <c r="BA13" s="68">
        <v>1760000</v>
      </c>
      <c r="BB13" s="68">
        <v>1429354.8387096773</v>
      </c>
      <c r="BC13" s="68">
        <v>4235000</v>
      </c>
    </row>
    <row r="14" spans="1:55" s="68" customFormat="1" ht="13" x14ac:dyDescent="0.3">
      <c r="A14" s="129"/>
      <c r="B14" s="69" t="s">
        <v>13</v>
      </c>
      <c r="C14" s="62">
        <f t="shared" si="0"/>
        <v>59399569.892473117</v>
      </c>
      <c r="D14" s="68">
        <v>690000</v>
      </c>
      <c r="E14" s="68">
        <v>1510000</v>
      </c>
      <c r="F14" s="68">
        <v>1350000</v>
      </c>
      <c r="G14" s="68">
        <v>1935000</v>
      </c>
      <c r="H14" s="68">
        <v>1530000</v>
      </c>
      <c r="I14" s="68">
        <v>1170000</v>
      </c>
      <c r="J14" s="68">
        <v>1080000</v>
      </c>
      <c r="K14" s="68">
        <v>570000</v>
      </c>
      <c r="L14" s="68">
        <v>1890000</v>
      </c>
      <c r="M14" s="68">
        <v>2202580.6451612902</v>
      </c>
      <c r="N14" s="68">
        <v>1320000</v>
      </c>
      <c r="O14" s="86">
        <v>1268709.6774193549</v>
      </c>
      <c r="P14" s="68">
        <v>2370000</v>
      </c>
      <c r="Q14" s="68">
        <v>810000</v>
      </c>
      <c r="R14" s="68">
        <v>750000</v>
      </c>
      <c r="S14" s="68">
        <v>670000</v>
      </c>
      <c r="T14" s="68">
        <v>330000</v>
      </c>
      <c r="U14" s="68">
        <v>1625806.4516129033</v>
      </c>
      <c r="V14" s="68">
        <v>930000</v>
      </c>
      <c r="W14" s="68">
        <v>900000</v>
      </c>
      <c r="X14" s="68">
        <v>953225.80645161285</v>
      </c>
      <c r="Y14" s="68">
        <v>480000</v>
      </c>
      <c r="Z14" s="68">
        <v>1352903.2258064516</v>
      </c>
      <c r="AA14" s="68">
        <v>1091612.9032258063</v>
      </c>
      <c r="AB14" s="68">
        <v>455000</v>
      </c>
      <c r="AC14" s="68">
        <v>900000</v>
      </c>
      <c r="AD14" s="68">
        <v>850000</v>
      </c>
      <c r="AE14" s="68">
        <v>440000</v>
      </c>
      <c r="AF14" s="68">
        <v>596666.66666666663</v>
      </c>
      <c r="AG14" s="68">
        <v>944516.12903225806</v>
      </c>
      <c r="AH14" s="68">
        <v>1196451.6129032257</v>
      </c>
      <c r="AI14" s="68">
        <v>570000</v>
      </c>
      <c r="AJ14" s="68">
        <v>1800000</v>
      </c>
      <c r="AK14" s="68">
        <v>890000</v>
      </c>
      <c r="AL14" s="68">
        <v>1025000</v>
      </c>
      <c r="AM14" s="68">
        <v>1530000</v>
      </c>
      <c r="AN14" s="68">
        <v>689032.25806451612</v>
      </c>
      <c r="AO14" s="68">
        <v>540000</v>
      </c>
      <c r="AP14" s="68">
        <v>1426451.6129032257</v>
      </c>
      <c r="AQ14" s="68">
        <v>2189032.2580645164</v>
      </c>
      <c r="AR14" s="68">
        <v>750000</v>
      </c>
      <c r="AS14" s="68">
        <v>1530000</v>
      </c>
      <c r="AT14" s="68">
        <v>1780000</v>
      </c>
      <c r="AU14" s="68">
        <v>702580.6451612903</v>
      </c>
      <c r="AV14" s="68">
        <v>840000</v>
      </c>
      <c r="AW14" s="68">
        <v>900000</v>
      </c>
      <c r="AX14" s="68">
        <v>1680000</v>
      </c>
      <c r="AY14" s="68">
        <v>1895000</v>
      </c>
      <c r="AZ14" s="68">
        <v>1020000</v>
      </c>
      <c r="BA14" s="68">
        <v>840000</v>
      </c>
      <c r="BB14" s="68">
        <v>598064.51612903224</v>
      </c>
      <c r="BC14" s="68">
        <v>2041935.4838709678</v>
      </c>
    </row>
    <row r="15" spans="1:55" s="68" customFormat="1" ht="13" x14ac:dyDescent="0.3">
      <c r="A15" s="129"/>
      <c r="B15" s="69" t="s">
        <v>14</v>
      </c>
      <c r="C15" s="62">
        <f t="shared" si="0"/>
        <v>54599032.258064508</v>
      </c>
      <c r="D15" s="68">
        <v>500000</v>
      </c>
      <c r="E15" s="68">
        <v>1700000</v>
      </c>
      <c r="F15" s="68">
        <v>1100000</v>
      </c>
      <c r="G15" s="68">
        <v>1800000</v>
      </c>
      <c r="H15" s="68">
        <v>1000000</v>
      </c>
      <c r="I15" s="68">
        <v>1400000</v>
      </c>
      <c r="J15" s="68">
        <v>1200000</v>
      </c>
      <c r="K15" s="68">
        <v>1000000</v>
      </c>
      <c r="L15" s="68">
        <v>1900000</v>
      </c>
      <c r="M15" s="68">
        <v>1470967.7419354839</v>
      </c>
      <c r="N15" s="68">
        <v>1400000</v>
      </c>
      <c r="O15" s="86">
        <v>999999.99999999988</v>
      </c>
      <c r="P15" s="68">
        <v>1600000</v>
      </c>
      <c r="Q15" s="68">
        <v>900000</v>
      </c>
      <c r="R15" s="68">
        <v>1000000</v>
      </c>
      <c r="S15" s="68">
        <v>800000</v>
      </c>
      <c r="T15" s="68">
        <v>700000</v>
      </c>
      <c r="U15" s="68">
        <v>1909677.4193548388</v>
      </c>
      <c r="V15" s="68">
        <v>1000000</v>
      </c>
      <c r="W15" s="68">
        <v>900000</v>
      </c>
      <c r="X15" s="68">
        <v>600000</v>
      </c>
      <c r="Y15" s="68">
        <v>550000</v>
      </c>
      <c r="Z15" s="68">
        <v>654838.70967741939</v>
      </c>
      <c r="AA15" s="68">
        <v>974193.54838709673</v>
      </c>
      <c r="AB15" s="68">
        <v>400000</v>
      </c>
      <c r="AC15" s="68">
        <v>700000</v>
      </c>
      <c r="AD15" s="68">
        <v>600000</v>
      </c>
      <c r="AE15" s="68">
        <v>500000</v>
      </c>
      <c r="AF15" s="68">
        <v>900000</v>
      </c>
      <c r="AG15" s="68">
        <v>774193.54838709673</v>
      </c>
      <c r="AH15" s="68">
        <v>638709.67741935479</v>
      </c>
      <c r="AI15" s="68">
        <v>600000</v>
      </c>
      <c r="AJ15" s="68">
        <v>1300000</v>
      </c>
      <c r="AK15" s="68">
        <v>920000</v>
      </c>
      <c r="AL15" s="68">
        <v>1000000</v>
      </c>
      <c r="AM15" s="68">
        <v>1600000</v>
      </c>
      <c r="AN15" s="68">
        <v>741935.48387096776</v>
      </c>
      <c r="AO15" s="68">
        <v>700000</v>
      </c>
      <c r="AP15" s="68">
        <v>638709.67741935479</v>
      </c>
      <c r="AQ15" s="68">
        <v>1448387.0967741935</v>
      </c>
      <c r="AR15" s="68">
        <v>1000000</v>
      </c>
      <c r="AS15" s="68">
        <v>1400000</v>
      </c>
      <c r="AT15" s="68">
        <v>2400000</v>
      </c>
      <c r="AU15" s="68">
        <v>735483.87096774194</v>
      </c>
      <c r="AV15" s="68">
        <v>700000</v>
      </c>
      <c r="AW15" s="68">
        <v>900000</v>
      </c>
      <c r="AX15" s="68">
        <v>1700000</v>
      </c>
      <c r="AY15" s="68">
        <v>1000000</v>
      </c>
      <c r="AZ15" s="68">
        <v>600000</v>
      </c>
      <c r="BA15" s="68">
        <v>600000</v>
      </c>
      <c r="BB15" s="68">
        <v>638709.67741935491</v>
      </c>
      <c r="BC15" s="68">
        <v>2403225.8064516126</v>
      </c>
    </row>
    <row r="16" spans="1:55" s="68" customFormat="1" ht="13" x14ac:dyDescent="0.3">
      <c r="A16" s="129"/>
      <c r="B16" s="69" t="s">
        <v>15</v>
      </c>
      <c r="C16" s="62">
        <f t="shared" si="0"/>
        <v>2458064.5161290322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350000</v>
      </c>
      <c r="K16" s="68">
        <v>0</v>
      </c>
      <c r="L16" s="68">
        <v>150000</v>
      </c>
      <c r="M16" s="68">
        <v>0</v>
      </c>
      <c r="N16" s="68">
        <v>0</v>
      </c>
      <c r="O16" s="86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200000</v>
      </c>
      <c r="AB16" s="68">
        <v>0</v>
      </c>
      <c r="AC16" s="68">
        <v>0</v>
      </c>
      <c r="AD16" s="68">
        <v>0</v>
      </c>
      <c r="AE16" s="68">
        <v>0</v>
      </c>
      <c r="AF16" s="68">
        <v>300000</v>
      </c>
      <c r="AG16" s="68">
        <v>0</v>
      </c>
      <c r="AH16" s="68">
        <v>100000</v>
      </c>
      <c r="AI16" s="68">
        <v>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300000</v>
      </c>
      <c r="AW16" s="68">
        <v>0</v>
      </c>
      <c r="AX16" s="68">
        <v>300000</v>
      </c>
      <c r="AY16" s="68">
        <v>0</v>
      </c>
      <c r="AZ16" s="68">
        <v>0</v>
      </c>
      <c r="BA16" s="68">
        <v>0</v>
      </c>
      <c r="BB16" s="68">
        <v>58064.516129032258</v>
      </c>
      <c r="BC16" s="68">
        <v>150000</v>
      </c>
    </row>
    <row r="17" spans="1:57" s="68" customFormat="1" ht="13" x14ac:dyDescent="0.3">
      <c r="A17" s="129"/>
      <c r="B17" s="69" t="s">
        <v>16</v>
      </c>
      <c r="C17" s="62">
        <f t="shared" si="0"/>
        <v>29633892.473118279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1550000</v>
      </c>
      <c r="M17" s="68">
        <v>1835483.8709677421</v>
      </c>
      <c r="N17" s="68">
        <v>0</v>
      </c>
      <c r="O17" s="86">
        <v>1298709.6774193549</v>
      </c>
      <c r="P17" s="68">
        <v>1810000</v>
      </c>
      <c r="Q17" s="68">
        <v>800000</v>
      </c>
      <c r="R17" s="68">
        <v>900000</v>
      </c>
      <c r="S17" s="68">
        <v>690000</v>
      </c>
      <c r="T17" s="68">
        <v>316000</v>
      </c>
      <c r="U17" s="68">
        <v>1354838.7096774192</v>
      </c>
      <c r="V17" s="68">
        <v>790000</v>
      </c>
      <c r="W17" s="68">
        <v>800000</v>
      </c>
      <c r="X17" s="68">
        <v>0</v>
      </c>
      <c r="Y17" s="68">
        <v>0</v>
      </c>
      <c r="Z17" s="68">
        <v>1212903.2258064516</v>
      </c>
      <c r="AA17" s="68">
        <v>0</v>
      </c>
      <c r="AB17" s="68">
        <v>228000</v>
      </c>
      <c r="AC17" s="68">
        <v>500000</v>
      </c>
      <c r="AD17" s="68">
        <v>790000</v>
      </c>
      <c r="AE17" s="68">
        <v>0</v>
      </c>
      <c r="AF17" s="68">
        <v>906666.66666666663</v>
      </c>
      <c r="AG17" s="68">
        <v>774516.12903225806</v>
      </c>
      <c r="AH17" s="68">
        <v>0</v>
      </c>
      <c r="AI17" s="68">
        <v>0</v>
      </c>
      <c r="AJ17" s="68">
        <v>1590000</v>
      </c>
      <c r="AK17" s="68">
        <v>1340000</v>
      </c>
      <c r="AL17" s="68">
        <v>0</v>
      </c>
      <c r="AM17" s="68">
        <v>0</v>
      </c>
      <c r="AN17" s="68">
        <v>0</v>
      </c>
      <c r="AO17" s="68">
        <v>0</v>
      </c>
      <c r="AP17" s="68">
        <v>1188709.6774193549</v>
      </c>
      <c r="AQ17" s="68">
        <v>1208064.5161290322</v>
      </c>
      <c r="AR17" s="68">
        <v>0</v>
      </c>
      <c r="AS17" s="68">
        <v>1280000</v>
      </c>
      <c r="AT17" s="68">
        <v>1540000</v>
      </c>
      <c r="AU17" s="68">
        <v>0</v>
      </c>
      <c r="AV17" s="68">
        <v>0</v>
      </c>
      <c r="AW17" s="68">
        <v>0</v>
      </c>
      <c r="AX17" s="68">
        <v>1100000</v>
      </c>
      <c r="AY17" s="68">
        <v>1600000</v>
      </c>
      <c r="AZ17" s="68">
        <v>0</v>
      </c>
      <c r="BA17" s="68">
        <v>0</v>
      </c>
      <c r="BB17" s="68">
        <v>528064.51612903224</v>
      </c>
      <c r="BC17" s="68">
        <v>1701935.4838709678</v>
      </c>
    </row>
    <row r="18" spans="1:57" s="68" customFormat="1" ht="13" x14ac:dyDescent="0.3">
      <c r="A18" s="129"/>
      <c r="B18" s="121" t="s">
        <v>17</v>
      </c>
      <c r="C18" s="62">
        <f t="shared" si="0"/>
        <v>60799569.892473117</v>
      </c>
      <c r="D18" s="68">
        <v>780000</v>
      </c>
      <c r="E18" s="68">
        <v>1480000</v>
      </c>
      <c r="F18" s="68">
        <v>1380000</v>
      </c>
      <c r="G18" s="68">
        <v>2265000</v>
      </c>
      <c r="H18" s="68">
        <v>1770000</v>
      </c>
      <c r="I18" s="68">
        <v>1020000</v>
      </c>
      <c r="J18" s="68">
        <v>1050000</v>
      </c>
      <c r="K18" s="68">
        <v>900000</v>
      </c>
      <c r="L18" s="68">
        <v>1620000</v>
      </c>
      <c r="M18" s="68">
        <v>2202580.6451612902</v>
      </c>
      <c r="N18" s="68">
        <v>1500000</v>
      </c>
      <c r="O18" s="86">
        <v>1358709.6774193549</v>
      </c>
      <c r="P18" s="68">
        <v>2340000</v>
      </c>
      <c r="Q18" s="68">
        <v>960000</v>
      </c>
      <c r="R18" s="68">
        <v>810000</v>
      </c>
      <c r="S18" s="68">
        <v>850000</v>
      </c>
      <c r="T18" s="68">
        <v>480000</v>
      </c>
      <c r="U18" s="68">
        <v>1625806.4516129033</v>
      </c>
      <c r="V18" s="68">
        <v>930000</v>
      </c>
      <c r="W18" s="68">
        <v>900000</v>
      </c>
      <c r="X18" s="68">
        <v>503225.80645161291</v>
      </c>
      <c r="Y18" s="68">
        <v>630000</v>
      </c>
      <c r="Z18" s="68">
        <v>1272903.2258064516</v>
      </c>
      <c r="AA18" s="68">
        <v>1091612.9032258063</v>
      </c>
      <c r="AB18" s="68">
        <v>455000</v>
      </c>
      <c r="AC18" s="68">
        <v>900000</v>
      </c>
      <c r="AD18" s="68">
        <v>850000</v>
      </c>
      <c r="AE18" s="68">
        <v>440000</v>
      </c>
      <c r="AF18" s="68">
        <v>596666.66666666663</v>
      </c>
      <c r="AG18" s="68">
        <v>944516.12903225806</v>
      </c>
      <c r="AH18" s="68">
        <v>1066451.6129032257</v>
      </c>
      <c r="AI18" s="68">
        <v>570000</v>
      </c>
      <c r="AJ18" s="68">
        <v>2410000</v>
      </c>
      <c r="AK18" s="68">
        <v>1050000</v>
      </c>
      <c r="AL18" s="68">
        <v>1025000</v>
      </c>
      <c r="AM18" s="68">
        <v>1470000</v>
      </c>
      <c r="AN18" s="68">
        <v>689032.25806451612</v>
      </c>
      <c r="AO18" s="68">
        <v>540000</v>
      </c>
      <c r="AP18" s="68">
        <v>1426451.6129032257</v>
      </c>
      <c r="AQ18" s="68">
        <v>2069032.2580645161</v>
      </c>
      <c r="AR18" s="68">
        <v>750000</v>
      </c>
      <c r="AS18" s="68">
        <v>1530000</v>
      </c>
      <c r="AT18" s="68">
        <v>1780000</v>
      </c>
      <c r="AU18" s="68">
        <v>702580.6451612903</v>
      </c>
      <c r="AV18" s="68">
        <v>840000</v>
      </c>
      <c r="AW18" s="68">
        <v>900000</v>
      </c>
      <c r="AX18" s="68">
        <v>1680000</v>
      </c>
      <c r="AY18" s="68">
        <v>1895000</v>
      </c>
      <c r="AZ18" s="68">
        <v>1020000</v>
      </c>
      <c r="BA18" s="68">
        <v>840000</v>
      </c>
      <c r="BB18" s="68">
        <v>598064.51612903224</v>
      </c>
      <c r="BC18" s="68">
        <v>2041935.4838709678</v>
      </c>
    </row>
    <row r="19" spans="1:57" s="68" customFormat="1" ht="13" x14ac:dyDescent="0.3">
      <c r="A19" s="130"/>
      <c r="B19" s="80" t="s">
        <v>18</v>
      </c>
      <c r="C19" s="62">
        <f>SUM(C12:C18)</f>
        <v>895335161.29032254</v>
      </c>
      <c r="D19" s="81">
        <f t="shared" ref="D19:BA19" si="1">SUM(D12:D18)</f>
        <v>12334000</v>
      </c>
      <c r="E19" s="81">
        <f t="shared" si="1"/>
        <v>15790000</v>
      </c>
      <c r="F19" s="81">
        <f t="shared" si="1"/>
        <v>14728000</v>
      </c>
      <c r="G19" s="81">
        <f t="shared" si="1"/>
        <v>24062000</v>
      </c>
      <c r="H19" s="81">
        <f>SUM(H12:H18)</f>
        <v>21396000</v>
      </c>
      <c r="I19" s="81">
        <f t="shared" si="1"/>
        <v>16892000</v>
      </c>
      <c r="J19" s="81">
        <f t="shared" si="1"/>
        <v>17573000</v>
      </c>
      <c r="K19" s="81">
        <f>SUM(K12:K18)</f>
        <v>9369000</v>
      </c>
      <c r="L19" s="81">
        <f t="shared" si="1"/>
        <v>29157000</v>
      </c>
      <c r="M19" s="81">
        <f t="shared" si="1"/>
        <v>27941612.903225806</v>
      </c>
      <c r="N19" s="81">
        <f>SUM(N12:N18)</f>
        <v>20475200</v>
      </c>
      <c r="O19" s="81">
        <f t="shared" si="1"/>
        <v>24557548.38709677</v>
      </c>
      <c r="P19" s="81">
        <f t="shared" si="1"/>
        <v>24237000</v>
      </c>
      <c r="Q19" s="81">
        <f t="shared" si="1"/>
        <v>13819000</v>
      </c>
      <c r="R19" s="81">
        <f t="shared" si="1"/>
        <v>21172500</v>
      </c>
      <c r="S19" s="81">
        <f t="shared" si="1"/>
        <v>10481000</v>
      </c>
      <c r="T19" s="81">
        <f t="shared" si="1"/>
        <v>6474000</v>
      </c>
      <c r="U19" s="81">
        <f t="shared" si="1"/>
        <v>22810935.483870968</v>
      </c>
      <c r="V19" s="81">
        <f t="shared" si="1"/>
        <v>11527000</v>
      </c>
      <c r="W19" s="81">
        <f t="shared" si="1"/>
        <v>15314000</v>
      </c>
      <c r="X19" s="81">
        <f t="shared" si="1"/>
        <v>11468451.612903226</v>
      </c>
      <c r="Y19" s="81">
        <f t="shared" si="1"/>
        <v>11892000</v>
      </c>
      <c r="Z19" s="81">
        <f t="shared" si="1"/>
        <v>30744354.838709682</v>
      </c>
      <c r="AA19" s="81">
        <f t="shared" si="1"/>
        <v>17472645.161290321</v>
      </c>
      <c r="AB19" s="81">
        <f t="shared" si="1"/>
        <v>6422000</v>
      </c>
      <c r="AC19" s="81">
        <f t="shared" si="1"/>
        <v>10854200</v>
      </c>
      <c r="AD19" s="81">
        <f t="shared" si="1"/>
        <v>13791000</v>
      </c>
      <c r="AE19" s="81">
        <f>SUM(AE12:AE18)</f>
        <v>6564000</v>
      </c>
      <c r="AF19" s="81">
        <f t="shared" si="1"/>
        <v>14164999.999999998</v>
      </c>
      <c r="AG19" s="81">
        <f>SUM(AG12:AG18)</f>
        <v>14494774.193548387</v>
      </c>
      <c r="AH19" s="81">
        <f t="shared" si="1"/>
        <v>15747416.12903226</v>
      </c>
      <c r="AI19" s="81">
        <f t="shared" si="1"/>
        <v>9760000</v>
      </c>
      <c r="AJ19" s="81">
        <f t="shared" si="1"/>
        <v>31737000</v>
      </c>
      <c r="AK19" s="81">
        <f t="shared" si="1"/>
        <v>15568000</v>
      </c>
      <c r="AL19" s="81">
        <f t="shared" si="1"/>
        <v>16610000</v>
      </c>
      <c r="AM19" s="81">
        <f t="shared" si="1"/>
        <v>23512000</v>
      </c>
      <c r="AN19" s="81">
        <f t="shared" si="1"/>
        <v>8599483.8709677421</v>
      </c>
      <c r="AO19" s="81">
        <f t="shared" si="1"/>
        <v>7764500</v>
      </c>
      <c r="AP19" s="81">
        <f t="shared" si="1"/>
        <v>14547322.580645163</v>
      </c>
      <c r="AQ19" s="81">
        <f t="shared" si="1"/>
        <v>32973016.129032258</v>
      </c>
      <c r="AR19" s="81">
        <f>SUM(AR12:AR18)</f>
        <v>10103000</v>
      </c>
      <c r="AS19" s="81">
        <f>SUM(AS12:AS18)</f>
        <v>19223000</v>
      </c>
      <c r="AT19" s="81">
        <f t="shared" si="1"/>
        <v>39815000</v>
      </c>
      <c r="AU19" s="81">
        <f t="shared" si="1"/>
        <v>10614645.161290321</v>
      </c>
      <c r="AV19" s="81">
        <f>SUM(AV12:AV18)</f>
        <v>12345600</v>
      </c>
      <c r="AW19" s="81">
        <f t="shared" si="1"/>
        <v>9161000</v>
      </c>
      <c r="AX19" s="81">
        <f>SUM(AX12:AX18)</f>
        <v>20570000</v>
      </c>
      <c r="AY19" s="81">
        <f t="shared" si="1"/>
        <v>28842000</v>
      </c>
      <c r="AZ19" s="81">
        <f t="shared" si="1"/>
        <v>12485600</v>
      </c>
      <c r="BA19" s="81">
        <f t="shared" si="1"/>
        <v>10449000</v>
      </c>
      <c r="BB19" s="81">
        <f>SUM(BB12:BB18)</f>
        <v>13570322.580645159</v>
      </c>
      <c r="BC19" s="81">
        <f>SUM(BC12:BC18)</f>
        <v>33358032.258064516</v>
      </c>
    </row>
    <row r="20" spans="1:57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E20" s="68"/>
    </row>
    <row r="21" spans="1:57" s="68" customFormat="1" ht="38.5" customHeight="1" x14ac:dyDescent="0.3">
      <c r="A21" s="62" t="s">
        <v>19</v>
      </c>
      <c r="B21" s="67" t="s">
        <v>20</v>
      </c>
      <c r="C21" s="67">
        <f t="shared" ref="C21:C28" si="2">SUM(D21:BC21)</f>
        <v>2045333333.3333335</v>
      </c>
      <c r="D21" s="82">
        <v>24000000</v>
      </c>
      <c r="E21" s="83">
        <v>51000000</v>
      </c>
      <c r="F21" s="83">
        <v>42666666.666666664</v>
      </c>
      <c r="G21" s="82">
        <v>47800000</v>
      </c>
      <c r="H21" s="82">
        <v>45000000</v>
      </c>
      <c r="I21" s="82">
        <v>38000000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50000000</v>
      </c>
      <c r="P21" s="82">
        <v>61000000</v>
      </c>
      <c r="Q21" s="82">
        <v>30800000</v>
      </c>
      <c r="R21" s="82">
        <v>48000000</v>
      </c>
      <c r="S21" s="82">
        <v>25000000</v>
      </c>
      <c r="T21" s="82">
        <v>11000000</v>
      </c>
      <c r="U21" s="82">
        <v>56000000</v>
      </c>
      <c r="V21" s="82">
        <v>32333333.333333332</v>
      </c>
      <c r="W21" s="82">
        <v>37833333.333333336</v>
      </c>
      <c r="X21" s="82">
        <v>23333333.333333332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38750000</v>
      </c>
      <c r="AE21" s="82">
        <v>11250000</v>
      </c>
      <c r="AF21" s="82">
        <v>37000000</v>
      </c>
      <c r="AG21" s="82">
        <v>30000000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26666666.666666668</v>
      </c>
      <c r="AV21" s="82">
        <v>26000000</v>
      </c>
      <c r="AW21" s="82">
        <v>19500000</v>
      </c>
      <c r="AX21" s="82">
        <v>60000000</v>
      </c>
      <c r="AY21" s="82">
        <v>50000000</v>
      </c>
      <c r="AZ21" s="82">
        <v>30000000</v>
      </c>
      <c r="BA21" s="82">
        <v>16000000</v>
      </c>
      <c r="BB21" s="82">
        <v>41000000</v>
      </c>
      <c r="BC21" s="82">
        <v>95000000</v>
      </c>
    </row>
    <row r="22" spans="1:57" s="68" customFormat="1" ht="39" customHeight="1" x14ac:dyDescent="0.3">
      <c r="A22" s="84" t="s">
        <v>21</v>
      </c>
      <c r="C22" s="67">
        <f t="shared" si="2"/>
        <v>12570000</v>
      </c>
      <c r="D22" s="82"/>
      <c r="E22" s="82"/>
      <c r="F22" s="82"/>
      <c r="G22" s="82">
        <v>3440000</v>
      </c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>
        <v>2400000</v>
      </c>
      <c r="T22" s="82"/>
      <c r="U22" s="82"/>
      <c r="V22" s="82">
        <v>700000</v>
      </c>
      <c r="W22" s="83"/>
      <c r="X22" s="82">
        <v>1400000</v>
      </c>
      <c r="Y22" s="82"/>
      <c r="Z22" s="82"/>
      <c r="AA22" s="82">
        <v>1700000</v>
      </c>
      <c r="AB22" s="82"/>
      <c r="AC22" s="82"/>
      <c r="AD22" s="82"/>
      <c r="AE22" s="82"/>
      <c r="AF22" s="82"/>
      <c r="AG22" s="82">
        <v>1680000</v>
      </c>
      <c r="AH22" s="82"/>
      <c r="AI22" s="82"/>
      <c r="AJ22" s="82"/>
      <c r="AK22" s="82"/>
      <c r="AL22" s="82"/>
      <c r="AM22" s="82"/>
      <c r="AN22" s="82">
        <v>1250000</v>
      </c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</row>
    <row r="23" spans="1:57" s="68" customFormat="1" ht="20.5" customHeight="1" x14ac:dyDescent="0.3">
      <c r="A23" s="131" t="s">
        <v>22</v>
      </c>
      <c r="B23" s="67" t="s">
        <v>23</v>
      </c>
      <c r="C23" s="67">
        <f t="shared" si="2"/>
        <v>482783854</v>
      </c>
      <c r="D23" s="82">
        <v>3531730</v>
      </c>
      <c r="E23" s="83">
        <v>7639229</v>
      </c>
      <c r="F23" s="83">
        <v>7006867</v>
      </c>
      <c r="G23" s="83">
        <v>14472994</v>
      </c>
      <c r="H23" s="82">
        <v>13346165</v>
      </c>
      <c r="I23" s="83">
        <v>6205403.6000000006</v>
      </c>
      <c r="J23" s="82">
        <v>9308105.4000000004</v>
      </c>
      <c r="K23" s="83">
        <v>6421874</v>
      </c>
      <c r="L23" s="83">
        <v>12885415</v>
      </c>
      <c r="M23" s="83">
        <v>12790310</v>
      </c>
      <c r="N23" s="82">
        <v>9412805</v>
      </c>
      <c r="O23" s="82">
        <v>15988082</v>
      </c>
      <c r="P23" s="82">
        <v>9461642</v>
      </c>
      <c r="Q23" s="82">
        <v>7109726</v>
      </c>
      <c r="R23" s="82">
        <v>8482557</v>
      </c>
      <c r="S23" s="82">
        <v>4379962</v>
      </c>
      <c r="T23" s="83">
        <v>3114806</v>
      </c>
      <c r="U23" s="83">
        <v>14209366</v>
      </c>
      <c r="V23" s="82">
        <v>5238475</v>
      </c>
      <c r="W23" s="83">
        <v>6778145</v>
      </c>
      <c r="X23" s="82">
        <v>5084251</v>
      </c>
      <c r="Y23" s="83">
        <v>7004815</v>
      </c>
      <c r="Z23" s="83">
        <v>16599643</v>
      </c>
      <c r="AA23" s="83">
        <v>10219835</v>
      </c>
      <c r="AB23" s="83">
        <v>3346488</v>
      </c>
      <c r="AC23" s="83">
        <v>7314970</v>
      </c>
      <c r="AD23" s="83">
        <v>6006511.5999999996</v>
      </c>
      <c r="AE23" s="83">
        <v>3383674.4000000004</v>
      </c>
      <c r="AF23" s="83">
        <v>6976066</v>
      </c>
      <c r="AG23" s="83">
        <v>5814245</v>
      </c>
      <c r="AH23" s="83">
        <v>8446334</v>
      </c>
      <c r="AI23" s="83">
        <v>5932354</v>
      </c>
      <c r="AJ23" s="83">
        <v>19799618</v>
      </c>
      <c r="AK23" s="83">
        <v>7122578</v>
      </c>
      <c r="AL23" s="83">
        <v>11607582</v>
      </c>
      <c r="AM23" s="83">
        <v>12249405</v>
      </c>
      <c r="AN23" s="83">
        <v>5704409</v>
      </c>
      <c r="AO23" s="83">
        <v>4228308</v>
      </c>
      <c r="AP23" s="122">
        <v>7191979</v>
      </c>
      <c r="AQ23" s="83">
        <v>15527031</v>
      </c>
      <c r="AR23" s="83">
        <v>6294823</v>
      </c>
      <c r="AS23" s="83">
        <v>9595303</v>
      </c>
      <c r="AT23" s="83">
        <v>25279819</v>
      </c>
      <c r="AU23" s="83">
        <v>4125492</v>
      </c>
      <c r="AV23" s="83">
        <v>7329917</v>
      </c>
      <c r="AW23" s="83">
        <v>4630263</v>
      </c>
      <c r="AX23" s="83">
        <v>15539666</v>
      </c>
      <c r="AY23" s="83">
        <v>19153152</v>
      </c>
      <c r="AZ23" s="83">
        <v>6963710</v>
      </c>
      <c r="BA23" s="83">
        <v>5837248</v>
      </c>
      <c r="BB23" s="83">
        <v>10386619</v>
      </c>
      <c r="BC23" s="83">
        <v>20304086</v>
      </c>
    </row>
    <row r="24" spans="1:57" s="68" customFormat="1" ht="20.5" customHeight="1" x14ac:dyDescent="0.3">
      <c r="A24" s="131"/>
      <c r="B24" s="68" t="s">
        <v>24</v>
      </c>
      <c r="C24" s="67">
        <f t="shared" si="2"/>
        <v>109083951.66666666</v>
      </c>
      <c r="D24" s="82">
        <v>799250</v>
      </c>
      <c r="E24" s="83">
        <v>2446050</v>
      </c>
      <c r="F24" s="83">
        <v>1420250</v>
      </c>
      <c r="G24" s="83">
        <v>150000</v>
      </c>
      <c r="H24" s="82">
        <v>4468900</v>
      </c>
      <c r="I24" s="83">
        <v>3058000</v>
      </c>
      <c r="J24" s="82">
        <v>3908333.3333333335</v>
      </c>
      <c r="K24" s="83">
        <v>1356666.6666666667</v>
      </c>
      <c r="L24" s="83">
        <v>3808333.3333333335</v>
      </c>
      <c r="M24" s="83">
        <v>3483333.3333333335</v>
      </c>
      <c r="N24" s="82">
        <v>1000000</v>
      </c>
      <c r="O24" s="82">
        <v>3666200</v>
      </c>
      <c r="P24" s="82">
        <v>5425700</v>
      </c>
      <c r="Q24" s="82">
        <v>457700</v>
      </c>
      <c r="R24" s="82">
        <v>2767360</v>
      </c>
      <c r="S24" s="82">
        <v>1700850</v>
      </c>
      <c r="T24" s="82">
        <v>0</v>
      </c>
      <c r="U24" s="83">
        <v>3345350</v>
      </c>
      <c r="V24" s="82">
        <v>675050</v>
      </c>
      <c r="W24" s="83">
        <v>1233950</v>
      </c>
      <c r="X24" s="82">
        <v>2103350</v>
      </c>
      <c r="Y24" s="82">
        <v>1773200</v>
      </c>
      <c r="Z24" s="83">
        <v>4100000</v>
      </c>
      <c r="AA24" s="83">
        <v>2673750</v>
      </c>
      <c r="AB24" s="83">
        <v>488750</v>
      </c>
      <c r="AC24" s="83">
        <v>1606550</v>
      </c>
      <c r="AD24" s="83">
        <v>772800</v>
      </c>
      <c r="AE24" s="83">
        <v>515200</v>
      </c>
      <c r="AF24" s="83">
        <v>1265000</v>
      </c>
      <c r="AG24" s="83">
        <v>1470000</v>
      </c>
      <c r="AH24" s="83">
        <v>3115350</v>
      </c>
      <c r="AI24" s="83">
        <v>985550</v>
      </c>
      <c r="AJ24" s="83">
        <v>3057850</v>
      </c>
      <c r="AK24" s="83">
        <v>1327100</v>
      </c>
      <c r="AL24" s="83">
        <v>938000</v>
      </c>
      <c r="AM24" s="83">
        <v>4728800</v>
      </c>
      <c r="AN24" s="83">
        <v>675050</v>
      </c>
      <c r="AO24" s="83">
        <v>0</v>
      </c>
      <c r="AP24" s="83">
        <v>2103350</v>
      </c>
      <c r="AQ24" s="83">
        <v>5308000</v>
      </c>
      <c r="AR24" s="83">
        <v>733700</v>
      </c>
      <c r="AS24" s="83">
        <v>2072300</v>
      </c>
      <c r="AT24" s="83">
        <v>5041600</v>
      </c>
      <c r="AU24" s="83">
        <v>799250</v>
      </c>
      <c r="AV24" s="83">
        <v>3276350</v>
      </c>
      <c r="AW24" s="83">
        <v>1140800</v>
      </c>
      <c r="AX24" s="83">
        <v>0</v>
      </c>
      <c r="AY24" s="83">
        <v>3997400</v>
      </c>
      <c r="AZ24" s="83">
        <v>1652600</v>
      </c>
      <c r="BA24" s="83">
        <v>902175</v>
      </c>
      <c r="BB24" s="83">
        <v>1413350</v>
      </c>
      <c r="BC24" s="83">
        <v>3875500</v>
      </c>
    </row>
    <row r="25" spans="1:57" s="68" customFormat="1" ht="19" customHeight="1" x14ac:dyDescent="0.3">
      <c r="A25" s="131"/>
      <c r="B25" s="67" t="s">
        <v>25</v>
      </c>
      <c r="C25" s="67">
        <f t="shared" si="2"/>
        <v>17521729.583333332</v>
      </c>
      <c r="D25" s="82">
        <v>280000</v>
      </c>
      <c r="E25" s="83">
        <v>437900</v>
      </c>
      <c r="F25" s="83"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260000</v>
      </c>
      <c r="T25" s="82">
        <v>220000</v>
      </c>
      <c r="U25" s="83">
        <v>545000</v>
      </c>
      <c r="V25" s="82">
        <v>300000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537500</v>
      </c>
      <c r="AK25" s="83">
        <v>245000</v>
      </c>
      <c r="AL25" s="83">
        <v>450000</v>
      </c>
      <c r="AM25" s="83">
        <v>639996</v>
      </c>
      <c r="AN25" s="83">
        <v>336500</v>
      </c>
      <c r="AO25" s="83">
        <v>235000</v>
      </c>
      <c r="AP25" s="83">
        <v>215000</v>
      </c>
      <c r="AQ25" s="83">
        <v>470000</v>
      </c>
      <c r="AR25" s="83">
        <v>235000</v>
      </c>
      <c r="AS25" s="83">
        <v>270000</v>
      </c>
      <c r="AT25" s="83">
        <v>785000</v>
      </c>
      <c r="AU25" s="83">
        <v>235000</v>
      </c>
      <c r="AV25" s="83">
        <v>240000</v>
      </c>
      <c r="AW25" s="83">
        <v>235000</v>
      </c>
      <c r="AX25" s="83">
        <v>235000</v>
      </c>
      <c r="AY25" s="83">
        <v>235000</v>
      </c>
      <c r="AZ25" s="83">
        <v>235000</v>
      </c>
      <c r="BA25" s="83">
        <v>240000</v>
      </c>
      <c r="BB25" s="83">
        <v>240000</v>
      </c>
      <c r="BC25" s="83">
        <v>480000</v>
      </c>
    </row>
    <row r="26" spans="1:57" s="68" customFormat="1" ht="18.5" customHeight="1" x14ac:dyDescent="0.3">
      <c r="A26" s="131"/>
      <c r="B26" s="67" t="s">
        <v>26</v>
      </c>
      <c r="C26" s="67">
        <f t="shared" si="2"/>
        <v>11510000</v>
      </c>
      <c r="D26" s="82">
        <v>200000</v>
      </c>
      <c r="E26" s="82">
        <v>300000</v>
      </c>
      <c r="F26" s="83">
        <v>300000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300000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3">
        <v>300000</v>
      </c>
      <c r="V26" s="82">
        <v>200000</v>
      </c>
      <c r="W26" s="83">
        <v>200000</v>
      </c>
      <c r="X26" s="82">
        <v>200000</v>
      </c>
      <c r="Y26" s="82"/>
      <c r="Z26" s="83">
        <v>300000</v>
      </c>
      <c r="AA26" s="83">
        <v>500000</v>
      </c>
      <c r="AB26" s="83">
        <v>300000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/>
      <c r="AJ26" s="83">
        <v>300000</v>
      </c>
      <c r="AK26" s="83">
        <v>300000</v>
      </c>
      <c r="AL26" s="83">
        <v>200000</v>
      </c>
      <c r="AM26" s="83">
        <v>300000</v>
      </c>
      <c r="AN26" s="83">
        <v>300000</v>
      </c>
      <c r="AO26" s="83"/>
      <c r="AP26" s="83">
        <v>250000</v>
      </c>
      <c r="AQ26" s="83">
        <v>400000</v>
      </c>
      <c r="AR26" s="83">
        <v>300000</v>
      </c>
      <c r="AS26" s="83"/>
      <c r="AT26" s="83">
        <v>500000</v>
      </c>
      <c r="AU26" s="83">
        <v>300000</v>
      </c>
      <c r="AV26" s="83">
        <v>300000</v>
      </c>
      <c r="AW26" s="83">
        <v>250000</v>
      </c>
      <c r="AX26" s="83">
        <v>500000</v>
      </c>
      <c r="AY26" s="83">
        <v>300000</v>
      </c>
      <c r="AZ26" s="83"/>
      <c r="BA26" s="83">
        <v>300000</v>
      </c>
      <c r="BB26" s="83">
        <v>250000</v>
      </c>
      <c r="BC26" s="83">
        <v>300000</v>
      </c>
    </row>
    <row r="27" spans="1:57" s="68" customFormat="1" ht="17.5" customHeight="1" x14ac:dyDescent="0.35">
      <c r="A27" s="131"/>
      <c r="B27" s="67" t="s">
        <v>27</v>
      </c>
      <c r="C27" s="67">
        <f t="shared" si="2"/>
        <v>0</v>
      </c>
      <c r="D27" s="82"/>
      <c r="F27" s="83"/>
      <c r="H27" s="82"/>
      <c r="I27" s="82"/>
      <c r="J27" s="83"/>
      <c r="K27" s="83"/>
      <c r="L27" s="82"/>
      <c r="M27" s="83"/>
      <c r="N27" s="82"/>
      <c r="U27" s="83"/>
      <c r="W27" s="83"/>
      <c r="AA27" s="83"/>
      <c r="AU27" s="89"/>
    </row>
    <row r="28" spans="1:57" s="68" customFormat="1" ht="19.5" customHeight="1" x14ac:dyDescent="0.3">
      <c r="A28" s="131"/>
      <c r="B28" s="67" t="s">
        <v>28</v>
      </c>
      <c r="C28" s="67">
        <f t="shared" si="2"/>
        <v>1000000</v>
      </c>
      <c r="F28" s="82"/>
      <c r="I28" s="82"/>
      <c r="L28" s="82"/>
      <c r="M28" s="82">
        <v>333333.33333333331</v>
      </c>
      <c r="N28" s="82"/>
      <c r="S28" s="68">
        <v>333333.33333333331</v>
      </c>
      <c r="U28" s="83"/>
      <c r="AQ28" s="68">
        <v>333333.33333333331</v>
      </c>
    </row>
    <row r="29" spans="1:57" s="64" customFormat="1" ht="13" x14ac:dyDescent="0.3">
      <c r="A29" s="88" t="s">
        <v>29</v>
      </c>
      <c r="B29" s="60"/>
      <c r="C29" s="62">
        <f>SUM(C21:C28)</f>
        <v>2679802868.5833335</v>
      </c>
      <c r="D29" s="60">
        <f t="shared" ref="D29:BC29" si="3">SUM(D21:D28)</f>
        <v>28810980</v>
      </c>
      <c r="E29" s="60">
        <f t="shared" si="3"/>
        <v>61823179</v>
      </c>
      <c r="F29" s="60">
        <f t="shared" si="3"/>
        <v>51653783.666666664</v>
      </c>
      <c r="G29" s="60">
        <f t="shared" si="3"/>
        <v>66407994</v>
      </c>
      <c r="H29" s="60">
        <f t="shared" si="3"/>
        <v>63275065</v>
      </c>
      <c r="I29" s="60">
        <f>SUM(I21:I28)</f>
        <v>47675903.850000001</v>
      </c>
      <c r="J29" s="60">
        <f t="shared" si="3"/>
        <v>49628938.733333334</v>
      </c>
      <c r="K29" s="60">
        <f t="shared" si="3"/>
        <v>30191040.666666668</v>
      </c>
      <c r="L29" s="60">
        <f t="shared" si="3"/>
        <v>91006248.333333328</v>
      </c>
      <c r="M29" s="60">
        <f t="shared" si="3"/>
        <v>82206976.666666657</v>
      </c>
      <c r="N29" s="60">
        <f t="shared" si="3"/>
        <v>57057805</v>
      </c>
      <c r="O29" s="60">
        <f t="shared" si="3"/>
        <v>70254282</v>
      </c>
      <c r="P29" s="60">
        <f t="shared" si="3"/>
        <v>76582342</v>
      </c>
      <c r="Q29" s="60">
        <f t="shared" si="3"/>
        <v>38737426</v>
      </c>
      <c r="R29" s="60">
        <f t="shared" si="3"/>
        <v>59819917</v>
      </c>
      <c r="S29" s="60">
        <f t="shared" si="3"/>
        <v>34374145.333333336</v>
      </c>
      <c r="T29" s="60">
        <f t="shared" si="3"/>
        <v>14334806</v>
      </c>
      <c r="U29" s="60">
        <f t="shared" si="3"/>
        <v>74399716</v>
      </c>
      <c r="V29" s="60">
        <f t="shared" si="3"/>
        <v>39446858.333333328</v>
      </c>
      <c r="W29" s="60">
        <f t="shared" si="3"/>
        <v>46375428.333333336</v>
      </c>
      <c r="X29" s="60">
        <f t="shared" si="3"/>
        <v>32450934.333333332</v>
      </c>
      <c r="Y29" s="60">
        <f t="shared" si="3"/>
        <v>22998015</v>
      </c>
      <c r="Z29" s="60">
        <f t="shared" si="3"/>
        <v>64564643</v>
      </c>
      <c r="AA29" s="60">
        <f t="shared" si="3"/>
        <v>57623418.333333336</v>
      </c>
      <c r="AB29" s="60">
        <f t="shared" si="3"/>
        <v>14880238</v>
      </c>
      <c r="AC29" s="60">
        <f t="shared" si="3"/>
        <v>38121520</v>
      </c>
      <c r="AD29" s="60">
        <f t="shared" si="3"/>
        <v>45999311.600000001</v>
      </c>
      <c r="AE29" s="60">
        <f t="shared" si="3"/>
        <v>15618874.4</v>
      </c>
      <c r="AF29" s="60">
        <f t="shared" si="3"/>
        <v>45721066</v>
      </c>
      <c r="AG29" s="60">
        <f t="shared" si="3"/>
        <v>39109245</v>
      </c>
      <c r="AH29" s="60">
        <f>SUM(AH21:AH28)</f>
        <v>48406684</v>
      </c>
      <c r="AI29" s="60">
        <f t="shared" si="3"/>
        <v>17137904</v>
      </c>
      <c r="AJ29" s="60">
        <f t="shared" si="3"/>
        <v>85694968</v>
      </c>
      <c r="AK29" s="60">
        <f t="shared" si="3"/>
        <v>45994678</v>
      </c>
      <c r="AL29" s="60">
        <f t="shared" si="3"/>
        <v>48195582</v>
      </c>
      <c r="AM29" s="60">
        <f t="shared" si="3"/>
        <v>67918201</v>
      </c>
      <c r="AN29" s="60">
        <f t="shared" si="3"/>
        <v>27265959</v>
      </c>
      <c r="AO29" s="60">
        <f t="shared" si="3"/>
        <v>14463308</v>
      </c>
      <c r="AP29" s="60">
        <f t="shared" si="3"/>
        <v>45760329</v>
      </c>
      <c r="AQ29" s="60">
        <f t="shared" si="3"/>
        <v>102038364.33333333</v>
      </c>
      <c r="AR29" s="60">
        <f t="shared" si="3"/>
        <v>33563523</v>
      </c>
      <c r="AS29" s="60">
        <f t="shared" si="3"/>
        <v>65237603</v>
      </c>
      <c r="AT29" s="60">
        <f t="shared" si="3"/>
        <v>136606419</v>
      </c>
      <c r="AU29" s="60">
        <f t="shared" si="3"/>
        <v>32126408.666666668</v>
      </c>
      <c r="AV29" s="60">
        <f t="shared" si="3"/>
        <v>37146267</v>
      </c>
      <c r="AW29" s="60">
        <f t="shared" si="3"/>
        <v>25756063</v>
      </c>
      <c r="AX29" s="60">
        <f t="shared" si="3"/>
        <v>76274666</v>
      </c>
      <c r="AY29" s="60">
        <f t="shared" si="3"/>
        <v>73685552</v>
      </c>
      <c r="AZ29" s="60">
        <f t="shared" si="3"/>
        <v>38851310</v>
      </c>
      <c r="BA29" s="60">
        <f t="shared" si="3"/>
        <v>23279423</v>
      </c>
      <c r="BB29" s="60">
        <f t="shared" si="3"/>
        <v>53289969</v>
      </c>
      <c r="BC29" s="60">
        <f t="shared" si="3"/>
        <v>119959586</v>
      </c>
      <c r="BE29" s="68"/>
    </row>
    <row r="30" spans="1:57" s="68" customFormat="1" ht="24" customHeight="1" x14ac:dyDescent="0.3">
      <c r="A30" s="132" t="s">
        <v>30</v>
      </c>
      <c r="B30" s="67" t="s">
        <v>31</v>
      </c>
      <c r="C30" s="67">
        <f t="shared" ref="C30:C43" si="4">SUM(D30:BC30)</f>
        <v>78660237.788004294</v>
      </c>
      <c r="D30" s="82">
        <v>820285.42113143648</v>
      </c>
      <c r="E30" s="83">
        <v>2057201.2438739149</v>
      </c>
      <c r="F30" s="83">
        <v>1525384.4239931121</v>
      </c>
      <c r="G30" s="82">
        <v>2247071.2758573671</v>
      </c>
      <c r="H30" s="83">
        <v>1831132.6018225776</v>
      </c>
      <c r="I30" s="82">
        <v>1538993.144907038</v>
      </c>
      <c r="J30" s="82">
        <v>1595293.0291943145</v>
      </c>
      <c r="K30" s="82">
        <v>1168461.4806814482</v>
      </c>
      <c r="L30" s="83">
        <v>2472045.6407792503</v>
      </c>
      <c r="M30" s="82">
        <v>2162203.3312019054</v>
      </c>
      <c r="N30" s="82">
        <v>1611542.0091414577</v>
      </c>
      <c r="O30" s="82">
        <v>1824729.2554708158</v>
      </c>
      <c r="P30" s="82">
        <v>2131968.9662403022</v>
      </c>
      <c r="Q30" s="82">
        <v>1287000</v>
      </c>
      <c r="R30" s="82">
        <v>1402294.5452826917</v>
      </c>
      <c r="S30" s="82">
        <v>1152000</v>
      </c>
      <c r="T30" s="83">
        <v>791214.97430511261</v>
      </c>
      <c r="U30" s="83">
        <v>2154154.01634409</v>
      </c>
      <c r="V30" s="83">
        <v>1162034.0305412696</v>
      </c>
      <c r="W30" s="83">
        <v>1183510.6560776283</v>
      </c>
      <c r="X30" s="82">
        <v>1023285.3609352953</v>
      </c>
      <c r="Y30" s="82">
        <v>718189.96415770613</v>
      </c>
      <c r="Z30" s="82">
        <v>1536591.7340520269</v>
      </c>
      <c r="AA30" s="82">
        <v>1626587.8649653038</v>
      </c>
      <c r="AB30" s="82">
        <v>890842.1052631581</v>
      </c>
      <c r="AC30" s="82">
        <v>955427.97645462211</v>
      </c>
      <c r="AD30" s="82">
        <v>1276791.3494427893</v>
      </c>
      <c r="AE30" s="82">
        <v>815228.07946534164</v>
      </c>
      <c r="AF30" s="82">
        <v>1280638.2978723405</v>
      </c>
      <c r="AG30" s="82">
        <v>1303952.2135231127</v>
      </c>
      <c r="AH30" s="82">
        <v>1661278.9869459867</v>
      </c>
      <c r="AI30" s="82">
        <v>937686.21014289721</v>
      </c>
      <c r="AJ30" s="83">
        <v>2069752.3197171823</v>
      </c>
      <c r="AK30" s="82">
        <v>1196867.2177461546</v>
      </c>
      <c r="AL30" s="82">
        <v>1524758.9171604507</v>
      </c>
      <c r="AM30" s="82">
        <v>2110811.8637756426</v>
      </c>
      <c r="AN30" s="82">
        <v>1049819.5985718491</v>
      </c>
      <c r="AO30" s="82">
        <v>939197.8609625668</v>
      </c>
      <c r="AP30" s="82">
        <v>1104911.6844001357</v>
      </c>
      <c r="AQ30" s="82">
        <v>2591534.4034612156</v>
      </c>
      <c r="AR30" s="82">
        <v>1296306.8181818184</v>
      </c>
      <c r="AS30" s="82">
        <v>2023065.4151555533</v>
      </c>
      <c r="AT30" s="82">
        <v>3171256.0023127487</v>
      </c>
      <c r="AU30" s="82">
        <v>1141980.3185111592</v>
      </c>
      <c r="AV30" s="83">
        <v>942283.87585162767</v>
      </c>
      <c r="AW30" s="82">
        <v>812203.63437645626</v>
      </c>
      <c r="AX30" s="82">
        <v>2281740.5723931557</v>
      </c>
      <c r="AY30" s="82">
        <v>1948774.2355612004</v>
      </c>
      <c r="AZ30" s="82">
        <v>1119370.9652753894</v>
      </c>
      <c r="BA30" s="82">
        <v>1166213.5922330096</v>
      </c>
      <c r="BB30" s="83">
        <v>821820.51472191652</v>
      </c>
      <c r="BC30" s="82">
        <v>3202547.7875687531</v>
      </c>
    </row>
    <row r="31" spans="1:57" s="68" customFormat="1" ht="24" customHeight="1" x14ac:dyDescent="0.3">
      <c r="A31" s="133"/>
      <c r="B31" s="67" t="s">
        <v>32</v>
      </c>
      <c r="C31" s="67">
        <f t="shared" si="4"/>
        <v>6353111.4327062191</v>
      </c>
      <c r="D31" s="82">
        <v>69464.544138929094</v>
      </c>
      <c r="E31" s="83">
        <v>159913.16931982632</v>
      </c>
      <c r="F31" s="83">
        <v>131693.19826338638</v>
      </c>
      <c r="G31" s="82">
        <v>206946.4544138929</v>
      </c>
      <c r="H31" s="83">
        <v>141099.85528219971</v>
      </c>
      <c r="I31" s="82">
        <v>122286.54124457308</v>
      </c>
      <c r="J31" s="82">
        <v>122286.54124457308</v>
      </c>
      <c r="K31" s="82">
        <v>94066.570188133133</v>
      </c>
      <c r="L31" s="83">
        <v>178726.48335745296</v>
      </c>
      <c r="M31" s="82">
        <v>169319.82633863966</v>
      </c>
      <c r="N31" s="82">
        <v>141099.85528219971</v>
      </c>
      <c r="O31" s="82">
        <v>159913.16931982632</v>
      </c>
      <c r="P31" s="82">
        <v>169319.82633863966</v>
      </c>
      <c r="Q31" s="82">
        <v>94066.570188133133</v>
      </c>
      <c r="R31" s="82">
        <v>112879.88422575977</v>
      </c>
      <c r="S31" s="82">
        <v>84659.913169319829</v>
      </c>
      <c r="T31" s="83">
        <v>84659.913169319829</v>
      </c>
      <c r="U31" s="83">
        <v>197539.7973950796</v>
      </c>
      <c r="V31" s="83">
        <v>94066.570188133133</v>
      </c>
      <c r="W31" s="83">
        <v>103473.22720694645</v>
      </c>
      <c r="X31" s="82">
        <v>75253.25615050651</v>
      </c>
      <c r="Y31" s="82">
        <v>65846.59913169319</v>
      </c>
      <c r="Z31" s="82">
        <v>122286.54124457308</v>
      </c>
      <c r="AA31" s="82">
        <v>141099.85528219971</v>
      </c>
      <c r="AB31" s="82">
        <v>65846.59913169319</v>
      </c>
      <c r="AC31" s="82">
        <v>84659.913169319829</v>
      </c>
      <c r="AD31" s="82">
        <v>103473.22720694645</v>
      </c>
      <c r="AE31" s="82">
        <v>65846.59913169319</v>
      </c>
      <c r="AF31" s="82">
        <v>94066.570188133133</v>
      </c>
      <c r="AG31" s="82">
        <v>103473.22720694645</v>
      </c>
      <c r="AH31" s="82">
        <v>131693.19826338638</v>
      </c>
      <c r="AI31" s="82">
        <v>75253.25615050651</v>
      </c>
      <c r="AJ31" s="83">
        <v>159913.16931982632</v>
      </c>
      <c r="AK31" s="82">
        <v>103473.22720694645</v>
      </c>
      <c r="AL31" s="82">
        <v>131693.19826338638</v>
      </c>
      <c r="AM31" s="82">
        <v>169319.82633863966</v>
      </c>
      <c r="AN31" s="82">
        <v>84659.913169319829</v>
      </c>
      <c r="AO31" s="82">
        <v>65846.59913169319</v>
      </c>
      <c r="AP31" s="82">
        <v>94066.570188133133</v>
      </c>
      <c r="AQ31" s="82">
        <v>206946.4544138929</v>
      </c>
      <c r="AR31" s="82">
        <v>94066.570188133133</v>
      </c>
      <c r="AS31" s="82">
        <v>150506.51230101302</v>
      </c>
      <c r="AT31" s="82">
        <v>244573.08248914615</v>
      </c>
      <c r="AU31" s="82">
        <v>84659.913169319829</v>
      </c>
      <c r="AV31" s="83">
        <v>75253.25615050651</v>
      </c>
      <c r="AW31" s="82">
        <v>84659.913169319829</v>
      </c>
      <c r="AX31" s="82">
        <v>169319.82633863966</v>
      </c>
      <c r="AY31" s="82">
        <v>141099.85528219971</v>
      </c>
      <c r="AZ31" s="82">
        <v>94066.570188133133</v>
      </c>
      <c r="BA31" s="82">
        <v>84659.913169319829</v>
      </c>
      <c r="BB31" s="83">
        <v>94066.570188133133</v>
      </c>
      <c r="BC31" s="82">
        <v>253979.73950795946</v>
      </c>
    </row>
    <row r="32" spans="1:57" s="68" customFormat="1" ht="24" customHeight="1" x14ac:dyDescent="0.3">
      <c r="A32" s="133"/>
      <c r="B32" s="67" t="s">
        <v>33</v>
      </c>
      <c r="C32" s="67">
        <f t="shared" si="4"/>
        <v>16360578.871201154</v>
      </c>
      <c r="D32" s="82">
        <v>195774.24023154849</v>
      </c>
      <c r="E32" s="83">
        <v>416020.26049204054</v>
      </c>
      <c r="F32" s="83">
        <v>160260.492040521</v>
      </c>
      <c r="G32" s="82">
        <v>538379.16063675832</v>
      </c>
      <c r="H32" s="83">
        <v>367076.70043415343</v>
      </c>
      <c r="I32" s="82">
        <v>318133.14037626627</v>
      </c>
      <c r="J32" s="82">
        <v>318133.14037626627</v>
      </c>
      <c r="K32" s="82">
        <v>244717.8002894356</v>
      </c>
      <c r="L32" s="83">
        <v>464963.82054992765</v>
      </c>
      <c r="M32" s="82">
        <v>440492.0405209841</v>
      </c>
      <c r="N32" s="82">
        <v>367076.70043415343</v>
      </c>
      <c r="O32" s="82">
        <v>416020.26049204054</v>
      </c>
      <c r="P32" s="82">
        <v>440492.0405209841</v>
      </c>
      <c r="Q32" s="82">
        <v>244717.8002894356</v>
      </c>
      <c r="R32" s="82">
        <v>293661.36034732271</v>
      </c>
      <c r="S32" s="82">
        <v>220246.02026049205</v>
      </c>
      <c r="T32" s="83">
        <v>220246.02026049205</v>
      </c>
      <c r="U32" s="83">
        <v>513907.38060781476</v>
      </c>
      <c r="V32" s="83">
        <v>244717.8002894356</v>
      </c>
      <c r="W32" s="83">
        <v>269189.58031837916</v>
      </c>
      <c r="X32" s="82">
        <v>195774.24023154849</v>
      </c>
      <c r="Y32" s="82">
        <v>171302.46020260494</v>
      </c>
      <c r="Z32" s="82">
        <v>318133.14037626627</v>
      </c>
      <c r="AA32" s="82">
        <v>367076.70043415343</v>
      </c>
      <c r="AB32" s="82">
        <v>171302.46020260494</v>
      </c>
      <c r="AC32" s="82">
        <v>220246.02026049205</v>
      </c>
      <c r="AD32" s="82">
        <v>269189.58031837916</v>
      </c>
      <c r="AE32" s="82">
        <v>171302.46020260494</v>
      </c>
      <c r="AF32" s="82">
        <v>244717.8002894356</v>
      </c>
      <c r="AG32" s="82">
        <v>269189.58031837916</v>
      </c>
      <c r="AH32" s="82">
        <v>342604.92040520988</v>
      </c>
      <c r="AI32" s="82">
        <v>195774.24023154849</v>
      </c>
      <c r="AJ32" s="82">
        <v>416020.26049204054</v>
      </c>
      <c r="AK32" s="82">
        <v>269189.58031837916</v>
      </c>
      <c r="AL32" s="82">
        <v>342604.92040520988</v>
      </c>
      <c r="AM32" s="82">
        <v>440492.0405209841</v>
      </c>
      <c r="AN32" s="82">
        <v>220246.02026049205</v>
      </c>
      <c r="AO32" s="82">
        <v>171302.46020260494</v>
      </c>
      <c r="AP32" s="82">
        <v>244717.8002894356</v>
      </c>
      <c r="AQ32" s="82">
        <v>538379.16063675832</v>
      </c>
      <c r="AR32" s="82">
        <v>244717.8002894356</v>
      </c>
      <c r="AS32" s="82">
        <v>391548.48046309699</v>
      </c>
      <c r="AT32" s="82">
        <v>636266.28075253253</v>
      </c>
      <c r="AU32" s="82">
        <v>220246.02026049205</v>
      </c>
      <c r="AV32" s="82">
        <v>195774.24023154849</v>
      </c>
      <c r="AW32" s="82">
        <v>220246.02026049205</v>
      </c>
      <c r="AX32" s="82">
        <v>440492.0405209841</v>
      </c>
      <c r="AY32" s="82">
        <v>367076.70043415343</v>
      </c>
      <c r="AZ32" s="82">
        <v>244717.8002894356</v>
      </c>
      <c r="BA32" s="82">
        <v>220246.02026049205</v>
      </c>
      <c r="BB32" s="83">
        <v>244717.8002894356</v>
      </c>
      <c r="BC32" s="82">
        <v>660738.06078147609</v>
      </c>
    </row>
    <row r="33" spans="1:57" s="68" customFormat="1" ht="24" customHeight="1" x14ac:dyDescent="0.3">
      <c r="A33" s="133"/>
      <c r="B33" s="67" t="s">
        <v>166</v>
      </c>
      <c r="C33" s="67">
        <f t="shared" si="4"/>
        <v>1953690.3039073804</v>
      </c>
      <c r="D33" s="82">
        <v>23154.848046309697</v>
      </c>
      <c r="E33" s="83">
        <v>49204.052098408109</v>
      </c>
      <c r="F33" s="83">
        <v>40520.98408104197</v>
      </c>
      <c r="G33" s="82">
        <v>63675.832127351663</v>
      </c>
      <c r="H33" s="83">
        <v>43415.340086830678</v>
      </c>
      <c r="I33" s="82">
        <v>37626.628075253255</v>
      </c>
      <c r="J33" s="82">
        <v>37626.628075253255</v>
      </c>
      <c r="K33" s="82">
        <v>28943.56005788712</v>
      </c>
      <c r="L33" s="83">
        <v>54992.764109985532</v>
      </c>
      <c r="M33" s="82">
        <v>52098.408104196817</v>
      </c>
      <c r="N33" s="82">
        <v>43415.340086830678</v>
      </c>
      <c r="O33" s="82">
        <v>49204.052098408109</v>
      </c>
      <c r="P33" s="82">
        <v>52098.408104196817</v>
      </c>
      <c r="Q33" s="82">
        <v>28943.56005788712</v>
      </c>
      <c r="R33" s="82">
        <v>34732.272069464547</v>
      </c>
      <c r="S33" s="82">
        <v>26049.204052098408</v>
      </c>
      <c r="T33" s="83">
        <v>26049.204052098408</v>
      </c>
      <c r="U33" s="83">
        <v>60781.476121562955</v>
      </c>
      <c r="V33" s="83">
        <v>28943.56005788712</v>
      </c>
      <c r="W33" s="83">
        <v>31837.916063675832</v>
      </c>
      <c r="X33" s="82">
        <v>23154.848046309697</v>
      </c>
      <c r="Y33" s="82">
        <v>20260.492040520985</v>
      </c>
      <c r="Z33" s="82">
        <v>37626.628075253255</v>
      </c>
      <c r="AA33" s="82">
        <v>43415.340086830678</v>
      </c>
      <c r="AB33" s="82">
        <v>20260.492040520985</v>
      </c>
      <c r="AC33" s="82">
        <v>26049.204052098408</v>
      </c>
      <c r="AD33" s="82">
        <v>31837.916063675832</v>
      </c>
      <c r="AE33" s="82">
        <v>20260.492040520985</v>
      </c>
      <c r="AF33" s="82">
        <v>28943.56005788712</v>
      </c>
      <c r="AG33" s="82">
        <v>31837.916063675832</v>
      </c>
      <c r="AH33" s="82">
        <v>40520.98408104197</v>
      </c>
      <c r="AI33" s="82">
        <v>23154.848046309697</v>
      </c>
      <c r="AJ33" s="83">
        <v>49204.052098408109</v>
      </c>
      <c r="AK33" s="82">
        <v>31837.916063675832</v>
      </c>
      <c r="AL33" s="82">
        <v>37626.628075253255</v>
      </c>
      <c r="AM33" s="82">
        <v>52098.408104196817</v>
      </c>
      <c r="AN33" s="82">
        <v>26049.204052098408</v>
      </c>
      <c r="AO33" s="82">
        <v>20260.492040520985</v>
      </c>
      <c r="AP33" s="82">
        <v>28943.56005788712</v>
      </c>
      <c r="AQ33" s="82">
        <v>63675.832127351663</v>
      </c>
      <c r="AR33" s="82">
        <v>28943.56005788712</v>
      </c>
      <c r="AS33" s="82">
        <v>46309.696092619393</v>
      </c>
      <c r="AT33" s="82">
        <v>75253.25615050651</v>
      </c>
      <c r="AU33" s="82">
        <v>26049.204052098408</v>
      </c>
      <c r="AV33" s="83">
        <v>23154.848046309697</v>
      </c>
      <c r="AW33" s="82">
        <v>26049.204052098408</v>
      </c>
      <c r="AX33" s="82">
        <v>52098.408104196817</v>
      </c>
      <c r="AY33" s="82">
        <v>43415.340086830678</v>
      </c>
      <c r="AZ33" s="82">
        <v>28943.56005788712</v>
      </c>
      <c r="BA33" s="82">
        <v>26049.204052098408</v>
      </c>
      <c r="BB33" s="83">
        <v>28943.56005788712</v>
      </c>
      <c r="BC33" s="82">
        <v>78147.612156295232</v>
      </c>
    </row>
    <row r="34" spans="1:57" s="68" customFormat="1" ht="24" customHeight="1" x14ac:dyDescent="0.3">
      <c r="A34" s="133"/>
      <c r="B34" s="67" t="s">
        <v>167</v>
      </c>
      <c r="C34" s="67">
        <f t="shared" si="4"/>
        <v>1468510.1394053746</v>
      </c>
      <c r="D34" s="82">
        <v>17366.136034732273</v>
      </c>
      <c r="E34" s="82">
        <v>36903.039073806081</v>
      </c>
      <c r="F34" s="82">
        <v>30390.738060781478</v>
      </c>
      <c r="G34" s="82">
        <v>47756.874095513755</v>
      </c>
      <c r="H34" s="82">
        <v>32561.505065123012</v>
      </c>
      <c r="I34" s="82">
        <v>28219.971056439943</v>
      </c>
      <c r="J34" s="82">
        <v>28219.971056439943</v>
      </c>
      <c r="K34" s="82">
        <v>21707.670043415343</v>
      </c>
      <c r="L34" s="82">
        <v>41244.573082489151</v>
      </c>
      <c r="M34" s="82">
        <v>39073.806078147616</v>
      </c>
      <c r="N34" s="82">
        <v>32561.505065123012</v>
      </c>
      <c r="O34" s="82">
        <v>36903.039073806081</v>
      </c>
      <c r="P34" s="82">
        <v>39073.806078147616</v>
      </c>
      <c r="Q34" s="82">
        <v>21707.670043415343</v>
      </c>
      <c r="R34" s="82">
        <v>26049.204052098408</v>
      </c>
      <c r="S34" s="82">
        <v>19536.903039073808</v>
      </c>
      <c r="T34" s="82">
        <v>19536.903039073808</v>
      </c>
      <c r="U34" s="82">
        <v>45586.10709117222</v>
      </c>
      <c r="V34" s="82">
        <v>21707.670043415343</v>
      </c>
      <c r="W34" s="82">
        <v>23878.437047756877</v>
      </c>
      <c r="X34" s="82">
        <v>17366.136034732273</v>
      </c>
      <c r="Y34" s="82">
        <v>15195.369030390739</v>
      </c>
      <c r="Z34" s="82">
        <v>28219.971056439943</v>
      </c>
      <c r="AA34" s="82">
        <v>32561.505065123012</v>
      </c>
      <c r="AB34" s="82">
        <v>15195.369030390739</v>
      </c>
      <c r="AC34" s="82">
        <v>19536.903039073808</v>
      </c>
      <c r="AD34" s="82">
        <v>23878.437047756877</v>
      </c>
      <c r="AE34" s="82">
        <v>15195.369030390739</v>
      </c>
      <c r="AF34" s="82">
        <v>21707.670043415343</v>
      </c>
      <c r="AG34" s="82">
        <v>23878.437047756877</v>
      </c>
      <c r="AH34" s="82">
        <v>30390.738060781478</v>
      </c>
      <c r="AI34" s="82">
        <v>17366.136034732273</v>
      </c>
      <c r="AJ34" s="82">
        <v>37974.6835443038</v>
      </c>
      <c r="AK34" s="82">
        <v>23878.437047756877</v>
      </c>
      <c r="AL34" s="82">
        <v>30390.738060781478</v>
      </c>
      <c r="AM34" s="82">
        <v>39073.806078147616</v>
      </c>
      <c r="AN34" s="82">
        <v>19536.903039073808</v>
      </c>
      <c r="AO34" s="82">
        <v>15195.369030390739</v>
      </c>
      <c r="AP34" s="82">
        <v>21707.670043415343</v>
      </c>
      <c r="AQ34" s="82">
        <v>47756.874095513755</v>
      </c>
      <c r="AR34" s="82">
        <v>21707.670043415343</v>
      </c>
      <c r="AS34" s="82">
        <v>34732.272069464547</v>
      </c>
      <c r="AT34" s="82">
        <v>56439.942112879886</v>
      </c>
      <c r="AU34" s="82">
        <v>19536.903039073808</v>
      </c>
      <c r="AV34" s="82">
        <v>17366.136034732273</v>
      </c>
      <c r="AW34" s="82">
        <v>19536.903039073808</v>
      </c>
      <c r="AX34" s="82">
        <v>39073.806078147616</v>
      </c>
      <c r="AY34" s="82">
        <v>32561.505065123012</v>
      </c>
      <c r="AZ34" s="82">
        <v>21707.670043415343</v>
      </c>
      <c r="BA34" s="82">
        <v>19536.903039073808</v>
      </c>
      <c r="BB34" s="83">
        <v>21707.670043415343</v>
      </c>
      <c r="BC34" s="82">
        <v>58610.70911722142</v>
      </c>
    </row>
    <row r="35" spans="1:57" s="68" customFormat="1" ht="21.5" customHeight="1" x14ac:dyDescent="0.3">
      <c r="A35" s="133"/>
      <c r="B35" s="67" t="s">
        <v>35</v>
      </c>
      <c r="C35" s="67">
        <f t="shared" si="4"/>
        <v>28028075.742402326</v>
      </c>
      <c r="D35" s="82">
        <v>331693.20405209839</v>
      </c>
      <c r="E35" s="83">
        <v>704848.05861070903</v>
      </c>
      <c r="F35" s="83">
        <v>580463.10709117213</v>
      </c>
      <c r="G35" s="82">
        <v>912156.31114327058</v>
      </c>
      <c r="H35" s="83">
        <v>621924.75759768451</v>
      </c>
      <c r="I35" s="82">
        <v>539001.45658465987</v>
      </c>
      <c r="J35" s="82">
        <v>539001.45658465987</v>
      </c>
      <c r="K35" s="82">
        <v>414616.50506512297</v>
      </c>
      <c r="L35" s="83">
        <v>787771.35962373368</v>
      </c>
      <c r="M35" s="82">
        <v>746309.70911722141</v>
      </c>
      <c r="N35" s="82">
        <v>621924.75759768451</v>
      </c>
      <c r="O35" s="82">
        <v>704848.05861070903</v>
      </c>
      <c r="P35" s="82">
        <v>746309.70911722141</v>
      </c>
      <c r="Q35" s="82">
        <v>414616.50506512297</v>
      </c>
      <c r="R35" s="82">
        <v>497539.80607814761</v>
      </c>
      <c r="S35" s="82">
        <v>373154.85455861071</v>
      </c>
      <c r="T35" s="83">
        <v>373154.85455861071</v>
      </c>
      <c r="U35" s="83">
        <v>870694.66063675832</v>
      </c>
      <c r="V35" s="83">
        <v>414616.50506512297</v>
      </c>
      <c r="W35" s="83">
        <v>456078.15557163529</v>
      </c>
      <c r="X35" s="82">
        <v>331693.20405209839</v>
      </c>
      <c r="Y35" s="82">
        <v>290231.55354558607</v>
      </c>
      <c r="Z35" s="82">
        <v>539001.45658465987</v>
      </c>
      <c r="AA35" s="82">
        <v>621924.75759768451</v>
      </c>
      <c r="AB35" s="82">
        <v>290231.55354558607</v>
      </c>
      <c r="AC35" s="82">
        <v>373154.85455861071</v>
      </c>
      <c r="AD35" s="82">
        <v>456078.15557163529</v>
      </c>
      <c r="AE35" s="82">
        <v>290231.55354558607</v>
      </c>
      <c r="AF35" s="82">
        <v>414616.50506512297</v>
      </c>
      <c r="AG35" s="82">
        <v>456078.15557163529</v>
      </c>
      <c r="AH35" s="82">
        <v>580463.10709117213</v>
      </c>
      <c r="AI35" s="82">
        <v>331693.20405209839</v>
      </c>
      <c r="AJ35" s="83">
        <v>704848.05861070903</v>
      </c>
      <c r="AK35" s="82">
        <v>456078.15557163529</v>
      </c>
      <c r="AL35" s="82">
        <v>580463.10709117213</v>
      </c>
      <c r="AM35" s="82">
        <v>746309.70911722141</v>
      </c>
      <c r="AN35" s="82">
        <v>373154.85455861071</v>
      </c>
      <c r="AO35" s="82">
        <v>290231.55354558607</v>
      </c>
      <c r="AP35" s="82">
        <v>414616.50506512297</v>
      </c>
      <c r="AQ35" s="82">
        <v>912156.31114327058</v>
      </c>
      <c r="AR35" s="82">
        <v>414616.50506512297</v>
      </c>
      <c r="AS35" s="82">
        <v>663386.40810419677</v>
      </c>
      <c r="AT35" s="82">
        <v>1078002.9131693197</v>
      </c>
      <c r="AU35" s="82">
        <v>373154.85455861071</v>
      </c>
      <c r="AV35" s="83">
        <v>331693.20405209839</v>
      </c>
      <c r="AW35" s="82">
        <v>373154.85455861071</v>
      </c>
      <c r="AX35" s="82">
        <v>746309.70911722141</v>
      </c>
      <c r="AY35" s="82">
        <v>621924.75759768451</v>
      </c>
      <c r="AZ35" s="82">
        <v>414616.50506512297</v>
      </c>
      <c r="BA35" s="82">
        <v>373154.85455861071</v>
      </c>
      <c r="BB35" s="83">
        <v>414616.50506512297</v>
      </c>
      <c r="BC35" s="82">
        <v>1119464.563675832</v>
      </c>
    </row>
    <row r="36" spans="1:57" s="68" customFormat="1" ht="21" customHeight="1" x14ac:dyDescent="0.3">
      <c r="A36" s="133"/>
      <c r="B36" s="67" t="s">
        <v>36</v>
      </c>
      <c r="C36" s="67">
        <f t="shared" si="4"/>
        <v>22450000</v>
      </c>
      <c r="D36" s="82">
        <v>400000</v>
      </c>
      <c r="E36" s="83">
        <v>550000</v>
      </c>
      <c r="F36" s="83">
        <v>350000</v>
      </c>
      <c r="G36" s="82">
        <v>600000</v>
      </c>
      <c r="H36" s="83">
        <v>400000</v>
      </c>
      <c r="I36" s="82">
        <v>460000</v>
      </c>
      <c r="J36" s="82">
        <v>460000</v>
      </c>
      <c r="K36" s="82">
        <v>460000</v>
      </c>
      <c r="L36" s="83">
        <v>460000</v>
      </c>
      <c r="M36" s="82">
        <v>460000</v>
      </c>
      <c r="N36" s="82">
        <v>350000</v>
      </c>
      <c r="O36" s="82">
        <v>550000</v>
      </c>
      <c r="P36" s="82">
        <v>550000</v>
      </c>
      <c r="Q36" s="82">
        <v>400000</v>
      </c>
      <c r="R36" s="82">
        <v>400000</v>
      </c>
      <c r="S36" s="82">
        <v>0</v>
      </c>
      <c r="T36" s="83">
        <v>400000</v>
      </c>
      <c r="U36" s="83">
        <v>550000</v>
      </c>
      <c r="V36" s="83">
        <v>400000</v>
      </c>
      <c r="W36" s="83">
        <v>400000</v>
      </c>
      <c r="X36" s="82">
        <v>400000</v>
      </c>
      <c r="Y36" s="82">
        <v>400000</v>
      </c>
      <c r="Z36" s="82">
        <v>550000</v>
      </c>
      <c r="AA36" s="82">
        <v>550000</v>
      </c>
      <c r="AB36" s="82">
        <v>400000</v>
      </c>
      <c r="AC36" s="82">
        <v>400000</v>
      </c>
      <c r="AD36" s="82">
        <v>275000</v>
      </c>
      <c r="AE36" s="82">
        <v>275000</v>
      </c>
      <c r="AF36" s="82">
        <v>400000</v>
      </c>
      <c r="AG36" s="82">
        <v>400000</v>
      </c>
      <c r="AH36" s="82">
        <v>400000</v>
      </c>
      <c r="AI36" s="82">
        <v>400000</v>
      </c>
      <c r="AJ36" s="83">
        <v>550000</v>
      </c>
      <c r="AK36" s="82">
        <v>350000</v>
      </c>
      <c r="AL36" s="82">
        <v>400000</v>
      </c>
      <c r="AM36" s="82">
        <v>550000</v>
      </c>
      <c r="AN36" s="82">
        <v>400000</v>
      </c>
      <c r="AO36" s="82">
        <v>350000</v>
      </c>
      <c r="AP36" s="82">
        <v>350000</v>
      </c>
      <c r="AQ36" s="82">
        <v>500000</v>
      </c>
      <c r="AR36" s="82">
        <v>400000</v>
      </c>
      <c r="AS36" s="82">
        <v>550000</v>
      </c>
      <c r="AT36" s="82">
        <v>550000</v>
      </c>
      <c r="AU36" s="82">
        <v>400000</v>
      </c>
      <c r="AV36" s="83">
        <v>400000</v>
      </c>
      <c r="AW36" s="82">
        <v>400000</v>
      </c>
      <c r="AX36" s="82">
        <v>550000</v>
      </c>
      <c r="AY36" s="82">
        <v>550000</v>
      </c>
      <c r="AZ36" s="82">
        <v>400000</v>
      </c>
      <c r="BA36" s="82">
        <v>400000</v>
      </c>
      <c r="BB36" s="83">
        <v>400000</v>
      </c>
      <c r="BC36" s="82">
        <v>550000</v>
      </c>
    </row>
    <row r="37" spans="1:57" s="68" customFormat="1" ht="21.5" customHeight="1" x14ac:dyDescent="0.3">
      <c r="A37" s="133"/>
      <c r="B37" s="67" t="s">
        <v>37</v>
      </c>
      <c r="C37" s="67">
        <f t="shared" si="4"/>
        <v>8238292.3299565837</v>
      </c>
      <c r="D37" s="82">
        <v>101577.42402315485</v>
      </c>
      <c r="E37" s="83">
        <v>204602.02604920405</v>
      </c>
      <c r="F37" s="83">
        <v>170260.492040521</v>
      </c>
      <c r="G37" s="82">
        <v>261837.91606367583</v>
      </c>
      <c r="H37" s="83">
        <v>181707.67004341533</v>
      </c>
      <c r="I37" s="82">
        <v>158813.31403762664</v>
      </c>
      <c r="J37" s="82">
        <v>158813.31403762664</v>
      </c>
      <c r="K37" s="82">
        <v>124471.78002894355</v>
      </c>
      <c r="L37" s="83">
        <v>227496.38205499278</v>
      </c>
      <c r="M37" s="82">
        <v>216049.20405209842</v>
      </c>
      <c r="N37" s="82">
        <v>181707.67004341533</v>
      </c>
      <c r="O37" s="82">
        <v>204602.02604920405</v>
      </c>
      <c r="P37" s="82">
        <v>216049.20405209842</v>
      </c>
      <c r="Q37" s="82">
        <v>124471.78002894355</v>
      </c>
      <c r="R37" s="82">
        <v>147366.13603473228</v>
      </c>
      <c r="S37" s="82">
        <v>113024.60202604921</v>
      </c>
      <c r="T37" s="83">
        <v>113024.60202604921</v>
      </c>
      <c r="U37" s="83">
        <v>250390.73806078147</v>
      </c>
      <c r="V37" s="83">
        <v>124471.78002894355</v>
      </c>
      <c r="W37" s="83">
        <v>135918.95803183792</v>
      </c>
      <c r="X37" s="82">
        <v>101577.42402315485</v>
      </c>
      <c r="Y37" s="82">
        <v>90130.2460202605</v>
      </c>
      <c r="Z37" s="82">
        <v>158813.31403762664</v>
      </c>
      <c r="AA37" s="82">
        <v>181707.67004341533</v>
      </c>
      <c r="AB37" s="82">
        <v>90130.2460202605</v>
      </c>
      <c r="AC37" s="82">
        <v>113024.60202604921</v>
      </c>
      <c r="AD37" s="82">
        <v>135918.95803183792</v>
      </c>
      <c r="AE37" s="82">
        <v>90130.2460202605</v>
      </c>
      <c r="AF37" s="82">
        <v>124471.78002894355</v>
      </c>
      <c r="AG37" s="82">
        <v>135918.95803183792</v>
      </c>
      <c r="AH37" s="82">
        <v>170260.492040521</v>
      </c>
      <c r="AI37" s="82">
        <v>101577.42402315485</v>
      </c>
      <c r="AJ37" s="83">
        <v>204602.02604920405</v>
      </c>
      <c r="AK37" s="82">
        <v>135918.95803183792</v>
      </c>
      <c r="AL37" s="82">
        <v>170260.492040521</v>
      </c>
      <c r="AM37" s="82">
        <v>216049.20405209842</v>
      </c>
      <c r="AN37" s="82">
        <v>113024.60202604921</v>
      </c>
      <c r="AO37" s="82">
        <v>90130.2460202605</v>
      </c>
      <c r="AP37" s="82">
        <v>124471.78002894355</v>
      </c>
      <c r="AQ37" s="82">
        <v>261837.91606367583</v>
      </c>
      <c r="AR37" s="82">
        <v>124471.78002894355</v>
      </c>
      <c r="AS37" s="82">
        <v>193154.84804630969</v>
      </c>
      <c r="AT37" s="82">
        <v>287626.62807525328</v>
      </c>
      <c r="AU37" s="82">
        <v>113024.60202604921</v>
      </c>
      <c r="AV37" s="83">
        <v>101577.42402315485</v>
      </c>
      <c r="AW37" s="82">
        <v>113024.60202604921</v>
      </c>
      <c r="AX37" s="82">
        <v>216049.20405209842</v>
      </c>
      <c r="AY37" s="82">
        <v>181707.67004341533</v>
      </c>
      <c r="AZ37" s="82">
        <v>124471.78002894355</v>
      </c>
      <c r="BA37" s="82">
        <v>113024.60202604921</v>
      </c>
      <c r="BB37" s="83">
        <v>124471.78002894355</v>
      </c>
      <c r="BC37" s="82">
        <v>319073.80607814761</v>
      </c>
    </row>
    <row r="38" spans="1:57" s="68" customFormat="1" ht="24" customHeight="1" x14ac:dyDescent="0.3">
      <c r="A38" s="133"/>
      <c r="B38" s="67" t="s">
        <v>38</v>
      </c>
      <c r="C38" s="67">
        <f t="shared" si="4"/>
        <v>12149059.334298117</v>
      </c>
      <c r="D38" s="82">
        <v>144717.8002894356</v>
      </c>
      <c r="E38" s="83">
        <v>307525.32561505068</v>
      </c>
      <c r="F38" s="83">
        <v>253256.15050651232</v>
      </c>
      <c r="G38" s="82">
        <v>397973.95079594792</v>
      </c>
      <c r="H38" s="83">
        <v>271345.87554269173</v>
      </c>
      <c r="I38" s="82">
        <v>235166.42547033285</v>
      </c>
      <c r="J38" s="82">
        <v>235166.42547033285</v>
      </c>
      <c r="K38" s="82">
        <v>180897.25036179449</v>
      </c>
      <c r="L38" s="83">
        <v>343704.77568740956</v>
      </c>
      <c r="M38" s="82">
        <v>325615.05065123009</v>
      </c>
      <c r="N38" s="83">
        <v>271345.87554269173</v>
      </c>
      <c r="O38" s="82">
        <v>307525.32561505068</v>
      </c>
      <c r="P38" s="82">
        <v>325615.05065123009</v>
      </c>
      <c r="Q38" s="82">
        <v>180897.25036179449</v>
      </c>
      <c r="R38" s="82">
        <v>217076.7004341534</v>
      </c>
      <c r="S38" s="82">
        <v>162807.52532561505</v>
      </c>
      <c r="T38" s="83">
        <v>162807.52532561505</v>
      </c>
      <c r="U38" s="83">
        <v>379884.22575976845</v>
      </c>
      <c r="V38" s="83">
        <v>180897.25036179449</v>
      </c>
      <c r="W38" s="83">
        <v>198986.97539797396</v>
      </c>
      <c r="X38" s="82">
        <v>144717.8002894356</v>
      </c>
      <c r="Y38" s="82">
        <v>126628.07525325616</v>
      </c>
      <c r="Z38" s="82">
        <v>235166.42547033285</v>
      </c>
      <c r="AA38" s="82">
        <v>271345.87554269173</v>
      </c>
      <c r="AB38" s="82">
        <v>126628.07525325616</v>
      </c>
      <c r="AC38" s="82">
        <v>162807.52532561505</v>
      </c>
      <c r="AD38" s="82">
        <v>198986.97539797396</v>
      </c>
      <c r="AE38" s="82">
        <v>126628.07525325616</v>
      </c>
      <c r="AF38" s="82">
        <v>180897.25036179449</v>
      </c>
      <c r="AG38" s="82">
        <v>198986.97539797396</v>
      </c>
      <c r="AH38" s="82">
        <v>253256.15050651232</v>
      </c>
      <c r="AI38" s="82">
        <v>144717.8002894356</v>
      </c>
      <c r="AJ38" s="83">
        <v>307525.32561505068</v>
      </c>
      <c r="AK38" s="82">
        <v>119392.18523878437</v>
      </c>
      <c r="AL38" s="82">
        <v>253256.15050651232</v>
      </c>
      <c r="AM38" s="82">
        <v>325615.05065123009</v>
      </c>
      <c r="AN38" s="82">
        <v>162807.52532561505</v>
      </c>
      <c r="AO38" s="82">
        <v>126628.07525325616</v>
      </c>
      <c r="AP38" s="82">
        <v>180897.25036179449</v>
      </c>
      <c r="AQ38" s="82">
        <v>397973.95079594792</v>
      </c>
      <c r="AR38" s="82">
        <v>180897.25036179449</v>
      </c>
      <c r="AS38" s="82">
        <v>289435.60057887121</v>
      </c>
      <c r="AT38" s="82">
        <v>470332.8509406657</v>
      </c>
      <c r="AU38" s="82">
        <v>162807.52532561505</v>
      </c>
      <c r="AV38" s="83">
        <v>144717.8002894356</v>
      </c>
      <c r="AW38" s="82">
        <v>162807.52532561505</v>
      </c>
      <c r="AX38" s="82">
        <v>325615.05065123009</v>
      </c>
      <c r="AY38" s="82">
        <v>271345.87554269173</v>
      </c>
      <c r="AZ38" s="82">
        <v>180897.25036179449</v>
      </c>
      <c r="BA38" s="82">
        <v>162807.52532561505</v>
      </c>
      <c r="BB38" s="83">
        <v>180897.25036179449</v>
      </c>
      <c r="BC38" s="82">
        <v>488422.57597684517</v>
      </c>
    </row>
    <row r="39" spans="1:57" s="68" customFormat="1" ht="21" customHeight="1" x14ac:dyDescent="0.35">
      <c r="A39" s="133"/>
      <c r="B39" s="67" t="s">
        <v>39</v>
      </c>
      <c r="C39" s="67">
        <f t="shared" si="4"/>
        <v>0</v>
      </c>
      <c r="D39" s="82"/>
      <c r="E39" s="83"/>
      <c r="F39" s="83"/>
      <c r="G39" s="82"/>
      <c r="H39" s="83"/>
      <c r="I39" s="82"/>
      <c r="J39" s="82"/>
      <c r="K39" s="82"/>
      <c r="L39" s="89"/>
      <c r="M39" s="82"/>
      <c r="N39" s="82"/>
      <c r="T39" s="83"/>
      <c r="U39" s="83"/>
      <c r="V39" s="83"/>
      <c r="W39" s="83"/>
      <c r="AJ39" s="83"/>
      <c r="AV39" s="83"/>
      <c r="BB39" s="83"/>
    </row>
    <row r="40" spans="1:57" s="68" customFormat="1" ht="25.5" customHeight="1" x14ac:dyDescent="0.3">
      <c r="A40" s="134"/>
      <c r="B40" s="67" t="s">
        <v>40</v>
      </c>
      <c r="C40" s="67">
        <f t="shared" si="4"/>
        <v>26341123.123010136</v>
      </c>
      <c r="D40" s="82">
        <v>311729.26772793056</v>
      </c>
      <c r="E40" s="83">
        <v>662424.69392185239</v>
      </c>
      <c r="F40" s="83">
        <v>545526.21852387849</v>
      </c>
      <c r="G40" s="82">
        <v>857255.48625180905</v>
      </c>
      <c r="H40" s="83">
        <v>584492.37698986987</v>
      </c>
      <c r="I40" s="82">
        <v>506560.06005788717</v>
      </c>
      <c r="J40" s="82">
        <v>506560.06005788717</v>
      </c>
      <c r="K40" s="82">
        <v>389661.58465991321</v>
      </c>
      <c r="L40" s="83">
        <v>740357.01085383515</v>
      </c>
      <c r="M40" s="82">
        <v>701390.85238784377</v>
      </c>
      <c r="N40" s="82">
        <v>584492.37698986987</v>
      </c>
      <c r="O40" s="83">
        <v>662424.69392185239</v>
      </c>
      <c r="P40" s="83">
        <v>701390.85238784377</v>
      </c>
      <c r="Q40" s="83">
        <v>389661.58465991321</v>
      </c>
      <c r="R40" s="83">
        <v>467593.90159189585</v>
      </c>
      <c r="S40" s="83">
        <v>350695.42619392188</v>
      </c>
      <c r="T40" s="83">
        <v>350695.42619392188</v>
      </c>
      <c r="U40" s="83">
        <v>818289.32778581767</v>
      </c>
      <c r="V40" s="83">
        <v>389661.58465991321</v>
      </c>
      <c r="W40" s="83">
        <v>428627.74312590453</v>
      </c>
      <c r="X40" s="83">
        <v>311729.26772793056</v>
      </c>
      <c r="Y40" s="83">
        <v>272763.10926193924</v>
      </c>
      <c r="Z40" s="83">
        <v>506560.06005788717</v>
      </c>
      <c r="AA40" s="83">
        <v>584492.37698986987</v>
      </c>
      <c r="AB40" s="83">
        <v>272763.10926193924</v>
      </c>
      <c r="AC40" s="83">
        <v>350695.42619392188</v>
      </c>
      <c r="AD40" s="83">
        <v>428627.74312590453</v>
      </c>
      <c r="AE40" s="83">
        <v>272763.10926193924</v>
      </c>
      <c r="AF40" s="83">
        <v>389661.58465991321</v>
      </c>
      <c r="AG40" s="83">
        <v>428627.74312590453</v>
      </c>
      <c r="AH40" s="83">
        <v>545526.21852387849</v>
      </c>
      <c r="AI40" s="83">
        <v>311729.26772793056</v>
      </c>
      <c r="AJ40" s="83">
        <v>662424.69392185239</v>
      </c>
      <c r="AK40" s="83">
        <v>428627.74312590453</v>
      </c>
      <c r="AL40" s="83">
        <v>545526.21852387849</v>
      </c>
      <c r="AM40" s="83">
        <v>701390.85238784377</v>
      </c>
      <c r="AN40" s="83">
        <v>350695.42619392188</v>
      </c>
      <c r="AO40" s="83">
        <v>272763.10926193924</v>
      </c>
      <c r="AP40" s="83">
        <v>389661.58465991321</v>
      </c>
      <c r="AQ40" s="83">
        <v>857255.48625180905</v>
      </c>
      <c r="AR40" s="83">
        <v>389661.58465991321</v>
      </c>
      <c r="AS40" s="83">
        <v>623458.53545586113</v>
      </c>
      <c r="AT40" s="83">
        <v>1013120.1201157743</v>
      </c>
      <c r="AU40" s="83">
        <v>350695.42619392188</v>
      </c>
      <c r="AV40" s="83">
        <v>311729.26772793056</v>
      </c>
      <c r="AW40" s="83">
        <v>350695.42619392188</v>
      </c>
      <c r="AX40" s="83">
        <v>701390.85238784377</v>
      </c>
      <c r="AY40" s="83">
        <v>584492.37698986987</v>
      </c>
      <c r="AZ40" s="83">
        <v>389661.58465991321</v>
      </c>
      <c r="BA40" s="83">
        <v>350695.42619392188</v>
      </c>
      <c r="BB40" s="83">
        <v>389661.58465991321</v>
      </c>
      <c r="BC40" s="83">
        <v>1052086.2785817657</v>
      </c>
    </row>
    <row r="41" spans="1:57" s="68" customFormat="1" ht="33" customHeight="1" x14ac:dyDescent="0.3">
      <c r="A41" s="135" t="s">
        <v>41</v>
      </c>
      <c r="B41" s="66" t="s">
        <v>42</v>
      </c>
      <c r="C41" s="67">
        <f t="shared" si="4"/>
        <v>105255715.36324169</v>
      </c>
      <c r="D41" s="82">
        <v>137082.48914616497</v>
      </c>
      <c r="E41" s="82">
        <v>3185300</v>
      </c>
      <c r="F41" s="82">
        <v>3864894</v>
      </c>
      <c r="G41" s="83">
        <v>4596997</v>
      </c>
      <c r="H41" s="83">
        <v>257029.6671490593</v>
      </c>
      <c r="I41" s="82">
        <v>222759.04486251809</v>
      </c>
      <c r="J41" s="82">
        <v>722759</v>
      </c>
      <c r="K41" s="82">
        <v>171353.11143270621</v>
      </c>
      <c r="L41" s="82">
        <v>2625571</v>
      </c>
      <c r="M41" s="82">
        <v>6958436</v>
      </c>
      <c r="N41" s="82">
        <v>2007030</v>
      </c>
      <c r="O41" s="68">
        <v>5321300</v>
      </c>
      <c r="P41" s="68">
        <v>308435.60057887121</v>
      </c>
      <c r="Q41" s="68">
        <v>171353.11143270621</v>
      </c>
      <c r="R41" s="68">
        <v>880624</v>
      </c>
      <c r="S41" s="68">
        <v>2254218</v>
      </c>
      <c r="T41" s="83">
        <v>154217.8002894356</v>
      </c>
      <c r="U41" s="68">
        <v>7109842</v>
      </c>
      <c r="V41" s="83">
        <v>2271353</v>
      </c>
      <c r="W41" s="83">
        <v>1518488</v>
      </c>
      <c r="X41" s="68">
        <v>2037082</v>
      </c>
      <c r="Y41" s="68">
        <v>1239947</v>
      </c>
      <c r="Z41" s="68">
        <v>1692759</v>
      </c>
      <c r="AA41" s="68">
        <v>3197030</v>
      </c>
      <c r="AB41" s="68">
        <v>119947.17800289435</v>
      </c>
      <c r="AC41" s="68">
        <v>154217.8002894356</v>
      </c>
      <c r="AD41" s="68">
        <v>188488.42257597682</v>
      </c>
      <c r="AE41" s="68">
        <v>119947.17800289435</v>
      </c>
      <c r="AF41" s="68">
        <v>171353.11143270621</v>
      </c>
      <c r="AG41" s="68">
        <v>188488.42257597682</v>
      </c>
      <c r="AH41" s="68">
        <v>4214894</v>
      </c>
      <c r="AI41" s="68">
        <v>137082.48914616497</v>
      </c>
      <c r="AJ41" s="68">
        <v>3966300</v>
      </c>
      <c r="AK41" s="68">
        <v>188488.42257597682</v>
      </c>
      <c r="AL41" s="68">
        <v>239894.35600578869</v>
      </c>
      <c r="AM41" s="68">
        <v>308435.60057887121</v>
      </c>
      <c r="AN41" s="68">
        <v>3904218</v>
      </c>
      <c r="AO41" s="68">
        <v>119947.17800289435</v>
      </c>
      <c r="AP41" s="68">
        <v>2286353</v>
      </c>
      <c r="AQ41" s="68">
        <v>7666977</v>
      </c>
      <c r="AR41" s="68">
        <v>171353.11143270621</v>
      </c>
      <c r="AS41" s="68">
        <v>2374165</v>
      </c>
      <c r="AT41" s="68">
        <v>5595518</v>
      </c>
      <c r="AU41" s="68">
        <v>3054218</v>
      </c>
      <c r="AV41" s="83">
        <v>2037082</v>
      </c>
      <c r="AW41" s="68">
        <v>154217.8002894356</v>
      </c>
      <c r="AX41" s="68">
        <v>2808436</v>
      </c>
      <c r="AY41" s="68">
        <v>257029.6671490593</v>
      </c>
      <c r="AZ41" s="68">
        <v>666353</v>
      </c>
      <c r="BA41" s="68">
        <v>154217.8002894356</v>
      </c>
      <c r="BB41" s="83">
        <v>4751353</v>
      </c>
      <c r="BC41" s="68">
        <v>6350879</v>
      </c>
    </row>
    <row r="42" spans="1:57" s="68" customFormat="1" ht="33" customHeight="1" x14ac:dyDescent="0.3">
      <c r="A42" s="135"/>
      <c r="B42" s="66" t="s">
        <v>43</v>
      </c>
      <c r="C42" s="67">
        <f t="shared" si="4"/>
        <v>16835000</v>
      </c>
      <c r="D42" s="82"/>
      <c r="E42" s="82">
        <v>1750000</v>
      </c>
      <c r="F42" s="82"/>
      <c r="G42" s="82">
        <v>420000</v>
      </c>
      <c r="H42" s="68">
        <v>430000</v>
      </c>
      <c r="I42" s="82"/>
      <c r="M42" s="68">
        <v>915000</v>
      </c>
      <c r="N42" s="68">
        <v>920000</v>
      </c>
      <c r="O42" s="68">
        <v>125000</v>
      </c>
      <c r="P42" s="68">
        <v>100000</v>
      </c>
      <c r="R42" s="68">
        <v>190000</v>
      </c>
      <c r="S42" s="68">
        <v>155000</v>
      </c>
      <c r="T42" s="68">
        <v>500000</v>
      </c>
      <c r="U42" s="68">
        <v>1380000</v>
      </c>
      <c r="W42" s="68">
        <v>280000</v>
      </c>
      <c r="X42" s="68">
        <v>890000</v>
      </c>
      <c r="Z42" s="68">
        <v>1355000</v>
      </c>
      <c r="AA42" s="68">
        <v>150000</v>
      </c>
      <c r="AC42" s="68">
        <v>250000</v>
      </c>
      <c r="AF42" s="68">
        <v>160000</v>
      </c>
      <c r="AG42" s="68">
        <v>1120000</v>
      </c>
      <c r="AH42" s="68">
        <v>1765000</v>
      </c>
      <c r="AI42" s="68">
        <v>230000</v>
      </c>
      <c r="AJ42" s="68">
        <v>650000</v>
      </c>
      <c r="AN42" s="68">
        <v>190000</v>
      </c>
      <c r="AO42" s="68">
        <v>120000</v>
      </c>
      <c r="AP42" s="68">
        <v>350000</v>
      </c>
      <c r="AQ42" s="68">
        <v>405000</v>
      </c>
      <c r="AR42" s="68">
        <v>380000</v>
      </c>
      <c r="AT42" s="68">
        <v>35000</v>
      </c>
      <c r="AW42" s="68">
        <v>200000</v>
      </c>
      <c r="AX42" s="68">
        <v>555000</v>
      </c>
      <c r="AZ42" s="68">
        <v>250000</v>
      </c>
      <c r="BA42" s="68">
        <v>15000</v>
      </c>
      <c r="BC42" s="68">
        <v>600000</v>
      </c>
    </row>
    <row r="43" spans="1:57" s="68" customFormat="1" ht="54.5" customHeight="1" x14ac:dyDescent="0.3">
      <c r="A43" s="135"/>
      <c r="B43" s="66" t="s">
        <v>44</v>
      </c>
      <c r="C43" s="67">
        <f t="shared" si="4"/>
        <v>20926999</v>
      </c>
      <c r="D43" s="82"/>
      <c r="E43" s="82">
        <v>200000</v>
      </c>
      <c r="F43" s="82">
        <v>308000</v>
      </c>
      <c r="G43" s="68">
        <v>1826000</v>
      </c>
      <c r="H43" s="68">
        <v>165000</v>
      </c>
      <c r="I43" s="82"/>
      <c r="J43" s="82"/>
      <c r="L43" s="82">
        <v>500000</v>
      </c>
      <c r="M43" s="82">
        <v>700000</v>
      </c>
      <c r="O43" s="68">
        <v>450000</v>
      </c>
      <c r="P43" s="68">
        <v>165000</v>
      </c>
      <c r="Q43" s="68">
        <v>790000</v>
      </c>
      <c r="R43" s="68">
        <v>40000</v>
      </c>
      <c r="V43" s="68">
        <v>200000</v>
      </c>
      <c r="W43" s="68">
        <v>200000</v>
      </c>
      <c r="X43" s="68">
        <v>835000</v>
      </c>
      <c r="Y43" s="68">
        <v>645000</v>
      </c>
      <c r="Z43" s="68">
        <v>150000</v>
      </c>
      <c r="AA43" s="68">
        <v>615000</v>
      </c>
      <c r="AB43" s="68">
        <v>2000000</v>
      </c>
      <c r="AC43" s="68">
        <v>200000</v>
      </c>
      <c r="AD43" s="68">
        <v>783333</v>
      </c>
      <c r="AE43" s="68">
        <v>383333</v>
      </c>
      <c r="AG43" s="68">
        <v>1323333</v>
      </c>
      <c r="AH43" s="68">
        <v>2135000</v>
      </c>
      <c r="AJ43" s="68">
        <v>870000</v>
      </c>
      <c r="AL43" s="68">
        <v>200000</v>
      </c>
      <c r="AN43" s="68">
        <v>605000</v>
      </c>
      <c r="AP43" s="68">
        <v>40000</v>
      </c>
      <c r="AQ43" s="68">
        <v>1180000</v>
      </c>
      <c r="AR43" s="68">
        <v>1253000</v>
      </c>
      <c r="AS43" s="68">
        <v>165000</v>
      </c>
      <c r="AX43" s="68">
        <v>500000</v>
      </c>
      <c r="AZ43" s="68">
        <v>1500000</v>
      </c>
    </row>
    <row r="44" spans="1:57" s="93" customFormat="1" ht="13" x14ac:dyDescent="0.3">
      <c r="A44" s="91" t="s">
        <v>45</v>
      </c>
      <c r="B44" s="92"/>
      <c r="C44" s="62">
        <f t="shared" ref="C44:BC44" si="5">SUM(C30:C43)</f>
        <v>345020393.42813325</v>
      </c>
      <c r="D44" s="92">
        <f t="shared" si="5"/>
        <v>2552845.3748217407</v>
      </c>
      <c r="E44" s="92">
        <f>SUM(E30:E43)</f>
        <v>10283941.869054813</v>
      </c>
      <c r="F44" s="92">
        <f t="shared" si="5"/>
        <v>7960649.8046009261</v>
      </c>
      <c r="G44" s="92">
        <f t="shared" si="5"/>
        <v>12976050.261385586</v>
      </c>
      <c r="H44" s="92">
        <f t="shared" si="5"/>
        <v>5326786.3500136063</v>
      </c>
      <c r="I44" s="92">
        <f t="shared" si="5"/>
        <v>4167559.7266725949</v>
      </c>
      <c r="J44" s="92">
        <f t="shared" si="5"/>
        <v>4723859.5660973545</v>
      </c>
      <c r="K44" s="92">
        <f t="shared" si="5"/>
        <v>3298897.3128087996</v>
      </c>
      <c r="L44" s="92">
        <f t="shared" si="5"/>
        <v>8896873.8100990765</v>
      </c>
      <c r="M44" s="92">
        <f t="shared" si="5"/>
        <v>13885988.228452265</v>
      </c>
      <c r="N44" s="92">
        <f t="shared" si="5"/>
        <v>7132196.0901834257</v>
      </c>
      <c r="O44" s="92">
        <f t="shared" si="5"/>
        <v>10812469.880651714</v>
      </c>
      <c r="P44" s="92">
        <f t="shared" si="5"/>
        <v>5945753.464069535</v>
      </c>
      <c r="Q44" s="92">
        <f t="shared" si="5"/>
        <v>4147435.8321273513</v>
      </c>
      <c r="R44" s="92">
        <f t="shared" si="5"/>
        <v>4709817.8101162659</v>
      </c>
      <c r="S44" s="92">
        <f t="shared" si="5"/>
        <v>4911392.4486251809</v>
      </c>
      <c r="T44" s="92">
        <f t="shared" si="5"/>
        <v>3195607.2232197295</v>
      </c>
      <c r="U44" s="92">
        <f t="shared" si="5"/>
        <v>14331069.729802847</v>
      </c>
      <c r="V44" s="92">
        <f t="shared" si="5"/>
        <v>5532469.7512359153</v>
      </c>
      <c r="W44" s="92">
        <f t="shared" si="5"/>
        <v>5229989.6488417387</v>
      </c>
      <c r="X44" s="92">
        <f t="shared" si="5"/>
        <v>6386633.5374910124</v>
      </c>
      <c r="Y44" s="92">
        <f t="shared" si="5"/>
        <v>4055494.8686439577</v>
      </c>
      <c r="Z44" s="92">
        <f t="shared" si="5"/>
        <v>7230158.2709550653</v>
      </c>
      <c r="AA44" s="92">
        <f t="shared" si="5"/>
        <v>8382241.9460072722</v>
      </c>
      <c r="AB44" s="92">
        <f t="shared" si="5"/>
        <v>4463147.1877523046</v>
      </c>
      <c r="AC44" s="92">
        <f t="shared" si="5"/>
        <v>3309820.2253692383</v>
      </c>
      <c r="AD44" s="92">
        <f t="shared" si="5"/>
        <v>4171603.7647828758</v>
      </c>
      <c r="AE44" s="92">
        <f t="shared" si="5"/>
        <v>2645866.1619544877</v>
      </c>
      <c r="AF44" s="92">
        <f t="shared" si="5"/>
        <v>3511074.1299996916</v>
      </c>
      <c r="AG44" s="92">
        <f t="shared" si="5"/>
        <v>5983764.6288631987</v>
      </c>
      <c r="AH44" s="92">
        <f t="shared" si="5"/>
        <v>12270888.795918491</v>
      </c>
      <c r="AI44" s="92">
        <f t="shared" si="5"/>
        <v>2906034.875844779</v>
      </c>
      <c r="AJ44" s="92">
        <f t="shared" si="5"/>
        <v>10648564.589368576</v>
      </c>
      <c r="AK44" s="92">
        <f t="shared" si="5"/>
        <v>3303751.8429270517</v>
      </c>
      <c r="AL44" s="92">
        <f t="shared" si="5"/>
        <v>4456474.7261329545</v>
      </c>
      <c r="AM44" s="92">
        <f t="shared" si="5"/>
        <v>5659596.361604875</v>
      </c>
      <c r="AN44" s="92">
        <f t="shared" si="5"/>
        <v>7499212.047197029</v>
      </c>
      <c r="AO44" s="92">
        <f t="shared" si="5"/>
        <v>2581502.9434517128</v>
      </c>
      <c r="AP44" s="92">
        <f t="shared" si="5"/>
        <v>5630347.405094781</v>
      </c>
      <c r="AQ44" s="92">
        <f t="shared" si="5"/>
        <v>15629493.388989434</v>
      </c>
      <c r="AR44" s="92">
        <f t="shared" si="5"/>
        <v>4999742.6503091697</v>
      </c>
      <c r="AS44" s="92">
        <f t="shared" si="5"/>
        <v>7504762.7682669861</v>
      </c>
      <c r="AT44" s="92">
        <f t="shared" si="5"/>
        <v>13213389.076118827</v>
      </c>
      <c r="AU44" s="92">
        <f t="shared" si="5"/>
        <v>5946372.7671363391</v>
      </c>
      <c r="AV44" s="92">
        <f t="shared" si="5"/>
        <v>4580632.0524073448</v>
      </c>
      <c r="AW44" s="92">
        <f t="shared" si="5"/>
        <v>2916595.8832910731</v>
      </c>
      <c r="AX44" s="92">
        <f t="shared" si="5"/>
        <v>9385525.4696435165</v>
      </c>
      <c r="AY44" s="92">
        <f t="shared" si="5"/>
        <v>4999427.9837522283</v>
      </c>
      <c r="AZ44" s="92">
        <f t="shared" si="5"/>
        <v>5434806.6859700345</v>
      </c>
      <c r="BA44" s="92">
        <f t="shared" si="5"/>
        <v>3085605.8411476258</v>
      </c>
      <c r="BB44" s="92">
        <f t="shared" si="5"/>
        <v>7472256.2354165614</v>
      </c>
      <c r="BC44" s="92">
        <f t="shared" si="5"/>
        <v>14733950.133444294</v>
      </c>
      <c r="BE44" s="68"/>
    </row>
    <row r="45" spans="1:57" s="96" customFormat="1" ht="13" x14ac:dyDescent="0.3">
      <c r="A45" s="94" t="s">
        <v>46</v>
      </c>
      <c r="B45" s="95"/>
      <c r="C45" s="62">
        <f>C29+C44</f>
        <v>3024823262.011467</v>
      </c>
      <c r="D45" s="95">
        <f t="shared" ref="D45:BC45" si="6">D29+D44</f>
        <v>31363825.374821741</v>
      </c>
      <c r="E45" s="95">
        <f t="shared" si="6"/>
        <v>72107120.869054809</v>
      </c>
      <c r="F45" s="95">
        <f t="shared" si="6"/>
        <v>59614433.471267588</v>
      </c>
      <c r="G45" s="95">
        <f t="shared" si="6"/>
        <v>79384044.26138559</v>
      </c>
      <c r="H45" s="95">
        <f t="shared" si="6"/>
        <v>68601851.350013614</v>
      </c>
      <c r="I45" s="95">
        <f t="shared" si="6"/>
        <v>51843463.576672599</v>
      </c>
      <c r="J45" s="95">
        <f t="shared" si="6"/>
        <v>54352798.299430691</v>
      </c>
      <c r="K45" s="95">
        <f t="shared" si="6"/>
        <v>33489937.979475468</v>
      </c>
      <c r="L45" s="95">
        <f t="shared" si="6"/>
        <v>99903122.143432409</v>
      </c>
      <c r="M45" s="95">
        <f t="shared" si="6"/>
        <v>96092964.895118922</v>
      </c>
      <c r="N45" s="95">
        <f t="shared" si="6"/>
        <v>64190001.090183422</v>
      </c>
      <c r="O45" s="95">
        <f t="shared" si="6"/>
        <v>81066751.880651712</v>
      </c>
      <c r="P45" s="95">
        <f t="shared" si="6"/>
        <v>82528095.46406953</v>
      </c>
      <c r="Q45" s="95">
        <f t="shared" si="6"/>
        <v>42884861.832127348</v>
      </c>
      <c r="R45" s="95">
        <f t="shared" si="6"/>
        <v>64529734.810116269</v>
      </c>
      <c r="S45" s="95">
        <f t="shared" si="6"/>
        <v>39285537.78195852</v>
      </c>
      <c r="T45" s="95">
        <f t="shared" si="6"/>
        <v>17530413.22321973</v>
      </c>
      <c r="U45" s="95">
        <f t="shared" si="6"/>
        <v>88730785.729802847</v>
      </c>
      <c r="V45" s="95">
        <f t="shared" si="6"/>
        <v>44979328.084569246</v>
      </c>
      <c r="W45" s="95">
        <f t="shared" si="6"/>
        <v>51605417.982175075</v>
      </c>
      <c r="X45" s="95">
        <f t="shared" si="6"/>
        <v>38837567.870824344</v>
      </c>
      <c r="Y45" s="95">
        <f t="shared" si="6"/>
        <v>27053509.868643958</v>
      </c>
      <c r="Z45" s="95">
        <f t="shared" si="6"/>
        <v>71794801.270955071</v>
      </c>
      <c r="AA45" s="95">
        <f t="shared" si="6"/>
        <v>66005660.27934061</v>
      </c>
      <c r="AB45" s="95">
        <f t="shared" si="6"/>
        <v>19343385.187752306</v>
      </c>
      <c r="AC45" s="95">
        <f t="shared" si="6"/>
        <v>41431340.225369237</v>
      </c>
      <c r="AD45" s="95">
        <f t="shared" si="6"/>
        <v>50170915.364782877</v>
      </c>
      <c r="AE45" s="95">
        <f t="shared" si="6"/>
        <v>18264740.561954487</v>
      </c>
      <c r="AF45" s="95">
        <f t="shared" si="6"/>
        <v>49232140.12999969</v>
      </c>
      <c r="AG45" s="95">
        <f t="shared" si="6"/>
        <v>45093009.628863201</v>
      </c>
      <c r="AH45" s="95">
        <f t="shared" si="6"/>
        <v>60677572.795918494</v>
      </c>
      <c r="AI45" s="95">
        <f t="shared" si="6"/>
        <v>20043938.87584478</v>
      </c>
      <c r="AJ45" s="95">
        <f t="shared" si="6"/>
        <v>96343532.589368582</v>
      </c>
      <c r="AK45" s="95">
        <f t="shared" si="6"/>
        <v>49298429.842927054</v>
      </c>
      <c r="AL45" s="95">
        <f t="shared" si="6"/>
        <v>52652056.726132952</v>
      </c>
      <c r="AM45" s="95">
        <f t="shared" si="6"/>
        <v>73577797.361604869</v>
      </c>
      <c r="AN45" s="95">
        <f t="shared" si="6"/>
        <v>34765171.047197029</v>
      </c>
      <c r="AO45" s="95">
        <f t="shared" si="6"/>
        <v>17044810.943451714</v>
      </c>
      <c r="AP45" s="95">
        <f t="shared" si="6"/>
        <v>51390676.40509478</v>
      </c>
      <c r="AQ45" s="95">
        <f t="shared" si="6"/>
        <v>117667857.72232276</v>
      </c>
      <c r="AR45" s="95">
        <f t="shared" si="6"/>
        <v>38563265.650309168</v>
      </c>
      <c r="AS45" s="95">
        <f t="shared" si="6"/>
        <v>72742365.768266991</v>
      </c>
      <c r="AT45" s="95">
        <f t="shared" si="6"/>
        <v>149819808.07611883</v>
      </c>
      <c r="AU45" s="95">
        <f t="shared" si="6"/>
        <v>38072781.433803007</v>
      </c>
      <c r="AV45" s="95">
        <f t="shared" si="6"/>
        <v>41726899.052407347</v>
      </c>
      <c r="AW45" s="95">
        <f t="shared" si="6"/>
        <v>28672658.883291073</v>
      </c>
      <c r="AX45" s="95">
        <f t="shared" si="6"/>
        <v>85660191.469643518</v>
      </c>
      <c r="AY45" s="95">
        <f t="shared" si="6"/>
        <v>78684979.983752221</v>
      </c>
      <c r="AZ45" s="95">
        <f t="shared" si="6"/>
        <v>44286116.685970038</v>
      </c>
      <c r="BA45" s="95">
        <f t="shared" si="6"/>
        <v>26365028.841147624</v>
      </c>
      <c r="BB45" s="95">
        <f t="shared" si="6"/>
        <v>60762225.235416561</v>
      </c>
      <c r="BC45" s="95">
        <f t="shared" si="6"/>
        <v>134693536.13344431</v>
      </c>
      <c r="BE45" s="68"/>
    </row>
    <row r="46" spans="1:57" s="93" customFormat="1" ht="13" x14ac:dyDescent="0.3">
      <c r="A46" s="92" t="s">
        <v>47</v>
      </c>
      <c r="B46" s="92"/>
      <c r="C46" s="67">
        <f t="shared" ref="C46:BC46" si="7">C4-C29</f>
        <v>871942638.41666651</v>
      </c>
      <c r="D46" s="97">
        <f t="shared" si="7"/>
        <v>12323020</v>
      </c>
      <c r="E46" s="97">
        <f t="shared" si="7"/>
        <v>6784821</v>
      </c>
      <c r="F46" s="97">
        <f t="shared" si="7"/>
        <v>26526216.333333336</v>
      </c>
      <c r="G46" s="97">
        <f t="shared" si="7"/>
        <v>27917006</v>
      </c>
      <c r="H46" s="97">
        <f t="shared" si="7"/>
        <v>12820935</v>
      </c>
      <c r="I46" s="97">
        <f t="shared" si="7"/>
        <v>16721096.149999999</v>
      </c>
      <c r="J46" s="97">
        <f t="shared" si="7"/>
        <v>13852061.266666666</v>
      </c>
      <c r="K46" s="97">
        <f t="shared" si="7"/>
        <v>7477959.3333333321</v>
      </c>
      <c r="L46" s="97">
        <f t="shared" si="7"/>
        <v>29550751.666666672</v>
      </c>
      <c r="M46" s="97">
        <f t="shared" si="7"/>
        <v>29678023.333333343</v>
      </c>
      <c r="N46" s="97">
        <f t="shared" si="7"/>
        <v>15405395</v>
      </c>
      <c r="O46" s="97">
        <f t="shared" si="7"/>
        <v>10069718</v>
      </c>
      <c r="P46" s="97">
        <f t="shared" si="7"/>
        <v>18854658</v>
      </c>
      <c r="Q46" s="97">
        <f t="shared" si="7"/>
        <v>14681574</v>
      </c>
      <c r="R46" s="97">
        <f t="shared" si="7"/>
        <v>15351809</v>
      </c>
      <c r="S46" s="97">
        <f t="shared" si="7"/>
        <v>15006854.666666664</v>
      </c>
      <c r="T46" s="97">
        <f t="shared" si="7"/>
        <v>9839194</v>
      </c>
      <c r="U46" s="97">
        <f t="shared" si="7"/>
        <v>27791284</v>
      </c>
      <c r="V46" s="97">
        <f t="shared" si="7"/>
        <v>17155141.666666672</v>
      </c>
      <c r="W46" s="97">
        <f t="shared" si="7"/>
        <v>12487571.666666664</v>
      </c>
      <c r="X46" s="97">
        <f t="shared" si="7"/>
        <v>14886065.666666668</v>
      </c>
      <c r="Y46" s="97">
        <f t="shared" si="7"/>
        <v>12093985</v>
      </c>
      <c r="Z46" s="97">
        <f t="shared" si="7"/>
        <v>22315357</v>
      </c>
      <c r="AA46" s="97">
        <f t="shared" si="7"/>
        <v>16792000.666666664</v>
      </c>
      <c r="AB46" s="97">
        <f t="shared" si="7"/>
        <v>10141762</v>
      </c>
      <c r="AC46" s="97">
        <f t="shared" si="7"/>
        <v>8232480</v>
      </c>
      <c r="AD46" s="97">
        <f t="shared" si="7"/>
        <v>11991688.399999999</v>
      </c>
      <c r="AE46" s="97">
        <f t="shared" si="7"/>
        <v>7345125.5999999996</v>
      </c>
      <c r="AF46" s="97">
        <f t="shared" si="7"/>
        <v>14743934</v>
      </c>
      <c r="AG46" s="97">
        <f t="shared" si="7"/>
        <v>15852755</v>
      </c>
      <c r="AH46" s="97">
        <f t="shared" si="7"/>
        <v>15640542</v>
      </c>
      <c r="AI46" s="97">
        <f t="shared" si="7"/>
        <v>9422430</v>
      </c>
      <c r="AJ46" s="97">
        <f t="shared" si="7"/>
        <v>28450032</v>
      </c>
      <c r="AK46" s="97">
        <f t="shared" si="7"/>
        <v>19693322</v>
      </c>
      <c r="AL46" s="97">
        <f t="shared" si="7"/>
        <v>11714418</v>
      </c>
      <c r="AM46" s="97">
        <f t="shared" si="7"/>
        <v>16223799</v>
      </c>
      <c r="AN46" s="97">
        <f t="shared" si="7"/>
        <v>9824041</v>
      </c>
      <c r="AO46" s="97">
        <f t="shared" si="7"/>
        <v>12601192</v>
      </c>
      <c r="AP46" s="97">
        <f t="shared" si="7"/>
        <v>12413671</v>
      </c>
      <c r="AQ46" s="97">
        <f t="shared" si="7"/>
        <v>29144135.666666672</v>
      </c>
      <c r="AR46" s="97">
        <f t="shared" si="7"/>
        <v>11639477</v>
      </c>
      <c r="AS46" s="97">
        <f t="shared" si="7"/>
        <v>22068397</v>
      </c>
      <c r="AT46" s="97">
        <f t="shared" si="7"/>
        <v>45458581</v>
      </c>
      <c r="AU46" s="97">
        <f t="shared" si="7"/>
        <v>19840591.333333332</v>
      </c>
      <c r="AV46" s="97">
        <f t="shared" si="7"/>
        <v>7699333</v>
      </c>
      <c r="AW46" s="97">
        <f t="shared" si="7"/>
        <v>9407937</v>
      </c>
      <c r="AX46" s="97">
        <f t="shared" si="7"/>
        <v>21813336</v>
      </c>
      <c r="AY46" s="97">
        <f t="shared" si="7"/>
        <v>22956448</v>
      </c>
      <c r="AZ46" s="97">
        <f t="shared" si="7"/>
        <v>14497690</v>
      </c>
      <c r="BA46" s="97">
        <f t="shared" si="7"/>
        <v>17969577</v>
      </c>
      <c r="BB46" s="97">
        <f t="shared" si="7"/>
        <v>9915031</v>
      </c>
      <c r="BC46" s="97">
        <f t="shared" si="7"/>
        <v>28858414</v>
      </c>
      <c r="BE46" s="68"/>
    </row>
    <row r="47" spans="1:57" s="100" customFormat="1" ht="13" x14ac:dyDescent="0.3">
      <c r="A47" s="98" t="s">
        <v>48</v>
      </c>
      <c r="B47" s="98"/>
      <c r="C47" s="67">
        <f>C4-C45</f>
        <v>526922244.98853302</v>
      </c>
      <c r="D47" s="99">
        <f t="shared" ref="D47:BC47" si="8">D4-D45</f>
        <v>9770174.6251782589</v>
      </c>
      <c r="E47" s="99">
        <f t="shared" si="8"/>
        <v>-3499120.8690548092</v>
      </c>
      <c r="F47" s="99">
        <f t="shared" si="8"/>
        <v>18565566.528732412</v>
      </c>
      <c r="G47" s="99">
        <f t="shared" si="8"/>
        <v>14940955.73861441</v>
      </c>
      <c r="H47" s="99">
        <f t="shared" si="8"/>
        <v>7494148.6499863863</v>
      </c>
      <c r="I47" s="99">
        <f t="shared" si="8"/>
        <v>12553536.423327401</v>
      </c>
      <c r="J47" s="99">
        <f t="shared" si="8"/>
        <v>9128201.7005693093</v>
      </c>
      <c r="K47" s="99">
        <f t="shared" si="8"/>
        <v>4179062.0205245316</v>
      </c>
      <c r="L47" s="99">
        <f t="shared" si="8"/>
        <v>20653877.856567591</v>
      </c>
      <c r="M47" s="99">
        <f t="shared" si="8"/>
        <v>15792035.104881078</v>
      </c>
      <c r="N47" s="99">
        <f t="shared" si="8"/>
        <v>8273198.909816578</v>
      </c>
      <c r="O47" s="99">
        <f t="shared" si="8"/>
        <v>-742751.88065171242</v>
      </c>
      <c r="P47" s="99">
        <f t="shared" si="8"/>
        <v>12908904.53593047</v>
      </c>
      <c r="Q47" s="99">
        <f t="shared" si="8"/>
        <v>10534138.167872652</v>
      </c>
      <c r="R47" s="99">
        <f t="shared" si="8"/>
        <v>10641991.189883731</v>
      </c>
      <c r="S47" s="99">
        <f t="shared" si="8"/>
        <v>10095462.21804148</v>
      </c>
      <c r="T47" s="99">
        <f t="shared" si="8"/>
        <v>6643586.77678027</v>
      </c>
      <c r="U47" s="99">
        <f t="shared" si="8"/>
        <v>13460214.270197153</v>
      </c>
      <c r="V47" s="99">
        <f t="shared" si="8"/>
        <v>11622671.915430754</v>
      </c>
      <c r="W47" s="99">
        <f t="shared" si="8"/>
        <v>7257582.0178249255</v>
      </c>
      <c r="X47" s="99">
        <f t="shared" si="8"/>
        <v>8499432.1291756555</v>
      </c>
      <c r="Y47" s="99">
        <f t="shared" si="8"/>
        <v>8038490.1313560419</v>
      </c>
      <c r="Z47" s="99">
        <f t="shared" si="8"/>
        <v>15085198.729044929</v>
      </c>
      <c r="AA47" s="99">
        <f t="shared" si="8"/>
        <v>8409758.7206593901</v>
      </c>
      <c r="AB47" s="99">
        <f t="shared" si="8"/>
        <v>5678614.8122476935</v>
      </c>
      <c r="AC47" s="99">
        <f t="shared" si="8"/>
        <v>4922659.7746307626</v>
      </c>
      <c r="AD47" s="99">
        <f t="shared" si="8"/>
        <v>7820084.6352171227</v>
      </c>
      <c r="AE47" s="99">
        <f t="shared" si="8"/>
        <v>4699259.4380455129</v>
      </c>
      <c r="AF47" s="99">
        <f t="shared" si="8"/>
        <v>11232859.87000031</v>
      </c>
      <c r="AG47" s="99">
        <f t="shared" si="8"/>
        <v>9868990.3711367995</v>
      </c>
      <c r="AH47" s="99">
        <f t="shared" si="8"/>
        <v>3369653.2040815055</v>
      </c>
      <c r="AI47" s="99">
        <f t="shared" si="8"/>
        <v>6516395.1241552196</v>
      </c>
      <c r="AJ47" s="99">
        <f t="shared" si="8"/>
        <v>17801467.410631418</v>
      </c>
      <c r="AK47" s="99">
        <f t="shared" si="8"/>
        <v>16389570.157072946</v>
      </c>
      <c r="AL47" s="99">
        <f t="shared" si="8"/>
        <v>7257943.2738670483</v>
      </c>
      <c r="AM47" s="99">
        <f t="shared" si="8"/>
        <v>10564202.638395131</v>
      </c>
      <c r="AN47" s="99">
        <f t="shared" si="8"/>
        <v>2324828.952802971</v>
      </c>
      <c r="AO47" s="99">
        <f t="shared" si="8"/>
        <v>10019689.056548286</v>
      </c>
      <c r="AP47" s="99">
        <f t="shared" si="8"/>
        <v>6783323.59490522</v>
      </c>
      <c r="AQ47" s="99">
        <f t="shared" si="8"/>
        <v>13514642.277677238</v>
      </c>
      <c r="AR47" s="99">
        <f t="shared" si="8"/>
        <v>6639734.3496908322</v>
      </c>
      <c r="AS47" s="99">
        <f t="shared" si="8"/>
        <v>14563634.231733009</v>
      </c>
      <c r="AT47" s="99">
        <f t="shared" si="8"/>
        <v>32245191.923881173</v>
      </c>
      <c r="AU47" s="99">
        <f t="shared" si="8"/>
        <v>13894218.566196993</v>
      </c>
      <c r="AV47" s="99">
        <f t="shared" si="8"/>
        <v>3118700.9475926533</v>
      </c>
      <c r="AW47" s="99">
        <f t="shared" si="8"/>
        <v>6491341.1167089269</v>
      </c>
      <c r="AX47" s="99">
        <f t="shared" si="8"/>
        <v>12427810.530356482</v>
      </c>
      <c r="AY47" s="99">
        <f t="shared" si="8"/>
        <v>17957020.016247779</v>
      </c>
      <c r="AZ47" s="99">
        <f t="shared" si="8"/>
        <v>9062883.3140299618</v>
      </c>
      <c r="BA47" s="99">
        <f t="shared" si="8"/>
        <v>14883971.158852376</v>
      </c>
      <c r="BB47" s="99">
        <f t="shared" si="8"/>
        <v>2442774.7645834386</v>
      </c>
      <c r="BC47" s="99">
        <f t="shared" si="8"/>
        <v>14124463.866555691</v>
      </c>
      <c r="BE47" s="68"/>
    </row>
    <row r="48" spans="1:57" s="64" customFormat="1" ht="13" x14ac:dyDescent="0.3">
      <c r="A48" s="60" t="s">
        <v>29</v>
      </c>
      <c r="B48" s="60"/>
      <c r="C48" s="67">
        <f t="shared" ref="C48:BC48" si="9">C29</f>
        <v>2679802868.5833335</v>
      </c>
      <c r="D48" s="61">
        <f t="shared" si="9"/>
        <v>28810980</v>
      </c>
      <c r="E48" s="61">
        <f t="shared" si="9"/>
        <v>61823179</v>
      </c>
      <c r="F48" s="61">
        <f t="shared" si="9"/>
        <v>51653783.666666664</v>
      </c>
      <c r="G48" s="61">
        <f t="shared" si="9"/>
        <v>66407994</v>
      </c>
      <c r="H48" s="61">
        <f t="shared" si="9"/>
        <v>63275065</v>
      </c>
      <c r="I48" s="61">
        <f t="shared" si="9"/>
        <v>47675903.850000001</v>
      </c>
      <c r="J48" s="61">
        <f t="shared" si="9"/>
        <v>49628938.733333334</v>
      </c>
      <c r="K48" s="61">
        <f t="shared" si="9"/>
        <v>30191040.666666668</v>
      </c>
      <c r="L48" s="61">
        <f t="shared" si="9"/>
        <v>91006248.333333328</v>
      </c>
      <c r="M48" s="61">
        <f t="shared" si="9"/>
        <v>82206976.666666657</v>
      </c>
      <c r="N48" s="61">
        <f t="shared" si="9"/>
        <v>57057805</v>
      </c>
      <c r="O48" s="61">
        <f t="shared" si="9"/>
        <v>70254282</v>
      </c>
      <c r="P48" s="61">
        <f t="shared" si="9"/>
        <v>76582342</v>
      </c>
      <c r="Q48" s="61">
        <f t="shared" si="9"/>
        <v>38737426</v>
      </c>
      <c r="R48" s="61">
        <f t="shared" si="9"/>
        <v>59819917</v>
      </c>
      <c r="S48" s="61">
        <f t="shared" si="9"/>
        <v>34374145.333333336</v>
      </c>
      <c r="T48" s="61">
        <f t="shared" si="9"/>
        <v>14334806</v>
      </c>
      <c r="U48" s="61">
        <f t="shared" si="9"/>
        <v>74399716</v>
      </c>
      <c r="V48" s="61">
        <f t="shared" si="9"/>
        <v>39446858.333333328</v>
      </c>
      <c r="W48" s="61">
        <f t="shared" si="9"/>
        <v>46375428.333333336</v>
      </c>
      <c r="X48" s="61">
        <f t="shared" si="9"/>
        <v>32450934.333333332</v>
      </c>
      <c r="Y48" s="61">
        <f t="shared" si="9"/>
        <v>22998015</v>
      </c>
      <c r="Z48" s="61">
        <f t="shared" si="9"/>
        <v>64564643</v>
      </c>
      <c r="AA48" s="61">
        <f t="shared" si="9"/>
        <v>57623418.333333336</v>
      </c>
      <c r="AB48" s="61">
        <f t="shared" si="9"/>
        <v>14880238</v>
      </c>
      <c r="AC48" s="61">
        <f t="shared" si="9"/>
        <v>38121520</v>
      </c>
      <c r="AD48" s="61">
        <f t="shared" si="9"/>
        <v>45999311.600000001</v>
      </c>
      <c r="AE48" s="61">
        <f t="shared" si="9"/>
        <v>15618874.4</v>
      </c>
      <c r="AF48" s="61">
        <f t="shared" si="9"/>
        <v>45721066</v>
      </c>
      <c r="AG48" s="61">
        <f t="shared" si="9"/>
        <v>39109245</v>
      </c>
      <c r="AH48" s="61">
        <f t="shared" si="9"/>
        <v>48406684</v>
      </c>
      <c r="AI48" s="61">
        <f t="shared" si="9"/>
        <v>17137904</v>
      </c>
      <c r="AJ48" s="61">
        <f t="shared" si="9"/>
        <v>85694968</v>
      </c>
      <c r="AK48" s="61">
        <f t="shared" si="9"/>
        <v>45994678</v>
      </c>
      <c r="AL48" s="61">
        <f t="shared" si="9"/>
        <v>48195582</v>
      </c>
      <c r="AM48" s="61">
        <f t="shared" si="9"/>
        <v>67918201</v>
      </c>
      <c r="AN48" s="61">
        <f t="shared" si="9"/>
        <v>27265959</v>
      </c>
      <c r="AO48" s="61">
        <f t="shared" si="9"/>
        <v>14463308</v>
      </c>
      <c r="AP48" s="61">
        <f t="shared" si="9"/>
        <v>45760329</v>
      </c>
      <c r="AQ48" s="61">
        <f t="shared" si="9"/>
        <v>102038364.33333333</v>
      </c>
      <c r="AR48" s="61">
        <f t="shared" si="9"/>
        <v>33563523</v>
      </c>
      <c r="AS48" s="61">
        <f t="shared" si="9"/>
        <v>65237603</v>
      </c>
      <c r="AT48" s="61">
        <f t="shared" si="9"/>
        <v>136606419</v>
      </c>
      <c r="AU48" s="61">
        <f t="shared" si="9"/>
        <v>32126408.666666668</v>
      </c>
      <c r="AV48" s="61">
        <f t="shared" si="9"/>
        <v>37146267</v>
      </c>
      <c r="AW48" s="61">
        <f t="shared" si="9"/>
        <v>25756063</v>
      </c>
      <c r="AX48" s="61">
        <f t="shared" si="9"/>
        <v>76274666</v>
      </c>
      <c r="AY48" s="61">
        <f t="shared" si="9"/>
        <v>73685552</v>
      </c>
      <c r="AZ48" s="61">
        <f t="shared" si="9"/>
        <v>38851310</v>
      </c>
      <c r="BA48" s="61">
        <f t="shared" si="9"/>
        <v>23279423</v>
      </c>
      <c r="BB48" s="61">
        <f t="shared" si="9"/>
        <v>53289969</v>
      </c>
      <c r="BC48" s="61">
        <f t="shared" si="9"/>
        <v>119959586</v>
      </c>
      <c r="BE48" s="68"/>
    </row>
    <row r="49" spans="1:57" s="104" customFormat="1" ht="13" x14ac:dyDescent="0.3">
      <c r="A49" s="101" t="s">
        <v>49</v>
      </c>
      <c r="B49" s="102"/>
      <c r="C49" s="103">
        <f t="shared" ref="C49:BC49" si="10">C47/C4</f>
        <v>0.1483558560009556</v>
      </c>
      <c r="D49" s="101">
        <f t="shared" si="10"/>
        <v>0.23752065505854666</v>
      </c>
      <c r="E49" s="101">
        <f t="shared" si="10"/>
        <v>-5.1001645129646819E-2</v>
      </c>
      <c r="F49" s="101">
        <f t="shared" si="10"/>
        <v>0.23747207122962921</v>
      </c>
      <c r="G49" s="101">
        <f t="shared" si="10"/>
        <v>0.15839868262511964</v>
      </c>
      <c r="H49" s="101">
        <f t="shared" si="10"/>
        <v>9.8482819727533463E-2</v>
      </c>
      <c r="I49" s="101">
        <f t="shared" si="10"/>
        <v>0.19493977084844638</v>
      </c>
      <c r="J49" s="101">
        <f t="shared" si="10"/>
        <v>0.14379423292905452</v>
      </c>
      <c r="K49" s="101">
        <f t="shared" si="10"/>
        <v>0.11094167672421704</v>
      </c>
      <c r="L49" s="101">
        <f t="shared" si="10"/>
        <v>0.17132043644556177</v>
      </c>
      <c r="M49" s="101">
        <f t="shared" si="10"/>
        <v>0.14114523935184412</v>
      </c>
      <c r="N49" s="101">
        <f t="shared" si="10"/>
        <v>0.11417104005642281</v>
      </c>
      <c r="O49" s="101">
        <f t="shared" si="10"/>
        <v>-9.2469483672590058E-3</v>
      </c>
      <c r="P49" s="101">
        <f t="shared" si="10"/>
        <v>0.13526100501828922</v>
      </c>
      <c r="Q49" s="101">
        <f t="shared" si="10"/>
        <v>0.19719834081268187</v>
      </c>
      <c r="R49" s="101">
        <f t="shared" si="10"/>
        <v>0.14156906800149474</v>
      </c>
      <c r="S49" s="101">
        <f t="shared" si="10"/>
        <v>0.20444021421278386</v>
      </c>
      <c r="T49" s="101">
        <f t="shared" si="10"/>
        <v>0.27482364427816125</v>
      </c>
      <c r="U49" s="101">
        <f t="shared" si="10"/>
        <v>0.13171623988606779</v>
      </c>
      <c r="V49" s="101">
        <f t="shared" si="10"/>
        <v>0.20534030450215107</v>
      </c>
      <c r="W49" s="101">
        <f t="shared" si="10"/>
        <v>0.12329616257793394</v>
      </c>
      <c r="X49" s="101">
        <f t="shared" si="10"/>
        <v>0.17955155859424246</v>
      </c>
      <c r="Y49" s="101">
        <f t="shared" si="10"/>
        <v>0.22906902232292381</v>
      </c>
      <c r="Z49" s="101">
        <f t="shared" si="10"/>
        <v>0.17363258205622617</v>
      </c>
      <c r="AA49" s="101">
        <f t="shared" si="10"/>
        <v>0.1130109704906639</v>
      </c>
      <c r="AB49" s="101">
        <f t="shared" si="10"/>
        <v>0.22694488099463248</v>
      </c>
      <c r="AC49" s="101">
        <f t="shared" si="10"/>
        <v>0.10619708708268462</v>
      </c>
      <c r="AD49" s="101">
        <f t="shared" si="10"/>
        <v>0.13484997043018956</v>
      </c>
      <c r="AE49" s="101">
        <f t="shared" si="10"/>
        <v>0.20463592745364539</v>
      </c>
      <c r="AF49" s="101">
        <f t="shared" si="10"/>
        <v>0.1857745781857324</v>
      </c>
      <c r="AG49" s="101">
        <f t="shared" si="10"/>
        <v>0.17956024837409118</v>
      </c>
      <c r="AH49" s="101">
        <f t="shared" si="10"/>
        <v>5.2612008583814471E-2</v>
      </c>
      <c r="AI49" s="101">
        <f t="shared" si="10"/>
        <v>0.24534311670008441</v>
      </c>
      <c r="AJ49" s="101">
        <f t="shared" si="10"/>
        <v>0.15595485926349309</v>
      </c>
      <c r="AK49" s="101">
        <f t="shared" si="10"/>
        <v>0.24950630491220538</v>
      </c>
      <c r="AL49" s="101">
        <f t="shared" si="10"/>
        <v>0.12114744239470954</v>
      </c>
      <c r="AM49" s="101">
        <f t="shared" si="10"/>
        <v>0.12555207433142937</v>
      </c>
      <c r="AN49" s="101">
        <f t="shared" si="10"/>
        <v>6.2680748255674601E-2</v>
      </c>
      <c r="AO49" s="101">
        <f t="shared" si="10"/>
        <v>0.3702151917289544</v>
      </c>
      <c r="AP49" s="101">
        <f t="shared" si="10"/>
        <v>0.11660404295570564</v>
      </c>
      <c r="AQ49" s="101">
        <f t="shared" si="10"/>
        <v>0.10302168564920808</v>
      </c>
      <c r="AR49" s="101">
        <f t="shared" si="10"/>
        <v>0.14688702850896693</v>
      </c>
      <c r="AS49" s="101">
        <f t="shared" si="10"/>
        <v>0.16681137873379848</v>
      </c>
      <c r="AT49" s="101">
        <f t="shared" si="10"/>
        <v>0.17710813129311603</v>
      </c>
      <c r="AU49" s="101">
        <f t="shared" si="10"/>
        <v>0.26736618558310066</v>
      </c>
      <c r="AV49" s="101">
        <f t="shared" si="10"/>
        <v>6.9543075521180525E-2</v>
      </c>
      <c r="AW49" s="101">
        <f t="shared" si="10"/>
        <v>0.18460189730147103</v>
      </c>
      <c r="AX49" s="101">
        <f t="shared" si="10"/>
        <v>0.12670061859712956</v>
      </c>
      <c r="AY49" s="101">
        <f t="shared" si="10"/>
        <v>0.18580968953713478</v>
      </c>
      <c r="AZ49" s="101">
        <f t="shared" si="10"/>
        <v>0.16987916013477219</v>
      </c>
      <c r="BA49" s="101">
        <f t="shared" si="10"/>
        <v>0.36083229069437744</v>
      </c>
      <c r="BB49" s="101">
        <f t="shared" si="10"/>
        <v>3.8648441809721358E-2</v>
      </c>
      <c r="BC49" s="101">
        <f t="shared" si="10"/>
        <v>9.4910991053203858E-2</v>
      </c>
      <c r="BE49" s="123"/>
    </row>
    <row r="50" spans="1:57" s="104" customFormat="1" ht="13" x14ac:dyDescent="0.3">
      <c r="A50" s="101" t="s">
        <v>50</v>
      </c>
      <c r="B50" s="102"/>
      <c r="C50" s="103">
        <f t="shared" ref="C50:BC50" si="11">C46/C4</f>
        <v>0.24549693571743469</v>
      </c>
      <c r="D50" s="101">
        <f t="shared" si="11"/>
        <v>0.29958234064277728</v>
      </c>
      <c r="E50" s="101">
        <f t="shared" si="11"/>
        <v>9.8892563549440302E-2</v>
      </c>
      <c r="F50" s="101">
        <f t="shared" si="11"/>
        <v>0.3392967041869191</v>
      </c>
      <c r="G50" s="101">
        <f t="shared" si="11"/>
        <v>0.29596613835144447</v>
      </c>
      <c r="H50" s="101">
        <f t="shared" si="11"/>
        <v>0.16848369165264929</v>
      </c>
      <c r="I50" s="101">
        <f t="shared" si="11"/>
        <v>0.25965644595245119</v>
      </c>
      <c r="J50" s="101">
        <f t="shared" si="11"/>
        <v>0.21820798769185529</v>
      </c>
      <c r="K50" s="101">
        <f t="shared" si="11"/>
        <v>0.19851759625509921</v>
      </c>
      <c r="L50" s="101">
        <f t="shared" si="11"/>
        <v>0.24511850549256095</v>
      </c>
      <c r="M50" s="101">
        <f t="shared" si="11"/>
        <v>0.26525471093831471</v>
      </c>
      <c r="N50" s="101">
        <f t="shared" si="11"/>
        <v>0.21259611775356319</v>
      </c>
      <c r="O50" s="101">
        <f t="shared" si="11"/>
        <v>0.12536375180518899</v>
      </c>
      <c r="P50" s="101">
        <f t="shared" si="11"/>
        <v>0.19756130222031287</v>
      </c>
      <c r="Q50" s="101">
        <f t="shared" si="11"/>
        <v>0.27483805387596172</v>
      </c>
      <c r="R50" s="101">
        <f t="shared" si="11"/>
        <v>0.20422318093374628</v>
      </c>
      <c r="S50" s="101">
        <f t="shared" si="11"/>
        <v>0.30389936750302066</v>
      </c>
      <c r="T50" s="101">
        <f t="shared" si="11"/>
        <v>0.40701555390088523</v>
      </c>
      <c r="U50" s="101">
        <f t="shared" si="11"/>
        <v>0.2719543208306015</v>
      </c>
      <c r="V50" s="101">
        <f t="shared" si="11"/>
        <v>0.30308366606598125</v>
      </c>
      <c r="W50" s="101">
        <f t="shared" si="11"/>
        <v>0.21214636812032456</v>
      </c>
      <c r="X50" s="101">
        <f t="shared" si="11"/>
        <v>0.31446998471949361</v>
      </c>
      <c r="Y50" s="101">
        <f t="shared" si="11"/>
        <v>0.34463652684372509</v>
      </c>
      <c r="Z50" s="101">
        <f t="shared" si="11"/>
        <v>0.25685263581952117</v>
      </c>
      <c r="AA50" s="101">
        <f t="shared" si="11"/>
        <v>0.22565216849301975</v>
      </c>
      <c r="AB50" s="101">
        <f t="shared" si="11"/>
        <v>0.40531380385260968</v>
      </c>
      <c r="AC50" s="101">
        <f t="shared" si="11"/>
        <v>0.17760020710186822</v>
      </c>
      <c r="AD50" s="101">
        <f t="shared" si="11"/>
        <v>0.20678533565553273</v>
      </c>
      <c r="AE50" s="101">
        <f t="shared" si="11"/>
        <v>0.31985392788712769</v>
      </c>
      <c r="AF50" s="101">
        <f t="shared" si="11"/>
        <v>0.24384245431241214</v>
      </c>
      <c r="AG50" s="101">
        <f t="shared" si="11"/>
        <v>0.28843118882136748</v>
      </c>
      <c r="AH50" s="101">
        <f t="shared" si="11"/>
        <v>0.24420326963106881</v>
      </c>
      <c r="AI50" s="101">
        <f t="shared" si="11"/>
        <v>0.35475570450281235</v>
      </c>
      <c r="AJ50" s="101">
        <f t="shared" si="11"/>
        <v>0.24924466249069166</v>
      </c>
      <c r="AK50" s="101">
        <f t="shared" si="11"/>
        <v>0.29980090731944953</v>
      </c>
      <c r="AL50" s="101">
        <f t="shared" si="11"/>
        <v>0.19553360040060089</v>
      </c>
      <c r="AM50" s="101">
        <f t="shared" si="11"/>
        <v>0.192814515937344</v>
      </c>
      <c r="AN50" s="101">
        <f t="shared" si="11"/>
        <v>0.26487034241035318</v>
      </c>
      <c r="AO50" s="101">
        <f t="shared" si="11"/>
        <v>0.46559855160819524</v>
      </c>
      <c r="AP50" s="101">
        <f t="shared" si="11"/>
        <v>0.2133886444115928</v>
      </c>
      <c r="AQ50" s="101">
        <f t="shared" si="11"/>
        <v>0.22216481365019475</v>
      </c>
      <c r="AR50" s="101">
        <f t="shared" si="11"/>
        <v>0.25749346282326396</v>
      </c>
      <c r="AS50" s="101">
        <f t="shared" si="11"/>
        <v>0.25277068013653126</v>
      </c>
      <c r="AT50" s="101">
        <f t="shared" si="11"/>
        <v>0.24968325048746326</v>
      </c>
      <c r="AU50" s="101">
        <f t="shared" si="11"/>
        <v>0.3817921244892592</v>
      </c>
      <c r="AV50" s="101">
        <f t="shared" si="11"/>
        <v>0.17168536043669835</v>
      </c>
      <c r="AW50" s="101">
        <f t="shared" si="11"/>
        <v>0.26754456262086224</v>
      </c>
      <c r="AX50" s="101">
        <f t="shared" si="11"/>
        <v>0.22238536370635831</v>
      </c>
      <c r="AY50" s="101">
        <f t="shared" si="11"/>
        <v>0.23754111049026302</v>
      </c>
      <c r="AZ50" s="101">
        <f t="shared" si="11"/>
        <v>0.27175186039101012</v>
      </c>
      <c r="BA50" s="101">
        <f t="shared" si="11"/>
        <v>0.43563666997987832</v>
      </c>
      <c r="BB50" s="101">
        <f t="shared" si="11"/>
        <v>0.15687099121904913</v>
      </c>
      <c r="BC50" s="101">
        <f t="shared" si="11"/>
        <v>0.19391749653939711</v>
      </c>
      <c r="BE50" s="123"/>
    </row>
    <row r="51" spans="1:57" s="104" customFormat="1" ht="13" x14ac:dyDescent="0.3">
      <c r="A51" s="101" t="s">
        <v>51</v>
      </c>
      <c r="B51" s="102"/>
      <c r="C51" s="103">
        <f>C47/C48</f>
        <v>0.19662724119221808</v>
      </c>
      <c r="D51" s="101">
        <f t="shared" ref="D51:BC51" si="12">D47/D48</f>
        <v>0.33911288769692177</v>
      </c>
      <c r="E51" s="101">
        <f t="shared" si="12"/>
        <v>-5.6598850554980505E-2</v>
      </c>
      <c r="F51" s="101">
        <f t="shared" si="12"/>
        <v>0.35942316730445412</v>
      </c>
      <c r="G51" s="101">
        <f t="shared" si="12"/>
        <v>0.22498730707954243</v>
      </c>
      <c r="H51" s="101">
        <f t="shared" si="12"/>
        <v>0.11843762862964086</v>
      </c>
      <c r="I51" s="101">
        <f t="shared" si="12"/>
        <v>0.26330987793800159</v>
      </c>
      <c r="J51" s="101">
        <f t="shared" si="12"/>
        <v>0.18392901265967113</v>
      </c>
      <c r="K51" s="101">
        <f t="shared" si="12"/>
        <v>0.13842060188201963</v>
      </c>
      <c r="L51" s="101">
        <f t="shared" si="12"/>
        <v>0.22695010765543874</v>
      </c>
      <c r="M51" s="101">
        <f>M47/M48</f>
        <v>0.19210091095935466</v>
      </c>
      <c r="N51" s="101">
        <f t="shared" si="12"/>
        <v>0.14499679596536491</v>
      </c>
      <c r="O51" s="101">
        <f t="shared" si="12"/>
        <v>-1.0572336084108189E-2</v>
      </c>
      <c r="P51" s="101">
        <f t="shared" si="12"/>
        <v>0.16856241528798466</v>
      </c>
      <c r="Q51" s="101">
        <f t="shared" si="12"/>
        <v>0.27193696782725452</v>
      </c>
      <c r="R51" s="101">
        <f t="shared" si="12"/>
        <v>0.17790046732902909</v>
      </c>
      <c r="S51" s="101">
        <f t="shared" si="12"/>
        <v>0.29369347572553889</v>
      </c>
      <c r="T51" s="101">
        <f t="shared" si="12"/>
        <v>0.46345843653414426</v>
      </c>
      <c r="U51" s="101">
        <f t="shared" si="12"/>
        <v>0.18091754906963828</v>
      </c>
      <c r="V51" s="101">
        <f t="shared" si="12"/>
        <v>0.2946412567818964</v>
      </c>
      <c r="W51" s="101">
        <f t="shared" si="12"/>
        <v>0.15649628000542654</v>
      </c>
      <c r="X51" s="101">
        <f t="shared" si="12"/>
        <v>0.26191640714779385</v>
      </c>
      <c r="Y51" s="101">
        <f t="shared" si="12"/>
        <v>0.3495297368645095</v>
      </c>
      <c r="Z51" s="101">
        <f t="shared" si="12"/>
        <v>0.23364488717214668</v>
      </c>
      <c r="AA51" s="101">
        <f t="shared" si="12"/>
        <v>0.14594341960089183</v>
      </c>
      <c r="AB51" s="101">
        <f t="shared" si="12"/>
        <v>0.38162123564473188</v>
      </c>
      <c r="AC51" s="101">
        <f t="shared" si="12"/>
        <v>0.12913073179219409</v>
      </c>
      <c r="AD51" s="101">
        <f t="shared" si="12"/>
        <v>0.17000438404858917</v>
      </c>
      <c r="AE51" s="101">
        <f t="shared" si="12"/>
        <v>0.30087055684662606</v>
      </c>
      <c r="AF51" s="101">
        <f t="shared" si="12"/>
        <v>0.24568237035418883</v>
      </c>
      <c r="AG51" s="101">
        <f t="shared" si="12"/>
        <v>0.25234418028619066</v>
      </c>
      <c r="AH51" s="101">
        <f t="shared" si="12"/>
        <v>6.9611320702767113E-2</v>
      </c>
      <c r="AI51" s="101">
        <f t="shared" si="12"/>
        <v>0.38023291087143563</v>
      </c>
      <c r="AJ51" s="101">
        <f t="shared" si="12"/>
        <v>0.20773060339588922</v>
      </c>
      <c r="AK51" s="101">
        <f t="shared" si="12"/>
        <v>0.35633622996714853</v>
      </c>
      <c r="AL51" s="101">
        <f t="shared" si="12"/>
        <v>0.15059353933866901</v>
      </c>
      <c r="AM51" s="101">
        <f t="shared" si="12"/>
        <v>0.15554302797854039</v>
      </c>
      <c r="AN51" s="101">
        <f t="shared" si="12"/>
        <v>8.52648884568106E-2</v>
      </c>
      <c r="AO51" s="101">
        <f t="shared" si="12"/>
        <v>0.69276607098101528</v>
      </c>
      <c r="AP51" s="101">
        <f t="shared" si="12"/>
        <v>0.14823590090239999</v>
      </c>
      <c r="AQ51" s="101">
        <f t="shared" si="12"/>
        <v>0.13244667695307566</v>
      </c>
      <c r="AR51" s="101">
        <f t="shared" si="12"/>
        <v>0.19782590610916595</v>
      </c>
      <c r="AS51" s="101">
        <f t="shared" si="12"/>
        <v>0.22323987335544823</v>
      </c>
      <c r="AT51" s="101">
        <f t="shared" si="12"/>
        <v>0.23604448575642095</v>
      </c>
      <c r="AU51" s="101">
        <f t="shared" si="12"/>
        <v>0.43248589378162239</v>
      </c>
      <c r="AV51" s="101">
        <f t="shared" si="12"/>
        <v>8.3957317907413231E-2</v>
      </c>
      <c r="AW51" s="101">
        <f t="shared" si="12"/>
        <v>0.2520315747289843</v>
      </c>
      <c r="AX51" s="101">
        <f t="shared" si="12"/>
        <v>0.16293497149310993</v>
      </c>
      <c r="AY51" s="101">
        <f t="shared" si="12"/>
        <v>0.24369797781046384</v>
      </c>
      <c r="AZ51" s="101">
        <f t="shared" si="12"/>
        <v>0.23327098401649679</v>
      </c>
      <c r="BA51" s="101">
        <f t="shared" si="12"/>
        <v>0.6393616868791111</v>
      </c>
      <c r="BB51" s="101">
        <f t="shared" si="12"/>
        <v>4.5839297909582924E-2</v>
      </c>
      <c r="BC51" s="101">
        <f t="shared" si="12"/>
        <v>0.11774351960964329</v>
      </c>
      <c r="BE51" s="123"/>
    </row>
    <row r="52" spans="1:57" s="105" customFormat="1" ht="13" x14ac:dyDescent="0.3">
      <c r="A52" s="101" t="s">
        <v>52</v>
      </c>
      <c r="B52" s="102"/>
      <c r="C52" s="103">
        <f t="shared" ref="C52:BC52" si="13">C47/C46</f>
        <v>0.60430838196576175</v>
      </c>
      <c r="D52" s="101">
        <f t="shared" si="13"/>
        <v>0.79283930604496777</v>
      </c>
      <c r="E52" s="101">
        <f t="shared" si="13"/>
        <v>-0.51572780903944393</v>
      </c>
      <c r="F52" s="101">
        <f t="shared" si="13"/>
        <v>0.6998950131233973</v>
      </c>
      <c r="G52" s="101">
        <f t="shared" si="13"/>
        <v>0.53519190914005643</v>
      </c>
      <c r="H52" s="101">
        <f t="shared" si="13"/>
        <v>0.58452434631221406</v>
      </c>
      <c r="I52" s="101">
        <f t="shared" si="13"/>
        <v>0.75076037543910679</v>
      </c>
      <c r="J52" s="101">
        <f t="shared" si="13"/>
        <v>0.65897786075601894</v>
      </c>
      <c r="K52" s="101">
        <f t="shared" si="13"/>
        <v>0.55885059469315101</v>
      </c>
      <c r="L52" s="101">
        <f t="shared" si="13"/>
        <v>0.6989290184406789</v>
      </c>
      <c r="M52" s="101">
        <f>M47/M46</f>
        <v>0.53211209276003235</v>
      </c>
      <c r="N52" s="101">
        <f t="shared" si="13"/>
        <v>0.53703257266798921</v>
      </c>
      <c r="O52" s="101">
        <f t="shared" si="13"/>
        <v>-7.3760941532991536E-2</v>
      </c>
      <c r="P52" s="101">
        <f t="shared" si="13"/>
        <v>0.68465333796722638</v>
      </c>
      <c r="Q52" s="101">
        <f t="shared" si="13"/>
        <v>0.71750741220748215</v>
      </c>
      <c r="R52" s="101">
        <f t="shared" si="13"/>
        <v>0.69320763369865601</v>
      </c>
      <c r="S52" s="101">
        <f t="shared" si="13"/>
        <v>0.67272339489404098</v>
      </c>
      <c r="T52" s="101">
        <f t="shared" si="13"/>
        <v>0.67521656517599615</v>
      </c>
      <c r="U52" s="101">
        <f t="shared" si="13"/>
        <v>0.48433221977786822</v>
      </c>
      <c r="V52" s="101">
        <f t="shared" si="13"/>
        <v>0.67750369779890585</v>
      </c>
      <c r="W52" s="101">
        <f t="shared" si="13"/>
        <v>0.58118441371573792</v>
      </c>
      <c r="X52" s="101">
        <f t="shared" si="13"/>
        <v>0.57096564797559934</v>
      </c>
      <c r="Y52" s="101">
        <f t="shared" si="13"/>
        <v>0.66466843900964334</v>
      </c>
      <c r="Z52" s="101">
        <f t="shared" si="13"/>
        <v>0.67600077959966898</v>
      </c>
      <c r="AA52" s="101">
        <f t="shared" si="13"/>
        <v>0.50081934175677878</v>
      </c>
      <c r="AB52" s="101">
        <f t="shared" si="13"/>
        <v>0.55992388820085637</v>
      </c>
      <c r="AC52" s="101">
        <f t="shared" si="13"/>
        <v>0.5979558741267228</v>
      </c>
      <c r="AD52" s="101">
        <f t="shared" si="13"/>
        <v>0.65212540339333069</v>
      </c>
      <c r="AE52" s="101">
        <f t="shared" si="13"/>
        <v>0.63977931678193678</v>
      </c>
      <c r="AF52" s="101">
        <f t="shared" si="13"/>
        <v>0.76186314113996378</v>
      </c>
      <c r="AG52" s="101">
        <f t="shared" si="13"/>
        <v>0.62254102653682586</v>
      </c>
      <c r="AH52" s="101">
        <f t="shared" si="13"/>
        <v>0.21544350599112905</v>
      </c>
      <c r="AI52" s="101">
        <f t="shared" si="13"/>
        <v>0.69158328840386396</v>
      </c>
      <c r="AJ52" s="101">
        <f t="shared" si="13"/>
        <v>0.625709925761469</v>
      </c>
      <c r="AK52" s="101">
        <f t="shared" si="13"/>
        <v>0.83223999267736271</v>
      </c>
      <c r="AL52" s="101">
        <f t="shared" si="13"/>
        <v>0.61957352673150712</v>
      </c>
      <c r="AM52" s="101">
        <f t="shared" si="13"/>
        <v>0.65115467951711747</v>
      </c>
      <c r="AN52" s="101">
        <f t="shared" si="13"/>
        <v>0.23664691065550023</v>
      </c>
      <c r="AO52" s="101">
        <f t="shared" si="13"/>
        <v>0.79513819458891555</v>
      </c>
      <c r="AP52" s="101">
        <f t="shared" si="13"/>
        <v>0.54643977554304601</v>
      </c>
      <c r="AQ52" s="101">
        <f t="shared" si="13"/>
        <v>0.46371738150857161</v>
      </c>
      <c r="AR52" s="101">
        <f t="shared" si="13"/>
        <v>0.57044954422701577</v>
      </c>
      <c r="AS52" s="101">
        <f t="shared" si="13"/>
        <v>0.6599316765840767</v>
      </c>
      <c r="AT52" s="101">
        <f t="shared" si="13"/>
        <v>0.70933124647866097</v>
      </c>
      <c r="AU52" s="101">
        <f t="shared" si="13"/>
        <v>0.70029256350106406</v>
      </c>
      <c r="AV52" s="101">
        <f t="shared" si="13"/>
        <v>0.4050611848575264</v>
      </c>
      <c r="AW52" s="101">
        <f t="shared" si="13"/>
        <v>0.68998560648407048</v>
      </c>
      <c r="AX52" s="101">
        <f t="shared" si="13"/>
        <v>0.56973452067838137</v>
      </c>
      <c r="AY52" s="101">
        <f t="shared" si="13"/>
        <v>0.78222118753945646</v>
      </c>
      <c r="AZ52" s="101">
        <f t="shared" si="13"/>
        <v>0.62512602449286481</v>
      </c>
      <c r="BA52" s="101">
        <f t="shared" si="13"/>
        <v>0.82828723006959903</v>
      </c>
      <c r="BB52" s="101">
        <f t="shared" si="13"/>
        <v>0.24637086506168651</v>
      </c>
      <c r="BC52" s="101">
        <f t="shared" si="13"/>
        <v>0.48944005954574255</v>
      </c>
      <c r="BE52" s="123"/>
    </row>
    <row r="53" spans="1:57" s="108" customFormat="1" ht="13" x14ac:dyDescent="0.3">
      <c r="A53" s="106" t="s">
        <v>53</v>
      </c>
      <c r="B53" s="107"/>
      <c r="C53" s="87">
        <f>C45/C46</f>
        <v>3.4690622166432292</v>
      </c>
      <c r="D53" s="106">
        <f t="shared" ref="D53:BC53" si="14">D45/D46</f>
        <v>2.5451411565364448</v>
      </c>
      <c r="E53" s="106">
        <f t="shared" si="14"/>
        <v>10.627711603453475</v>
      </c>
      <c r="F53" s="106">
        <f t="shared" si="14"/>
        <v>2.2473779419628341</v>
      </c>
      <c r="G53" s="106">
        <f t="shared" si="14"/>
        <v>2.8435729913653915</v>
      </c>
      <c r="H53" s="106">
        <f t="shared" si="14"/>
        <v>5.3507682045040879</v>
      </c>
      <c r="I53" s="106">
        <f t="shared" si="14"/>
        <v>3.1004823554389169</v>
      </c>
      <c r="J53" s="106">
        <f t="shared" si="14"/>
        <v>3.9238057970638796</v>
      </c>
      <c r="K53" s="106">
        <f t="shared" si="14"/>
        <v>4.4784862402490742</v>
      </c>
      <c r="L53" s="106">
        <f t="shared" si="14"/>
        <v>3.3807303201740009</v>
      </c>
      <c r="M53" s="106">
        <f>M45/M46</f>
        <v>3.2378492265416674</v>
      </c>
      <c r="N53" s="106">
        <f t="shared" si="14"/>
        <v>4.1667221833768897</v>
      </c>
      <c r="O53" s="106">
        <f t="shared" si="14"/>
        <v>8.0505483749050093</v>
      </c>
      <c r="P53" s="106">
        <f t="shared" si="14"/>
        <v>4.3770666889884469</v>
      </c>
      <c r="Q53" s="106">
        <f t="shared" si="14"/>
        <v>2.9209989223313078</v>
      </c>
      <c r="R53" s="106">
        <f t="shared" si="14"/>
        <v>4.2033961476537565</v>
      </c>
      <c r="S53" s="106">
        <f t="shared" si="14"/>
        <v>2.6178395576269455</v>
      </c>
      <c r="T53" s="106">
        <f t="shared" si="14"/>
        <v>1.7816919986758804</v>
      </c>
      <c r="U53" s="106">
        <f t="shared" si="14"/>
        <v>3.192755891732201</v>
      </c>
      <c r="V53" s="106">
        <f t="shared" si="14"/>
        <v>2.6219152810592297</v>
      </c>
      <c r="W53" s="106">
        <f t="shared" si="14"/>
        <v>4.1325422876191773</v>
      </c>
      <c r="X53" s="106">
        <f t="shared" si="14"/>
        <v>2.6089880792203282</v>
      </c>
      <c r="Y53" s="106">
        <f t="shared" si="14"/>
        <v>2.236939261016444</v>
      </c>
      <c r="Z53" s="106">
        <f t="shared" si="14"/>
        <v>3.2172822182927692</v>
      </c>
      <c r="AA53" s="106">
        <f t="shared" si="14"/>
        <v>3.9307799939745487</v>
      </c>
      <c r="AB53" s="106">
        <f t="shared" si="14"/>
        <v>1.9073002489855615</v>
      </c>
      <c r="AC53" s="106">
        <f t="shared" si="14"/>
        <v>5.0326681905536654</v>
      </c>
      <c r="AD53" s="106">
        <f t="shared" si="14"/>
        <v>4.1838074582377311</v>
      </c>
      <c r="AE53" s="106">
        <f t="shared" si="14"/>
        <v>2.4866478201481659</v>
      </c>
      <c r="AF53" s="106">
        <f t="shared" si="14"/>
        <v>3.3391454499185693</v>
      </c>
      <c r="AG53" s="106">
        <f t="shared" si="14"/>
        <v>2.8444904137396434</v>
      </c>
      <c r="AH53" s="106">
        <f t="shared" si="14"/>
        <v>3.8795057611122745</v>
      </c>
      <c r="AI53" s="106">
        <f t="shared" si="14"/>
        <v>2.1272579234703555</v>
      </c>
      <c r="AJ53" s="106">
        <f t="shared" si="14"/>
        <v>3.3864120992682394</v>
      </c>
      <c r="AK53" s="106">
        <f t="shared" si="14"/>
        <v>2.5033069505960981</v>
      </c>
      <c r="AL53" s="106">
        <f t="shared" si="14"/>
        <v>4.4946370127933761</v>
      </c>
      <c r="AM53" s="106">
        <f t="shared" si="14"/>
        <v>4.5351768326028248</v>
      </c>
      <c r="AN53" s="106">
        <f t="shared" si="14"/>
        <v>3.5387852154929962</v>
      </c>
      <c r="AO53" s="106">
        <f t="shared" si="14"/>
        <v>1.3526348097427381</v>
      </c>
      <c r="AP53" s="106">
        <f t="shared" si="14"/>
        <v>4.1398452081656405</v>
      </c>
      <c r="AQ53" s="106">
        <f t="shared" si="14"/>
        <v>4.0374454424772752</v>
      </c>
      <c r="AR53" s="106">
        <f t="shared" si="14"/>
        <v>3.3131441945638254</v>
      </c>
      <c r="AS53" s="106">
        <f t="shared" si="14"/>
        <v>3.2962233626786301</v>
      </c>
      <c r="AT53" s="106">
        <f t="shared" si="14"/>
        <v>3.2957431750040511</v>
      </c>
      <c r="AU53" s="106">
        <f t="shared" si="14"/>
        <v>1.9189338056592371</v>
      </c>
      <c r="AV53" s="106">
        <f t="shared" si="14"/>
        <v>5.4195472584972419</v>
      </c>
      <c r="AW53" s="106">
        <f t="shared" si="14"/>
        <v>3.0477094907513806</v>
      </c>
      <c r="AX53" s="106">
        <f t="shared" si="14"/>
        <v>3.926964287793647</v>
      </c>
      <c r="AY53" s="106">
        <f t="shared" si="14"/>
        <v>3.4275764257498467</v>
      </c>
      <c r="AZ53" s="106">
        <f t="shared" si="14"/>
        <v>3.054701589423559</v>
      </c>
      <c r="BA53" s="106">
        <f t="shared" si="14"/>
        <v>1.4672036431991484</v>
      </c>
      <c r="BB53" s="106">
        <f t="shared" si="14"/>
        <v>6.1282940250430444</v>
      </c>
      <c r="BC53" s="106">
        <f t="shared" si="14"/>
        <v>4.6673921904871252</v>
      </c>
      <c r="BE53" s="123"/>
    </row>
    <row r="54" spans="1:57" s="112" customFormat="1" ht="13" x14ac:dyDescent="0.3">
      <c r="A54" s="112" t="s">
        <v>54</v>
      </c>
      <c r="C54" s="111">
        <f t="shared" ref="C54:BC54" si="15">C48/C4</f>
        <v>0.75450306428256531</v>
      </c>
      <c r="D54" s="112">
        <f t="shared" si="15"/>
        <v>0.70041765935722278</v>
      </c>
      <c r="E54" s="112">
        <f t="shared" si="15"/>
        <v>0.90110743645055968</v>
      </c>
      <c r="F54" s="112">
        <f t="shared" si="15"/>
        <v>0.66070329581308085</v>
      </c>
      <c r="G54" s="112">
        <f t="shared" si="15"/>
        <v>0.70403386164855553</v>
      </c>
      <c r="H54" s="112">
        <f t="shared" si="15"/>
        <v>0.83151630834735069</v>
      </c>
      <c r="I54" s="112">
        <f t="shared" si="15"/>
        <v>0.74034355404754881</v>
      </c>
      <c r="J54" s="112">
        <f t="shared" si="15"/>
        <v>0.78179201230814466</v>
      </c>
      <c r="K54" s="112">
        <f t="shared" si="15"/>
        <v>0.80148240374490076</v>
      </c>
      <c r="L54" s="112">
        <f t="shared" si="15"/>
        <v>0.75488149450743902</v>
      </c>
      <c r="M54" s="112">
        <f t="shared" si="15"/>
        <v>0.73474528906168524</v>
      </c>
      <c r="N54" s="112">
        <f t="shared" si="15"/>
        <v>0.78740388224643676</v>
      </c>
      <c r="O54" s="112">
        <f t="shared" si="15"/>
        <v>0.87463624819481101</v>
      </c>
      <c r="P54" s="112">
        <f t="shared" si="15"/>
        <v>0.80243869777968713</v>
      </c>
      <c r="Q54" s="112">
        <f t="shared" si="15"/>
        <v>0.72516194612403828</v>
      </c>
      <c r="R54" s="112">
        <f t="shared" si="15"/>
        <v>0.79577681906625375</v>
      </c>
      <c r="S54" s="112">
        <f t="shared" si="15"/>
        <v>0.69610063249697929</v>
      </c>
      <c r="T54" s="112">
        <f t="shared" si="15"/>
        <v>0.59298444609911471</v>
      </c>
      <c r="U54" s="112">
        <f t="shared" si="15"/>
        <v>0.72804567916939844</v>
      </c>
      <c r="V54" s="112">
        <f t="shared" si="15"/>
        <v>0.69691633393401875</v>
      </c>
      <c r="W54" s="112">
        <f t="shared" si="15"/>
        <v>0.7878536318796755</v>
      </c>
      <c r="X54" s="112">
        <f t="shared" si="15"/>
        <v>0.68553001528050639</v>
      </c>
      <c r="Y54" s="112">
        <f t="shared" si="15"/>
        <v>0.65536347315627497</v>
      </c>
      <c r="Z54" s="112">
        <f t="shared" si="15"/>
        <v>0.74314736418047878</v>
      </c>
      <c r="AA54" s="112">
        <f t="shared" si="15"/>
        <v>0.77434783150698028</v>
      </c>
      <c r="AB54" s="112">
        <f t="shared" si="15"/>
        <v>0.59468619614739027</v>
      </c>
      <c r="AC54" s="112">
        <f t="shared" si="15"/>
        <v>0.82239979289813181</v>
      </c>
      <c r="AD54" s="112">
        <f t="shared" si="15"/>
        <v>0.7932146643444673</v>
      </c>
      <c r="AE54" s="112">
        <f t="shared" si="15"/>
        <v>0.68014607211287237</v>
      </c>
      <c r="AF54" s="112">
        <f t="shared" si="15"/>
        <v>0.75615754568758786</v>
      </c>
      <c r="AG54" s="112">
        <f t="shared" si="15"/>
        <v>0.71156881117863247</v>
      </c>
      <c r="AH54" s="112">
        <f t="shared" si="15"/>
        <v>0.75579673036893125</v>
      </c>
      <c r="AI54" s="112">
        <f t="shared" si="15"/>
        <v>0.64524429549718765</v>
      </c>
      <c r="AJ54" s="112">
        <f t="shared" si="15"/>
        <v>0.75075533750930834</v>
      </c>
      <c r="AK54" s="112">
        <f t="shared" si="15"/>
        <v>0.70019909268055047</v>
      </c>
      <c r="AL54" s="112">
        <f t="shared" si="15"/>
        <v>0.80446639959939914</v>
      </c>
      <c r="AM54" s="112">
        <f t="shared" si="15"/>
        <v>0.807185484062656</v>
      </c>
      <c r="AN54" s="112">
        <f t="shared" si="15"/>
        <v>0.73512965758964677</v>
      </c>
      <c r="AO54" s="112">
        <f t="shared" si="15"/>
        <v>0.53440144839180481</v>
      </c>
      <c r="AP54" s="112">
        <f t="shared" si="15"/>
        <v>0.78661135558840722</v>
      </c>
      <c r="AQ54" s="112">
        <f t="shared" si="15"/>
        <v>0.77783518634980531</v>
      </c>
      <c r="AR54" s="112">
        <f t="shared" si="15"/>
        <v>0.74250653717673609</v>
      </c>
      <c r="AS54" s="112">
        <f t="shared" si="15"/>
        <v>0.74722931986346874</v>
      </c>
      <c r="AT54" s="112">
        <f t="shared" si="15"/>
        <v>0.75031674951253668</v>
      </c>
      <c r="AU54" s="112">
        <f t="shared" si="15"/>
        <v>0.61820787551074086</v>
      </c>
      <c r="AV54" s="112">
        <f t="shared" si="15"/>
        <v>0.82831463956330165</v>
      </c>
      <c r="AW54" s="112">
        <f t="shared" si="15"/>
        <v>0.73245543737913776</v>
      </c>
      <c r="AX54" s="112">
        <f t="shared" si="15"/>
        <v>0.77761463629364169</v>
      </c>
      <c r="AY54" s="112">
        <f t="shared" si="15"/>
        <v>0.76245888950973695</v>
      </c>
      <c r="AZ54" s="112">
        <f t="shared" si="15"/>
        <v>0.72824813960898982</v>
      </c>
      <c r="BA54" s="112">
        <f t="shared" si="15"/>
        <v>0.56436333002012173</v>
      </c>
      <c r="BB54" s="112">
        <f t="shared" si="15"/>
        <v>0.84312900878095087</v>
      </c>
      <c r="BC54" s="112">
        <f t="shared" si="15"/>
        <v>0.80608250346060284</v>
      </c>
      <c r="BE54" s="123"/>
    </row>
    <row r="55" spans="1:57" s="112" customFormat="1" ht="13" x14ac:dyDescent="0.3">
      <c r="A55" s="112" t="s">
        <v>55</v>
      </c>
      <c r="C55" s="111">
        <f t="shared" ref="C55:BC55" si="16">C44/C4</f>
        <v>9.7141079716479034E-2</v>
      </c>
      <c r="D55" s="112">
        <f t="shared" si="16"/>
        <v>6.2061685584230579E-2</v>
      </c>
      <c r="E55" s="112">
        <f t="shared" si="16"/>
        <v>0.14989420867908718</v>
      </c>
      <c r="F55" s="112">
        <f t="shared" si="16"/>
        <v>0.10182463295728993</v>
      </c>
      <c r="G55" s="112">
        <f t="shared" si="16"/>
        <v>0.13756745572632478</v>
      </c>
      <c r="H55" s="112">
        <f t="shared" si="16"/>
        <v>7.0000871925115726E-2</v>
      </c>
      <c r="I55" s="112">
        <f t="shared" si="16"/>
        <v>6.4716675104004764E-2</v>
      </c>
      <c r="J55" s="112">
        <f t="shared" si="16"/>
        <v>7.4413754762800752E-2</v>
      </c>
      <c r="K55" s="112">
        <f t="shared" si="16"/>
        <v>8.7575919530882146E-2</v>
      </c>
      <c r="L55" s="112">
        <f t="shared" si="16"/>
        <v>7.3798069046999148E-2</v>
      </c>
      <c r="M55" s="112">
        <f t="shared" si="16"/>
        <v>0.12410947158647062</v>
      </c>
      <c r="N55" s="112">
        <f t="shared" si="16"/>
        <v>9.8425077697140415E-2</v>
      </c>
      <c r="O55" s="112">
        <f t="shared" si="16"/>
        <v>0.13461070017244803</v>
      </c>
      <c r="P55" s="112">
        <f t="shared" si="16"/>
        <v>6.2300297202023694E-2</v>
      </c>
      <c r="Q55" s="112">
        <f t="shared" si="16"/>
        <v>7.763971306327995E-2</v>
      </c>
      <c r="R55" s="112">
        <f t="shared" si="16"/>
        <v>6.2654112932251496E-2</v>
      </c>
      <c r="S55" s="112">
        <f t="shared" si="16"/>
        <v>9.9459153290236746E-2</v>
      </c>
      <c r="T55" s="112">
        <f t="shared" si="16"/>
        <v>0.13219190962272398</v>
      </c>
      <c r="U55" s="112">
        <f t="shared" si="16"/>
        <v>0.14023808094453374</v>
      </c>
      <c r="V55" s="112">
        <f t="shared" si="16"/>
        <v>9.7743361563830178E-2</v>
      </c>
      <c r="W55" s="112">
        <f t="shared" si="16"/>
        <v>8.885020554239062E-2</v>
      </c>
      <c r="X55" s="112">
        <f t="shared" si="16"/>
        <v>0.13491842612525112</v>
      </c>
      <c r="Y55" s="112">
        <f t="shared" si="16"/>
        <v>0.11556750452080125</v>
      </c>
      <c r="Z55" s="112">
        <f t="shared" si="16"/>
        <v>8.3220053763294943E-2</v>
      </c>
      <c r="AA55" s="112">
        <f t="shared" si="16"/>
        <v>0.11264119800235584</v>
      </c>
      <c r="AB55" s="112">
        <f t="shared" si="16"/>
        <v>0.17836892285797717</v>
      </c>
      <c r="AC55" s="112">
        <f t="shared" si="16"/>
        <v>7.1403120019183641E-2</v>
      </c>
      <c r="AD55" s="112">
        <f t="shared" si="16"/>
        <v>7.1935365225343176E-2</v>
      </c>
      <c r="AE55" s="112">
        <f t="shared" si="16"/>
        <v>0.11521800043348231</v>
      </c>
      <c r="AF55" s="112">
        <f t="shared" si="16"/>
        <v>5.8067876126679761E-2</v>
      </c>
      <c r="AG55" s="112">
        <f t="shared" si="16"/>
        <v>0.10887094044727627</v>
      </c>
      <c r="AH55" s="112">
        <f t="shared" si="16"/>
        <v>0.19159126104725427</v>
      </c>
      <c r="AI55" s="112">
        <f t="shared" si="16"/>
        <v>0.10941258780272789</v>
      </c>
      <c r="AJ55" s="112">
        <f t="shared" si="16"/>
        <v>9.3289803227198528E-2</v>
      </c>
      <c r="AK55" s="112">
        <f t="shared" si="16"/>
        <v>5.0294602407244121E-2</v>
      </c>
      <c r="AL55" s="112">
        <f t="shared" si="16"/>
        <v>7.4386158005891406E-2</v>
      </c>
      <c r="AM55" s="112">
        <f t="shared" si="16"/>
        <v>6.72624416059147E-2</v>
      </c>
      <c r="AN55" s="112">
        <f t="shared" si="16"/>
        <v>0.2021895941546786</v>
      </c>
      <c r="AO55" s="112">
        <f t="shared" si="16"/>
        <v>9.5383359879240806E-2</v>
      </c>
      <c r="AP55" s="112">
        <f t="shared" si="16"/>
        <v>9.6784601455887187E-2</v>
      </c>
      <c r="AQ55" s="112">
        <f t="shared" si="16"/>
        <v>0.11914312800098667</v>
      </c>
      <c r="AR55" s="112">
        <f t="shared" si="16"/>
        <v>0.11060643431429705</v>
      </c>
      <c r="AS55" s="112">
        <f t="shared" si="16"/>
        <v>8.5959301402732752E-2</v>
      </c>
      <c r="AT55" s="112">
        <f t="shared" si="16"/>
        <v>7.2575119194347226E-2</v>
      </c>
      <c r="AU55" s="112">
        <f t="shared" si="16"/>
        <v>0.1144259389061585</v>
      </c>
      <c r="AV55" s="112">
        <f t="shared" si="16"/>
        <v>0.1021422849155178</v>
      </c>
      <c r="AW55" s="112">
        <f t="shared" si="16"/>
        <v>8.2942665319391234E-2</v>
      </c>
      <c r="AX55" s="112">
        <f t="shared" si="16"/>
        <v>9.5684745109228711E-2</v>
      </c>
      <c r="AY55" s="112">
        <f t="shared" si="16"/>
        <v>5.1731420953128333E-2</v>
      </c>
      <c r="AZ55" s="112">
        <f t="shared" si="16"/>
        <v>0.10187270025623787</v>
      </c>
      <c r="BA55" s="112">
        <f t="shared" si="16"/>
        <v>7.4804379285500877E-2</v>
      </c>
      <c r="BB55" s="112">
        <f t="shared" si="16"/>
        <v>0.11822254940932776</v>
      </c>
      <c r="BC55" s="112">
        <f t="shared" si="16"/>
        <v>9.9006505486193164E-2</v>
      </c>
      <c r="BE55" s="123"/>
    </row>
    <row r="56" spans="1:57" s="112" customFormat="1" ht="13" x14ac:dyDescent="0.3">
      <c r="A56" s="112" t="s">
        <v>56</v>
      </c>
      <c r="C56" s="111">
        <f t="shared" ref="C56:BC56" si="17">C45/C4</f>
        <v>0.85164414399904442</v>
      </c>
      <c r="D56" s="112">
        <f t="shared" si="17"/>
        <v>0.76247934494145331</v>
      </c>
      <c r="E56" s="112">
        <f t="shared" si="17"/>
        <v>1.0510016451296469</v>
      </c>
      <c r="F56" s="112">
        <f t="shared" si="17"/>
        <v>0.76252792877037079</v>
      </c>
      <c r="G56" s="112">
        <f t="shared" si="17"/>
        <v>0.84160131737488031</v>
      </c>
      <c r="H56" s="112">
        <f t="shared" si="17"/>
        <v>0.90151718027246652</v>
      </c>
      <c r="I56" s="112">
        <f t="shared" si="17"/>
        <v>0.80506022915155362</v>
      </c>
      <c r="J56" s="112">
        <f t="shared" si="17"/>
        <v>0.85620576707094553</v>
      </c>
      <c r="K56" s="112">
        <f t="shared" si="17"/>
        <v>0.88905832327578294</v>
      </c>
      <c r="L56" s="112">
        <f t="shared" si="17"/>
        <v>0.82867956355443817</v>
      </c>
      <c r="M56" s="112">
        <f t="shared" si="17"/>
        <v>0.85885476064815591</v>
      </c>
      <c r="N56" s="112">
        <f t="shared" si="17"/>
        <v>0.88582895994357713</v>
      </c>
      <c r="O56" s="112">
        <f t="shared" si="17"/>
        <v>1.009246948367259</v>
      </c>
      <c r="P56" s="112">
        <f t="shared" si="17"/>
        <v>0.86473899498171081</v>
      </c>
      <c r="Q56" s="112">
        <f t="shared" si="17"/>
        <v>0.80280165918731816</v>
      </c>
      <c r="R56" s="112">
        <f t="shared" si="17"/>
        <v>0.85843093199850529</v>
      </c>
      <c r="S56" s="112">
        <f t="shared" si="17"/>
        <v>0.79555978578721609</v>
      </c>
      <c r="T56" s="112">
        <f t="shared" si="17"/>
        <v>0.72517635572183881</v>
      </c>
      <c r="U56" s="112">
        <f t="shared" si="17"/>
        <v>0.86828376011393227</v>
      </c>
      <c r="V56" s="112">
        <f t="shared" si="17"/>
        <v>0.79465969549784898</v>
      </c>
      <c r="W56" s="112">
        <f t="shared" si="17"/>
        <v>0.87670383742206603</v>
      </c>
      <c r="X56" s="112">
        <f t="shared" si="17"/>
        <v>0.82044844140575757</v>
      </c>
      <c r="Y56" s="112">
        <f t="shared" si="17"/>
        <v>0.77093097767707619</v>
      </c>
      <c r="Z56" s="112">
        <f t="shared" si="17"/>
        <v>0.82636741794377389</v>
      </c>
      <c r="AA56" s="112">
        <f t="shared" si="17"/>
        <v>0.88698902950933611</v>
      </c>
      <c r="AB56" s="112">
        <f t="shared" si="17"/>
        <v>0.7730551190053675</v>
      </c>
      <c r="AC56" s="112">
        <f t="shared" si="17"/>
        <v>0.8938029129173154</v>
      </c>
      <c r="AD56" s="112">
        <f t="shared" si="17"/>
        <v>0.86515002956981046</v>
      </c>
      <c r="AE56" s="112">
        <f t="shared" si="17"/>
        <v>0.79536407254635455</v>
      </c>
      <c r="AF56" s="112">
        <f t="shared" si="17"/>
        <v>0.8142254218142676</v>
      </c>
      <c r="AG56" s="112">
        <f t="shared" si="17"/>
        <v>0.82043975162590876</v>
      </c>
      <c r="AH56" s="112">
        <f t="shared" si="17"/>
        <v>0.94738799141618557</v>
      </c>
      <c r="AI56" s="112">
        <f t="shared" si="17"/>
        <v>0.75465688329991565</v>
      </c>
      <c r="AJ56" s="112">
        <f t="shared" si="17"/>
        <v>0.84404514073650694</v>
      </c>
      <c r="AK56" s="112">
        <f t="shared" si="17"/>
        <v>0.75049369508779462</v>
      </c>
      <c r="AL56" s="112">
        <f t="shared" si="17"/>
        <v>0.87885255760529046</v>
      </c>
      <c r="AM56" s="112">
        <f t="shared" si="17"/>
        <v>0.87444792566857066</v>
      </c>
      <c r="AN56" s="112">
        <f t="shared" si="17"/>
        <v>0.9373192517443254</v>
      </c>
      <c r="AO56" s="112">
        <f t="shared" si="17"/>
        <v>0.62978480827104566</v>
      </c>
      <c r="AP56" s="112">
        <f t="shared" si="17"/>
        <v>0.88339595704429441</v>
      </c>
      <c r="AQ56" s="112">
        <f t="shared" si="17"/>
        <v>0.89697831435079189</v>
      </c>
      <c r="AR56" s="112">
        <f t="shared" si="17"/>
        <v>0.85311297149103305</v>
      </c>
      <c r="AS56" s="112">
        <f t="shared" si="17"/>
        <v>0.83318862126620152</v>
      </c>
      <c r="AT56" s="112">
        <f t="shared" si="17"/>
        <v>0.82289186870688391</v>
      </c>
      <c r="AU56" s="112">
        <f t="shared" si="17"/>
        <v>0.73263381441689934</v>
      </c>
      <c r="AV56" s="112">
        <f t="shared" si="17"/>
        <v>0.93045692447881945</v>
      </c>
      <c r="AW56" s="112">
        <f t="shared" si="17"/>
        <v>0.81539810269852897</v>
      </c>
      <c r="AX56" s="112">
        <f t="shared" si="17"/>
        <v>0.87329938140287044</v>
      </c>
      <c r="AY56" s="112">
        <f t="shared" si="17"/>
        <v>0.81419031046286527</v>
      </c>
      <c r="AZ56" s="112">
        <f t="shared" si="17"/>
        <v>0.83012083986522778</v>
      </c>
      <c r="BA56" s="112">
        <f t="shared" si="17"/>
        <v>0.6391677093056225</v>
      </c>
      <c r="BB56" s="112">
        <f t="shared" si="17"/>
        <v>0.96135155819027862</v>
      </c>
      <c r="BC56" s="112">
        <f t="shared" si="17"/>
        <v>0.90508900894679611</v>
      </c>
      <c r="BE56" s="123"/>
    </row>
    <row r="57" spans="1:57" s="112" customFormat="1" ht="13" x14ac:dyDescent="0.3">
      <c r="A57" s="112" t="s">
        <v>57</v>
      </c>
      <c r="C57" s="111">
        <f t="shared" ref="C57:BC57" si="18">SUM(C30:C39)/C44</f>
        <v>0.50913383465975104</v>
      </c>
      <c r="D57" s="112">
        <f t="shared" si="18"/>
        <v>0.82419156236384461</v>
      </c>
      <c r="E57" s="112">
        <f t="shared" si="18"/>
        <v>0.43623517443562559</v>
      </c>
      <c r="F57" s="112">
        <f t="shared" si="18"/>
        <v>0.4072820266761607</v>
      </c>
      <c r="G57" s="112">
        <f t="shared" si="18"/>
        <v>0.4065796347008313</v>
      </c>
      <c r="H57" s="112">
        <f t="shared" si="18"/>
        <v>0.73032106982566314</v>
      </c>
      <c r="I57" s="112">
        <f t="shared" si="18"/>
        <v>0.82500092314149065</v>
      </c>
      <c r="J57" s="112">
        <f t="shared" si="18"/>
        <v>0.73976384292188069</v>
      </c>
      <c r="K57" s="112">
        <f t="shared" si="18"/>
        <v>0.82993872106466049</v>
      </c>
      <c r="L57" s="112">
        <f t="shared" si="18"/>
        <v>0.56547343557177143</v>
      </c>
      <c r="M57" s="112">
        <f t="shared" si="18"/>
        <v>0.33207297170367711</v>
      </c>
      <c r="N57" s="112">
        <f t="shared" si="18"/>
        <v>0.50765201452845077</v>
      </c>
      <c r="O57" s="112">
        <f t="shared" si="18"/>
        <v>0.39341105535393822</v>
      </c>
      <c r="P57" s="112">
        <f t="shared" si="18"/>
        <v>0.78559042841743254</v>
      </c>
      <c r="Q57" s="112">
        <f t="shared" si="18"/>
        <v>0.67425302023307232</v>
      </c>
      <c r="R57" s="112">
        <f t="shared" si="18"/>
        <v>0.66490892743196439</v>
      </c>
      <c r="S57" s="112">
        <f t="shared" si="18"/>
        <v>0.43805886923850096</v>
      </c>
      <c r="T57" s="112">
        <f t="shared" si="18"/>
        <v>0.68553293434139295</v>
      </c>
      <c r="U57" s="112">
        <f t="shared" si="18"/>
        <v>0.35049291481509864</v>
      </c>
      <c r="V57" s="112">
        <f t="shared" si="18"/>
        <v>0.48286846321739352</v>
      </c>
      <c r="W57" s="112">
        <f t="shared" si="18"/>
        <v>0.53592341360304097</v>
      </c>
      <c r="X57" s="112">
        <f t="shared" si="18"/>
        <v>0.36213480172085671</v>
      </c>
      <c r="Y57" s="112">
        <f t="shared" si="18"/>
        <v>0.4679539293848457</v>
      </c>
      <c r="Z57" s="112">
        <f t="shared" si="18"/>
        <v>0.48765726541024029</v>
      </c>
      <c r="AA57" s="112">
        <f t="shared" si="18"/>
        <v>0.45760067458378217</v>
      </c>
      <c r="AB57" s="112">
        <f t="shared" si="18"/>
        <v>0.4638961731240076</v>
      </c>
      <c r="AC57" s="112">
        <f t="shared" si="18"/>
        <v>0.71149090842937579</v>
      </c>
      <c r="AD57" s="112">
        <f t="shared" si="18"/>
        <v>0.66428998422030816</v>
      </c>
      <c r="AE57" s="112">
        <f t="shared" si="18"/>
        <v>0.70669594009563419</v>
      </c>
      <c r="AF57" s="112">
        <f t="shared" si="18"/>
        <v>0.79464555022292216</v>
      </c>
      <c r="AG57" s="112">
        <f t="shared" si="18"/>
        <v>0.48854118510284594</v>
      </c>
      <c r="AH57" s="112">
        <f t="shared" si="18"/>
        <v>0.29423040477683376</v>
      </c>
      <c r="AI57" s="112">
        <f t="shared" si="18"/>
        <v>0.76641307283803117</v>
      </c>
      <c r="AJ57" s="112">
        <f t="shared" si="18"/>
        <v>0.42257713306630273</v>
      </c>
      <c r="AK57" s="112">
        <f t="shared" si="18"/>
        <v>0.8132074698579268</v>
      </c>
      <c r="AL57" s="112">
        <f t="shared" si="18"/>
        <v>0.77887890427132478</v>
      </c>
      <c r="AM57" s="112">
        <f t="shared" si="18"/>
        <v>0.82157270793771564</v>
      </c>
      <c r="AN57" s="112">
        <f t="shared" si="18"/>
        <v>0.3266074629692034</v>
      </c>
      <c r="AO57" s="112">
        <f t="shared" si="18"/>
        <v>0.80139077952036286</v>
      </c>
      <c r="AP57" s="112">
        <f t="shared" si="18"/>
        <v>0.45544841835416017</v>
      </c>
      <c r="AQ57" s="112">
        <f t="shared" si="18"/>
        <v>0.35319512701713701</v>
      </c>
      <c r="AR57" s="112">
        <f t="shared" si="18"/>
        <v>0.56117447445881086</v>
      </c>
      <c r="AS57" s="112">
        <f t="shared" si="18"/>
        <v>0.57858447587062367</v>
      </c>
      <c r="AT57" s="112">
        <f t="shared" si="18"/>
        <v>0.49720407975247377</v>
      </c>
      <c r="AU57" s="112">
        <f t="shared" si="18"/>
        <v>0.42739657274569698</v>
      </c>
      <c r="AV57" s="112">
        <f t="shared" si="18"/>
        <v>0.48722987551608377</v>
      </c>
      <c r="AW57" s="112">
        <f t="shared" si="18"/>
        <v>0.75830959972146128</v>
      </c>
      <c r="AX57" s="112">
        <f t="shared" si="18"/>
        <v>0.51363119016060521</v>
      </c>
      <c r="AY57" s="112">
        <f t="shared" si="18"/>
        <v>0.83167633439789246</v>
      </c>
      <c r="AZ57" s="112">
        <f t="shared" si="18"/>
        <v>0.48369560376385679</v>
      </c>
      <c r="BA57" s="112">
        <f t="shared" si="18"/>
        <v>0.83150368088168158</v>
      </c>
      <c r="BB57" s="112">
        <f t="shared" si="18"/>
        <v>0.3119863100661841</v>
      </c>
      <c r="BC57" s="112">
        <f t="shared" si="18"/>
        <v>0.45683505060764418</v>
      </c>
      <c r="BE57" s="123"/>
    </row>
    <row r="58" spans="1:57" s="112" customFormat="1" ht="13" x14ac:dyDescent="0.3">
      <c r="A58" s="113" t="s">
        <v>210</v>
      </c>
      <c r="C58" s="111">
        <f>C19/(SUM(C23:C28)+C36)</f>
        <v>1.3895178196146958</v>
      </c>
      <c r="D58" s="112">
        <f t="shared" ref="D58:BC58" si="19">D19/(SUM(D23:D28)+D36)</f>
        <v>2.3669252232785389</v>
      </c>
      <c r="E58" s="112">
        <f t="shared" si="19"/>
        <v>1.3883541268452735</v>
      </c>
      <c r="F58" s="112">
        <f t="shared" si="19"/>
        <v>1.5773605493001748</v>
      </c>
      <c r="G58" s="112">
        <f t="shared" si="19"/>
        <v>1.5260026100973909</v>
      </c>
      <c r="H58" s="112">
        <f t="shared" si="19"/>
        <v>1.1456988235382313</v>
      </c>
      <c r="I58" s="112">
        <f t="shared" si="19"/>
        <v>1.6665509312225764</v>
      </c>
      <c r="J58" s="112">
        <f t="shared" si="19"/>
        <v>1.2472905399484524</v>
      </c>
      <c r="K58" s="112">
        <f t="shared" si="19"/>
        <v>1.0829910944818122</v>
      </c>
      <c r="L58" s="112">
        <f t="shared" si="19"/>
        <v>1.6598307986271776</v>
      </c>
      <c r="M58" s="112">
        <f t="shared" si="19"/>
        <v>1.5638691102874038</v>
      </c>
      <c r="N58" s="112">
        <f t="shared" si="19"/>
        <v>1.8107139272387522</v>
      </c>
      <c r="O58" s="112">
        <f t="shared" si="19"/>
        <v>1.1804083595433272</v>
      </c>
      <c r="P58" s="112">
        <f t="shared" si="19"/>
        <v>1.5023857044439053</v>
      </c>
      <c r="Q58" s="112">
        <f t="shared" si="19"/>
        <v>1.6574659853052969</v>
      </c>
      <c r="R58" s="112">
        <f t="shared" si="19"/>
        <v>1.7326222428515676</v>
      </c>
      <c r="S58" s="112">
        <f t="shared" si="19"/>
        <v>1.5028364765938345</v>
      </c>
      <c r="T58" s="112">
        <f t="shared" si="19"/>
        <v>1.7334233692459529</v>
      </c>
      <c r="U58" s="112">
        <f t="shared" si="19"/>
        <v>1.2037613378412093</v>
      </c>
      <c r="V58" s="112">
        <f t="shared" si="19"/>
        <v>1.6917821538777651</v>
      </c>
      <c r="W58" s="112">
        <f t="shared" si="19"/>
        <v>1.7125740668154386</v>
      </c>
      <c r="X58" s="112">
        <f t="shared" si="19"/>
        <v>1.4127882871926356</v>
      </c>
      <c r="Y58" s="112">
        <f t="shared" si="19"/>
        <v>1.2653735921894145</v>
      </c>
      <c r="Z58" s="112">
        <f t="shared" si="19"/>
        <v>1.409344853303796</v>
      </c>
      <c r="AA58" s="112">
        <f t="shared" si="19"/>
        <v>1.2072231147392147</v>
      </c>
      <c r="AB58" s="112">
        <f t="shared" si="19"/>
        <v>1.3434477530198288</v>
      </c>
      <c r="AC58" s="112">
        <f t="shared" si="19"/>
        <v>1.0830891920586898</v>
      </c>
      <c r="AD58" s="112">
        <f t="shared" si="19"/>
        <v>1.8328587029808814</v>
      </c>
      <c r="AE58" s="112">
        <f t="shared" si="19"/>
        <v>1.4134749208548791</v>
      </c>
      <c r="AF58" s="112">
        <f t="shared" si="19"/>
        <v>1.5529983008565005</v>
      </c>
      <c r="AG58" s="112">
        <f t="shared" si="19"/>
        <v>1.8513629594614023</v>
      </c>
      <c r="AH58" s="112">
        <f t="shared" si="19"/>
        <v>1.2296247903854158</v>
      </c>
      <c r="AI58" s="112">
        <f t="shared" si="19"/>
        <v>1.2947896391357598</v>
      </c>
      <c r="AJ58" s="112">
        <f t="shared" si="19"/>
        <v>1.3090138951719796</v>
      </c>
      <c r="AK58" s="112">
        <f t="shared" si="19"/>
        <v>1.6659750073785313</v>
      </c>
      <c r="AL58" s="112">
        <f t="shared" si="19"/>
        <v>1.2217204088798848</v>
      </c>
      <c r="AM58" s="112">
        <f t="shared" si="19"/>
        <v>1.2731072181854637</v>
      </c>
      <c r="AN58" s="112">
        <f t="shared" si="19"/>
        <v>1.1595916146472414</v>
      </c>
      <c r="AO58" s="112">
        <f t="shared" si="19"/>
        <v>1.6131317588652128</v>
      </c>
      <c r="AP58" s="112">
        <f t="shared" si="19"/>
        <v>1.4388574872929618</v>
      </c>
      <c r="AQ58" s="112">
        <f t="shared" si="19"/>
        <v>1.4629728955204835</v>
      </c>
      <c r="AR58" s="112">
        <f t="shared" si="19"/>
        <v>1.2686596120837474</v>
      </c>
      <c r="AS58" s="112">
        <f t="shared" si="19"/>
        <v>1.5393666823008387</v>
      </c>
      <c r="AT58" s="112">
        <f t="shared" si="19"/>
        <v>1.2381664761862943</v>
      </c>
      <c r="AU58" s="112">
        <f t="shared" si="19"/>
        <v>1.8114526477941044</v>
      </c>
      <c r="AV58" s="112">
        <f t="shared" si="19"/>
        <v>1.0692286953003944</v>
      </c>
      <c r="AW58" s="112">
        <f t="shared" si="19"/>
        <v>1.3763391362131037</v>
      </c>
      <c r="AX58" s="112">
        <f t="shared" si="19"/>
        <v>1.2226097088643544</v>
      </c>
      <c r="AY58" s="112">
        <f t="shared" si="19"/>
        <v>1.1900698610041975</v>
      </c>
      <c r="AZ58" s="112">
        <f t="shared" si="19"/>
        <v>1.3496034615638217</v>
      </c>
      <c r="BA58" s="112">
        <f t="shared" si="19"/>
        <v>1.3606491008504153</v>
      </c>
      <c r="BB58" s="112">
        <f t="shared" si="19"/>
        <v>1.0693739740928569</v>
      </c>
      <c r="BC58" s="112">
        <f t="shared" si="19"/>
        <v>1.3076665477073801</v>
      </c>
      <c r="BE58" s="123"/>
    </row>
    <row r="59" spans="1:57" s="112" customFormat="1" ht="13" x14ac:dyDescent="0.3">
      <c r="A59" s="113" t="s">
        <v>211</v>
      </c>
      <c r="C59" s="111">
        <f>C11/C21</f>
        <v>1.2416280123648902</v>
      </c>
      <c r="D59" s="112">
        <f t="shared" ref="D59:BC59" si="20">D11/D21</f>
        <v>1.2</v>
      </c>
      <c r="E59" s="112">
        <f t="shared" si="20"/>
        <v>1.0170196078431373</v>
      </c>
      <c r="F59" s="112">
        <f t="shared" si="20"/>
        <v>1.1941406250000002</v>
      </c>
      <c r="G59" s="112">
        <f t="shared" si="20"/>
        <v>1.3828451882845187</v>
      </c>
      <c r="H59" s="112">
        <f t="shared" si="20"/>
        <v>1.2155555555555555</v>
      </c>
      <c r="I59" s="112">
        <f t="shared" si="20"/>
        <v>1.2473684210526317</v>
      </c>
      <c r="J59" s="112">
        <f t="shared" si="20"/>
        <v>1.2416666666666667</v>
      </c>
      <c r="K59" s="112">
        <f t="shared" si="20"/>
        <v>1.2863636363636364</v>
      </c>
      <c r="L59" s="112">
        <f t="shared" si="20"/>
        <v>1.1745602165087956</v>
      </c>
      <c r="M59" s="112">
        <f t="shared" si="20"/>
        <v>1.2005177220230985</v>
      </c>
      <c r="N59" s="112">
        <f t="shared" si="20"/>
        <v>1.1007627177944161</v>
      </c>
      <c r="O59" s="112">
        <f t="shared" si="20"/>
        <v>1.0891612903225807</v>
      </c>
      <c r="P59" s="112">
        <f t="shared" si="20"/>
        <v>1.1672131147540983</v>
      </c>
      <c r="Q59" s="112">
        <f t="shared" si="20"/>
        <v>1.2857142857142858</v>
      </c>
      <c r="R59" s="112">
        <f t="shared" si="20"/>
        <v>1.125</v>
      </c>
      <c r="S59" s="112">
        <f t="shared" si="20"/>
        <v>1.536</v>
      </c>
      <c r="T59" s="112">
        <f t="shared" si="20"/>
        <v>1.6090909090909091</v>
      </c>
      <c r="U59" s="112">
        <f t="shared" si="20"/>
        <v>1.181278801843318</v>
      </c>
      <c r="V59" s="112">
        <f t="shared" si="20"/>
        <v>1.2402061855670103</v>
      </c>
      <c r="W59" s="112">
        <f t="shared" si="20"/>
        <v>1.1392070484581498</v>
      </c>
      <c r="X59" s="112">
        <f t="shared" si="20"/>
        <v>1.3343778801843318</v>
      </c>
      <c r="Y59" s="112">
        <f t="shared" si="20"/>
        <v>1.6357142857142857</v>
      </c>
      <c r="Z59" s="112">
        <f t="shared" si="20"/>
        <v>1.1917604112344482</v>
      </c>
      <c r="AA59" s="112">
        <f t="shared" si="20"/>
        <v>1.2267281105990784</v>
      </c>
      <c r="AB59" s="112">
        <f t="shared" si="20"/>
        <v>1.7714285714285714</v>
      </c>
      <c r="AC59" s="112">
        <f t="shared" si="20"/>
        <v>1.2456140350877194</v>
      </c>
      <c r="AD59" s="112">
        <f t="shared" si="20"/>
        <v>1.1406451612903226</v>
      </c>
      <c r="AE59" s="112">
        <f t="shared" si="20"/>
        <v>1.4577777777777778</v>
      </c>
      <c r="AF59" s="112">
        <f t="shared" si="20"/>
        <v>1.2513513513513514</v>
      </c>
      <c r="AG59" s="112">
        <f t="shared" si="20"/>
        <v>1.3489247311827957</v>
      </c>
      <c r="AH59" s="112">
        <f t="shared" si="20"/>
        <v>1.3654121863799284</v>
      </c>
      <c r="AI59" s="112">
        <f t="shared" si="20"/>
        <v>1.68</v>
      </c>
      <c r="AJ59" s="112">
        <f t="shared" si="20"/>
        <v>1.1943548387096774</v>
      </c>
      <c r="AK59" s="112">
        <f t="shared" si="20"/>
        <v>1.2891891891891891</v>
      </c>
      <c r="AL59" s="112">
        <f t="shared" si="20"/>
        <v>1.2285714285714286</v>
      </c>
      <c r="AM59" s="112">
        <f t="shared" si="20"/>
        <v>1.2125999999999999</v>
      </c>
      <c r="AN59" s="112">
        <f t="shared" si="20"/>
        <v>1.2814940577249576</v>
      </c>
      <c r="AO59" s="112">
        <f t="shared" si="20"/>
        <v>1.93</v>
      </c>
      <c r="AP59" s="112">
        <f t="shared" si="20"/>
        <v>1.2062724014336919</v>
      </c>
      <c r="AQ59" s="112">
        <f t="shared" si="20"/>
        <v>1.1446774193548388</v>
      </c>
      <c r="AR59" s="112">
        <f t="shared" si="20"/>
        <v>1.35</v>
      </c>
      <c r="AS59" s="112">
        <f t="shared" si="20"/>
        <v>1.272045028142589</v>
      </c>
      <c r="AT59" s="112">
        <f t="shared" si="20"/>
        <v>1.3028571428571429</v>
      </c>
      <c r="AU59" s="112">
        <f t="shared" si="20"/>
        <v>1.3293145161290321</v>
      </c>
      <c r="AV59" s="112">
        <f t="shared" si="20"/>
        <v>1.2423076923076923</v>
      </c>
      <c r="AW59" s="112">
        <f t="shared" si="20"/>
        <v>1.3692307692307693</v>
      </c>
      <c r="AX59" s="112">
        <f t="shared" si="20"/>
        <v>1.2250000000000001</v>
      </c>
      <c r="AY59" s="112">
        <f t="shared" si="20"/>
        <v>1.3560000000000001</v>
      </c>
      <c r="AZ59" s="112">
        <f t="shared" si="20"/>
        <v>1.3333333333333333</v>
      </c>
      <c r="BA59" s="112">
        <f t="shared" si="20"/>
        <v>1.925</v>
      </c>
      <c r="BB59" s="112">
        <f t="shared" si="20"/>
        <v>1.0569630212431158</v>
      </c>
      <c r="BC59" s="112">
        <f t="shared" si="20"/>
        <v>1.1419015280135822</v>
      </c>
      <c r="BE59" s="123"/>
    </row>
    <row r="60" spans="1:57" s="112" customFormat="1" ht="13" x14ac:dyDescent="0.3">
      <c r="A60" s="112" t="s">
        <v>58</v>
      </c>
      <c r="C60" s="111">
        <f>C41/C44</f>
        <v>0.30507099686896089</v>
      </c>
      <c r="D60" s="112">
        <f t="shared" ref="D60:AM60" si="21">D41/D44</f>
        <v>5.3697920954471096E-2</v>
      </c>
      <c r="E60" s="112">
        <f t="shared" si="21"/>
        <v>0.30973531750357491</v>
      </c>
      <c r="F60" s="112">
        <f t="shared" si="21"/>
        <v>0.48549981406872733</v>
      </c>
      <c r="G60" s="112">
        <f t="shared" si="21"/>
        <v>0.35426781704752208</v>
      </c>
      <c r="H60" s="112">
        <f t="shared" si="21"/>
        <v>4.8252295147599218E-2</v>
      </c>
      <c r="I60" s="112">
        <f>I41/I44</f>
        <v>5.3450714440119201E-2</v>
      </c>
      <c r="J60" s="112">
        <f t="shared" si="21"/>
        <v>0.15300179649436779</v>
      </c>
      <c r="K60" s="112">
        <f t="shared" si="21"/>
        <v>5.1942541760055583E-2</v>
      </c>
      <c r="L60" s="112">
        <f t="shared" si="21"/>
        <v>0.29511163764283643</v>
      </c>
      <c r="M60" s="112">
        <f>M41/M44</f>
        <v>0.50111204802422538</v>
      </c>
      <c r="N60" s="112">
        <f t="shared" si="21"/>
        <v>0.28140420911343494</v>
      </c>
      <c r="O60" s="112">
        <f t="shared" si="21"/>
        <v>0.49214472352169569</v>
      </c>
      <c r="P60" s="112">
        <f t="shared" si="21"/>
        <v>5.1874939390400547E-2</v>
      </c>
      <c r="Q60" s="112">
        <f t="shared" si="21"/>
        <v>4.1315434009937112E-2</v>
      </c>
      <c r="R60" s="112">
        <f t="shared" si="21"/>
        <v>0.18697623464510638</v>
      </c>
      <c r="S60" s="112">
        <f t="shared" si="21"/>
        <v>0.45897737221773244</v>
      </c>
      <c r="T60" s="112">
        <f t="shared" si="21"/>
        <v>4.8259310208359614E-2</v>
      </c>
      <c r="U60" s="112">
        <f t="shared" si="21"/>
        <v>0.49611383756052735</v>
      </c>
      <c r="V60" s="112">
        <f t="shared" si="21"/>
        <v>0.41054955600843468</v>
      </c>
      <c r="W60" s="112">
        <f t="shared" si="21"/>
        <v>0.29034244844753992</v>
      </c>
      <c r="X60" s="112">
        <f t="shared" si="21"/>
        <v>0.31896021402227931</v>
      </c>
      <c r="Y60" s="112">
        <f t="shared" si="21"/>
        <v>0.30574493129974123</v>
      </c>
      <c r="Z60" s="112">
        <f t="shared" si="21"/>
        <v>0.23412475032533356</v>
      </c>
      <c r="AA60" s="112">
        <f t="shared" si="21"/>
        <v>0.38140512056238685</v>
      </c>
      <c r="AB60" s="112">
        <f t="shared" si="21"/>
        <v>2.6875021807941137E-2</v>
      </c>
      <c r="AC60" s="112">
        <f t="shared" si="21"/>
        <v>4.6594011090808206E-2</v>
      </c>
      <c r="AD60" s="112">
        <f t="shared" si="21"/>
        <v>4.5183683111808509E-2</v>
      </c>
      <c r="AE60" s="112">
        <f t="shared" si="21"/>
        <v>4.5333804002501012E-2</v>
      </c>
      <c r="AF60" s="112">
        <f t="shared" si="21"/>
        <v>4.8803615386132919E-2</v>
      </c>
      <c r="AG60" s="112">
        <f t="shared" si="21"/>
        <v>3.1499972720649277E-2</v>
      </c>
      <c r="AH60" s="112">
        <f t="shared" si="21"/>
        <v>0.343487262422421</v>
      </c>
      <c r="AI60" s="112">
        <f t="shared" si="21"/>
        <v>4.7171660011931321E-2</v>
      </c>
      <c r="AJ60" s="112">
        <f t="shared" si="21"/>
        <v>0.37247273721379459</v>
      </c>
      <c r="AK60" s="112">
        <f t="shared" si="21"/>
        <v>5.7052839177224708E-2</v>
      </c>
      <c r="AL60" s="112">
        <f t="shared" si="21"/>
        <v>5.3830520927009448E-2</v>
      </c>
      <c r="AM60" s="112">
        <f t="shared" si="21"/>
        <v>5.4497808831619407E-2</v>
      </c>
      <c r="AN60" s="112">
        <f>AN41/AN44</f>
        <v>0.52061709622669949</v>
      </c>
      <c r="AO60" s="112">
        <f>AO41/AO44</f>
        <v>4.6464087250860799E-2</v>
      </c>
      <c r="AP60" s="112">
        <f>AP41/AP44</f>
        <v>0.40607671880621932</v>
      </c>
      <c r="AQ60" s="112">
        <f>AQ41/AQ44</f>
        <v>0.49054545846004088</v>
      </c>
      <c r="AR60" s="112">
        <f t="shared" ref="AR60:BB60" si="22">AR41/AR44</f>
        <v>3.4272386284144092E-2</v>
      </c>
      <c r="AS60" s="112">
        <f t="shared" si="22"/>
        <v>0.31635443695020976</v>
      </c>
      <c r="AT60" s="112">
        <f t="shared" si="22"/>
        <v>0.42347333963797679</v>
      </c>
      <c r="AU60" s="112">
        <f t="shared" si="22"/>
        <v>0.51362706638232736</v>
      </c>
      <c r="AV60" s="112">
        <f t="shared" si="22"/>
        <v>0.44471635719560021</v>
      </c>
      <c r="AW60" s="112">
        <f t="shared" si="22"/>
        <v>5.2875957609669587E-2</v>
      </c>
      <c r="AX60" s="112">
        <f t="shared" si="22"/>
        <v>0.29923055550630462</v>
      </c>
      <c r="AY60" s="112">
        <f t="shared" si="22"/>
        <v>5.1411815108525764E-2</v>
      </c>
      <c r="AZ60" s="112">
        <f t="shared" si="22"/>
        <v>0.12260840881796067</v>
      </c>
      <c r="BA60" s="112">
        <f t="shared" si="22"/>
        <v>4.9979747326404318E-2</v>
      </c>
      <c r="BB60" s="112">
        <f t="shared" si="22"/>
        <v>0.63586590854310054</v>
      </c>
      <c r="BC60" s="112">
        <f>BC41/BC44</f>
        <v>0.43103709069737306</v>
      </c>
      <c r="BE60" s="123"/>
    </row>
    <row r="61" spans="1:57" s="112" customFormat="1" ht="13" x14ac:dyDescent="0.3">
      <c r="A61" s="112" t="s">
        <v>59</v>
      </c>
      <c r="C61" s="111">
        <f>C43/C44</f>
        <v>6.0654382751317085E-2</v>
      </c>
      <c r="D61" s="112">
        <f t="shared" ref="D61:BC61" si="23">D43/D44</f>
        <v>0</v>
      </c>
      <c r="E61" s="112">
        <f t="shared" si="23"/>
        <v>1.9447795655264805E-2</v>
      </c>
      <c r="F61" s="112">
        <f t="shared" si="23"/>
        <v>3.8690308901917624E-2</v>
      </c>
      <c r="G61" s="112">
        <f t="shared" si="23"/>
        <v>0.14072078661978143</v>
      </c>
      <c r="H61" s="112">
        <f t="shared" si="23"/>
        <v>3.0975524295165046E-2</v>
      </c>
      <c r="I61" s="112">
        <f t="shared" si="23"/>
        <v>0</v>
      </c>
      <c r="J61" s="112">
        <f t="shared" si="23"/>
        <v>0</v>
      </c>
      <c r="K61" s="112">
        <f t="shared" si="23"/>
        <v>0</v>
      </c>
      <c r="L61" s="112">
        <f t="shared" si="23"/>
        <v>5.619951577063359E-2</v>
      </c>
      <c r="M61" s="112">
        <f>M43/M44</f>
        <v>5.0410528115363534E-2</v>
      </c>
      <c r="N61" s="112">
        <f t="shared" si="23"/>
        <v>0</v>
      </c>
      <c r="O61" s="112">
        <f t="shared" si="23"/>
        <v>4.161861304282094E-2</v>
      </c>
      <c r="P61" s="112">
        <f t="shared" si="23"/>
        <v>2.7750898350747753E-2</v>
      </c>
      <c r="Q61" s="112">
        <f t="shared" si="23"/>
        <v>0.19047913746619294</v>
      </c>
      <c r="R61" s="112">
        <f t="shared" si="23"/>
        <v>8.4928975201723489E-3</v>
      </c>
      <c r="S61" s="112">
        <f t="shared" si="23"/>
        <v>0</v>
      </c>
      <c r="T61" s="112">
        <f t="shared" si="23"/>
        <v>0</v>
      </c>
      <c r="U61" s="112">
        <f t="shared" si="23"/>
        <v>0</v>
      </c>
      <c r="V61" s="112">
        <f t="shared" si="23"/>
        <v>3.615022024391934E-2</v>
      </c>
      <c r="W61" s="112">
        <f t="shared" si="23"/>
        <v>3.8240993468178865E-2</v>
      </c>
      <c r="X61" s="112">
        <f t="shared" si="23"/>
        <v>0.1307418055378248</v>
      </c>
      <c r="Y61" s="112">
        <f t="shared" si="23"/>
        <v>0.15904347580044398</v>
      </c>
      <c r="Z61" s="112">
        <f t="shared" si="23"/>
        <v>2.0746433809420026E-2</v>
      </c>
      <c r="AA61" s="112">
        <f t="shared" si="23"/>
        <v>7.3369392575567932E-2</v>
      </c>
      <c r="AB61" s="112">
        <f t="shared" si="23"/>
        <v>0.44811428256015556</v>
      </c>
      <c r="AC61" s="112">
        <f t="shared" si="23"/>
        <v>6.0426242630047471E-2</v>
      </c>
      <c r="AD61" s="112">
        <f t="shared" si="23"/>
        <v>0.18777742186661658</v>
      </c>
      <c r="AE61" s="112">
        <f t="shared" si="23"/>
        <v>0.14487996615703111</v>
      </c>
      <c r="AF61" s="112">
        <f t="shared" si="23"/>
        <v>0</v>
      </c>
      <c r="AG61" s="112">
        <f t="shared" si="23"/>
        <v>0.22115391932643716</v>
      </c>
      <c r="AH61" s="112">
        <f t="shared" si="23"/>
        <v>0.17398902683480741</v>
      </c>
      <c r="AI61" s="112">
        <f t="shared" si="23"/>
        <v>0</v>
      </c>
      <c r="AJ61" s="112">
        <f t="shared" si="23"/>
        <v>8.1701152554270046E-2</v>
      </c>
      <c r="AK61" s="112">
        <f t="shared" si="23"/>
        <v>0</v>
      </c>
      <c r="AL61" s="112">
        <f t="shared" si="23"/>
        <v>4.4878522215596024E-2</v>
      </c>
      <c r="AM61" s="112">
        <f t="shared" si="23"/>
        <v>0</v>
      </c>
      <c r="AN61" s="112">
        <f t="shared" si="23"/>
        <v>8.0675142427280758E-2</v>
      </c>
      <c r="AO61" s="112">
        <f t="shared" si="23"/>
        <v>0</v>
      </c>
      <c r="AP61" s="112">
        <f t="shared" si="23"/>
        <v>7.1043573552503807E-3</v>
      </c>
      <c r="AQ61" s="112">
        <f t="shared" si="23"/>
        <v>7.5498288436609148E-2</v>
      </c>
      <c r="AR61" s="112">
        <f t="shared" si="23"/>
        <v>0.25061289903041672</v>
      </c>
      <c r="AS61" s="112">
        <f t="shared" si="23"/>
        <v>2.1986038079402491E-2</v>
      </c>
      <c r="AT61" s="112">
        <f t="shared" si="23"/>
        <v>0</v>
      </c>
      <c r="AU61" s="112">
        <f t="shared" si="23"/>
        <v>0</v>
      </c>
      <c r="AV61" s="112">
        <f t="shared" si="23"/>
        <v>0</v>
      </c>
      <c r="AW61" s="112">
        <f t="shared" si="23"/>
        <v>0</v>
      </c>
      <c r="AX61" s="112">
        <f t="shared" si="23"/>
        <v>5.3273522256926033E-2</v>
      </c>
      <c r="AY61" s="112">
        <f t="shared" si="23"/>
        <v>0</v>
      </c>
      <c r="AZ61" s="112">
        <f t="shared" si="23"/>
        <v>0.27599877726511474</v>
      </c>
      <c r="BA61" s="112">
        <f t="shared" si="23"/>
        <v>0</v>
      </c>
      <c r="BB61" s="112">
        <f t="shared" si="23"/>
        <v>0</v>
      </c>
      <c r="BC61" s="112">
        <f t="shared" si="23"/>
        <v>0</v>
      </c>
      <c r="BE61" s="123"/>
    </row>
    <row r="62" spans="1:57" x14ac:dyDescent="0.3">
      <c r="A62" s="124"/>
    </row>
    <row r="63" spans="1:57" x14ac:dyDescent="0.3">
      <c r="A63" s="125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</row>
    <row r="64" spans="1:57" x14ac:dyDescent="0.3">
      <c r="A64" s="125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</row>
    <row r="65" spans="1:55" x14ac:dyDescent="0.3">
      <c r="A65" s="125"/>
      <c r="B65" s="119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</row>
    <row r="66" spans="1:55" x14ac:dyDescent="0.3">
      <c r="A66" s="125"/>
      <c r="B66" s="119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</row>
    <row r="67" spans="1:55" x14ac:dyDescent="0.3">
      <c r="B67" s="119"/>
    </row>
    <row r="71" spans="1:55" s="120" customFormat="1" x14ac:dyDescent="0.3">
      <c r="A71" s="115"/>
      <c r="B71" s="119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5799-4705-47FF-B7F1-2B2A1E375877}">
  <sheetPr codeName="Sheet32">
    <tabColor theme="6" tint="0.79998168889431442"/>
  </sheetPr>
  <dimension ref="A1:AP69"/>
  <sheetViews>
    <sheetView zoomScaleNormal="100" workbookViewId="0">
      <pane xSplit="2" ySplit="2" topLeftCell="AK17" activePane="bottomRight" state="frozen"/>
      <selection activeCell="C4" sqref="C4"/>
      <selection pane="topRight" activeCell="C4" sqref="C4"/>
      <selection pane="bottomLeft" activeCell="C4" sqref="C4"/>
      <selection pane="bottomRight" activeCell="AO22" sqref="AO22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197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198</v>
      </c>
      <c r="B4" s="61"/>
      <c r="C4" s="62">
        <f>SUM(D4:AL4)</f>
        <v>2569400891</v>
      </c>
      <c r="D4" s="61">
        <v>51540000</v>
      </c>
      <c r="E4" s="60">
        <v>147265000</v>
      </c>
      <c r="F4" s="60">
        <v>61150000</v>
      </c>
      <c r="G4" s="60">
        <v>33868000</v>
      </c>
      <c r="H4" s="63">
        <v>58111000</v>
      </c>
      <c r="I4" s="61">
        <v>48904000</v>
      </c>
      <c r="J4" s="65">
        <v>42583000</v>
      </c>
      <c r="K4" s="64">
        <v>43253000</v>
      </c>
      <c r="L4" s="64">
        <v>64518000</v>
      </c>
      <c r="M4" s="64">
        <v>95928000</v>
      </c>
      <c r="N4" s="65">
        <v>93778000</v>
      </c>
      <c r="O4" s="64">
        <v>44706400</v>
      </c>
      <c r="P4" s="64">
        <v>85750825</v>
      </c>
      <c r="Q4" s="64">
        <v>57752666</v>
      </c>
      <c r="R4" s="65">
        <v>114550000</v>
      </c>
      <c r="S4" s="64">
        <v>45068000</v>
      </c>
      <c r="T4" s="64">
        <v>53434000</v>
      </c>
      <c r="U4" s="65">
        <v>197020000</v>
      </c>
      <c r="V4" s="64">
        <v>66100400</v>
      </c>
      <c r="W4" s="64">
        <v>89396000</v>
      </c>
      <c r="X4" s="64">
        <v>107622000</v>
      </c>
      <c r="Y4" s="64">
        <v>26486000</v>
      </c>
      <c r="Z4" s="64">
        <v>63893000</v>
      </c>
      <c r="AA4" s="64">
        <v>35901000</v>
      </c>
      <c r="AB4" s="64">
        <v>76696000</v>
      </c>
      <c r="AC4" s="65">
        <v>35080000</v>
      </c>
      <c r="AD4" s="64">
        <v>72707000</v>
      </c>
      <c r="AE4" s="64">
        <v>41888000</v>
      </c>
      <c r="AF4" s="64">
        <v>112170600</v>
      </c>
      <c r="AG4" s="64">
        <v>40810000</v>
      </c>
      <c r="AH4" s="64">
        <v>83402000</v>
      </c>
      <c r="AI4" s="64">
        <v>236657000</v>
      </c>
      <c r="AJ4" s="64">
        <v>51180000</v>
      </c>
      <c r="AK4" s="64">
        <v>43075000</v>
      </c>
      <c r="AL4" s="64">
        <v>47157000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83300000</v>
      </c>
      <c r="D5" s="67"/>
      <c r="E5" s="62">
        <v>8800000</v>
      </c>
      <c r="F5" s="67"/>
      <c r="G5" s="67"/>
      <c r="H5" s="67">
        <v>5000000</v>
      </c>
      <c r="I5" s="67">
        <v>7400000</v>
      </c>
      <c r="J5" s="68">
        <v>3300000</v>
      </c>
      <c r="L5" s="68">
        <v>3700000</v>
      </c>
      <c r="P5" s="68">
        <v>3300000</v>
      </c>
      <c r="Q5" s="68">
        <v>2400000</v>
      </c>
      <c r="R5" s="68">
        <v>4500000</v>
      </c>
      <c r="U5" s="68">
        <v>7700000</v>
      </c>
      <c r="W5" s="68">
        <v>3500000</v>
      </c>
      <c r="Z5" s="68">
        <v>3300000</v>
      </c>
      <c r="AB5" s="68">
        <v>3500000</v>
      </c>
      <c r="AC5" s="86">
        <v>5800000</v>
      </c>
      <c r="AD5" s="68">
        <v>2900000</v>
      </c>
      <c r="AE5" s="68">
        <v>3400000</v>
      </c>
      <c r="AF5" s="68">
        <v>3800000</v>
      </c>
      <c r="AI5" s="68">
        <v>8300000</v>
      </c>
      <c r="AJ5" s="68">
        <v>2700000</v>
      </c>
    </row>
    <row r="6" spans="1:38" s="68" customFormat="1" ht="13" x14ac:dyDescent="0.3">
      <c r="A6" s="69" t="s">
        <v>4</v>
      </c>
      <c r="B6" s="67"/>
      <c r="C6" s="62">
        <f t="shared" si="0"/>
        <v>1000000</v>
      </c>
      <c r="E6" s="62"/>
      <c r="F6" s="67"/>
      <c r="G6" s="67"/>
      <c r="H6" s="67"/>
      <c r="I6" s="67"/>
      <c r="R6" s="70"/>
      <c r="W6" s="70"/>
      <c r="AD6" s="68">
        <v>1000000</v>
      </c>
      <c r="AI6" s="70"/>
    </row>
    <row r="7" spans="1:38" s="68" customFormat="1" ht="13" x14ac:dyDescent="0.3">
      <c r="A7" s="71" t="s">
        <v>5</v>
      </c>
      <c r="B7" s="67"/>
      <c r="C7" s="62">
        <f t="shared" si="0"/>
        <v>3660000</v>
      </c>
      <c r="E7" s="62"/>
      <c r="F7" s="67"/>
      <c r="G7" s="67"/>
      <c r="H7" s="67">
        <v>2520000</v>
      </c>
      <c r="I7" s="67">
        <v>1140000</v>
      </c>
      <c r="O7" s="72"/>
      <c r="P7" s="72"/>
      <c r="R7" s="70"/>
      <c r="W7" s="70"/>
      <c r="X7" s="72"/>
      <c r="AI7" s="70"/>
    </row>
    <row r="8" spans="1:38" s="68" customFormat="1" ht="13" x14ac:dyDescent="0.3">
      <c r="A8" s="71"/>
      <c r="B8" s="67" t="s">
        <v>6</v>
      </c>
      <c r="C8" s="62">
        <f t="shared" si="0"/>
        <v>18</v>
      </c>
      <c r="D8" s="68">
        <v>0</v>
      </c>
      <c r="E8" s="67">
        <v>0</v>
      </c>
      <c r="F8" s="67">
        <v>0</v>
      </c>
      <c r="G8" s="67">
        <v>1</v>
      </c>
      <c r="H8" s="67">
        <v>0</v>
      </c>
      <c r="I8" s="67">
        <v>0</v>
      </c>
      <c r="J8" s="68">
        <v>1</v>
      </c>
      <c r="K8" s="68">
        <v>1</v>
      </c>
      <c r="L8" s="68">
        <v>0</v>
      </c>
      <c r="M8" s="68">
        <v>0</v>
      </c>
      <c r="N8" s="68">
        <v>3</v>
      </c>
      <c r="O8" s="68">
        <v>0</v>
      </c>
      <c r="P8" s="68">
        <v>1</v>
      </c>
      <c r="Q8" s="68">
        <v>1</v>
      </c>
      <c r="R8" s="68">
        <v>1</v>
      </c>
      <c r="S8" s="68">
        <v>0</v>
      </c>
      <c r="T8" s="73">
        <v>0</v>
      </c>
      <c r="U8" s="73">
        <v>2</v>
      </c>
      <c r="V8" s="73">
        <v>1</v>
      </c>
      <c r="W8" s="73">
        <v>0</v>
      </c>
      <c r="X8" s="73">
        <v>0</v>
      </c>
      <c r="Y8" s="73">
        <v>1</v>
      </c>
      <c r="Z8" s="68">
        <v>0</v>
      </c>
      <c r="AA8" s="73">
        <v>1</v>
      </c>
      <c r="AB8" s="73">
        <v>1</v>
      </c>
      <c r="AC8" s="73">
        <v>1</v>
      </c>
      <c r="AD8" s="73">
        <v>1</v>
      </c>
      <c r="AE8" s="73">
        <v>0</v>
      </c>
      <c r="AF8" s="73">
        <v>1</v>
      </c>
      <c r="AG8" s="73">
        <v>0</v>
      </c>
      <c r="AH8" s="73">
        <v>0</v>
      </c>
      <c r="AI8" s="73">
        <v>0</v>
      </c>
      <c r="AJ8" s="73">
        <v>0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24</v>
      </c>
      <c r="D9" s="68">
        <v>0</v>
      </c>
      <c r="E9" s="67">
        <v>2</v>
      </c>
      <c r="F9" s="67">
        <v>0</v>
      </c>
      <c r="G9" s="67">
        <v>0</v>
      </c>
      <c r="H9" s="67">
        <v>1</v>
      </c>
      <c r="I9" s="67">
        <v>2</v>
      </c>
      <c r="J9" s="68">
        <v>1</v>
      </c>
      <c r="K9" s="68">
        <v>0</v>
      </c>
      <c r="L9" s="68">
        <v>1</v>
      </c>
      <c r="M9" s="68">
        <v>0</v>
      </c>
      <c r="N9" s="68">
        <v>0</v>
      </c>
      <c r="O9" s="68">
        <v>0</v>
      </c>
      <c r="P9" s="68">
        <v>1</v>
      </c>
      <c r="Q9" s="68">
        <v>1</v>
      </c>
      <c r="R9" s="68">
        <v>1</v>
      </c>
      <c r="S9" s="68">
        <v>0</v>
      </c>
      <c r="T9" s="75">
        <v>0</v>
      </c>
      <c r="U9" s="75">
        <v>2</v>
      </c>
      <c r="V9" s="73">
        <v>0</v>
      </c>
      <c r="W9" s="75">
        <v>1</v>
      </c>
      <c r="X9" s="75">
        <v>0</v>
      </c>
      <c r="Y9" s="75">
        <v>0</v>
      </c>
      <c r="Z9" s="75">
        <v>1</v>
      </c>
      <c r="AA9" s="75">
        <v>0</v>
      </c>
      <c r="AB9" s="75">
        <v>1</v>
      </c>
      <c r="AC9" s="75">
        <v>2</v>
      </c>
      <c r="AD9" s="75">
        <v>1</v>
      </c>
      <c r="AE9" s="75">
        <v>1</v>
      </c>
      <c r="AF9" s="75">
        <v>1</v>
      </c>
      <c r="AG9" s="75">
        <v>0</v>
      </c>
      <c r="AH9" s="75">
        <v>0</v>
      </c>
      <c r="AI9" s="75">
        <v>3</v>
      </c>
      <c r="AJ9" s="75">
        <v>1</v>
      </c>
      <c r="AK9" s="75">
        <v>0</v>
      </c>
      <c r="AL9" s="75">
        <v>0</v>
      </c>
    </row>
    <row r="10" spans="1:38" s="68" customFormat="1" ht="13" x14ac:dyDescent="0.3">
      <c r="A10" s="71"/>
      <c r="B10" s="67" t="s">
        <v>199</v>
      </c>
      <c r="C10" s="62">
        <f t="shared" si="0"/>
        <v>11</v>
      </c>
      <c r="D10" s="68">
        <v>0</v>
      </c>
      <c r="E10" s="67">
        <v>0</v>
      </c>
      <c r="F10" s="67">
        <v>0</v>
      </c>
      <c r="G10" s="67">
        <v>1</v>
      </c>
      <c r="H10" s="67">
        <v>0</v>
      </c>
      <c r="I10" s="67">
        <v>0</v>
      </c>
      <c r="J10" s="68">
        <v>0</v>
      </c>
      <c r="K10" s="68">
        <v>1</v>
      </c>
      <c r="L10" s="68">
        <v>0</v>
      </c>
      <c r="M10" s="68">
        <v>0</v>
      </c>
      <c r="N10" s="68">
        <v>3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75">
        <v>0</v>
      </c>
      <c r="U10" s="75">
        <v>0</v>
      </c>
      <c r="V10" s="73">
        <v>2</v>
      </c>
      <c r="W10" s="75">
        <v>0</v>
      </c>
      <c r="X10" s="75">
        <v>0</v>
      </c>
      <c r="Y10" s="75">
        <v>1</v>
      </c>
      <c r="Z10" s="75">
        <v>0</v>
      </c>
      <c r="AA10" s="75">
        <v>1</v>
      </c>
      <c r="AB10" s="75">
        <v>0</v>
      </c>
      <c r="AC10" s="75">
        <v>0</v>
      </c>
      <c r="AD10" s="75">
        <v>1</v>
      </c>
      <c r="AE10" s="75">
        <v>0</v>
      </c>
      <c r="AF10" s="75">
        <v>1</v>
      </c>
      <c r="AG10" s="75">
        <v>0</v>
      </c>
      <c r="AH10" s="75">
        <v>0</v>
      </c>
      <c r="AI10" s="75">
        <v>0</v>
      </c>
      <c r="AJ10" s="75">
        <v>0</v>
      </c>
      <c r="AK10" s="75">
        <v>0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1752580645.1612904</v>
      </c>
      <c r="D11" s="68">
        <v>37700000</v>
      </c>
      <c r="E11" s="67">
        <v>96300000</v>
      </c>
      <c r="F11" s="67">
        <v>44100000</v>
      </c>
      <c r="G11" s="67">
        <v>22650000</v>
      </c>
      <c r="H11" s="67">
        <v>40941935.483870968</v>
      </c>
      <c r="I11" s="67">
        <v>30400000</v>
      </c>
      <c r="J11" s="68">
        <v>26922580.64516129</v>
      </c>
      <c r="K11" s="68">
        <v>31500000</v>
      </c>
      <c r="L11" s="68">
        <v>40100000</v>
      </c>
      <c r="M11" s="68">
        <v>65000000</v>
      </c>
      <c r="N11" s="68">
        <v>60400000</v>
      </c>
      <c r="O11" s="68">
        <v>33900000</v>
      </c>
      <c r="P11" s="68">
        <v>58680645.161290325</v>
      </c>
      <c r="Q11" s="68">
        <v>39616129.032258064</v>
      </c>
      <c r="R11" s="68">
        <v>77706451.612903222</v>
      </c>
      <c r="S11" s="68">
        <v>31500000</v>
      </c>
      <c r="T11" s="75">
        <v>35700000</v>
      </c>
      <c r="U11" s="75">
        <v>136091935.48387095</v>
      </c>
      <c r="V11" s="73">
        <v>50200000</v>
      </c>
      <c r="W11" s="75">
        <v>55683870.967741936</v>
      </c>
      <c r="X11" s="75">
        <v>74000000</v>
      </c>
      <c r="Y11" s="75">
        <v>19300000</v>
      </c>
      <c r="Z11" s="75">
        <v>45461290.322580643</v>
      </c>
      <c r="AA11" s="75">
        <v>28600000</v>
      </c>
      <c r="AB11" s="75">
        <v>55583870.967741936</v>
      </c>
      <c r="AC11" s="75">
        <v>18600000</v>
      </c>
      <c r="AD11" s="75">
        <v>50590322.580645159</v>
      </c>
      <c r="AE11" s="75">
        <v>28451612.903225806</v>
      </c>
      <c r="AF11" s="75">
        <v>71700000</v>
      </c>
      <c r="AG11" s="75">
        <v>32300000</v>
      </c>
      <c r="AH11" s="75">
        <v>60700000</v>
      </c>
      <c r="AI11" s="75">
        <v>153000000</v>
      </c>
      <c r="AJ11" s="75">
        <v>33300000</v>
      </c>
      <c r="AK11" s="75">
        <v>32400000</v>
      </c>
      <c r="AL11" s="75">
        <v>33500000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498573000</v>
      </c>
      <c r="D12" s="67">
        <v>8660000</v>
      </c>
      <c r="E12" s="67">
        <v>29064000</v>
      </c>
      <c r="F12" s="62">
        <v>11700000</v>
      </c>
      <c r="G12" s="62">
        <v>7460000</v>
      </c>
      <c r="H12" s="62">
        <v>12263000</v>
      </c>
      <c r="I12" s="67">
        <v>10276000</v>
      </c>
      <c r="J12" s="68">
        <v>8532000</v>
      </c>
      <c r="K12" s="68">
        <v>8528000</v>
      </c>
      <c r="L12" s="68">
        <v>13952000</v>
      </c>
      <c r="M12" s="68">
        <v>20348000</v>
      </c>
      <c r="N12" s="68">
        <v>23024000</v>
      </c>
      <c r="O12" s="68">
        <v>6636000</v>
      </c>
      <c r="P12" s="68">
        <v>14592000</v>
      </c>
      <c r="Q12" s="68">
        <v>9916000</v>
      </c>
      <c r="R12" s="68">
        <v>20396000</v>
      </c>
      <c r="S12" s="68">
        <v>9388000</v>
      </c>
      <c r="T12" s="75">
        <v>12364000</v>
      </c>
      <c r="U12" s="75">
        <v>35468000</v>
      </c>
      <c r="V12" s="73">
        <v>9677400</v>
      </c>
      <c r="W12" s="75">
        <v>19880000</v>
      </c>
      <c r="X12" s="75">
        <v>24372000</v>
      </c>
      <c r="Y12" s="75">
        <v>4956000</v>
      </c>
      <c r="Z12" s="75">
        <v>10888000</v>
      </c>
      <c r="AA12" s="75">
        <v>4936000</v>
      </c>
      <c r="AB12" s="75">
        <v>13468000</v>
      </c>
      <c r="AC12" s="75">
        <v>4280000</v>
      </c>
      <c r="AD12" s="75">
        <v>13156000</v>
      </c>
      <c r="AE12" s="75">
        <v>6580000</v>
      </c>
      <c r="AF12" s="75">
        <v>27460600</v>
      </c>
      <c r="AG12" s="75">
        <v>6384000</v>
      </c>
      <c r="AH12" s="75">
        <v>14720000</v>
      </c>
      <c r="AI12" s="75">
        <v>49476000</v>
      </c>
      <c r="AJ12" s="75">
        <v>9420000</v>
      </c>
      <c r="AK12" s="75">
        <v>7500000</v>
      </c>
      <c r="AL12" s="75">
        <v>8852000</v>
      </c>
    </row>
    <row r="13" spans="1:38" s="68" customFormat="1" ht="13" x14ac:dyDescent="0.3">
      <c r="A13" s="129"/>
      <c r="B13" s="69" t="s">
        <v>12</v>
      </c>
      <c r="C13" s="62">
        <f t="shared" si="0"/>
        <v>89637741.935483873</v>
      </c>
      <c r="D13" s="67">
        <v>1690000</v>
      </c>
      <c r="E13" s="68">
        <v>4950000</v>
      </c>
      <c r="F13" s="68">
        <v>1540000</v>
      </c>
      <c r="G13" s="68">
        <v>1380000</v>
      </c>
      <c r="H13" s="68">
        <v>1981612.9032258065</v>
      </c>
      <c r="I13" s="68">
        <v>1580000</v>
      </c>
      <c r="J13" s="68">
        <v>1553548.3870967743</v>
      </c>
      <c r="K13" s="68">
        <v>1495000</v>
      </c>
      <c r="L13" s="68">
        <v>2000000</v>
      </c>
      <c r="M13" s="68">
        <v>4170000</v>
      </c>
      <c r="N13" s="68">
        <v>4710000</v>
      </c>
      <c r="O13" s="68">
        <v>1640000</v>
      </c>
      <c r="P13" s="68">
        <v>3928387.0967741935</v>
      </c>
      <c r="Q13" s="68">
        <v>2345806.4516129033</v>
      </c>
      <c r="R13" s="68">
        <v>4559677.4193548383</v>
      </c>
      <c r="S13" s="68">
        <v>1660000</v>
      </c>
      <c r="T13" s="73">
        <v>2270000</v>
      </c>
      <c r="U13" s="73">
        <v>6721935.4838709673</v>
      </c>
      <c r="V13" s="73">
        <v>1225000</v>
      </c>
      <c r="W13" s="73">
        <v>3020322.5806451612</v>
      </c>
      <c r="X13" s="73">
        <v>3360000</v>
      </c>
      <c r="Y13" s="73">
        <v>800000</v>
      </c>
      <c r="Z13" s="73">
        <v>1580000</v>
      </c>
      <c r="AA13" s="73">
        <v>1075000</v>
      </c>
      <c r="AB13" s="73">
        <v>1955161.2903225806</v>
      </c>
      <c r="AC13" s="73">
        <v>1440000</v>
      </c>
      <c r="AD13" s="73">
        <v>1865000</v>
      </c>
      <c r="AE13" s="73">
        <v>1581290.3225806451</v>
      </c>
      <c r="AF13" s="73">
        <v>2670000</v>
      </c>
      <c r="AG13" s="73">
        <v>1170000</v>
      </c>
      <c r="AH13" s="73">
        <v>2880000</v>
      </c>
      <c r="AI13" s="73">
        <v>9760000</v>
      </c>
      <c r="AJ13" s="73">
        <v>1730000</v>
      </c>
      <c r="AK13" s="73">
        <v>1195000</v>
      </c>
      <c r="AL13" s="73">
        <v>2155000</v>
      </c>
    </row>
    <row r="14" spans="1:38" s="68" customFormat="1" ht="13" x14ac:dyDescent="0.3">
      <c r="A14" s="129"/>
      <c r="B14" s="69" t="s">
        <v>13</v>
      </c>
      <c r="C14" s="62">
        <f t="shared" si="0"/>
        <v>40456731.182795696</v>
      </c>
      <c r="D14" s="67">
        <v>590000</v>
      </c>
      <c r="E14" s="67">
        <v>1950000</v>
      </c>
      <c r="F14" s="68">
        <v>630000</v>
      </c>
      <c r="G14" s="68">
        <v>630000</v>
      </c>
      <c r="H14" s="68">
        <v>885806.45161290327</v>
      </c>
      <c r="I14" s="68">
        <v>690000</v>
      </c>
      <c r="J14" s="68">
        <v>454731.18279569893</v>
      </c>
      <c r="K14" s="68">
        <v>640000</v>
      </c>
      <c r="L14" s="68">
        <v>1080000</v>
      </c>
      <c r="M14" s="68">
        <v>1700000</v>
      </c>
      <c r="N14" s="68">
        <v>1680000</v>
      </c>
      <c r="O14" s="68">
        <v>720000</v>
      </c>
      <c r="P14" s="68">
        <v>1564193.5483870967</v>
      </c>
      <c r="Q14" s="68">
        <v>932903.22580645164</v>
      </c>
      <c r="R14" s="68">
        <v>2084838.7096774194</v>
      </c>
      <c r="S14" s="68">
        <v>690000</v>
      </c>
      <c r="T14" s="73">
        <v>900000</v>
      </c>
      <c r="U14" s="73">
        <v>2082580.6451612904</v>
      </c>
      <c r="V14" s="73">
        <v>1070000</v>
      </c>
      <c r="W14" s="73">
        <v>1885161.2903225806</v>
      </c>
      <c r="X14" s="73">
        <v>1590000</v>
      </c>
      <c r="Y14" s="73">
        <v>510000</v>
      </c>
      <c r="Z14" s="73">
        <v>768387.09677419357</v>
      </c>
      <c r="AA14" s="73">
        <v>890000</v>
      </c>
      <c r="AB14" s="73">
        <v>674580.6451612903</v>
      </c>
      <c r="AC14" s="73">
        <v>540000</v>
      </c>
      <c r="AD14" s="73">
        <v>1082903.2258064516</v>
      </c>
      <c r="AE14" s="73">
        <v>700645.16129032255</v>
      </c>
      <c r="AF14" s="73">
        <v>2010000</v>
      </c>
      <c r="AG14" s="73">
        <v>540000</v>
      </c>
      <c r="AH14" s="73">
        <v>1260000</v>
      </c>
      <c r="AI14" s="73">
        <v>4540000</v>
      </c>
      <c r="AJ14" s="73">
        <v>750000</v>
      </c>
      <c r="AK14" s="73">
        <v>810000</v>
      </c>
      <c r="AL14" s="73">
        <v>930000</v>
      </c>
    </row>
    <row r="15" spans="1:38" s="68" customFormat="1" ht="13" x14ac:dyDescent="0.3">
      <c r="A15" s="129"/>
      <c r="B15" s="69" t="s">
        <v>14</v>
      </c>
      <c r="C15" s="62">
        <f t="shared" si="0"/>
        <v>37761935.483870968</v>
      </c>
      <c r="D15" s="67">
        <v>840000</v>
      </c>
      <c r="E15" s="68">
        <v>1700000</v>
      </c>
      <c r="F15" s="68">
        <v>1200000</v>
      </c>
      <c r="G15" s="68">
        <v>700000</v>
      </c>
      <c r="H15" s="68">
        <v>554838.70967741939</v>
      </c>
      <c r="I15" s="68">
        <v>800000</v>
      </c>
      <c r="J15" s="68">
        <v>761290.32258064521</v>
      </c>
      <c r="K15" s="68">
        <v>400000</v>
      </c>
      <c r="L15" s="68">
        <v>1000000</v>
      </c>
      <c r="M15" s="68">
        <v>1400000</v>
      </c>
      <c r="N15" s="68">
        <v>1600000</v>
      </c>
      <c r="O15" s="68">
        <v>800000</v>
      </c>
      <c r="P15" s="68">
        <v>1490322.5806451612</v>
      </c>
      <c r="Q15" s="68">
        <v>1200000</v>
      </c>
      <c r="R15" s="68">
        <v>1629032.2580645161</v>
      </c>
      <c r="S15" s="68">
        <v>900000</v>
      </c>
      <c r="T15" s="73">
        <v>800000</v>
      </c>
      <c r="U15" s="73">
        <v>2670967.7419354841</v>
      </c>
      <c r="V15" s="73">
        <v>1000000</v>
      </c>
      <c r="W15" s="73">
        <v>1370967.7419354839</v>
      </c>
      <c r="X15" s="73">
        <v>1300000</v>
      </c>
      <c r="Y15" s="73">
        <v>500000</v>
      </c>
      <c r="Z15" s="73">
        <v>1180645.1612903224</v>
      </c>
      <c r="AA15" s="73">
        <v>400000</v>
      </c>
      <c r="AB15" s="73">
        <v>700000</v>
      </c>
      <c r="AC15" s="73">
        <v>500000</v>
      </c>
      <c r="AD15" s="73">
        <v>1090000</v>
      </c>
      <c r="AE15" s="73">
        <v>383870.96774193551</v>
      </c>
      <c r="AF15" s="73">
        <v>1400000</v>
      </c>
      <c r="AG15" s="73">
        <v>300000</v>
      </c>
      <c r="AH15" s="73">
        <v>1100000</v>
      </c>
      <c r="AI15" s="73">
        <v>3990000</v>
      </c>
      <c r="AJ15" s="73">
        <v>1100000</v>
      </c>
      <c r="AK15" s="73">
        <v>300000</v>
      </c>
      <c r="AL15" s="73">
        <v>700000</v>
      </c>
    </row>
    <row r="16" spans="1:38" s="68" customFormat="1" ht="13" x14ac:dyDescent="0.3">
      <c r="A16" s="129"/>
      <c r="B16" s="69" t="s">
        <v>15</v>
      </c>
      <c r="C16" s="62">
        <f t="shared" si="0"/>
        <v>7809032.2580645159</v>
      </c>
      <c r="D16" s="67">
        <v>0</v>
      </c>
      <c r="E16" s="68">
        <v>450000</v>
      </c>
      <c r="F16" s="68">
        <v>150000</v>
      </c>
      <c r="G16" s="68">
        <v>0</v>
      </c>
      <c r="H16" s="68">
        <v>350000</v>
      </c>
      <c r="I16" s="68">
        <v>0</v>
      </c>
      <c r="J16" s="68">
        <v>0</v>
      </c>
      <c r="K16" s="68">
        <v>200000</v>
      </c>
      <c r="L16" s="68">
        <v>200000</v>
      </c>
      <c r="M16" s="68">
        <v>150000</v>
      </c>
      <c r="N16" s="68">
        <v>0</v>
      </c>
      <c r="O16" s="68">
        <v>0</v>
      </c>
      <c r="P16" s="68">
        <v>150000</v>
      </c>
      <c r="Q16" s="68">
        <v>0</v>
      </c>
      <c r="R16" s="68">
        <v>0</v>
      </c>
      <c r="S16" s="68">
        <v>150000</v>
      </c>
      <c r="T16" s="76">
        <v>300000</v>
      </c>
      <c r="U16" s="73">
        <v>4609032.2580645159</v>
      </c>
      <c r="V16" s="73">
        <v>0</v>
      </c>
      <c r="W16" s="73">
        <v>0</v>
      </c>
      <c r="X16" s="73">
        <v>200000</v>
      </c>
      <c r="Y16" s="76">
        <v>0</v>
      </c>
      <c r="Z16" s="76">
        <v>0</v>
      </c>
      <c r="AA16" s="76">
        <v>0</v>
      </c>
      <c r="AB16" s="76">
        <v>0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200000</v>
      </c>
      <c r="AI16" s="73">
        <v>450000</v>
      </c>
      <c r="AJ16" s="76">
        <v>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15826064.516129032</v>
      </c>
      <c r="D17" s="67">
        <v>450000</v>
      </c>
      <c r="E17" s="68">
        <v>1950000</v>
      </c>
      <c r="F17" s="68">
        <v>450000</v>
      </c>
      <c r="G17" s="68">
        <v>0</v>
      </c>
      <c r="H17" s="68">
        <v>0</v>
      </c>
      <c r="I17" s="68">
        <v>0</v>
      </c>
      <c r="J17" s="68">
        <v>724731.18279569887</v>
      </c>
      <c r="K17" s="68">
        <v>0</v>
      </c>
      <c r="L17" s="68">
        <v>1020000</v>
      </c>
      <c r="M17" s="68">
        <v>1430000</v>
      </c>
      <c r="N17" s="68">
        <v>1620000</v>
      </c>
      <c r="O17" s="68">
        <v>0</v>
      </c>
      <c r="P17" s="68">
        <v>0</v>
      </c>
      <c r="Q17" s="68">
        <v>361333.33333333331</v>
      </c>
      <c r="R17" s="68">
        <v>1829032.2580645161</v>
      </c>
      <c r="S17" s="68">
        <v>0</v>
      </c>
      <c r="T17" s="77">
        <v>0</v>
      </c>
      <c r="U17" s="77">
        <v>0</v>
      </c>
      <c r="V17" s="73">
        <v>0</v>
      </c>
      <c r="W17" s="70">
        <v>1620967.7419354839</v>
      </c>
      <c r="X17" s="77">
        <v>1450000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1300000</v>
      </c>
      <c r="AG17" s="77">
        <v>0</v>
      </c>
      <c r="AH17" s="70">
        <v>1200000</v>
      </c>
      <c r="AI17" s="77">
        <v>0</v>
      </c>
      <c r="AJ17" s="77">
        <v>420000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44551247.311827958</v>
      </c>
      <c r="D18" s="67">
        <v>1310000</v>
      </c>
      <c r="E18" s="68">
        <v>2100000</v>
      </c>
      <c r="F18" s="68">
        <v>780000</v>
      </c>
      <c r="G18" s="68">
        <v>1300000</v>
      </c>
      <c r="H18" s="68">
        <v>765806.45161290327</v>
      </c>
      <c r="I18" s="68">
        <v>720000</v>
      </c>
      <c r="J18" s="68">
        <v>454731.18279569893</v>
      </c>
      <c r="K18" s="68">
        <v>610000</v>
      </c>
      <c r="L18" s="68">
        <v>1200000</v>
      </c>
      <c r="M18" s="68">
        <v>1730000</v>
      </c>
      <c r="N18" s="68">
        <v>1920000</v>
      </c>
      <c r="O18" s="68">
        <v>840000</v>
      </c>
      <c r="P18" s="68">
        <v>1674193.5483870967</v>
      </c>
      <c r="Q18" s="68">
        <v>1112903.2258064516</v>
      </c>
      <c r="R18" s="68">
        <v>2024838.7096774194</v>
      </c>
      <c r="S18" s="68">
        <v>780000</v>
      </c>
      <c r="T18" s="78">
        <v>1080000</v>
      </c>
      <c r="U18" s="78">
        <v>2907096.7741935481</v>
      </c>
      <c r="V18" s="73">
        <v>2460000</v>
      </c>
      <c r="W18" s="78">
        <v>1945161.2903225806</v>
      </c>
      <c r="X18" s="78">
        <v>1750000</v>
      </c>
      <c r="Y18" s="78">
        <v>420000</v>
      </c>
      <c r="Z18" s="78">
        <v>828387.09677419357</v>
      </c>
      <c r="AA18" s="79">
        <v>0</v>
      </c>
      <c r="AB18" s="78">
        <v>854580.6451612903</v>
      </c>
      <c r="AC18" s="78">
        <v>480000</v>
      </c>
      <c r="AD18" s="78">
        <v>1022903.2258064516</v>
      </c>
      <c r="AE18" s="78">
        <v>790645.16129032255</v>
      </c>
      <c r="AF18" s="78">
        <v>1740000</v>
      </c>
      <c r="AG18" s="79">
        <v>0</v>
      </c>
      <c r="AH18" s="78">
        <v>1290000</v>
      </c>
      <c r="AI18" s="78">
        <v>4930000</v>
      </c>
      <c r="AJ18" s="78">
        <v>840000</v>
      </c>
      <c r="AK18" s="78">
        <v>870000</v>
      </c>
      <c r="AL18" s="78">
        <v>1020000</v>
      </c>
    </row>
    <row r="19" spans="1:42" s="68" customFormat="1" ht="12" customHeight="1" x14ac:dyDescent="0.3">
      <c r="A19" s="130"/>
      <c r="B19" s="80" t="s">
        <v>18</v>
      </c>
      <c r="C19" s="81">
        <f>SUM(C12:C18)</f>
        <v>734615752.6881721</v>
      </c>
      <c r="D19" s="81">
        <f t="shared" ref="D19:AP19" si="1">SUM(D12:D18)</f>
        <v>13540000</v>
      </c>
      <c r="E19" s="81">
        <f>SUM(E12:E18)</f>
        <v>42164000</v>
      </c>
      <c r="F19" s="81">
        <f>SUM(F12:F18)</f>
        <v>16450000</v>
      </c>
      <c r="G19" s="81">
        <f t="shared" si="1"/>
        <v>11470000</v>
      </c>
      <c r="H19" s="81">
        <f>SUM(H12:H18)</f>
        <v>16801064.516129032</v>
      </c>
      <c r="I19" s="81">
        <f>SUM(I12:I18)</f>
        <v>14066000</v>
      </c>
      <c r="J19" s="81">
        <f t="shared" si="1"/>
        <v>12481032.258064518</v>
      </c>
      <c r="K19" s="81">
        <f t="shared" si="1"/>
        <v>11873000</v>
      </c>
      <c r="L19" s="81">
        <f t="shared" si="1"/>
        <v>20452000</v>
      </c>
      <c r="M19" s="81">
        <f t="shared" si="1"/>
        <v>30928000</v>
      </c>
      <c r="N19" s="81">
        <f t="shared" si="1"/>
        <v>34554000</v>
      </c>
      <c r="O19" s="81">
        <f t="shared" si="1"/>
        <v>10636000</v>
      </c>
      <c r="P19" s="81">
        <f t="shared" si="1"/>
        <v>23399096.774193548</v>
      </c>
      <c r="Q19" s="81">
        <f>SUM(Q12:Q18)</f>
        <v>15868946.236559141</v>
      </c>
      <c r="R19" s="81">
        <f>SUM(R12:R18)</f>
        <v>32523419.35483871</v>
      </c>
      <c r="S19" s="81">
        <f>SUM(S12:S18)</f>
        <v>13568000</v>
      </c>
      <c r="T19" s="81">
        <f t="shared" si="1"/>
        <v>17714000</v>
      </c>
      <c r="U19" s="81">
        <f t="shared" si="1"/>
        <v>54459612.903225809</v>
      </c>
      <c r="V19" s="81">
        <f t="shared" si="1"/>
        <v>15432400</v>
      </c>
      <c r="W19" s="81">
        <f t="shared" si="1"/>
        <v>29722580.64516129</v>
      </c>
      <c r="X19" s="81">
        <f t="shared" si="1"/>
        <v>34022000</v>
      </c>
      <c r="Y19" s="81">
        <f t="shared" si="1"/>
        <v>7186000</v>
      </c>
      <c r="Z19" s="81">
        <f t="shared" si="1"/>
        <v>15245419.35483871</v>
      </c>
      <c r="AA19" s="81">
        <f t="shared" si="1"/>
        <v>7301000</v>
      </c>
      <c r="AB19" s="81">
        <f>SUM(AB12:AB18)</f>
        <v>17652322.580645163</v>
      </c>
      <c r="AC19" s="81">
        <f t="shared" si="1"/>
        <v>7440000</v>
      </c>
      <c r="AD19" s="81">
        <f t="shared" si="1"/>
        <v>18216806.451612905</v>
      </c>
      <c r="AE19" s="81">
        <f t="shared" si="1"/>
        <v>10036451.612903228</v>
      </c>
      <c r="AF19" s="81">
        <f>SUM(AF12:AF18)</f>
        <v>36630600</v>
      </c>
      <c r="AG19" s="81">
        <f t="shared" si="1"/>
        <v>8394000</v>
      </c>
      <c r="AH19" s="81">
        <f>SUM(AH12:AH18)</f>
        <v>22650000</v>
      </c>
      <c r="AI19" s="81">
        <f t="shared" si="1"/>
        <v>73146000</v>
      </c>
      <c r="AJ19" s="81">
        <f t="shared" si="1"/>
        <v>14260000</v>
      </c>
      <c r="AK19" s="81">
        <f>SUM(AK12:AK18)</f>
        <v>10675000</v>
      </c>
      <c r="AL19" s="81">
        <f t="shared" si="1"/>
        <v>13657000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1470916666.666667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115000000</v>
      </c>
      <c r="V21" s="68">
        <v>50000000</v>
      </c>
      <c r="W21" s="68">
        <v>50000000</v>
      </c>
      <c r="X21" s="68">
        <v>69600000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23666666.666666668</v>
      </c>
      <c r="AF21" s="82">
        <v>66666666.666666664</v>
      </c>
      <c r="AG21" s="68">
        <v>26500000</v>
      </c>
      <c r="AH21" s="68">
        <v>55000000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2450000</v>
      </c>
      <c r="D22" s="67"/>
      <c r="E22" s="82"/>
      <c r="G22" s="82"/>
      <c r="O22" s="82"/>
      <c r="P22" s="82"/>
      <c r="T22" s="82"/>
      <c r="U22" s="82"/>
      <c r="W22" s="82"/>
      <c r="X22" s="82"/>
      <c r="Z22" s="82"/>
      <c r="AA22" s="83"/>
      <c r="AB22" s="82"/>
      <c r="AC22" s="82"/>
      <c r="AE22" s="82">
        <v>2450000</v>
      </c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394850394</v>
      </c>
      <c r="D23" s="82">
        <v>7926120</v>
      </c>
      <c r="E23" s="86">
        <v>20339575</v>
      </c>
      <c r="F23" s="82">
        <v>11089138</v>
      </c>
      <c r="G23" s="82">
        <v>7460705</v>
      </c>
      <c r="H23" s="86">
        <v>11978496</v>
      </c>
      <c r="I23" s="83">
        <v>6323184</v>
      </c>
      <c r="J23" s="83">
        <v>9699048</v>
      </c>
      <c r="K23" s="83">
        <v>7221550</v>
      </c>
      <c r="L23" s="82">
        <v>13474037</v>
      </c>
      <c r="M23" s="82">
        <v>22634942</v>
      </c>
      <c r="N23" s="83">
        <v>8317814</v>
      </c>
      <c r="O23" s="83">
        <v>5228194</v>
      </c>
      <c r="P23" s="83">
        <v>12034613</v>
      </c>
      <c r="Q23" s="83">
        <v>8567143</v>
      </c>
      <c r="R23" s="82">
        <v>15697433</v>
      </c>
      <c r="S23" s="83">
        <v>8490368</v>
      </c>
      <c r="T23" s="82">
        <v>8189294</v>
      </c>
      <c r="U23" s="83">
        <v>23603983</v>
      </c>
      <c r="V23" s="83">
        <v>7536413</v>
      </c>
      <c r="W23" s="83">
        <v>13134744</v>
      </c>
      <c r="X23" s="83">
        <v>16516872</v>
      </c>
      <c r="Y23" s="83">
        <v>4493686</v>
      </c>
      <c r="Z23" s="82">
        <v>9446998</v>
      </c>
      <c r="AA23" s="82">
        <v>6197666</v>
      </c>
      <c r="AB23" s="83">
        <v>12451270</v>
      </c>
      <c r="AC23" s="82">
        <v>4938365</v>
      </c>
      <c r="AD23" s="83">
        <v>9551606</v>
      </c>
      <c r="AE23" s="83">
        <v>6855343</v>
      </c>
      <c r="AF23" s="82">
        <v>20234189</v>
      </c>
      <c r="AG23" s="82">
        <v>7016026</v>
      </c>
      <c r="AH23" s="82">
        <v>12519133</v>
      </c>
      <c r="AI23" s="83">
        <v>35512646</v>
      </c>
      <c r="AJ23" s="83">
        <v>5089392</v>
      </c>
      <c r="AK23" s="83">
        <v>6965763</v>
      </c>
      <c r="AL23" s="83">
        <v>8114645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83105497</v>
      </c>
      <c r="D24" s="82">
        <v>977500</v>
      </c>
      <c r="E24" s="82">
        <v>5649300</v>
      </c>
      <c r="F24" s="82">
        <v>1482350</v>
      </c>
      <c r="G24" s="82">
        <v>1228200</v>
      </c>
      <c r="H24" s="86">
        <v>2492902</v>
      </c>
      <c r="I24" s="83">
        <v>1513400</v>
      </c>
      <c r="J24" s="83">
        <v>1132405</v>
      </c>
      <c r="K24" s="83">
        <v>1481200</v>
      </c>
      <c r="L24" s="82">
        <v>2584050</v>
      </c>
      <c r="M24" s="82">
        <v>1169000</v>
      </c>
      <c r="N24" s="83">
        <v>1408427</v>
      </c>
      <c r="O24" s="83">
        <v>755550</v>
      </c>
      <c r="P24" s="83">
        <v>9199425</v>
      </c>
      <c r="Q24" s="83">
        <v>396750</v>
      </c>
      <c r="R24" s="82">
        <v>2990000</v>
      </c>
      <c r="S24" s="83">
        <v>1700160</v>
      </c>
      <c r="T24" s="82">
        <v>2277620</v>
      </c>
      <c r="U24" s="83">
        <v>4337408</v>
      </c>
      <c r="V24" s="83">
        <v>1543300</v>
      </c>
      <c r="W24" s="83">
        <v>1233895</v>
      </c>
      <c r="X24" s="83">
        <v>2516200</v>
      </c>
      <c r="Y24" s="83">
        <v>830300</v>
      </c>
      <c r="Z24" s="82">
        <v>2734010</v>
      </c>
      <c r="AA24" s="82">
        <v>1222450</v>
      </c>
      <c r="AB24" s="83">
        <v>1500060</v>
      </c>
      <c r="AC24" s="82">
        <v>789130</v>
      </c>
      <c r="AD24" s="83">
        <v>3413200</v>
      </c>
      <c r="AE24" s="83">
        <v>2707100</v>
      </c>
      <c r="AF24" s="82">
        <v>3328100</v>
      </c>
      <c r="AG24" s="82">
        <v>1135050</v>
      </c>
      <c r="AH24" s="82">
        <v>0</v>
      </c>
      <c r="AI24" s="83">
        <v>11221210</v>
      </c>
      <c r="AJ24" s="83">
        <v>1796195</v>
      </c>
      <c r="AK24" s="83">
        <v>1729600</v>
      </c>
      <c r="AL24" s="83">
        <v>2630050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14310004</v>
      </c>
      <c r="D25" s="82">
        <v>380100</v>
      </c>
      <c r="E25" s="82">
        <v>490000</v>
      </c>
      <c r="F25" s="82">
        <v>245000</v>
      </c>
      <c r="G25" s="82">
        <v>245000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240000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6383333.333333334</v>
      </c>
      <c r="D26" s="82">
        <v>150000</v>
      </c>
      <c r="E26" s="82">
        <v>200000</v>
      </c>
      <c r="F26" s="82"/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350000</v>
      </c>
      <c r="N26" s="83">
        <v>350000</v>
      </c>
      <c r="O26" s="83">
        <v>200000</v>
      </c>
      <c r="P26" s="83">
        <v>300000</v>
      </c>
      <c r="Q26" s="83">
        <v>300000</v>
      </c>
      <c r="R26" s="82">
        <v>333333.33333333331</v>
      </c>
      <c r="S26" s="83">
        <v>150000</v>
      </c>
      <c r="T26" s="82">
        <v>200000</v>
      </c>
      <c r="U26" s="83">
        <v>200000</v>
      </c>
      <c r="V26" s="83">
        <v>250000</v>
      </c>
      <c r="W26" s="83">
        <v>250000</v>
      </c>
      <c r="X26" s="82"/>
      <c r="Y26" s="82"/>
      <c r="Z26" s="82"/>
      <c r="AA26" s="82">
        <v>200000</v>
      </c>
      <c r="AB26" s="83">
        <v>200000</v>
      </c>
      <c r="AC26" s="82"/>
      <c r="AD26" s="82"/>
      <c r="AE26" s="83">
        <v>300000</v>
      </c>
      <c r="AF26" s="82">
        <v>200000</v>
      </c>
      <c r="AG26" s="82">
        <v>250000</v>
      </c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10856160</v>
      </c>
      <c r="D27" s="82"/>
      <c r="E27" s="82"/>
      <c r="F27" s="82"/>
      <c r="G27" s="82"/>
      <c r="H27" s="82"/>
      <c r="I27" s="83">
        <v>1460160</v>
      </c>
      <c r="J27" s="83"/>
      <c r="K27" s="82"/>
      <c r="L27" s="82"/>
      <c r="M27" s="82"/>
      <c r="N27" s="83"/>
      <c r="O27" s="82"/>
      <c r="P27" s="83"/>
      <c r="Q27" s="82"/>
      <c r="R27" s="82"/>
      <c r="S27" s="82">
        <v>972000</v>
      </c>
      <c r="T27" s="82"/>
      <c r="U27" s="82">
        <v>4860000</v>
      </c>
      <c r="V27" s="83"/>
      <c r="W27" s="83"/>
      <c r="X27" s="82">
        <v>2430000</v>
      </c>
      <c r="Y27" s="82"/>
      <c r="Z27" s="82"/>
      <c r="AA27" s="82"/>
      <c r="AB27" s="82"/>
      <c r="AC27" s="82">
        <v>1134000</v>
      </c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1982872055.0000002</v>
      </c>
      <c r="D29" s="60">
        <f>SUM(D21:D28)</f>
        <v>40433720</v>
      </c>
      <c r="E29" s="60">
        <f t="shared" ref="E29:AL29" si="3">SUM(E21:E28)</f>
        <v>106678875</v>
      </c>
      <c r="F29" s="60">
        <f t="shared" si="3"/>
        <v>49816488</v>
      </c>
      <c r="G29" s="60">
        <f t="shared" si="3"/>
        <v>32267238.333333332</v>
      </c>
      <c r="H29" s="60">
        <f t="shared" si="3"/>
        <v>48216398</v>
      </c>
      <c r="I29" s="60">
        <f t="shared" si="3"/>
        <v>33716744</v>
      </c>
      <c r="J29" s="60">
        <f t="shared" si="3"/>
        <v>31117954</v>
      </c>
      <c r="K29" s="60">
        <f t="shared" si="3"/>
        <v>36189251</v>
      </c>
      <c r="L29" s="60">
        <f t="shared" si="3"/>
        <v>49577087</v>
      </c>
      <c r="M29" s="60">
        <f t="shared" si="3"/>
        <v>72215443</v>
      </c>
      <c r="N29" s="60">
        <f t="shared" si="3"/>
        <v>77137742</v>
      </c>
      <c r="O29" s="60">
        <f t="shared" si="3"/>
        <v>36405244</v>
      </c>
      <c r="P29" s="60">
        <f t="shared" si="3"/>
        <v>61999037</v>
      </c>
      <c r="Q29" s="60">
        <f>SUM(Q21:Q28)</f>
        <v>33706893</v>
      </c>
      <c r="R29" s="60">
        <f t="shared" si="3"/>
        <v>79497266.333333328</v>
      </c>
      <c r="S29" s="60">
        <f t="shared" si="3"/>
        <v>35032528</v>
      </c>
      <c r="T29" s="60">
        <f t="shared" si="3"/>
        <v>35911914</v>
      </c>
      <c r="U29" s="60">
        <f t="shared" si="3"/>
        <v>149029391</v>
      </c>
      <c r="V29" s="60">
        <f t="shared" si="3"/>
        <v>59569713</v>
      </c>
      <c r="W29" s="60">
        <f t="shared" si="3"/>
        <v>65163639</v>
      </c>
      <c r="X29" s="60">
        <f t="shared" si="3"/>
        <v>91732972</v>
      </c>
      <c r="Y29" s="60">
        <f t="shared" si="3"/>
        <v>23609986</v>
      </c>
      <c r="Z29" s="60">
        <f t="shared" si="3"/>
        <v>49447508</v>
      </c>
      <c r="AA29" s="60">
        <f t="shared" si="3"/>
        <v>27835116</v>
      </c>
      <c r="AB29" s="60">
        <f>SUM(AB21:AB28)</f>
        <v>58371330</v>
      </c>
      <c r="AC29" s="60">
        <f t="shared" si="3"/>
        <v>23897995</v>
      </c>
      <c r="AD29" s="60">
        <f t="shared" si="3"/>
        <v>58509806</v>
      </c>
      <c r="AE29" s="60">
        <f t="shared" si="3"/>
        <v>36224109.666666672</v>
      </c>
      <c r="AF29" s="60">
        <f t="shared" si="3"/>
        <v>90973955.666666657</v>
      </c>
      <c r="AG29" s="60">
        <f t="shared" si="3"/>
        <v>35141077</v>
      </c>
      <c r="AH29" s="60">
        <f t="shared" si="3"/>
        <v>68119133</v>
      </c>
      <c r="AI29" s="60">
        <f t="shared" si="3"/>
        <v>178203856</v>
      </c>
      <c r="AJ29" s="60">
        <f>SUM(AJ21:AJ28)</f>
        <v>34742587</v>
      </c>
      <c r="AK29" s="60">
        <f t="shared" si="3"/>
        <v>35165363</v>
      </c>
      <c r="AL29" s="60">
        <f t="shared" si="3"/>
        <v>37214695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57072377.678450249</v>
      </c>
      <c r="D30" s="82">
        <v>1026031.0910261079</v>
      </c>
      <c r="E30" s="83">
        <v>2602558.3105448009</v>
      </c>
      <c r="F30" s="82">
        <v>1366185.4736024034</v>
      </c>
      <c r="G30" s="83">
        <v>629687.90996221837</v>
      </c>
      <c r="H30" s="82">
        <v>936600.748034433</v>
      </c>
      <c r="I30" s="82">
        <v>949540.06202155305</v>
      </c>
      <c r="J30" s="83">
        <v>1065408.8374818175</v>
      </c>
      <c r="K30" s="82">
        <v>794684.99734138581</v>
      </c>
      <c r="L30" s="82">
        <v>1261890.1729572988</v>
      </c>
      <c r="M30" s="82">
        <v>2252093.8088295613</v>
      </c>
      <c r="N30" s="83">
        <v>1669223.1967324971</v>
      </c>
      <c r="O30" s="83">
        <v>1018308.9361639521</v>
      </c>
      <c r="P30" s="83">
        <v>2376434.1192923817</v>
      </c>
      <c r="Q30" s="83">
        <v>2044085.4310924558</v>
      </c>
      <c r="R30" s="83">
        <v>2048872.7939669185</v>
      </c>
      <c r="S30" s="83">
        <v>1190104.2442293372</v>
      </c>
      <c r="T30" s="82">
        <v>1297661.680852406</v>
      </c>
      <c r="U30" s="83">
        <v>4589890.8292614361</v>
      </c>
      <c r="V30" s="83">
        <v>1324828.700508608</v>
      </c>
      <c r="W30" s="83">
        <v>1741384.4158210447</v>
      </c>
      <c r="X30" s="83">
        <v>2884333.3656429355</v>
      </c>
      <c r="Y30" s="82">
        <v>468170.61798808101</v>
      </c>
      <c r="Z30" s="83">
        <v>1559653.4725816082</v>
      </c>
      <c r="AA30" s="82">
        <v>456740.47066714842</v>
      </c>
      <c r="AB30" s="82">
        <v>1467926.5396261141</v>
      </c>
      <c r="AC30" s="82">
        <v>827769.91839563742</v>
      </c>
      <c r="AD30" s="82">
        <v>1875485.9629822832</v>
      </c>
      <c r="AE30" s="82">
        <v>949619.16597031453</v>
      </c>
      <c r="AF30" s="82">
        <v>2247971.219153103</v>
      </c>
      <c r="AG30" s="82">
        <v>871275.72142209369</v>
      </c>
      <c r="AH30" s="82">
        <v>1899928.8855066749</v>
      </c>
      <c r="AI30" s="83">
        <v>6192913.4859986762</v>
      </c>
      <c r="AJ30" s="83">
        <v>1254491.0111555033</v>
      </c>
      <c r="AK30" s="82">
        <v>945533.59720970329</v>
      </c>
      <c r="AL30" s="83">
        <v>985088.48442774848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4494415.4877140746</v>
      </c>
      <c r="D31" s="82">
        <v>89352.196574832473</v>
      </c>
      <c r="E31" s="83">
        <v>196574.83246463144</v>
      </c>
      <c r="F31" s="82">
        <v>107222.63588979896</v>
      </c>
      <c r="G31" s="83">
        <v>71481.757259865975</v>
      </c>
      <c r="H31" s="82">
        <v>80416.976917349224</v>
      </c>
      <c r="I31" s="82">
        <v>71481.757259865975</v>
      </c>
      <c r="J31" s="83">
        <v>80416.976917349224</v>
      </c>
      <c r="K31" s="82">
        <v>80416.976917349224</v>
      </c>
      <c r="L31" s="82">
        <v>98287.416232315722</v>
      </c>
      <c r="M31" s="82">
        <v>169769.1734921817</v>
      </c>
      <c r="N31" s="83">
        <v>169769.1734921817</v>
      </c>
      <c r="O31" s="83">
        <v>80416.976917349224</v>
      </c>
      <c r="P31" s="83">
        <v>169769.1734921817</v>
      </c>
      <c r="Q31" s="83">
        <v>151898.7341772152</v>
      </c>
      <c r="R31" s="83">
        <v>160833.95383469845</v>
      </c>
      <c r="S31" s="83">
        <v>80416.976917349224</v>
      </c>
      <c r="T31" s="82">
        <v>89352.196574832473</v>
      </c>
      <c r="U31" s="83">
        <v>339538.34698436339</v>
      </c>
      <c r="V31" s="83">
        <v>134028.2948622487</v>
      </c>
      <c r="W31" s="83">
        <v>142963.51451973195</v>
      </c>
      <c r="X31" s="83">
        <v>214445.27177959791</v>
      </c>
      <c r="Y31" s="82">
        <v>53611.317944899478</v>
      </c>
      <c r="Z31" s="83">
        <v>116157.8555472822</v>
      </c>
      <c r="AA31" s="82">
        <v>53611.317944899478</v>
      </c>
      <c r="AB31" s="82">
        <v>116157.8555472822</v>
      </c>
      <c r="AC31" s="82">
        <v>62546.537602382727</v>
      </c>
      <c r="AD31" s="82">
        <v>160833.95383469845</v>
      </c>
      <c r="AE31" s="82">
        <v>71481.757259865975</v>
      </c>
      <c r="AF31" s="82">
        <v>178704.39314966495</v>
      </c>
      <c r="AG31" s="82">
        <v>71481.757259865975</v>
      </c>
      <c r="AH31" s="82">
        <v>142963.51451973195</v>
      </c>
      <c r="AI31" s="83">
        <v>446760.98287416232</v>
      </c>
      <c r="AJ31" s="83">
        <v>98287.416232315722</v>
      </c>
      <c r="AK31" s="82">
        <v>71481.757259865975</v>
      </c>
      <c r="AL31" s="83">
        <v>71481.757259865975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12895227.10349963</v>
      </c>
      <c r="D32" s="82">
        <v>256366.34400595681</v>
      </c>
      <c r="E32" s="82">
        <v>564005.95681310492</v>
      </c>
      <c r="F32" s="82">
        <v>307639.61280714819</v>
      </c>
      <c r="G32" s="82">
        <v>205093.07520476545</v>
      </c>
      <c r="H32" s="82">
        <v>230729.70960536113</v>
      </c>
      <c r="I32" s="82">
        <v>205093.07520476545</v>
      </c>
      <c r="J32" s="82">
        <v>230729.70960536113</v>
      </c>
      <c r="K32" s="82">
        <v>230729.70960536113</v>
      </c>
      <c r="L32" s="82">
        <v>282002.97840655246</v>
      </c>
      <c r="M32" s="82">
        <v>487096.05361131794</v>
      </c>
      <c r="N32" s="82">
        <v>487096.05361131794</v>
      </c>
      <c r="O32" s="82">
        <v>230729.70960536113</v>
      </c>
      <c r="P32" s="82">
        <v>487096.05361131794</v>
      </c>
      <c r="Q32" s="82">
        <v>435822.78481012658</v>
      </c>
      <c r="R32" s="82">
        <v>461459.41921072226</v>
      </c>
      <c r="S32" s="82">
        <v>230729.70960536113</v>
      </c>
      <c r="T32" s="82">
        <v>256366.34400595681</v>
      </c>
      <c r="U32" s="82">
        <v>974192.10722263588</v>
      </c>
      <c r="V32" s="82">
        <v>384549.51600893523</v>
      </c>
      <c r="W32" s="82">
        <v>410186.15040953091</v>
      </c>
      <c r="X32" s="82">
        <v>615279.22561429639</v>
      </c>
      <c r="Y32" s="82">
        <v>153819.8064035741</v>
      </c>
      <c r="Z32" s="82">
        <v>333276.24720774387</v>
      </c>
      <c r="AA32" s="82">
        <v>153819.8064035741</v>
      </c>
      <c r="AB32" s="82">
        <v>333276.24720774387</v>
      </c>
      <c r="AC32" s="82">
        <v>179456.44080416978</v>
      </c>
      <c r="AD32" s="82">
        <v>461459.41921072226</v>
      </c>
      <c r="AE32" s="82">
        <v>205093.07520476545</v>
      </c>
      <c r="AF32" s="82">
        <v>512732.68801191362</v>
      </c>
      <c r="AG32" s="82">
        <v>205093.07520476545</v>
      </c>
      <c r="AH32" s="82">
        <v>410186.15040953091</v>
      </c>
      <c r="AI32" s="82">
        <v>1281831.7200297841</v>
      </c>
      <c r="AJ32" s="82">
        <v>282002.97840655246</v>
      </c>
      <c r="AK32" s="82">
        <v>205093.07520476545</v>
      </c>
      <c r="AL32" s="82">
        <v>205093.07520476545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0</v>
      </c>
      <c r="D33" s="82"/>
      <c r="E33" s="83"/>
      <c r="F33" s="82"/>
      <c r="G33" s="83"/>
      <c r="H33" s="82"/>
      <c r="I33" s="82"/>
      <c r="J33" s="83"/>
      <c r="K33" s="82"/>
      <c r="L33" s="82"/>
      <c r="M33" s="82"/>
      <c r="N33" s="83"/>
      <c r="O33" s="83"/>
      <c r="P33" s="83"/>
      <c r="Q33" s="83"/>
      <c r="R33" s="83"/>
      <c r="S33" s="83"/>
      <c r="T33" s="82"/>
      <c r="U33" s="83"/>
      <c r="V33" s="83"/>
      <c r="W33" s="83"/>
      <c r="X33" s="83"/>
      <c r="Y33" s="82"/>
      <c r="Z33" s="83"/>
      <c r="AA33" s="82"/>
      <c r="AB33" s="82"/>
      <c r="AC33" s="82"/>
      <c r="AD33" s="82"/>
      <c r="AE33" s="82"/>
      <c r="AF33" s="82"/>
      <c r="AG33" s="82"/>
      <c r="AH33" s="82"/>
      <c r="AI33" s="83"/>
      <c r="AJ33" s="83"/>
      <c r="AK33" s="82"/>
      <c r="AL33" s="83"/>
    </row>
    <row r="34" spans="1:38" s="68" customFormat="1" ht="24" customHeight="1" x14ac:dyDescent="0.3">
      <c r="A34" s="133"/>
      <c r="B34" s="67" t="s">
        <v>167</v>
      </c>
      <c r="C34" s="62">
        <f t="shared" si="4"/>
        <v>1123603.8719285186</v>
      </c>
      <c r="D34" s="82">
        <v>22338.049143708118</v>
      </c>
      <c r="E34" s="82">
        <v>49143.708116157861</v>
      </c>
      <c r="F34" s="82">
        <v>26805.658972449739</v>
      </c>
      <c r="G34" s="82">
        <v>17870.439314966494</v>
      </c>
      <c r="H34" s="82">
        <v>20104.244229337306</v>
      </c>
      <c r="I34" s="82">
        <v>17870.439314966494</v>
      </c>
      <c r="J34" s="82">
        <v>20104.244229337306</v>
      </c>
      <c r="K34" s="82">
        <v>20104.244229337306</v>
      </c>
      <c r="L34" s="82">
        <v>24571.85405807893</v>
      </c>
      <c r="M34" s="82">
        <v>42442.293373045424</v>
      </c>
      <c r="N34" s="82">
        <v>42442.293373045424</v>
      </c>
      <c r="O34" s="82">
        <v>20104.244229337306</v>
      </c>
      <c r="P34" s="82">
        <v>42442.293373045424</v>
      </c>
      <c r="Q34" s="82">
        <v>37974.6835443038</v>
      </c>
      <c r="R34" s="82">
        <v>40208.488458674612</v>
      </c>
      <c r="S34" s="82">
        <v>20104.244229337306</v>
      </c>
      <c r="T34" s="82">
        <v>22338.049143708118</v>
      </c>
      <c r="U34" s="82">
        <v>84884.586746090848</v>
      </c>
      <c r="V34" s="82">
        <v>33507.073715562175</v>
      </c>
      <c r="W34" s="82">
        <v>35740.878629932988</v>
      </c>
      <c r="X34" s="82">
        <v>53611.317944899478</v>
      </c>
      <c r="Y34" s="82">
        <v>13402.829486224869</v>
      </c>
      <c r="Z34" s="82">
        <v>29039.463886820551</v>
      </c>
      <c r="AA34" s="82">
        <v>13402.829486224869</v>
      </c>
      <c r="AB34" s="82">
        <v>29039.463886820551</v>
      </c>
      <c r="AC34" s="82">
        <v>15636.634400595682</v>
      </c>
      <c r="AD34" s="82">
        <v>40208.488458674612</v>
      </c>
      <c r="AE34" s="82">
        <v>17870.439314966494</v>
      </c>
      <c r="AF34" s="82">
        <v>44676.098287416236</v>
      </c>
      <c r="AG34" s="82">
        <v>17870.439314966494</v>
      </c>
      <c r="AH34" s="82">
        <v>35740.878629932988</v>
      </c>
      <c r="AI34" s="82">
        <v>111690.24571854058</v>
      </c>
      <c r="AJ34" s="82">
        <v>24571.85405807893</v>
      </c>
      <c r="AK34" s="82">
        <v>17870.439314966494</v>
      </c>
      <c r="AL34" s="82">
        <v>17870.439314966494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17778870.208488461</v>
      </c>
      <c r="D35" s="82">
        <v>353456.66418466123</v>
      </c>
      <c r="E35" s="83">
        <v>777604.66120625462</v>
      </c>
      <c r="F35" s="82">
        <v>424147.99702159344</v>
      </c>
      <c r="G35" s="83">
        <v>282765.33134772896</v>
      </c>
      <c r="H35" s="82">
        <v>318110.9977661951</v>
      </c>
      <c r="I35" s="82">
        <v>282765.33134772896</v>
      </c>
      <c r="J35" s="83">
        <v>318110.9977661951</v>
      </c>
      <c r="K35" s="82">
        <v>318110.9977661951</v>
      </c>
      <c r="L35" s="82">
        <v>388802.33060312731</v>
      </c>
      <c r="M35" s="82">
        <v>671567.66195085633</v>
      </c>
      <c r="N35" s="83">
        <v>671567.66195085633</v>
      </c>
      <c r="O35" s="83">
        <v>318110.9977661951</v>
      </c>
      <c r="P35" s="83">
        <v>671567.66195085633</v>
      </c>
      <c r="Q35" s="83">
        <v>600876.32911392406</v>
      </c>
      <c r="R35" s="83">
        <v>636221.9955323902</v>
      </c>
      <c r="S35" s="83">
        <v>318110.9977661951</v>
      </c>
      <c r="T35" s="82">
        <v>353456.66418466123</v>
      </c>
      <c r="U35" s="83">
        <v>1343135.3239017127</v>
      </c>
      <c r="V35" s="83">
        <v>530184.99627699179</v>
      </c>
      <c r="W35" s="83">
        <v>565530.66269545793</v>
      </c>
      <c r="X35" s="83">
        <v>848295.99404318689</v>
      </c>
      <c r="Y35" s="82">
        <v>212073.99851079672</v>
      </c>
      <c r="Z35" s="83">
        <v>459493.66344005958</v>
      </c>
      <c r="AA35" s="82">
        <v>212073.99851079672</v>
      </c>
      <c r="AB35" s="82">
        <v>459493.66344005958</v>
      </c>
      <c r="AC35" s="82">
        <v>247419.66492926283</v>
      </c>
      <c r="AD35" s="82">
        <v>636221.9955323902</v>
      </c>
      <c r="AE35" s="82">
        <v>282765.33134772896</v>
      </c>
      <c r="AF35" s="82">
        <v>706913.32836932247</v>
      </c>
      <c r="AG35" s="82">
        <v>282765.33134772896</v>
      </c>
      <c r="AH35" s="82">
        <v>565530.66269545793</v>
      </c>
      <c r="AI35" s="82">
        <v>1767283.320923306</v>
      </c>
      <c r="AJ35" s="83">
        <v>388802.33060312731</v>
      </c>
      <c r="AK35" s="82">
        <v>282765.33134772896</v>
      </c>
      <c r="AL35" s="83">
        <v>282765.33134772896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15750000</v>
      </c>
      <c r="D36" s="82">
        <v>400000</v>
      </c>
      <c r="E36" s="83">
        <v>550000</v>
      </c>
      <c r="F36" s="82">
        <v>400000</v>
      </c>
      <c r="G36" s="83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300000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6129069.2479523458</v>
      </c>
      <c r="D37" s="82">
        <v>124892.03276247208</v>
      </c>
      <c r="E37" s="83">
        <v>262762.47207743855</v>
      </c>
      <c r="F37" s="82">
        <v>147870.4393149665</v>
      </c>
      <c r="G37" s="83">
        <v>101913.62620997766</v>
      </c>
      <c r="H37" s="82">
        <v>113402.82948622487</v>
      </c>
      <c r="I37" s="82">
        <v>101913.62620997766</v>
      </c>
      <c r="J37" s="83">
        <v>113402.82948622487</v>
      </c>
      <c r="K37" s="82">
        <v>113402.82948622487</v>
      </c>
      <c r="L37" s="82">
        <v>136381.23603871927</v>
      </c>
      <c r="M37" s="82">
        <v>228294.86224869694</v>
      </c>
      <c r="N37" s="83">
        <v>228294.86224869694</v>
      </c>
      <c r="O37" s="83">
        <v>113402.82948622487</v>
      </c>
      <c r="P37" s="83">
        <v>228294.86224869694</v>
      </c>
      <c r="Q37" s="83">
        <v>205316.45569620252</v>
      </c>
      <c r="R37" s="83">
        <v>216805.65897244975</v>
      </c>
      <c r="S37" s="83">
        <v>113402.82948622487</v>
      </c>
      <c r="T37" s="82">
        <v>124892.03276247208</v>
      </c>
      <c r="U37" s="83">
        <v>446589.72449739388</v>
      </c>
      <c r="V37" s="83">
        <v>182338.04914370811</v>
      </c>
      <c r="W37" s="83">
        <v>193827.25241995533</v>
      </c>
      <c r="X37" s="83">
        <v>285740.87862993299</v>
      </c>
      <c r="Y37" s="82">
        <v>78935.219657483249</v>
      </c>
      <c r="Z37" s="83">
        <v>159359.64259121369</v>
      </c>
      <c r="AA37" s="82">
        <v>78935.219657483249</v>
      </c>
      <c r="AB37" s="82">
        <v>159359.64259121369</v>
      </c>
      <c r="AC37" s="82">
        <v>90424.422933730457</v>
      </c>
      <c r="AD37" s="82">
        <v>216805.65897244975</v>
      </c>
      <c r="AE37" s="82">
        <v>101913.62620997766</v>
      </c>
      <c r="AF37" s="82">
        <v>239784.06552494416</v>
      </c>
      <c r="AG37" s="82">
        <v>101913.62620997766</v>
      </c>
      <c r="AH37" s="82">
        <v>193827.25241995533</v>
      </c>
      <c r="AI37" s="82">
        <v>584460.16381236038</v>
      </c>
      <c r="AJ37" s="83">
        <v>136381.23603871927</v>
      </c>
      <c r="AK37" s="82">
        <v>101913.62620997766</v>
      </c>
      <c r="AL37" s="83">
        <v>101913.62620997766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6367088.6075949362</v>
      </c>
      <c r="D38" s="82">
        <v>126582.27848101265</v>
      </c>
      <c r="E38" s="83">
        <v>278481.01265822782</v>
      </c>
      <c r="F38" s="82">
        <v>151898.7341772152</v>
      </c>
      <c r="G38" s="83">
        <v>101265.82278481012</v>
      </c>
      <c r="H38" s="82">
        <v>113924.05063291139</v>
      </c>
      <c r="I38" s="82">
        <v>101265.82278481012</v>
      </c>
      <c r="J38" s="83">
        <v>113924.05063291139</v>
      </c>
      <c r="K38" s="82">
        <v>113924.05063291139</v>
      </c>
      <c r="L38" s="82">
        <v>139240.50632911391</v>
      </c>
      <c r="M38" s="82">
        <v>240506.32911392403</v>
      </c>
      <c r="N38" s="83">
        <v>240506.32911392403</v>
      </c>
      <c r="O38" s="83">
        <v>113924.05063291139</v>
      </c>
      <c r="P38" s="83">
        <v>240506.32911392403</v>
      </c>
      <c r="Q38" s="83">
        <v>215189.87341772151</v>
      </c>
      <c r="R38" s="83">
        <v>227848.10126582277</v>
      </c>
      <c r="S38" s="83">
        <v>113924.05063291139</v>
      </c>
      <c r="T38" s="82">
        <v>126582.27848101265</v>
      </c>
      <c r="U38" s="83">
        <v>481012.65822784806</v>
      </c>
      <c r="V38" s="83">
        <v>189873.41772151898</v>
      </c>
      <c r="W38" s="83">
        <v>202531.64556962025</v>
      </c>
      <c r="X38" s="83">
        <v>303797.4683544304</v>
      </c>
      <c r="Y38" s="82">
        <v>75949.3670886076</v>
      </c>
      <c r="Z38" s="83">
        <v>164556.96202531646</v>
      </c>
      <c r="AA38" s="83">
        <v>75949.3670886076</v>
      </c>
      <c r="AB38" s="82">
        <v>164556.96202531646</v>
      </c>
      <c r="AC38" s="82">
        <v>88607.594936708861</v>
      </c>
      <c r="AD38" s="82">
        <v>227848.10126582277</v>
      </c>
      <c r="AE38" s="82">
        <v>101265.82278481012</v>
      </c>
      <c r="AF38" s="82">
        <v>253164.55696202529</v>
      </c>
      <c r="AG38" s="82">
        <v>101265.82278481012</v>
      </c>
      <c r="AH38" s="82">
        <v>202531.64556962025</v>
      </c>
      <c r="AI38" s="82">
        <v>632911.39240506326</v>
      </c>
      <c r="AJ38" s="83">
        <v>139240.50632911391</v>
      </c>
      <c r="AK38" s="82">
        <v>101265.82278481012</v>
      </c>
      <c r="AL38" s="83">
        <v>101265.82278481012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5500000</v>
      </c>
      <c r="D39" s="82"/>
      <c r="E39" s="83"/>
      <c r="F39" s="82"/>
      <c r="G39" s="83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5500000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44327824.819806419</v>
      </c>
      <c r="D40" s="82">
        <v>881268.88309754292</v>
      </c>
      <c r="E40" s="83">
        <v>1938791.5428145942</v>
      </c>
      <c r="F40" s="82">
        <v>1057522.6597170513</v>
      </c>
      <c r="G40" s="83">
        <v>705015.10647803429</v>
      </c>
      <c r="H40" s="82">
        <v>793141.9947877886</v>
      </c>
      <c r="I40" s="82">
        <v>705015.10647803429</v>
      </c>
      <c r="J40" s="83">
        <v>793141.9947877886</v>
      </c>
      <c r="K40" s="82">
        <v>793141.9947877886</v>
      </c>
      <c r="L40" s="82">
        <v>969395.77140729711</v>
      </c>
      <c r="M40" s="82">
        <v>1674410.8778853314</v>
      </c>
      <c r="N40" s="83">
        <v>1674410.8778853314</v>
      </c>
      <c r="O40" s="83">
        <v>793141.9947877886</v>
      </c>
      <c r="P40" s="83">
        <v>1674410.8778853314</v>
      </c>
      <c r="Q40" s="83">
        <v>1498157.1012658228</v>
      </c>
      <c r="R40" s="83">
        <v>1586283.9895755772</v>
      </c>
      <c r="S40" s="83">
        <v>793141.9947877886</v>
      </c>
      <c r="T40" s="82">
        <v>881268.88309754292</v>
      </c>
      <c r="U40" s="83">
        <v>3348821.7557706628</v>
      </c>
      <c r="V40" s="83">
        <v>1321903.3246463144</v>
      </c>
      <c r="W40" s="83">
        <v>1410030.2129560686</v>
      </c>
      <c r="X40" s="83">
        <v>2115045.3194341026</v>
      </c>
      <c r="Y40" s="82">
        <v>528761.32985852566</v>
      </c>
      <c r="Z40" s="83">
        <v>1145649.5480268057</v>
      </c>
      <c r="AA40" s="82">
        <v>528761.32985852566</v>
      </c>
      <c r="AB40" s="82">
        <v>1145649.5480268057</v>
      </c>
      <c r="AC40" s="82">
        <v>616888.21816827997</v>
      </c>
      <c r="AD40" s="82">
        <v>1586283.9895755772</v>
      </c>
      <c r="AE40" s="82">
        <v>705015.10647803429</v>
      </c>
      <c r="AF40" s="82">
        <v>1762537.7661950858</v>
      </c>
      <c r="AG40" s="82">
        <v>705015.10647803429</v>
      </c>
      <c r="AH40" s="82">
        <v>1410030.2129560686</v>
      </c>
      <c r="AI40" s="82">
        <v>4406344.4154877141</v>
      </c>
      <c r="AJ40" s="83">
        <v>969395.77140729711</v>
      </c>
      <c r="AK40" s="82">
        <v>705015.10647803429</v>
      </c>
      <c r="AL40" s="83">
        <v>705015.10647803429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49207354.215189874</v>
      </c>
      <c r="D41" s="82">
        <v>234341.02755026062</v>
      </c>
      <c r="E41" s="82">
        <v>3840550</v>
      </c>
      <c r="F41" s="82">
        <v>281209.23306031275</v>
      </c>
      <c r="G41" s="83">
        <v>187472.8220402085</v>
      </c>
      <c r="H41" s="82">
        <v>2710907</v>
      </c>
      <c r="I41" s="82">
        <v>3787473</v>
      </c>
      <c r="J41" s="83">
        <v>1365907</v>
      </c>
      <c r="K41" s="68">
        <v>210906.92479523458</v>
      </c>
      <c r="L41" s="68">
        <v>2107775</v>
      </c>
      <c r="M41" s="82">
        <v>445247.95234549517</v>
      </c>
      <c r="N41" s="82">
        <v>445247.95234549517</v>
      </c>
      <c r="O41" s="82">
        <v>795907</v>
      </c>
      <c r="P41" s="68">
        <v>1600248</v>
      </c>
      <c r="Q41" s="83">
        <v>1238380</v>
      </c>
      <c r="R41" s="83">
        <v>2671814</v>
      </c>
      <c r="S41" s="83">
        <v>210906.92479523458</v>
      </c>
      <c r="T41" s="68">
        <v>234341.02755026062</v>
      </c>
      <c r="U41" s="82">
        <v>4740496</v>
      </c>
      <c r="V41" s="83">
        <v>351511.54132539092</v>
      </c>
      <c r="W41" s="82">
        <v>2124946</v>
      </c>
      <c r="X41" s="90">
        <v>562418.4661206255</v>
      </c>
      <c r="Y41" s="82">
        <v>140604.61653015637</v>
      </c>
      <c r="Z41" s="83">
        <v>1954643</v>
      </c>
      <c r="AA41" s="82">
        <v>140604.61653015637</v>
      </c>
      <c r="AB41" s="82">
        <v>1529643</v>
      </c>
      <c r="AC41" s="82">
        <v>2629039</v>
      </c>
      <c r="AD41" s="82">
        <v>1936814</v>
      </c>
      <c r="AE41" s="82">
        <v>1887473</v>
      </c>
      <c r="AF41" s="82">
        <v>1798682</v>
      </c>
      <c r="AG41" s="68">
        <v>187472.8220402085</v>
      </c>
      <c r="AH41" s="82">
        <v>374945.644080417</v>
      </c>
      <c r="AI41" s="68">
        <v>4901705</v>
      </c>
      <c r="AJ41" s="68">
        <v>1202775</v>
      </c>
      <c r="AK41" s="68">
        <v>187472.8220402085</v>
      </c>
      <c r="AL41" s="83">
        <v>187472.8220402085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7232000</v>
      </c>
      <c r="D42" s="82"/>
      <c r="E42" s="83"/>
      <c r="F42" s="82">
        <v>850000</v>
      </c>
      <c r="G42" s="82">
        <v>300000</v>
      </c>
      <c r="H42" s="82"/>
      <c r="I42" s="82">
        <v>600000</v>
      </c>
      <c r="J42" s="82"/>
      <c r="K42" s="68">
        <v>75000</v>
      </c>
      <c r="L42" s="68">
        <v>585000</v>
      </c>
      <c r="M42" s="68">
        <v>176000</v>
      </c>
      <c r="N42" s="82">
        <v>384000</v>
      </c>
      <c r="O42" s="82">
        <v>100000</v>
      </c>
      <c r="Q42" s="82">
        <v>55000</v>
      </c>
      <c r="R42" s="68">
        <v>50000</v>
      </c>
      <c r="S42" s="82"/>
      <c r="U42" s="82">
        <v>265000</v>
      </c>
      <c r="V42" s="82">
        <v>55000</v>
      </c>
      <c r="W42" s="82"/>
      <c r="X42" s="82"/>
      <c r="Y42" s="82"/>
      <c r="Z42" s="82"/>
      <c r="AA42" s="82"/>
      <c r="AB42" s="82"/>
      <c r="AC42" s="82">
        <v>60000</v>
      </c>
      <c r="AD42" s="82">
        <v>202000</v>
      </c>
      <c r="AE42" s="82">
        <v>250000</v>
      </c>
      <c r="AF42" s="82">
        <v>25000</v>
      </c>
      <c r="AG42" s="68">
        <v>1270000</v>
      </c>
      <c r="AH42" s="82">
        <v>990000</v>
      </c>
      <c r="AI42" s="68">
        <v>300000</v>
      </c>
      <c r="AJ42" s="68">
        <v>550000</v>
      </c>
      <c r="AL42" s="82">
        <v>90000</v>
      </c>
    </row>
    <row r="43" spans="1:38" s="68" customFormat="1" ht="54.5" customHeight="1" x14ac:dyDescent="0.3">
      <c r="A43" s="135"/>
      <c r="B43" s="69" t="s">
        <v>103</v>
      </c>
      <c r="C43" s="62">
        <f t="shared" si="4"/>
        <v>11105000</v>
      </c>
      <c r="D43" s="82">
        <v>200000</v>
      </c>
      <c r="E43" s="82">
        <v>80000</v>
      </c>
      <c r="F43" s="82">
        <v>600000</v>
      </c>
      <c r="G43" s="67">
        <v>850000</v>
      </c>
      <c r="H43" s="67">
        <v>400000</v>
      </c>
      <c r="I43" s="67">
        <v>30000</v>
      </c>
      <c r="J43" s="82">
        <v>350000</v>
      </c>
      <c r="K43" s="82">
        <v>150000</v>
      </c>
      <c r="L43" s="68">
        <v>770000</v>
      </c>
      <c r="M43" s="68">
        <v>10000</v>
      </c>
      <c r="N43" s="82">
        <v>845000</v>
      </c>
      <c r="O43" s="68">
        <v>500000</v>
      </c>
      <c r="P43" s="68">
        <v>280000</v>
      </c>
      <c r="Q43" s="68">
        <v>350000</v>
      </c>
      <c r="R43" s="68">
        <v>550000</v>
      </c>
      <c r="S43" s="82"/>
      <c r="T43" s="82"/>
      <c r="U43" s="68">
        <v>1040000</v>
      </c>
      <c r="V43" s="82">
        <v>350000</v>
      </c>
      <c r="W43" s="82">
        <v>250000</v>
      </c>
      <c r="X43" s="83"/>
      <c r="Y43" s="68">
        <v>208000</v>
      </c>
      <c r="Z43" s="82"/>
      <c r="AA43" s="82"/>
      <c r="AB43" s="82"/>
      <c r="AC43" s="82"/>
      <c r="AD43" s="68">
        <v>852000</v>
      </c>
      <c r="AE43" s="82"/>
      <c r="AF43" s="68">
        <v>200000</v>
      </c>
      <c r="AG43" s="68">
        <v>870000</v>
      </c>
      <c r="AH43" s="68">
        <v>565000</v>
      </c>
      <c r="AI43" s="68">
        <v>750000</v>
      </c>
      <c r="AJ43" s="68">
        <v>55000</v>
      </c>
      <c r="AK43" s="82"/>
    </row>
    <row r="44" spans="1:38" s="93" customFormat="1" ht="13" x14ac:dyDescent="0.3">
      <c r="A44" s="91" t="s">
        <v>45</v>
      </c>
      <c r="B44" s="92"/>
      <c r="C44" s="62">
        <f>SUM(C30:C43)</f>
        <v>238982831.24062452</v>
      </c>
      <c r="D44" s="92">
        <f t="shared" ref="D44:AL44" si="5">SUM(D30:D43)</f>
        <v>3714628.5668265545</v>
      </c>
      <c r="E44" s="92">
        <f t="shared" si="5"/>
        <v>11140472.496695211</v>
      </c>
      <c r="F44" s="92">
        <f t="shared" si="5"/>
        <v>5720502.444562939</v>
      </c>
      <c r="G44" s="92">
        <f t="shared" si="5"/>
        <v>3852565.8906025756</v>
      </c>
      <c r="H44" s="92">
        <f t="shared" si="5"/>
        <v>6117338.5514596002</v>
      </c>
      <c r="I44" s="92">
        <f t="shared" si="5"/>
        <v>7202418.2206217013</v>
      </c>
      <c r="J44" s="92">
        <f t="shared" si="5"/>
        <v>4851146.6409069849</v>
      </c>
      <c r="K44" s="92">
        <f t="shared" si="5"/>
        <v>3300422.7255617878</v>
      </c>
      <c r="L44" s="92">
        <f t="shared" si="5"/>
        <v>7163347.2660325039</v>
      </c>
      <c r="M44" s="92">
        <f t="shared" si="5"/>
        <v>6947429.0128504103</v>
      </c>
      <c r="N44" s="92">
        <f t="shared" si="5"/>
        <v>7407558.4007533463</v>
      </c>
      <c r="O44" s="92">
        <f t="shared" si="5"/>
        <v>4484046.7395891193</v>
      </c>
      <c r="P44" s="92">
        <f>SUM(P30:P43)</f>
        <v>8320769.3709677355</v>
      </c>
      <c r="Q44" s="92">
        <f t="shared" si="5"/>
        <v>7382701.3931177715</v>
      </c>
      <c r="R44" s="92">
        <f t="shared" si="5"/>
        <v>9200348.4008172527</v>
      </c>
      <c r="S44" s="92">
        <f t="shared" si="5"/>
        <v>3420841.972449739</v>
      </c>
      <c r="T44" s="92">
        <f t="shared" si="5"/>
        <v>3786259.1566528529</v>
      </c>
      <c r="U44" s="92">
        <f t="shared" si="5"/>
        <v>23953561.332612142</v>
      </c>
      <c r="V44" s="92">
        <f t="shared" si="5"/>
        <v>5257724.9142092783</v>
      </c>
      <c r="W44" s="92">
        <f t="shared" si="5"/>
        <v>7277140.7330213422</v>
      </c>
      <c r="X44" s="92">
        <f t="shared" si="5"/>
        <v>8432967.3075640071</v>
      </c>
      <c r="Y44" s="92">
        <f t="shared" si="5"/>
        <v>2333329.1034683492</v>
      </c>
      <c r="Z44" s="92">
        <f t="shared" si="5"/>
        <v>6321829.8553068507</v>
      </c>
      <c r="AA44" s="92">
        <f t="shared" si="5"/>
        <v>2113898.9561474165</v>
      </c>
      <c r="AB44" s="92">
        <f t="shared" si="5"/>
        <v>5805102.9223513566</v>
      </c>
      <c r="AC44" s="92">
        <f t="shared" si="5"/>
        <v>5217788.4321707673</v>
      </c>
      <c r="AD44" s="92">
        <f t="shared" si="5"/>
        <v>8495961.5698326193</v>
      </c>
      <c r="AE44" s="92">
        <f t="shared" si="5"/>
        <v>4972497.324570464</v>
      </c>
      <c r="AF44" s="92">
        <f t="shared" si="5"/>
        <v>8520166.1156534757</v>
      </c>
      <c r="AG44" s="92">
        <f t="shared" si="5"/>
        <v>5084153.7020624513</v>
      </c>
      <c r="AH44" s="92">
        <f t="shared" si="5"/>
        <v>7340684.8467873903</v>
      </c>
      <c r="AI44" s="92">
        <f t="shared" si="5"/>
        <v>22175900.727249607</v>
      </c>
      <c r="AJ44" s="92">
        <f t="shared" si="5"/>
        <v>5500948.1042307084</v>
      </c>
      <c r="AK44" s="92">
        <f t="shared" si="5"/>
        <v>3018411.5778500615</v>
      </c>
      <c r="AL44" s="92">
        <f t="shared" si="5"/>
        <v>3147966.4650681065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2221854886.2406249</v>
      </c>
      <c r="D45" s="95">
        <f t="shared" si="6"/>
        <v>44148348.566826552</v>
      </c>
      <c r="E45" s="95">
        <f t="shared" si="6"/>
        <v>117819347.49669521</v>
      </c>
      <c r="F45" s="95">
        <f t="shared" si="6"/>
        <v>55536990.444562942</v>
      </c>
      <c r="G45" s="95">
        <f t="shared" si="6"/>
        <v>36119804.22393591</v>
      </c>
      <c r="H45" s="95">
        <f t="shared" si="6"/>
        <v>54333736.551459603</v>
      </c>
      <c r="I45" s="95">
        <f t="shared" si="6"/>
        <v>40919162.220621705</v>
      </c>
      <c r="J45" s="95">
        <f t="shared" si="6"/>
        <v>35969100.640906982</v>
      </c>
      <c r="K45" s="95">
        <f t="shared" si="6"/>
        <v>39489673.72556179</v>
      </c>
      <c r="L45" s="95">
        <f t="shared" si="6"/>
        <v>56740434.266032502</v>
      </c>
      <c r="M45" s="95">
        <f t="shared" si="6"/>
        <v>79162872.012850404</v>
      </c>
      <c r="N45" s="95">
        <f t="shared" si="6"/>
        <v>84545300.400753349</v>
      </c>
      <c r="O45" s="95">
        <f t="shared" si="6"/>
        <v>40889290.739589117</v>
      </c>
      <c r="P45" s="95">
        <f t="shared" si="6"/>
        <v>70319806.370967731</v>
      </c>
      <c r="Q45" s="95">
        <f t="shared" si="6"/>
        <v>41089594.393117771</v>
      </c>
      <c r="R45" s="95">
        <f t="shared" si="6"/>
        <v>88697614.734150589</v>
      </c>
      <c r="S45" s="95">
        <f t="shared" si="6"/>
        <v>38453369.972449742</v>
      </c>
      <c r="T45" s="95">
        <f t="shared" si="6"/>
        <v>39698173.156652853</v>
      </c>
      <c r="U45" s="95">
        <f t="shared" si="6"/>
        <v>172982952.33261216</v>
      </c>
      <c r="V45" s="95">
        <f t="shared" si="6"/>
        <v>64827437.914209276</v>
      </c>
      <c r="W45" s="95">
        <f t="shared" si="6"/>
        <v>72440779.733021349</v>
      </c>
      <c r="X45" s="95">
        <f t="shared" si="6"/>
        <v>100165939.30756401</v>
      </c>
      <c r="Y45" s="95">
        <f t="shared" si="6"/>
        <v>25943315.103468351</v>
      </c>
      <c r="Z45" s="95">
        <f t="shared" si="6"/>
        <v>55769337.855306849</v>
      </c>
      <c r="AA45" s="95">
        <f t="shared" si="6"/>
        <v>29949014.956147417</v>
      </c>
      <c r="AB45" s="95">
        <f t="shared" si="6"/>
        <v>64176432.92235136</v>
      </c>
      <c r="AC45" s="95">
        <f t="shared" si="6"/>
        <v>29115783.432170767</v>
      </c>
      <c r="AD45" s="95">
        <f t="shared" si="6"/>
        <v>67005767.569832623</v>
      </c>
      <c r="AE45" s="95">
        <f t="shared" si="6"/>
        <v>41196606.991237134</v>
      </c>
      <c r="AF45" s="95">
        <f t="shared" si="6"/>
        <v>99494121.782320127</v>
      </c>
      <c r="AG45" s="95">
        <f t="shared" si="6"/>
        <v>40225230.70206245</v>
      </c>
      <c r="AH45" s="95">
        <f t="shared" si="6"/>
        <v>75459817.846787393</v>
      </c>
      <c r="AI45" s="95">
        <f t="shared" si="6"/>
        <v>200379756.72724962</v>
      </c>
      <c r="AJ45" s="95">
        <f t="shared" si="6"/>
        <v>40243535.104230709</v>
      </c>
      <c r="AK45" s="95">
        <f t="shared" si="6"/>
        <v>38183774.577850059</v>
      </c>
      <c r="AL45" s="95">
        <f t="shared" si="6"/>
        <v>40362661.465068109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586528835.99999976</v>
      </c>
      <c r="D46" s="97">
        <f t="shared" si="7"/>
        <v>11106280</v>
      </c>
      <c r="E46" s="97">
        <f t="shared" si="7"/>
        <v>40586125</v>
      </c>
      <c r="F46" s="97">
        <f t="shared" si="7"/>
        <v>11333512</v>
      </c>
      <c r="G46" s="97">
        <f t="shared" si="7"/>
        <v>1600761.6666666679</v>
      </c>
      <c r="H46" s="97">
        <f t="shared" si="7"/>
        <v>9894602</v>
      </c>
      <c r="I46" s="97">
        <f t="shared" si="7"/>
        <v>15187256</v>
      </c>
      <c r="J46" s="97">
        <f t="shared" si="7"/>
        <v>11465046</v>
      </c>
      <c r="K46" s="97">
        <f t="shared" si="7"/>
        <v>7063749</v>
      </c>
      <c r="L46" s="97">
        <f t="shared" si="7"/>
        <v>14940913</v>
      </c>
      <c r="M46" s="97">
        <f t="shared" si="7"/>
        <v>23712557</v>
      </c>
      <c r="N46" s="97">
        <f t="shared" si="7"/>
        <v>16640258</v>
      </c>
      <c r="O46" s="97">
        <f t="shared" si="7"/>
        <v>8301156</v>
      </c>
      <c r="P46" s="97">
        <f t="shared" si="7"/>
        <v>23751788</v>
      </c>
      <c r="Q46" s="97">
        <f t="shared" si="7"/>
        <v>24045773</v>
      </c>
      <c r="R46" s="97">
        <f t="shared" si="7"/>
        <v>35052733.666666672</v>
      </c>
      <c r="S46" s="97">
        <f t="shared" si="7"/>
        <v>10035472</v>
      </c>
      <c r="T46" s="97">
        <f t="shared" si="7"/>
        <v>17522086</v>
      </c>
      <c r="U46" s="97">
        <f t="shared" si="7"/>
        <v>47990609</v>
      </c>
      <c r="V46" s="97">
        <f t="shared" si="7"/>
        <v>6530687</v>
      </c>
      <c r="W46" s="97">
        <f t="shared" si="7"/>
        <v>24232361</v>
      </c>
      <c r="X46" s="97">
        <f t="shared" si="7"/>
        <v>15889028</v>
      </c>
      <c r="Y46" s="97">
        <f t="shared" si="7"/>
        <v>2876014</v>
      </c>
      <c r="Z46" s="97">
        <f t="shared" si="7"/>
        <v>14445492</v>
      </c>
      <c r="AA46" s="97">
        <f t="shared" si="7"/>
        <v>8065884</v>
      </c>
      <c r="AB46" s="97">
        <f t="shared" si="7"/>
        <v>18324670</v>
      </c>
      <c r="AC46" s="97">
        <f t="shared" si="7"/>
        <v>11182005</v>
      </c>
      <c r="AD46" s="97">
        <f t="shared" si="7"/>
        <v>14197194</v>
      </c>
      <c r="AE46" s="97">
        <f t="shared" si="7"/>
        <v>5663890.3333333284</v>
      </c>
      <c r="AF46" s="97">
        <f t="shared" si="7"/>
        <v>21196644.333333343</v>
      </c>
      <c r="AG46" s="97">
        <f t="shared" si="7"/>
        <v>5668923</v>
      </c>
      <c r="AH46" s="97">
        <f t="shared" si="7"/>
        <v>15282867</v>
      </c>
      <c r="AI46" s="97">
        <f t="shared" si="7"/>
        <v>58453144</v>
      </c>
      <c r="AJ46" s="97">
        <f t="shared" si="7"/>
        <v>16437413</v>
      </c>
      <c r="AK46" s="97">
        <f t="shared" si="7"/>
        <v>7909637</v>
      </c>
      <c r="AL46" s="97">
        <f t="shared" si="7"/>
        <v>9942305</v>
      </c>
    </row>
    <row r="47" spans="1:38" s="100" customFormat="1" ht="13" x14ac:dyDescent="0.3">
      <c r="A47" s="98" t="s">
        <v>48</v>
      </c>
      <c r="B47" s="98"/>
      <c r="C47" s="62">
        <f>C4-C45</f>
        <v>347546004.7593751</v>
      </c>
      <c r="D47" s="99">
        <f t="shared" ref="D47:AL47" si="8">D4-D45</f>
        <v>7391651.4331734478</v>
      </c>
      <c r="E47" s="99">
        <f t="shared" si="8"/>
        <v>29445652.503304794</v>
      </c>
      <c r="F47" s="99">
        <f t="shared" si="8"/>
        <v>5613009.5554370582</v>
      </c>
      <c r="G47" s="99">
        <f t="shared" si="8"/>
        <v>-2251804.2239359096</v>
      </c>
      <c r="H47" s="99">
        <f t="shared" si="8"/>
        <v>3777263.448540397</v>
      </c>
      <c r="I47" s="99">
        <f t="shared" si="8"/>
        <v>7984837.7793782949</v>
      </c>
      <c r="J47" s="99">
        <f t="shared" si="8"/>
        <v>6613899.3590930179</v>
      </c>
      <c r="K47" s="99">
        <f t="shared" si="8"/>
        <v>3763326.2744382098</v>
      </c>
      <c r="L47" s="99">
        <f t="shared" si="8"/>
        <v>7777565.7339674979</v>
      </c>
      <c r="M47" s="99">
        <f t="shared" si="8"/>
        <v>16765127.987149596</v>
      </c>
      <c r="N47" s="99">
        <f t="shared" si="8"/>
        <v>9232699.5992466509</v>
      </c>
      <c r="O47" s="99">
        <f t="shared" si="8"/>
        <v>3817109.2604108825</v>
      </c>
      <c r="P47" s="99">
        <f t="shared" si="8"/>
        <v>15431018.629032269</v>
      </c>
      <c r="Q47" s="99">
        <f t="shared" si="8"/>
        <v>16663071.606882229</v>
      </c>
      <c r="R47" s="99">
        <f t="shared" si="8"/>
        <v>25852385.265849411</v>
      </c>
      <c r="S47" s="99">
        <f t="shared" si="8"/>
        <v>6614630.0275502577</v>
      </c>
      <c r="T47" s="99">
        <f t="shared" si="8"/>
        <v>13735826.843347147</v>
      </c>
      <c r="U47" s="99">
        <f t="shared" si="8"/>
        <v>24037047.667387843</v>
      </c>
      <c r="V47" s="99">
        <f t="shared" si="8"/>
        <v>1272962.0857907236</v>
      </c>
      <c r="W47" s="99">
        <f t="shared" si="8"/>
        <v>16955220.266978651</v>
      </c>
      <c r="X47" s="99">
        <f t="shared" si="8"/>
        <v>7456060.6924359947</v>
      </c>
      <c r="Y47" s="99">
        <f t="shared" si="8"/>
        <v>542684.89653164893</v>
      </c>
      <c r="Z47" s="99">
        <f t="shared" si="8"/>
        <v>8123662.1446931511</v>
      </c>
      <c r="AA47" s="99">
        <f t="shared" si="8"/>
        <v>5951985.0438525826</v>
      </c>
      <c r="AB47" s="99">
        <f t="shared" si="8"/>
        <v>12519567.07764864</v>
      </c>
      <c r="AC47" s="99">
        <f t="shared" si="8"/>
        <v>5964216.5678292327</v>
      </c>
      <c r="AD47" s="99">
        <f t="shared" si="8"/>
        <v>5701232.430167377</v>
      </c>
      <c r="AE47" s="99">
        <f t="shared" si="8"/>
        <v>691393.00876286626</v>
      </c>
      <c r="AF47" s="99">
        <f t="shared" si="8"/>
        <v>12676478.217679873</v>
      </c>
      <c r="AG47" s="99">
        <f t="shared" si="8"/>
        <v>584769.29793754965</v>
      </c>
      <c r="AH47" s="99">
        <f t="shared" si="8"/>
        <v>7942182.1532126069</v>
      </c>
      <c r="AI47" s="99">
        <f t="shared" si="8"/>
        <v>36277243.272750378</v>
      </c>
      <c r="AJ47" s="99">
        <f t="shared" si="8"/>
        <v>10936464.895769291</v>
      </c>
      <c r="AK47" s="99">
        <f t="shared" si="8"/>
        <v>4891225.4221499413</v>
      </c>
      <c r="AL47" s="99">
        <f t="shared" si="8"/>
        <v>6794338.5349318907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1982872055.0000002</v>
      </c>
      <c r="D48" s="61">
        <f t="shared" si="9"/>
        <v>40433720</v>
      </c>
      <c r="E48" s="61">
        <f t="shared" si="9"/>
        <v>106678875</v>
      </c>
      <c r="F48" s="61">
        <f t="shared" si="9"/>
        <v>49816488</v>
      </c>
      <c r="G48" s="61">
        <f t="shared" si="9"/>
        <v>32267238.333333332</v>
      </c>
      <c r="H48" s="61">
        <f t="shared" si="9"/>
        <v>48216398</v>
      </c>
      <c r="I48" s="61">
        <f t="shared" si="9"/>
        <v>33716744</v>
      </c>
      <c r="J48" s="61">
        <f t="shared" si="9"/>
        <v>31117954</v>
      </c>
      <c r="K48" s="61">
        <f t="shared" si="9"/>
        <v>36189251</v>
      </c>
      <c r="L48" s="61">
        <f t="shared" si="9"/>
        <v>49577087</v>
      </c>
      <c r="M48" s="61">
        <f t="shared" si="9"/>
        <v>72215443</v>
      </c>
      <c r="N48" s="61">
        <f t="shared" si="9"/>
        <v>77137742</v>
      </c>
      <c r="O48" s="61">
        <f t="shared" si="9"/>
        <v>36405244</v>
      </c>
      <c r="P48" s="61">
        <f t="shared" si="9"/>
        <v>61999037</v>
      </c>
      <c r="Q48" s="61">
        <f t="shared" si="9"/>
        <v>33706893</v>
      </c>
      <c r="R48" s="61">
        <f t="shared" si="9"/>
        <v>79497266.333333328</v>
      </c>
      <c r="S48" s="61">
        <f t="shared" si="9"/>
        <v>35032528</v>
      </c>
      <c r="T48" s="61">
        <f t="shared" si="9"/>
        <v>35911914</v>
      </c>
      <c r="U48" s="61">
        <f t="shared" si="9"/>
        <v>149029391</v>
      </c>
      <c r="V48" s="61">
        <f t="shared" si="9"/>
        <v>59569713</v>
      </c>
      <c r="W48" s="61">
        <f t="shared" si="9"/>
        <v>65163639</v>
      </c>
      <c r="X48" s="61">
        <f t="shared" si="9"/>
        <v>91732972</v>
      </c>
      <c r="Y48" s="61">
        <f t="shared" si="9"/>
        <v>23609986</v>
      </c>
      <c r="Z48" s="61">
        <f t="shared" si="9"/>
        <v>49447508</v>
      </c>
      <c r="AA48" s="61">
        <f t="shared" si="9"/>
        <v>27835116</v>
      </c>
      <c r="AB48" s="61">
        <f t="shared" si="9"/>
        <v>58371330</v>
      </c>
      <c r="AC48" s="61">
        <f t="shared" si="9"/>
        <v>23897995</v>
      </c>
      <c r="AD48" s="61">
        <f t="shared" si="9"/>
        <v>58509806</v>
      </c>
      <c r="AE48" s="61">
        <f t="shared" si="9"/>
        <v>36224109.666666672</v>
      </c>
      <c r="AF48" s="61">
        <f t="shared" si="9"/>
        <v>90973955.666666657</v>
      </c>
      <c r="AG48" s="61">
        <f t="shared" si="9"/>
        <v>35141077</v>
      </c>
      <c r="AH48" s="61">
        <f t="shared" si="9"/>
        <v>68119133</v>
      </c>
      <c r="AI48" s="61">
        <f t="shared" si="9"/>
        <v>178203856</v>
      </c>
      <c r="AJ48" s="61">
        <f t="shared" si="9"/>
        <v>34742587</v>
      </c>
      <c r="AK48" s="61">
        <f t="shared" si="9"/>
        <v>35165363</v>
      </c>
      <c r="AL48" s="61">
        <f t="shared" si="9"/>
        <v>37214695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0.13526344058521428</v>
      </c>
      <c r="D49" s="101">
        <f t="shared" si="10"/>
        <v>0.1434158213654142</v>
      </c>
      <c r="E49" s="101">
        <f t="shared" si="10"/>
        <v>0.19995010697249715</v>
      </c>
      <c r="F49" s="101">
        <f t="shared" si="10"/>
        <v>9.1790834921292863E-2</v>
      </c>
      <c r="G49" s="101">
        <f t="shared" si="10"/>
        <v>-6.6487664578242275E-2</v>
      </c>
      <c r="H49" s="101">
        <f t="shared" si="10"/>
        <v>6.5000833724086604E-2</v>
      </c>
      <c r="I49" s="101">
        <f t="shared" si="10"/>
        <v>0.16327576025229623</v>
      </c>
      <c r="J49" s="101">
        <f t="shared" si="10"/>
        <v>0.15531783479541172</v>
      </c>
      <c r="K49" s="101">
        <f t="shared" si="10"/>
        <v>8.7007289076785649E-2</v>
      </c>
      <c r="L49" s="101">
        <f t="shared" si="10"/>
        <v>0.12054877296208032</v>
      </c>
      <c r="M49" s="101">
        <f t="shared" si="10"/>
        <v>0.17476782573544322</v>
      </c>
      <c r="N49" s="101">
        <f t="shared" si="10"/>
        <v>9.8452724511576814E-2</v>
      </c>
      <c r="O49" s="101">
        <f t="shared" si="10"/>
        <v>8.5381718510344887E-2</v>
      </c>
      <c r="P49" s="101">
        <f t="shared" si="10"/>
        <v>0.17995183870280279</v>
      </c>
      <c r="Q49" s="101">
        <f t="shared" si="10"/>
        <v>0.28852471688289211</v>
      </c>
      <c r="R49" s="101">
        <f t="shared" si="10"/>
        <v>0.22568647111173645</v>
      </c>
      <c r="S49" s="101">
        <f t="shared" si="10"/>
        <v>0.14676999262337484</v>
      </c>
      <c r="T49" s="101">
        <f t="shared" si="10"/>
        <v>0.25706154963781763</v>
      </c>
      <c r="U49" s="101">
        <f t="shared" si="10"/>
        <v>0.12200308429290348</v>
      </c>
      <c r="V49" s="101">
        <f t="shared" si="10"/>
        <v>1.9258008813724629E-2</v>
      </c>
      <c r="W49" s="101">
        <f t="shared" si="10"/>
        <v>0.18966419377800631</v>
      </c>
      <c r="X49" s="101">
        <f t="shared" si="10"/>
        <v>6.9280079281522314E-2</v>
      </c>
      <c r="Y49" s="101">
        <f t="shared" si="10"/>
        <v>2.0489499982317035E-2</v>
      </c>
      <c r="Z49" s="101">
        <f t="shared" si="10"/>
        <v>0.12714479120863242</v>
      </c>
      <c r="AA49" s="101">
        <f t="shared" si="10"/>
        <v>0.16578883718705836</v>
      </c>
      <c r="AB49" s="101">
        <f t="shared" si="10"/>
        <v>0.16323624540587045</v>
      </c>
      <c r="AC49" s="101">
        <f t="shared" si="10"/>
        <v>0.17001757604986409</v>
      </c>
      <c r="AD49" s="101">
        <f t="shared" si="10"/>
        <v>7.8413803762600265E-2</v>
      </c>
      <c r="AE49" s="101">
        <f t="shared" si="10"/>
        <v>1.6505753646936266E-2</v>
      </c>
      <c r="AF49" s="101">
        <f t="shared" si="10"/>
        <v>0.11301070171399523</v>
      </c>
      <c r="AG49" s="101">
        <f t="shared" si="10"/>
        <v>1.4329068805134763E-2</v>
      </c>
      <c r="AH49" s="101">
        <f t="shared" si="10"/>
        <v>9.5227718198755515E-2</v>
      </c>
      <c r="AI49" s="101">
        <f t="shared" si="10"/>
        <v>0.15329038766125819</v>
      </c>
      <c r="AJ49" s="101">
        <f t="shared" si="10"/>
        <v>0.21368630120690291</v>
      </c>
      <c r="AK49" s="101">
        <f t="shared" si="10"/>
        <v>0.11355137370052099</v>
      </c>
      <c r="AL49" s="101">
        <f t="shared" si="10"/>
        <v>0.14407910882651337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0.22827455149349046</v>
      </c>
      <c r="D50" s="101">
        <f t="shared" si="11"/>
        <v>0.21548855258051999</v>
      </c>
      <c r="E50" s="101">
        <f t="shared" si="11"/>
        <v>0.27559925983770756</v>
      </c>
      <c r="F50" s="101">
        <f t="shared" si="11"/>
        <v>0.18533952575633689</v>
      </c>
      <c r="G50" s="101">
        <f t="shared" si="11"/>
        <v>4.7264723829770518E-2</v>
      </c>
      <c r="H50" s="101">
        <f t="shared" si="11"/>
        <v>0.17027072327098139</v>
      </c>
      <c r="I50" s="101">
        <f t="shared" si="11"/>
        <v>0.31055242924914117</v>
      </c>
      <c r="J50" s="101">
        <f t="shared" si="11"/>
        <v>0.26923997839513419</v>
      </c>
      <c r="K50" s="101">
        <f t="shared" si="11"/>
        <v>0.16331234827642013</v>
      </c>
      <c r="L50" s="101">
        <f t="shared" si="11"/>
        <v>0.23157743575436313</v>
      </c>
      <c r="M50" s="101">
        <f t="shared" si="11"/>
        <v>0.24719119547994328</v>
      </c>
      <c r="N50" s="101">
        <f t="shared" si="11"/>
        <v>0.17744308899741942</v>
      </c>
      <c r="O50" s="101">
        <f t="shared" si="11"/>
        <v>0.18568160263407477</v>
      </c>
      <c r="P50" s="101">
        <f t="shared" si="11"/>
        <v>0.27698611646010401</v>
      </c>
      <c r="Q50" s="101">
        <f t="shared" si="11"/>
        <v>0.41635780069443029</v>
      </c>
      <c r="R50" s="101">
        <f t="shared" si="11"/>
        <v>0.30600378582860471</v>
      </c>
      <c r="S50" s="101">
        <f t="shared" si="11"/>
        <v>0.22267400372770035</v>
      </c>
      <c r="T50" s="101">
        <f t="shared" si="11"/>
        <v>0.32792016319197514</v>
      </c>
      <c r="U50" s="101">
        <f t="shared" si="11"/>
        <v>0.24358242310425338</v>
      </c>
      <c r="V50" s="101">
        <f t="shared" si="11"/>
        <v>9.8799508021131494E-2</v>
      </c>
      <c r="W50" s="101">
        <f t="shared" si="11"/>
        <v>0.27106762047518906</v>
      </c>
      <c r="X50" s="101">
        <f t="shared" si="11"/>
        <v>0.14763736039099812</v>
      </c>
      <c r="Y50" s="101">
        <f t="shared" si="11"/>
        <v>0.10858619648115986</v>
      </c>
      <c r="Z50" s="101">
        <f t="shared" si="11"/>
        <v>0.22608880472039192</v>
      </c>
      <c r="AA50" s="101">
        <f t="shared" si="11"/>
        <v>0.2246701763182084</v>
      </c>
      <c r="AB50" s="101">
        <f t="shared" si="11"/>
        <v>0.23892601960988838</v>
      </c>
      <c r="AC50" s="101">
        <f t="shared" si="11"/>
        <v>0.31875726909920182</v>
      </c>
      <c r="AD50" s="101">
        <f t="shared" si="11"/>
        <v>0.1952658478550896</v>
      </c>
      <c r="AE50" s="101">
        <f t="shared" si="11"/>
        <v>0.13521510536032583</v>
      </c>
      <c r="AF50" s="101">
        <f t="shared" si="11"/>
        <v>0.18896791434951177</v>
      </c>
      <c r="AG50" s="101">
        <f t="shared" si="11"/>
        <v>0.13891014457240872</v>
      </c>
      <c r="AH50" s="101">
        <f t="shared" si="11"/>
        <v>0.18324341142898251</v>
      </c>
      <c r="AI50" s="101">
        <f t="shared" si="11"/>
        <v>0.24699520402946035</v>
      </c>
      <c r="AJ50" s="101">
        <f t="shared" si="11"/>
        <v>0.3211686791715514</v>
      </c>
      <c r="AK50" s="101">
        <f t="shared" si="11"/>
        <v>0.18362477074869413</v>
      </c>
      <c r="AL50" s="101">
        <f t="shared" si="11"/>
        <v>0.21083412854931399</v>
      </c>
    </row>
    <row r="51" spans="1:38" s="104" customFormat="1" ht="13" x14ac:dyDescent="0.3">
      <c r="A51" s="101" t="s">
        <v>51</v>
      </c>
      <c r="B51" s="102"/>
      <c r="C51" s="103">
        <f>C47/C48</f>
        <v>0.17527404447654846</v>
      </c>
      <c r="D51" s="101">
        <f t="shared" ref="D51:AL51" si="12">D47/D48</f>
        <v>0.18280908690007863</v>
      </c>
      <c r="E51" s="101">
        <f t="shared" si="12"/>
        <v>0.27602140070660469</v>
      </c>
      <c r="F51" s="101">
        <f t="shared" si="12"/>
        <v>0.11267373074226064</v>
      </c>
      <c r="G51" s="101">
        <f t="shared" si="12"/>
        <v>-6.9786084593725733E-2</v>
      </c>
      <c r="H51" s="101">
        <f t="shared" si="12"/>
        <v>7.8339809799570614E-2</v>
      </c>
      <c r="I51" s="101">
        <f t="shared" si="12"/>
        <v>0.23682114083668029</v>
      </c>
      <c r="J51" s="101">
        <f t="shared" si="12"/>
        <v>0.21254287345154563</v>
      </c>
      <c r="K51" s="101">
        <f t="shared" si="12"/>
        <v>0.10399016753450382</v>
      </c>
      <c r="L51" s="101">
        <f t="shared" si="12"/>
        <v>0.15687823155014124</v>
      </c>
      <c r="M51" s="101">
        <f t="shared" si="12"/>
        <v>0.23215433279485104</v>
      </c>
      <c r="N51" s="101">
        <f t="shared" si="12"/>
        <v>0.11969107935835938</v>
      </c>
      <c r="O51" s="101">
        <f t="shared" si="12"/>
        <v>0.10485053363221196</v>
      </c>
      <c r="P51" s="101">
        <f t="shared" si="12"/>
        <v>0.24889126308578421</v>
      </c>
      <c r="Q51" s="101">
        <f t="shared" si="12"/>
        <v>0.49435204861160681</v>
      </c>
      <c r="R51" s="101">
        <f t="shared" si="12"/>
        <v>0.3251984182380554</v>
      </c>
      <c r="S51" s="101">
        <f t="shared" si="12"/>
        <v>0.1888139510671413</v>
      </c>
      <c r="T51" s="101">
        <f t="shared" si="12"/>
        <v>0.38248662667623751</v>
      </c>
      <c r="U51" s="101">
        <f t="shared" si="12"/>
        <v>0.16129065217335448</v>
      </c>
      <c r="V51" s="101">
        <f t="shared" si="12"/>
        <v>2.1369283511416676E-2</v>
      </c>
      <c r="W51" s="101">
        <f t="shared" si="12"/>
        <v>0.26019449691842184</v>
      </c>
      <c r="X51" s="101">
        <f t="shared" si="12"/>
        <v>8.1280051543909368E-2</v>
      </c>
      <c r="Y51" s="101">
        <f t="shared" si="12"/>
        <v>2.2985396794883695E-2</v>
      </c>
      <c r="Z51" s="101">
        <f t="shared" si="12"/>
        <v>0.1642886057006786</v>
      </c>
      <c r="AA51" s="101">
        <f t="shared" si="12"/>
        <v>0.21383007866224027</v>
      </c>
      <c r="AB51" s="101">
        <f t="shared" si="12"/>
        <v>0.21448144281873721</v>
      </c>
      <c r="AC51" s="101">
        <f t="shared" si="12"/>
        <v>0.24956974707833157</v>
      </c>
      <c r="AD51" s="101">
        <f t="shared" si="12"/>
        <v>9.744063123653797E-2</v>
      </c>
      <c r="AE51" s="101">
        <f t="shared" si="12"/>
        <v>1.9086542502356772E-2</v>
      </c>
      <c r="AF51" s="101">
        <f t="shared" si="12"/>
        <v>0.13934183827432056</v>
      </c>
      <c r="AG51" s="101">
        <f t="shared" si="12"/>
        <v>1.6640619692377377E-2</v>
      </c>
      <c r="AH51" s="101">
        <f t="shared" si="12"/>
        <v>0.11659253139954977</v>
      </c>
      <c r="AI51" s="101">
        <f t="shared" si="12"/>
        <v>0.20357159540223629</v>
      </c>
      <c r="AJ51" s="101">
        <f t="shared" si="12"/>
        <v>0.31478556550118997</v>
      </c>
      <c r="AK51" s="101">
        <f t="shared" si="12"/>
        <v>0.13909213512597443</v>
      </c>
      <c r="AL51" s="101">
        <f t="shared" si="12"/>
        <v>0.1825713883972955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0.59254717488327413</v>
      </c>
      <c r="D52" s="101">
        <f t="shared" si="13"/>
        <v>0.66553800491014525</v>
      </c>
      <c r="E52" s="101">
        <f t="shared" si="13"/>
        <v>0.72551031918678599</v>
      </c>
      <c r="F52" s="101">
        <f t="shared" si="13"/>
        <v>0.49525774141652279</v>
      </c>
      <c r="G52" s="101">
        <f t="shared" si="13"/>
        <v>-1.4067079883446574</v>
      </c>
      <c r="H52" s="101">
        <f t="shared" si="13"/>
        <v>0.3817499125826786</v>
      </c>
      <c r="I52" s="101">
        <f t="shared" si="13"/>
        <v>0.5257590824424303</v>
      </c>
      <c r="J52" s="101">
        <f t="shared" si="13"/>
        <v>0.57687508267241294</v>
      </c>
      <c r="K52" s="101">
        <f t="shared" si="13"/>
        <v>0.5327661379868126</v>
      </c>
      <c r="L52" s="101">
        <f t="shared" si="13"/>
        <v>0.52055491749182248</v>
      </c>
      <c r="M52" s="101">
        <f t="shared" si="13"/>
        <v>0.7070147680467187</v>
      </c>
      <c r="N52" s="101">
        <f t="shared" si="13"/>
        <v>0.55484113282658543</v>
      </c>
      <c r="O52" s="101">
        <f t="shared" si="13"/>
        <v>0.459828638374087</v>
      </c>
      <c r="P52" s="101">
        <f t="shared" si="13"/>
        <v>0.64967818966017499</v>
      </c>
      <c r="Q52" s="101">
        <f t="shared" si="13"/>
        <v>0.69297300639418946</v>
      </c>
      <c r="R52" s="101">
        <f t="shared" si="13"/>
        <v>0.73752836260053767</v>
      </c>
      <c r="S52" s="101">
        <f t="shared" si="13"/>
        <v>0.65912495471565835</v>
      </c>
      <c r="T52" s="101">
        <f t="shared" si="13"/>
        <v>0.78391504546588497</v>
      </c>
      <c r="U52" s="101">
        <f t="shared" si="13"/>
        <v>0.50086981949714038</v>
      </c>
      <c r="V52" s="101">
        <f t="shared" si="13"/>
        <v>0.19492008816082038</v>
      </c>
      <c r="W52" s="101">
        <f t="shared" si="13"/>
        <v>0.69969328481771342</v>
      </c>
      <c r="X52" s="101">
        <f t="shared" si="13"/>
        <v>0.46925845258979937</v>
      </c>
      <c r="Y52" s="101">
        <f t="shared" si="13"/>
        <v>0.18869341266476761</v>
      </c>
      <c r="Z52" s="101">
        <f t="shared" si="13"/>
        <v>0.56236659469218153</v>
      </c>
      <c r="AA52" s="101">
        <f t="shared" si="13"/>
        <v>0.73792098223239788</v>
      </c>
      <c r="AB52" s="101">
        <f t="shared" si="13"/>
        <v>0.68320832395064357</v>
      </c>
      <c r="AC52" s="101">
        <f t="shared" si="13"/>
        <v>0.53337631022604914</v>
      </c>
      <c r="AD52" s="101">
        <f t="shared" si="13"/>
        <v>0.40157459496343972</v>
      </c>
      <c r="AE52" s="101">
        <f t="shared" si="13"/>
        <v>0.12207033824328406</v>
      </c>
      <c r="AF52" s="101">
        <f t="shared" si="13"/>
        <v>0.59804174747344996</v>
      </c>
      <c r="AG52" s="101">
        <f t="shared" si="13"/>
        <v>0.10315350868896078</v>
      </c>
      <c r="AH52" s="101">
        <f t="shared" si="13"/>
        <v>0.51967881112965297</v>
      </c>
      <c r="AI52" s="101">
        <f t="shared" si="13"/>
        <v>0.62062090745282028</v>
      </c>
      <c r="AJ52" s="101">
        <f t="shared" si="13"/>
        <v>0.66533978891747081</v>
      </c>
      <c r="AK52" s="101">
        <f t="shared" si="13"/>
        <v>0.61838810329095273</v>
      </c>
      <c r="AL52" s="101">
        <f t="shared" si="13"/>
        <v>0.68337659475663748</v>
      </c>
    </row>
    <row r="53" spans="1:38" s="108" customFormat="1" ht="13" x14ac:dyDescent="0.3">
      <c r="A53" s="106" t="s">
        <v>53</v>
      </c>
      <c r="B53" s="107"/>
      <c r="C53" s="87">
        <f>C45/C46</f>
        <v>3.7881426280644552</v>
      </c>
      <c r="D53" s="106">
        <f t="shared" ref="D53:AL53" si="14">D45/D46</f>
        <v>3.9750797356834648</v>
      </c>
      <c r="E53" s="106">
        <f t="shared" si="14"/>
        <v>2.9029464502140869</v>
      </c>
      <c r="F53" s="106">
        <f t="shared" si="14"/>
        <v>4.9002454353569256</v>
      </c>
      <c r="G53" s="106">
        <f t="shared" si="14"/>
        <v>22.564136170970205</v>
      </c>
      <c r="H53" s="106">
        <f t="shared" si="14"/>
        <v>5.4912503354313396</v>
      </c>
      <c r="I53" s="106">
        <f t="shared" si="14"/>
        <v>2.6943091115749747</v>
      </c>
      <c r="J53" s="106">
        <f t="shared" si="14"/>
        <v>3.1372835870791085</v>
      </c>
      <c r="K53" s="106">
        <f t="shared" si="14"/>
        <v>5.5904695545611531</v>
      </c>
      <c r="L53" s="106">
        <f t="shared" si="14"/>
        <v>3.7976550874790918</v>
      </c>
      <c r="M53" s="106">
        <f t="shared" si="14"/>
        <v>3.3384367621277793</v>
      </c>
      <c r="N53" s="106">
        <f t="shared" si="14"/>
        <v>5.0807686035128388</v>
      </c>
      <c r="O53" s="106">
        <f t="shared" si="14"/>
        <v>4.9257345289727263</v>
      </c>
      <c r="P53" s="106">
        <f t="shared" si="14"/>
        <v>2.9606110651950805</v>
      </c>
      <c r="Q53" s="106">
        <f t="shared" si="14"/>
        <v>1.7088073813687656</v>
      </c>
      <c r="R53" s="106">
        <f t="shared" si="14"/>
        <v>2.5304050627725339</v>
      </c>
      <c r="S53" s="106">
        <f t="shared" si="14"/>
        <v>3.8317450312700529</v>
      </c>
      <c r="T53" s="106">
        <f t="shared" si="14"/>
        <v>2.2656077111282786</v>
      </c>
      <c r="U53" s="106">
        <f t="shared" si="14"/>
        <v>3.6045167156060085</v>
      </c>
      <c r="V53" s="106">
        <f t="shared" si="14"/>
        <v>9.9265878022035476</v>
      </c>
      <c r="W53" s="106">
        <f t="shared" si="14"/>
        <v>2.9894230996732571</v>
      </c>
      <c r="X53" s="106">
        <f t="shared" si="14"/>
        <v>6.3040948324569639</v>
      </c>
      <c r="Y53" s="106">
        <f t="shared" si="14"/>
        <v>9.0205802556831607</v>
      </c>
      <c r="Z53" s="106">
        <f t="shared" si="14"/>
        <v>3.8606741712436552</v>
      </c>
      <c r="AA53" s="106">
        <f t="shared" si="14"/>
        <v>3.7130480622021613</v>
      </c>
      <c r="AB53" s="106">
        <f t="shared" si="14"/>
        <v>3.5021876477094191</v>
      </c>
      <c r="AC53" s="106">
        <f t="shared" si="14"/>
        <v>2.6038070482145881</v>
      </c>
      <c r="AD53" s="106">
        <f t="shared" si="14"/>
        <v>4.7196486552083901</v>
      </c>
      <c r="AE53" s="106">
        <f t="shared" si="14"/>
        <v>7.2735530821960657</v>
      </c>
      <c r="AF53" s="106">
        <f t="shared" si="14"/>
        <v>4.6938619253925022</v>
      </c>
      <c r="AG53" s="106">
        <f t="shared" si="14"/>
        <v>7.0957447652865371</v>
      </c>
      <c r="AH53" s="106">
        <f t="shared" si="14"/>
        <v>4.9375433187233382</v>
      </c>
      <c r="AI53" s="106">
        <f t="shared" si="14"/>
        <v>3.4280407008945426</v>
      </c>
      <c r="AJ53" s="106">
        <f t="shared" si="14"/>
        <v>2.4482888581208435</v>
      </c>
      <c r="AK53" s="106">
        <f t="shared" si="14"/>
        <v>4.8275002478432398</v>
      </c>
      <c r="AL53" s="106">
        <f t="shared" si="14"/>
        <v>4.059688519419602</v>
      </c>
    </row>
    <row r="54" spans="1:38" s="110" customFormat="1" x14ac:dyDescent="0.3">
      <c r="A54" s="109" t="s">
        <v>54</v>
      </c>
      <c r="C54" s="111">
        <f t="shared" ref="C54:AL54" si="15">C48/C4</f>
        <v>0.77172544850650959</v>
      </c>
      <c r="D54" s="112">
        <f t="shared" si="15"/>
        <v>0.78451144741947998</v>
      </c>
      <c r="E54" s="112">
        <f t="shared" si="15"/>
        <v>0.7244007401622925</v>
      </c>
      <c r="F54" s="112">
        <f t="shared" si="15"/>
        <v>0.81466047424366317</v>
      </c>
      <c r="G54" s="112">
        <f t="shared" si="15"/>
        <v>0.95273527617022946</v>
      </c>
      <c r="H54" s="112">
        <f t="shared" si="15"/>
        <v>0.82972927672901864</v>
      </c>
      <c r="I54" s="112">
        <f t="shared" si="15"/>
        <v>0.68944757075085883</v>
      </c>
      <c r="J54" s="112">
        <f t="shared" si="15"/>
        <v>0.73076002160486575</v>
      </c>
      <c r="K54" s="112">
        <f t="shared" si="15"/>
        <v>0.83668765172357984</v>
      </c>
      <c r="L54" s="112">
        <f t="shared" si="15"/>
        <v>0.76842256424563693</v>
      </c>
      <c r="M54" s="112">
        <f t="shared" si="15"/>
        <v>0.75280880452005672</v>
      </c>
      <c r="N54" s="112">
        <f t="shared" si="15"/>
        <v>0.82255691100258055</v>
      </c>
      <c r="O54" s="112">
        <f t="shared" si="15"/>
        <v>0.81431839736592526</v>
      </c>
      <c r="P54" s="112">
        <f t="shared" si="15"/>
        <v>0.72301388353989593</v>
      </c>
      <c r="Q54" s="112">
        <f t="shared" si="15"/>
        <v>0.58364219930556971</v>
      </c>
      <c r="R54" s="112">
        <f t="shared" si="15"/>
        <v>0.69399621417139523</v>
      </c>
      <c r="S54" s="112">
        <f t="shared" si="15"/>
        <v>0.77732599627229959</v>
      </c>
      <c r="T54" s="112">
        <f t="shared" si="15"/>
        <v>0.67207983680802486</v>
      </c>
      <c r="U54" s="112">
        <f t="shared" si="15"/>
        <v>0.75641757689574662</v>
      </c>
      <c r="V54" s="112">
        <f t="shared" si="15"/>
        <v>0.90120049197886853</v>
      </c>
      <c r="W54" s="112">
        <f t="shared" si="15"/>
        <v>0.72893237952481094</v>
      </c>
      <c r="X54" s="112">
        <f t="shared" si="15"/>
        <v>0.85236263960900183</v>
      </c>
      <c r="Y54" s="112">
        <f t="shared" si="15"/>
        <v>0.89141380351884014</v>
      </c>
      <c r="Z54" s="112">
        <f t="shared" si="15"/>
        <v>0.77391119527960806</v>
      </c>
      <c r="AA54" s="112">
        <f t="shared" si="15"/>
        <v>0.7753298236817916</v>
      </c>
      <c r="AB54" s="112">
        <f t="shared" si="15"/>
        <v>0.76107398039011165</v>
      </c>
      <c r="AC54" s="112">
        <f t="shared" si="15"/>
        <v>0.68124273090079812</v>
      </c>
      <c r="AD54" s="112">
        <f t="shared" si="15"/>
        <v>0.8047341521449104</v>
      </c>
      <c r="AE54" s="112">
        <f t="shared" si="15"/>
        <v>0.86478489463967412</v>
      </c>
      <c r="AF54" s="112">
        <f t="shared" si="15"/>
        <v>0.81103208565048823</v>
      </c>
      <c r="AG54" s="112">
        <f t="shared" si="15"/>
        <v>0.86108985542759131</v>
      </c>
      <c r="AH54" s="112">
        <f t="shared" si="15"/>
        <v>0.81675658857101752</v>
      </c>
      <c r="AI54" s="112">
        <f t="shared" si="15"/>
        <v>0.7530047959705396</v>
      </c>
      <c r="AJ54" s="112">
        <f t="shared" si="15"/>
        <v>0.67883132082844866</v>
      </c>
      <c r="AK54" s="112">
        <f t="shared" si="15"/>
        <v>0.8163752292513059</v>
      </c>
      <c r="AL54" s="112">
        <f t="shared" si="15"/>
        <v>0.78916587145068595</v>
      </c>
    </row>
    <row r="55" spans="1:38" s="110" customFormat="1" x14ac:dyDescent="0.3">
      <c r="A55" s="109" t="s">
        <v>55</v>
      </c>
      <c r="C55" s="111">
        <f t="shared" ref="C55:AL55" si="16">C44/C4</f>
        <v>9.3011110908276129E-2</v>
      </c>
      <c r="D55" s="112">
        <f t="shared" si="16"/>
        <v>7.2072731215105837E-2</v>
      </c>
      <c r="E55" s="112">
        <f t="shared" si="16"/>
        <v>7.5649152865210414E-2</v>
      </c>
      <c r="F55" s="112">
        <f t="shared" si="16"/>
        <v>9.3548690835043968E-2</v>
      </c>
      <c r="G55" s="112">
        <f t="shared" si="16"/>
        <v>0.11375238840801274</v>
      </c>
      <c r="H55" s="112">
        <f t="shared" si="16"/>
        <v>0.10526988954689474</v>
      </c>
      <c r="I55" s="112">
        <f t="shared" si="16"/>
        <v>0.14727666899684486</v>
      </c>
      <c r="J55" s="112">
        <f t="shared" si="16"/>
        <v>0.11392214359972254</v>
      </c>
      <c r="K55" s="112">
        <f t="shared" si="16"/>
        <v>7.6305059199634429E-2</v>
      </c>
      <c r="L55" s="112">
        <f t="shared" si="16"/>
        <v>0.11102866279228284</v>
      </c>
      <c r="M55" s="112">
        <f t="shared" si="16"/>
        <v>7.2423369744500143E-2</v>
      </c>
      <c r="N55" s="112">
        <f t="shared" si="16"/>
        <v>7.8990364485842582E-2</v>
      </c>
      <c r="O55" s="112">
        <f t="shared" si="16"/>
        <v>0.10029988412372992</v>
      </c>
      <c r="P55" s="112">
        <f t="shared" si="16"/>
        <v>9.7034277757301293E-2</v>
      </c>
      <c r="Q55" s="112">
        <f t="shared" si="16"/>
        <v>0.12783308381153818</v>
      </c>
      <c r="R55" s="112">
        <f t="shared" si="16"/>
        <v>8.0317314716868204E-2</v>
      </c>
      <c r="S55" s="112">
        <f t="shared" si="16"/>
        <v>7.5904011104325445E-2</v>
      </c>
      <c r="T55" s="112">
        <f t="shared" si="16"/>
        <v>7.0858613554157526E-2</v>
      </c>
      <c r="U55" s="112">
        <f t="shared" si="16"/>
        <v>0.12157933881134982</v>
      </c>
      <c r="V55" s="112">
        <f t="shared" si="16"/>
        <v>7.9541499207406885E-2</v>
      </c>
      <c r="W55" s="112">
        <f t="shared" si="16"/>
        <v>8.1403426697182674E-2</v>
      </c>
      <c r="X55" s="112">
        <f t="shared" si="16"/>
        <v>7.8357281109475818E-2</v>
      </c>
      <c r="Y55" s="112">
        <f t="shared" si="16"/>
        <v>8.8096696498842761E-2</v>
      </c>
      <c r="Z55" s="112">
        <f t="shared" si="16"/>
        <v>9.8944013511759521E-2</v>
      </c>
      <c r="AA55" s="112">
        <f t="shared" si="16"/>
        <v>5.8881339131150012E-2</v>
      </c>
      <c r="AB55" s="112">
        <f t="shared" si="16"/>
        <v>7.5689774204017901E-2</v>
      </c>
      <c r="AC55" s="112">
        <f t="shared" si="16"/>
        <v>0.14873969304933773</v>
      </c>
      <c r="AD55" s="112">
        <f t="shared" si="16"/>
        <v>0.1168520440924893</v>
      </c>
      <c r="AE55" s="112">
        <f t="shared" si="16"/>
        <v>0.11870935171338962</v>
      </c>
      <c r="AF55" s="112">
        <f t="shared" si="16"/>
        <v>7.595721263551658E-2</v>
      </c>
      <c r="AG55" s="112">
        <f t="shared" si="16"/>
        <v>0.12458107576727398</v>
      </c>
      <c r="AH55" s="112">
        <f t="shared" si="16"/>
        <v>8.8015693230226982E-2</v>
      </c>
      <c r="AI55" s="112">
        <f t="shared" si="16"/>
        <v>9.3704816368202118E-2</v>
      </c>
      <c r="AJ55" s="112">
        <f t="shared" si="16"/>
        <v>0.10748237796464846</v>
      </c>
      <c r="AK55" s="112">
        <f t="shared" si="16"/>
        <v>7.0073397048173225E-2</v>
      </c>
      <c r="AL55" s="112">
        <f t="shared" si="16"/>
        <v>6.6755019722800568E-2</v>
      </c>
    </row>
    <row r="56" spans="1:38" s="110" customFormat="1" x14ac:dyDescent="0.3">
      <c r="A56" s="113" t="s">
        <v>56</v>
      </c>
      <c r="C56" s="111">
        <f t="shared" ref="C56:AL56" si="17">C45/C4</f>
        <v>0.86473655941478578</v>
      </c>
      <c r="D56" s="112">
        <f t="shared" si="17"/>
        <v>0.8565841786345858</v>
      </c>
      <c r="E56" s="112">
        <f t="shared" si="17"/>
        <v>0.80004989302750285</v>
      </c>
      <c r="F56" s="112">
        <f t="shared" si="17"/>
        <v>0.90820916507870719</v>
      </c>
      <c r="G56" s="112">
        <f t="shared" si="17"/>
        <v>1.0664876645782422</v>
      </c>
      <c r="H56" s="112">
        <f t="shared" si="17"/>
        <v>0.9349991662759134</v>
      </c>
      <c r="I56" s="112">
        <f t="shared" si="17"/>
        <v>0.83672423974770371</v>
      </c>
      <c r="J56" s="112">
        <f t="shared" si="17"/>
        <v>0.84468216520458828</v>
      </c>
      <c r="K56" s="112">
        <f t="shared" si="17"/>
        <v>0.91299271092321432</v>
      </c>
      <c r="L56" s="112">
        <f t="shared" si="17"/>
        <v>0.87945122703791967</v>
      </c>
      <c r="M56" s="112">
        <f t="shared" si="17"/>
        <v>0.82523217426455675</v>
      </c>
      <c r="N56" s="112">
        <f t="shared" si="17"/>
        <v>0.90154727548842317</v>
      </c>
      <c r="O56" s="112">
        <f t="shared" si="17"/>
        <v>0.91461828148965507</v>
      </c>
      <c r="P56" s="112">
        <f t="shared" si="17"/>
        <v>0.82004816129719726</v>
      </c>
      <c r="Q56" s="112">
        <f t="shared" si="17"/>
        <v>0.71147528311710784</v>
      </c>
      <c r="R56" s="112">
        <f t="shared" si="17"/>
        <v>0.77431352888826355</v>
      </c>
      <c r="S56" s="112">
        <f t="shared" si="17"/>
        <v>0.85323000737662513</v>
      </c>
      <c r="T56" s="112">
        <f t="shared" si="17"/>
        <v>0.74293845036218242</v>
      </c>
      <c r="U56" s="112">
        <f t="shared" si="17"/>
        <v>0.87799691570709648</v>
      </c>
      <c r="V56" s="112">
        <f t="shared" si="17"/>
        <v>0.98074199118627536</v>
      </c>
      <c r="W56" s="112">
        <f t="shared" si="17"/>
        <v>0.81033580622199375</v>
      </c>
      <c r="X56" s="112">
        <f t="shared" si="17"/>
        <v>0.93071992071847764</v>
      </c>
      <c r="Y56" s="112">
        <f t="shared" si="17"/>
        <v>0.97951050001768292</v>
      </c>
      <c r="Z56" s="112">
        <f t="shared" si="17"/>
        <v>0.87285520879136758</v>
      </c>
      <c r="AA56" s="112">
        <f t="shared" si="17"/>
        <v>0.83421116281294161</v>
      </c>
      <c r="AB56" s="112">
        <f t="shared" si="17"/>
        <v>0.83676375459412955</v>
      </c>
      <c r="AC56" s="112">
        <f t="shared" si="17"/>
        <v>0.82998242395013588</v>
      </c>
      <c r="AD56" s="112">
        <f t="shared" si="17"/>
        <v>0.92158619623739979</v>
      </c>
      <c r="AE56" s="112">
        <f t="shared" si="17"/>
        <v>0.98349424635306371</v>
      </c>
      <c r="AF56" s="112">
        <f t="shared" si="17"/>
        <v>0.88698929828600481</v>
      </c>
      <c r="AG56" s="112">
        <f t="shared" si="17"/>
        <v>0.98567093119486526</v>
      </c>
      <c r="AH56" s="112">
        <f t="shared" si="17"/>
        <v>0.90477228180124447</v>
      </c>
      <c r="AI56" s="112">
        <f t="shared" si="17"/>
        <v>0.84670961233874187</v>
      </c>
      <c r="AJ56" s="112">
        <f t="shared" si="17"/>
        <v>0.78631369879309709</v>
      </c>
      <c r="AK56" s="112">
        <f t="shared" si="17"/>
        <v>0.88644862629947907</v>
      </c>
      <c r="AL56" s="112">
        <f t="shared" si="17"/>
        <v>0.85592089117348669</v>
      </c>
    </row>
    <row r="57" spans="1:38" s="110" customFormat="1" x14ac:dyDescent="0.3">
      <c r="A57" s="113" t="s">
        <v>104</v>
      </c>
      <c r="C57" s="111">
        <f t="shared" ref="C57:AL57" si="18">SUM(C30:C39)/C44</f>
        <v>0.5318819412497644</v>
      </c>
      <c r="D57" s="112">
        <f t="shared" si="18"/>
        <v>0.64583002392302646</v>
      </c>
      <c r="E57" s="112">
        <f t="shared" si="18"/>
        <v>0.47404909939387657</v>
      </c>
      <c r="F57" s="112">
        <f t="shared" si="18"/>
        <v>0.51250228108408225</v>
      </c>
      <c r="G57" s="112">
        <f t="shared" si="18"/>
        <v>0.4698369900692913</v>
      </c>
      <c r="H57" s="112">
        <f t="shared" si="18"/>
        <v>0.36180596153922523</v>
      </c>
      <c r="I57" s="112">
        <f t="shared" si="18"/>
        <v>0.28878219098531205</v>
      </c>
      <c r="J57" s="112">
        <f t="shared" si="18"/>
        <v>0.48279258894579835</v>
      </c>
      <c r="K57" s="112">
        <f t="shared" si="18"/>
        <v>0.62760863629254704</v>
      </c>
      <c r="L57" s="112">
        <f t="shared" si="18"/>
        <v>0.38127098871445581</v>
      </c>
      <c r="M57" s="112">
        <f t="shared" si="18"/>
        <v>0.66812775978478767</v>
      </c>
      <c r="N57" s="112">
        <f t="shared" si="18"/>
        <v>0.54794027275029389</v>
      </c>
      <c r="O57" s="112">
        <f t="shared" si="18"/>
        <v>0.51181396584006733</v>
      </c>
      <c r="P57" s="112">
        <f t="shared" si="18"/>
        <v>0.57279685093928856</v>
      </c>
      <c r="Q57" s="112">
        <f t="shared" si="18"/>
        <v>0.57447322680632928</v>
      </c>
      <c r="R57" s="112">
        <f t="shared" si="18"/>
        <v>0.47196586716824335</v>
      </c>
      <c r="S57" s="112">
        <f t="shared" si="18"/>
        <v>0.70649070384739177</v>
      </c>
      <c r="T57" s="112">
        <f t="shared" si="18"/>
        <v>0.70535299764477022</v>
      </c>
      <c r="U57" s="112">
        <f t="shared" si="18"/>
        <v>0.60781123001611681</v>
      </c>
      <c r="V57" s="112">
        <f t="shared" si="18"/>
        <v>0.60469311348817811</v>
      </c>
      <c r="W57" s="112">
        <f t="shared" si="18"/>
        <v>0.47988140509897598</v>
      </c>
      <c r="X57" s="112">
        <f t="shared" si="18"/>
        <v>0.68250039542390273</v>
      </c>
      <c r="Y57" s="112">
        <f t="shared" si="18"/>
        <v>0.62398534133717698</v>
      </c>
      <c r="Z57" s="112">
        <f t="shared" si="18"/>
        <v>0.50958937222515244</v>
      </c>
      <c r="AA57" s="112">
        <f t="shared" si="18"/>
        <v>0.68335007477906962</v>
      </c>
      <c r="AB57" s="112">
        <f t="shared" si="18"/>
        <v>0.53914812815356961</v>
      </c>
      <c r="AC57" s="112">
        <f t="shared" si="18"/>
        <v>0.36641217612709764</v>
      </c>
      <c r="AD57" s="112">
        <f t="shared" si="18"/>
        <v>0.46126192403836963</v>
      </c>
      <c r="AE57" s="112">
        <f t="shared" si="18"/>
        <v>0.42835804205815731</v>
      </c>
      <c r="AF57" s="112">
        <f t="shared" si="18"/>
        <v>0.55561667286756977</v>
      </c>
      <c r="AG57" s="112">
        <f t="shared" si="18"/>
        <v>0.40354125657371925</v>
      </c>
      <c r="AH57" s="112">
        <f t="shared" si="18"/>
        <v>0.54500486987965335</v>
      </c>
      <c r="AI57" s="112">
        <f t="shared" si="18"/>
        <v>0.53291415113705798</v>
      </c>
      <c r="AJ57" s="112">
        <f t="shared" si="18"/>
        <v>0.49514688762989584</v>
      </c>
      <c r="AK57" s="112">
        <f t="shared" si="18"/>
        <v>0.70431867705929629</v>
      </c>
      <c r="AL57" s="112">
        <f t="shared" si="18"/>
        <v>0.68789758740425877</v>
      </c>
    </row>
    <row r="58" spans="1:38" s="110" customFormat="1" x14ac:dyDescent="0.3">
      <c r="A58" s="113" t="s">
        <v>58</v>
      </c>
      <c r="C58" s="111">
        <f>C41/C44</f>
        <v>0.20590330259182715</v>
      </c>
      <c r="D58" s="112">
        <f t="shared" ref="D58:AL58" si="19">D41/D44</f>
        <v>6.3085991865523341E-2</v>
      </c>
      <c r="E58" s="112">
        <f t="shared" si="19"/>
        <v>0.34473851994511795</v>
      </c>
      <c r="F58" s="112">
        <f t="shared" si="19"/>
        <v>4.9158135283656514E-2</v>
      </c>
      <c r="G58" s="112">
        <f t="shared" si="19"/>
        <v>4.866180809457514E-2</v>
      </c>
      <c r="H58" s="112">
        <f t="shared" si="19"/>
        <v>0.44315137656606829</v>
      </c>
      <c r="I58" s="112">
        <f t="shared" si="19"/>
        <v>0.52586129880042864</v>
      </c>
      <c r="J58" s="112">
        <f t="shared" si="19"/>
        <v>0.28156374175170801</v>
      </c>
      <c r="K58" s="112">
        <f t="shared" si="19"/>
        <v>6.3903003443092174E-2</v>
      </c>
      <c r="L58" s="112">
        <f t="shared" si="19"/>
        <v>0.29424442536727857</v>
      </c>
      <c r="M58" s="112">
        <f t="shared" si="19"/>
        <v>6.4088161465476801E-2</v>
      </c>
      <c r="N58" s="112">
        <f t="shared" si="19"/>
        <v>6.0107248334378791E-2</v>
      </c>
      <c r="O58" s="112">
        <f t="shared" si="19"/>
        <v>0.17749748078516467</v>
      </c>
      <c r="P58" s="112">
        <f t="shared" si="19"/>
        <v>0.19231971572045692</v>
      </c>
      <c r="Q58" s="112">
        <f t="shared" si="19"/>
        <v>0.1677407677837858</v>
      </c>
      <c r="R58" s="112">
        <f t="shared" si="19"/>
        <v>0.29040356773474651</v>
      </c>
      <c r="S58" s="112">
        <f t="shared" si="19"/>
        <v>6.1653512934477815E-2</v>
      </c>
      <c r="T58" s="112">
        <f t="shared" si="19"/>
        <v>6.1892495430086701E-2</v>
      </c>
      <c r="U58" s="112">
        <f t="shared" si="19"/>
        <v>0.19790359914230957</v>
      </c>
      <c r="V58" s="112">
        <f t="shared" si="19"/>
        <v>6.6856206260508699E-2</v>
      </c>
      <c r="W58" s="112">
        <f t="shared" si="19"/>
        <v>0.2920028728258165</v>
      </c>
      <c r="X58" s="112">
        <f t="shared" si="19"/>
        <v>6.6692831314092774E-2</v>
      </c>
      <c r="Y58" s="112">
        <f t="shared" si="19"/>
        <v>6.0259230607956814E-2</v>
      </c>
      <c r="Z58" s="112">
        <f t="shared" si="19"/>
        <v>0.30918943482149835</v>
      </c>
      <c r="AA58" s="112">
        <f t="shared" si="19"/>
        <v>6.6514350707854303E-2</v>
      </c>
      <c r="AB58" s="112">
        <f t="shared" si="19"/>
        <v>0.26349972092836182</v>
      </c>
      <c r="AC58" s="112">
        <f t="shared" si="19"/>
        <v>0.50386078971512371</v>
      </c>
      <c r="AD58" s="112">
        <f t="shared" si="19"/>
        <v>0.22796878070602639</v>
      </c>
      <c r="AE58" s="112">
        <f t="shared" si="19"/>
        <v>0.37958250689718459</v>
      </c>
      <c r="AF58" s="112">
        <f t="shared" si="19"/>
        <v>0.2111087947798827</v>
      </c>
      <c r="AG58" s="112">
        <f t="shared" si="19"/>
        <v>3.6873948551979806E-2</v>
      </c>
      <c r="AH58" s="112">
        <f t="shared" si="19"/>
        <v>5.107774709120088E-2</v>
      </c>
      <c r="AI58" s="112">
        <f t="shared" si="19"/>
        <v>0.22103747037326946</v>
      </c>
      <c r="AJ58" s="112">
        <f t="shared" si="19"/>
        <v>0.21864867241248126</v>
      </c>
      <c r="AK58" s="112">
        <f t="shared" si="19"/>
        <v>6.2109761112744161E-2</v>
      </c>
      <c r="AL58" s="112">
        <f t="shared" si="19"/>
        <v>5.955362743553004E-2</v>
      </c>
    </row>
    <row r="59" spans="1:38" s="110" customFormat="1" x14ac:dyDescent="0.3">
      <c r="A59" s="113" t="s">
        <v>59</v>
      </c>
      <c r="C59" s="111">
        <f>C43/C44</f>
        <v>4.6467773196722718E-2</v>
      </c>
      <c r="D59" s="112">
        <f t="shared" ref="D59:AL59" si="20">D43/D44</f>
        <v>5.3841183957421095E-2</v>
      </c>
      <c r="E59" s="112">
        <f t="shared" si="20"/>
        <v>7.181023966778049E-3</v>
      </c>
      <c r="F59" s="112">
        <f t="shared" si="20"/>
        <v>0.10488589172272289</v>
      </c>
      <c r="G59" s="112">
        <f t="shared" si="20"/>
        <v>0.22063217713508138</v>
      </c>
      <c r="H59" s="112">
        <f t="shared" si="20"/>
        <v>6.5387912837447881E-2</v>
      </c>
      <c r="I59" s="112">
        <f t="shared" si="20"/>
        <v>4.1652677032979141E-3</v>
      </c>
      <c r="J59" s="112">
        <f t="shared" si="20"/>
        <v>7.2147891191053123E-2</v>
      </c>
      <c r="K59" s="112">
        <f t="shared" si="20"/>
        <v>4.5448723534185297E-2</v>
      </c>
      <c r="L59" s="112">
        <f t="shared" si="20"/>
        <v>0.10749164760603218</v>
      </c>
      <c r="M59" s="112">
        <f t="shared" si="20"/>
        <v>1.4393813857620365E-3</v>
      </c>
      <c r="N59" s="112">
        <f t="shared" si="20"/>
        <v>0.11407267473099689</v>
      </c>
      <c r="O59" s="112">
        <f t="shared" si="20"/>
        <v>0.11150642021314341</v>
      </c>
      <c r="P59" s="112">
        <f t="shared" si="20"/>
        <v>3.3650734387249935E-2</v>
      </c>
      <c r="Q59" s="112">
        <f t="shared" si="20"/>
        <v>4.7408120871077562E-2</v>
      </c>
      <c r="R59" s="112">
        <f t="shared" si="20"/>
        <v>5.9780344834674343E-2</v>
      </c>
      <c r="S59" s="112">
        <f t="shared" si="20"/>
        <v>0</v>
      </c>
      <c r="T59" s="112">
        <f t="shared" si="20"/>
        <v>0</v>
      </c>
      <c r="U59" s="112">
        <f t="shared" si="20"/>
        <v>4.3417343482201429E-2</v>
      </c>
      <c r="V59" s="112">
        <f t="shared" si="20"/>
        <v>6.6568716642840434E-2</v>
      </c>
      <c r="W59" s="112">
        <f t="shared" si="20"/>
        <v>3.4354152155609656E-2</v>
      </c>
      <c r="X59" s="112">
        <f t="shared" si="20"/>
        <v>0</v>
      </c>
      <c r="Y59" s="112">
        <f t="shared" si="20"/>
        <v>8.9143018741257241E-2</v>
      </c>
      <c r="Z59" s="112">
        <f t="shared" si="20"/>
        <v>0</v>
      </c>
      <c r="AA59" s="112">
        <f t="shared" si="20"/>
        <v>0</v>
      </c>
      <c r="AB59" s="112">
        <f t="shared" si="20"/>
        <v>0</v>
      </c>
      <c r="AC59" s="112">
        <f t="shared" si="20"/>
        <v>0</v>
      </c>
      <c r="AD59" s="112">
        <f t="shared" si="20"/>
        <v>0.10028293948801199</v>
      </c>
      <c r="AE59" s="112">
        <f t="shared" si="20"/>
        <v>0</v>
      </c>
      <c r="AF59" s="112">
        <f t="shared" si="20"/>
        <v>2.3473720733279448E-2</v>
      </c>
      <c r="AG59" s="112">
        <f t="shared" si="20"/>
        <v>0.17111992496353395</v>
      </c>
      <c r="AH59" s="112">
        <f t="shared" si="20"/>
        <v>7.6968295437348608E-2</v>
      </c>
      <c r="AI59" s="112">
        <f t="shared" si="20"/>
        <v>3.3820497720681297E-2</v>
      </c>
      <c r="AJ59" s="112">
        <f t="shared" si="20"/>
        <v>9.9982764712323331E-3</v>
      </c>
      <c r="AK59" s="112">
        <f t="shared" si="20"/>
        <v>0</v>
      </c>
      <c r="AL59" s="112">
        <f t="shared" si="20"/>
        <v>0</v>
      </c>
    </row>
    <row r="60" spans="1:38" x14ac:dyDescent="0.3">
      <c r="A60" s="114"/>
    </row>
    <row r="61" spans="1:38" x14ac:dyDescent="0.3">
      <c r="A61" s="1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</row>
    <row r="62" spans="1:38" x14ac:dyDescent="0.3">
      <c r="A62" s="1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</row>
    <row r="63" spans="1:38" x14ac:dyDescent="0.3">
      <c r="A63" s="114"/>
      <c r="C63" s="118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C64" s="118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B65" s="119"/>
    </row>
    <row r="66" spans="1:42" x14ac:dyDescent="0.3">
      <c r="B66" s="119"/>
    </row>
    <row r="67" spans="1:42" x14ac:dyDescent="0.3">
      <c r="B67" s="119"/>
    </row>
    <row r="68" spans="1:42" x14ac:dyDescent="0.3">
      <c r="B68" s="119"/>
    </row>
    <row r="69" spans="1:42" s="120" customFormat="1" x14ac:dyDescent="0.3">
      <c r="A69" s="115"/>
      <c r="B69" s="119"/>
      <c r="C69" s="116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8DC3-4467-4D26-9620-F6B20F6EEA6A}">
  <sheetPr>
    <tabColor rgb="FFFFC000"/>
  </sheetPr>
  <dimension ref="A1:AP71"/>
  <sheetViews>
    <sheetView zoomScaleNormal="100" workbookViewId="0">
      <pane xSplit="2" ySplit="2" topLeftCell="C54" activePane="bottomRight" state="frozen"/>
      <selection activeCell="C4" sqref="C4"/>
      <selection pane="topRight" activeCell="C4" sqref="C4"/>
      <selection pane="bottomLeft" activeCell="C4" sqref="C4"/>
      <selection pane="bottomRight" activeCell="A59" sqref="A59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6" customWidth="1"/>
    <col min="4" max="4" width="17.81640625" style="115" customWidth="1"/>
    <col min="5" max="5" width="17.7265625" style="115" customWidth="1"/>
    <col min="6" max="6" width="15.08984375" style="115" customWidth="1"/>
    <col min="7" max="7" width="21.90625" style="115" customWidth="1"/>
    <col min="8" max="8" width="16.08984375" style="115" customWidth="1"/>
    <col min="9" max="9" width="16.453125" style="115" customWidth="1"/>
    <col min="10" max="10" width="18.36328125" style="115" customWidth="1"/>
    <col min="11" max="11" width="16.7265625" style="115" customWidth="1"/>
    <col min="12" max="12" width="17.453125" style="115" customWidth="1"/>
    <col min="13" max="13" width="16.453125" style="115" customWidth="1"/>
    <col min="14" max="14" width="16.81640625" style="115" customWidth="1"/>
    <col min="15" max="15" width="18.08984375" style="115" customWidth="1"/>
    <col min="16" max="16" width="14.453125" style="115" customWidth="1"/>
    <col min="17" max="17" width="18.36328125" style="115" customWidth="1"/>
    <col min="18" max="18" width="22.1796875" style="115" customWidth="1"/>
    <col min="19" max="19" width="18.453125" style="115" customWidth="1"/>
    <col min="20" max="20" width="19.08984375" style="115" customWidth="1"/>
    <col min="21" max="21" width="14.453125" style="115" customWidth="1"/>
    <col min="22" max="22" width="17.81640625" style="115" customWidth="1"/>
    <col min="23" max="23" width="15.7265625" style="115" customWidth="1"/>
    <col min="24" max="24" width="15.453125" style="115" customWidth="1"/>
    <col min="25" max="25" width="15.08984375" style="115" customWidth="1"/>
    <col min="26" max="26" width="14.453125" style="115" customWidth="1"/>
    <col min="27" max="27" width="13.36328125" style="115" customWidth="1"/>
    <col min="28" max="28" width="16.90625" style="115" customWidth="1"/>
    <col min="29" max="29" width="19.90625" style="115" customWidth="1"/>
    <col min="30" max="30" width="17.90625" style="115" customWidth="1"/>
    <col min="31" max="31" width="16" style="115" customWidth="1"/>
    <col min="32" max="32" width="17.453125" style="115" customWidth="1"/>
    <col min="33" max="33" width="15.36328125" style="115" customWidth="1"/>
    <col min="34" max="34" width="16.08984375" style="115" customWidth="1"/>
    <col min="35" max="35" width="21.08984375" style="115" customWidth="1"/>
    <col min="36" max="36" width="22.6328125" style="115" customWidth="1"/>
    <col min="37" max="37" width="16.90625" style="115" customWidth="1"/>
    <col min="38" max="38" width="34.08984375" style="115" customWidth="1"/>
    <col min="39" max="40" width="11.90625" style="115" bestFit="1" customWidth="1"/>
    <col min="41" max="16384" width="8.7265625" style="115"/>
  </cols>
  <sheetData>
    <row r="1" spans="1:38" s="57" customFormat="1" ht="44" customHeight="1" x14ac:dyDescent="0.3">
      <c r="A1" s="55" t="s">
        <v>201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spans="1:38" s="59" customFormat="1" ht="19" customHeight="1" x14ac:dyDescent="0.35">
      <c r="A2" s="58"/>
      <c r="B2" s="58"/>
      <c r="C2" s="58" t="s">
        <v>0</v>
      </c>
      <c r="D2" s="58" t="s">
        <v>62</v>
      </c>
      <c r="E2" s="58" t="s">
        <v>63</v>
      </c>
      <c r="F2" s="58" t="s">
        <v>64</v>
      </c>
      <c r="G2" s="58" t="s">
        <v>65</v>
      </c>
      <c r="H2" s="58" t="s">
        <v>66</v>
      </c>
      <c r="I2" s="58" t="s">
        <v>67</v>
      </c>
      <c r="J2" s="59" t="s">
        <v>68</v>
      </c>
      <c r="K2" s="59" t="s">
        <v>69</v>
      </c>
      <c r="L2" s="59" t="s">
        <v>70</v>
      </c>
      <c r="M2" s="59" t="s">
        <v>71</v>
      </c>
      <c r="N2" s="59" t="s">
        <v>72</v>
      </c>
      <c r="O2" s="59" t="s">
        <v>73</v>
      </c>
      <c r="P2" s="59" t="s">
        <v>74</v>
      </c>
      <c r="Q2" s="59" t="s">
        <v>75</v>
      </c>
      <c r="R2" s="59" t="s">
        <v>76</v>
      </c>
      <c r="S2" s="59" t="s">
        <v>77</v>
      </c>
      <c r="T2" s="59" t="s">
        <v>78</v>
      </c>
      <c r="U2" s="59" t="s">
        <v>79</v>
      </c>
      <c r="V2" s="59" t="s">
        <v>80</v>
      </c>
      <c r="W2" s="59" t="s">
        <v>81</v>
      </c>
      <c r="X2" s="59" t="s">
        <v>82</v>
      </c>
      <c r="Y2" s="59" t="s">
        <v>83</v>
      </c>
      <c r="Z2" s="59" t="s">
        <v>84</v>
      </c>
      <c r="AA2" s="59" t="s">
        <v>85</v>
      </c>
      <c r="AB2" s="59" t="s">
        <v>86</v>
      </c>
      <c r="AC2" s="59" t="s">
        <v>87</v>
      </c>
      <c r="AD2" s="59" t="s">
        <v>88</v>
      </c>
      <c r="AE2" s="59" t="s">
        <v>89</v>
      </c>
      <c r="AF2" s="59" t="s">
        <v>90</v>
      </c>
      <c r="AG2" s="59" t="s">
        <v>91</v>
      </c>
      <c r="AH2" s="59" t="s">
        <v>92</v>
      </c>
      <c r="AI2" s="59" t="s">
        <v>93</v>
      </c>
      <c r="AJ2" s="59" t="s">
        <v>94</v>
      </c>
      <c r="AK2" s="59" t="s">
        <v>95</v>
      </c>
      <c r="AL2" s="59" t="s">
        <v>96</v>
      </c>
    </row>
    <row r="3" spans="1:38" s="59" customFormat="1" ht="19" customHeight="1" x14ac:dyDescent="0.35">
      <c r="A3" s="58"/>
      <c r="B3" s="58"/>
      <c r="C3" s="58"/>
      <c r="D3" s="58" t="s">
        <v>97</v>
      </c>
      <c r="E3" s="58" t="s">
        <v>97</v>
      </c>
      <c r="F3" s="58" t="s">
        <v>97</v>
      </c>
      <c r="G3" s="58" t="s">
        <v>97</v>
      </c>
      <c r="H3" s="58" t="s">
        <v>98</v>
      </c>
      <c r="I3" s="58" t="s">
        <v>97</v>
      </c>
      <c r="J3" s="59" t="s">
        <v>99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99</v>
      </c>
      <c r="Q3" s="59" t="s">
        <v>99</v>
      </c>
      <c r="R3" s="59" t="s">
        <v>99</v>
      </c>
      <c r="S3" s="59" t="s">
        <v>97</v>
      </c>
      <c r="T3" s="59" t="s">
        <v>97</v>
      </c>
      <c r="U3" s="59" t="s">
        <v>99</v>
      </c>
      <c r="V3" s="59" t="s">
        <v>97</v>
      </c>
      <c r="W3" s="59" t="s">
        <v>97</v>
      </c>
      <c r="X3" s="59" t="s">
        <v>97</v>
      </c>
      <c r="Y3" s="59" t="s">
        <v>97</v>
      </c>
      <c r="Z3" s="59" t="s">
        <v>97</v>
      </c>
      <c r="AA3" s="59" t="s">
        <v>98</v>
      </c>
      <c r="AB3" s="59" t="s">
        <v>97</v>
      </c>
      <c r="AC3" s="59" t="s">
        <v>97</v>
      </c>
      <c r="AD3" s="59" t="s">
        <v>99</v>
      </c>
      <c r="AE3" s="59" t="s">
        <v>97</v>
      </c>
      <c r="AF3" s="59" t="s">
        <v>97</v>
      </c>
      <c r="AG3" s="59" t="s">
        <v>97</v>
      </c>
      <c r="AH3" s="59" t="s">
        <v>97</v>
      </c>
      <c r="AI3" s="59" t="s">
        <v>99</v>
      </c>
      <c r="AJ3" s="59" t="s">
        <v>99</v>
      </c>
      <c r="AK3" s="59" t="s">
        <v>97</v>
      </c>
      <c r="AL3" s="59" t="s">
        <v>97</v>
      </c>
    </row>
    <row r="4" spans="1:38" s="64" customFormat="1" ht="13" x14ac:dyDescent="0.3">
      <c r="A4" s="60" t="s">
        <v>202</v>
      </c>
      <c r="B4" s="61"/>
      <c r="C4" s="62">
        <f>SUM(D4:AL4)</f>
        <v>2527702129</v>
      </c>
      <c r="D4" s="61">
        <v>53603581</v>
      </c>
      <c r="E4" s="60">
        <v>144390000</v>
      </c>
      <c r="F4" s="60">
        <v>52686000</v>
      </c>
      <c r="G4" s="60">
        <v>41520000</v>
      </c>
      <c r="H4" s="63">
        <v>55920000</v>
      </c>
      <c r="I4" s="61">
        <v>45486000</v>
      </c>
      <c r="J4" s="65">
        <v>33520000</v>
      </c>
      <c r="K4" s="64">
        <v>46985000</v>
      </c>
      <c r="L4" s="64">
        <v>58309000</v>
      </c>
      <c r="M4" s="64">
        <v>92794000</v>
      </c>
      <c r="N4" s="65">
        <v>110194000</v>
      </c>
      <c r="O4" s="64">
        <v>45186000</v>
      </c>
      <c r="P4" s="64">
        <v>85906000</v>
      </c>
      <c r="Q4" s="64">
        <v>58072334</v>
      </c>
      <c r="R4" s="65">
        <v>113138000</v>
      </c>
      <c r="S4" s="64">
        <v>43328000</v>
      </c>
      <c r="T4" s="64">
        <v>50261000</v>
      </c>
      <c r="U4" s="65">
        <v>187405000</v>
      </c>
      <c r="V4" s="64">
        <v>80187800</v>
      </c>
      <c r="W4" s="64">
        <v>83333000</v>
      </c>
      <c r="X4" s="64">
        <v>95240000</v>
      </c>
      <c r="Y4" s="64">
        <v>32975000</v>
      </c>
      <c r="Z4" s="64">
        <v>61063710</v>
      </c>
      <c r="AA4" s="64">
        <v>47960000</v>
      </c>
      <c r="AB4" s="64">
        <v>75498000</v>
      </c>
      <c r="AC4" s="65">
        <v>31902000</v>
      </c>
      <c r="AD4" s="64">
        <v>72191000</v>
      </c>
      <c r="AE4" s="64">
        <v>39868000</v>
      </c>
      <c r="AF4" s="64">
        <v>108081800</v>
      </c>
      <c r="AG4" s="64">
        <v>40502452</v>
      </c>
      <c r="AH4" s="64">
        <v>83308452</v>
      </c>
      <c r="AI4" s="64">
        <v>223225000</v>
      </c>
      <c r="AJ4" s="64">
        <v>45940000</v>
      </c>
      <c r="AK4" s="64">
        <v>41495000</v>
      </c>
      <c r="AL4" s="64">
        <v>46227000</v>
      </c>
    </row>
    <row r="5" spans="1:38" s="68" customFormat="1" ht="13" x14ac:dyDescent="0.3">
      <c r="A5" s="66" t="s">
        <v>3</v>
      </c>
      <c r="B5" s="67"/>
      <c r="C5" s="62">
        <f t="shared" ref="C5:C18" si="0">SUM(D5:AL5)</f>
        <v>152600000</v>
      </c>
      <c r="D5" s="67">
        <v>4300000</v>
      </c>
      <c r="E5" s="62">
        <v>9000000</v>
      </c>
      <c r="F5" s="67">
        <v>3500000</v>
      </c>
      <c r="G5" s="67">
        <v>7100000</v>
      </c>
      <c r="H5" s="67"/>
      <c r="I5" s="67">
        <v>7700000</v>
      </c>
      <c r="K5" s="68">
        <v>4200000</v>
      </c>
      <c r="N5" s="68">
        <v>11600000</v>
      </c>
      <c r="P5" s="68">
        <v>6500000</v>
      </c>
      <c r="Q5" s="68">
        <v>2500000</v>
      </c>
      <c r="R5" s="68">
        <v>4900000</v>
      </c>
      <c r="U5" s="68">
        <v>10800000</v>
      </c>
      <c r="V5" s="68">
        <v>11600000</v>
      </c>
      <c r="W5" s="68">
        <v>3700000</v>
      </c>
      <c r="X5" s="68">
        <v>6400000</v>
      </c>
      <c r="Y5" s="68">
        <v>4000000</v>
      </c>
      <c r="Z5" s="68">
        <v>3500000</v>
      </c>
      <c r="AA5" s="68">
        <v>5400000</v>
      </c>
      <c r="AB5" s="68">
        <v>3800000</v>
      </c>
      <c r="AC5" s="86">
        <v>3200000</v>
      </c>
      <c r="AD5" s="68">
        <v>3200000</v>
      </c>
      <c r="AF5" s="68">
        <v>7500000</v>
      </c>
      <c r="AG5" s="68">
        <v>3400000</v>
      </c>
      <c r="AI5" s="68">
        <v>16400000</v>
      </c>
      <c r="AK5" s="68">
        <v>4200000</v>
      </c>
      <c r="AL5" s="68">
        <v>4200000</v>
      </c>
    </row>
    <row r="6" spans="1:38" s="68" customFormat="1" ht="13" x14ac:dyDescent="0.3">
      <c r="A6" s="69" t="s">
        <v>4</v>
      </c>
      <c r="B6" s="67"/>
      <c r="C6" s="62">
        <f t="shared" si="0"/>
        <v>9500000</v>
      </c>
      <c r="E6" s="62"/>
      <c r="F6" s="67"/>
      <c r="G6" s="67"/>
      <c r="H6" s="67"/>
      <c r="I6" s="67"/>
      <c r="P6" s="68">
        <v>3300000</v>
      </c>
      <c r="R6" s="70"/>
      <c r="V6" s="68">
        <v>500000</v>
      </c>
      <c r="W6" s="70"/>
      <c r="X6" s="68">
        <v>1600000</v>
      </c>
      <c r="AI6" s="70"/>
      <c r="AL6" s="68">
        <v>4100000</v>
      </c>
    </row>
    <row r="7" spans="1:38" s="68" customFormat="1" ht="13" x14ac:dyDescent="0.3">
      <c r="A7" s="71" t="s">
        <v>5</v>
      </c>
      <c r="B7" s="67"/>
      <c r="C7" s="62">
        <f t="shared" si="0"/>
        <v>32671000</v>
      </c>
      <c r="E7" s="62">
        <v>3167000</v>
      </c>
      <c r="F7" s="67"/>
      <c r="G7" s="67"/>
      <c r="H7" s="67"/>
      <c r="I7" s="67">
        <v>1828000</v>
      </c>
      <c r="J7" s="68">
        <v>1688000</v>
      </c>
      <c r="O7" s="72"/>
      <c r="P7" s="72"/>
      <c r="Q7" s="68">
        <v>990000</v>
      </c>
      <c r="R7" s="70">
        <v>2034000</v>
      </c>
      <c r="U7" s="68">
        <v>1900000</v>
      </c>
      <c r="W7" s="70">
        <v>2623000</v>
      </c>
      <c r="X7" s="72">
        <v>2320000</v>
      </c>
      <c r="AF7" s="68">
        <v>2819000</v>
      </c>
      <c r="AI7" s="70">
        <v>7154000</v>
      </c>
      <c r="AK7" s="68">
        <v>3120000</v>
      </c>
      <c r="AL7" s="68">
        <v>3028000</v>
      </c>
    </row>
    <row r="8" spans="1:38" s="68" customFormat="1" ht="13" x14ac:dyDescent="0.3">
      <c r="A8" s="71"/>
      <c r="B8" s="67" t="s">
        <v>6</v>
      </c>
      <c r="C8" s="62">
        <f t="shared" si="0"/>
        <v>18</v>
      </c>
      <c r="D8" s="68">
        <v>1</v>
      </c>
      <c r="E8" s="67">
        <v>0</v>
      </c>
      <c r="F8" s="67">
        <v>2</v>
      </c>
      <c r="G8" s="67">
        <v>1</v>
      </c>
      <c r="H8" s="67">
        <v>0</v>
      </c>
      <c r="I8" s="67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2</v>
      </c>
      <c r="Q8" s="68">
        <v>0</v>
      </c>
      <c r="R8" s="68">
        <v>0</v>
      </c>
      <c r="S8" s="68">
        <v>0</v>
      </c>
      <c r="T8" s="73">
        <v>0</v>
      </c>
      <c r="U8" s="73">
        <v>2</v>
      </c>
      <c r="V8" s="73">
        <v>1</v>
      </c>
      <c r="W8" s="73">
        <v>0</v>
      </c>
      <c r="X8" s="73">
        <v>3</v>
      </c>
      <c r="Y8" s="73">
        <v>0</v>
      </c>
      <c r="Z8" s="68">
        <v>1</v>
      </c>
      <c r="AA8" s="73">
        <v>0</v>
      </c>
      <c r="AB8" s="73">
        <v>1</v>
      </c>
      <c r="AC8" s="73">
        <v>1</v>
      </c>
      <c r="AD8" s="73">
        <v>1</v>
      </c>
      <c r="AE8" s="73">
        <v>0</v>
      </c>
      <c r="AF8" s="73">
        <v>0</v>
      </c>
      <c r="AG8" s="73">
        <v>1</v>
      </c>
      <c r="AH8" s="73">
        <v>0</v>
      </c>
      <c r="AI8" s="73">
        <v>1</v>
      </c>
      <c r="AJ8" s="73">
        <v>0</v>
      </c>
      <c r="AK8" s="73">
        <v>0</v>
      </c>
      <c r="AL8" s="73">
        <v>0</v>
      </c>
    </row>
    <row r="9" spans="1:38" s="68" customFormat="1" ht="13" x14ac:dyDescent="0.3">
      <c r="A9" s="71"/>
      <c r="B9" s="67" t="s">
        <v>7</v>
      </c>
      <c r="C9" s="62">
        <f t="shared" si="0"/>
        <v>41</v>
      </c>
      <c r="D9" s="68">
        <v>1</v>
      </c>
      <c r="E9" s="67">
        <v>2</v>
      </c>
      <c r="F9" s="67">
        <v>1</v>
      </c>
      <c r="G9" s="67">
        <v>2</v>
      </c>
      <c r="H9" s="67">
        <v>0</v>
      </c>
      <c r="I9" s="67">
        <v>2</v>
      </c>
      <c r="J9" s="68">
        <v>0</v>
      </c>
      <c r="K9" s="68">
        <v>1</v>
      </c>
      <c r="L9" s="68">
        <v>0</v>
      </c>
      <c r="M9" s="68">
        <v>0</v>
      </c>
      <c r="N9" s="68">
        <v>3</v>
      </c>
      <c r="O9" s="68">
        <v>0</v>
      </c>
      <c r="P9" s="68">
        <v>2</v>
      </c>
      <c r="Q9" s="68">
        <v>1</v>
      </c>
      <c r="R9" s="68">
        <v>1</v>
      </c>
      <c r="S9" s="68">
        <v>0</v>
      </c>
      <c r="T9" s="75">
        <v>0</v>
      </c>
      <c r="U9" s="75">
        <v>3</v>
      </c>
      <c r="V9" s="73">
        <v>3</v>
      </c>
      <c r="W9" s="75">
        <v>1</v>
      </c>
      <c r="X9" s="75">
        <v>2</v>
      </c>
      <c r="Y9" s="75">
        <v>1</v>
      </c>
      <c r="Z9" s="75">
        <v>1</v>
      </c>
      <c r="AA9" s="75">
        <v>1</v>
      </c>
      <c r="AB9" s="75">
        <v>1</v>
      </c>
      <c r="AC9" s="75">
        <v>1</v>
      </c>
      <c r="AD9" s="75">
        <v>1</v>
      </c>
      <c r="AE9" s="75">
        <v>0</v>
      </c>
      <c r="AF9" s="75">
        <v>2</v>
      </c>
      <c r="AG9" s="75">
        <v>1</v>
      </c>
      <c r="AH9" s="75">
        <v>0</v>
      </c>
      <c r="AI9" s="75">
        <v>5</v>
      </c>
      <c r="AJ9" s="75">
        <v>0</v>
      </c>
      <c r="AK9" s="75">
        <v>1</v>
      </c>
      <c r="AL9" s="75">
        <v>1</v>
      </c>
    </row>
    <row r="10" spans="1:38" s="68" customFormat="1" ht="13" x14ac:dyDescent="0.3">
      <c r="A10" s="71"/>
      <c r="B10" s="67" t="s">
        <v>203</v>
      </c>
      <c r="C10" s="62">
        <f t="shared" si="0"/>
        <v>6</v>
      </c>
      <c r="D10" s="68">
        <v>0</v>
      </c>
      <c r="E10" s="67">
        <v>0</v>
      </c>
      <c r="F10" s="67">
        <v>1</v>
      </c>
      <c r="G10" s="67">
        <v>0</v>
      </c>
      <c r="H10" s="67">
        <v>0</v>
      </c>
      <c r="I10" s="67">
        <v>0</v>
      </c>
      <c r="J10" s="68">
        <v>1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1</v>
      </c>
      <c r="Q10" s="68">
        <v>0</v>
      </c>
      <c r="R10" s="68">
        <v>0</v>
      </c>
      <c r="S10" s="68">
        <v>0</v>
      </c>
      <c r="T10" s="75">
        <v>0</v>
      </c>
      <c r="U10" s="75">
        <v>0</v>
      </c>
      <c r="V10" s="73">
        <v>0</v>
      </c>
      <c r="W10" s="75">
        <v>0</v>
      </c>
      <c r="X10" s="75">
        <v>2</v>
      </c>
      <c r="Y10" s="75">
        <v>0</v>
      </c>
      <c r="Z10" s="75">
        <v>0</v>
      </c>
      <c r="AA10" s="75">
        <v>0</v>
      </c>
      <c r="AB10" s="75">
        <v>0</v>
      </c>
      <c r="AC10" s="75">
        <v>0</v>
      </c>
      <c r="AD10" s="75">
        <v>1</v>
      </c>
      <c r="AE10" s="75">
        <v>0</v>
      </c>
      <c r="AF10" s="75">
        <v>0</v>
      </c>
      <c r="AG10" s="75">
        <v>0</v>
      </c>
      <c r="AH10" s="75">
        <v>0</v>
      </c>
      <c r="AI10" s="75">
        <v>0</v>
      </c>
      <c r="AJ10" s="75">
        <v>0</v>
      </c>
      <c r="AK10" s="75">
        <v>0</v>
      </c>
      <c r="AL10" s="75">
        <v>0</v>
      </c>
    </row>
    <row r="11" spans="1:38" s="68" customFormat="1" ht="16.5" customHeight="1" x14ac:dyDescent="0.3">
      <c r="A11" s="71"/>
      <c r="B11" s="67" t="s">
        <v>9</v>
      </c>
      <c r="C11" s="62">
        <f t="shared" si="0"/>
        <v>1769319354.8387098</v>
      </c>
      <c r="D11" s="68">
        <v>37758064.516129032</v>
      </c>
      <c r="E11" s="67">
        <v>97416129.032258064</v>
      </c>
      <c r="F11" s="67">
        <v>37929032.258064516</v>
      </c>
      <c r="G11" s="67">
        <v>25443548.387096774</v>
      </c>
      <c r="H11" s="67">
        <v>43200000</v>
      </c>
      <c r="I11" s="67">
        <v>30225806.451612905</v>
      </c>
      <c r="J11" s="68">
        <v>25100000</v>
      </c>
      <c r="K11" s="68">
        <v>33667741.935483873</v>
      </c>
      <c r="L11" s="68">
        <v>40100000</v>
      </c>
      <c r="M11" s="68">
        <v>65000000</v>
      </c>
      <c r="N11" s="68">
        <v>67819354.838709682</v>
      </c>
      <c r="O11" s="68">
        <v>33900000</v>
      </c>
      <c r="P11" s="68">
        <v>54738709.677419357</v>
      </c>
      <c r="Q11" s="68">
        <v>42200000</v>
      </c>
      <c r="R11" s="68">
        <v>81100000</v>
      </c>
      <c r="S11" s="68">
        <v>31500000</v>
      </c>
      <c r="T11" s="75">
        <v>35700000</v>
      </c>
      <c r="U11" s="75">
        <v>134298387.09677419</v>
      </c>
      <c r="V11" s="73">
        <v>55470967.741935484</v>
      </c>
      <c r="W11" s="75">
        <v>56900000</v>
      </c>
      <c r="X11" s="75">
        <v>64487096.774193548</v>
      </c>
      <c r="Y11" s="75">
        <v>23300000</v>
      </c>
      <c r="Z11" s="75">
        <v>44745161.290322579</v>
      </c>
      <c r="AA11" s="75">
        <v>34000000</v>
      </c>
      <c r="AB11" s="75">
        <v>55470967.741935484</v>
      </c>
      <c r="AC11" s="75">
        <v>20054838.709677421</v>
      </c>
      <c r="AD11" s="75">
        <v>51900000</v>
      </c>
      <c r="AE11" s="75">
        <v>29000000</v>
      </c>
      <c r="AF11" s="75">
        <v>75200000</v>
      </c>
      <c r="AG11" s="75">
        <v>29996774.193548389</v>
      </c>
      <c r="AH11" s="75">
        <v>62003225.806451611</v>
      </c>
      <c r="AI11" s="75">
        <v>152283870.96774194</v>
      </c>
      <c r="AJ11" s="75">
        <v>33300000</v>
      </c>
      <c r="AK11" s="75">
        <v>32300000</v>
      </c>
      <c r="AL11" s="75">
        <v>31809677.419354841</v>
      </c>
    </row>
    <row r="12" spans="1:38" s="68" customFormat="1" ht="13" x14ac:dyDescent="0.3">
      <c r="A12" s="128" t="s">
        <v>10</v>
      </c>
      <c r="B12" s="69" t="s">
        <v>11</v>
      </c>
      <c r="C12" s="62">
        <f t="shared" si="0"/>
        <v>410023400</v>
      </c>
      <c r="D12" s="67">
        <v>7000000</v>
      </c>
      <c r="E12" s="67">
        <v>28304000</v>
      </c>
      <c r="F12" s="62">
        <v>7364000</v>
      </c>
      <c r="G12" s="62">
        <v>4880000</v>
      </c>
      <c r="H12" s="62">
        <v>7993800</v>
      </c>
      <c r="I12" s="67">
        <v>6612000</v>
      </c>
      <c r="J12" s="68">
        <v>7960000</v>
      </c>
      <c r="K12" s="68">
        <v>6032000</v>
      </c>
      <c r="L12" s="68">
        <v>11764000</v>
      </c>
      <c r="M12" s="68">
        <v>18764000</v>
      </c>
      <c r="N12" s="68">
        <v>18124000</v>
      </c>
      <c r="O12" s="68">
        <v>7268000</v>
      </c>
      <c r="P12" s="68">
        <v>12876000</v>
      </c>
      <c r="Q12" s="68">
        <v>9012000</v>
      </c>
      <c r="R12" s="68">
        <v>19368000</v>
      </c>
      <c r="S12" s="68">
        <v>7408000</v>
      </c>
      <c r="T12" s="75">
        <v>10576000</v>
      </c>
      <c r="U12" s="75">
        <v>28340000</v>
      </c>
      <c r="V12" s="73">
        <v>7134800</v>
      </c>
      <c r="W12" s="75">
        <v>15452000</v>
      </c>
      <c r="X12" s="75">
        <v>17568000</v>
      </c>
      <c r="Y12" s="75">
        <v>3560000</v>
      </c>
      <c r="Z12" s="75">
        <v>8072000</v>
      </c>
      <c r="AA12" s="75">
        <v>4720000</v>
      </c>
      <c r="AB12" s="75">
        <v>10832000</v>
      </c>
      <c r="AC12" s="75">
        <v>5312000</v>
      </c>
      <c r="AD12" s="75">
        <v>11516000</v>
      </c>
      <c r="AE12" s="75">
        <v>6848000</v>
      </c>
      <c r="AF12" s="75">
        <v>19842800</v>
      </c>
      <c r="AG12" s="75">
        <v>5116000</v>
      </c>
      <c r="AH12" s="75">
        <v>14184000</v>
      </c>
      <c r="AI12" s="75">
        <v>41272000</v>
      </c>
      <c r="AJ12" s="75">
        <v>7900000</v>
      </c>
      <c r="AK12" s="75">
        <v>5820000</v>
      </c>
      <c r="AL12" s="75">
        <v>5228000</v>
      </c>
    </row>
    <row r="13" spans="1:38" s="68" customFormat="1" ht="13" x14ac:dyDescent="0.3">
      <c r="A13" s="129"/>
      <c r="B13" s="69" t="s">
        <v>12</v>
      </c>
      <c r="C13" s="62">
        <f t="shared" si="0"/>
        <v>83974354.838709682</v>
      </c>
      <c r="D13" s="67">
        <v>1589193.5483870967</v>
      </c>
      <c r="E13" s="68">
        <v>5255000</v>
      </c>
      <c r="F13" s="68">
        <v>1240000</v>
      </c>
      <c r="G13" s="68">
        <v>1257419.3548387096</v>
      </c>
      <c r="H13" s="68">
        <v>2030000</v>
      </c>
      <c r="I13" s="68">
        <v>1635483.8709677418</v>
      </c>
      <c r="J13" s="68">
        <v>1120000</v>
      </c>
      <c r="K13" s="68">
        <v>1296935.4838709678</v>
      </c>
      <c r="L13" s="68">
        <v>1965000</v>
      </c>
      <c r="M13" s="68">
        <v>3450000</v>
      </c>
      <c r="N13" s="68">
        <v>4317258.064516129</v>
      </c>
      <c r="O13" s="68">
        <v>1640000</v>
      </c>
      <c r="P13" s="68">
        <v>3646451.6129032257</v>
      </c>
      <c r="Q13" s="68">
        <v>2400000</v>
      </c>
      <c r="R13" s="68">
        <v>3875000</v>
      </c>
      <c r="S13" s="68">
        <v>1780000</v>
      </c>
      <c r="T13" s="73">
        <v>1655000</v>
      </c>
      <c r="U13" s="73">
        <v>6134516.1290322579</v>
      </c>
      <c r="V13" s="73">
        <v>1015000</v>
      </c>
      <c r="W13" s="73">
        <v>3370000</v>
      </c>
      <c r="X13" s="73">
        <v>2744516.1290322579</v>
      </c>
      <c r="Y13" s="73">
        <v>665000</v>
      </c>
      <c r="Z13" s="73">
        <v>1888548.3870967743</v>
      </c>
      <c r="AA13" s="73">
        <v>1030000</v>
      </c>
      <c r="AB13" s="73">
        <v>1842903.2258064516</v>
      </c>
      <c r="AC13" s="73">
        <v>1331612.9032258065</v>
      </c>
      <c r="AD13" s="73">
        <v>2355000</v>
      </c>
      <c r="AE13" s="73">
        <v>1520000</v>
      </c>
      <c r="AF13" s="73">
        <v>1910000</v>
      </c>
      <c r="AG13" s="73">
        <v>1108709.6774193549</v>
      </c>
      <c r="AH13" s="73">
        <v>2554838.7096774192</v>
      </c>
      <c r="AI13" s="73">
        <v>9873548.3870967738</v>
      </c>
      <c r="AJ13" s="73">
        <v>1480000</v>
      </c>
      <c r="AK13" s="73">
        <v>1265000</v>
      </c>
      <c r="AL13" s="73">
        <v>1732419.3548387098</v>
      </c>
    </row>
    <row r="14" spans="1:38" s="68" customFormat="1" ht="13" x14ac:dyDescent="0.3">
      <c r="A14" s="129"/>
      <c r="B14" s="69" t="s">
        <v>13</v>
      </c>
      <c r="C14" s="62">
        <f t="shared" si="0"/>
        <v>40420258.064516135</v>
      </c>
      <c r="D14" s="67">
        <v>557096.77419354836</v>
      </c>
      <c r="E14" s="67">
        <v>2050645.1612903227</v>
      </c>
      <c r="F14" s="68">
        <v>510000</v>
      </c>
      <c r="G14" s="68">
        <v>683709.67741935479</v>
      </c>
      <c r="H14" s="68">
        <v>1000000</v>
      </c>
      <c r="I14" s="68">
        <v>817741.93548387103</v>
      </c>
      <c r="J14" s="68">
        <v>300000</v>
      </c>
      <c r="K14" s="68">
        <v>670967.74193548388</v>
      </c>
      <c r="L14" s="68">
        <v>1080000</v>
      </c>
      <c r="M14" s="68">
        <v>1520000</v>
      </c>
      <c r="N14" s="68">
        <v>1801935.4838709678</v>
      </c>
      <c r="O14" s="68">
        <v>720000</v>
      </c>
      <c r="P14" s="68">
        <v>1533225.8064516129</v>
      </c>
      <c r="Q14" s="68">
        <v>1040000</v>
      </c>
      <c r="R14" s="68">
        <v>2170000</v>
      </c>
      <c r="S14" s="68">
        <v>750000</v>
      </c>
      <c r="T14" s="73">
        <v>690000</v>
      </c>
      <c r="U14" s="73">
        <v>2056806.4516129033</v>
      </c>
      <c r="V14" s="73">
        <v>1123225.8064516129</v>
      </c>
      <c r="W14" s="73">
        <v>1920000</v>
      </c>
      <c r="X14" s="73">
        <v>1282258.064516129</v>
      </c>
      <c r="Y14" s="73">
        <v>570000</v>
      </c>
      <c r="Z14" s="73">
        <v>726774.19354838715</v>
      </c>
      <c r="AA14" s="73">
        <v>1070000</v>
      </c>
      <c r="AB14" s="73">
        <v>678451.61290322582</v>
      </c>
      <c r="AC14" s="73">
        <v>605806.45161290327</v>
      </c>
      <c r="AD14" s="73">
        <v>1080000</v>
      </c>
      <c r="AE14" s="73">
        <v>690000</v>
      </c>
      <c r="AF14" s="73">
        <v>2130000</v>
      </c>
      <c r="AG14" s="73">
        <v>548709.67741935479</v>
      </c>
      <c r="AH14" s="73">
        <v>1097419.3548387096</v>
      </c>
      <c r="AI14" s="73">
        <v>4656774.1935483869</v>
      </c>
      <c r="AJ14" s="73">
        <v>750000</v>
      </c>
      <c r="AK14" s="73">
        <v>750000</v>
      </c>
      <c r="AL14" s="73">
        <v>788709.67741935491</v>
      </c>
    </row>
    <row r="15" spans="1:38" s="68" customFormat="1" ht="13" x14ac:dyDescent="0.3">
      <c r="A15" s="129"/>
      <c r="B15" s="69" t="s">
        <v>14</v>
      </c>
      <c r="C15" s="62">
        <f t="shared" si="0"/>
        <v>38452258.064516135</v>
      </c>
      <c r="D15" s="67">
        <v>830322.58064516122</v>
      </c>
      <c r="E15" s="68">
        <v>1822580.6451612904</v>
      </c>
      <c r="F15" s="68">
        <v>1000000</v>
      </c>
      <c r="G15" s="68">
        <v>664516.12903225806</v>
      </c>
      <c r="H15" s="68">
        <v>600000</v>
      </c>
      <c r="I15" s="68">
        <v>770967.74193548388</v>
      </c>
      <c r="J15" s="68">
        <v>800000</v>
      </c>
      <c r="K15" s="68">
        <v>451612.90322580643</v>
      </c>
      <c r="L15" s="68">
        <v>1000000</v>
      </c>
      <c r="M15" s="68">
        <v>1400000</v>
      </c>
      <c r="N15" s="68">
        <v>1748387.0967741937</v>
      </c>
      <c r="O15" s="68">
        <v>800000</v>
      </c>
      <c r="P15" s="68">
        <v>1338709.6774193549</v>
      </c>
      <c r="Q15" s="68">
        <v>1200000</v>
      </c>
      <c r="R15" s="68">
        <v>1700000</v>
      </c>
      <c r="S15" s="68">
        <v>900000</v>
      </c>
      <c r="T15" s="73">
        <v>800000</v>
      </c>
      <c r="U15" s="73">
        <v>2609677.4193548383</v>
      </c>
      <c r="V15" s="73">
        <v>1238709.6774193549</v>
      </c>
      <c r="W15" s="73">
        <v>1300000</v>
      </c>
      <c r="X15" s="73">
        <v>1048387.0967741936</v>
      </c>
      <c r="Y15" s="73">
        <v>600000</v>
      </c>
      <c r="Z15" s="73">
        <v>1261290.3225806451</v>
      </c>
      <c r="AA15" s="73">
        <v>500000</v>
      </c>
      <c r="AB15" s="73">
        <v>738709.67741935479</v>
      </c>
      <c r="AC15" s="73">
        <v>654838.70967741939</v>
      </c>
      <c r="AD15" s="73">
        <v>1090000</v>
      </c>
      <c r="AE15" s="73">
        <v>400000</v>
      </c>
      <c r="AF15" s="73">
        <v>1500000</v>
      </c>
      <c r="AG15" s="73">
        <v>300000</v>
      </c>
      <c r="AH15" s="73">
        <v>1129032.2580645161</v>
      </c>
      <c r="AI15" s="73">
        <v>4190000</v>
      </c>
      <c r="AJ15" s="73">
        <v>1100000</v>
      </c>
      <c r="AK15" s="73">
        <v>300000</v>
      </c>
      <c r="AL15" s="73">
        <v>664516.12903225806</v>
      </c>
    </row>
    <row r="16" spans="1:38" s="68" customFormat="1" ht="13" x14ac:dyDescent="0.3">
      <c r="A16" s="129"/>
      <c r="B16" s="69" t="s">
        <v>15</v>
      </c>
      <c r="C16" s="62">
        <f t="shared" si="0"/>
        <v>6758064.5161290318</v>
      </c>
      <c r="D16" s="67">
        <v>0</v>
      </c>
      <c r="E16" s="68">
        <v>450000</v>
      </c>
      <c r="F16" s="68">
        <v>150000</v>
      </c>
      <c r="G16" s="68">
        <v>0</v>
      </c>
      <c r="H16" s="68">
        <v>0</v>
      </c>
      <c r="I16" s="68">
        <v>0</v>
      </c>
      <c r="J16" s="68">
        <v>150000</v>
      </c>
      <c r="K16" s="68">
        <v>200000</v>
      </c>
      <c r="L16" s="68">
        <v>200000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150000</v>
      </c>
      <c r="T16" s="76">
        <v>0</v>
      </c>
      <c r="U16" s="73">
        <v>4280645.1612903224</v>
      </c>
      <c r="V16" s="73">
        <v>0</v>
      </c>
      <c r="W16" s="73">
        <v>0</v>
      </c>
      <c r="X16" s="73">
        <v>0</v>
      </c>
      <c r="Y16" s="76">
        <v>0</v>
      </c>
      <c r="Z16" s="76">
        <v>0</v>
      </c>
      <c r="AA16" s="76">
        <v>0</v>
      </c>
      <c r="AB16" s="76">
        <v>77419.354838709682</v>
      </c>
      <c r="AC16" s="73">
        <v>200000</v>
      </c>
      <c r="AD16" s="76">
        <v>0</v>
      </c>
      <c r="AE16" s="76">
        <v>0</v>
      </c>
      <c r="AF16" s="76">
        <v>50000</v>
      </c>
      <c r="AG16" s="76">
        <v>0</v>
      </c>
      <c r="AH16" s="76">
        <v>200000</v>
      </c>
      <c r="AI16" s="73">
        <v>500000</v>
      </c>
      <c r="AJ16" s="76">
        <v>150000</v>
      </c>
      <c r="AK16" s="73">
        <v>0</v>
      </c>
      <c r="AL16" s="73">
        <v>0</v>
      </c>
    </row>
    <row r="17" spans="1:42" s="68" customFormat="1" ht="13" x14ac:dyDescent="0.3">
      <c r="A17" s="129"/>
      <c r="B17" s="69" t="s">
        <v>102</v>
      </c>
      <c r="C17" s="62">
        <f t="shared" si="0"/>
        <v>15558989.247311827</v>
      </c>
      <c r="D17" s="67">
        <v>449677.41935483867</v>
      </c>
      <c r="E17" s="68">
        <v>2040645.1612903227</v>
      </c>
      <c r="F17" s="68">
        <v>400000</v>
      </c>
      <c r="G17" s="68">
        <v>0</v>
      </c>
      <c r="H17" s="68">
        <v>0</v>
      </c>
      <c r="I17" s="68">
        <v>0</v>
      </c>
      <c r="J17" s="68">
        <v>690000</v>
      </c>
      <c r="K17" s="68">
        <v>0</v>
      </c>
      <c r="L17" s="68">
        <v>1020000</v>
      </c>
      <c r="M17" s="68">
        <v>1110000</v>
      </c>
      <c r="N17" s="68">
        <v>1741935.4838709678</v>
      </c>
      <c r="O17" s="68">
        <v>0</v>
      </c>
      <c r="P17" s="68">
        <v>0</v>
      </c>
      <c r="Q17" s="68">
        <v>478666.66666666669</v>
      </c>
      <c r="R17" s="68">
        <v>1900000</v>
      </c>
      <c r="S17" s="68">
        <v>0</v>
      </c>
      <c r="T17" s="77">
        <v>0</v>
      </c>
      <c r="U17" s="77">
        <v>0</v>
      </c>
      <c r="V17" s="73">
        <v>0</v>
      </c>
      <c r="W17" s="70">
        <v>1650000</v>
      </c>
      <c r="X17" s="77">
        <v>1193548.3870967741</v>
      </c>
      <c r="Y17" s="77">
        <v>0</v>
      </c>
      <c r="Z17" s="77">
        <v>0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0">
        <v>1400000</v>
      </c>
      <c r="AG17" s="77">
        <v>0</v>
      </c>
      <c r="AH17" s="70">
        <v>1064516.1290322582</v>
      </c>
      <c r="AI17" s="77">
        <v>0</v>
      </c>
      <c r="AJ17" s="77">
        <v>420000</v>
      </c>
      <c r="AK17" s="77">
        <v>0</v>
      </c>
      <c r="AL17" s="77">
        <v>0</v>
      </c>
    </row>
    <row r="18" spans="1:42" s="68" customFormat="1" ht="13.5" thickBot="1" x14ac:dyDescent="0.35">
      <c r="A18" s="129"/>
      <c r="B18" s="69" t="s">
        <v>17</v>
      </c>
      <c r="C18" s="62">
        <f t="shared" si="0"/>
        <v>44778000.000000007</v>
      </c>
      <c r="D18" s="67">
        <v>1317741.935483871</v>
      </c>
      <c r="E18" s="68">
        <v>2200645.1612903224</v>
      </c>
      <c r="F18" s="68">
        <v>600000</v>
      </c>
      <c r="G18" s="68">
        <v>1491774.1935483871</v>
      </c>
      <c r="H18" s="68">
        <v>880000</v>
      </c>
      <c r="I18" s="68">
        <v>907741.93548387103</v>
      </c>
      <c r="J18" s="68">
        <v>300000</v>
      </c>
      <c r="K18" s="68">
        <v>640967.74193548388</v>
      </c>
      <c r="L18" s="68">
        <v>1200000</v>
      </c>
      <c r="M18" s="68">
        <v>1550000</v>
      </c>
      <c r="N18" s="68">
        <v>2041935.4838709678</v>
      </c>
      <c r="O18" s="68">
        <v>840000</v>
      </c>
      <c r="P18" s="68">
        <v>1673225.8064516129</v>
      </c>
      <c r="Q18" s="68">
        <v>1200000</v>
      </c>
      <c r="R18" s="68">
        <v>2110000</v>
      </c>
      <c r="S18" s="68">
        <v>840000</v>
      </c>
      <c r="T18" s="78">
        <v>840000</v>
      </c>
      <c r="U18" s="78">
        <v>2899709.6774193547</v>
      </c>
      <c r="V18" s="73">
        <v>2638064.5161290322</v>
      </c>
      <c r="W18" s="78">
        <v>1980000</v>
      </c>
      <c r="X18" s="78">
        <v>1442258.064516129</v>
      </c>
      <c r="Y18" s="78">
        <v>480000</v>
      </c>
      <c r="Z18" s="78">
        <v>756774.19354838715</v>
      </c>
      <c r="AA18" s="79">
        <v>0</v>
      </c>
      <c r="AB18" s="78">
        <v>858451.61290322582</v>
      </c>
      <c r="AC18" s="78">
        <v>545806.45161290327</v>
      </c>
      <c r="AD18" s="78">
        <v>1050000</v>
      </c>
      <c r="AE18" s="78">
        <v>750000</v>
      </c>
      <c r="AF18" s="78">
        <v>1980000</v>
      </c>
      <c r="AG18" s="79">
        <v>0</v>
      </c>
      <c r="AH18" s="78">
        <v>1127419.3548387096</v>
      </c>
      <c r="AI18" s="78">
        <v>5106774.1935483869</v>
      </c>
      <c r="AJ18" s="78">
        <v>840000</v>
      </c>
      <c r="AK18" s="78">
        <v>810000</v>
      </c>
      <c r="AL18" s="78">
        <v>878709.67741935491</v>
      </c>
    </row>
    <row r="19" spans="1:42" s="68" customFormat="1" ht="12" customHeight="1" x14ac:dyDescent="0.3">
      <c r="A19" s="130"/>
      <c r="B19" s="80" t="s">
        <v>18</v>
      </c>
      <c r="C19" s="81">
        <f>SUM(C12:C18)</f>
        <v>639965324.73118281</v>
      </c>
      <c r="D19" s="81">
        <f t="shared" ref="D19:AP19" si="1">SUM(D12:D18)</f>
        <v>11744032.258064516</v>
      </c>
      <c r="E19" s="81">
        <f>SUM(E12:E18)</f>
        <v>42123516.129032269</v>
      </c>
      <c r="F19" s="81">
        <f>SUM(F12:F18)</f>
        <v>11264000</v>
      </c>
      <c r="G19" s="81">
        <f t="shared" si="1"/>
        <v>8977419.3548387103</v>
      </c>
      <c r="H19" s="81">
        <f>SUM(H12:H18)</f>
        <v>12503800</v>
      </c>
      <c r="I19" s="81">
        <f>SUM(I12:I18)</f>
        <v>10743935.483870968</v>
      </c>
      <c r="J19" s="81">
        <f t="shared" si="1"/>
        <v>11320000</v>
      </c>
      <c r="K19" s="81">
        <f t="shared" si="1"/>
        <v>9292483.8709677421</v>
      </c>
      <c r="L19" s="81">
        <f t="shared" si="1"/>
        <v>18229000</v>
      </c>
      <c r="M19" s="81">
        <f t="shared" si="1"/>
        <v>27794000</v>
      </c>
      <c r="N19" s="81">
        <f t="shared" si="1"/>
        <v>29775451.612903226</v>
      </c>
      <c r="O19" s="81">
        <f t="shared" si="1"/>
        <v>11268000</v>
      </c>
      <c r="P19" s="81">
        <f t="shared" si="1"/>
        <v>21067612.903225802</v>
      </c>
      <c r="Q19" s="81">
        <f>SUM(Q12:Q18)</f>
        <v>15330666.666666666</v>
      </c>
      <c r="R19" s="81">
        <f>SUM(R12:R18)</f>
        <v>31123000</v>
      </c>
      <c r="S19" s="81">
        <f>SUM(S12:S18)</f>
        <v>11828000</v>
      </c>
      <c r="T19" s="81">
        <f t="shared" si="1"/>
        <v>14561000</v>
      </c>
      <c r="U19" s="81">
        <f t="shared" si="1"/>
        <v>46321354.838709682</v>
      </c>
      <c r="V19" s="81">
        <f t="shared" si="1"/>
        <v>13149800</v>
      </c>
      <c r="W19" s="81">
        <f t="shared" si="1"/>
        <v>25672000</v>
      </c>
      <c r="X19" s="81">
        <f t="shared" si="1"/>
        <v>25278967.741935484</v>
      </c>
      <c r="Y19" s="81">
        <f t="shared" si="1"/>
        <v>5875000</v>
      </c>
      <c r="Z19" s="81">
        <f t="shared" si="1"/>
        <v>12705387.096774193</v>
      </c>
      <c r="AA19" s="81">
        <f t="shared" si="1"/>
        <v>7320000</v>
      </c>
      <c r="AB19" s="81">
        <f>SUM(AB12:AB18)</f>
        <v>15027935.48387097</v>
      </c>
      <c r="AC19" s="81">
        <f t="shared" si="1"/>
        <v>8650064.5161290336</v>
      </c>
      <c r="AD19" s="81">
        <f t="shared" si="1"/>
        <v>17091000</v>
      </c>
      <c r="AE19" s="81">
        <f t="shared" si="1"/>
        <v>10208000</v>
      </c>
      <c r="AF19" s="81">
        <f>SUM(AF12:AF18)</f>
        <v>28812800</v>
      </c>
      <c r="AG19" s="81">
        <f t="shared" si="1"/>
        <v>7073419.3548387103</v>
      </c>
      <c r="AH19" s="81">
        <f>SUM(AH12:AH18)</f>
        <v>21357225.806451611</v>
      </c>
      <c r="AI19" s="81">
        <f t="shared" si="1"/>
        <v>65599096.774193555</v>
      </c>
      <c r="AJ19" s="81">
        <f t="shared" si="1"/>
        <v>12640000</v>
      </c>
      <c r="AK19" s="81">
        <f>SUM(AK12:AK18)</f>
        <v>8945000</v>
      </c>
      <c r="AL19" s="81">
        <f t="shared" si="1"/>
        <v>9292354.8387096785</v>
      </c>
      <c r="AM19" s="81">
        <f t="shared" si="1"/>
        <v>0</v>
      </c>
      <c r="AN19" s="81">
        <f t="shared" si="1"/>
        <v>0</v>
      </c>
      <c r="AO19" s="81">
        <f t="shared" si="1"/>
        <v>0</v>
      </c>
      <c r="AP19" s="81">
        <f t="shared" si="1"/>
        <v>0</v>
      </c>
    </row>
    <row r="20" spans="1:42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</row>
    <row r="21" spans="1:42" s="68" customFormat="1" ht="38.5" customHeight="1" x14ac:dyDescent="0.3">
      <c r="A21" s="62" t="s">
        <v>19</v>
      </c>
      <c r="B21" s="67" t="s">
        <v>20</v>
      </c>
      <c r="C21" s="62">
        <f t="shared" ref="C21:C28" si="2">SUM(D21:AL21)</f>
        <v>1459650000.0000002</v>
      </c>
      <c r="D21" s="67">
        <v>31000000</v>
      </c>
      <c r="E21" s="68">
        <v>80000000</v>
      </c>
      <c r="F21" s="68">
        <v>37000000</v>
      </c>
      <c r="G21" s="68">
        <v>23333333.333333332</v>
      </c>
      <c r="H21" s="68">
        <v>33300000</v>
      </c>
      <c r="I21" s="68">
        <v>24000000</v>
      </c>
      <c r="J21" s="68">
        <v>20000000</v>
      </c>
      <c r="K21" s="68">
        <v>27000000</v>
      </c>
      <c r="L21" s="68">
        <v>33000000</v>
      </c>
      <c r="M21" s="68">
        <v>47500000</v>
      </c>
      <c r="N21" s="68">
        <v>66500000</v>
      </c>
      <c r="O21" s="82">
        <v>30000000</v>
      </c>
      <c r="P21" s="82">
        <v>40000000</v>
      </c>
      <c r="Q21" s="68">
        <v>24000000</v>
      </c>
      <c r="R21" s="68">
        <v>60000000</v>
      </c>
      <c r="S21" s="68">
        <v>23400000</v>
      </c>
      <c r="T21" s="68">
        <v>25000000</v>
      </c>
      <c r="U21" s="82">
        <v>115000000</v>
      </c>
      <c r="V21" s="68">
        <v>50000000</v>
      </c>
      <c r="W21" s="68">
        <v>50000000</v>
      </c>
      <c r="X21" s="68">
        <v>60000000</v>
      </c>
      <c r="Y21" s="68">
        <v>18000000</v>
      </c>
      <c r="Z21" s="68">
        <v>37000000</v>
      </c>
      <c r="AA21" s="83">
        <v>20000000</v>
      </c>
      <c r="AB21" s="68">
        <v>44000000</v>
      </c>
      <c r="AC21" s="82">
        <v>16800000</v>
      </c>
      <c r="AD21" s="68">
        <v>45000000</v>
      </c>
      <c r="AE21" s="82">
        <v>23666666.666666668</v>
      </c>
      <c r="AF21" s="82">
        <v>66666666.666666664</v>
      </c>
      <c r="AG21" s="68">
        <v>26500000</v>
      </c>
      <c r="AH21" s="68">
        <v>53333333.333333336</v>
      </c>
      <c r="AI21" s="82">
        <v>129250000</v>
      </c>
      <c r="AJ21" s="82">
        <v>27400000</v>
      </c>
      <c r="AK21" s="68">
        <v>26000000</v>
      </c>
      <c r="AL21" s="82">
        <v>26000000</v>
      </c>
    </row>
    <row r="22" spans="1:42" s="68" customFormat="1" ht="39" customHeight="1" x14ac:dyDescent="0.3">
      <c r="A22" s="84" t="s">
        <v>21</v>
      </c>
      <c r="C22" s="62">
        <f t="shared" si="2"/>
        <v>17370000</v>
      </c>
      <c r="D22" s="67"/>
      <c r="E22" s="82"/>
      <c r="F22" s="68">
        <v>4400000</v>
      </c>
      <c r="G22" s="82"/>
      <c r="I22" s="68">
        <v>1900000</v>
      </c>
      <c r="J22" s="68">
        <v>5720000</v>
      </c>
      <c r="K22" s="68">
        <v>1700000</v>
      </c>
      <c r="N22" s="68">
        <v>800000</v>
      </c>
      <c r="O22" s="82"/>
      <c r="P22" s="82"/>
      <c r="Q22" s="68">
        <v>1450000</v>
      </c>
      <c r="T22" s="82"/>
      <c r="U22" s="82">
        <v>1400000</v>
      </c>
      <c r="W22" s="82"/>
      <c r="X22" s="82"/>
      <c r="Z22" s="82"/>
      <c r="AA22" s="83"/>
      <c r="AB22" s="82"/>
      <c r="AC22" s="82"/>
      <c r="AE22" s="82"/>
      <c r="AF22" s="82"/>
      <c r="AG22" s="82"/>
      <c r="AH22" s="82"/>
      <c r="AI22" s="85"/>
      <c r="AL22" s="82"/>
    </row>
    <row r="23" spans="1:42" s="68" customFormat="1" ht="20.5" customHeight="1" x14ac:dyDescent="0.3">
      <c r="A23" s="131" t="s">
        <v>22</v>
      </c>
      <c r="B23" s="67" t="s">
        <v>23</v>
      </c>
      <c r="C23" s="62">
        <f t="shared" si="2"/>
        <v>329077851</v>
      </c>
      <c r="D23" s="82">
        <v>8135381</v>
      </c>
      <c r="E23" s="86">
        <v>19583878</v>
      </c>
      <c r="F23" s="82">
        <v>9138528</v>
      </c>
      <c r="G23" s="82">
        <v>4975733</v>
      </c>
      <c r="H23" s="86">
        <v>7300022</v>
      </c>
      <c r="I23" s="83">
        <v>4076654</v>
      </c>
      <c r="J23" s="83">
        <v>6974021</v>
      </c>
      <c r="K23" s="83">
        <v>5887521</v>
      </c>
      <c r="L23" s="82">
        <v>9780372</v>
      </c>
      <c r="M23" s="82">
        <v>16003310</v>
      </c>
      <c r="N23" s="83">
        <v>5978750</v>
      </c>
      <c r="O23" s="83">
        <v>5449248</v>
      </c>
      <c r="P23" s="83">
        <v>11263493</v>
      </c>
      <c r="Q23" s="83">
        <v>8086478</v>
      </c>
      <c r="R23" s="82">
        <v>14617865</v>
      </c>
      <c r="S23" s="83">
        <v>5994194</v>
      </c>
      <c r="T23" s="82">
        <v>6536527</v>
      </c>
      <c r="U23" s="83">
        <v>17956814</v>
      </c>
      <c r="V23" s="83">
        <v>10422972</v>
      </c>
      <c r="W23" s="83">
        <v>10623463</v>
      </c>
      <c r="X23" s="83">
        <v>12502167</v>
      </c>
      <c r="Y23" s="83">
        <v>2890598</v>
      </c>
      <c r="Z23" s="82">
        <v>7892489</v>
      </c>
      <c r="AA23" s="82">
        <v>4643158</v>
      </c>
      <c r="AB23" s="83">
        <v>11459038</v>
      </c>
      <c r="AC23" s="82">
        <v>4968259</v>
      </c>
      <c r="AD23" s="83">
        <v>8477179</v>
      </c>
      <c r="AE23" s="83">
        <v>6593767</v>
      </c>
      <c r="AF23" s="82">
        <v>15260465</v>
      </c>
      <c r="AG23" s="82">
        <v>5681988</v>
      </c>
      <c r="AH23" s="82">
        <v>20724768</v>
      </c>
      <c r="AI23" s="83">
        <v>25094815</v>
      </c>
      <c r="AJ23" s="83">
        <v>4004683</v>
      </c>
      <c r="AK23" s="83">
        <v>4432212</v>
      </c>
      <c r="AL23" s="83">
        <v>5667041</v>
      </c>
    </row>
    <row r="24" spans="1:42" s="68" customFormat="1" ht="20.5" customHeight="1" x14ac:dyDescent="0.3">
      <c r="A24" s="131"/>
      <c r="B24" s="68" t="s">
        <v>24</v>
      </c>
      <c r="C24" s="87">
        <f t="shared" si="2"/>
        <v>77626060</v>
      </c>
      <c r="D24" s="82">
        <v>1039600</v>
      </c>
      <c r="E24" s="82">
        <v>6269800</v>
      </c>
      <c r="F24" s="82">
        <v>1204900</v>
      </c>
      <c r="G24" s="82">
        <v>786600</v>
      </c>
      <c r="H24" s="86">
        <v>2100360</v>
      </c>
      <c r="I24" s="83">
        <v>1202900</v>
      </c>
      <c r="J24" s="83">
        <v>976235</v>
      </c>
      <c r="K24" s="83">
        <v>1450150</v>
      </c>
      <c r="L24" s="82">
        <v>1953850</v>
      </c>
      <c r="M24" s="82">
        <v>672000</v>
      </c>
      <c r="N24" s="83">
        <v>254725</v>
      </c>
      <c r="O24" s="83">
        <v>1101700</v>
      </c>
      <c r="P24" s="83">
        <v>8454800</v>
      </c>
      <c r="Q24" s="83">
        <v>2237900</v>
      </c>
      <c r="R24" s="82">
        <v>2990000</v>
      </c>
      <c r="S24" s="83">
        <v>1600110</v>
      </c>
      <c r="T24" s="82">
        <v>1796300</v>
      </c>
      <c r="U24" s="83">
        <v>5057700</v>
      </c>
      <c r="V24" s="83">
        <v>1135050</v>
      </c>
      <c r="W24" s="83">
        <v>1060100</v>
      </c>
      <c r="X24" s="83">
        <v>1131600</v>
      </c>
      <c r="Y24" s="83">
        <v>581900</v>
      </c>
      <c r="Z24" s="82">
        <v>2533910</v>
      </c>
      <c r="AA24" s="82">
        <v>982100</v>
      </c>
      <c r="AB24" s="83">
        <v>1733510</v>
      </c>
      <c r="AC24" s="82">
        <v>982100</v>
      </c>
      <c r="AD24" s="83">
        <v>3770850</v>
      </c>
      <c r="AE24" s="83">
        <v>1896350</v>
      </c>
      <c r="AF24" s="82">
        <v>3203900</v>
      </c>
      <c r="AG24" s="82">
        <v>1228200</v>
      </c>
      <c r="AH24" s="82">
        <v>0</v>
      </c>
      <c r="AI24" s="83">
        <v>10787260</v>
      </c>
      <c r="AJ24" s="83">
        <v>1190000</v>
      </c>
      <c r="AK24" s="83">
        <v>1296050</v>
      </c>
      <c r="AL24" s="83">
        <v>2963550</v>
      </c>
    </row>
    <row r="25" spans="1:42" s="68" customFormat="1" ht="19" customHeight="1" x14ac:dyDescent="0.3">
      <c r="A25" s="131"/>
      <c r="B25" s="67" t="s">
        <v>25</v>
      </c>
      <c r="C25" s="62">
        <f t="shared" si="2"/>
        <v>14310004</v>
      </c>
      <c r="D25" s="82">
        <v>380100</v>
      </c>
      <c r="E25" s="82">
        <v>490000</v>
      </c>
      <c r="F25" s="82">
        <v>245000</v>
      </c>
      <c r="G25" s="82">
        <v>245000</v>
      </c>
      <c r="H25" s="82">
        <v>245000</v>
      </c>
      <c r="I25" s="83">
        <v>270000</v>
      </c>
      <c r="J25" s="83">
        <v>286501</v>
      </c>
      <c r="K25" s="83">
        <v>286501</v>
      </c>
      <c r="L25" s="82">
        <v>319000</v>
      </c>
      <c r="M25" s="82">
        <v>561501</v>
      </c>
      <c r="N25" s="82">
        <v>561501</v>
      </c>
      <c r="O25" s="83">
        <v>221500</v>
      </c>
      <c r="P25" s="83">
        <v>464999</v>
      </c>
      <c r="Q25" s="83">
        <v>443000</v>
      </c>
      <c r="R25" s="82">
        <v>476500</v>
      </c>
      <c r="S25" s="83">
        <v>320000</v>
      </c>
      <c r="T25" s="82">
        <v>245000</v>
      </c>
      <c r="U25" s="83">
        <v>1028000</v>
      </c>
      <c r="V25" s="83">
        <v>240000</v>
      </c>
      <c r="W25" s="83">
        <v>545000</v>
      </c>
      <c r="X25" s="83">
        <v>669900</v>
      </c>
      <c r="Y25" s="83">
        <v>286000</v>
      </c>
      <c r="Z25" s="82">
        <v>266500</v>
      </c>
      <c r="AA25" s="82">
        <v>215000</v>
      </c>
      <c r="AB25" s="83">
        <v>220000</v>
      </c>
      <c r="AC25" s="82">
        <v>236500</v>
      </c>
      <c r="AD25" s="83">
        <v>545000</v>
      </c>
      <c r="AE25" s="83">
        <v>245000</v>
      </c>
      <c r="AF25" s="82">
        <v>545000</v>
      </c>
      <c r="AG25" s="82">
        <v>240001</v>
      </c>
      <c r="AH25" s="82">
        <v>300000</v>
      </c>
      <c r="AI25" s="83">
        <v>1920000</v>
      </c>
      <c r="AJ25" s="83">
        <v>307000</v>
      </c>
      <c r="AK25" s="83">
        <v>220000</v>
      </c>
      <c r="AL25" s="83">
        <v>220000</v>
      </c>
    </row>
    <row r="26" spans="1:42" s="68" customFormat="1" ht="18.5" customHeight="1" x14ac:dyDescent="0.3">
      <c r="A26" s="131"/>
      <c r="B26" s="67" t="s">
        <v>26</v>
      </c>
      <c r="C26" s="62">
        <f t="shared" si="2"/>
        <v>6683333.333333334</v>
      </c>
      <c r="D26" s="82">
        <v>150000</v>
      </c>
      <c r="E26" s="82">
        <v>200000</v>
      </c>
      <c r="F26" s="82"/>
      <c r="G26" s="82"/>
      <c r="H26" s="82">
        <v>200000</v>
      </c>
      <c r="I26" s="83">
        <v>150000</v>
      </c>
      <c r="J26" s="82"/>
      <c r="K26" s="83">
        <v>200000</v>
      </c>
      <c r="L26" s="82">
        <v>200000</v>
      </c>
      <c r="M26" s="68">
        <v>350000</v>
      </c>
      <c r="N26" s="83">
        <v>350000</v>
      </c>
      <c r="O26" s="83">
        <v>200000</v>
      </c>
      <c r="P26" s="83">
        <v>300000</v>
      </c>
      <c r="Q26" s="83">
        <v>300000</v>
      </c>
      <c r="R26" s="82">
        <v>333333.33333333331</v>
      </c>
      <c r="S26" s="83">
        <v>150000</v>
      </c>
      <c r="T26" s="82">
        <v>200000</v>
      </c>
      <c r="U26" s="83">
        <v>200000</v>
      </c>
      <c r="V26" s="83">
        <v>250000</v>
      </c>
      <c r="W26" s="83">
        <v>250000</v>
      </c>
      <c r="X26" s="82"/>
      <c r="Y26" s="82"/>
      <c r="Z26" s="82"/>
      <c r="AA26" s="82">
        <v>300000</v>
      </c>
      <c r="AB26" s="83">
        <v>200000</v>
      </c>
      <c r="AC26" s="82"/>
      <c r="AD26" s="82"/>
      <c r="AE26" s="83">
        <v>300000</v>
      </c>
      <c r="AF26" s="82">
        <v>400000</v>
      </c>
      <c r="AG26" s="82">
        <v>250000</v>
      </c>
      <c r="AH26" s="82">
        <v>300000</v>
      </c>
      <c r="AI26" s="83">
        <v>300000</v>
      </c>
      <c r="AJ26" s="83">
        <v>150000</v>
      </c>
      <c r="AK26" s="83">
        <v>250000</v>
      </c>
      <c r="AL26" s="83">
        <v>250000</v>
      </c>
    </row>
    <row r="27" spans="1:42" s="68" customFormat="1" ht="17.5" customHeight="1" x14ac:dyDescent="0.3">
      <c r="A27" s="131"/>
      <c r="B27" s="67" t="s">
        <v>27</v>
      </c>
      <c r="C27" s="62">
        <f t="shared" si="2"/>
        <v>1904000</v>
      </c>
      <c r="D27" s="82"/>
      <c r="E27" s="82"/>
      <c r="F27" s="82"/>
      <c r="G27" s="82"/>
      <c r="H27" s="82"/>
      <c r="I27" s="83"/>
      <c r="J27" s="83"/>
      <c r="K27" s="82"/>
      <c r="L27" s="82"/>
      <c r="M27" s="82"/>
      <c r="N27" s="83"/>
      <c r="O27" s="82"/>
      <c r="P27" s="83"/>
      <c r="Q27" s="82"/>
      <c r="R27" s="82"/>
      <c r="S27" s="82"/>
      <c r="T27" s="82"/>
      <c r="U27" s="82"/>
      <c r="V27" s="83"/>
      <c r="W27" s="83"/>
      <c r="X27" s="82"/>
      <c r="Y27" s="82"/>
      <c r="Z27" s="82"/>
      <c r="AA27" s="82"/>
      <c r="AB27" s="82">
        <v>1904000</v>
      </c>
      <c r="AC27" s="82"/>
      <c r="AD27" s="82"/>
      <c r="AE27" s="82"/>
      <c r="AF27" s="82"/>
      <c r="AH27" s="82"/>
      <c r="AI27" s="82"/>
      <c r="AJ27" s="83"/>
      <c r="AK27" s="82"/>
      <c r="AL27" s="83"/>
    </row>
    <row r="28" spans="1:42" s="68" customFormat="1" ht="19.5" customHeight="1" x14ac:dyDescent="0.3">
      <c r="A28" s="131"/>
      <c r="B28" s="67" t="s">
        <v>28</v>
      </c>
      <c r="C28" s="62">
        <f t="shared" si="2"/>
        <v>0</v>
      </c>
      <c r="D28" s="67"/>
      <c r="E28" s="82"/>
      <c r="F28" s="82"/>
      <c r="G28" s="82"/>
      <c r="H28" s="82"/>
      <c r="I28" s="82"/>
      <c r="J28" s="82"/>
      <c r="L28" s="82"/>
      <c r="N28" s="83"/>
      <c r="O28" s="82"/>
      <c r="P28" s="82"/>
      <c r="Q28" s="82"/>
      <c r="R28" s="82"/>
      <c r="S28" s="82"/>
      <c r="T28" s="82"/>
      <c r="V28" s="82"/>
      <c r="W28" s="82"/>
      <c r="X28" s="82"/>
      <c r="Y28" s="82"/>
      <c r="Z28" s="82"/>
      <c r="AA28" s="82"/>
      <c r="AB28" s="82"/>
      <c r="AC28" s="82"/>
      <c r="AD28" s="82"/>
      <c r="AF28" s="82"/>
      <c r="AH28" s="82"/>
      <c r="AI28" s="82"/>
      <c r="AJ28" s="83"/>
      <c r="AK28" s="82"/>
      <c r="AL28" s="82"/>
    </row>
    <row r="29" spans="1:42" s="64" customFormat="1" ht="13" x14ac:dyDescent="0.3">
      <c r="A29" s="88" t="s">
        <v>29</v>
      </c>
      <c r="B29" s="60"/>
      <c r="C29" s="62">
        <f>SUM(C21:C28)</f>
        <v>1906621248.3333335</v>
      </c>
      <c r="D29" s="60">
        <f>SUM(D21:D28)</f>
        <v>40705081</v>
      </c>
      <c r="E29" s="60">
        <f t="shared" ref="E29:AL29" si="3">SUM(E21:E28)</f>
        <v>106543678</v>
      </c>
      <c r="F29" s="60">
        <f t="shared" si="3"/>
        <v>51988428</v>
      </c>
      <c r="G29" s="60">
        <f t="shared" si="3"/>
        <v>29340666.333333332</v>
      </c>
      <c r="H29" s="60">
        <f t="shared" si="3"/>
        <v>43145382</v>
      </c>
      <c r="I29" s="60">
        <f t="shared" si="3"/>
        <v>31599554</v>
      </c>
      <c r="J29" s="60">
        <f t="shared" si="3"/>
        <v>33956757</v>
      </c>
      <c r="K29" s="60">
        <f t="shared" si="3"/>
        <v>36524172</v>
      </c>
      <c r="L29" s="60">
        <f t="shared" si="3"/>
        <v>45253222</v>
      </c>
      <c r="M29" s="60">
        <f t="shared" si="3"/>
        <v>65086811</v>
      </c>
      <c r="N29" s="60">
        <f t="shared" si="3"/>
        <v>74444976</v>
      </c>
      <c r="O29" s="60">
        <f t="shared" si="3"/>
        <v>36972448</v>
      </c>
      <c r="P29" s="60">
        <f t="shared" si="3"/>
        <v>60483292</v>
      </c>
      <c r="Q29" s="60">
        <f>SUM(Q21:Q28)</f>
        <v>36517378</v>
      </c>
      <c r="R29" s="60">
        <f t="shared" si="3"/>
        <v>78417698.333333328</v>
      </c>
      <c r="S29" s="60">
        <f t="shared" si="3"/>
        <v>31464304</v>
      </c>
      <c r="T29" s="60">
        <f t="shared" si="3"/>
        <v>33777827</v>
      </c>
      <c r="U29" s="60">
        <f t="shared" si="3"/>
        <v>140642514</v>
      </c>
      <c r="V29" s="60">
        <f t="shared" si="3"/>
        <v>62048022</v>
      </c>
      <c r="W29" s="60">
        <f t="shared" si="3"/>
        <v>62478563</v>
      </c>
      <c r="X29" s="60">
        <f t="shared" si="3"/>
        <v>74303667</v>
      </c>
      <c r="Y29" s="60">
        <f t="shared" si="3"/>
        <v>21758498</v>
      </c>
      <c r="Z29" s="60">
        <f t="shared" si="3"/>
        <v>47692899</v>
      </c>
      <c r="AA29" s="60">
        <f t="shared" si="3"/>
        <v>26140258</v>
      </c>
      <c r="AB29" s="60">
        <f>SUM(AB21:AB28)</f>
        <v>59516548</v>
      </c>
      <c r="AC29" s="60">
        <f t="shared" si="3"/>
        <v>22986859</v>
      </c>
      <c r="AD29" s="60">
        <f t="shared" si="3"/>
        <v>57793029</v>
      </c>
      <c r="AE29" s="60">
        <f t="shared" si="3"/>
        <v>32701783.666666668</v>
      </c>
      <c r="AF29" s="60">
        <f t="shared" si="3"/>
        <v>86076031.666666657</v>
      </c>
      <c r="AG29" s="60">
        <f t="shared" si="3"/>
        <v>33900189</v>
      </c>
      <c r="AH29" s="60">
        <f t="shared" si="3"/>
        <v>74658101.333333343</v>
      </c>
      <c r="AI29" s="60">
        <f t="shared" si="3"/>
        <v>167352075</v>
      </c>
      <c r="AJ29" s="60">
        <f>SUM(AJ21:AJ28)</f>
        <v>33051683</v>
      </c>
      <c r="AK29" s="60">
        <f t="shared" si="3"/>
        <v>32198262</v>
      </c>
      <c r="AL29" s="60">
        <f t="shared" si="3"/>
        <v>35100591</v>
      </c>
    </row>
    <row r="30" spans="1:42" s="68" customFormat="1" ht="24" customHeight="1" x14ac:dyDescent="0.3">
      <c r="A30" s="132" t="s">
        <v>30</v>
      </c>
      <c r="B30" s="67" t="s">
        <v>31</v>
      </c>
      <c r="C30" s="62">
        <f t="shared" ref="C30:C43" si="4">SUM(D30:AL30)</f>
        <v>54521982.471461609</v>
      </c>
      <c r="D30" s="82">
        <v>1011055.5952006921</v>
      </c>
      <c r="E30" s="83">
        <v>2597925.4835541649</v>
      </c>
      <c r="F30" s="82">
        <v>908929.11422859528</v>
      </c>
      <c r="G30" s="83">
        <v>733855.27036974137</v>
      </c>
      <c r="H30" s="82">
        <v>972946.05071184458</v>
      </c>
      <c r="I30" s="82">
        <v>900884.05364587554</v>
      </c>
      <c r="J30" s="83">
        <v>916430.02028397575</v>
      </c>
      <c r="K30" s="82">
        <v>818453.51043643267</v>
      </c>
      <c r="L30" s="82">
        <v>1117402.0633270091</v>
      </c>
      <c r="M30" s="82">
        <v>2143269.3372617261</v>
      </c>
      <c r="N30" s="83">
        <v>2050556.8413043201</v>
      </c>
      <c r="O30" s="83">
        <v>881918.40701381513</v>
      </c>
      <c r="P30" s="83">
        <v>2216805.040340567</v>
      </c>
      <c r="Q30" s="83">
        <v>2089905.0662017106</v>
      </c>
      <c r="R30" s="83">
        <v>2117831.7552362522</v>
      </c>
      <c r="S30" s="83">
        <v>1170000</v>
      </c>
      <c r="T30" s="82">
        <v>1274391.8788124882</v>
      </c>
      <c r="U30" s="83">
        <v>4444753.950436472</v>
      </c>
      <c r="V30" s="83">
        <v>1380386.5635921212</v>
      </c>
      <c r="W30" s="83">
        <v>1548478.2238368052</v>
      </c>
      <c r="X30" s="83">
        <v>2207194.1902698637</v>
      </c>
      <c r="Y30" s="82">
        <v>585156.35926681047</v>
      </c>
      <c r="Z30" s="83">
        <v>1411538.6344615063</v>
      </c>
      <c r="AA30" s="82">
        <v>706212.58917738427</v>
      </c>
      <c r="AB30" s="82">
        <v>1433966.5095643068</v>
      </c>
      <c r="AC30" s="82">
        <v>747969.32028500526</v>
      </c>
      <c r="AD30" s="82">
        <v>1922561.4110306618</v>
      </c>
      <c r="AE30" s="82">
        <v>943340.29548215691</v>
      </c>
      <c r="AF30" s="82">
        <v>2373151.1296991082</v>
      </c>
      <c r="AG30" s="82">
        <v>697551.04284437175</v>
      </c>
      <c r="AH30" s="82">
        <v>1901841.5295635888</v>
      </c>
      <c r="AI30" s="83">
        <v>5424651.1098585492</v>
      </c>
      <c r="AJ30" s="83">
        <v>1125692.7269358407</v>
      </c>
      <c r="AK30" s="82">
        <v>786755.18071437394</v>
      </c>
      <c r="AL30" s="83">
        <v>958222.21651344525</v>
      </c>
    </row>
    <row r="31" spans="1:42" s="68" customFormat="1" ht="24" customHeight="1" x14ac:dyDescent="0.3">
      <c r="A31" s="133"/>
      <c r="B31" s="67" t="s">
        <v>32</v>
      </c>
      <c r="C31" s="62">
        <f t="shared" si="4"/>
        <v>4731630.2182503687</v>
      </c>
      <c r="D31" s="82">
        <v>94066.570188133133</v>
      </c>
      <c r="E31" s="83">
        <v>206946.4544138929</v>
      </c>
      <c r="F31" s="82">
        <v>112961.62201303402</v>
      </c>
      <c r="G31" s="83">
        <v>75253.25615050651</v>
      </c>
      <c r="H31" s="82">
        <v>84659.913169319829</v>
      </c>
      <c r="I31" s="82">
        <v>75253.25615050651</v>
      </c>
      <c r="J31" s="83">
        <v>84659.913169319829</v>
      </c>
      <c r="K31" s="82">
        <v>84659.913169319829</v>
      </c>
      <c r="L31" s="82">
        <v>103473.22720694645</v>
      </c>
      <c r="M31" s="82">
        <v>178726.48335745296</v>
      </c>
      <c r="N31" s="83">
        <v>178726.48335745296</v>
      </c>
      <c r="O31" s="83">
        <v>84659.913169319829</v>
      </c>
      <c r="P31" s="83">
        <v>178726.48335745296</v>
      </c>
      <c r="Q31" s="83">
        <v>159913.16931982632</v>
      </c>
      <c r="R31" s="83">
        <v>169319.82633863966</v>
      </c>
      <c r="S31" s="83">
        <v>84659.913169319829</v>
      </c>
      <c r="T31" s="82">
        <v>94066.570188133133</v>
      </c>
      <c r="U31" s="83">
        <v>357452.96671490592</v>
      </c>
      <c r="V31" s="83">
        <v>141099.85528219971</v>
      </c>
      <c r="W31" s="83">
        <v>150506.51230101302</v>
      </c>
      <c r="X31" s="83">
        <v>225759.76845151954</v>
      </c>
      <c r="Y31" s="82">
        <v>56439.942112879886</v>
      </c>
      <c r="Z31" s="83">
        <v>122286.54124457308</v>
      </c>
      <c r="AA31" s="82">
        <v>56439.942112879886</v>
      </c>
      <c r="AB31" s="82">
        <v>122286.54124457308</v>
      </c>
      <c r="AC31" s="82">
        <v>65846.59913169319</v>
      </c>
      <c r="AD31" s="82">
        <v>169319.82633863966</v>
      </c>
      <c r="AE31" s="82">
        <v>75253.25615050651</v>
      </c>
      <c r="AF31" s="82">
        <v>188133.14037626627</v>
      </c>
      <c r="AG31" s="82">
        <v>75253.25615050651</v>
      </c>
      <c r="AH31" s="82">
        <v>150506.51230101302</v>
      </c>
      <c r="AI31" s="83">
        <v>470332.8509406657</v>
      </c>
      <c r="AJ31" s="83">
        <v>103473.22720694645</v>
      </c>
      <c r="AK31" s="82">
        <v>75253.25615050651</v>
      </c>
      <c r="AL31" s="83">
        <v>75253.25615050651</v>
      </c>
    </row>
    <row r="32" spans="1:42" s="68" customFormat="1" ht="24" customHeight="1" x14ac:dyDescent="0.3">
      <c r="A32" s="133"/>
      <c r="B32" s="67" t="s">
        <v>33</v>
      </c>
      <c r="C32" s="62">
        <f t="shared" si="4"/>
        <v>12309305.354558613</v>
      </c>
      <c r="D32" s="82">
        <v>244717.8002894356</v>
      </c>
      <c r="E32" s="82">
        <v>538379.16063675832</v>
      </c>
      <c r="F32" s="82">
        <v>293661.36034732271</v>
      </c>
      <c r="G32" s="82">
        <v>195774.24023154849</v>
      </c>
      <c r="H32" s="82">
        <v>220246.02026049205</v>
      </c>
      <c r="I32" s="82">
        <v>195774.24023154849</v>
      </c>
      <c r="J32" s="82">
        <v>220246.02026049205</v>
      </c>
      <c r="K32" s="82">
        <v>220246.02026049205</v>
      </c>
      <c r="L32" s="82">
        <v>269189.58031837916</v>
      </c>
      <c r="M32" s="82">
        <v>464963.82054992765</v>
      </c>
      <c r="N32" s="82">
        <v>464963.82054992765</v>
      </c>
      <c r="O32" s="82">
        <v>220246.02026049205</v>
      </c>
      <c r="P32" s="82">
        <v>464963.82054992765</v>
      </c>
      <c r="Q32" s="82">
        <v>416020.26049204054</v>
      </c>
      <c r="R32" s="82">
        <v>440492.0405209841</v>
      </c>
      <c r="S32" s="82">
        <v>220246.02026049205</v>
      </c>
      <c r="T32" s="82">
        <v>244717.8002894356</v>
      </c>
      <c r="U32" s="82">
        <v>929927.6410998553</v>
      </c>
      <c r="V32" s="82">
        <v>367076.70043415343</v>
      </c>
      <c r="W32" s="82">
        <v>391548.48046309699</v>
      </c>
      <c r="X32" s="82">
        <v>587322.72069464542</v>
      </c>
      <c r="Y32" s="82">
        <v>146830.68017366136</v>
      </c>
      <c r="Z32" s="82">
        <v>318133.14037626627</v>
      </c>
      <c r="AA32" s="82">
        <v>146830.68017366136</v>
      </c>
      <c r="AB32" s="82">
        <v>318133.14037626627</v>
      </c>
      <c r="AC32" s="82">
        <v>171302.46020260494</v>
      </c>
      <c r="AD32" s="82">
        <v>440492.0405209841</v>
      </c>
      <c r="AE32" s="82">
        <v>195774.24023154849</v>
      </c>
      <c r="AF32" s="82">
        <v>489435.60057887121</v>
      </c>
      <c r="AG32" s="82">
        <v>195774.24023154849</v>
      </c>
      <c r="AH32" s="82">
        <v>391548.48046309699</v>
      </c>
      <c r="AI32" s="82">
        <v>1223589.001447178</v>
      </c>
      <c r="AJ32" s="82">
        <v>269189.58031837916</v>
      </c>
      <c r="AK32" s="82">
        <v>195774.24023154849</v>
      </c>
      <c r="AL32" s="82">
        <v>195774.24023154849</v>
      </c>
    </row>
    <row r="33" spans="1:38" s="68" customFormat="1" ht="24" customHeight="1" x14ac:dyDescent="0.3">
      <c r="A33" s="133"/>
      <c r="B33" s="67" t="s">
        <v>34</v>
      </c>
      <c r="C33" s="62">
        <f t="shared" si="4"/>
        <v>1432416.7872648339</v>
      </c>
      <c r="D33" s="82">
        <v>28943.56005788712</v>
      </c>
      <c r="E33" s="83">
        <v>63675.832127351663</v>
      </c>
      <c r="F33" s="82">
        <v>34732.272069464547</v>
      </c>
      <c r="G33" s="83">
        <v>23154.848046309697</v>
      </c>
      <c r="H33" s="82">
        <v>26049.204052098408</v>
      </c>
      <c r="I33" s="82">
        <v>23154.848046309697</v>
      </c>
      <c r="J33" s="83">
        <v>26049.204052098408</v>
      </c>
      <c r="K33" s="82">
        <v>2604.9204052098407</v>
      </c>
      <c r="L33" s="82">
        <v>31837.916063675832</v>
      </c>
      <c r="M33" s="82">
        <v>54992.764109985532</v>
      </c>
      <c r="N33" s="83">
        <v>54992.764109985532</v>
      </c>
      <c r="O33" s="83">
        <v>26049.204052098408</v>
      </c>
      <c r="P33" s="83">
        <v>54992.764109985532</v>
      </c>
      <c r="Q33" s="83">
        <v>49204.052098408109</v>
      </c>
      <c r="R33" s="83">
        <v>52098.408104196817</v>
      </c>
      <c r="S33" s="83">
        <v>26049.204052098408</v>
      </c>
      <c r="T33" s="82">
        <v>28943.56005788712</v>
      </c>
      <c r="U33" s="83">
        <v>109985.52821997106</v>
      </c>
      <c r="V33" s="83">
        <v>43415.340086830678</v>
      </c>
      <c r="W33" s="83">
        <v>46309.696092619393</v>
      </c>
      <c r="X33" s="83">
        <v>69464.544138929094</v>
      </c>
      <c r="Y33" s="82">
        <v>17366.136034732273</v>
      </c>
      <c r="Z33" s="83">
        <v>37626.628075253255</v>
      </c>
      <c r="AA33" s="82">
        <v>17366.136034732273</v>
      </c>
      <c r="AB33" s="82">
        <v>37626.628075253255</v>
      </c>
      <c r="AC33" s="82">
        <v>20260.492040520985</v>
      </c>
      <c r="AD33" s="82">
        <v>52098.408104196817</v>
      </c>
      <c r="AE33" s="82">
        <v>23154.848046309697</v>
      </c>
      <c r="AF33" s="82">
        <v>57887.12011577424</v>
      </c>
      <c r="AG33" s="82">
        <v>23154.848046309697</v>
      </c>
      <c r="AH33" s="82">
        <v>46309.696092619393</v>
      </c>
      <c r="AI33" s="83">
        <v>144717.8002894356</v>
      </c>
      <c r="AJ33" s="83">
        <v>31837.916063675832</v>
      </c>
      <c r="AK33" s="82">
        <v>23154.848046309697</v>
      </c>
      <c r="AL33" s="83">
        <v>23154.848046309697</v>
      </c>
    </row>
    <row r="34" spans="1:38" s="68" customFormat="1" ht="24" customHeight="1" x14ac:dyDescent="0.3">
      <c r="A34" s="133"/>
      <c r="B34" s="67" t="s">
        <v>167</v>
      </c>
      <c r="C34" s="62">
        <f t="shared" si="4"/>
        <v>1091895.8031837912</v>
      </c>
      <c r="D34" s="82">
        <v>21707.670043415343</v>
      </c>
      <c r="E34" s="82">
        <v>47756.874095513755</v>
      </c>
      <c r="F34" s="82">
        <v>26049.204052098408</v>
      </c>
      <c r="G34" s="82">
        <v>17366.136034732273</v>
      </c>
      <c r="H34" s="82">
        <v>19536.903039073808</v>
      </c>
      <c r="I34" s="82">
        <v>17366.136034732273</v>
      </c>
      <c r="J34" s="82">
        <v>19536.903039073808</v>
      </c>
      <c r="K34" s="82">
        <v>19536.903039073808</v>
      </c>
      <c r="L34" s="82">
        <v>23878.437047756877</v>
      </c>
      <c r="M34" s="82">
        <v>41244.573082489151</v>
      </c>
      <c r="N34" s="82">
        <v>41244.573082489151</v>
      </c>
      <c r="O34" s="82">
        <v>19536.903039073808</v>
      </c>
      <c r="P34" s="82">
        <v>41244.573082489151</v>
      </c>
      <c r="Q34" s="82">
        <v>36903.039073806081</v>
      </c>
      <c r="R34" s="82">
        <v>39073.806078147616</v>
      </c>
      <c r="S34" s="82">
        <v>19536.903039073808</v>
      </c>
      <c r="T34" s="82">
        <v>21707.670043415343</v>
      </c>
      <c r="U34" s="82">
        <v>82489.146164978301</v>
      </c>
      <c r="V34" s="82">
        <v>32561.505065123012</v>
      </c>
      <c r="W34" s="82">
        <v>34732.272069464547</v>
      </c>
      <c r="X34" s="82">
        <v>52098.408104196817</v>
      </c>
      <c r="Y34" s="82">
        <v>13024.602026049204</v>
      </c>
      <c r="Z34" s="82">
        <v>28219.971056439943</v>
      </c>
      <c r="AA34" s="82">
        <v>13024.602026049204</v>
      </c>
      <c r="AB34" s="82">
        <v>28219.971056439943</v>
      </c>
      <c r="AC34" s="82">
        <v>15195.369030390739</v>
      </c>
      <c r="AD34" s="82">
        <v>39073.806078147616</v>
      </c>
      <c r="AE34" s="82">
        <v>17366.136034732273</v>
      </c>
      <c r="AF34" s="82">
        <v>43415.340086830685</v>
      </c>
      <c r="AG34" s="82">
        <v>17366.136034732273</v>
      </c>
      <c r="AH34" s="82">
        <v>34732.272069464547</v>
      </c>
      <c r="AI34" s="82">
        <v>108538.3502170767</v>
      </c>
      <c r="AJ34" s="82">
        <v>23878.437047756877</v>
      </c>
      <c r="AK34" s="82">
        <v>17366.136034732273</v>
      </c>
      <c r="AL34" s="82">
        <v>17366.136034732273</v>
      </c>
    </row>
    <row r="35" spans="1:38" s="68" customFormat="1" ht="21.5" customHeight="1" x14ac:dyDescent="0.3">
      <c r="A35" s="133"/>
      <c r="B35" s="67" t="s">
        <v>35</v>
      </c>
      <c r="C35" s="62">
        <f t="shared" si="4"/>
        <v>20855210.204775687</v>
      </c>
      <c r="D35" s="82">
        <v>414616.50506512297</v>
      </c>
      <c r="E35" s="83">
        <v>912156.31114327058</v>
      </c>
      <c r="F35" s="82">
        <v>497539.80607814761</v>
      </c>
      <c r="G35" s="83">
        <v>331693.20405209839</v>
      </c>
      <c r="H35" s="82">
        <v>373154.85455861071</v>
      </c>
      <c r="I35" s="82">
        <v>331693.20405209839</v>
      </c>
      <c r="J35" s="83">
        <v>373154.85455861071</v>
      </c>
      <c r="K35" s="82">
        <v>373154.85455861071</v>
      </c>
      <c r="L35" s="82">
        <v>456078.15557163529</v>
      </c>
      <c r="M35" s="82">
        <v>787771.35962373368</v>
      </c>
      <c r="N35" s="83">
        <v>787771.35962373368</v>
      </c>
      <c r="O35" s="83">
        <v>373154.85455861071</v>
      </c>
      <c r="P35" s="83">
        <v>787771.35962373368</v>
      </c>
      <c r="Q35" s="83">
        <v>704848.05861070903</v>
      </c>
      <c r="R35" s="83">
        <v>746309.70911722141</v>
      </c>
      <c r="S35" s="83">
        <v>373154.85455861071</v>
      </c>
      <c r="T35" s="82">
        <v>414616.50506512297</v>
      </c>
      <c r="U35" s="83">
        <v>1575542.7192474674</v>
      </c>
      <c r="V35" s="83">
        <v>621924.75759768451</v>
      </c>
      <c r="W35" s="83">
        <v>663386.40810419677</v>
      </c>
      <c r="X35" s="83">
        <v>995079.61215629522</v>
      </c>
      <c r="Y35" s="82">
        <v>248769.9030390738</v>
      </c>
      <c r="Z35" s="83">
        <v>539001.45658465987</v>
      </c>
      <c r="AA35" s="82">
        <v>248769.9030390738</v>
      </c>
      <c r="AB35" s="82">
        <v>539001.45658465987</v>
      </c>
      <c r="AC35" s="82">
        <v>290231.55354558607</v>
      </c>
      <c r="AD35" s="82">
        <v>746309.70911722141</v>
      </c>
      <c r="AE35" s="82">
        <v>331693.20405209839</v>
      </c>
      <c r="AF35" s="82">
        <v>829233.01013024594</v>
      </c>
      <c r="AG35" s="82">
        <v>331693.20405209839</v>
      </c>
      <c r="AH35" s="82">
        <v>663386.40810419677</v>
      </c>
      <c r="AI35" s="82">
        <v>2073082.525325615</v>
      </c>
      <c r="AJ35" s="83">
        <v>456078.15557163529</v>
      </c>
      <c r="AK35" s="82">
        <v>331693.20405209839</v>
      </c>
      <c r="AL35" s="83">
        <v>331693.20405209839</v>
      </c>
    </row>
    <row r="36" spans="1:38" s="68" customFormat="1" ht="21" customHeight="1" x14ac:dyDescent="0.3">
      <c r="A36" s="133"/>
      <c r="B36" s="67" t="s">
        <v>36</v>
      </c>
      <c r="C36" s="62">
        <f t="shared" si="4"/>
        <v>15750000</v>
      </c>
      <c r="D36" s="82">
        <v>400000</v>
      </c>
      <c r="E36" s="83">
        <v>550000</v>
      </c>
      <c r="F36" s="82">
        <v>400000</v>
      </c>
      <c r="G36" s="83">
        <v>400000</v>
      </c>
      <c r="H36" s="82">
        <v>400000</v>
      </c>
      <c r="I36" s="82">
        <v>350000</v>
      </c>
      <c r="J36" s="83">
        <v>400000</v>
      </c>
      <c r="K36" s="82">
        <v>400000</v>
      </c>
      <c r="L36" s="82">
        <v>400000</v>
      </c>
      <c r="M36" s="82">
        <v>550000</v>
      </c>
      <c r="N36" s="83">
        <v>550000</v>
      </c>
      <c r="O36" s="83">
        <v>400000</v>
      </c>
      <c r="P36" s="83">
        <v>550000</v>
      </c>
      <c r="Q36" s="83">
        <v>550000</v>
      </c>
      <c r="R36" s="83">
        <v>550000</v>
      </c>
      <c r="S36" s="83">
        <v>350000</v>
      </c>
      <c r="T36" s="82">
        <v>400000</v>
      </c>
      <c r="U36" s="83">
        <v>800000</v>
      </c>
      <c r="V36" s="83">
        <v>400000</v>
      </c>
      <c r="W36" s="83">
        <v>200000</v>
      </c>
      <c r="X36" s="83">
        <v>550000</v>
      </c>
      <c r="Y36" s="82">
        <v>400000</v>
      </c>
      <c r="Z36" s="83">
        <v>400000</v>
      </c>
      <c r="AA36" s="82">
        <v>400000</v>
      </c>
      <c r="AB36" s="82">
        <v>400000</v>
      </c>
      <c r="AC36" s="82">
        <v>400000</v>
      </c>
      <c r="AD36" s="82">
        <v>300000</v>
      </c>
      <c r="AE36" s="82">
        <v>400000</v>
      </c>
      <c r="AF36" s="82">
        <v>550000</v>
      </c>
      <c r="AG36" s="82">
        <v>400000</v>
      </c>
      <c r="AH36" s="82">
        <v>550000</v>
      </c>
      <c r="AI36" s="82">
        <v>800000</v>
      </c>
      <c r="AJ36" s="83">
        <v>400000</v>
      </c>
      <c r="AK36" s="82">
        <v>400000</v>
      </c>
      <c r="AL36" s="83">
        <v>400000</v>
      </c>
    </row>
    <row r="37" spans="1:38" s="68" customFormat="1" ht="21.5" customHeight="1" x14ac:dyDescent="0.3">
      <c r="A37" s="133"/>
      <c r="B37" s="67" t="s">
        <v>37</v>
      </c>
      <c r="C37" s="62">
        <f t="shared" si="4"/>
        <v>6107930.5354558611</v>
      </c>
      <c r="D37" s="82">
        <v>124471.78002894355</v>
      </c>
      <c r="E37" s="83">
        <v>261837.91606367583</v>
      </c>
      <c r="F37" s="82">
        <v>147366.13603473228</v>
      </c>
      <c r="G37" s="83">
        <v>101577.42402315485</v>
      </c>
      <c r="H37" s="82">
        <v>113024.60202604921</v>
      </c>
      <c r="I37" s="82">
        <v>101577.42402315485</v>
      </c>
      <c r="J37" s="83">
        <v>113024.60202604921</v>
      </c>
      <c r="K37" s="82">
        <v>113024.60202604921</v>
      </c>
      <c r="L37" s="82">
        <v>135918.95803183792</v>
      </c>
      <c r="M37" s="82">
        <v>227496.38205499278</v>
      </c>
      <c r="N37" s="83">
        <v>227496.38205499278</v>
      </c>
      <c r="O37" s="83">
        <v>113024.60202604921</v>
      </c>
      <c r="P37" s="83">
        <v>227496.38205499278</v>
      </c>
      <c r="Q37" s="83">
        <v>204602.02604920405</v>
      </c>
      <c r="R37" s="83">
        <v>216049.20405209842</v>
      </c>
      <c r="S37" s="83">
        <v>113024.60202604921</v>
      </c>
      <c r="T37" s="82">
        <v>124471.78002894355</v>
      </c>
      <c r="U37" s="83">
        <v>444992.76410998555</v>
      </c>
      <c r="V37" s="83">
        <v>181707.67004341533</v>
      </c>
      <c r="W37" s="83">
        <v>193154.84804630969</v>
      </c>
      <c r="X37" s="83">
        <v>284732.27206946455</v>
      </c>
      <c r="Y37" s="82">
        <v>78683.068017366139</v>
      </c>
      <c r="Z37" s="83">
        <v>158813.31403762664</v>
      </c>
      <c r="AA37" s="82">
        <v>78683.068017366139</v>
      </c>
      <c r="AB37" s="82">
        <v>158813.31403762664</v>
      </c>
      <c r="AC37" s="82">
        <v>90130.2460202605</v>
      </c>
      <c r="AD37" s="82">
        <v>216049.20405209842</v>
      </c>
      <c r="AE37" s="82">
        <v>101577.42402315485</v>
      </c>
      <c r="AF37" s="82">
        <v>238943.56005788711</v>
      </c>
      <c r="AG37" s="82">
        <v>101577.42402315485</v>
      </c>
      <c r="AH37" s="82">
        <v>193154.84804630969</v>
      </c>
      <c r="AI37" s="82">
        <v>582358.90014471777</v>
      </c>
      <c r="AJ37" s="83">
        <v>135918.95803183792</v>
      </c>
      <c r="AK37" s="82">
        <v>101577.42402315485</v>
      </c>
      <c r="AL37" s="83">
        <v>101577.42402315485</v>
      </c>
    </row>
    <row r="38" spans="1:38" s="68" customFormat="1" ht="24" customHeight="1" x14ac:dyDescent="0.3">
      <c r="A38" s="133"/>
      <c r="B38" s="67" t="s">
        <v>38</v>
      </c>
      <c r="C38" s="62">
        <f t="shared" si="4"/>
        <v>9099131.6931982636</v>
      </c>
      <c r="D38" s="82">
        <v>180897.25036179449</v>
      </c>
      <c r="E38" s="83">
        <v>397973.95079594792</v>
      </c>
      <c r="F38" s="82">
        <v>217076.7004341534</v>
      </c>
      <c r="G38" s="83">
        <v>144717.8002894356</v>
      </c>
      <c r="H38" s="82">
        <v>162807.52532561505</v>
      </c>
      <c r="I38" s="82">
        <v>144717.8002894356</v>
      </c>
      <c r="J38" s="83">
        <v>162807.52532561505</v>
      </c>
      <c r="K38" s="82">
        <v>162807.52532561505</v>
      </c>
      <c r="L38" s="82">
        <v>198986.97539797396</v>
      </c>
      <c r="M38" s="82">
        <v>343704.77568740956</v>
      </c>
      <c r="N38" s="83">
        <v>343704.77568740956</v>
      </c>
      <c r="O38" s="83">
        <v>162807.52532561505</v>
      </c>
      <c r="P38" s="83">
        <v>343704.77568740956</v>
      </c>
      <c r="Q38" s="83">
        <v>307525.32561505068</v>
      </c>
      <c r="R38" s="83">
        <v>325615.05065123009</v>
      </c>
      <c r="S38" s="83">
        <v>162807.52532561505</v>
      </c>
      <c r="T38" s="82">
        <v>180897.25036179449</v>
      </c>
      <c r="U38" s="83">
        <v>687409.55137481913</v>
      </c>
      <c r="V38" s="83">
        <v>271345.87554269173</v>
      </c>
      <c r="W38" s="83">
        <v>289435.60057887121</v>
      </c>
      <c r="X38" s="83">
        <v>434153.40086830681</v>
      </c>
      <c r="Y38" s="82">
        <v>108538.3502170767</v>
      </c>
      <c r="Z38" s="83">
        <v>235166.42547033285</v>
      </c>
      <c r="AA38" s="83">
        <v>108538.3502170767</v>
      </c>
      <c r="AB38" s="82">
        <v>235166.42547033285</v>
      </c>
      <c r="AC38" s="82">
        <v>126628.07525325616</v>
      </c>
      <c r="AD38" s="82">
        <v>325615.05065123009</v>
      </c>
      <c r="AE38" s="82">
        <v>144717.8002894356</v>
      </c>
      <c r="AF38" s="82">
        <v>361794.50072358898</v>
      </c>
      <c r="AG38" s="82">
        <v>144717.8002894356</v>
      </c>
      <c r="AH38" s="82">
        <v>289435.60057887121</v>
      </c>
      <c r="AI38" s="82">
        <v>904486.25180897256</v>
      </c>
      <c r="AJ38" s="83">
        <v>198986.97539797396</v>
      </c>
      <c r="AK38" s="82">
        <v>144717.8002894356</v>
      </c>
      <c r="AL38" s="83">
        <v>144717.8002894356</v>
      </c>
    </row>
    <row r="39" spans="1:38" s="68" customFormat="1" ht="21" customHeight="1" x14ac:dyDescent="0.35">
      <c r="A39" s="133"/>
      <c r="B39" s="67" t="s">
        <v>39</v>
      </c>
      <c r="C39" s="62">
        <f t="shared" si="4"/>
        <v>5500000</v>
      </c>
      <c r="D39" s="82"/>
      <c r="E39" s="83"/>
      <c r="F39" s="82"/>
      <c r="G39" s="83"/>
      <c r="H39" s="82"/>
      <c r="I39" s="82"/>
      <c r="J39" s="83"/>
      <c r="K39" s="82"/>
      <c r="L39" s="82"/>
      <c r="M39" s="82"/>
      <c r="N39" s="83"/>
      <c r="O39" s="83"/>
      <c r="P39" s="83"/>
      <c r="Q39" s="83"/>
      <c r="R39" s="83"/>
      <c r="S39" s="83"/>
      <c r="T39" s="82"/>
      <c r="U39" s="83">
        <v>5500000</v>
      </c>
      <c r="V39" s="83"/>
      <c r="W39" s="83"/>
      <c r="X39" s="83"/>
      <c r="Y39" s="82"/>
      <c r="Z39" s="126"/>
      <c r="AA39" s="82"/>
      <c r="AB39" s="82"/>
      <c r="AC39" s="82"/>
      <c r="AD39" s="82"/>
      <c r="AE39" s="82"/>
      <c r="AF39" s="82"/>
      <c r="AG39" s="82"/>
      <c r="AH39" s="82"/>
      <c r="AI39" s="82"/>
      <c r="AJ39" s="83"/>
      <c r="AK39" s="82"/>
      <c r="AL39" s="89"/>
    </row>
    <row r="40" spans="1:38" s="68" customFormat="1" ht="25.5" customHeight="1" x14ac:dyDescent="0.3">
      <c r="A40" s="134"/>
      <c r="B40" s="67" t="s">
        <v>40</v>
      </c>
      <c r="C40" s="62">
        <f t="shared" si="4"/>
        <v>19989639.293053549</v>
      </c>
      <c r="D40" s="82">
        <v>389661.58465991321</v>
      </c>
      <c r="E40" s="83">
        <v>857255.48625180905</v>
      </c>
      <c r="F40" s="82">
        <v>467593.90159189585</v>
      </c>
      <c r="G40" s="83">
        <v>311729.26772793056</v>
      </c>
      <c r="H40" s="82">
        <v>350695.42619392188</v>
      </c>
      <c r="I40" s="82">
        <v>311729.26772793056</v>
      </c>
      <c r="J40" s="83">
        <v>350695.42619392188</v>
      </c>
      <c r="K40" s="82">
        <v>350695.42619392188</v>
      </c>
      <c r="L40" s="82">
        <v>428627.74312590453</v>
      </c>
      <c r="M40" s="82">
        <v>740357.01085383515</v>
      </c>
      <c r="N40" s="83">
        <v>740357.01085383515</v>
      </c>
      <c r="O40" s="83">
        <v>350695.42619392188</v>
      </c>
      <c r="P40" s="83">
        <v>740357.01085383515</v>
      </c>
      <c r="Q40" s="83">
        <v>662424.69392185239</v>
      </c>
      <c r="R40" s="83">
        <v>701390.85238784377</v>
      </c>
      <c r="S40" s="83">
        <v>350695.42619392188</v>
      </c>
      <c r="T40" s="82">
        <v>389661.58465991321</v>
      </c>
      <c r="U40" s="83">
        <v>1480714.0217076703</v>
      </c>
      <c r="V40" s="83">
        <v>584492.37698986987</v>
      </c>
      <c r="W40" s="83">
        <v>623458.53545586113</v>
      </c>
      <c r="X40" s="83">
        <v>935187.80318379169</v>
      </c>
      <c r="Y40" s="82">
        <v>233796.95079594792</v>
      </c>
      <c r="Z40" s="83">
        <v>506560.06005788717</v>
      </c>
      <c r="AA40" s="82">
        <v>623458.53545586113</v>
      </c>
      <c r="AB40" s="82">
        <v>506560.06005788717</v>
      </c>
      <c r="AC40" s="82">
        <v>272763.10926193924</v>
      </c>
      <c r="AD40" s="82">
        <v>701390.85238784377</v>
      </c>
      <c r="AE40" s="82">
        <v>311729.26772793056</v>
      </c>
      <c r="AF40" s="82">
        <v>779323.16931982641</v>
      </c>
      <c r="AG40" s="82">
        <v>311729.26772793056</v>
      </c>
      <c r="AH40" s="82">
        <v>623458.53545586113</v>
      </c>
      <c r="AI40" s="82">
        <v>1948307.9232995659</v>
      </c>
      <c r="AJ40" s="83">
        <v>428627.74312590453</v>
      </c>
      <c r="AK40" s="82">
        <v>311729.26772793056</v>
      </c>
      <c r="AL40" s="83">
        <v>311729.26772793056</v>
      </c>
    </row>
    <row r="41" spans="1:38" s="68" customFormat="1" ht="33" customHeight="1" x14ac:dyDescent="0.3">
      <c r="A41" s="135" t="s">
        <v>41</v>
      </c>
      <c r="B41" s="66" t="s">
        <v>42</v>
      </c>
      <c r="C41" s="62">
        <f t="shared" si="4"/>
        <v>86804284.536903054</v>
      </c>
      <c r="D41" s="82">
        <v>1676353</v>
      </c>
      <c r="E41" s="82">
        <v>4876977</v>
      </c>
      <c r="F41" s="82">
        <v>1955624</v>
      </c>
      <c r="G41" s="83">
        <v>3687082</v>
      </c>
      <c r="H41" s="82">
        <v>154217.8002894356</v>
      </c>
      <c r="I41" s="82">
        <v>3987082</v>
      </c>
      <c r="J41" s="83">
        <v>154217.8002894356</v>
      </c>
      <c r="K41" s="68">
        <v>2254218</v>
      </c>
      <c r="L41" s="68">
        <v>188488.42257597682</v>
      </c>
      <c r="M41" s="82">
        <v>325570.91172214178</v>
      </c>
      <c r="N41" s="82">
        <v>6125571</v>
      </c>
      <c r="O41" s="82">
        <v>154217.8002894356</v>
      </c>
      <c r="P41" s="68">
        <v>4730571</v>
      </c>
      <c r="Q41" s="83">
        <v>1901300</v>
      </c>
      <c r="R41" s="83">
        <v>2023436</v>
      </c>
      <c r="S41" s="83">
        <v>154217.8002894356</v>
      </c>
      <c r="T41" s="68">
        <v>171353.11143270621</v>
      </c>
      <c r="U41" s="82">
        <v>5511142</v>
      </c>
      <c r="V41" s="83">
        <v>5637030</v>
      </c>
      <c r="W41" s="82">
        <v>2124165</v>
      </c>
      <c r="X41" s="90">
        <v>4411247</v>
      </c>
      <c r="Y41" s="82">
        <v>2052812</v>
      </c>
      <c r="Z41" s="83">
        <v>1972759</v>
      </c>
      <c r="AA41" s="82">
        <v>2974165</v>
      </c>
      <c r="AB41" s="82">
        <v>2122759</v>
      </c>
      <c r="AC41" s="82">
        <v>1719947</v>
      </c>
      <c r="AD41" s="82">
        <v>2343436</v>
      </c>
      <c r="AE41" s="82">
        <v>137082.48914616497</v>
      </c>
      <c r="AF41" s="82">
        <v>4092706</v>
      </c>
      <c r="AG41" s="68">
        <v>1837082</v>
      </c>
      <c r="AH41" s="82">
        <v>274164.97829232994</v>
      </c>
      <c r="AI41" s="68">
        <v>9056766</v>
      </c>
      <c r="AJ41" s="68">
        <v>188488.42257597682</v>
      </c>
      <c r="AK41" s="68">
        <v>1607082</v>
      </c>
      <c r="AL41" s="83">
        <v>4220953</v>
      </c>
    </row>
    <row r="42" spans="1:38" s="68" customFormat="1" ht="33" customHeight="1" x14ac:dyDescent="0.3">
      <c r="A42" s="135"/>
      <c r="B42" s="69" t="s">
        <v>43</v>
      </c>
      <c r="C42" s="62">
        <f t="shared" si="4"/>
        <v>12923000</v>
      </c>
      <c r="D42" s="82"/>
      <c r="E42" s="83"/>
      <c r="F42" s="82">
        <v>265000</v>
      </c>
      <c r="G42" s="82">
        <v>400000</v>
      </c>
      <c r="H42" s="82"/>
      <c r="I42" s="82">
        <v>250000</v>
      </c>
      <c r="J42" s="82"/>
      <c r="K42" s="68">
        <v>85000</v>
      </c>
      <c r="N42" s="82">
        <v>700000</v>
      </c>
      <c r="O42" s="82"/>
      <c r="P42" s="68">
        <v>1753000</v>
      </c>
      <c r="Q42" s="82"/>
      <c r="R42" s="68">
        <v>1005000</v>
      </c>
      <c r="S42" s="82">
        <v>45000</v>
      </c>
      <c r="T42" s="68">
        <v>595000</v>
      </c>
      <c r="U42" s="82">
        <v>1940000</v>
      </c>
      <c r="V42" s="82"/>
      <c r="W42" s="82">
        <v>265000</v>
      </c>
      <c r="X42" s="82">
        <v>615000</v>
      </c>
      <c r="Y42" s="82"/>
      <c r="Z42" s="82"/>
      <c r="AA42" s="82"/>
      <c r="AB42" s="82">
        <v>465000</v>
      </c>
      <c r="AC42" s="82"/>
      <c r="AD42" s="82">
        <v>75000</v>
      </c>
      <c r="AE42" s="82"/>
      <c r="AF42" s="82">
        <v>115000</v>
      </c>
      <c r="AG42" s="68">
        <v>1775000</v>
      </c>
      <c r="AH42" s="82">
        <v>325000</v>
      </c>
      <c r="AI42" s="68">
        <v>1750000</v>
      </c>
      <c r="AK42" s="68">
        <v>500000</v>
      </c>
      <c r="AL42" s="82"/>
    </row>
    <row r="43" spans="1:38" s="68" customFormat="1" ht="54.5" customHeight="1" x14ac:dyDescent="0.3">
      <c r="A43" s="135"/>
      <c r="B43" s="69" t="s">
        <v>103</v>
      </c>
      <c r="C43" s="62">
        <f t="shared" si="4"/>
        <v>22632000</v>
      </c>
      <c r="D43" s="82"/>
      <c r="E43" s="82">
        <v>820000</v>
      </c>
      <c r="F43" s="82">
        <v>2205000</v>
      </c>
      <c r="G43" s="67">
        <v>165000</v>
      </c>
      <c r="H43" s="67">
        <v>190000</v>
      </c>
      <c r="I43" s="67">
        <v>885000</v>
      </c>
      <c r="J43" s="82">
        <v>300000</v>
      </c>
      <c r="K43" s="82">
        <v>40000</v>
      </c>
      <c r="M43" s="68">
        <v>375000</v>
      </c>
      <c r="N43" s="82">
        <v>705000</v>
      </c>
      <c r="O43" s="68">
        <v>676000</v>
      </c>
      <c r="P43" s="68">
        <v>1470000</v>
      </c>
      <c r="Q43" s="68">
        <v>485000</v>
      </c>
      <c r="R43" s="68">
        <v>500000</v>
      </c>
      <c r="S43" s="82"/>
      <c r="T43" s="82">
        <v>920000</v>
      </c>
      <c r="U43" s="68">
        <v>960000</v>
      </c>
      <c r="V43" s="82">
        <v>140000</v>
      </c>
      <c r="W43" s="82"/>
      <c r="X43" s="83">
        <v>1635000</v>
      </c>
      <c r="Y43" s="68">
        <v>200000</v>
      </c>
      <c r="Z43" s="82">
        <v>445000</v>
      </c>
      <c r="AA43" s="82"/>
      <c r="AB43" s="82">
        <v>111000</v>
      </c>
      <c r="AC43" s="82">
        <v>25000</v>
      </c>
      <c r="AD43" s="68">
        <v>330000</v>
      </c>
      <c r="AE43" s="82"/>
      <c r="AG43" s="68">
        <v>970000</v>
      </c>
      <c r="AH43" s="68">
        <v>490000</v>
      </c>
      <c r="AI43" s="68">
        <v>2710000</v>
      </c>
      <c r="AK43" s="82">
        <v>950000</v>
      </c>
      <c r="AL43" s="68">
        <v>3930000</v>
      </c>
    </row>
    <row r="44" spans="1:38" s="93" customFormat="1" ht="13" x14ac:dyDescent="0.3">
      <c r="A44" s="91" t="s">
        <v>45</v>
      </c>
      <c r="B44" s="92"/>
      <c r="C44" s="62">
        <f>SUM(C30:C43)</f>
        <v>273748426.89810562</v>
      </c>
      <c r="D44" s="92">
        <f t="shared" ref="D44:AL44" si="5">SUM(D30:D43)</f>
        <v>4586491.3158953376</v>
      </c>
      <c r="E44" s="92">
        <f t="shared" si="5"/>
        <v>12130884.469082385</v>
      </c>
      <c r="F44" s="92">
        <f t="shared" si="5"/>
        <v>7531534.1168494439</v>
      </c>
      <c r="G44" s="92">
        <f t="shared" si="5"/>
        <v>6587203.4469254576</v>
      </c>
      <c r="H44" s="92">
        <f t="shared" si="5"/>
        <v>3067338.2996264608</v>
      </c>
      <c r="I44" s="92">
        <f t="shared" si="5"/>
        <v>7574232.2302015927</v>
      </c>
      <c r="J44" s="92">
        <f t="shared" si="5"/>
        <v>3120822.2691985923</v>
      </c>
      <c r="K44" s="92">
        <f t="shared" si="5"/>
        <v>4924401.6754147252</v>
      </c>
      <c r="L44" s="92">
        <f t="shared" si="5"/>
        <v>3353881.4786670958</v>
      </c>
      <c r="M44" s="92">
        <f t="shared" si="5"/>
        <v>6233097.4183036946</v>
      </c>
      <c r="N44" s="92">
        <f t="shared" si="5"/>
        <v>12970385.010624148</v>
      </c>
      <c r="O44" s="92">
        <f t="shared" si="5"/>
        <v>3462310.6559284315</v>
      </c>
      <c r="P44" s="92">
        <f>SUM(P30:P43)</f>
        <v>13559633.209660392</v>
      </c>
      <c r="Q44" s="92">
        <f t="shared" si="5"/>
        <v>7567645.6913826074</v>
      </c>
      <c r="R44" s="92">
        <f t="shared" si="5"/>
        <v>8886616.652486613</v>
      </c>
      <c r="S44" s="92">
        <f t="shared" si="5"/>
        <v>3069392.2489146162</v>
      </c>
      <c r="T44" s="92">
        <f t="shared" si="5"/>
        <v>4859827.7109398395</v>
      </c>
      <c r="U44" s="92">
        <f t="shared" si="5"/>
        <v>24824410.289076127</v>
      </c>
      <c r="V44" s="92">
        <f t="shared" si="5"/>
        <v>9801040.6446340904</v>
      </c>
      <c r="W44" s="92">
        <f t="shared" si="5"/>
        <v>6530175.5769482385</v>
      </c>
      <c r="X44" s="92">
        <f t="shared" si="5"/>
        <v>13002239.719937013</v>
      </c>
      <c r="Y44" s="92">
        <f t="shared" si="5"/>
        <v>4141417.9916835977</v>
      </c>
      <c r="Z44" s="92">
        <f t="shared" si="5"/>
        <v>6175105.1713645458</v>
      </c>
      <c r="AA44" s="92">
        <f t="shared" si="5"/>
        <v>5373488.8062540852</v>
      </c>
      <c r="AB44" s="92">
        <f t="shared" si="5"/>
        <v>6478533.0464673452</v>
      </c>
      <c r="AC44" s="92">
        <f t="shared" si="5"/>
        <v>3945274.224771257</v>
      </c>
      <c r="AD44" s="92">
        <f t="shared" si="5"/>
        <v>7661346.308281024</v>
      </c>
      <c r="AE44" s="92">
        <f t="shared" si="5"/>
        <v>2681688.9611840383</v>
      </c>
      <c r="AF44" s="92">
        <f t="shared" si="5"/>
        <v>10119022.5710884</v>
      </c>
      <c r="AG44" s="92">
        <f t="shared" si="5"/>
        <v>6880899.2194000883</v>
      </c>
      <c r="AH44" s="92">
        <f t="shared" si="5"/>
        <v>5933538.8609673521</v>
      </c>
      <c r="AI44" s="92">
        <f t="shared" si="5"/>
        <v>27196830.713331781</v>
      </c>
      <c r="AJ44" s="92">
        <f t="shared" si="5"/>
        <v>3362172.1422759271</v>
      </c>
      <c r="AK44" s="92">
        <f t="shared" si="5"/>
        <v>5445103.3572700899</v>
      </c>
      <c r="AL44" s="92">
        <f t="shared" si="5"/>
        <v>10710441.393069161</v>
      </c>
    </row>
    <row r="45" spans="1:38" s="96" customFormat="1" ht="13" x14ac:dyDescent="0.3">
      <c r="A45" s="94" t="s">
        <v>46</v>
      </c>
      <c r="B45" s="95"/>
      <c r="C45" s="62">
        <f t="shared" ref="C45:AL45" si="6">C29+C44</f>
        <v>2180369675.2314391</v>
      </c>
      <c r="D45" s="95">
        <f t="shared" si="6"/>
        <v>45291572.315895334</v>
      </c>
      <c r="E45" s="95">
        <f t="shared" si="6"/>
        <v>118674562.46908239</v>
      </c>
      <c r="F45" s="95">
        <f t="shared" si="6"/>
        <v>59519962.116849445</v>
      </c>
      <c r="G45" s="95">
        <f t="shared" si="6"/>
        <v>35927869.78025879</v>
      </c>
      <c r="H45" s="95">
        <f t="shared" si="6"/>
        <v>46212720.299626462</v>
      </c>
      <c r="I45" s="95">
        <f t="shared" si="6"/>
        <v>39173786.230201595</v>
      </c>
      <c r="J45" s="95">
        <f t="shared" si="6"/>
        <v>37077579.269198589</v>
      </c>
      <c r="K45" s="95">
        <f t="shared" si="6"/>
        <v>41448573.675414726</v>
      </c>
      <c r="L45" s="95">
        <f t="shared" si="6"/>
        <v>48607103.478667095</v>
      </c>
      <c r="M45" s="95">
        <f t="shared" si="6"/>
        <v>71319908.418303698</v>
      </c>
      <c r="N45" s="95">
        <f t="shared" si="6"/>
        <v>87415361.010624141</v>
      </c>
      <c r="O45" s="95">
        <f t="shared" si="6"/>
        <v>40434758.655928433</v>
      </c>
      <c r="P45" s="95">
        <f t="shared" si="6"/>
        <v>74042925.209660396</v>
      </c>
      <c r="Q45" s="95">
        <f t="shared" si="6"/>
        <v>44085023.691382609</v>
      </c>
      <c r="R45" s="95">
        <f t="shared" si="6"/>
        <v>87304314.985819936</v>
      </c>
      <c r="S45" s="95">
        <f t="shared" si="6"/>
        <v>34533696.248914614</v>
      </c>
      <c r="T45" s="95">
        <f t="shared" si="6"/>
        <v>38637654.710939839</v>
      </c>
      <c r="U45" s="95">
        <f t="shared" si="6"/>
        <v>165466924.28907612</v>
      </c>
      <c r="V45" s="95">
        <f t="shared" si="6"/>
        <v>71849062.644634098</v>
      </c>
      <c r="W45" s="95">
        <f t="shared" si="6"/>
        <v>69008738.57694824</v>
      </c>
      <c r="X45" s="95">
        <f t="shared" si="6"/>
        <v>87305906.719937012</v>
      </c>
      <c r="Y45" s="95">
        <f t="shared" si="6"/>
        <v>25899915.991683599</v>
      </c>
      <c r="Z45" s="95">
        <f t="shared" si="6"/>
        <v>53868004.171364546</v>
      </c>
      <c r="AA45" s="95">
        <f t="shared" si="6"/>
        <v>31513746.806254085</v>
      </c>
      <c r="AB45" s="95">
        <f t="shared" si="6"/>
        <v>65995081.046467349</v>
      </c>
      <c r="AC45" s="95">
        <f t="shared" si="6"/>
        <v>26932133.224771257</v>
      </c>
      <c r="AD45" s="95">
        <f t="shared" si="6"/>
        <v>65454375.308281027</v>
      </c>
      <c r="AE45" s="95">
        <f t="shared" si="6"/>
        <v>35383472.627850704</v>
      </c>
      <c r="AF45" s="95">
        <f t="shared" si="6"/>
        <v>96195054.23775506</v>
      </c>
      <c r="AG45" s="95">
        <f t="shared" si="6"/>
        <v>40781088.219400086</v>
      </c>
      <c r="AH45" s="95">
        <f t="shared" si="6"/>
        <v>80591640.194300696</v>
      </c>
      <c r="AI45" s="95">
        <f t="shared" si="6"/>
        <v>194548905.71333179</v>
      </c>
      <c r="AJ45" s="95">
        <f t="shared" si="6"/>
        <v>36413855.142275929</v>
      </c>
      <c r="AK45" s="95">
        <f t="shared" si="6"/>
        <v>37643365.357270092</v>
      </c>
      <c r="AL45" s="95">
        <f t="shared" si="6"/>
        <v>45811032.393069163</v>
      </c>
    </row>
    <row r="46" spans="1:38" s="93" customFormat="1" ht="13" x14ac:dyDescent="0.3">
      <c r="A46" s="92" t="s">
        <v>47</v>
      </c>
      <c r="B46" s="92"/>
      <c r="C46" s="62">
        <f t="shared" ref="C46:AL46" si="7">C4-C29</f>
        <v>621080880.66666651</v>
      </c>
      <c r="D46" s="97">
        <f t="shared" si="7"/>
        <v>12898500</v>
      </c>
      <c r="E46" s="97">
        <f t="shared" si="7"/>
        <v>37846322</v>
      </c>
      <c r="F46" s="97">
        <f t="shared" si="7"/>
        <v>697572</v>
      </c>
      <c r="G46" s="97">
        <f t="shared" si="7"/>
        <v>12179333.666666668</v>
      </c>
      <c r="H46" s="97">
        <f t="shared" si="7"/>
        <v>12774618</v>
      </c>
      <c r="I46" s="97">
        <f t="shared" si="7"/>
        <v>13886446</v>
      </c>
      <c r="J46" s="97">
        <f t="shared" si="7"/>
        <v>-436757</v>
      </c>
      <c r="K46" s="97">
        <f t="shared" si="7"/>
        <v>10460828</v>
      </c>
      <c r="L46" s="97">
        <f t="shared" si="7"/>
        <v>13055778</v>
      </c>
      <c r="M46" s="97">
        <f t="shared" si="7"/>
        <v>27707189</v>
      </c>
      <c r="N46" s="97">
        <f t="shared" si="7"/>
        <v>35749024</v>
      </c>
      <c r="O46" s="97">
        <f t="shared" si="7"/>
        <v>8213552</v>
      </c>
      <c r="P46" s="97">
        <f t="shared" si="7"/>
        <v>25422708</v>
      </c>
      <c r="Q46" s="97">
        <f t="shared" si="7"/>
        <v>21554956</v>
      </c>
      <c r="R46" s="97">
        <f t="shared" si="7"/>
        <v>34720301.666666672</v>
      </c>
      <c r="S46" s="97">
        <f t="shared" si="7"/>
        <v>11863696</v>
      </c>
      <c r="T46" s="97">
        <f t="shared" si="7"/>
        <v>16483173</v>
      </c>
      <c r="U46" s="97">
        <f t="shared" si="7"/>
        <v>46762486</v>
      </c>
      <c r="V46" s="97">
        <f t="shared" si="7"/>
        <v>18139778</v>
      </c>
      <c r="W46" s="97">
        <f t="shared" si="7"/>
        <v>20854437</v>
      </c>
      <c r="X46" s="97">
        <f t="shared" si="7"/>
        <v>20936333</v>
      </c>
      <c r="Y46" s="97">
        <f t="shared" si="7"/>
        <v>11216502</v>
      </c>
      <c r="Z46" s="97">
        <f t="shared" si="7"/>
        <v>13370811</v>
      </c>
      <c r="AA46" s="97">
        <f t="shared" si="7"/>
        <v>21819742</v>
      </c>
      <c r="AB46" s="97">
        <f t="shared" si="7"/>
        <v>15981452</v>
      </c>
      <c r="AC46" s="97">
        <f t="shared" si="7"/>
        <v>8915141</v>
      </c>
      <c r="AD46" s="97">
        <f t="shared" si="7"/>
        <v>14397971</v>
      </c>
      <c r="AE46" s="97">
        <f t="shared" si="7"/>
        <v>7166216.3333333321</v>
      </c>
      <c r="AF46" s="97">
        <f t="shared" si="7"/>
        <v>22005768.333333343</v>
      </c>
      <c r="AG46" s="97">
        <f t="shared" si="7"/>
        <v>6602263</v>
      </c>
      <c r="AH46" s="97">
        <f t="shared" si="7"/>
        <v>8650350.6666666567</v>
      </c>
      <c r="AI46" s="97">
        <f t="shared" si="7"/>
        <v>55872925</v>
      </c>
      <c r="AJ46" s="97">
        <f t="shared" si="7"/>
        <v>12888317</v>
      </c>
      <c r="AK46" s="97">
        <f t="shared" si="7"/>
        <v>9296738</v>
      </c>
      <c r="AL46" s="97">
        <f t="shared" si="7"/>
        <v>11126409</v>
      </c>
    </row>
    <row r="47" spans="1:38" s="100" customFormat="1" ht="13" x14ac:dyDescent="0.3">
      <c r="A47" s="98" t="s">
        <v>48</v>
      </c>
      <c r="B47" s="98"/>
      <c r="C47" s="62">
        <f>C4-C45</f>
        <v>347332453.76856089</v>
      </c>
      <c r="D47" s="99">
        <f t="shared" ref="D47:AL47" si="8">D4-D45</f>
        <v>8312008.6841046661</v>
      </c>
      <c r="E47" s="99">
        <f t="shared" si="8"/>
        <v>25715437.530917615</v>
      </c>
      <c r="F47" s="99">
        <f t="shared" si="8"/>
        <v>-6833962.1168494448</v>
      </c>
      <c r="G47" s="99">
        <f t="shared" si="8"/>
        <v>5592130.2197412103</v>
      </c>
      <c r="H47" s="99">
        <f t="shared" si="8"/>
        <v>9707279.7003735378</v>
      </c>
      <c r="I47" s="99">
        <f t="shared" si="8"/>
        <v>6312213.7697984055</v>
      </c>
      <c r="J47" s="99">
        <f t="shared" si="8"/>
        <v>-3557579.269198589</v>
      </c>
      <c r="K47" s="99">
        <f t="shared" si="8"/>
        <v>5536426.3245852739</v>
      </c>
      <c r="L47" s="99">
        <f t="shared" si="8"/>
        <v>9701896.5213329047</v>
      </c>
      <c r="M47" s="99">
        <f t="shared" si="8"/>
        <v>21474091.581696302</v>
      </c>
      <c r="N47" s="99">
        <f t="shared" si="8"/>
        <v>22778638.989375859</v>
      </c>
      <c r="O47" s="99">
        <f t="shared" si="8"/>
        <v>4751241.3440715671</v>
      </c>
      <c r="P47" s="99">
        <f t="shared" si="8"/>
        <v>11863074.790339604</v>
      </c>
      <c r="Q47" s="99">
        <f t="shared" si="8"/>
        <v>13987310.308617391</v>
      </c>
      <c r="R47" s="99">
        <f t="shared" si="8"/>
        <v>25833685.014180064</v>
      </c>
      <c r="S47" s="99">
        <f t="shared" si="8"/>
        <v>8794303.7510853857</v>
      </c>
      <c r="T47" s="99">
        <f t="shared" si="8"/>
        <v>11623345.289060161</v>
      </c>
      <c r="U47" s="99">
        <f t="shared" si="8"/>
        <v>21938075.71092388</v>
      </c>
      <c r="V47" s="99">
        <f t="shared" si="8"/>
        <v>8338737.3553659022</v>
      </c>
      <c r="W47" s="99">
        <f t="shared" si="8"/>
        <v>14324261.42305176</v>
      </c>
      <c r="X47" s="99">
        <f t="shared" si="8"/>
        <v>7934093.2800629884</v>
      </c>
      <c r="Y47" s="99">
        <f t="shared" si="8"/>
        <v>7075084.0083164014</v>
      </c>
      <c r="Z47" s="99">
        <f t="shared" si="8"/>
        <v>7195705.8286354542</v>
      </c>
      <c r="AA47" s="99">
        <f t="shared" si="8"/>
        <v>16446253.193745915</v>
      </c>
      <c r="AB47" s="99">
        <f t="shared" si="8"/>
        <v>9502918.9535326511</v>
      </c>
      <c r="AC47" s="99">
        <f t="shared" si="8"/>
        <v>4969866.7752287425</v>
      </c>
      <c r="AD47" s="99">
        <f t="shared" si="8"/>
        <v>6736624.6917189732</v>
      </c>
      <c r="AE47" s="99">
        <f t="shared" si="8"/>
        <v>4484527.3721492961</v>
      </c>
      <c r="AF47" s="99">
        <f t="shared" si="8"/>
        <v>11886745.76224494</v>
      </c>
      <c r="AG47" s="99">
        <f t="shared" si="8"/>
        <v>-278636.21940008551</v>
      </c>
      <c r="AH47" s="99">
        <f t="shared" si="8"/>
        <v>2716811.8056993037</v>
      </c>
      <c r="AI47" s="99">
        <f t="shared" si="8"/>
        <v>28676094.286668211</v>
      </c>
      <c r="AJ47" s="99">
        <f t="shared" si="8"/>
        <v>9526144.8577240705</v>
      </c>
      <c r="AK47" s="99">
        <f t="shared" si="8"/>
        <v>3851634.6427299082</v>
      </c>
      <c r="AL47" s="99">
        <f t="shared" si="8"/>
        <v>415967.60693083704</v>
      </c>
    </row>
    <row r="48" spans="1:38" s="64" customFormat="1" ht="13" x14ac:dyDescent="0.3">
      <c r="A48" s="60" t="s">
        <v>29</v>
      </c>
      <c r="B48" s="60"/>
      <c r="C48" s="62">
        <f t="shared" ref="C48:AL48" si="9">C29</f>
        <v>1906621248.3333335</v>
      </c>
      <c r="D48" s="61">
        <f t="shared" si="9"/>
        <v>40705081</v>
      </c>
      <c r="E48" s="61">
        <f t="shared" si="9"/>
        <v>106543678</v>
      </c>
      <c r="F48" s="61">
        <f t="shared" si="9"/>
        <v>51988428</v>
      </c>
      <c r="G48" s="61">
        <f t="shared" si="9"/>
        <v>29340666.333333332</v>
      </c>
      <c r="H48" s="61">
        <f t="shared" si="9"/>
        <v>43145382</v>
      </c>
      <c r="I48" s="61">
        <f t="shared" si="9"/>
        <v>31599554</v>
      </c>
      <c r="J48" s="61">
        <f t="shared" si="9"/>
        <v>33956757</v>
      </c>
      <c r="K48" s="61">
        <f t="shared" si="9"/>
        <v>36524172</v>
      </c>
      <c r="L48" s="61">
        <f t="shared" si="9"/>
        <v>45253222</v>
      </c>
      <c r="M48" s="61">
        <f t="shared" si="9"/>
        <v>65086811</v>
      </c>
      <c r="N48" s="61">
        <f t="shared" si="9"/>
        <v>74444976</v>
      </c>
      <c r="O48" s="61">
        <f t="shared" si="9"/>
        <v>36972448</v>
      </c>
      <c r="P48" s="61">
        <f t="shared" si="9"/>
        <v>60483292</v>
      </c>
      <c r="Q48" s="61">
        <f t="shared" si="9"/>
        <v>36517378</v>
      </c>
      <c r="R48" s="61">
        <f t="shared" si="9"/>
        <v>78417698.333333328</v>
      </c>
      <c r="S48" s="61">
        <f t="shared" si="9"/>
        <v>31464304</v>
      </c>
      <c r="T48" s="61">
        <f t="shared" si="9"/>
        <v>33777827</v>
      </c>
      <c r="U48" s="61">
        <f t="shared" si="9"/>
        <v>140642514</v>
      </c>
      <c r="V48" s="61">
        <f t="shared" si="9"/>
        <v>62048022</v>
      </c>
      <c r="W48" s="61">
        <f t="shared" si="9"/>
        <v>62478563</v>
      </c>
      <c r="X48" s="61">
        <f t="shared" si="9"/>
        <v>74303667</v>
      </c>
      <c r="Y48" s="61">
        <f t="shared" si="9"/>
        <v>21758498</v>
      </c>
      <c r="Z48" s="61">
        <f t="shared" si="9"/>
        <v>47692899</v>
      </c>
      <c r="AA48" s="61">
        <f t="shared" si="9"/>
        <v>26140258</v>
      </c>
      <c r="AB48" s="61">
        <f t="shared" si="9"/>
        <v>59516548</v>
      </c>
      <c r="AC48" s="61">
        <f t="shared" si="9"/>
        <v>22986859</v>
      </c>
      <c r="AD48" s="61">
        <f t="shared" si="9"/>
        <v>57793029</v>
      </c>
      <c r="AE48" s="61">
        <f t="shared" si="9"/>
        <v>32701783.666666668</v>
      </c>
      <c r="AF48" s="61">
        <f t="shared" si="9"/>
        <v>86076031.666666657</v>
      </c>
      <c r="AG48" s="61">
        <f t="shared" si="9"/>
        <v>33900189</v>
      </c>
      <c r="AH48" s="61">
        <f t="shared" si="9"/>
        <v>74658101.333333343</v>
      </c>
      <c r="AI48" s="61">
        <f t="shared" si="9"/>
        <v>167352075</v>
      </c>
      <c r="AJ48" s="61">
        <f t="shared" si="9"/>
        <v>33051683</v>
      </c>
      <c r="AK48" s="61">
        <f t="shared" si="9"/>
        <v>32198262</v>
      </c>
      <c r="AL48" s="61">
        <f t="shared" si="9"/>
        <v>35100591</v>
      </c>
    </row>
    <row r="49" spans="1:38" s="104" customFormat="1" ht="13" x14ac:dyDescent="0.3">
      <c r="A49" s="101" t="s">
        <v>49</v>
      </c>
      <c r="B49" s="102"/>
      <c r="C49" s="103">
        <f t="shared" ref="C49:AL49" si="10">C47/C4</f>
        <v>0.13741035772516885</v>
      </c>
      <c r="D49" s="101">
        <f t="shared" si="10"/>
        <v>0.15506442907433118</v>
      </c>
      <c r="E49" s="101">
        <f t="shared" si="10"/>
        <v>0.17809708103689739</v>
      </c>
      <c r="F49" s="101">
        <f t="shared" si="10"/>
        <v>-0.12971115888185561</v>
      </c>
      <c r="G49" s="101">
        <f t="shared" si="10"/>
        <v>0.13468521723846846</v>
      </c>
      <c r="H49" s="101">
        <f t="shared" si="10"/>
        <v>0.17359226931998459</v>
      </c>
      <c r="I49" s="101">
        <f t="shared" si="10"/>
        <v>0.13877267224637044</v>
      </c>
      <c r="J49" s="101">
        <f t="shared" si="10"/>
        <v>-0.10613303309065003</v>
      </c>
      <c r="K49" s="101">
        <f t="shared" si="10"/>
        <v>0.11783391134586089</v>
      </c>
      <c r="L49" s="101">
        <f t="shared" si="10"/>
        <v>0.1663876334928211</v>
      </c>
      <c r="M49" s="101">
        <f t="shared" si="10"/>
        <v>0.23141681123452273</v>
      </c>
      <c r="N49" s="101">
        <f t="shared" si="10"/>
        <v>0.20671396799622357</v>
      </c>
      <c r="O49" s="101">
        <f t="shared" si="10"/>
        <v>0.1051485270674892</v>
      </c>
      <c r="P49" s="101">
        <f t="shared" si="10"/>
        <v>0.13809366971270462</v>
      </c>
      <c r="Q49" s="101">
        <f t="shared" si="10"/>
        <v>0.24086013674975404</v>
      </c>
      <c r="R49" s="101">
        <f t="shared" si="10"/>
        <v>0.22833782649666837</v>
      </c>
      <c r="S49" s="101">
        <f t="shared" si="10"/>
        <v>0.20297045215762061</v>
      </c>
      <c r="T49" s="101">
        <f t="shared" si="10"/>
        <v>0.231259729990652</v>
      </c>
      <c r="U49" s="101">
        <f t="shared" si="10"/>
        <v>0.11706238206517372</v>
      </c>
      <c r="V49" s="101">
        <f t="shared" si="10"/>
        <v>0.10399010018189678</v>
      </c>
      <c r="W49" s="101">
        <f t="shared" si="10"/>
        <v>0.17189182464391969</v>
      </c>
      <c r="X49" s="101">
        <f t="shared" si="10"/>
        <v>8.3306313314395086E-2</v>
      </c>
      <c r="Y49" s="101">
        <f t="shared" si="10"/>
        <v>0.21455902982005767</v>
      </c>
      <c r="Z49" s="101">
        <f t="shared" si="10"/>
        <v>0.11783931616070255</v>
      </c>
      <c r="AA49" s="101">
        <f t="shared" si="10"/>
        <v>0.3429160382349023</v>
      </c>
      <c r="AB49" s="101">
        <f t="shared" si="10"/>
        <v>0.12586981050534651</v>
      </c>
      <c r="AC49" s="101">
        <f t="shared" si="10"/>
        <v>0.15578542960406064</v>
      </c>
      <c r="AD49" s="101">
        <f t="shared" si="10"/>
        <v>9.3316683405396422E-2</v>
      </c>
      <c r="AE49" s="101">
        <f t="shared" si="10"/>
        <v>0.11248438276686305</v>
      </c>
      <c r="AF49" s="101">
        <f t="shared" si="10"/>
        <v>0.10997916172977264</v>
      </c>
      <c r="AG49" s="101">
        <f t="shared" si="10"/>
        <v>-6.8794901454382442E-3</v>
      </c>
      <c r="AH49" s="101">
        <f t="shared" si="10"/>
        <v>3.2611478673247991E-2</v>
      </c>
      <c r="AI49" s="101">
        <f t="shared" si="10"/>
        <v>0.12846273619293633</v>
      </c>
      <c r="AJ49" s="101">
        <f t="shared" si="10"/>
        <v>0.20736057591911342</v>
      </c>
      <c r="AK49" s="101">
        <f t="shared" si="10"/>
        <v>9.2821656650919585E-2</v>
      </c>
      <c r="AL49" s="101">
        <f t="shared" si="10"/>
        <v>8.9983690685278526E-3</v>
      </c>
    </row>
    <row r="50" spans="1:38" s="104" customFormat="1" ht="13" x14ac:dyDescent="0.3">
      <c r="A50" s="101" t="s">
        <v>50</v>
      </c>
      <c r="B50" s="102"/>
      <c r="C50" s="103">
        <f t="shared" ref="C50:AL50" si="11">C46/C4</f>
        <v>0.24570967976846869</v>
      </c>
      <c r="D50" s="101">
        <f t="shared" si="11"/>
        <v>0.24062758045959654</v>
      </c>
      <c r="E50" s="101">
        <f t="shared" si="11"/>
        <v>0.26211179444559873</v>
      </c>
      <c r="F50" s="101">
        <f t="shared" si="11"/>
        <v>1.3240177656303382E-2</v>
      </c>
      <c r="G50" s="101">
        <f t="shared" si="11"/>
        <v>0.29333655266538217</v>
      </c>
      <c r="H50" s="101">
        <f t="shared" si="11"/>
        <v>0.22844452789699571</v>
      </c>
      <c r="I50" s="101">
        <f t="shared" si="11"/>
        <v>0.3052905509387504</v>
      </c>
      <c r="J50" s="101">
        <f t="shared" si="11"/>
        <v>-1.3029743436754176E-2</v>
      </c>
      <c r="K50" s="101">
        <f t="shared" si="11"/>
        <v>0.22264186442481643</v>
      </c>
      <c r="L50" s="101">
        <f t="shared" si="11"/>
        <v>0.22390673823937984</v>
      </c>
      <c r="M50" s="101">
        <f t="shared" si="11"/>
        <v>0.29858815225122315</v>
      </c>
      <c r="N50" s="101">
        <f t="shared" si="11"/>
        <v>0.3244189701798646</v>
      </c>
      <c r="O50" s="101">
        <f t="shared" si="11"/>
        <v>0.18177205329084228</v>
      </c>
      <c r="P50" s="101">
        <f t="shared" si="11"/>
        <v>0.29593634903266358</v>
      </c>
      <c r="Q50" s="101">
        <f t="shared" si="11"/>
        <v>0.37117426690651006</v>
      </c>
      <c r="R50" s="101">
        <f t="shared" si="11"/>
        <v>0.30688452745025252</v>
      </c>
      <c r="S50" s="101">
        <f t="shared" si="11"/>
        <v>0.27381129985228952</v>
      </c>
      <c r="T50" s="101">
        <f t="shared" si="11"/>
        <v>0.32795155289389388</v>
      </c>
      <c r="U50" s="101">
        <f t="shared" si="11"/>
        <v>0.24952635201835596</v>
      </c>
      <c r="V50" s="101">
        <f t="shared" si="11"/>
        <v>0.22621618251155412</v>
      </c>
      <c r="W50" s="101">
        <f t="shared" si="11"/>
        <v>0.25025424501698007</v>
      </c>
      <c r="X50" s="101">
        <f t="shared" si="11"/>
        <v>0.21982709995800084</v>
      </c>
      <c r="Y50" s="101">
        <f t="shared" si="11"/>
        <v>0.34015169067475359</v>
      </c>
      <c r="Z50" s="101">
        <f t="shared" si="11"/>
        <v>0.21896493023434049</v>
      </c>
      <c r="AA50" s="101">
        <f t="shared" si="11"/>
        <v>0.45495708924103417</v>
      </c>
      <c r="AB50" s="101">
        <f t="shared" si="11"/>
        <v>0.21168046835677767</v>
      </c>
      <c r="AC50" s="101">
        <f t="shared" si="11"/>
        <v>0.27945398407623345</v>
      </c>
      <c r="AD50" s="101">
        <f t="shared" si="11"/>
        <v>0.1994427421700766</v>
      </c>
      <c r="AE50" s="101">
        <f t="shared" si="11"/>
        <v>0.17974857864285473</v>
      </c>
      <c r="AF50" s="101">
        <f t="shared" si="11"/>
        <v>0.20360290384998531</v>
      </c>
      <c r="AG50" s="101">
        <f t="shared" si="11"/>
        <v>0.16300897041986495</v>
      </c>
      <c r="AH50" s="101">
        <f t="shared" si="11"/>
        <v>0.10383521070187041</v>
      </c>
      <c r="AI50" s="101">
        <f t="shared" si="11"/>
        <v>0.2502986896628962</v>
      </c>
      <c r="AJ50" s="101">
        <f t="shared" si="11"/>
        <v>0.28054673487157161</v>
      </c>
      <c r="AK50" s="101">
        <f t="shared" si="11"/>
        <v>0.22404477647909388</v>
      </c>
      <c r="AL50" s="101">
        <f t="shared" si="11"/>
        <v>0.2406907002401194</v>
      </c>
    </row>
    <row r="51" spans="1:38" s="104" customFormat="1" ht="13" x14ac:dyDescent="0.3">
      <c r="A51" s="101" t="s">
        <v>51</v>
      </c>
      <c r="B51" s="102"/>
      <c r="C51" s="103">
        <f>C47/C48</f>
        <v>0.1821717103342787</v>
      </c>
      <c r="D51" s="101">
        <f t="shared" ref="D51:AL51" si="12">D47/D48</f>
        <v>0.20420076511098617</v>
      </c>
      <c r="E51" s="101">
        <f t="shared" si="12"/>
        <v>0.24136052005748868</v>
      </c>
      <c r="F51" s="101">
        <f t="shared" si="12"/>
        <v>-0.13145160143810167</v>
      </c>
      <c r="G51" s="101">
        <f t="shared" si="12"/>
        <v>0.19059315682234884</v>
      </c>
      <c r="H51" s="101">
        <f t="shared" si="12"/>
        <v>0.22499000473268582</v>
      </c>
      <c r="I51" s="101">
        <f t="shared" si="12"/>
        <v>0.1997564196570118</v>
      </c>
      <c r="J51" s="101">
        <f t="shared" si="12"/>
        <v>-0.10476793379292931</v>
      </c>
      <c r="K51" s="101">
        <f t="shared" si="12"/>
        <v>0.15158252799229163</v>
      </c>
      <c r="L51" s="101">
        <f t="shared" si="12"/>
        <v>0.21439128735038809</v>
      </c>
      <c r="M51" s="101">
        <f t="shared" si="12"/>
        <v>0.32993000043735898</v>
      </c>
      <c r="N51" s="101">
        <f t="shared" si="12"/>
        <v>0.30597953298253278</v>
      </c>
      <c r="O51" s="101">
        <f t="shared" si="12"/>
        <v>0.12850762124465134</v>
      </c>
      <c r="P51" s="101">
        <f t="shared" si="12"/>
        <v>0.19613804735264087</v>
      </c>
      <c r="Q51" s="101">
        <f t="shared" si="12"/>
        <v>0.38303161603271163</v>
      </c>
      <c r="R51" s="101">
        <f t="shared" si="12"/>
        <v>0.32943692002241332</v>
      </c>
      <c r="S51" s="101">
        <f t="shared" si="12"/>
        <v>0.27950097834947774</v>
      </c>
      <c r="T51" s="101">
        <f t="shared" si="12"/>
        <v>0.34411169460546293</v>
      </c>
      <c r="U51" s="101">
        <f t="shared" si="12"/>
        <v>0.15598466698998198</v>
      </c>
      <c r="V51" s="101">
        <f t="shared" si="12"/>
        <v>0.13439167094425511</v>
      </c>
      <c r="W51" s="101">
        <f t="shared" si="12"/>
        <v>0.22926681945376623</v>
      </c>
      <c r="X51" s="101">
        <f t="shared" si="12"/>
        <v>0.10677929637124085</v>
      </c>
      <c r="Y51" s="101">
        <f t="shared" si="12"/>
        <v>0.32516417301949802</v>
      </c>
      <c r="Z51" s="101">
        <f t="shared" si="12"/>
        <v>0.15087583224151366</v>
      </c>
      <c r="AA51" s="101">
        <f t="shared" si="12"/>
        <v>0.62915420321199256</v>
      </c>
      <c r="AB51" s="101">
        <f t="shared" si="12"/>
        <v>0.15966851695653872</v>
      </c>
      <c r="AC51" s="101">
        <f t="shared" si="12"/>
        <v>0.21620469222127053</v>
      </c>
      <c r="AD51" s="101">
        <f t="shared" si="12"/>
        <v>0.11656465854591171</v>
      </c>
      <c r="AE51" s="101">
        <f t="shared" si="12"/>
        <v>0.13713402968659566</v>
      </c>
      <c r="AF51" s="101">
        <f t="shared" si="12"/>
        <v>0.13809588490646157</v>
      </c>
      <c r="AG51" s="101">
        <f t="shared" si="12"/>
        <v>-8.2193116799462538E-3</v>
      </c>
      <c r="AH51" s="101">
        <f t="shared" si="12"/>
        <v>3.6390046855990725E-2</v>
      </c>
      <c r="AI51" s="101">
        <f t="shared" si="12"/>
        <v>0.17135188964145329</v>
      </c>
      <c r="AJ51" s="101">
        <f t="shared" si="12"/>
        <v>0.28821966063646653</v>
      </c>
      <c r="AK51" s="101">
        <f t="shared" si="12"/>
        <v>0.11962243933321333</v>
      </c>
      <c r="AL51" s="101">
        <f t="shared" si="12"/>
        <v>1.1850729434465563E-2</v>
      </c>
    </row>
    <row r="52" spans="1:38" s="105" customFormat="1" ht="13" x14ac:dyDescent="0.3">
      <c r="A52" s="101" t="s">
        <v>52</v>
      </c>
      <c r="B52" s="102"/>
      <c r="C52" s="103">
        <f t="shared" ref="C52:AL52" si="13">C47/C46</f>
        <v>0.55923868304516988</v>
      </c>
      <c r="D52" s="101">
        <f t="shared" si="13"/>
        <v>0.64441669063105522</v>
      </c>
      <c r="E52" s="101">
        <f t="shared" si="13"/>
        <v>0.67946992394446193</v>
      </c>
      <c r="F52" s="101">
        <f t="shared" si="13"/>
        <v>-9.7967838686894613</v>
      </c>
      <c r="G52" s="101">
        <f t="shared" si="13"/>
        <v>0.45914911051711965</v>
      </c>
      <c r="H52" s="101">
        <f t="shared" si="13"/>
        <v>0.7598880608698857</v>
      </c>
      <c r="I52" s="101">
        <f t="shared" si="13"/>
        <v>0.45455934295919959</v>
      </c>
      <c r="J52" s="101">
        <f t="shared" si="13"/>
        <v>8.1454430477326962</v>
      </c>
      <c r="K52" s="101">
        <f t="shared" si="13"/>
        <v>0.52925316471939643</v>
      </c>
      <c r="L52" s="101">
        <f t="shared" si="13"/>
        <v>0.7431113275159017</v>
      </c>
      <c r="M52" s="101">
        <f t="shared" si="13"/>
        <v>0.77503681740129982</v>
      </c>
      <c r="N52" s="101">
        <f t="shared" si="13"/>
        <v>0.63718212249307449</v>
      </c>
      <c r="O52" s="101">
        <f t="shared" si="13"/>
        <v>0.57846365909311426</v>
      </c>
      <c r="P52" s="101">
        <f t="shared" si="13"/>
        <v>0.46663301133536222</v>
      </c>
      <c r="Q52" s="101">
        <f t="shared" si="13"/>
        <v>0.64891388823142993</v>
      </c>
      <c r="R52" s="101">
        <f t="shared" si="13"/>
        <v>0.74405128337297166</v>
      </c>
      <c r="S52" s="101">
        <f t="shared" si="13"/>
        <v>0.74127858224666121</v>
      </c>
      <c r="T52" s="101">
        <f t="shared" si="13"/>
        <v>0.70516430841684186</v>
      </c>
      <c r="U52" s="101">
        <f t="shared" si="13"/>
        <v>0.46913835399862786</v>
      </c>
      <c r="V52" s="101">
        <f t="shared" si="13"/>
        <v>0.45969346236574132</v>
      </c>
      <c r="W52" s="101">
        <f t="shared" si="13"/>
        <v>0.68686876673063668</v>
      </c>
      <c r="X52" s="101">
        <f t="shared" si="13"/>
        <v>0.37896289097345692</v>
      </c>
      <c r="Y52" s="101">
        <f t="shared" si="13"/>
        <v>0.63077455059664778</v>
      </c>
      <c r="Z52" s="101">
        <f t="shared" si="13"/>
        <v>0.53816524881216665</v>
      </c>
      <c r="AA52" s="101">
        <f t="shared" si="13"/>
        <v>0.7537327065437307</v>
      </c>
      <c r="AB52" s="101">
        <f t="shared" si="13"/>
        <v>0.59462174985931515</v>
      </c>
      <c r="AC52" s="101">
        <f t="shared" si="13"/>
        <v>0.55746362006262629</v>
      </c>
      <c r="AD52" s="101">
        <f t="shared" si="13"/>
        <v>0.46788708573721766</v>
      </c>
      <c r="AE52" s="101">
        <f t="shared" si="13"/>
        <v>0.62578732814549842</v>
      </c>
      <c r="AF52" s="101">
        <f t="shared" si="13"/>
        <v>0.54016499593151834</v>
      </c>
      <c r="AG52" s="101">
        <f t="shared" si="13"/>
        <v>-4.2203138439060289E-2</v>
      </c>
      <c r="AH52" s="101">
        <f t="shared" si="13"/>
        <v>0.31406955745369863</v>
      </c>
      <c r="AI52" s="101">
        <f t="shared" si="13"/>
        <v>0.5132377495301742</v>
      </c>
      <c r="AJ52" s="101">
        <f t="shared" si="13"/>
        <v>0.73913024157646579</v>
      </c>
      <c r="AK52" s="101">
        <f t="shared" si="13"/>
        <v>0.4142995793502956</v>
      </c>
      <c r="AL52" s="101">
        <f t="shared" si="13"/>
        <v>3.7385611739676028E-2</v>
      </c>
    </row>
    <row r="53" spans="1:38" s="108" customFormat="1" ht="13" x14ac:dyDescent="0.3">
      <c r="A53" s="106" t="s">
        <v>53</v>
      </c>
      <c r="B53" s="107"/>
      <c r="C53" s="87">
        <f>C45/C46</f>
        <v>3.5106050485583076</v>
      </c>
      <c r="D53" s="106">
        <f t="shared" ref="D53:AL53" si="14">D45/D46</f>
        <v>3.5113828984684523</v>
      </c>
      <c r="E53" s="106">
        <f t="shared" si="14"/>
        <v>3.1356960517611827</v>
      </c>
      <c r="F53" s="106">
        <f t="shared" si="14"/>
        <v>85.324471333209246</v>
      </c>
      <c r="G53" s="106">
        <f t="shared" si="14"/>
        <v>2.9499043842266128</v>
      </c>
      <c r="H53" s="106">
        <f t="shared" si="14"/>
        <v>3.6175422466351996</v>
      </c>
      <c r="I53" s="106">
        <f t="shared" si="14"/>
        <v>2.8210087901685998</v>
      </c>
      <c r="J53" s="106">
        <f t="shared" si="14"/>
        <v>-84.892925057179596</v>
      </c>
      <c r="K53" s="106">
        <f t="shared" si="14"/>
        <v>3.9622650975061178</v>
      </c>
      <c r="L53" s="106">
        <f t="shared" si="14"/>
        <v>3.7230338535679066</v>
      </c>
      <c r="M53" s="106">
        <f t="shared" si="14"/>
        <v>2.5740578886693881</v>
      </c>
      <c r="N53" s="106">
        <f t="shared" si="14"/>
        <v>2.4452516804549447</v>
      </c>
      <c r="O53" s="106">
        <f t="shared" si="14"/>
        <v>4.9229320829682983</v>
      </c>
      <c r="P53" s="106">
        <f t="shared" si="14"/>
        <v>2.9124719998223791</v>
      </c>
      <c r="Q53" s="106">
        <f t="shared" si="14"/>
        <v>2.04523839860228</v>
      </c>
      <c r="R53" s="106">
        <f t="shared" si="14"/>
        <v>2.5145033538011194</v>
      </c>
      <c r="S53" s="106">
        <f t="shared" si="14"/>
        <v>2.9108716414273101</v>
      </c>
      <c r="T53" s="106">
        <f t="shared" si="14"/>
        <v>2.3440665647894274</v>
      </c>
      <c r="U53" s="106">
        <f t="shared" si="14"/>
        <v>3.5384543988759734</v>
      </c>
      <c r="V53" s="106">
        <f t="shared" si="14"/>
        <v>3.9608567781057795</v>
      </c>
      <c r="W53" s="106">
        <f t="shared" si="14"/>
        <v>3.3090674457885503</v>
      </c>
      <c r="X53" s="106">
        <f t="shared" si="14"/>
        <v>4.1700667791220658</v>
      </c>
      <c r="Y53" s="106">
        <f t="shared" si="14"/>
        <v>2.3090903020998526</v>
      </c>
      <c r="Z53" s="106">
        <f t="shared" si="14"/>
        <v>4.028776128191816</v>
      </c>
      <c r="AA53" s="106">
        <f t="shared" si="14"/>
        <v>1.4442767841276072</v>
      </c>
      <c r="AB53" s="106">
        <f t="shared" si="14"/>
        <v>4.129479664705519</v>
      </c>
      <c r="AC53" s="106">
        <f t="shared" si="14"/>
        <v>3.020943047874538</v>
      </c>
      <c r="AD53" s="106">
        <f t="shared" si="14"/>
        <v>4.5460832855046744</v>
      </c>
      <c r="AE53" s="106">
        <f t="shared" si="14"/>
        <v>4.9375389999414443</v>
      </c>
      <c r="AF53" s="106">
        <f t="shared" si="14"/>
        <v>4.3713563089748222</v>
      </c>
      <c r="AG53" s="106">
        <f t="shared" si="14"/>
        <v>6.1768348548672005</v>
      </c>
      <c r="AH53" s="106">
        <f t="shared" si="14"/>
        <v>9.3165749343380124</v>
      </c>
      <c r="AI53" s="106">
        <f t="shared" si="14"/>
        <v>3.4819889188427453</v>
      </c>
      <c r="AJ53" s="106">
        <f t="shared" si="14"/>
        <v>2.8253382611768418</v>
      </c>
      <c r="AK53" s="106">
        <f t="shared" si="14"/>
        <v>4.0490939249089406</v>
      </c>
      <c r="AL53" s="106">
        <f t="shared" si="14"/>
        <v>4.1173241423238318</v>
      </c>
    </row>
    <row r="54" spans="1:38" s="110" customFormat="1" x14ac:dyDescent="0.3">
      <c r="A54" s="109" t="s">
        <v>54</v>
      </c>
      <c r="C54" s="111">
        <f t="shared" ref="C54:AL54" si="15">C48/C4</f>
        <v>0.75429032023153131</v>
      </c>
      <c r="D54" s="112">
        <f t="shared" si="15"/>
        <v>0.75937241954040346</v>
      </c>
      <c r="E54" s="112">
        <f t="shared" si="15"/>
        <v>0.73788820555440127</v>
      </c>
      <c r="F54" s="112">
        <f t="shared" si="15"/>
        <v>0.98675982234369664</v>
      </c>
      <c r="G54" s="112">
        <f t="shared" si="15"/>
        <v>0.70666344733461783</v>
      </c>
      <c r="H54" s="112">
        <f t="shared" si="15"/>
        <v>0.77155547210300435</v>
      </c>
      <c r="I54" s="112">
        <f t="shared" si="15"/>
        <v>0.69470944906124965</v>
      </c>
      <c r="J54" s="112">
        <f t="shared" si="15"/>
        <v>1.0130297434367541</v>
      </c>
      <c r="K54" s="112">
        <f t="shared" si="15"/>
        <v>0.77735813557518352</v>
      </c>
      <c r="L54" s="112">
        <f t="shared" si="15"/>
        <v>0.7760932617606201</v>
      </c>
      <c r="M54" s="112">
        <f t="shared" si="15"/>
        <v>0.70141184774877685</v>
      </c>
      <c r="N54" s="112">
        <f t="shared" si="15"/>
        <v>0.67558102982013535</v>
      </c>
      <c r="O54" s="112">
        <f t="shared" si="15"/>
        <v>0.81822794670915766</v>
      </c>
      <c r="P54" s="112">
        <f t="shared" si="15"/>
        <v>0.70406365096733636</v>
      </c>
      <c r="Q54" s="112">
        <f t="shared" si="15"/>
        <v>0.62882573309348988</v>
      </c>
      <c r="R54" s="112">
        <f t="shared" si="15"/>
        <v>0.69311547254974748</v>
      </c>
      <c r="S54" s="112">
        <f t="shared" si="15"/>
        <v>0.72618870014771053</v>
      </c>
      <c r="T54" s="112">
        <f t="shared" si="15"/>
        <v>0.67204844710610612</v>
      </c>
      <c r="U54" s="112">
        <f t="shared" si="15"/>
        <v>0.75047364798164407</v>
      </c>
      <c r="V54" s="112">
        <f t="shared" si="15"/>
        <v>0.77378381748844582</v>
      </c>
      <c r="W54" s="112">
        <f t="shared" si="15"/>
        <v>0.74974575498301999</v>
      </c>
      <c r="X54" s="112">
        <f t="shared" si="15"/>
        <v>0.78017290004199913</v>
      </c>
      <c r="Y54" s="112">
        <f t="shared" si="15"/>
        <v>0.65984830932524641</v>
      </c>
      <c r="Z54" s="112">
        <f t="shared" si="15"/>
        <v>0.78103506976565951</v>
      </c>
      <c r="AA54" s="112">
        <f t="shared" si="15"/>
        <v>0.54504291075896583</v>
      </c>
      <c r="AB54" s="112">
        <f t="shared" si="15"/>
        <v>0.78831953164322233</v>
      </c>
      <c r="AC54" s="112">
        <f t="shared" si="15"/>
        <v>0.72054601592376655</v>
      </c>
      <c r="AD54" s="112">
        <f t="shared" si="15"/>
        <v>0.80055725782992337</v>
      </c>
      <c r="AE54" s="112">
        <f t="shared" si="15"/>
        <v>0.82025142135714524</v>
      </c>
      <c r="AF54" s="112">
        <f t="shared" si="15"/>
        <v>0.79639709615001464</v>
      </c>
      <c r="AG54" s="112">
        <f t="shared" si="15"/>
        <v>0.83699102958013505</v>
      </c>
      <c r="AH54" s="112">
        <f t="shared" si="15"/>
        <v>0.89616478929812959</v>
      </c>
      <c r="AI54" s="112">
        <f t="shared" si="15"/>
        <v>0.74970131033710385</v>
      </c>
      <c r="AJ54" s="112">
        <f t="shared" si="15"/>
        <v>0.71945326512842833</v>
      </c>
      <c r="AK54" s="112">
        <f t="shared" si="15"/>
        <v>0.77595522352090618</v>
      </c>
      <c r="AL54" s="112">
        <f t="shared" si="15"/>
        <v>0.7593092997598806</v>
      </c>
    </row>
    <row r="55" spans="1:38" s="110" customFormat="1" x14ac:dyDescent="0.3">
      <c r="A55" s="109" t="s">
        <v>55</v>
      </c>
      <c r="C55" s="111">
        <f t="shared" ref="C55:AL55" si="16">C44/C4</f>
        <v>0.10829932204329984</v>
      </c>
      <c r="D55" s="112">
        <f t="shared" si="16"/>
        <v>8.5563151385265435E-2</v>
      </c>
      <c r="E55" s="112">
        <f t="shared" si="16"/>
        <v>8.4014713408701328E-2</v>
      </c>
      <c r="F55" s="112">
        <f t="shared" si="16"/>
        <v>0.14295133653815897</v>
      </c>
      <c r="G55" s="112">
        <f t="shared" si="16"/>
        <v>0.15865133542691373</v>
      </c>
      <c r="H55" s="112">
        <f t="shared" si="16"/>
        <v>5.48522585770111E-2</v>
      </c>
      <c r="I55" s="112">
        <f t="shared" si="16"/>
        <v>0.16651787869237991</v>
      </c>
      <c r="J55" s="112">
        <f t="shared" si="16"/>
        <v>9.3103289653895957E-2</v>
      </c>
      <c r="K55" s="112">
        <f t="shared" si="16"/>
        <v>0.10480795307895552</v>
      </c>
      <c r="L55" s="112">
        <f t="shared" si="16"/>
        <v>5.7519104746558775E-2</v>
      </c>
      <c r="M55" s="112">
        <f t="shared" si="16"/>
        <v>6.7171341016700373E-2</v>
      </c>
      <c r="N55" s="112">
        <f t="shared" si="16"/>
        <v>0.11770500218364111</v>
      </c>
      <c r="O55" s="112">
        <f t="shared" si="16"/>
        <v>7.662352622335307E-2</v>
      </c>
      <c r="P55" s="112">
        <f t="shared" si="16"/>
        <v>0.15784267931995893</v>
      </c>
      <c r="Q55" s="112">
        <f t="shared" si="16"/>
        <v>0.13031413015675603</v>
      </c>
      <c r="R55" s="112">
        <f t="shared" si="16"/>
        <v>7.8546700953584236E-2</v>
      </c>
      <c r="S55" s="112">
        <f t="shared" si="16"/>
        <v>7.0840847694668946E-2</v>
      </c>
      <c r="T55" s="112">
        <f t="shared" si="16"/>
        <v>9.6691822903241867E-2</v>
      </c>
      <c r="U55" s="112">
        <f t="shared" si="16"/>
        <v>0.1324639699531823</v>
      </c>
      <c r="V55" s="112">
        <f t="shared" si="16"/>
        <v>0.12222608232965726</v>
      </c>
      <c r="W55" s="112">
        <f t="shared" si="16"/>
        <v>7.8362420373060349E-2</v>
      </c>
      <c r="X55" s="112">
        <f t="shared" si="16"/>
        <v>0.13652078664360576</v>
      </c>
      <c r="Y55" s="112">
        <f t="shared" si="16"/>
        <v>0.12559266085469592</v>
      </c>
      <c r="Z55" s="112">
        <f t="shared" si="16"/>
        <v>0.10112561407363795</v>
      </c>
      <c r="AA55" s="112">
        <f t="shared" si="16"/>
        <v>0.11204105100613189</v>
      </c>
      <c r="AB55" s="112">
        <f t="shared" si="16"/>
        <v>8.5810657851431105E-2</v>
      </c>
      <c r="AC55" s="112">
        <f t="shared" si="16"/>
        <v>0.12366855447217281</v>
      </c>
      <c r="AD55" s="112">
        <f t="shared" si="16"/>
        <v>0.10612605876468013</v>
      </c>
      <c r="AE55" s="112">
        <f t="shared" si="16"/>
        <v>6.7264195875991736E-2</v>
      </c>
      <c r="AF55" s="112">
        <f t="shared" si="16"/>
        <v>9.3623742120212655E-2</v>
      </c>
      <c r="AG55" s="112">
        <f t="shared" si="16"/>
        <v>0.16988846056530327</v>
      </c>
      <c r="AH55" s="112">
        <f t="shared" si="16"/>
        <v>7.1223732028622408E-2</v>
      </c>
      <c r="AI55" s="112">
        <f t="shared" si="16"/>
        <v>0.12183595346995982</v>
      </c>
      <c r="AJ55" s="112">
        <f t="shared" si="16"/>
        <v>7.3186158952458141E-2</v>
      </c>
      <c r="AK55" s="112">
        <f t="shared" si="16"/>
        <v>0.13122311982817422</v>
      </c>
      <c r="AL55" s="112">
        <f t="shared" si="16"/>
        <v>0.23169233117159152</v>
      </c>
    </row>
    <row r="56" spans="1:38" s="110" customFormat="1" x14ac:dyDescent="0.3">
      <c r="A56" s="113" t="s">
        <v>56</v>
      </c>
      <c r="C56" s="111">
        <f t="shared" ref="C56:AL56" si="17">C45/C4</f>
        <v>0.86258964227483115</v>
      </c>
      <c r="D56" s="112">
        <f t="shared" si="17"/>
        <v>0.84493557092566884</v>
      </c>
      <c r="E56" s="112">
        <f t="shared" si="17"/>
        <v>0.82190291896310264</v>
      </c>
      <c r="F56" s="112">
        <f t="shared" si="17"/>
        <v>1.1297111588818556</v>
      </c>
      <c r="G56" s="112">
        <f t="shared" si="17"/>
        <v>0.86531478276153151</v>
      </c>
      <c r="H56" s="112">
        <f t="shared" si="17"/>
        <v>0.82640773068001538</v>
      </c>
      <c r="I56" s="112">
        <f t="shared" si="17"/>
        <v>0.86122732775362953</v>
      </c>
      <c r="J56" s="112">
        <f t="shared" si="17"/>
        <v>1.10613303309065</v>
      </c>
      <c r="K56" s="112">
        <f t="shared" si="17"/>
        <v>0.88216608865413915</v>
      </c>
      <c r="L56" s="112">
        <f t="shared" si="17"/>
        <v>0.83361236650717896</v>
      </c>
      <c r="M56" s="112">
        <f t="shared" si="17"/>
        <v>0.76858318876547727</v>
      </c>
      <c r="N56" s="112">
        <f t="shared" si="17"/>
        <v>0.79328603200377645</v>
      </c>
      <c r="O56" s="112">
        <f t="shared" si="17"/>
        <v>0.89485147293251077</v>
      </c>
      <c r="P56" s="112">
        <f t="shared" si="17"/>
        <v>0.86190633028729535</v>
      </c>
      <c r="Q56" s="112">
        <f t="shared" si="17"/>
        <v>0.75913986325024596</v>
      </c>
      <c r="R56" s="112">
        <f t="shared" si="17"/>
        <v>0.77166217350333166</v>
      </c>
      <c r="S56" s="112">
        <f t="shared" si="17"/>
        <v>0.79702954784237934</v>
      </c>
      <c r="T56" s="112">
        <f t="shared" si="17"/>
        <v>0.76874027000934797</v>
      </c>
      <c r="U56" s="112">
        <f t="shared" si="17"/>
        <v>0.88293761793482628</v>
      </c>
      <c r="V56" s="112">
        <f t="shared" si="17"/>
        <v>0.89600989981810319</v>
      </c>
      <c r="W56" s="112">
        <f t="shared" si="17"/>
        <v>0.82810817535608028</v>
      </c>
      <c r="X56" s="112">
        <f t="shared" si="17"/>
        <v>0.91669368668560491</v>
      </c>
      <c r="Y56" s="112">
        <f t="shared" si="17"/>
        <v>0.7854409701799423</v>
      </c>
      <c r="Z56" s="112">
        <f t="shared" si="17"/>
        <v>0.88216068383929747</v>
      </c>
      <c r="AA56" s="112">
        <f t="shared" si="17"/>
        <v>0.65708396176509765</v>
      </c>
      <c r="AB56" s="112">
        <f t="shared" si="17"/>
        <v>0.87413018949465349</v>
      </c>
      <c r="AC56" s="112">
        <f t="shared" si="17"/>
        <v>0.84421457039593939</v>
      </c>
      <c r="AD56" s="112">
        <f t="shared" si="17"/>
        <v>0.90668331659460355</v>
      </c>
      <c r="AE56" s="112">
        <f t="shared" si="17"/>
        <v>0.88751561723313699</v>
      </c>
      <c r="AF56" s="112">
        <f t="shared" si="17"/>
        <v>0.89002083827022738</v>
      </c>
      <c r="AG56" s="112">
        <f t="shared" si="17"/>
        <v>1.0068794901454383</v>
      </c>
      <c r="AH56" s="112">
        <f t="shared" si="17"/>
        <v>0.96738852132675202</v>
      </c>
      <c r="AI56" s="112">
        <f t="shared" si="17"/>
        <v>0.87153726380706364</v>
      </c>
      <c r="AJ56" s="112">
        <f t="shared" si="17"/>
        <v>0.79263942408088661</v>
      </c>
      <c r="AK56" s="112">
        <f t="shared" si="17"/>
        <v>0.90717834334908043</v>
      </c>
      <c r="AL56" s="112">
        <f t="shared" si="17"/>
        <v>0.9910016309314722</v>
      </c>
    </row>
    <row r="57" spans="1:38" s="110" customFormat="1" x14ac:dyDescent="0.3">
      <c r="A57" s="113" t="s">
        <v>104</v>
      </c>
      <c r="C57" s="111">
        <f t="shared" ref="C57:AL57" si="18">SUM(C30:C39)/C44</f>
        <v>0.48000094304490176</v>
      </c>
      <c r="D57" s="112">
        <f t="shared" si="18"/>
        <v>0.54954355249736198</v>
      </c>
      <c r="E57" s="112">
        <f t="shared" si="18"/>
        <v>0.45970695682113027</v>
      </c>
      <c r="F57" s="112">
        <f t="shared" si="18"/>
        <v>0.3503026308219388</v>
      </c>
      <c r="G57" s="112">
        <f t="shared" si="18"/>
        <v>0.30717013608285243</v>
      </c>
      <c r="H57" s="112">
        <f t="shared" si="18"/>
        <v>0.77344747836650951</v>
      </c>
      <c r="I57" s="112">
        <f t="shared" si="18"/>
        <v>0.28259246579988911</v>
      </c>
      <c r="J57" s="112">
        <f t="shared" si="18"/>
        <v>0.74208296498407955</v>
      </c>
      <c r="K57" s="112">
        <f t="shared" si="18"/>
        <v>0.44563550942175878</v>
      </c>
      <c r="L57" s="112">
        <f t="shared" si="18"/>
        <v>0.81599941153939159</v>
      </c>
      <c r="M57" s="112">
        <f t="shared" si="18"/>
        <v>0.76882634332897704</v>
      </c>
      <c r="N57" s="112">
        <f t="shared" si="18"/>
        <v>0.36232208958492351</v>
      </c>
      <c r="O57" s="112">
        <f t="shared" si="18"/>
        <v>0.65892337694732617</v>
      </c>
      <c r="P57" s="112">
        <f t="shared" si="18"/>
        <v>0.35883752337342328</v>
      </c>
      <c r="Q57" s="112">
        <f t="shared" si="18"/>
        <v>0.59713696726136611</v>
      </c>
      <c r="R57" s="112">
        <f t="shared" si="18"/>
        <v>0.52402280667701895</v>
      </c>
      <c r="S57" s="112">
        <f t="shared" si="18"/>
        <v>0.8208397031438992</v>
      </c>
      <c r="T57" s="112">
        <f t="shared" si="18"/>
        <v>0.57282133862084184</v>
      </c>
      <c r="U57" s="112">
        <f t="shared" si="18"/>
        <v>0.60152704912146326</v>
      </c>
      <c r="V57" s="112">
        <f t="shared" si="18"/>
        <v>0.35093398674224457</v>
      </c>
      <c r="W57" s="112">
        <f t="shared" si="18"/>
        <v>0.53866117381429468</v>
      </c>
      <c r="X57" s="112">
        <f t="shared" si="18"/>
        <v>0.41575951783631693</v>
      </c>
      <c r="Y57" s="112">
        <f t="shared" si="18"/>
        <v>0.39957547009518962</v>
      </c>
      <c r="Z57" s="112">
        <f t="shared" si="18"/>
        <v>0.52643412882769003</v>
      </c>
      <c r="AA57" s="112">
        <f t="shared" si="18"/>
        <v>0.33048645578852481</v>
      </c>
      <c r="AB57" s="112">
        <f t="shared" si="18"/>
        <v>0.50523999228410155</v>
      </c>
      <c r="AC57" s="112">
        <f t="shared" si="18"/>
        <v>0.48857544639272221</v>
      </c>
      <c r="AD57" s="112">
        <f t="shared" si="18"/>
        <v>0.54971010138792675</v>
      </c>
      <c r="AE57" s="112">
        <f t="shared" si="18"/>
        <v>0.83263839939292095</v>
      </c>
      <c r="AF57" s="112">
        <f t="shared" si="18"/>
        <v>0.50716295627519059</v>
      </c>
      <c r="AG57" s="112">
        <f t="shared" si="18"/>
        <v>0.28878317910393719</v>
      </c>
      <c r="AH57" s="112">
        <f t="shared" si="18"/>
        <v>0.71136558571911335</v>
      </c>
      <c r="AI57" s="112">
        <f t="shared" si="18"/>
        <v>0.43136484959188098</v>
      </c>
      <c r="AJ57" s="112">
        <f t="shared" si="18"/>
        <v>0.81645313220513993</v>
      </c>
      <c r="AK57" s="112">
        <f t="shared" si="18"/>
        <v>0.3813136231417858</v>
      </c>
      <c r="AL57" s="112">
        <f t="shared" si="18"/>
        <v>0.20986615236938597</v>
      </c>
    </row>
    <row r="58" spans="1:38" s="110" customFormat="1" x14ac:dyDescent="0.3">
      <c r="A58" s="113" t="s">
        <v>210</v>
      </c>
      <c r="C58" s="111">
        <f>C19/(SUM(C23:C28)+C36)</f>
        <v>1.4369900772169524</v>
      </c>
      <c r="D58" s="112">
        <f t="shared" ref="D58:AL58" si="19">D19/(SUM(D23:D28)+D36)</f>
        <v>1.1621908085709076</v>
      </c>
      <c r="E58" s="112">
        <f t="shared" si="19"/>
        <v>1.5547359841300346</v>
      </c>
      <c r="F58" s="112">
        <f t="shared" si="19"/>
        <v>1.0250783824583463</v>
      </c>
      <c r="G58" s="112">
        <f t="shared" si="19"/>
        <v>1.4011164012918809</v>
      </c>
      <c r="H58" s="112">
        <f t="shared" si="19"/>
        <v>1.2204327764450364</v>
      </c>
      <c r="I58" s="112">
        <f t="shared" si="19"/>
        <v>1.775988028848237</v>
      </c>
      <c r="J58" s="112">
        <f t="shared" si="19"/>
        <v>1.3106771442104947</v>
      </c>
      <c r="K58" s="112">
        <f t="shared" si="19"/>
        <v>1.1298990185234139</v>
      </c>
      <c r="L58" s="112">
        <f t="shared" si="19"/>
        <v>1.4406607265722517</v>
      </c>
      <c r="M58" s="112">
        <f t="shared" si="19"/>
        <v>1.5324634523676737</v>
      </c>
      <c r="N58" s="112">
        <f t="shared" si="19"/>
        <v>3.8694664691486009</v>
      </c>
      <c r="O58" s="112">
        <f t="shared" si="19"/>
        <v>1.528393282665405</v>
      </c>
      <c r="P58" s="112">
        <f t="shared" si="19"/>
        <v>1.0016317418702598</v>
      </c>
      <c r="Q58" s="112">
        <f t="shared" si="19"/>
        <v>1.3196322497784496</v>
      </c>
      <c r="R58" s="112">
        <f t="shared" si="19"/>
        <v>1.6408422072648245</v>
      </c>
      <c r="S58" s="112">
        <f t="shared" si="19"/>
        <v>1.4057015292055053</v>
      </c>
      <c r="T58" s="112">
        <f t="shared" si="19"/>
        <v>1.5865411278726436</v>
      </c>
      <c r="U58" s="112">
        <f t="shared" si="19"/>
        <v>1.8497086530014391</v>
      </c>
      <c r="V58" s="112">
        <f t="shared" si="19"/>
        <v>1.0563766677147581</v>
      </c>
      <c r="W58" s="112">
        <f t="shared" si="19"/>
        <v>2.0248351489044936</v>
      </c>
      <c r="X58" s="112">
        <f t="shared" si="19"/>
        <v>1.7018671377199639</v>
      </c>
      <c r="Y58" s="112">
        <f t="shared" si="19"/>
        <v>1.4127697067546985</v>
      </c>
      <c r="Z58" s="112">
        <f t="shared" si="19"/>
        <v>1.1453621904223767</v>
      </c>
      <c r="AA58" s="112">
        <f t="shared" si="19"/>
        <v>1.1192219022552321</v>
      </c>
      <c r="AB58" s="112">
        <f t="shared" si="19"/>
        <v>0.94417052515853128</v>
      </c>
      <c r="AC58" s="112">
        <f t="shared" si="19"/>
        <v>1.3132305574066536</v>
      </c>
      <c r="AD58" s="112">
        <f t="shared" si="19"/>
        <v>1.3053511147038626</v>
      </c>
      <c r="AE58" s="112">
        <f t="shared" si="19"/>
        <v>1.0819155713702331</v>
      </c>
      <c r="AF58" s="112">
        <f t="shared" si="19"/>
        <v>1.4435729794008978</v>
      </c>
      <c r="AG58" s="112">
        <f t="shared" si="19"/>
        <v>0.90682666212814977</v>
      </c>
      <c r="AH58" s="112">
        <f t="shared" si="19"/>
        <v>0.97634067737091479</v>
      </c>
      <c r="AI58" s="112">
        <f t="shared" si="19"/>
        <v>1.6862621537332791</v>
      </c>
      <c r="AJ58" s="112">
        <f t="shared" si="19"/>
        <v>2.0886751668915902</v>
      </c>
      <c r="AK58" s="112">
        <f t="shared" si="19"/>
        <v>1.3556600207751677</v>
      </c>
      <c r="AL58" s="112">
        <f t="shared" si="19"/>
        <v>0.9780817676194753</v>
      </c>
    </row>
    <row r="59" spans="1:38" s="110" customFormat="1" x14ac:dyDescent="0.3">
      <c r="A59" s="113" t="s">
        <v>211</v>
      </c>
      <c r="C59" s="111">
        <f>C11/C21</f>
        <v>1.2121531564681325</v>
      </c>
      <c r="D59" s="112">
        <f t="shared" ref="D59:AL59" si="20">D11/D21</f>
        <v>1.2180020811654526</v>
      </c>
      <c r="E59" s="112">
        <f t="shared" si="20"/>
        <v>1.2177016129032259</v>
      </c>
      <c r="F59" s="112">
        <f t="shared" si="20"/>
        <v>1.0251089799476896</v>
      </c>
      <c r="G59" s="112">
        <f t="shared" si="20"/>
        <v>1.0904377880184333</v>
      </c>
      <c r="H59" s="112">
        <f t="shared" si="20"/>
        <v>1.2972972972972974</v>
      </c>
      <c r="I59" s="112">
        <f t="shared" si="20"/>
        <v>1.2594086021505377</v>
      </c>
      <c r="J59" s="112">
        <f t="shared" si="20"/>
        <v>1.2549999999999999</v>
      </c>
      <c r="K59" s="112">
        <f t="shared" si="20"/>
        <v>1.2469534050179212</v>
      </c>
      <c r="L59" s="112">
        <f t="shared" si="20"/>
        <v>1.2151515151515151</v>
      </c>
      <c r="M59" s="112">
        <f t="shared" si="20"/>
        <v>1.368421052631579</v>
      </c>
      <c r="N59" s="112">
        <f t="shared" si="20"/>
        <v>1.0198399223866117</v>
      </c>
      <c r="O59" s="112">
        <f t="shared" si="20"/>
        <v>1.1299999999999999</v>
      </c>
      <c r="P59" s="112">
        <f t="shared" si="20"/>
        <v>1.3684677419354838</v>
      </c>
      <c r="Q59" s="112">
        <f t="shared" si="20"/>
        <v>1.7583333333333333</v>
      </c>
      <c r="R59" s="112">
        <f t="shared" si="20"/>
        <v>1.3516666666666666</v>
      </c>
      <c r="S59" s="112">
        <f t="shared" si="20"/>
        <v>1.3461538461538463</v>
      </c>
      <c r="T59" s="112">
        <f t="shared" si="20"/>
        <v>1.4279999999999999</v>
      </c>
      <c r="U59" s="112">
        <f t="shared" si="20"/>
        <v>1.1678120617110799</v>
      </c>
      <c r="V59" s="112">
        <f t="shared" si="20"/>
        <v>1.1094193548387097</v>
      </c>
      <c r="W59" s="112">
        <f t="shared" si="20"/>
        <v>1.1379999999999999</v>
      </c>
      <c r="X59" s="112">
        <f t="shared" si="20"/>
        <v>1.0747849462365591</v>
      </c>
      <c r="Y59" s="112">
        <f t="shared" si="20"/>
        <v>1.2944444444444445</v>
      </c>
      <c r="Z59" s="112">
        <f t="shared" si="20"/>
        <v>1.2093286835222319</v>
      </c>
      <c r="AA59" s="112">
        <f t="shared" si="20"/>
        <v>1.7</v>
      </c>
      <c r="AB59" s="112">
        <f t="shared" si="20"/>
        <v>1.2607038123167156</v>
      </c>
      <c r="AC59" s="112">
        <f t="shared" si="20"/>
        <v>1.1937403993855606</v>
      </c>
      <c r="AD59" s="112">
        <f t="shared" si="20"/>
        <v>1.1533333333333333</v>
      </c>
      <c r="AE59" s="112">
        <f t="shared" si="20"/>
        <v>1.2253521126760563</v>
      </c>
      <c r="AF59" s="112">
        <f t="shared" si="20"/>
        <v>1.1280000000000001</v>
      </c>
      <c r="AG59" s="112">
        <f t="shared" si="20"/>
        <v>1.1319537431527693</v>
      </c>
      <c r="AH59" s="112">
        <f t="shared" si="20"/>
        <v>1.1625604838709676</v>
      </c>
      <c r="AI59" s="112">
        <f t="shared" si="20"/>
        <v>1.178211767642104</v>
      </c>
      <c r="AJ59" s="112">
        <f t="shared" si="20"/>
        <v>1.2153284671532847</v>
      </c>
      <c r="AK59" s="112">
        <f t="shared" si="20"/>
        <v>1.2423076923076923</v>
      </c>
      <c r="AL59" s="112">
        <f t="shared" si="20"/>
        <v>1.2234491315136478</v>
      </c>
    </row>
    <row r="60" spans="1:38" s="110" customFormat="1" x14ac:dyDescent="0.3">
      <c r="A60" s="113" t="s">
        <v>58</v>
      </c>
      <c r="C60" s="111">
        <f>C41/C44</f>
        <v>0.31709509903124761</v>
      </c>
      <c r="D60" s="112">
        <f t="shared" ref="D60:AL60" si="21">D41/D44</f>
        <v>0.36549791213825855</v>
      </c>
      <c r="E60" s="112">
        <f t="shared" si="21"/>
        <v>0.40202979530716021</v>
      </c>
      <c r="F60" s="112">
        <f t="shared" si="21"/>
        <v>0.25965812139453837</v>
      </c>
      <c r="G60" s="112">
        <f t="shared" si="21"/>
        <v>0.55973404035682639</v>
      </c>
      <c r="H60" s="112">
        <f t="shared" si="21"/>
        <v>5.0277401846485659E-2</v>
      </c>
      <c r="I60" s="112">
        <f t="shared" si="21"/>
        <v>0.52640081249448056</v>
      </c>
      <c r="J60" s="112">
        <f t="shared" si="21"/>
        <v>4.9415758728560272E-2</v>
      </c>
      <c r="K60" s="112">
        <f t="shared" si="21"/>
        <v>0.45776485116035004</v>
      </c>
      <c r="L60" s="112">
        <f t="shared" si="21"/>
        <v>5.6200084521438175E-2</v>
      </c>
      <c r="M60" s="112">
        <f t="shared" si="21"/>
        <v>5.2232604413672751E-2</v>
      </c>
      <c r="N60" s="112">
        <f t="shared" si="21"/>
        <v>0.47227364453580173</v>
      </c>
      <c r="O60" s="112">
        <f t="shared" si="21"/>
        <v>4.4541872643742167E-2</v>
      </c>
      <c r="P60" s="112">
        <f t="shared" si="21"/>
        <v>0.3488716049214195</v>
      </c>
      <c r="Q60" s="112">
        <f t="shared" si="21"/>
        <v>0.25124062060212982</v>
      </c>
      <c r="R60" s="112">
        <f t="shared" si="21"/>
        <v>0.22769475483493612</v>
      </c>
      <c r="S60" s="112">
        <f t="shared" si="21"/>
        <v>5.024375765071061E-2</v>
      </c>
      <c r="T60" s="112">
        <f t="shared" si="21"/>
        <v>3.5259091808332504E-2</v>
      </c>
      <c r="U60" s="112">
        <f t="shared" si="21"/>
        <v>0.22200495140966767</v>
      </c>
      <c r="V60" s="112">
        <f t="shared" si="21"/>
        <v>0.57514606911524047</v>
      </c>
      <c r="W60" s="112">
        <f t="shared" si="21"/>
        <v>0.3252845157025151</v>
      </c>
      <c r="X60" s="112">
        <f t="shared" si="21"/>
        <v>0.33926824108895676</v>
      </c>
      <c r="Y60" s="112">
        <f t="shared" si="21"/>
        <v>0.49567853429000941</v>
      </c>
      <c r="Z60" s="112">
        <f t="shared" si="21"/>
        <v>0.31946970055638241</v>
      </c>
      <c r="AA60" s="112">
        <f t="shared" si="21"/>
        <v>0.5534886378731142</v>
      </c>
      <c r="AB60" s="112">
        <f t="shared" si="21"/>
        <v>0.32766044176582709</v>
      </c>
      <c r="AC60" s="112">
        <f t="shared" si="21"/>
        <v>0.43595119173236196</v>
      </c>
      <c r="AD60" s="112">
        <f t="shared" si="21"/>
        <v>0.30587783213337039</v>
      </c>
      <c r="AE60" s="112">
        <f t="shared" si="21"/>
        <v>5.1117967493754135E-2</v>
      </c>
      <c r="AF60" s="112">
        <f t="shared" si="21"/>
        <v>0.40445665292747635</v>
      </c>
      <c r="AG60" s="112">
        <f t="shared" si="21"/>
        <v>0.26698283776930049</v>
      </c>
      <c r="AH60" s="112">
        <f t="shared" si="21"/>
        <v>4.6205980059534399E-2</v>
      </c>
      <c r="AI60" s="112">
        <f t="shared" si="21"/>
        <v>0.33300813964181525</v>
      </c>
      <c r="AJ60" s="112">
        <f t="shared" si="21"/>
        <v>5.6061502683317374E-2</v>
      </c>
      <c r="AK60" s="112">
        <f t="shared" si="21"/>
        <v>0.29514260695424388</v>
      </c>
      <c r="AL60" s="112">
        <f t="shared" si="21"/>
        <v>0.39409701664876512</v>
      </c>
    </row>
    <row r="61" spans="1:38" s="110" customFormat="1" x14ac:dyDescent="0.3">
      <c r="A61" s="113" t="s">
        <v>59</v>
      </c>
      <c r="C61" s="111">
        <f>C43/C44</f>
        <v>8.2674447690704214E-2</v>
      </c>
      <c r="D61" s="112">
        <f t="shared" ref="D61:AL61" si="22">D43/D44</f>
        <v>0</v>
      </c>
      <c r="E61" s="112">
        <f t="shared" si="22"/>
        <v>6.7596060459557503E-2</v>
      </c>
      <c r="F61" s="112">
        <f t="shared" si="22"/>
        <v>0.29276903825835487</v>
      </c>
      <c r="G61" s="112">
        <f t="shared" si="22"/>
        <v>2.504856595510389E-2</v>
      </c>
      <c r="H61" s="112">
        <f t="shared" si="22"/>
        <v>6.1942955566113504E-2</v>
      </c>
      <c r="I61" s="112">
        <f t="shared" si="22"/>
        <v>0.11684352593139928</v>
      </c>
      <c r="J61" s="112">
        <f t="shared" si="22"/>
        <v>9.6128511694143395E-2</v>
      </c>
      <c r="K61" s="112">
        <f t="shared" si="22"/>
        <v>8.1228142293309699E-3</v>
      </c>
      <c r="L61" s="112">
        <f t="shared" si="22"/>
        <v>0</v>
      </c>
      <c r="M61" s="112">
        <f t="shared" si="22"/>
        <v>6.0162704805286731E-2</v>
      </c>
      <c r="N61" s="112">
        <f t="shared" si="22"/>
        <v>5.4354593130622471E-2</v>
      </c>
      <c r="O61" s="112">
        <f t="shared" si="22"/>
        <v>0.19524533387623708</v>
      </c>
      <c r="P61" s="112">
        <f t="shared" si="22"/>
        <v>0.10841001207560075</v>
      </c>
      <c r="Q61" s="112">
        <f t="shared" si="22"/>
        <v>6.4088624095110167E-2</v>
      </c>
      <c r="R61" s="112">
        <f t="shared" si="22"/>
        <v>5.6264382672576774E-2</v>
      </c>
      <c r="S61" s="112">
        <f t="shared" si="22"/>
        <v>0</v>
      </c>
      <c r="T61" s="112">
        <f t="shared" si="22"/>
        <v>0.18930712254037535</v>
      </c>
      <c r="U61" s="112">
        <f t="shared" si="22"/>
        <v>3.867161349739872E-2</v>
      </c>
      <c r="V61" s="112">
        <f t="shared" si="22"/>
        <v>1.4284197472096773E-2</v>
      </c>
      <c r="W61" s="112">
        <f t="shared" si="22"/>
        <v>0</v>
      </c>
      <c r="X61" s="112">
        <f t="shared" si="22"/>
        <v>0.125747566205303</v>
      </c>
      <c r="Y61" s="112">
        <f t="shared" si="22"/>
        <v>4.8292638029201834E-2</v>
      </c>
      <c r="Z61" s="112">
        <f t="shared" si="22"/>
        <v>7.2063549955970377E-2</v>
      </c>
      <c r="AA61" s="112">
        <f t="shared" si="22"/>
        <v>0</v>
      </c>
      <c r="AB61" s="112">
        <f t="shared" si="22"/>
        <v>1.7133508342683654E-2</v>
      </c>
      <c r="AC61" s="112">
        <f t="shared" si="22"/>
        <v>6.3366951384601087E-3</v>
      </c>
      <c r="AD61" s="112">
        <f t="shared" si="22"/>
        <v>4.3073369447261298E-2</v>
      </c>
      <c r="AE61" s="112">
        <f t="shared" si="22"/>
        <v>0</v>
      </c>
      <c r="AF61" s="112">
        <f t="shared" si="22"/>
        <v>0</v>
      </c>
      <c r="AG61" s="112">
        <f t="shared" si="22"/>
        <v>0.14096994725125034</v>
      </c>
      <c r="AH61" s="112">
        <f t="shared" si="22"/>
        <v>8.2581409085119684E-2</v>
      </c>
      <c r="AI61" s="112">
        <f t="shared" si="22"/>
        <v>9.9643963245745704E-2</v>
      </c>
      <c r="AJ61" s="112">
        <f t="shared" si="22"/>
        <v>0</v>
      </c>
      <c r="AK61" s="112">
        <f t="shared" si="22"/>
        <v>0.17446868088033574</v>
      </c>
      <c r="AL61" s="112">
        <f t="shared" si="22"/>
        <v>0.36693165629412289</v>
      </c>
    </row>
    <row r="62" spans="1:38" x14ac:dyDescent="0.3">
      <c r="A62" s="114"/>
    </row>
    <row r="63" spans="1:38" x14ac:dyDescent="0.3">
      <c r="A63" s="1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</row>
    <row r="64" spans="1:38" x14ac:dyDescent="0.3">
      <c r="A64" s="1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</row>
    <row r="65" spans="1:42" x14ac:dyDescent="0.3">
      <c r="A65" s="114"/>
      <c r="C65" s="118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</row>
    <row r="66" spans="1:42" x14ac:dyDescent="0.3">
      <c r="A66" s="114"/>
      <c r="C66" s="118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</row>
    <row r="67" spans="1:42" x14ac:dyDescent="0.3">
      <c r="B67" s="119"/>
    </row>
    <row r="68" spans="1:42" x14ac:dyDescent="0.3">
      <c r="B68" s="119"/>
    </row>
    <row r="69" spans="1:42" x14ac:dyDescent="0.3">
      <c r="B69" s="119"/>
    </row>
    <row r="70" spans="1:42" x14ac:dyDescent="0.3">
      <c r="B70" s="119"/>
    </row>
    <row r="71" spans="1:42" s="120" customFormat="1" x14ac:dyDescent="0.3">
      <c r="A71" s="115"/>
      <c r="B71" s="119"/>
      <c r="C71" s="116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</row>
  </sheetData>
  <mergeCells count="4">
    <mergeCell ref="A12:A19"/>
    <mergeCell ref="A23:A28"/>
    <mergeCell ref="A30:A40"/>
    <mergeCell ref="A41:A4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2F2-1129-457C-9F57-2A25D5850DB1}">
  <sheetPr codeName="Sheet33">
    <tabColor theme="6" tint="0.79998168889431442"/>
  </sheetPr>
  <dimension ref="A1:Z68"/>
  <sheetViews>
    <sheetView workbookViewId="0">
      <selection activeCell="C8" sqref="C8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200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198</v>
      </c>
      <c r="B3" s="7"/>
      <c r="C3" s="8">
        <f>SUM(D3:F3)</f>
        <v>6979462528</v>
      </c>
      <c r="D3" s="9">
        <v>2569400891</v>
      </c>
      <c r="E3" s="9">
        <v>3629467937</v>
      </c>
      <c r="F3" s="9">
        <v>780593700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249000000</v>
      </c>
      <c r="D4" s="12">
        <v>83300000</v>
      </c>
      <c r="E4" s="12">
        <v>121200000</v>
      </c>
      <c r="F4" s="12">
        <v>44500000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4000000</v>
      </c>
      <c r="D5" s="12">
        <v>1000000</v>
      </c>
      <c r="E5" s="12">
        <v>3000000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27900000</v>
      </c>
      <c r="D6" s="12">
        <v>3660000</v>
      </c>
      <c r="E6" s="12">
        <v>22153000</v>
      </c>
      <c r="F6" s="12">
        <v>2087000</v>
      </c>
    </row>
    <row r="7" spans="1:26" s="1" customFormat="1" ht="15.5" x14ac:dyDescent="0.35">
      <c r="A7" s="13"/>
      <c r="B7" s="11" t="s">
        <v>6</v>
      </c>
      <c r="C7" s="3">
        <f t="shared" si="0"/>
        <v>45</v>
      </c>
      <c r="D7" s="12">
        <v>18</v>
      </c>
      <c r="E7" s="12">
        <v>24</v>
      </c>
      <c r="F7" s="12">
        <v>3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64</v>
      </c>
      <c r="D8" s="12">
        <v>24</v>
      </c>
      <c r="E8" s="12">
        <v>32</v>
      </c>
      <c r="F8" s="12">
        <v>8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20</v>
      </c>
      <c r="D9" s="12">
        <v>11</v>
      </c>
      <c r="E9" s="12">
        <v>9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4810843141.1612911</v>
      </c>
      <c r="D10" s="12">
        <v>1752580645.1612904</v>
      </c>
      <c r="E10" s="12">
        <v>2506488302.4516129</v>
      </c>
      <c r="F10" s="12">
        <v>551774193.54838705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1312343800</v>
      </c>
      <c r="D11" s="12">
        <v>498573000</v>
      </c>
      <c r="E11" s="12">
        <v>697697100</v>
      </c>
      <c r="F11" s="12">
        <v>116073700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239570645.16129032</v>
      </c>
      <c r="D12" s="12">
        <v>89637741.935483873</v>
      </c>
      <c r="E12" s="12">
        <v>127581774.19354838</v>
      </c>
      <c r="F12" s="12">
        <v>22351129.032258064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110760655.91397849</v>
      </c>
      <c r="D13" s="12">
        <v>40456731.182795696</v>
      </c>
      <c r="E13" s="12">
        <v>58572150.537634417</v>
      </c>
      <c r="F13" s="12">
        <v>11731774.193548387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100186774.1935484</v>
      </c>
      <c r="D14" s="12">
        <v>37761935.483870968</v>
      </c>
      <c r="E14" s="12">
        <v>53757096.774193555</v>
      </c>
      <c r="F14" s="12">
        <v>8667741.935483871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11459032.258064516</v>
      </c>
      <c r="D15" s="12">
        <v>7809032.2580645159</v>
      </c>
      <c r="E15" s="12">
        <v>2200000</v>
      </c>
      <c r="F15" s="12">
        <v>1450000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55771892.473118275</v>
      </c>
      <c r="D16" s="12">
        <v>15826064.516129032</v>
      </c>
      <c r="E16" s="12">
        <v>29908408.602150537</v>
      </c>
      <c r="F16" s="12">
        <v>10037419.35483871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119305172.04301076</v>
      </c>
      <c r="D17" s="12">
        <v>44551247.311827958</v>
      </c>
      <c r="E17" s="12">
        <v>59452150.537634417</v>
      </c>
      <c r="F17" s="12">
        <v>15301774.193548387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1949397972.043011</v>
      </c>
      <c r="D18" s="16">
        <f>SUM(D11:D17)</f>
        <v>734615752.6881721</v>
      </c>
      <c r="E18" s="16">
        <f>SUM(E11:E17)</f>
        <v>1029168680.6451613</v>
      </c>
      <c r="F18" s="16">
        <f>SUM(F11:F17)</f>
        <v>185613538.7096774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3972416666.666667</v>
      </c>
      <c r="D20" s="17">
        <v>1470916666.666667</v>
      </c>
      <c r="E20" s="17">
        <v>2050000000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13368000</v>
      </c>
      <c r="D21" s="17">
        <v>2450000</v>
      </c>
      <c r="E21" s="17">
        <v>10918000</v>
      </c>
      <c r="F21" s="12">
        <v>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1115344440</v>
      </c>
      <c r="D22" s="17">
        <v>394850394</v>
      </c>
      <c r="E22" s="17">
        <v>610532649</v>
      </c>
      <c r="F22" s="18">
        <v>109961397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210604918.66666666</v>
      </c>
      <c r="D23" s="17">
        <v>83105497</v>
      </c>
      <c r="E23" s="17">
        <v>118135351.66666666</v>
      </c>
      <c r="F23" s="18">
        <v>9364070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32613900.25</v>
      </c>
      <c r="D24" s="17">
        <v>14310004</v>
      </c>
      <c r="E24" s="17">
        <v>17559896.25</v>
      </c>
      <c r="F24" s="18">
        <v>744000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19593333.333333336</v>
      </c>
      <c r="D25" s="17">
        <v>6383333.333333334</v>
      </c>
      <c r="E25" s="17">
        <v>11110000</v>
      </c>
      <c r="F25" s="12">
        <v>2100000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16286400</v>
      </c>
      <c r="D26" s="12">
        <v>10856160</v>
      </c>
      <c r="E26" s="12">
        <v>0</v>
      </c>
      <c r="F26" s="12">
        <v>5430240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1000000</v>
      </c>
      <c r="D27" s="12">
        <v>0</v>
      </c>
      <c r="E27" s="12">
        <v>1000000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5381227658.916667</v>
      </c>
      <c r="D28" s="8">
        <f>SUM(D20:D27)</f>
        <v>1982872055.0000002</v>
      </c>
      <c r="E28" s="8">
        <f>SUM(E20:E27)</f>
        <v>2819255896.9166665</v>
      </c>
      <c r="F28" s="8">
        <f>SUM(F20:F27)</f>
        <v>579099707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149122471.77619311</v>
      </c>
      <c r="D29" s="17">
        <v>57072377.678450249</v>
      </c>
      <c r="E29" s="17">
        <v>78388443.118289262</v>
      </c>
      <c r="F29" s="17">
        <v>13661650.979453593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11571109.456440805</v>
      </c>
      <c r="D30" s="17">
        <v>4494415.4877140746</v>
      </c>
      <c r="E30" s="17">
        <v>6040208.4884586725</v>
      </c>
      <c r="F30" s="17">
        <v>1036485.4802680567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33002419.955323905</v>
      </c>
      <c r="D31" s="17">
        <v>12895227.10349963</v>
      </c>
      <c r="E31" s="17">
        <v>17133343.261355177</v>
      </c>
      <c r="F31" s="17">
        <v>2973849.5904690991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0</v>
      </c>
      <c r="D32" s="17">
        <v>0</v>
      </c>
      <c r="E32" s="17">
        <v>0</v>
      </c>
      <c r="F32" s="17">
        <v>0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2892777.3641102011</v>
      </c>
      <c r="D33" s="17">
        <v>1123603.8719285186</v>
      </c>
      <c r="E33" s="17">
        <v>1510052.1221146681</v>
      </c>
      <c r="F33" s="17">
        <v>259121.37006701418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45772638.01191362</v>
      </c>
      <c r="D34" s="17">
        <v>17778870.208488461</v>
      </c>
      <c r="E34" s="17">
        <v>23893670.498883091</v>
      </c>
      <c r="F34" s="17">
        <v>4100097.3045420703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41450000</v>
      </c>
      <c r="D35" s="17">
        <v>15750000</v>
      </c>
      <c r="E35" s="17">
        <v>22450000</v>
      </c>
      <c r="F35" s="17">
        <v>3250000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15798518.242740136</v>
      </c>
      <c r="D36" s="17">
        <v>6129069.2479523458</v>
      </c>
      <c r="E36" s="17">
        <v>8266701.4147431133</v>
      </c>
      <c r="F36" s="17">
        <v>1402747.5800446761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16511541.325390914</v>
      </c>
      <c r="D37" s="17">
        <v>6367088.6075949362</v>
      </c>
      <c r="E37" s="17">
        <v>8676098.2874162309</v>
      </c>
      <c r="F37" s="17">
        <v>1468354.4303797467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5500000</v>
      </c>
      <c r="D38" s="17">
        <v>5500000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114124320.36113186</v>
      </c>
      <c r="D39" s="17">
        <v>44327824.819806419</v>
      </c>
      <c r="E39" s="17">
        <v>59573776.497393936</v>
      </c>
      <c r="F39" s="17">
        <v>10222719.043931497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137971164.28965005</v>
      </c>
      <c r="D40" s="17">
        <v>49207354.215189874</v>
      </c>
      <c r="E40" s="17">
        <v>64470453.806403577</v>
      </c>
      <c r="F40" s="12">
        <v>24293356.26805659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22552000</v>
      </c>
      <c r="D41" s="17">
        <v>7232000</v>
      </c>
      <c r="E41" s="17">
        <v>15230000</v>
      </c>
      <c r="F41" s="12">
        <v>90000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20536000</v>
      </c>
      <c r="D42" s="12">
        <v>11105000</v>
      </c>
      <c r="E42" s="12">
        <v>9251000</v>
      </c>
      <c r="F42" s="12">
        <v>180000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616804960.78289461</v>
      </c>
      <c r="D43" s="21">
        <f>SUM(D29:D42)</f>
        <v>238982831.24062452</v>
      </c>
      <c r="E43" s="21">
        <f>SUM(E29:E42)</f>
        <v>314883747.4950577</v>
      </c>
      <c r="F43" s="21">
        <f>SUM(F29:F42)</f>
        <v>62938382.047212347</v>
      </c>
    </row>
    <row r="44" spans="1:26" s="25" customFormat="1" ht="18.5" customHeight="1" x14ac:dyDescent="0.35">
      <c r="A44" s="23" t="s">
        <v>46</v>
      </c>
      <c r="B44" s="23"/>
      <c r="C44" s="24">
        <f>C28+C43</f>
        <v>5998032619.6995621</v>
      </c>
      <c r="D44" s="24">
        <f>D28+D43</f>
        <v>2221854886.2406249</v>
      </c>
      <c r="E44" s="24">
        <f>E28+E43</f>
        <v>3134139644.4117241</v>
      </c>
      <c r="F44" s="24">
        <f>F28+F43</f>
        <v>642038089.04721236</v>
      </c>
    </row>
    <row r="45" spans="1:26" s="22" customFormat="1" ht="18" customHeight="1" x14ac:dyDescent="0.35">
      <c r="A45" s="19" t="s">
        <v>47</v>
      </c>
      <c r="B45" s="19"/>
      <c r="C45" s="20">
        <f>C3-C28</f>
        <v>1598234869.083333</v>
      </c>
      <c r="D45" s="26">
        <f>D3-D28</f>
        <v>586528835.99999976</v>
      </c>
      <c r="E45" s="26">
        <f>E3-E28</f>
        <v>810212040.08333349</v>
      </c>
      <c r="F45" s="26">
        <f>F3-F28</f>
        <v>201493993</v>
      </c>
    </row>
    <row r="46" spans="1:26" s="30" customFormat="1" ht="15.5" x14ac:dyDescent="0.35">
      <c r="A46" s="27" t="s">
        <v>48</v>
      </c>
      <c r="B46" s="27"/>
      <c r="C46" s="28">
        <f>C3-C44</f>
        <v>981429908.30043793</v>
      </c>
      <c r="D46" s="29">
        <f>D3-D44</f>
        <v>347546004.7593751</v>
      </c>
      <c r="E46" s="29">
        <f>E3-E44</f>
        <v>495328292.58827591</v>
      </c>
      <c r="F46" s="29">
        <f>F3-F44</f>
        <v>138555610.95278764</v>
      </c>
    </row>
    <row r="47" spans="1:26" s="10" customFormat="1" ht="15.5" x14ac:dyDescent="0.35">
      <c r="A47" s="6" t="s">
        <v>29</v>
      </c>
      <c r="B47" s="6"/>
      <c r="C47" s="8">
        <f>C28</f>
        <v>5381227658.916667</v>
      </c>
      <c r="D47" s="31">
        <f>D28</f>
        <v>1982872055.0000002</v>
      </c>
      <c r="E47" s="31">
        <f>E28</f>
        <v>2819255896.9166665</v>
      </c>
      <c r="F47" s="31">
        <f>F28</f>
        <v>579099707</v>
      </c>
    </row>
    <row r="48" spans="1:26" s="35" customFormat="1" ht="15" x14ac:dyDescent="0.35">
      <c r="A48" s="32" t="s">
        <v>49</v>
      </c>
      <c r="B48" s="33"/>
      <c r="C48" s="34">
        <f>C46/C3</f>
        <v>0.14061683179230014</v>
      </c>
      <c r="D48" s="34">
        <f>D46/D3</f>
        <v>0.13526344058521428</v>
      </c>
      <c r="E48" s="34">
        <f>E46/E3</f>
        <v>0.1364740786214792</v>
      </c>
      <c r="F48" s="34">
        <f>F46/F3</f>
        <v>0.17750029362623301</v>
      </c>
    </row>
    <row r="49" spans="1:6" s="35" customFormat="1" ht="15" x14ac:dyDescent="0.35">
      <c r="A49" s="32" t="s">
        <v>50</v>
      </c>
      <c r="B49" s="33"/>
      <c r="C49" s="34">
        <f>C45/C3</f>
        <v>0.22899110965516067</v>
      </c>
      <c r="D49" s="34">
        <f>D45/D3</f>
        <v>0.22827455149349046</v>
      </c>
      <c r="E49" s="34">
        <f>E45/E3</f>
        <v>0.2232316290285315</v>
      </c>
      <c r="F49" s="34">
        <f>F45/F3</f>
        <v>0.25812915605134912</v>
      </c>
    </row>
    <row r="50" spans="1:6" s="35" customFormat="1" ht="15" x14ac:dyDescent="0.35">
      <c r="A50" s="32" t="s">
        <v>51</v>
      </c>
      <c r="B50" s="33"/>
      <c r="C50" s="34">
        <f>C46/C47</f>
        <v>0.18238029879189621</v>
      </c>
      <c r="D50" s="34">
        <f>D46/D47</f>
        <v>0.17527404447654846</v>
      </c>
      <c r="E50" s="34">
        <f>E46/E47</f>
        <v>0.17569469062031626</v>
      </c>
      <c r="F50" s="34">
        <f>F46/F47</f>
        <v>0.23926037136259098</v>
      </c>
    </row>
    <row r="51" spans="1:6" s="35" customFormat="1" ht="15" x14ac:dyDescent="0.35">
      <c r="A51" s="32" t="s">
        <v>52</v>
      </c>
      <c r="B51" s="33"/>
      <c r="C51" s="34">
        <f>C46/C45</f>
        <v>0.61407114015935382</v>
      </c>
      <c r="D51" s="34">
        <f>D46/D45</f>
        <v>0.59254717488327413</v>
      </c>
      <c r="E51" s="34">
        <f>E46/E45</f>
        <v>0.61135637102767504</v>
      </c>
      <c r="F51" s="34">
        <f>F46/F45</f>
        <v>0.68764139759137954</v>
      </c>
    </row>
    <row r="52" spans="1:6" s="39" customFormat="1" ht="15" x14ac:dyDescent="0.35">
      <c r="A52" s="36" t="s">
        <v>53</v>
      </c>
      <c r="B52" s="37"/>
      <c r="C52" s="38">
        <f>C44/C45</f>
        <v>3.7529106239183303</v>
      </c>
      <c r="D52" s="38">
        <f>D44/D45</f>
        <v>3.7881426280644552</v>
      </c>
      <c r="E52" s="38">
        <f>E44/E45</f>
        <v>3.8682955687616856</v>
      </c>
      <c r="F52" s="38">
        <f>F44/F45</f>
        <v>3.1863882366320091</v>
      </c>
    </row>
    <row r="53" spans="1:6" s="42" customFormat="1" ht="15" x14ac:dyDescent="0.35">
      <c r="A53" s="40" t="s">
        <v>54</v>
      </c>
      <c r="B53" s="40"/>
      <c r="C53" s="41">
        <f>C47/C3</f>
        <v>0.77100889034483933</v>
      </c>
      <c r="D53" s="41">
        <f>D47/D3</f>
        <v>0.77172544850650959</v>
      </c>
      <c r="E53" s="41">
        <f>E47/E3</f>
        <v>0.77676837097146856</v>
      </c>
      <c r="F53" s="41">
        <f>F47/F3</f>
        <v>0.74187084394865088</v>
      </c>
    </row>
    <row r="54" spans="1:6" s="42" customFormat="1" ht="15" x14ac:dyDescent="0.35">
      <c r="A54" s="40" t="s">
        <v>55</v>
      </c>
      <c r="B54" s="40"/>
      <c r="C54" s="41">
        <f>C43/C3</f>
        <v>8.8374277862860479E-2</v>
      </c>
      <c r="D54" s="41">
        <f>D43/D3</f>
        <v>9.3011110908276129E-2</v>
      </c>
      <c r="E54" s="41">
        <f>E43/E3</f>
        <v>8.6757550407052325E-2</v>
      </c>
      <c r="F54" s="41">
        <f>F43/F3</f>
        <v>8.0628862425116091E-2</v>
      </c>
    </row>
    <row r="55" spans="1:6" s="42" customFormat="1" ht="15" x14ac:dyDescent="0.35">
      <c r="A55" s="40" t="s">
        <v>56</v>
      </c>
      <c r="B55" s="40"/>
      <c r="C55" s="41">
        <f>C44/C3</f>
        <v>0.85938316820769989</v>
      </c>
      <c r="D55" s="41">
        <f>D44/D3</f>
        <v>0.86473655941478578</v>
      </c>
      <c r="E55" s="41">
        <f>E44/E3</f>
        <v>0.8635259213785208</v>
      </c>
      <c r="F55" s="41">
        <f>F44/F3</f>
        <v>0.82249970637376701</v>
      </c>
    </row>
    <row r="56" spans="1:6" s="42" customFormat="1" ht="15" x14ac:dyDescent="0.35">
      <c r="A56" s="40" t="s">
        <v>57</v>
      </c>
      <c r="B56" s="40"/>
      <c r="C56" s="41">
        <f>SUM(C29:C38)/C43</f>
        <v>0.521431403087107</v>
      </c>
      <c r="D56" s="41">
        <f>SUM(D29:D38)/D43</f>
        <v>0.5318819412497644</v>
      </c>
      <c r="E56" s="41">
        <f>SUM(E29:E38)/E43</f>
        <v>0.52831725522407702</v>
      </c>
      <c r="F56" s="41">
        <f>SUM(F29:F38)/F43</f>
        <v>0.44729949864466167</v>
      </c>
    </row>
    <row r="57" spans="1:6" s="42" customFormat="1" ht="15" x14ac:dyDescent="0.35">
      <c r="A57" s="40" t="s">
        <v>58</v>
      </c>
      <c r="B57" s="40"/>
      <c r="C57" s="41">
        <f>C40/C43</f>
        <v>0.2236868589943356</v>
      </c>
      <c r="D57" s="41">
        <f>D40/D43</f>
        <v>0.20590330259182715</v>
      </c>
      <c r="E57" s="41">
        <f>E40/E43</f>
        <v>0.20474366911367975</v>
      </c>
      <c r="F57" s="41">
        <f>F40/F43</f>
        <v>0.38598634851835351</v>
      </c>
    </row>
    <row r="58" spans="1:6" s="42" customFormat="1" ht="15" x14ac:dyDescent="0.35">
      <c r="A58" s="40" t="s">
        <v>59</v>
      </c>
      <c r="B58" s="40"/>
      <c r="C58" s="41">
        <f>C42/C43</f>
        <v>3.3294155050138032E-2</v>
      </c>
      <c r="D58" s="41">
        <f>D42/D43</f>
        <v>4.6467773196722718E-2</v>
      </c>
      <c r="E58" s="41">
        <f>E42/E43</f>
        <v>2.9379096487490833E-2</v>
      </c>
      <c r="F58" s="41">
        <f>F42/F43</f>
        <v>2.859940057959792E-3</v>
      </c>
    </row>
    <row r="59" spans="1:6" s="46" customFormat="1" x14ac:dyDescent="0.35">
      <c r="A59" s="43" t="s">
        <v>60</v>
      </c>
      <c r="B59" s="44"/>
      <c r="C59" s="45">
        <f>C46/C3</f>
        <v>0.14061683179230014</v>
      </c>
      <c r="D59" s="45">
        <f>D46/D3</f>
        <v>0.13526344058521428</v>
      </c>
      <c r="E59" s="45">
        <f>E46/E3</f>
        <v>0.1364740786214792</v>
      </c>
      <c r="F59" s="45">
        <f>F46/F3</f>
        <v>0.17750029362623301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0F5C-5D22-4067-928F-FE546E3B2A60}">
  <sheetPr>
    <tabColor rgb="FFFFC000"/>
  </sheetPr>
  <dimension ref="A1:Z70"/>
  <sheetViews>
    <sheetView topLeftCell="A53" workbookViewId="0">
      <selection activeCell="B66" sqref="B66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208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202</v>
      </c>
      <c r="B3" s="7"/>
      <c r="C3" s="8">
        <f>SUM(D3:F3)</f>
        <v>7036256236</v>
      </c>
      <c r="D3" s="9">
        <v>2527702129</v>
      </c>
      <c r="E3" s="9">
        <v>3551745507</v>
      </c>
      <c r="F3" s="9">
        <v>956808600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371850000</v>
      </c>
      <c r="D4" s="12">
        <v>152600000</v>
      </c>
      <c r="E4" s="12">
        <v>187450000</v>
      </c>
      <c r="F4" s="12">
        <v>31800000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18400000</v>
      </c>
      <c r="D5" s="12">
        <v>9500000</v>
      </c>
      <c r="E5" s="12">
        <v>7900000</v>
      </c>
      <c r="F5" s="12">
        <v>1000000</v>
      </c>
    </row>
    <row r="6" spans="1:26" s="1" customFormat="1" ht="15.5" x14ac:dyDescent="0.35">
      <c r="A6" s="13" t="s">
        <v>5</v>
      </c>
      <c r="B6" s="11"/>
      <c r="C6" s="3">
        <f t="shared" si="0"/>
        <v>104968774</v>
      </c>
      <c r="D6" s="12">
        <v>32671000</v>
      </c>
      <c r="E6" s="12">
        <v>67345774</v>
      </c>
      <c r="F6" s="12">
        <v>4952000</v>
      </c>
    </row>
    <row r="7" spans="1:26" s="1" customFormat="1" ht="15.5" x14ac:dyDescent="0.35">
      <c r="A7" s="13"/>
      <c r="B7" s="11" t="s">
        <v>6</v>
      </c>
      <c r="C7" s="3">
        <f t="shared" si="0"/>
        <v>39</v>
      </c>
      <c r="D7" s="12">
        <v>18</v>
      </c>
      <c r="E7" s="12">
        <v>15</v>
      </c>
      <c r="F7" s="12">
        <v>6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95</v>
      </c>
      <c r="D8" s="12">
        <v>41</v>
      </c>
      <c r="E8" s="12">
        <v>47</v>
      </c>
      <c r="F8" s="12">
        <v>7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11</v>
      </c>
      <c r="D9" s="12">
        <v>6</v>
      </c>
      <c r="E9" s="12">
        <v>4</v>
      </c>
      <c r="F9" s="12">
        <v>1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5021511225.8064518</v>
      </c>
      <c r="D10" s="12">
        <v>1769319354.8387098</v>
      </c>
      <c r="E10" s="12">
        <v>2539543161.2903223</v>
      </c>
      <c r="F10" s="12">
        <v>712648709.67741942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1097824306.4516129</v>
      </c>
      <c r="D11" s="12">
        <v>410023400</v>
      </c>
      <c r="E11" s="12">
        <v>566431806.45161295</v>
      </c>
      <c r="F11" s="12">
        <v>121369100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233501129.03225806</v>
      </c>
      <c r="D12" s="12">
        <v>83974354.838709682</v>
      </c>
      <c r="E12" s="12">
        <v>122013225.80645162</v>
      </c>
      <c r="F12" s="12">
        <v>27513548.387096774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117643376.34408604</v>
      </c>
      <c r="D13" s="12">
        <v>40420258.064516135</v>
      </c>
      <c r="E13" s="12">
        <v>59399569.892473117</v>
      </c>
      <c r="F13" s="12">
        <v>17823548.387096774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104264193.54838708</v>
      </c>
      <c r="D14" s="12">
        <v>38452258.064516135</v>
      </c>
      <c r="E14" s="12">
        <v>54599032.258064508</v>
      </c>
      <c r="F14" s="12">
        <v>11212903.225806452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10516129.032258064</v>
      </c>
      <c r="D15" s="12">
        <v>6758064.5161290318</v>
      </c>
      <c r="E15" s="12">
        <v>2458064.5161290322</v>
      </c>
      <c r="F15" s="12">
        <v>1300000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55920301.07526882</v>
      </c>
      <c r="D16" s="12">
        <v>15558989.247311827</v>
      </c>
      <c r="E16" s="12">
        <v>29633892.473118279</v>
      </c>
      <c r="F16" s="12">
        <v>10727419.35483871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125500150.53763442</v>
      </c>
      <c r="D17" s="12">
        <v>44778000.000000007</v>
      </c>
      <c r="E17" s="12">
        <v>60799569.892473117</v>
      </c>
      <c r="F17" s="12">
        <v>19922580.64516129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1745169586.0215051</v>
      </c>
      <c r="D18" s="16">
        <f>SUM(D11:D17)</f>
        <v>639965324.73118281</v>
      </c>
      <c r="E18" s="16">
        <f>SUM(E11:E17)</f>
        <v>895335161.29032254</v>
      </c>
      <c r="F18" s="16">
        <f>SUM(F11:F17)</f>
        <v>209869099.99999997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4086483333.333334</v>
      </c>
      <c r="D20" s="17">
        <v>1459650000.0000002</v>
      </c>
      <c r="E20" s="17">
        <v>2045333333.3333335</v>
      </c>
      <c r="F20" s="12">
        <v>581500000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35380000</v>
      </c>
      <c r="D21" s="17">
        <v>17370000</v>
      </c>
      <c r="E21" s="17">
        <v>12570000</v>
      </c>
      <c r="F21" s="12">
        <v>5440000</v>
      </c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935197739</v>
      </c>
      <c r="D22" s="17">
        <v>329077851</v>
      </c>
      <c r="E22" s="17">
        <v>482783854</v>
      </c>
      <c r="F22" s="18">
        <v>123336034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202388331.66666666</v>
      </c>
      <c r="D23" s="17">
        <v>77626060</v>
      </c>
      <c r="E23" s="17">
        <v>109083951.66666666</v>
      </c>
      <c r="F23" s="18">
        <v>15678320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33982034.583333328</v>
      </c>
      <c r="D24" s="17">
        <v>14310004</v>
      </c>
      <c r="E24" s="17">
        <v>17521729.583333332</v>
      </c>
      <c r="F24" s="18">
        <v>2150301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20593333.333333336</v>
      </c>
      <c r="D25" s="17">
        <v>6683333.333333334</v>
      </c>
      <c r="E25" s="17">
        <v>11510000</v>
      </c>
      <c r="F25" s="12">
        <v>2400000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1904000</v>
      </c>
      <c r="D26" s="12">
        <v>1904000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1000000</v>
      </c>
      <c r="D27" s="12">
        <v>0</v>
      </c>
      <c r="E27" s="12">
        <v>1000000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5316928771.916667</v>
      </c>
      <c r="D28" s="8">
        <f>SUM(D20:D27)</f>
        <v>1906621248.3333335</v>
      </c>
      <c r="E28" s="8">
        <f>SUM(E20:E27)</f>
        <v>2679802868.5833335</v>
      </c>
      <c r="F28" s="8">
        <f>SUM(F20:F27)</f>
        <v>730504655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151758523.78086442</v>
      </c>
      <c r="D29" s="17">
        <v>54521982.471461609</v>
      </c>
      <c r="E29" s="17">
        <v>78660237.788004294</v>
      </c>
      <c r="F29" s="17">
        <v>18576303.521398526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12627433.402041972</v>
      </c>
      <c r="D30" s="17">
        <v>4731630.2182503687</v>
      </c>
      <c r="E30" s="17">
        <v>6353111.4327062191</v>
      </c>
      <c r="F30" s="17">
        <v>1542691.7510853831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32683256.150506511</v>
      </c>
      <c r="D31" s="17">
        <v>12309305.354558613</v>
      </c>
      <c r="E31" s="17">
        <v>16360578.871201154</v>
      </c>
      <c r="F31" s="17">
        <v>4013371.9247467434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3860781.4761215635</v>
      </c>
      <c r="D32" s="17">
        <v>1432416.7872648339</v>
      </c>
      <c r="E32" s="17">
        <v>1953690.3039073804</v>
      </c>
      <c r="F32" s="17">
        <v>474674.38494934869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2916411.7313011773</v>
      </c>
      <c r="D33" s="17">
        <v>1091895.8031837912</v>
      </c>
      <c r="E33" s="17">
        <v>1468510.1394053746</v>
      </c>
      <c r="F33" s="17">
        <v>356005.78871201159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55682996.630246028</v>
      </c>
      <c r="D34" s="17">
        <v>20855210.204775687</v>
      </c>
      <c r="E34" s="17">
        <v>28028075.742402326</v>
      </c>
      <c r="F34" s="17">
        <v>6799710.6830680156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43200000</v>
      </c>
      <c r="D35" s="17">
        <v>15750000</v>
      </c>
      <c r="E35" s="17">
        <v>22450000</v>
      </c>
      <c r="F35" s="17">
        <v>5000000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16333560.057887118</v>
      </c>
      <c r="D36" s="17">
        <v>6107930.5354558611</v>
      </c>
      <c r="E36" s="17">
        <v>8238292.3299565837</v>
      </c>
      <c r="F36" s="17">
        <v>1987337.1924746744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24099775.541937452</v>
      </c>
      <c r="D37" s="17">
        <v>9099131.6931982636</v>
      </c>
      <c r="E37" s="17">
        <v>12149059.334298117</v>
      </c>
      <c r="F37" s="17">
        <v>2851584.5144410692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5500000</v>
      </c>
      <c r="D38" s="17">
        <v>5500000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52721212.404486254</v>
      </c>
      <c r="D39" s="17">
        <v>19989639.293053549</v>
      </c>
      <c r="E39" s="17">
        <v>26341123.123010136</v>
      </c>
      <c r="F39" s="17">
        <v>6390449.9884225763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212504545.19102752</v>
      </c>
      <c r="D40" s="17">
        <v>86804284.536903054</v>
      </c>
      <c r="E40" s="17">
        <v>105255715.36324169</v>
      </c>
      <c r="F40" s="12">
        <v>20444545.290882781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37376000</v>
      </c>
      <c r="D41" s="17">
        <v>12923000</v>
      </c>
      <c r="E41" s="17">
        <v>16835000</v>
      </c>
      <c r="F41" s="12">
        <v>7618000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45663999</v>
      </c>
      <c r="D42" s="12">
        <v>22632000</v>
      </c>
      <c r="E42" s="12">
        <v>20926999</v>
      </c>
      <c r="F42" s="12">
        <v>2105000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696928495.36642003</v>
      </c>
      <c r="D43" s="21">
        <f>SUM(D29:D42)</f>
        <v>273748426.89810562</v>
      </c>
      <c r="E43" s="21">
        <f>SUM(E29:E42)</f>
        <v>345020393.42813325</v>
      </c>
      <c r="F43" s="21">
        <f>SUM(F29:F42)</f>
        <v>78159675.04018113</v>
      </c>
    </row>
    <row r="44" spans="1:26" s="25" customFormat="1" ht="18.5" customHeight="1" x14ac:dyDescent="0.35">
      <c r="A44" s="23" t="s">
        <v>46</v>
      </c>
      <c r="B44" s="23"/>
      <c r="C44" s="24">
        <f>C28+C43</f>
        <v>6013857267.2830868</v>
      </c>
      <c r="D44" s="24">
        <f>D28+D43</f>
        <v>2180369675.2314391</v>
      </c>
      <c r="E44" s="24">
        <f>E28+E43</f>
        <v>3024823262.011467</v>
      </c>
      <c r="F44" s="24">
        <f>F28+F43</f>
        <v>808664330.04018116</v>
      </c>
    </row>
    <row r="45" spans="1:26" s="22" customFormat="1" ht="18" customHeight="1" x14ac:dyDescent="0.35">
      <c r="A45" s="19" t="s">
        <v>47</v>
      </c>
      <c r="B45" s="19"/>
      <c r="C45" s="20">
        <f>C3-C28</f>
        <v>1719327464.083333</v>
      </c>
      <c r="D45" s="26">
        <f>D3-D28</f>
        <v>621080880.66666651</v>
      </c>
      <c r="E45" s="26">
        <f>E3-E28</f>
        <v>871942638.41666651</v>
      </c>
      <c r="F45" s="26">
        <f>F3-F28</f>
        <v>226303945</v>
      </c>
    </row>
    <row r="46" spans="1:26" s="30" customFormat="1" ht="15.5" x14ac:dyDescent="0.35">
      <c r="A46" s="27" t="s">
        <v>48</v>
      </c>
      <c r="B46" s="27"/>
      <c r="C46" s="28">
        <f>C3-C44</f>
        <v>1022398968.7169132</v>
      </c>
      <c r="D46" s="29">
        <f>D3-D44</f>
        <v>347332453.76856089</v>
      </c>
      <c r="E46" s="29">
        <f>E3-E44</f>
        <v>526922244.98853302</v>
      </c>
      <c r="F46" s="29">
        <f>F3-F44</f>
        <v>148144269.95981884</v>
      </c>
    </row>
    <row r="47" spans="1:26" s="10" customFormat="1" ht="15.5" x14ac:dyDescent="0.35">
      <c r="A47" s="6" t="s">
        <v>29</v>
      </c>
      <c r="B47" s="6"/>
      <c r="C47" s="8">
        <f>C28</f>
        <v>5316928771.916667</v>
      </c>
      <c r="D47" s="31">
        <f>D28</f>
        <v>1906621248.3333335</v>
      </c>
      <c r="E47" s="31">
        <f>E28</f>
        <v>2679802868.5833335</v>
      </c>
      <c r="F47" s="31">
        <f>F28</f>
        <v>730504655</v>
      </c>
    </row>
    <row r="48" spans="1:26" s="35" customFormat="1" ht="15" x14ac:dyDescent="0.35">
      <c r="A48" s="32" t="s">
        <v>49</v>
      </c>
      <c r="B48" s="33"/>
      <c r="C48" s="34">
        <f>C46/C3</f>
        <v>0.14530439688736105</v>
      </c>
      <c r="D48" s="34">
        <f>D46/D3</f>
        <v>0.13741035772516885</v>
      </c>
      <c r="E48" s="34">
        <f>E46/E3</f>
        <v>0.1483558560009556</v>
      </c>
      <c r="F48" s="34">
        <f>F46/F3</f>
        <v>0.15483166639578577</v>
      </c>
    </row>
    <row r="49" spans="1:6" s="35" customFormat="1" ht="15" x14ac:dyDescent="0.35">
      <c r="A49" s="32" t="s">
        <v>50</v>
      </c>
      <c r="B49" s="33"/>
      <c r="C49" s="34">
        <f>C45/C3</f>
        <v>0.24435259410915702</v>
      </c>
      <c r="D49" s="34">
        <f>D45/D3</f>
        <v>0.24570967976846869</v>
      </c>
      <c r="E49" s="34">
        <f>E45/E3</f>
        <v>0.24549693571743469</v>
      </c>
      <c r="F49" s="34">
        <f>F45/F3</f>
        <v>0.23651955573977909</v>
      </c>
    </row>
    <row r="50" spans="1:6" s="35" customFormat="1" ht="15" x14ac:dyDescent="0.35">
      <c r="A50" s="32" t="s">
        <v>51</v>
      </c>
      <c r="B50" s="33"/>
      <c r="C50" s="34">
        <f>C46/C47</f>
        <v>0.19229126673975641</v>
      </c>
      <c r="D50" s="34">
        <f>D46/D47</f>
        <v>0.1821717103342787</v>
      </c>
      <c r="E50" s="34">
        <f>E46/E47</f>
        <v>0.19662724119221808</v>
      </c>
      <c r="F50" s="34">
        <f>F46/F47</f>
        <v>0.20279716076527787</v>
      </c>
    </row>
    <row r="51" spans="1:6" s="35" customFormat="1" ht="15" x14ac:dyDescent="0.35">
      <c r="A51" s="32" t="s">
        <v>52</v>
      </c>
      <c r="B51" s="33"/>
      <c r="C51" s="34">
        <f>C46/C45</f>
        <v>0.59465051892369425</v>
      </c>
      <c r="D51" s="34">
        <f>D46/D45</f>
        <v>0.55923868304516988</v>
      </c>
      <c r="E51" s="34">
        <f>E46/E45</f>
        <v>0.60430838196576175</v>
      </c>
      <c r="F51" s="34">
        <f>F46/F45</f>
        <v>0.65462522078357421</v>
      </c>
    </row>
    <row r="52" spans="1:6" s="39" customFormat="1" ht="15" x14ac:dyDescent="0.35">
      <c r="A52" s="36" t="s">
        <v>53</v>
      </c>
      <c r="B52" s="37"/>
      <c r="C52" s="38">
        <f>C44/C45</f>
        <v>3.4977963144963784</v>
      </c>
      <c r="D52" s="38">
        <f>D44/D45</f>
        <v>3.5106050485583076</v>
      </c>
      <c r="E52" s="38">
        <f>E44/E45</f>
        <v>3.4690622166432292</v>
      </c>
      <c r="F52" s="38">
        <f>F44/F45</f>
        <v>3.5733549852176956</v>
      </c>
    </row>
    <row r="53" spans="1:6" s="42" customFormat="1" ht="15" x14ac:dyDescent="0.35">
      <c r="A53" s="40" t="s">
        <v>54</v>
      </c>
      <c r="B53" s="40"/>
      <c r="C53" s="41">
        <f>C47/C3</f>
        <v>0.755647405890843</v>
      </c>
      <c r="D53" s="41">
        <f>D47/D3</f>
        <v>0.75429032023153131</v>
      </c>
      <c r="E53" s="41">
        <f>E47/E3</f>
        <v>0.75450306428256531</v>
      </c>
      <c r="F53" s="41">
        <f>F47/F3</f>
        <v>0.76348044426022088</v>
      </c>
    </row>
    <row r="54" spans="1:6" s="42" customFormat="1" ht="15" x14ac:dyDescent="0.35">
      <c r="A54" s="40" t="s">
        <v>55</v>
      </c>
      <c r="B54" s="40"/>
      <c r="C54" s="41">
        <f>C43/C3</f>
        <v>9.9048197221796003E-2</v>
      </c>
      <c r="D54" s="41">
        <f>D43/D3</f>
        <v>0.10829932204329984</v>
      </c>
      <c r="E54" s="41">
        <f>E43/E3</f>
        <v>9.7141079716479034E-2</v>
      </c>
      <c r="F54" s="41">
        <f>F43/F3</f>
        <v>8.1687889343993278E-2</v>
      </c>
    </row>
    <row r="55" spans="1:6" s="42" customFormat="1" ht="15" x14ac:dyDescent="0.35">
      <c r="A55" s="40" t="s">
        <v>56</v>
      </c>
      <c r="B55" s="40"/>
      <c r="C55" s="41">
        <f>C44/C3</f>
        <v>0.85469560311263892</v>
      </c>
      <c r="D55" s="41">
        <f>D44/D3</f>
        <v>0.86258964227483115</v>
      </c>
      <c r="E55" s="41">
        <f>E44/E3</f>
        <v>0.85164414399904442</v>
      </c>
      <c r="F55" s="41">
        <f>F44/F3</f>
        <v>0.84516833360421417</v>
      </c>
    </row>
    <row r="56" spans="1:6" s="42" customFormat="1" ht="15" x14ac:dyDescent="0.35">
      <c r="A56" s="40" t="s">
        <v>57</v>
      </c>
      <c r="B56" s="40"/>
      <c r="C56" s="41">
        <f>SUM(C29:C38)/C43</f>
        <v>0.50028480839715395</v>
      </c>
      <c r="D56" s="41">
        <f>SUM(D29:D38)/D43</f>
        <v>0.48000094304490176</v>
      </c>
      <c r="E56" s="41">
        <f>SUM(E29:E38)/E43</f>
        <v>0.50913383465975104</v>
      </c>
      <c r="F56" s="41">
        <f>SUM(F29:F38)/F43</f>
        <v>0.53226526005243446</v>
      </c>
    </row>
    <row r="57" spans="1:6" s="42" customFormat="1" ht="15" x14ac:dyDescent="0.35">
      <c r="A57" s="40" t="s">
        <v>58</v>
      </c>
      <c r="B57" s="40"/>
      <c r="C57" s="41">
        <f>C40/C43</f>
        <v>0.30491585091423223</v>
      </c>
      <c r="D57" s="41">
        <f>D40/D43</f>
        <v>0.31709509903124761</v>
      </c>
      <c r="E57" s="41">
        <f>E40/E43</f>
        <v>0.30507099686896089</v>
      </c>
      <c r="F57" s="41">
        <f>F40/F43</f>
        <v>0.2615740825479691</v>
      </c>
    </row>
    <row r="58" spans="1:6" s="42" customFormat="1" ht="15" x14ac:dyDescent="0.35">
      <c r="A58" s="40" t="s">
        <v>59</v>
      </c>
      <c r="B58" s="40"/>
      <c r="C58" s="41">
        <f>C42/C43</f>
        <v>6.5521784951541553E-2</v>
      </c>
      <c r="D58" s="41">
        <f>D42/D43</f>
        <v>8.2674447690704214E-2</v>
      </c>
      <c r="E58" s="41">
        <f>E42/E43</f>
        <v>6.0654382751317085E-2</v>
      </c>
      <c r="F58" s="41">
        <f>F42/F43</f>
        <v>2.6932046466644596E-2</v>
      </c>
    </row>
    <row r="59" spans="1:6" s="42" customFormat="1" ht="15" x14ac:dyDescent="0.35">
      <c r="A59" s="40" t="s">
        <v>209</v>
      </c>
      <c r="B59" s="40"/>
      <c r="C59" s="41">
        <f>C18/(SUM(C22:C27)+C35)</f>
        <v>1.4093663051906766</v>
      </c>
      <c r="D59" s="41">
        <f>D18/(SUM(D22:D27)+D35)</f>
        <v>1.4369900772169524</v>
      </c>
      <c r="E59" s="41">
        <f t="shared" ref="E59:F59" si="3">E18/(SUM(E22:E27)+E35)</f>
        <v>1.3895178196146958</v>
      </c>
      <c r="F59" s="41">
        <f t="shared" si="3"/>
        <v>1.4126448851511819</v>
      </c>
    </row>
    <row r="60" spans="1:6" s="42" customFormat="1" ht="15" x14ac:dyDescent="0.35">
      <c r="A60" s="40" t="s">
        <v>211</v>
      </c>
      <c r="B60" s="40"/>
      <c r="C60" s="41">
        <f>C10/C20</f>
        <v>1.2288099121428249</v>
      </c>
      <c r="D60" s="41">
        <f t="shared" ref="D60:F60" si="4">D10/D20</f>
        <v>1.2121531564681325</v>
      </c>
      <c r="E60" s="41">
        <f t="shared" si="4"/>
        <v>1.2416280123648902</v>
      </c>
      <c r="F60" s="41">
        <f t="shared" si="4"/>
        <v>1.2255351843119853</v>
      </c>
    </row>
    <row r="61" spans="1:6" s="46" customFormat="1" x14ac:dyDescent="0.35">
      <c r="A61" s="43" t="s">
        <v>60</v>
      </c>
      <c r="B61" s="44"/>
      <c r="C61" s="45">
        <f>C46/C3</f>
        <v>0.14530439688736105</v>
      </c>
      <c r="D61" s="45">
        <f>D46/D3</f>
        <v>0.13741035772516885</v>
      </c>
      <c r="E61" s="45">
        <f>E46/E3</f>
        <v>0.1483558560009556</v>
      </c>
      <c r="F61" s="45">
        <f>F46/F3</f>
        <v>0.15483166639578577</v>
      </c>
    </row>
    <row r="62" spans="1:6" x14ac:dyDescent="0.35">
      <c r="A62" s="47"/>
    </row>
    <row r="63" spans="1:6" x14ac:dyDescent="0.35">
      <c r="A63" s="52"/>
    </row>
    <row r="64" spans="1:6" x14ac:dyDescent="0.35">
      <c r="A64" s="52"/>
      <c r="C64" s="53"/>
    </row>
    <row r="65" spans="1:6" x14ac:dyDescent="0.35">
      <c r="A65" s="52"/>
      <c r="B65" s="54"/>
    </row>
    <row r="69" spans="1:6" x14ac:dyDescent="0.35">
      <c r="B69" s="54"/>
    </row>
    <row r="70" spans="1:6" s="49" customFormat="1" x14ac:dyDescent="0.35">
      <c r="A70" s="48"/>
      <c r="B70" s="54"/>
      <c r="D70" s="50"/>
      <c r="E70" s="50"/>
      <c r="F70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02BC-E1CC-4C65-A214-512F19D8D4E0}">
  <sheetPr>
    <tabColor rgb="FFFFC000"/>
  </sheetPr>
  <dimension ref="A1:Z70"/>
  <sheetViews>
    <sheetView tabSelected="1" topLeftCell="A47" workbookViewId="0">
      <selection activeCell="C60" sqref="C60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208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202</v>
      </c>
      <c r="B3" s="7"/>
      <c r="C3" s="8">
        <f>SUM(D3:F3)</f>
        <v>6664406236</v>
      </c>
      <c r="D3" s="9">
        <f>2527702129-D4</f>
        <v>2375102129</v>
      </c>
      <c r="E3" s="9">
        <f>3551745507-E4</f>
        <v>3364295507</v>
      </c>
      <c r="F3" s="9">
        <f>956808600-F4</f>
        <v>925008600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371850000</v>
      </c>
      <c r="D4" s="12">
        <v>152600000</v>
      </c>
      <c r="E4" s="12">
        <v>187450000</v>
      </c>
      <c r="F4" s="12">
        <v>31800000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18400000</v>
      </c>
      <c r="D5" s="12">
        <v>9500000</v>
      </c>
      <c r="E5" s="12">
        <v>7900000</v>
      </c>
      <c r="F5" s="12">
        <v>1000000</v>
      </c>
    </row>
    <row r="6" spans="1:26" s="1" customFormat="1" ht="15.5" x14ac:dyDescent="0.35">
      <c r="A6" s="13" t="s">
        <v>5</v>
      </c>
      <c r="B6" s="11"/>
      <c r="C6" s="3">
        <f t="shared" si="0"/>
        <v>104968774</v>
      </c>
      <c r="D6" s="12">
        <v>32671000</v>
      </c>
      <c r="E6" s="12">
        <v>67345774</v>
      </c>
      <c r="F6" s="12">
        <v>4952000</v>
      </c>
    </row>
    <row r="7" spans="1:26" s="1" customFormat="1" ht="15.5" x14ac:dyDescent="0.35">
      <c r="A7" s="13"/>
      <c r="B7" s="11" t="s">
        <v>6</v>
      </c>
      <c r="C7" s="3">
        <f t="shared" si="0"/>
        <v>39</v>
      </c>
      <c r="D7" s="12">
        <v>18</v>
      </c>
      <c r="E7" s="12">
        <v>15</v>
      </c>
      <c r="F7" s="12">
        <v>6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95</v>
      </c>
      <c r="D8" s="12">
        <v>41</v>
      </c>
      <c r="E8" s="12">
        <v>47</v>
      </c>
      <c r="F8" s="12">
        <v>7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11</v>
      </c>
      <c r="D9" s="12">
        <v>6</v>
      </c>
      <c r="E9" s="12">
        <v>4</v>
      </c>
      <c r="F9" s="12">
        <v>1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5021511225.8064518</v>
      </c>
      <c r="D10" s="12">
        <v>1769319354.8387098</v>
      </c>
      <c r="E10" s="12">
        <v>2539543161.2903223</v>
      </c>
      <c r="F10" s="12">
        <v>712648709.67741942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1097824306.4516129</v>
      </c>
      <c r="D11" s="12">
        <v>410023400</v>
      </c>
      <c r="E11" s="12">
        <v>566431806.45161295</v>
      </c>
      <c r="F11" s="12">
        <v>121369100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233501129.03225806</v>
      </c>
      <c r="D12" s="12">
        <v>83974354.838709682</v>
      </c>
      <c r="E12" s="12">
        <v>122013225.80645162</v>
      </c>
      <c r="F12" s="12">
        <v>27513548.387096774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117643376.34408604</v>
      </c>
      <c r="D13" s="12">
        <v>40420258.064516135</v>
      </c>
      <c r="E13" s="12">
        <v>59399569.892473117</v>
      </c>
      <c r="F13" s="12">
        <v>17823548.387096774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104264193.54838708</v>
      </c>
      <c r="D14" s="12">
        <v>38452258.064516135</v>
      </c>
      <c r="E14" s="12">
        <v>54599032.258064508</v>
      </c>
      <c r="F14" s="12">
        <v>11212903.225806452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10516129.032258064</v>
      </c>
      <c r="D15" s="12">
        <v>6758064.5161290318</v>
      </c>
      <c r="E15" s="12">
        <v>2458064.5161290322</v>
      </c>
      <c r="F15" s="12">
        <v>1300000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55920301.07526882</v>
      </c>
      <c r="D16" s="12">
        <v>15558989.247311827</v>
      </c>
      <c r="E16" s="12">
        <v>29633892.473118279</v>
      </c>
      <c r="F16" s="12">
        <v>10727419.35483871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125500150.53763442</v>
      </c>
      <c r="D17" s="12">
        <v>44778000.000000007</v>
      </c>
      <c r="E17" s="12">
        <v>60799569.892473117</v>
      </c>
      <c r="F17" s="12">
        <v>19922580.64516129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1745169586.0215051</v>
      </c>
      <c r="D18" s="16">
        <f>SUM(D11:D17)</f>
        <v>639965324.73118281</v>
      </c>
      <c r="E18" s="16">
        <f>SUM(E11:E17)</f>
        <v>895335161.29032254</v>
      </c>
      <c r="F18" s="16">
        <f>SUM(F11:F17)</f>
        <v>209869099.99999997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4086483333.333334</v>
      </c>
      <c r="D20" s="17">
        <v>1459650000.0000002</v>
      </c>
      <c r="E20" s="17">
        <v>2045333333.3333335</v>
      </c>
      <c r="F20" s="12">
        <v>581500000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935197739</v>
      </c>
      <c r="D22" s="17">
        <v>329077851</v>
      </c>
      <c r="E22" s="17">
        <v>482783854</v>
      </c>
      <c r="F22" s="18">
        <v>123336034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202388331.66666666</v>
      </c>
      <c r="D23" s="17">
        <v>77626060</v>
      </c>
      <c r="E23" s="17">
        <v>109083951.66666666</v>
      </c>
      <c r="F23" s="18">
        <v>15678320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33982034.583333328</v>
      </c>
      <c r="D24" s="17">
        <v>14310004</v>
      </c>
      <c r="E24" s="17">
        <v>17521729.583333332</v>
      </c>
      <c r="F24" s="18">
        <v>2150301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20593333.333333336</v>
      </c>
      <c r="D25" s="17">
        <v>6683333.333333334</v>
      </c>
      <c r="E25" s="17">
        <v>11510000</v>
      </c>
      <c r="F25" s="12">
        <v>2400000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1904000</v>
      </c>
      <c r="D26" s="12">
        <v>1904000</v>
      </c>
      <c r="E26" s="12">
        <v>0</v>
      </c>
      <c r="F26" s="12">
        <v>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1000000</v>
      </c>
      <c r="D27" s="12">
        <v>0</v>
      </c>
      <c r="E27" s="12">
        <v>1000000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5281548771.916667</v>
      </c>
      <c r="D28" s="8">
        <f>SUM(D20:D27)</f>
        <v>1889251248.3333335</v>
      </c>
      <c r="E28" s="8">
        <f>SUM(E20:E27)</f>
        <v>2667232868.5833335</v>
      </c>
      <c r="F28" s="8">
        <f>SUM(F20:F27)</f>
        <v>725064655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151758523.78086442</v>
      </c>
      <c r="D29" s="17">
        <v>54521982.471461609</v>
      </c>
      <c r="E29" s="17">
        <v>78660237.788004294</v>
      </c>
      <c r="F29" s="17">
        <v>18576303.521398526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12627433.402041972</v>
      </c>
      <c r="D30" s="17">
        <v>4731630.2182503687</v>
      </c>
      <c r="E30" s="17">
        <v>6353111.4327062191</v>
      </c>
      <c r="F30" s="17">
        <v>1542691.7510853831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32683256.150506511</v>
      </c>
      <c r="D31" s="17">
        <v>12309305.354558613</v>
      </c>
      <c r="E31" s="17">
        <v>16360578.871201154</v>
      </c>
      <c r="F31" s="17">
        <v>4013371.9247467434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3860781.4761215635</v>
      </c>
      <c r="D32" s="17">
        <v>1432416.7872648339</v>
      </c>
      <c r="E32" s="17">
        <v>1953690.3039073804</v>
      </c>
      <c r="F32" s="17">
        <v>474674.38494934869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2916411.7313011773</v>
      </c>
      <c r="D33" s="17">
        <v>1091895.8031837912</v>
      </c>
      <c r="E33" s="17">
        <v>1468510.1394053746</v>
      </c>
      <c r="F33" s="17">
        <v>356005.78871201159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55682996.630246028</v>
      </c>
      <c r="D34" s="17">
        <v>20855210.204775687</v>
      </c>
      <c r="E34" s="17">
        <v>28028075.742402326</v>
      </c>
      <c r="F34" s="17">
        <v>6799710.6830680156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43200000</v>
      </c>
      <c r="D35" s="17">
        <v>15750000</v>
      </c>
      <c r="E35" s="17">
        <v>22450000</v>
      </c>
      <c r="F35" s="17">
        <v>5000000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16333560.057887118</v>
      </c>
      <c r="D36" s="17">
        <v>6107930.5354558611</v>
      </c>
      <c r="E36" s="17">
        <v>8238292.3299565837</v>
      </c>
      <c r="F36" s="17">
        <v>1987337.1924746744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24099775.541937452</v>
      </c>
      <c r="D37" s="17">
        <v>9099131.6931982636</v>
      </c>
      <c r="E37" s="17">
        <v>12149059.334298117</v>
      </c>
      <c r="F37" s="17">
        <v>2851584.5144410692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5500000</v>
      </c>
      <c r="D38" s="17">
        <v>5500000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52721212.404486254</v>
      </c>
      <c r="D39" s="17">
        <v>19989639.293053549</v>
      </c>
      <c r="E39" s="17">
        <v>26341123.123010136</v>
      </c>
      <c r="F39" s="17">
        <v>6390449.9884225763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212504545.19102752</v>
      </c>
      <c r="D40" s="17">
        <v>86804284.536903054</v>
      </c>
      <c r="E40" s="17">
        <v>105255715.36324169</v>
      </c>
      <c r="F40" s="12">
        <v>20444545.290882781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37376000</v>
      </c>
      <c r="D41" s="17">
        <v>12923000</v>
      </c>
      <c r="E41" s="17">
        <v>16835000</v>
      </c>
      <c r="F41" s="12">
        <v>7618000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45663999</v>
      </c>
      <c r="D42" s="12">
        <v>22632000</v>
      </c>
      <c r="E42" s="12">
        <v>20926999</v>
      </c>
      <c r="F42" s="12">
        <v>2105000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696928495.36642003</v>
      </c>
      <c r="D43" s="21">
        <f>SUM(D29:D42)</f>
        <v>273748426.89810562</v>
      </c>
      <c r="E43" s="21">
        <f>SUM(E29:E42)</f>
        <v>345020393.42813325</v>
      </c>
      <c r="F43" s="21">
        <f>SUM(F29:F42)</f>
        <v>78159675.04018113</v>
      </c>
    </row>
    <row r="44" spans="1:26" s="25" customFormat="1" ht="18.5" customHeight="1" x14ac:dyDescent="0.35">
      <c r="A44" s="23" t="s">
        <v>46</v>
      </c>
      <c r="B44" s="23"/>
      <c r="C44" s="24">
        <f>C28+C43</f>
        <v>5978477267.2830868</v>
      </c>
      <c r="D44" s="24">
        <f>D28+D43</f>
        <v>2162999675.2314391</v>
      </c>
      <c r="E44" s="24">
        <f>E28+E43</f>
        <v>3012253262.011467</v>
      </c>
      <c r="F44" s="24">
        <f>F28+F43</f>
        <v>803224330.04018116</v>
      </c>
    </row>
    <row r="45" spans="1:26" s="22" customFormat="1" ht="18" customHeight="1" x14ac:dyDescent="0.35">
      <c r="A45" s="19" t="s">
        <v>47</v>
      </c>
      <c r="B45" s="19"/>
      <c r="C45" s="20">
        <f>C3-C28</f>
        <v>1382857464.083333</v>
      </c>
      <c r="D45" s="26">
        <f>D3-D28</f>
        <v>485850880.66666651</v>
      </c>
      <c r="E45" s="26">
        <f>E3-E28</f>
        <v>697062638.41666651</v>
      </c>
      <c r="F45" s="26">
        <f>F3-F28</f>
        <v>199943945</v>
      </c>
    </row>
    <row r="46" spans="1:26" s="30" customFormat="1" ht="15.5" x14ac:dyDescent="0.35">
      <c r="A46" s="27" t="s">
        <v>48</v>
      </c>
      <c r="B46" s="27"/>
      <c r="C46" s="28">
        <f>C3-C44</f>
        <v>685928968.71691322</v>
      </c>
      <c r="D46" s="29">
        <f>D3-D44</f>
        <v>212102453.76856089</v>
      </c>
      <c r="E46" s="29">
        <f>E3-E44</f>
        <v>352042244.98853302</v>
      </c>
      <c r="F46" s="29">
        <f>F3-F44</f>
        <v>121784269.95981884</v>
      </c>
    </row>
    <row r="47" spans="1:26" s="10" customFormat="1" ht="15.5" x14ac:dyDescent="0.35">
      <c r="A47" s="6" t="s">
        <v>29</v>
      </c>
      <c r="B47" s="6"/>
      <c r="C47" s="8">
        <f>C28</f>
        <v>5281548771.916667</v>
      </c>
      <c r="D47" s="31">
        <f>D28</f>
        <v>1889251248.3333335</v>
      </c>
      <c r="E47" s="31">
        <f>E28</f>
        <v>2667232868.5833335</v>
      </c>
      <c r="F47" s="31">
        <f>F28</f>
        <v>725064655</v>
      </c>
    </row>
    <row r="48" spans="1:26" s="35" customFormat="1" ht="15" x14ac:dyDescent="0.35">
      <c r="A48" s="32" t="s">
        <v>49</v>
      </c>
      <c r="B48" s="33"/>
      <c r="C48" s="34">
        <f>C46/C3</f>
        <v>0.1029242432749133</v>
      </c>
      <c r="D48" s="34">
        <f>D46/D3</f>
        <v>8.930245616758524E-2</v>
      </c>
      <c r="E48" s="34">
        <f>E46/E3</f>
        <v>0.10464070241631512</v>
      </c>
      <c r="F48" s="34">
        <f>F46/F3</f>
        <v>0.13165744616841274</v>
      </c>
    </row>
    <row r="49" spans="1:6" s="35" customFormat="1" ht="15" x14ac:dyDescent="0.35">
      <c r="A49" s="32" t="s">
        <v>50</v>
      </c>
      <c r="B49" s="33"/>
      <c r="C49" s="34">
        <f>C45/C3</f>
        <v>0.20749897516951621</v>
      </c>
      <c r="D49" s="34">
        <f>D45/D3</f>
        <v>0.20455999543532324</v>
      </c>
      <c r="E49" s="34">
        <f>E45/E3</f>
        <v>0.20719423634645259</v>
      </c>
      <c r="F49" s="34">
        <f>F45/F3</f>
        <v>0.21615360657187405</v>
      </c>
    </row>
    <row r="50" spans="1:6" s="35" customFormat="1" ht="15" x14ac:dyDescent="0.35">
      <c r="A50" s="32" t="s">
        <v>51</v>
      </c>
      <c r="B50" s="33"/>
      <c r="C50" s="34">
        <f>C46/C47</f>
        <v>0.12987269423017947</v>
      </c>
      <c r="D50" s="34">
        <f>D46/D47</f>
        <v>0.11226799715266786</v>
      </c>
      <c r="E50" s="34">
        <f>E46/E47</f>
        <v>0.13198781746249091</v>
      </c>
      <c r="F50" s="34">
        <f>F46/F47</f>
        <v>0.16796332453940793</v>
      </c>
    </row>
    <row r="51" spans="1:6" s="35" customFormat="1" ht="15" x14ac:dyDescent="0.35">
      <c r="A51" s="32" t="s">
        <v>52</v>
      </c>
      <c r="B51" s="33"/>
      <c r="C51" s="34">
        <f>C46/C45</f>
        <v>0.49602289934602989</v>
      </c>
      <c r="D51" s="34">
        <f>D46/D45</f>
        <v>0.43655875127265753</v>
      </c>
      <c r="E51" s="34">
        <f>E46/E45</f>
        <v>0.50503674359620621</v>
      </c>
      <c r="F51" s="34">
        <f>F46/F45</f>
        <v>0.60909206307707309</v>
      </c>
    </row>
    <row r="52" spans="1:6" s="39" customFormat="1" ht="15" x14ac:dyDescent="0.35">
      <c r="A52" s="36" t="s">
        <v>53</v>
      </c>
      <c r="B52" s="37"/>
      <c r="C52" s="38">
        <f>C44/C45</f>
        <v>4.3232780113358196</v>
      </c>
      <c r="D52" s="38">
        <f>D44/D45</f>
        <v>4.4519826171014687</v>
      </c>
      <c r="E52" s="38">
        <f>E44/E45</f>
        <v>4.3213523376516187</v>
      </c>
      <c r="F52" s="38">
        <f>F44/F45</f>
        <v>4.0172475842675865</v>
      </c>
    </row>
    <row r="53" spans="1:6" s="42" customFormat="1" ht="15" x14ac:dyDescent="0.35">
      <c r="A53" s="40" t="s">
        <v>54</v>
      </c>
      <c r="B53" s="40"/>
      <c r="C53" s="41">
        <f>C47/C3</f>
        <v>0.79250102483048379</v>
      </c>
      <c r="D53" s="41">
        <f>D47/D3</f>
        <v>0.79544000456467678</v>
      </c>
      <c r="E53" s="41">
        <f>E47/E3</f>
        <v>0.79280576365354738</v>
      </c>
      <c r="F53" s="41">
        <f>F47/F3</f>
        <v>0.78384639342812601</v>
      </c>
    </row>
    <row r="54" spans="1:6" s="42" customFormat="1" ht="15" x14ac:dyDescent="0.35">
      <c r="A54" s="40" t="s">
        <v>55</v>
      </c>
      <c r="B54" s="40"/>
      <c r="C54" s="41">
        <f>C43/C3</f>
        <v>0.10457473189460295</v>
      </c>
      <c r="D54" s="41">
        <f>D43/D3</f>
        <v>0.115257539267738</v>
      </c>
      <c r="E54" s="41">
        <f>E43/E3</f>
        <v>0.10255353393013739</v>
      </c>
      <c r="F54" s="41">
        <f>F43/F3</f>
        <v>8.4496160403461251E-2</v>
      </c>
    </row>
    <row r="55" spans="1:6" s="42" customFormat="1" ht="15" x14ac:dyDescent="0.35">
      <c r="A55" s="40" t="s">
        <v>56</v>
      </c>
      <c r="B55" s="40"/>
      <c r="C55" s="41">
        <f>C44/C3</f>
        <v>0.89707575672508666</v>
      </c>
      <c r="D55" s="41">
        <f>D44/D3</f>
        <v>0.91069754383241475</v>
      </c>
      <c r="E55" s="41">
        <f>E44/E3</f>
        <v>0.89535929758368482</v>
      </c>
      <c r="F55" s="41">
        <f>F44/F3</f>
        <v>0.8683425538315872</v>
      </c>
    </row>
    <row r="56" spans="1:6" s="42" customFormat="1" ht="15" x14ac:dyDescent="0.35">
      <c r="A56" s="40" t="s">
        <v>57</v>
      </c>
      <c r="B56" s="40"/>
      <c r="C56" s="41">
        <f>SUM(C29:C38)/C43</f>
        <v>0.50028480839715395</v>
      </c>
      <c r="D56" s="41">
        <f>SUM(D29:D38)/D43</f>
        <v>0.48000094304490176</v>
      </c>
      <c r="E56" s="41">
        <f>SUM(E29:E38)/E43</f>
        <v>0.50913383465975104</v>
      </c>
      <c r="F56" s="41">
        <f>SUM(F29:F38)/F43</f>
        <v>0.53226526005243446</v>
      </c>
    </row>
    <row r="57" spans="1:6" s="42" customFormat="1" ht="15" x14ac:dyDescent="0.35">
      <c r="A57" s="40" t="s">
        <v>58</v>
      </c>
      <c r="B57" s="40"/>
      <c r="C57" s="41">
        <f>C40/C43</f>
        <v>0.30491585091423223</v>
      </c>
      <c r="D57" s="41">
        <f>D40/D43</f>
        <v>0.31709509903124761</v>
      </c>
      <c r="E57" s="41">
        <f>E40/E43</f>
        <v>0.30507099686896089</v>
      </c>
      <c r="F57" s="41">
        <f>F40/F43</f>
        <v>0.2615740825479691</v>
      </c>
    </row>
    <row r="58" spans="1:6" s="42" customFormat="1" ht="15" x14ac:dyDescent="0.35">
      <c r="A58" s="40" t="s">
        <v>59</v>
      </c>
      <c r="B58" s="40"/>
      <c r="C58" s="41">
        <f>C42/C43</f>
        <v>6.5521784951541553E-2</v>
      </c>
      <c r="D58" s="41">
        <f>D42/D43</f>
        <v>8.2674447690704214E-2</v>
      </c>
      <c r="E58" s="41">
        <f>E42/E43</f>
        <v>6.0654382751317085E-2</v>
      </c>
      <c r="F58" s="41">
        <f>F42/F43</f>
        <v>2.6932046466644596E-2</v>
      </c>
    </row>
    <row r="59" spans="1:6" s="42" customFormat="1" ht="15" x14ac:dyDescent="0.35">
      <c r="A59" s="40" t="s">
        <v>209</v>
      </c>
      <c r="B59" s="40"/>
      <c r="C59" s="41">
        <f>C18/(SUM(C22:C27)+C35)</f>
        <v>1.4093663051906766</v>
      </c>
      <c r="D59" s="41">
        <f t="shared" ref="D59:F59" si="3">D18/(SUM(D22:D27)+D35)</f>
        <v>1.4369900772169524</v>
      </c>
      <c r="E59" s="41">
        <f t="shared" si="3"/>
        <v>1.3895178196146958</v>
      </c>
      <c r="F59" s="41">
        <f t="shared" si="3"/>
        <v>1.4126448851511819</v>
      </c>
    </row>
    <row r="60" spans="1:6" s="42" customFormat="1" ht="15" x14ac:dyDescent="0.35">
      <c r="A60" s="40" t="s">
        <v>211</v>
      </c>
      <c r="B60" s="40"/>
      <c r="C60" s="41">
        <f>C10/C20</f>
        <v>1.2288099121428249</v>
      </c>
      <c r="D60" s="41">
        <f t="shared" ref="D60:F60" si="4">D10/D20</f>
        <v>1.2121531564681325</v>
      </c>
      <c r="E60" s="41">
        <f t="shared" si="4"/>
        <v>1.2416280123648902</v>
      </c>
      <c r="F60" s="41">
        <f t="shared" si="4"/>
        <v>1.2255351843119853</v>
      </c>
    </row>
    <row r="61" spans="1:6" s="46" customFormat="1" x14ac:dyDescent="0.35">
      <c r="A61" s="43" t="s">
        <v>60</v>
      </c>
      <c r="B61" s="44"/>
      <c r="C61" s="45">
        <f>C46/C3</f>
        <v>0.1029242432749133</v>
      </c>
      <c r="D61" s="45">
        <f>D46/D3</f>
        <v>8.930245616758524E-2</v>
      </c>
      <c r="E61" s="45">
        <f>E46/E3</f>
        <v>0.10464070241631512</v>
      </c>
      <c r="F61" s="45">
        <f>F46/F3</f>
        <v>0.13165744616841274</v>
      </c>
    </row>
    <row r="62" spans="1:6" x14ac:dyDescent="0.35">
      <c r="A62" s="47"/>
    </row>
    <row r="63" spans="1:6" x14ac:dyDescent="0.35">
      <c r="A63" s="52"/>
    </row>
    <row r="64" spans="1:6" x14ac:dyDescent="0.35">
      <c r="A64" s="52"/>
      <c r="C64" s="53"/>
    </row>
    <row r="65" spans="1:6" x14ac:dyDescent="0.35">
      <c r="A65" s="52"/>
      <c r="B65" s="54"/>
    </row>
    <row r="69" spans="1:6" x14ac:dyDescent="0.35">
      <c r="B69" s="54"/>
    </row>
    <row r="70" spans="1:6" s="49" customFormat="1" x14ac:dyDescent="0.35">
      <c r="A70" s="48"/>
      <c r="B70" s="54"/>
      <c r="D70" s="50"/>
      <c r="E70" s="50"/>
      <c r="F70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56F4-D322-487F-8B83-F332A1E0F6AF}">
  <sheetPr codeName="Sheet34">
    <tabColor theme="6" tint="0.79998168889431442"/>
  </sheetPr>
  <dimension ref="A1:Z68"/>
  <sheetViews>
    <sheetView topLeftCell="A38" workbookViewId="0">
      <selection activeCell="D47" sqref="D47"/>
    </sheetView>
  </sheetViews>
  <sheetFormatPr defaultColWidth="8.7265625" defaultRowHeight="16" x14ac:dyDescent="0.35"/>
  <cols>
    <col min="1" max="1" width="37.90625" style="48" customWidth="1"/>
    <col min="2" max="2" width="28.26953125" style="48" customWidth="1"/>
    <col min="3" max="3" width="31.26953125" style="49" customWidth="1"/>
    <col min="4" max="5" width="24.7265625" style="50" customWidth="1"/>
    <col min="6" max="6" width="30.90625" style="50" customWidth="1"/>
    <col min="7" max="7" width="10.54296875" style="51" bestFit="1" customWidth="1"/>
    <col min="8" max="8" width="11.81640625" style="51" customWidth="1"/>
    <col min="9" max="16384" width="8.7265625" style="51"/>
  </cols>
  <sheetData>
    <row r="1" spans="1:26" s="1" customFormat="1" ht="47.5" customHeight="1" x14ac:dyDescent="0.35">
      <c r="A1" s="55" t="s">
        <v>200</v>
      </c>
      <c r="B1" s="56"/>
      <c r="C1" s="56"/>
      <c r="D1" s="56"/>
      <c r="E1" s="56"/>
      <c r="F1" s="127"/>
    </row>
    <row r="2" spans="1:26" s="5" customFormat="1" ht="19" customHeight="1" x14ac:dyDescent="0.35">
      <c r="A2" s="2"/>
      <c r="B2" s="2"/>
      <c r="C2" s="3" t="s">
        <v>0</v>
      </c>
      <c r="D2" s="4" t="s">
        <v>1</v>
      </c>
      <c r="E2" s="4" t="s">
        <v>2</v>
      </c>
      <c r="F2" s="4" t="s">
        <v>172</v>
      </c>
    </row>
    <row r="3" spans="1:26" s="10" customFormat="1" ht="15.5" x14ac:dyDescent="0.35">
      <c r="A3" s="6" t="s">
        <v>198</v>
      </c>
      <c r="B3" s="7"/>
      <c r="C3" s="8">
        <f>SUM(D3:F3)</f>
        <v>6730462528</v>
      </c>
      <c r="D3" s="9">
        <f>2569400891-D4</f>
        <v>2486100891</v>
      </c>
      <c r="E3" s="9">
        <f>3629467937-E4</f>
        <v>3508267937</v>
      </c>
      <c r="F3" s="9">
        <f>780593700-F4</f>
        <v>736093700</v>
      </c>
      <c r="R3" s="10">
        <v>48178200</v>
      </c>
      <c r="Z3" s="10">
        <v>31395800</v>
      </c>
    </row>
    <row r="4" spans="1:26" s="1" customFormat="1" ht="15.5" x14ac:dyDescent="0.35">
      <c r="A4" s="11" t="s">
        <v>3</v>
      </c>
      <c r="B4" s="11"/>
      <c r="C4" s="3">
        <f t="shared" ref="C4:C17" si="0">SUM(D4:F4)</f>
        <v>249000000</v>
      </c>
      <c r="D4" s="12">
        <v>83300000</v>
      </c>
      <c r="E4" s="12">
        <v>121200000</v>
      </c>
      <c r="F4" s="12">
        <v>44500000</v>
      </c>
      <c r="Z4" s="1">
        <v>3200000</v>
      </c>
    </row>
    <row r="5" spans="1:26" s="1" customFormat="1" ht="15.5" x14ac:dyDescent="0.35">
      <c r="A5" s="11" t="s">
        <v>4</v>
      </c>
      <c r="B5" s="11"/>
      <c r="C5" s="3">
        <f t="shared" si="0"/>
        <v>4000000</v>
      </c>
      <c r="D5" s="12">
        <v>1000000</v>
      </c>
      <c r="E5" s="12">
        <v>3000000</v>
      </c>
      <c r="F5" s="12">
        <v>0</v>
      </c>
    </row>
    <row r="6" spans="1:26" s="1" customFormat="1" ht="15.5" x14ac:dyDescent="0.35">
      <c r="A6" s="13" t="s">
        <v>5</v>
      </c>
      <c r="B6" s="11"/>
      <c r="C6" s="3">
        <f t="shared" si="0"/>
        <v>27900000</v>
      </c>
      <c r="D6" s="12">
        <v>3660000</v>
      </c>
      <c r="E6" s="12">
        <v>22153000</v>
      </c>
      <c r="F6" s="12">
        <v>2087000</v>
      </c>
    </row>
    <row r="7" spans="1:26" s="1" customFormat="1" ht="15.5" x14ac:dyDescent="0.35">
      <c r="A7" s="13"/>
      <c r="B7" s="11" t="s">
        <v>6</v>
      </c>
      <c r="C7" s="3">
        <f t="shared" si="0"/>
        <v>45</v>
      </c>
      <c r="D7" s="12">
        <v>18</v>
      </c>
      <c r="E7" s="12">
        <v>24</v>
      </c>
      <c r="F7" s="12">
        <v>3</v>
      </c>
      <c r="R7" s="1">
        <v>0</v>
      </c>
      <c r="Z7" s="1">
        <v>0</v>
      </c>
    </row>
    <row r="8" spans="1:26" s="1" customFormat="1" ht="15.5" x14ac:dyDescent="0.35">
      <c r="A8" s="13"/>
      <c r="B8" s="11" t="s">
        <v>7</v>
      </c>
      <c r="C8" s="3">
        <f t="shared" si="0"/>
        <v>64</v>
      </c>
      <c r="D8" s="12">
        <v>24</v>
      </c>
      <c r="E8" s="12">
        <v>32</v>
      </c>
      <c r="F8" s="12">
        <v>8</v>
      </c>
      <c r="R8" s="1">
        <v>0</v>
      </c>
      <c r="Z8" s="1">
        <v>1</v>
      </c>
    </row>
    <row r="9" spans="1:26" s="1" customFormat="1" ht="15.5" x14ac:dyDescent="0.35">
      <c r="A9" s="13"/>
      <c r="B9" s="11" t="s">
        <v>8</v>
      </c>
      <c r="C9" s="3">
        <f>SUM(D9:F9)</f>
        <v>20</v>
      </c>
      <c r="D9" s="12">
        <v>11</v>
      </c>
      <c r="E9" s="12">
        <v>9</v>
      </c>
      <c r="F9" s="12">
        <v>0</v>
      </c>
      <c r="R9" s="1">
        <v>0</v>
      </c>
      <c r="Z9" s="1">
        <v>0</v>
      </c>
    </row>
    <row r="10" spans="1:26" s="1" customFormat="1" ht="16.5" customHeight="1" x14ac:dyDescent="0.35">
      <c r="A10" s="13"/>
      <c r="B10" s="11" t="s">
        <v>9</v>
      </c>
      <c r="C10" s="3">
        <f t="shared" si="0"/>
        <v>4810843141.1612911</v>
      </c>
      <c r="D10" s="12">
        <v>1752580645.1612904</v>
      </c>
      <c r="E10" s="12">
        <v>2506488302.4516129</v>
      </c>
      <c r="F10" s="12">
        <v>551774193.54838705</v>
      </c>
      <c r="R10" s="1">
        <v>39700000</v>
      </c>
      <c r="Z10" s="1">
        <v>22980645.161290325</v>
      </c>
    </row>
    <row r="11" spans="1:26" s="1" customFormat="1" ht="15.5" x14ac:dyDescent="0.35">
      <c r="A11" s="139" t="s">
        <v>10</v>
      </c>
      <c r="B11" s="11" t="s">
        <v>11</v>
      </c>
      <c r="C11" s="3">
        <f t="shared" si="0"/>
        <v>1312343800</v>
      </c>
      <c r="D11" s="12">
        <v>498573000</v>
      </c>
      <c r="E11" s="12">
        <v>697697100</v>
      </c>
      <c r="F11" s="12">
        <v>116073700</v>
      </c>
      <c r="R11" s="1">
        <v>3473200</v>
      </c>
      <c r="Z11" s="1">
        <v>1827800</v>
      </c>
    </row>
    <row r="12" spans="1:26" s="1" customFormat="1" ht="15.5" x14ac:dyDescent="0.35">
      <c r="A12" s="140"/>
      <c r="B12" s="11" t="s">
        <v>12</v>
      </c>
      <c r="C12" s="3">
        <f t="shared" si="0"/>
        <v>239570645.16129032</v>
      </c>
      <c r="D12" s="12">
        <v>89637741.935483873</v>
      </c>
      <c r="E12" s="12">
        <v>127581774.19354838</v>
      </c>
      <c r="F12" s="12">
        <v>22351129.032258064</v>
      </c>
      <c r="R12" s="1">
        <v>1465000</v>
      </c>
      <c r="Z12" s="1">
        <v>1560000</v>
      </c>
    </row>
    <row r="13" spans="1:26" s="1" customFormat="1" ht="15.5" x14ac:dyDescent="0.35">
      <c r="A13" s="140"/>
      <c r="B13" s="11" t="s">
        <v>13</v>
      </c>
      <c r="C13" s="3">
        <f t="shared" si="0"/>
        <v>110760655.91397849</v>
      </c>
      <c r="D13" s="12">
        <v>40456731.182795696</v>
      </c>
      <c r="E13" s="12">
        <v>58572150.537634417</v>
      </c>
      <c r="F13" s="12">
        <v>11731774.193548387</v>
      </c>
      <c r="R13" s="1">
        <v>570000</v>
      </c>
      <c r="Z13" s="1">
        <v>570000</v>
      </c>
    </row>
    <row r="14" spans="1:26" s="1" customFormat="1" ht="15.5" x14ac:dyDescent="0.35">
      <c r="A14" s="140"/>
      <c r="B14" s="11" t="s">
        <v>14</v>
      </c>
      <c r="C14" s="3">
        <f t="shared" si="0"/>
        <v>100186774.1935484</v>
      </c>
      <c r="D14" s="12">
        <v>37761935.483870968</v>
      </c>
      <c r="E14" s="12">
        <v>53757096.774193555</v>
      </c>
      <c r="F14" s="12">
        <v>8667741.935483871</v>
      </c>
      <c r="R14" s="1">
        <v>1000000</v>
      </c>
      <c r="Z14" s="1">
        <v>500000</v>
      </c>
    </row>
    <row r="15" spans="1:26" s="1" customFormat="1" ht="15.5" x14ac:dyDescent="0.35">
      <c r="A15" s="140"/>
      <c r="B15" s="11" t="s">
        <v>15</v>
      </c>
      <c r="C15" s="3">
        <f t="shared" si="0"/>
        <v>11459032.258064516</v>
      </c>
      <c r="D15" s="12">
        <v>7809032.2580645159</v>
      </c>
      <c r="E15" s="12">
        <v>2200000</v>
      </c>
      <c r="F15" s="12">
        <v>1450000</v>
      </c>
      <c r="R15" s="1">
        <v>50000</v>
      </c>
      <c r="Z15" s="1">
        <v>0</v>
      </c>
    </row>
    <row r="16" spans="1:26" s="1" customFormat="1" ht="15.5" x14ac:dyDescent="0.35">
      <c r="A16" s="140"/>
      <c r="B16" s="11" t="s">
        <v>16</v>
      </c>
      <c r="C16" s="3">
        <f t="shared" si="0"/>
        <v>55771892.473118275</v>
      </c>
      <c r="D16" s="12">
        <v>15826064.516129032</v>
      </c>
      <c r="E16" s="12">
        <v>29908408.602150537</v>
      </c>
      <c r="F16" s="12">
        <v>10037419.35483871</v>
      </c>
      <c r="R16" s="1">
        <v>900000</v>
      </c>
      <c r="Z16" s="1">
        <v>0</v>
      </c>
    </row>
    <row r="17" spans="1:26" s="1" customFormat="1" ht="15.5" x14ac:dyDescent="0.35">
      <c r="A17" s="140"/>
      <c r="B17" s="14" t="s">
        <v>17</v>
      </c>
      <c r="C17" s="4">
        <f t="shared" si="0"/>
        <v>119305172.04301076</v>
      </c>
      <c r="D17" s="12">
        <v>44551247.311827958</v>
      </c>
      <c r="E17" s="12">
        <v>59452150.537634417</v>
      </c>
      <c r="F17" s="12">
        <v>15301774.193548387</v>
      </c>
      <c r="R17" s="1">
        <v>1020000</v>
      </c>
      <c r="Z17" s="1">
        <v>870000</v>
      </c>
    </row>
    <row r="18" spans="1:26" s="1" customFormat="1" ht="15" x14ac:dyDescent="0.35">
      <c r="A18" s="141"/>
      <c r="B18" s="15" t="s">
        <v>18</v>
      </c>
      <c r="C18" s="16">
        <f>SUM(C11:C17)</f>
        <v>1949397972.043011</v>
      </c>
      <c r="D18" s="16">
        <f>SUM(D11:D17)</f>
        <v>734615752.6881721</v>
      </c>
      <c r="E18" s="16">
        <f>SUM(E11:E17)</f>
        <v>1029168680.6451613</v>
      </c>
      <c r="F18" s="16">
        <f>SUM(F11:F17)</f>
        <v>185613538.7096774</v>
      </c>
    </row>
    <row r="19" spans="1:26" s="10" customFormat="1" ht="15.5" x14ac:dyDescent="0.35">
      <c r="A19" s="6"/>
      <c r="B19" s="7"/>
      <c r="C19" s="8"/>
      <c r="D19" s="8"/>
      <c r="E19" s="8"/>
      <c r="F19" s="8"/>
    </row>
    <row r="20" spans="1:26" s="1" customFormat="1" ht="38.5" customHeight="1" x14ac:dyDescent="0.35">
      <c r="A20" s="2" t="s">
        <v>19</v>
      </c>
      <c r="B20" s="11" t="s">
        <v>20</v>
      </c>
      <c r="C20" s="3">
        <f t="shared" ref="C20:C27" si="1">SUM(D20:F20)</f>
        <v>3972416666.666667</v>
      </c>
      <c r="D20" s="17">
        <v>1470916666.666667</v>
      </c>
      <c r="E20" s="17">
        <v>2050000000</v>
      </c>
      <c r="F20" s="12">
        <v>451500000</v>
      </c>
    </row>
    <row r="21" spans="1:26" s="1" customFormat="1" ht="39" customHeight="1" x14ac:dyDescent="0.35">
      <c r="A21" s="2" t="s">
        <v>21</v>
      </c>
      <c r="B21" s="14"/>
      <c r="C21" s="3">
        <f t="shared" si="1"/>
        <v>0</v>
      </c>
      <c r="D21" s="17"/>
      <c r="E21" s="17"/>
      <c r="F21" s="12"/>
    </row>
    <row r="22" spans="1:26" s="1" customFormat="1" ht="20.5" customHeight="1" x14ac:dyDescent="0.35">
      <c r="A22" s="142" t="s">
        <v>22</v>
      </c>
      <c r="B22" s="11" t="s">
        <v>23</v>
      </c>
      <c r="C22" s="3">
        <f t="shared" si="1"/>
        <v>1115344440</v>
      </c>
      <c r="D22" s="17">
        <v>394850394</v>
      </c>
      <c r="E22" s="17">
        <v>610532649</v>
      </c>
      <c r="F22" s="18">
        <v>109961397</v>
      </c>
      <c r="R22" s="1">
        <v>3728074</v>
      </c>
      <c r="Z22" s="1">
        <v>2130758</v>
      </c>
    </row>
    <row r="23" spans="1:26" s="1" customFormat="1" ht="20.5" customHeight="1" x14ac:dyDescent="0.35">
      <c r="A23" s="142"/>
      <c r="B23" s="14" t="s">
        <v>24</v>
      </c>
      <c r="C23" s="3">
        <f t="shared" si="1"/>
        <v>210604918.66666666</v>
      </c>
      <c r="D23" s="17">
        <v>83105497</v>
      </c>
      <c r="E23" s="17">
        <v>118135351.66666666</v>
      </c>
      <c r="F23" s="18">
        <v>9364070</v>
      </c>
      <c r="R23" s="1">
        <v>154675</v>
      </c>
      <c r="Z23" s="1">
        <v>414700</v>
      </c>
    </row>
    <row r="24" spans="1:26" s="1" customFormat="1" ht="19" customHeight="1" x14ac:dyDescent="0.35">
      <c r="A24" s="142"/>
      <c r="B24" s="11" t="s">
        <v>25</v>
      </c>
      <c r="C24" s="3">
        <f t="shared" si="1"/>
        <v>32613900.25</v>
      </c>
      <c r="D24" s="17">
        <v>14310004</v>
      </c>
      <c r="E24" s="17">
        <v>17559896.25</v>
      </c>
      <c r="F24" s="18">
        <v>744000</v>
      </c>
    </row>
    <row r="25" spans="1:26" s="1" customFormat="1" ht="18.5" customHeight="1" x14ac:dyDescent="0.35">
      <c r="A25" s="142"/>
      <c r="B25" s="11" t="s">
        <v>26</v>
      </c>
      <c r="C25" s="3">
        <f t="shared" si="1"/>
        <v>19593333.333333336</v>
      </c>
      <c r="D25" s="17">
        <v>6383333.333333334</v>
      </c>
      <c r="E25" s="17">
        <v>11110000</v>
      </c>
      <c r="F25" s="12">
        <v>2100000</v>
      </c>
      <c r="R25" s="1">
        <v>300000</v>
      </c>
    </row>
    <row r="26" spans="1:26" s="1" customFormat="1" ht="17.5" customHeight="1" x14ac:dyDescent="0.35">
      <c r="A26" s="142"/>
      <c r="B26" s="11" t="s">
        <v>27</v>
      </c>
      <c r="C26" s="3">
        <f t="shared" si="1"/>
        <v>16286400</v>
      </c>
      <c r="D26" s="12">
        <v>10856160</v>
      </c>
      <c r="E26" s="12">
        <v>0</v>
      </c>
      <c r="F26" s="12">
        <v>5430240</v>
      </c>
    </row>
    <row r="27" spans="1:26" s="1" customFormat="1" ht="19.5" customHeight="1" x14ac:dyDescent="0.35">
      <c r="A27" s="142"/>
      <c r="B27" s="11" t="s">
        <v>28</v>
      </c>
      <c r="C27" s="3">
        <f t="shared" si="1"/>
        <v>1000000</v>
      </c>
      <c r="D27" s="12">
        <v>0</v>
      </c>
      <c r="E27" s="12">
        <v>1000000</v>
      </c>
      <c r="F27" s="12">
        <v>0</v>
      </c>
    </row>
    <row r="28" spans="1:26" s="10" customFormat="1" ht="15" x14ac:dyDescent="0.35">
      <c r="A28" s="6" t="s">
        <v>29</v>
      </c>
      <c r="B28" s="6"/>
      <c r="C28" s="8">
        <f>SUM(C20:C27)</f>
        <v>5367859658.916667</v>
      </c>
      <c r="D28" s="8">
        <f>SUM(D20:D27)</f>
        <v>1980422055.0000002</v>
      </c>
      <c r="E28" s="8">
        <f>SUM(E20:E27)</f>
        <v>2808337896.9166665</v>
      </c>
      <c r="F28" s="8">
        <f>SUM(F20:F27)</f>
        <v>579099707</v>
      </c>
    </row>
    <row r="29" spans="1:26" s="1" customFormat="1" ht="24" customHeight="1" x14ac:dyDescent="0.35">
      <c r="A29" s="143" t="s">
        <v>30</v>
      </c>
      <c r="B29" s="11" t="s">
        <v>31</v>
      </c>
      <c r="C29" s="3">
        <f>SUM(D29:F29)</f>
        <v>149122471.77619311</v>
      </c>
      <c r="D29" s="17">
        <v>57072377.678450249</v>
      </c>
      <c r="E29" s="17">
        <v>78388443.118289262</v>
      </c>
      <c r="F29" s="17">
        <v>13661650.979453593</v>
      </c>
      <c r="R29" s="1">
        <v>1535703.2547798515</v>
      </c>
      <c r="Z29" s="1">
        <v>949791.17704874894</v>
      </c>
    </row>
    <row r="30" spans="1:26" s="1" customFormat="1" ht="24" customHeight="1" x14ac:dyDescent="0.35">
      <c r="A30" s="144"/>
      <c r="B30" s="11" t="s">
        <v>32</v>
      </c>
      <c r="C30" s="3">
        <f t="shared" ref="C30:C42" si="2">SUM(D30:F30)</f>
        <v>11571109.456440805</v>
      </c>
      <c r="D30" s="17">
        <v>4494415.4877140746</v>
      </c>
      <c r="E30" s="17">
        <v>6040208.4884586725</v>
      </c>
      <c r="F30" s="17">
        <v>1036485.4802680567</v>
      </c>
      <c r="R30" s="1">
        <v>166078.6168224299</v>
      </c>
      <c r="Z30" s="1">
        <v>105686.39252336448</v>
      </c>
    </row>
    <row r="31" spans="1:26" s="1" customFormat="1" ht="24" customHeight="1" x14ac:dyDescent="0.35">
      <c r="A31" s="144"/>
      <c r="B31" s="11" t="s">
        <v>33</v>
      </c>
      <c r="C31" s="3">
        <f t="shared" si="2"/>
        <v>33002419.955323905</v>
      </c>
      <c r="D31" s="17">
        <v>12895227.10349963</v>
      </c>
      <c r="E31" s="17">
        <v>17133343.261355177</v>
      </c>
      <c r="F31" s="17">
        <v>2973849.5904690991</v>
      </c>
      <c r="R31" s="1">
        <v>102180.85046728971</v>
      </c>
      <c r="Z31" s="1">
        <v>65024.177570093452</v>
      </c>
    </row>
    <row r="32" spans="1:26" s="1" customFormat="1" ht="24" customHeight="1" x14ac:dyDescent="0.35">
      <c r="A32" s="144"/>
      <c r="B32" s="11" t="s">
        <v>34</v>
      </c>
      <c r="C32" s="3">
        <f t="shared" si="2"/>
        <v>0</v>
      </c>
      <c r="D32" s="17">
        <v>0</v>
      </c>
      <c r="E32" s="17">
        <v>0</v>
      </c>
      <c r="F32" s="17">
        <v>0</v>
      </c>
    </row>
    <row r="33" spans="1:26" s="1" customFormat="1" ht="24" customHeight="1" x14ac:dyDescent="0.35">
      <c r="A33" s="144"/>
      <c r="B33" s="11" t="s">
        <v>167</v>
      </c>
      <c r="C33" s="3">
        <f t="shared" si="2"/>
        <v>2892777.3641102011</v>
      </c>
      <c r="D33" s="17">
        <v>1123603.8719285186</v>
      </c>
      <c r="E33" s="17">
        <v>1510052.1221146681</v>
      </c>
      <c r="F33" s="17">
        <v>259121.37006701418</v>
      </c>
    </row>
    <row r="34" spans="1:26" s="1" customFormat="1" ht="21.5" customHeight="1" x14ac:dyDescent="0.35">
      <c r="A34" s="144"/>
      <c r="B34" s="11" t="s">
        <v>35</v>
      </c>
      <c r="C34" s="3">
        <f t="shared" si="2"/>
        <v>45772638.01191362</v>
      </c>
      <c r="D34" s="17">
        <v>17778870.208488461</v>
      </c>
      <c r="E34" s="17">
        <v>23893670.498883091</v>
      </c>
      <c r="F34" s="17">
        <v>4100097.3045420703</v>
      </c>
      <c r="R34" s="1">
        <v>216458.98234683284</v>
      </c>
      <c r="Z34" s="1">
        <v>137746.62512980271</v>
      </c>
    </row>
    <row r="35" spans="1:26" s="1" customFormat="1" ht="21" customHeight="1" x14ac:dyDescent="0.35">
      <c r="A35" s="144"/>
      <c r="B35" s="11" t="s">
        <v>36</v>
      </c>
      <c r="C35" s="3">
        <f t="shared" si="2"/>
        <v>41450000</v>
      </c>
      <c r="D35" s="17">
        <v>15750000</v>
      </c>
      <c r="E35" s="17">
        <v>22450000</v>
      </c>
      <c r="F35" s="17">
        <v>3250000</v>
      </c>
      <c r="R35" s="1">
        <v>350000</v>
      </c>
      <c r="Z35" s="1">
        <v>350000</v>
      </c>
    </row>
    <row r="36" spans="1:26" s="1" customFormat="1" ht="21.5" customHeight="1" x14ac:dyDescent="0.35">
      <c r="A36" s="144"/>
      <c r="B36" s="11" t="s">
        <v>37</v>
      </c>
      <c r="C36" s="3">
        <f t="shared" si="2"/>
        <v>15798518.242740136</v>
      </c>
      <c r="D36" s="17">
        <v>6129069.2479523458</v>
      </c>
      <c r="E36" s="17">
        <v>8266701.4147431133</v>
      </c>
      <c r="F36" s="17">
        <v>1402747.5800446761</v>
      </c>
      <c r="R36" s="1">
        <v>110000</v>
      </c>
      <c r="Z36" s="1">
        <v>80000</v>
      </c>
    </row>
    <row r="37" spans="1:26" s="1" customFormat="1" ht="24" customHeight="1" x14ac:dyDescent="0.35">
      <c r="A37" s="144"/>
      <c r="B37" s="11" t="s">
        <v>38</v>
      </c>
      <c r="C37" s="3">
        <f t="shared" si="2"/>
        <v>16511541.325390914</v>
      </c>
      <c r="D37" s="17">
        <v>6367088.6075949362</v>
      </c>
      <c r="E37" s="17">
        <v>8676098.2874162309</v>
      </c>
      <c r="F37" s="17">
        <v>1468354.4303797467</v>
      </c>
      <c r="R37" s="1">
        <v>129802.69989615785</v>
      </c>
      <c r="Z37" s="1">
        <v>90861.889927310491</v>
      </c>
    </row>
    <row r="38" spans="1:26" s="1" customFormat="1" ht="21" customHeight="1" x14ac:dyDescent="0.35">
      <c r="A38" s="144"/>
      <c r="B38" s="11" t="s">
        <v>39</v>
      </c>
      <c r="C38" s="3">
        <f t="shared" si="2"/>
        <v>5500000</v>
      </c>
      <c r="D38" s="17">
        <v>5500000</v>
      </c>
      <c r="E38" s="17">
        <v>0</v>
      </c>
      <c r="F38" s="12">
        <v>0</v>
      </c>
    </row>
    <row r="39" spans="1:26" s="1" customFormat="1" ht="25.5" customHeight="1" x14ac:dyDescent="0.35">
      <c r="A39" s="145"/>
      <c r="B39" s="11" t="s">
        <v>40</v>
      </c>
      <c r="C39" s="3">
        <f t="shared" si="2"/>
        <v>114124320.36113186</v>
      </c>
      <c r="D39" s="17">
        <v>44327824.819806419</v>
      </c>
      <c r="E39" s="17">
        <v>59573776.497393936</v>
      </c>
      <c r="F39" s="17">
        <v>10222719.043931497</v>
      </c>
      <c r="R39" s="1">
        <v>452730.58670820354</v>
      </c>
      <c r="Z39" s="1">
        <v>288101.28245067497</v>
      </c>
    </row>
    <row r="40" spans="1:26" s="1" customFormat="1" ht="33" customHeight="1" x14ac:dyDescent="0.35">
      <c r="A40" s="142" t="s">
        <v>41</v>
      </c>
      <c r="B40" s="11" t="s">
        <v>42</v>
      </c>
      <c r="C40" s="3">
        <f t="shared" si="2"/>
        <v>137971164.28965005</v>
      </c>
      <c r="D40" s="17">
        <v>49207354.215189874</v>
      </c>
      <c r="E40" s="17">
        <v>64470453.806403577</v>
      </c>
      <c r="F40" s="12">
        <v>24293356.26805659</v>
      </c>
      <c r="R40" s="1">
        <v>69415.368639667708</v>
      </c>
      <c r="Z40" s="1">
        <f>SUM('[1]BÁO CÁO THÁNG 3'!$C$44:$C$45)</f>
        <v>1164173.4164070613</v>
      </c>
    </row>
    <row r="41" spans="1:26" s="1" customFormat="1" ht="33" customHeight="1" x14ac:dyDescent="0.35">
      <c r="A41" s="142"/>
      <c r="B41" s="11" t="s">
        <v>43</v>
      </c>
      <c r="C41" s="3">
        <f t="shared" si="2"/>
        <v>22552000</v>
      </c>
      <c r="D41" s="17">
        <v>7232000</v>
      </c>
      <c r="E41" s="17">
        <v>15230000</v>
      </c>
      <c r="F41" s="12">
        <v>90000</v>
      </c>
    </row>
    <row r="42" spans="1:26" s="1" customFormat="1" ht="54.5" customHeight="1" x14ac:dyDescent="0.35">
      <c r="A42" s="142"/>
      <c r="B42" s="11" t="s">
        <v>44</v>
      </c>
      <c r="C42" s="3">
        <f t="shared" si="2"/>
        <v>20536000</v>
      </c>
      <c r="D42" s="12">
        <v>11105000</v>
      </c>
      <c r="E42" s="12">
        <v>9251000</v>
      </c>
      <c r="F42" s="12">
        <v>180000</v>
      </c>
    </row>
    <row r="43" spans="1:26" s="22" customFormat="1" ht="17" customHeight="1" x14ac:dyDescent="0.35">
      <c r="A43" s="19" t="s">
        <v>45</v>
      </c>
      <c r="B43" s="19"/>
      <c r="C43" s="20">
        <f>SUM(C29:C42)</f>
        <v>616804960.78289461</v>
      </c>
      <c r="D43" s="21">
        <f>SUM(D29:D42)</f>
        <v>238982831.24062452</v>
      </c>
      <c r="E43" s="21">
        <f>SUM(E29:E42)</f>
        <v>314883747.4950577</v>
      </c>
      <c r="F43" s="21">
        <f>SUM(F29:F42)</f>
        <v>62938382.047212347</v>
      </c>
    </row>
    <row r="44" spans="1:26" s="25" customFormat="1" ht="18.5" customHeight="1" x14ac:dyDescent="0.35">
      <c r="A44" s="23" t="s">
        <v>46</v>
      </c>
      <c r="B44" s="23"/>
      <c r="C44" s="24">
        <f>C28+C43</f>
        <v>5984664619.6995621</v>
      </c>
      <c r="D44" s="24">
        <f>D28+D43</f>
        <v>2219404886.2406249</v>
      </c>
      <c r="E44" s="24">
        <f>E28+E43</f>
        <v>3123221644.4117241</v>
      </c>
      <c r="F44" s="24">
        <f>F28+F43</f>
        <v>642038089.04721236</v>
      </c>
    </row>
    <row r="45" spans="1:26" s="22" customFormat="1" ht="18" customHeight="1" x14ac:dyDescent="0.35">
      <c r="A45" s="19" t="s">
        <v>47</v>
      </c>
      <c r="B45" s="19"/>
      <c r="C45" s="20">
        <f>C3-C28</f>
        <v>1362602869.083333</v>
      </c>
      <c r="D45" s="26">
        <f>D3-D28</f>
        <v>505678835.99999976</v>
      </c>
      <c r="E45" s="26">
        <f>E3-E28</f>
        <v>699930040.08333349</v>
      </c>
      <c r="F45" s="26">
        <f>F3-F28</f>
        <v>156993993</v>
      </c>
    </row>
    <row r="46" spans="1:26" s="30" customFormat="1" ht="15.5" x14ac:dyDescent="0.35">
      <c r="A46" s="27" t="s">
        <v>48</v>
      </c>
      <c r="B46" s="27"/>
      <c r="C46" s="28">
        <f>C3-C44</f>
        <v>745797908.30043793</v>
      </c>
      <c r="D46" s="29">
        <f>D3-D44</f>
        <v>266696004.7593751</v>
      </c>
      <c r="E46" s="29">
        <f>E3-E44</f>
        <v>385046292.58827591</v>
      </c>
      <c r="F46" s="29">
        <f>F3-F44</f>
        <v>94055610.952787638</v>
      </c>
    </row>
    <row r="47" spans="1:26" s="10" customFormat="1" ht="15.5" x14ac:dyDescent="0.35">
      <c r="A47" s="6" t="s">
        <v>29</v>
      </c>
      <c r="B47" s="6"/>
      <c r="C47" s="8">
        <f>C28</f>
        <v>5367859658.916667</v>
      </c>
      <c r="D47" s="31">
        <f>D28</f>
        <v>1980422055.0000002</v>
      </c>
      <c r="E47" s="31">
        <f>E28</f>
        <v>2808337896.9166665</v>
      </c>
      <c r="F47" s="31">
        <f>F28</f>
        <v>579099707</v>
      </c>
    </row>
    <row r="48" spans="1:26" s="35" customFormat="1" ht="15" x14ac:dyDescent="0.35">
      <c r="A48" s="32" t="s">
        <v>49</v>
      </c>
      <c r="B48" s="33"/>
      <c r="C48" s="34">
        <f>C46/C3</f>
        <v>0.11080930993936557</v>
      </c>
      <c r="D48" s="34">
        <f>D46/D3</f>
        <v>0.10727481162363459</v>
      </c>
      <c r="E48" s="34">
        <f>E46/E3</f>
        <v>0.10975395822177077</v>
      </c>
      <c r="F48" s="34">
        <f>F46/F3</f>
        <v>0.12777668244244944</v>
      </c>
    </row>
    <row r="49" spans="1:6" s="35" customFormat="1" ht="15" x14ac:dyDescent="0.35">
      <c r="A49" s="32" t="s">
        <v>50</v>
      </c>
      <c r="B49" s="33"/>
      <c r="C49" s="34">
        <f>C45/C3</f>
        <v>0.20245308006911067</v>
      </c>
      <c r="D49" s="34">
        <f>D45/D3</f>
        <v>0.20340237913538473</v>
      </c>
      <c r="E49" s="34">
        <f>E45/E3</f>
        <v>0.19950871844807261</v>
      </c>
      <c r="F49" s="34">
        <f>F45/F3</f>
        <v>0.21327990308842476</v>
      </c>
    </row>
    <row r="50" spans="1:6" s="35" customFormat="1" ht="15" x14ac:dyDescent="0.35">
      <c r="A50" s="32" t="s">
        <v>51</v>
      </c>
      <c r="B50" s="33"/>
      <c r="C50" s="34">
        <f>C46/C47</f>
        <v>0.13893766895741713</v>
      </c>
      <c r="D50" s="34">
        <f>D46/D47</f>
        <v>0.13466624656398055</v>
      </c>
      <c r="E50" s="34">
        <f>E46/E47</f>
        <v>0.13710824933531907</v>
      </c>
      <c r="F50" s="34">
        <f>F46/F47</f>
        <v>0.16241695482810464</v>
      </c>
    </row>
    <row r="51" spans="1:6" s="35" customFormat="1" ht="15" x14ac:dyDescent="0.35">
      <c r="A51" s="32" t="s">
        <v>52</v>
      </c>
      <c r="B51" s="33"/>
      <c r="C51" s="34">
        <f>C46/C45</f>
        <v>0.54733328779951873</v>
      </c>
      <c r="D51" s="34">
        <f>D46/D45</f>
        <v>0.52740195114548005</v>
      </c>
      <c r="E51" s="34">
        <f>E46/E45</f>
        <v>0.55012111287927057</v>
      </c>
      <c r="F51" s="34">
        <f>F46/F45</f>
        <v>0.59910324691714567</v>
      </c>
    </row>
    <row r="52" spans="1:6" s="39" customFormat="1" ht="15" x14ac:dyDescent="0.35">
      <c r="A52" s="36" t="s">
        <v>53</v>
      </c>
      <c r="B52" s="37"/>
      <c r="C52" s="38">
        <f>C44/C45</f>
        <v>4.392082796453848</v>
      </c>
      <c r="D52" s="38">
        <f>D44/D45</f>
        <v>4.3889613886087693</v>
      </c>
      <c r="E52" s="38">
        <f>E44/E45</f>
        <v>4.4621911699058865</v>
      </c>
      <c r="F52" s="38">
        <f>F44/F45</f>
        <v>4.089571051595664</v>
      </c>
    </row>
    <row r="53" spans="1:6" s="42" customFormat="1" ht="15" x14ac:dyDescent="0.35">
      <c r="A53" s="40" t="s">
        <v>54</v>
      </c>
      <c r="B53" s="40"/>
      <c r="C53" s="41">
        <f>C47/C3</f>
        <v>0.79754691993088933</v>
      </c>
      <c r="D53" s="41">
        <f>D47/D3</f>
        <v>0.79659762086461527</v>
      </c>
      <c r="E53" s="41">
        <f>E47/E3</f>
        <v>0.80049128155192739</v>
      </c>
      <c r="F53" s="41">
        <f>F47/F3</f>
        <v>0.7867200969115753</v>
      </c>
    </row>
    <row r="54" spans="1:6" s="42" customFormat="1" ht="15" x14ac:dyDescent="0.35">
      <c r="A54" s="40" t="s">
        <v>55</v>
      </c>
      <c r="B54" s="40"/>
      <c r="C54" s="41">
        <f>C43/C3</f>
        <v>9.1643770129745034E-2</v>
      </c>
      <c r="D54" s="41">
        <f>D43/D3</f>
        <v>9.612756751175007E-2</v>
      </c>
      <c r="E54" s="41">
        <f>E43/E3</f>
        <v>8.9754760226301869E-2</v>
      </c>
      <c r="F54" s="41">
        <f>F43/F3</f>
        <v>8.5503220645975292E-2</v>
      </c>
    </row>
    <row r="55" spans="1:6" s="42" customFormat="1" ht="15" x14ac:dyDescent="0.35">
      <c r="A55" s="40" t="s">
        <v>56</v>
      </c>
      <c r="B55" s="40"/>
      <c r="C55" s="41">
        <f>C44/C3</f>
        <v>0.88919069006063445</v>
      </c>
      <c r="D55" s="41">
        <f>D44/D3</f>
        <v>0.89272518837636539</v>
      </c>
      <c r="E55" s="41">
        <f>E44/E3</f>
        <v>0.89024604177822919</v>
      </c>
      <c r="F55" s="41">
        <f>F44/F3</f>
        <v>0.87222331755755056</v>
      </c>
    </row>
    <row r="56" spans="1:6" s="42" customFormat="1" ht="15" x14ac:dyDescent="0.35">
      <c r="A56" s="40" t="s">
        <v>57</v>
      </c>
      <c r="B56" s="40"/>
      <c r="C56" s="41">
        <f>SUM(C29:C38)/C43</f>
        <v>0.521431403087107</v>
      </c>
      <c r="D56" s="41">
        <f>SUM(D29:D38)/D43</f>
        <v>0.5318819412497644</v>
      </c>
      <c r="E56" s="41">
        <f>SUM(E29:E38)/E43</f>
        <v>0.52831725522407702</v>
      </c>
      <c r="F56" s="41">
        <f>SUM(F29:F38)/F43</f>
        <v>0.44729949864466167</v>
      </c>
    </row>
    <row r="57" spans="1:6" s="42" customFormat="1" ht="15" x14ac:dyDescent="0.35">
      <c r="A57" s="40" t="s">
        <v>58</v>
      </c>
      <c r="B57" s="40"/>
      <c r="C57" s="41">
        <f>C40/C43</f>
        <v>0.2236868589943356</v>
      </c>
      <c r="D57" s="41">
        <f>D40/D43</f>
        <v>0.20590330259182715</v>
      </c>
      <c r="E57" s="41">
        <f>E40/E43</f>
        <v>0.20474366911367975</v>
      </c>
      <c r="F57" s="41">
        <f>F40/F43</f>
        <v>0.38598634851835351</v>
      </c>
    </row>
    <row r="58" spans="1:6" s="42" customFormat="1" ht="15" x14ac:dyDescent="0.35">
      <c r="A58" s="40" t="s">
        <v>59</v>
      </c>
      <c r="B58" s="40"/>
      <c r="C58" s="41">
        <f>C42/C43</f>
        <v>3.3294155050138032E-2</v>
      </c>
      <c r="D58" s="41">
        <f>D42/D43</f>
        <v>4.6467773196722718E-2</v>
      </c>
      <c r="E58" s="41">
        <f>E42/E43</f>
        <v>2.9379096487490833E-2</v>
      </c>
      <c r="F58" s="41">
        <f>F42/F43</f>
        <v>2.859940057959792E-3</v>
      </c>
    </row>
    <row r="59" spans="1:6" s="46" customFormat="1" x14ac:dyDescent="0.35">
      <c r="A59" s="43" t="s">
        <v>60</v>
      </c>
      <c r="B59" s="44"/>
      <c r="C59" s="45">
        <f>C46/C3</f>
        <v>0.11080930993936557</v>
      </c>
      <c r="D59" s="45">
        <f>D46/D3</f>
        <v>0.10727481162363459</v>
      </c>
      <c r="E59" s="45">
        <f>E46/E3</f>
        <v>0.10975395822177077</v>
      </c>
      <c r="F59" s="45">
        <f>F46/F3</f>
        <v>0.12777668244244944</v>
      </c>
    </row>
    <row r="60" spans="1:6" x14ac:dyDescent="0.35">
      <c r="A60" s="47"/>
    </row>
    <row r="61" spans="1:6" x14ac:dyDescent="0.35">
      <c r="A61" s="52"/>
    </row>
    <row r="62" spans="1:6" x14ac:dyDescent="0.35">
      <c r="A62" s="52"/>
      <c r="C62" s="53"/>
    </row>
    <row r="63" spans="1:6" x14ac:dyDescent="0.35">
      <c r="A63" s="52"/>
      <c r="B63" s="54"/>
    </row>
    <row r="67" spans="1:6" x14ac:dyDescent="0.35">
      <c r="B67" s="54"/>
    </row>
    <row r="68" spans="1:6" s="49" customFormat="1" x14ac:dyDescent="0.35">
      <c r="A68" s="48"/>
      <c r="B68" s="54"/>
      <c r="D68" s="50"/>
      <c r="E68" s="50"/>
      <c r="F68" s="50"/>
    </row>
  </sheetData>
  <mergeCells count="4">
    <mergeCell ref="A11:A18"/>
    <mergeCell ref="A22:A27"/>
    <mergeCell ref="A29:A39"/>
    <mergeCell ref="A40:A4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54F-D05A-4056-B615-15F5031904F5}">
  <sheetPr codeName="Sheet3">
    <tabColor rgb="FF92D050"/>
  </sheetPr>
  <dimension ref="A1:BF68"/>
  <sheetViews>
    <sheetView zoomScale="110" zoomScaleNormal="110" workbookViewId="0">
      <pane xSplit="2" ySplit="2" topLeftCell="C43" activePane="bottomRight" state="frozen"/>
      <selection activeCell="C37" sqref="C37"/>
      <selection pane="topRight" activeCell="C37" sqref="C37"/>
      <selection pane="bottomLeft" activeCell="C37" sqref="C37"/>
      <selection pane="bottomRight" activeCell="C30" sqref="C30:C42"/>
    </sheetView>
  </sheetViews>
  <sheetFormatPr defaultColWidth="8.7265625" defaultRowHeight="14" x14ac:dyDescent="0.3"/>
  <cols>
    <col min="1" max="1" width="37.90625" style="115" customWidth="1"/>
    <col min="2" max="2" width="28.26953125" style="115" customWidth="1"/>
    <col min="3" max="3" width="31.26953125" style="115" customWidth="1"/>
    <col min="4" max="4" width="19.7265625" style="115" customWidth="1"/>
    <col min="5" max="6" width="18.26953125" style="115" customWidth="1"/>
    <col min="7" max="14" width="15.453125" style="115" customWidth="1"/>
    <col min="15" max="34" width="13.7265625" style="115" customWidth="1"/>
    <col min="35" max="35" width="16" style="115" customWidth="1"/>
    <col min="36" max="56" width="13.7265625" style="115" customWidth="1"/>
    <col min="57" max="57" width="8.7265625" style="115"/>
    <col min="58" max="58" width="14.7265625" style="115" bestFit="1" customWidth="1"/>
    <col min="59" max="59" width="10.453125" style="115" bestFit="1" customWidth="1"/>
    <col min="60" max="16384" width="8.7265625" style="115"/>
  </cols>
  <sheetData>
    <row r="1" spans="1:56" s="57" customFormat="1" ht="47.5" customHeight="1" x14ac:dyDescent="0.3">
      <c r="A1" s="55" t="s">
        <v>159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</row>
    <row r="2" spans="1:56" s="59" customFormat="1" ht="19" customHeight="1" x14ac:dyDescent="0.35">
      <c r="A2" s="58"/>
      <c r="B2" s="58"/>
      <c r="C2" s="58" t="s">
        <v>0</v>
      </c>
      <c r="D2" s="59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59" t="s">
        <v>113</v>
      </c>
      <c r="M2" s="59" t="s">
        <v>114</v>
      </c>
      <c r="N2" s="59" t="s">
        <v>115</v>
      </c>
      <c r="O2" s="59" t="s">
        <v>116</v>
      </c>
      <c r="P2" s="59" t="s">
        <v>117</v>
      </c>
      <c r="Q2" s="59" t="s">
        <v>118</v>
      </c>
      <c r="R2" s="59" t="s">
        <v>119</v>
      </c>
      <c r="S2" s="59" t="s">
        <v>120</v>
      </c>
      <c r="T2" s="59" t="s">
        <v>121</v>
      </c>
      <c r="U2" s="59" t="s">
        <v>122</v>
      </c>
      <c r="V2" s="59" t="s">
        <v>123</v>
      </c>
      <c r="W2" s="59" t="s">
        <v>124</v>
      </c>
      <c r="X2" s="59" t="s">
        <v>125</v>
      </c>
      <c r="Y2" s="59" t="s">
        <v>126</v>
      </c>
      <c r="Z2" s="59" t="s">
        <v>127</v>
      </c>
      <c r="AA2" s="59" t="s">
        <v>128</v>
      </c>
      <c r="AB2" s="59" t="s">
        <v>129</v>
      </c>
      <c r="AC2" s="59" t="s">
        <v>130</v>
      </c>
      <c r="AD2" s="59" t="s">
        <v>131</v>
      </c>
      <c r="AE2" s="59" t="s">
        <v>132</v>
      </c>
      <c r="AF2" s="59" t="s">
        <v>133</v>
      </c>
      <c r="AG2" s="59" t="s">
        <v>134</v>
      </c>
      <c r="AH2" s="59" t="s">
        <v>135</v>
      </c>
      <c r="AI2" s="59" t="s">
        <v>136</v>
      </c>
      <c r="AJ2" s="59" t="s">
        <v>137</v>
      </c>
      <c r="AK2" s="59" t="s">
        <v>138</v>
      </c>
      <c r="AL2" s="59" t="s">
        <v>139</v>
      </c>
      <c r="AM2" s="59" t="s">
        <v>140</v>
      </c>
      <c r="AN2" s="59" t="s">
        <v>141</v>
      </c>
      <c r="AO2" s="59" t="s">
        <v>142</v>
      </c>
      <c r="AP2" s="59" t="s">
        <v>143</v>
      </c>
      <c r="AQ2" s="59" t="s">
        <v>144</v>
      </c>
      <c r="AR2" s="59" t="s">
        <v>145</v>
      </c>
      <c r="AS2" s="59" t="s">
        <v>146</v>
      </c>
      <c r="AT2" s="59" t="s">
        <v>147</v>
      </c>
      <c r="AU2" s="59" t="s">
        <v>148</v>
      </c>
      <c r="AV2" s="59" t="s">
        <v>149</v>
      </c>
      <c r="AW2" s="59" t="s">
        <v>150</v>
      </c>
      <c r="AX2" s="59" t="s">
        <v>151</v>
      </c>
      <c r="AY2" s="59" t="s">
        <v>152</v>
      </c>
      <c r="AZ2" s="59" t="s">
        <v>153</v>
      </c>
      <c r="BA2" s="59" t="s">
        <v>154</v>
      </c>
      <c r="BB2" s="59" t="s">
        <v>155</v>
      </c>
      <c r="BC2" s="59" t="s">
        <v>156</v>
      </c>
      <c r="BD2" s="59" t="s">
        <v>157</v>
      </c>
    </row>
    <row r="3" spans="1:56" s="59" customFormat="1" ht="19" customHeight="1" x14ac:dyDescent="0.35">
      <c r="A3" s="58"/>
      <c r="B3" s="58"/>
      <c r="C3" s="58"/>
      <c r="D3" s="59" t="s">
        <v>97</v>
      </c>
      <c r="E3" s="59" t="s">
        <v>97</v>
      </c>
      <c r="F3" s="59" t="s">
        <v>97</v>
      </c>
      <c r="G3" s="59" t="s">
        <v>97</v>
      </c>
      <c r="H3" s="59" t="s">
        <v>97</v>
      </c>
      <c r="I3" s="59" t="s">
        <v>97</v>
      </c>
      <c r="J3" s="59" t="s">
        <v>97</v>
      </c>
      <c r="K3" s="59" t="s">
        <v>97</v>
      </c>
      <c r="L3" s="59" t="s">
        <v>97</v>
      </c>
      <c r="M3" s="59" t="s">
        <v>97</v>
      </c>
      <c r="N3" s="59" t="s">
        <v>97</v>
      </c>
      <c r="O3" s="59" t="s">
        <v>97</v>
      </c>
      <c r="P3" s="59" t="s">
        <v>97</v>
      </c>
      <c r="Q3" s="59" t="s">
        <v>97</v>
      </c>
      <c r="R3" s="59" t="s">
        <v>97</v>
      </c>
      <c r="S3" s="59" t="s">
        <v>99</v>
      </c>
      <c r="T3" s="59" t="s">
        <v>99</v>
      </c>
      <c r="U3" s="59" t="s">
        <v>97</v>
      </c>
      <c r="V3" s="59" t="s">
        <v>97</v>
      </c>
      <c r="W3" s="59" t="s">
        <v>97</v>
      </c>
      <c r="X3" s="59" t="s">
        <v>97</v>
      </c>
      <c r="Y3" s="59" t="s">
        <v>99</v>
      </c>
      <c r="Z3" s="59" t="s">
        <v>97</v>
      </c>
      <c r="AA3" s="59" t="s">
        <v>97</v>
      </c>
      <c r="AB3" s="59" t="s">
        <v>97</v>
      </c>
      <c r="AC3" s="59" t="s">
        <v>97</v>
      </c>
      <c r="AD3" s="59" t="s">
        <v>97</v>
      </c>
      <c r="AE3" s="59" t="s">
        <v>99</v>
      </c>
      <c r="AF3" s="59" t="s">
        <v>97</v>
      </c>
      <c r="AG3" s="59" t="s">
        <v>97</v>
      </c>
      <c r="AH3" s="59" t="s">
        <v>97</v>
      </c>
      <c r="AI3" s="59" t="s">
        <v>97</v>
      </c>
      <c r="AJ3" s="59" t="s">
        <v>97</v>
      </c>
      <c r="AK3" s="59" t="s">
        <v>98</v>
      </c>
      <c r="AL3" s="59" t="s">
        <v>97</v>
      </c>
      <c r="AM3" s="59" t="s">
        <v>97</v>
      </c>
    </row>
    <row r="4" spans="1:56" s="64" customFormat="1" ht="13" x14ac:dyDescent="0.3">
      <c r="A4" s="60" t="s">
        <v>160</v>
      </c>
      <c r="B4" s="61"/>
      <c r="C4" s="62">
        <f t="shared" ref="C4:C18" si="0">SUM(D4:BD4)</f>
        <v>3264213179</v>
      </c>
      <c r="D4" s="64">
        <v>35510000</v>
      </c>
      <c r="E4" s="64">
        <v>68430000</v>
      </c>
      <c r="F4" s="64">
        <v>65941000</v>
      </c>
      <c r="G4" s="64">
        <v>109429666</v>
      </c>
      <c r="H4" s="64">
        <v>68766000</v>
      </c>
      <c r="I4" s="64">
        <v>50319000</v>
      </c>
      <c r="J4" s="64">
        <v>57268000</v>
      </c>
      <c r="K4" s="64">
        <v>35353000</v>
      </c>
      <c r="L4" s="64">
        <v>106996000</v>
      </c>
      <c r="M4" s="64">
        <v>101007000</v>
      </c>
      <c r="N4" s="64">
        <v>69888800</v>
      </c>
      <c r="O4" s="64">
        <v>76148000</v>
      </c>
      <c r="P4" s="64">
        <v>89884000</v>
      </c>
      <c r="Q4" s="64">
        <v>49693000</v>
      </c>
      <c r="R4" s="64">
        <v>67863000</v>
      </c>
      <c r="S4" s="64">
        <v>46717000</v>
      </c>
      <c r="T4" s="64">
        <v>28678000</v>
      </c>
      <c r="U4" s="64">
        <v>89141000</v>
      </c>
      <c r="V4" s="64">
        <v>48995000</v>
      </c>
      <c r="W4" s="64">
        <v>45621000</v>
      </c>
      <c r="X4" s="64">
        <v>30737000</v>
      </c>
      <c r="Y4" s="64">
        <v>27710000</v>
      </c>
      <c r="Z4" s="64">
        <v>64196880</v>
      </c>
      <c r="AA4" s="64">
        <v>69830000</v>
      </c>
      <c r="AB4" s="64">
        <v>22885333</v>
      </c>
      <c r="AC4" s="64">
        <v>49203800</v>
      </c>
      <c r="AD4" s="64">
        <v>58642000</v>
      </c>
      <c r="AE4" s="64">
        <v>21898000</v>
      </c>
      <c r="AF4" s="64">
        <v>60571000</v>
      </c>
      <c r="AG4" s="64">
        <v>54402000</v>
      </c>
      <c r="AH4" s="64">
        <v>58699200</v>
      </c>
      <c r="AI4" s="74">
        <v>22469000</v>
      </c>
      <c r="AJ4" s="64">
        <v>95956500</v>
      </c>
      <c r="AK4" s="64">
        <v>58014000</v>
      </c>
      <c r="AL4" s="64">
        <v>54990000</v>
      </c>
      <c r="AM4" s="64">
        <v>74846800</v>
      </c>
      <c r="AN4" s="64">
        <v>31524000</v>
      </c>
      <c r="AO4" s="64">
        <v>25997000</v>
      </c>
      <c r="AP4" s="64">
        <v>54746000</v>
      </c>
      <c r="AQ4" s="64">
        <v>119017100</v>
      </c>
      <c r="AR4" s="65">
        <v>42083000</v>
      </c>
      <c r="AS4" s="64">
        <v>84164000</v>
      </c>
      <c r="AT4" s="64">
        <v>171287000</v>
      </c>
      <c r="AU4" s="64">
        <v>25367000</v>
      </c>
      <c r="AV4" s="64">
        <v>42605000</v>
      </c>
      <c r="AW4" s="64">
        <v>39876400</v>
      </c>
      <c r="AX4" s="64">
        <v>39526000</v>
      </c>
      <c r="AY4" s="64">
        <v>97254000</v>
      </c>
      <c r="AZ4" s="64">
        <v>86767000</v>
      </c>
      <c r="BA4" s="64">
        <v>46648200</v>
      </c>
      <c r="BB4" s="64">
        <v>39285500</v>
      </c>
      <c r="BC4" s="64">
        <v>61508000</v>
      </c>
      <c r="BD4" s="64">
        <v>119858000</v>
      </c>
    </row>
    <row r="5" spans="1:56" s="68" customFormat="1" ht="13" x14ac:dyDescent="0.3">
      <c r="A5" s="66" t="s">
        <v>3</v>
      </c>
      <c r="B5" s="67"/>
      <c r="C5" s="62">
        <f t="shared" si="0"/>
        <v>87500000</v>
      </c>
      <c r="E5" s="68">
        <v>2000000</v>
      </c>
      <c r="G5" s="68">
        <v>3000000</v>
      </c>
      <c r="O5" s="68">
        <v>7300000</v>
      </c>
      <c r="P5" s="68">
        <v>4000000</v>
      </c>
      <c r="T5" s="68">
        <v>2200000</v>
      </c>
      <c r="U5" s="68">
        <v>3100000</v>
      </c>
      <c r="V5" s="68">
        <v>4500000</v>
      </c>
      <c r="W5" s="68">
        <v>3700000</v>
      </c>
      <c r="X5" s="68">
        <v>3800000</v>
      </c>
      <c r="AA5" s="68">
        <v>3600000</v>
      </c>
      <c r="AC5" s="68">
        <v>4000000</v>
      </c>
      <c r="AE5" s="68">
        <v>2300000</v>
      </c>
      <c r="AF5" s="68">
        <v>4700000</v>
      </c>
      <c r="AI5" s="83">
        <v>3900000</v>
      </c>
      <c r="AJ5" s="68">
        <v>4400000</v>
      </c>
      <c r="AT5" s="68">
        <v>17200000</v>
      </c>
      <c r="AU5" s="68">
        <v>2200000</v>
      </c>
      <c r="AY5" s="68">
        <v>7600000</v>
      </c>
      <c r="BD5" s="68">
        <v>4000000</v>
      </c>
    </row>
    <row r="6" spans="1:56" s="68" customFormat="1" ht="13" x14ac:dyDescent="0.3">
      <c r="A6" s="69" t="s">
        <v>4</v>
      </c>
      <c r="B6" s="67"/>
      <c r="C6" s="62">
        <f t="shared" si="0"/>
        <v>1300000</v>
      </c>
      <c r="D6" s="72"/>
      <c r="O6" s="83"/>
      <c r="AH6" s="68">
        <v>1300000</v>
      </c>
    </row>
    <row r="7" spans="1:56" s="68" customFormat="1" ht="13" x14ac:dyDescent="0.3">
      <c r="A7" s="71" t="s">
        <v>158</v>
      </c>
      <c r="B7" s="67"/>
      <c r="C7" s="62">
        <f t="shared" si="0"/>
        <v>5446000</v>
      </c>
      <c r="H7" s="72"/>
      <c r="O7" s="68" t="s">
        <v>162</v>
      </c>
      <c r="U7" s="68" t="s">
        <v>163</v>
      </c>
      <c r="AE7" s="68">
        <v>1346000</v>
      </c>
      <c r="BD7" s="68">
        <v>4100000</v>
      </c>
    </row>
    <row r="8" spans="1:56" s="68" customFormat="1" ht="13" x14ac:dyDescent="0.3">
      <c r="A8" s="71"/>
      <c r="B8" s="67" t="s">
        <v>6</v>
      </c>
      <c r="C8" s="62">
        <f t="shared" si="0"/>
        <v>23</v>
      </c>
      <c r="D8" s="68">
        <v>0</v>
      </c>
      <c r="E8" s="68">
        <v>1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1</v>
      </c>
      <c r="P8" s="68">
        <v>1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2</v>
      </c>
      <c r="Y8" s="68">
        <v>1</v>
      </c>
      <c r="Z8" s="68">
        <v>1</v>
      </c>
      <c r="AA8" s="68">
        <v>1</v>
      </c>
      <c r="AB8" s="68">
        <v>0</v>
      </c>
      <c r="AC8" s="68">
        <v>1</v>
      </c>
      <c r="AD8" s="68">
        <v>1</v>
      </c>
      <c r="AE8" s="68">
        <v>0</v>
      </c>
      <c r="AF8" s="68">
        <v>1</v>
      </c>
      <c r="AG8" s="68">
        <v>0</v>
      </c>
      <c r="AH8" s="68">
        <v>1</v>
      </c>
      <c r="AI8" s="68">
        <v>3</v>
      </c>
      <c r="AJ8" s="68">
        <v>1</v>
      </c>
      <c r="AK8" s="68">
        <v>0</v>
      </c>
      <c r="AL8" s="68">
        <v>0</v>
      </c>
      <c r="AM8" s="68">
        <v>0</v>
      </c>
      <c r="AN8" s="68">
        <v>0</v>
      </c>
      <c r="AO8" s="68">
        <v>0</v>
      </c>
      <c r="AP8" s="68">
        <v>0</v>
      </c>
      <c r="AQ8" s="68">
        <v>1</v>
      </c>
      <c r="AR8" s="68">
        <v>0</v>
      </c>
      <c r="AS8" s="68">
        <v>0</v>
      </c>
      <c r="AT8" s="68">
        <v>3</v>
      </c>
      <c r="AU8" s="68">
        <v>1</v>
      </c>
      <c r="AV8" s="68">
        <v>0</v>
      </c>
      <c r="AW8" s="68">
        <v>0</v>
      </c>
      <c r="AX8" s="68">
        <v>0</v>
      </c>
      <c r="AY8" s="68">
        <v>1</v>
      </c>
      <c r="AZ8" s="68">
        <v>0</v>
      </c>
      <c r="BA8" s="68">
        <v>1</v>
      </c>
      <c r="BB8" s="68">
        <v>0</v>
      </c>
      <c r="BC8" s="68">
        <v>0</v>
      </c>
      <c r="BD8" s="68">
        <v>0</v>
      </c>
    </row>
    <row r="9" spans="1:56" s="68" customFormat="1" ht="13" x14ac:dyDescent="0.3">
      <c r="A9" s="71"/>
      <c r="B9" s="67" t="s">
        <v>7</v>
      </c>
      <c r="C9" s="62">
        <f t="shared" si="0"/>
        <v>25</v>
      </c>
      <c r="D9" s="68">
        <v>0</v>
      </c>
      <c r="E9" s="68">
        <v>1</v>
      </c>
      <c r="F9" s="68">
        <v>0</v>
      </c>
      <c r="G9" s="68">
        <v>1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2</v>
      </c>
      <c r="P9" s="68">
        <v>1</v>
      </c>
      <c r="Q9" s="68">
        <v>0</v>
      </c>
      <c r="R9" s="68">
        <v>0</v>
      </c>
      <c r="S9" s="68">
        <v>0</v>
      </c>
      <c r="T9" s="68">
        <v>1</v>
      </c>
      <c r="U9" s="68">
        <v>1</v>
      </c>
      <c r="V9" s="68">
        <v>1</v>
      </c>
      <c r="W9" s="68">
        <v>1</v>
      </c>
      <c r="X9" s="68">
        <v>1</v>
      </c>
      <c r="Y9" s="68">
        <v>0</v>
      </c>
      <c r="Z9" s="68">
        <v>0</v>
      </c>
      <c r="AA9" s="68">
        <v>1</v>
      </c>
      <c r="AB9" s="68">
        <v>0</v>
      </c>
      <c r="AC9" s="68">
        <v>1</v>
      </c>
      <c r="AD9" s="68">
        <v>0</v>
      </c>
      <c r="AE9" s="68">
        <v>1</v>
      </c>
      <c r="AF9" s="68">
        <v>1</v>
      </c>
      <c r="AG9" s="68">
        <v>0</v>
      </c>
      <c r="AH9" s="68">
        <v>0</v>
      </c>
      <c r="AI9" s="68">
        <v>2</v>
      </c>
      <c r="AJ9" s="68">
        <v>1</v>
      </c>
      <c r="AK9" s="68">
        <v>0</v>
      </c>
      <c r="AL9" s="68">
        <v>0</v>
      </c>
      <c r="AM9" s="68">
        <v>0</v>
      </c>
      <c r="AN9" s="68">
        <v>0</v>
      </c>
      <c r="AO9" s="68">
        <v>0</v>
      </c>
      <c r="AP9" s="68">
        <v>0</v>
      </c>
      <c r="AQ9" s="68">
        <v>0</v>
      </c>
      <c r="AR9" s="68">
        <v>0</v>
      </c>
      <c r="AS9" s="68">
        <v>1</v>
      </c>
      <c r="AT9" s="68">
        <v>3</v>
      </c>
      <c r="AU9" s="68">
        <v>1</v>
      </c>
      <c r="AV9" s="68">
        <v>0</v>
      </c>
      <c r="AW9" s="68">
        <v>0</v>
      </c>
      <c r="AX9" s="68">
        <v>0</v>
      </c>
      <c r="AY9" s="68">
        <v>2</v>
      </c>
      <c r="AZ9" s="68">
        <v>0</v>
      </c>
      <c r="BA9" s="68">
        <v>0</v>
      </c>
      <c r="BB9" s="68">
        <v>0</v>
      </c>
      <c r="BC9" s="68">
        <v>0</v>
      </c>
      <c r="BD9" s="68">
        <v>1</v>
      </c>
    </row>
    <row r="10" spans="1:56" s="68" customFormat="1" ht="13" x14ac:dyDescent="0.3">
      <c r="A10" s="71"/>
      <c r="B10" s="67" t="s">
        <v>161</v>
      </c>
      <c r="C10" s="62">
        <f t="shared" si="0"/>
        <v>15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1</v>
      </c>
      <c r="P10" s="68">
        <v>1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1</v>
      </c>
      <c r="W10" s="68">
        <v>2</v>
      </c>
      <c r="X10" s="68">
        <v>2</v>
      </c>
      <c r="Y10" s="68">
        <v>1</v>
      </c>
      <c r="Z10" s="68">
        <v>2</v>
      </c>
      <c r="AA10" s="68">
        <v>0</v>
      </c>
      <c r="AB10" s="68">
        <v>0</v>
      </c>
      <c r="AC10" s="68">
        <v>0</v>
      </c>
      <c r="AD10" s="68">
        <v>1</v>
      </c>
      <c r="AE10" s="68">
        <v>0</v>
      </c>
      <c r="AF10" s="68">
        <v>0</v>
      </c>
      <c r="AG10" s="68">
        <v>0</v>
      </c>
      <c r="AH10" s="68">
        <v>1</v>
      </c>
      <c r="AI10" s="68">
        <v>1</v>
      </c>
      <c r="AJ10" s="68">
        <v>0</v>
      </c>
      <c r="AK10" s="68">
        <v>0</v>
      </c>
      <c r="AL10" s="68">
        <v>0</v>
      </c>
      <c r="AM10" s="68">
        <v>0</v>
      </c>
      <c r="AN10" s="68">
        <v>0</v>
      </c>
      <c r="AO10" s="68">
        <v>0</v>
      </c>
      <c r="AP10" s="68">
        <v>0</v>
      </c>
      <c r="AQ10" s="68">
        <v>1</v>
      </c>
      <c r="AR10" s="68">
        <v>0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1</v>
      </c>
      <c r="BB10" s="68">
        <v>0</v>
      </c>
      <c r="BC10" s="68">
        <v>0</v>
      </c>
      <c r="BD10" s="68">
        <v>0</v>
      </c>
    </row>
    <row r="11" spans="1:56" s="68" customFormat="1" ht="16.5" customHeight="1" x14ac:dyDescent="0.3">
      <c r="A11" s="71"/>
      <c r="B11" s="67" t="s">
        <v>9</v>
      </c>
      <c r="C11" s="62">
        <f t="shared" si="0"/>
        <v>2533241935.483871</v>
      </c>
      <c r="D11" s="68">
        <v>29100000</v>
      </c>
      <c r="E11" s="68">
        <v>54090322.580645159</v>
      </c>
      <c r="F11" s="68">
        <v>53100000</v>
      </c>
      <c r="G11" s="68">
        <v>80529032.258064508</v>
      </c>
      <c r="H11" s="68">
        <v>55300000</v>
      </c>
      <c r="I11" s="68">
        <v>40300000</v>
      </c>
      <c r="J11" s="68">
        <v>44800000</v>
      </c>
      <c r="K11" s="68">
        <v>27800000</v>
      </c>
      <c r="L11" s="68">
        <v>87300000</v>
      </c>
      <c r="M11" s="68">
        <v>78200000</v>
      </c>
      <c r="N11" s="68">
        <v>54550000</v>
      </c>
      <c r="O11" s="68">
        <v>57922580.645161293</v>
      </c>
      <c r="P11" s="68">
        <v>66093548.387096778</v>
      </c>
      <c r="Q11" s="68">
        <v>39600000</v>
      </c>
      <c r="R11" s="68">
        <v>54500000</v>
      </c>
      <c r="S11" s="68">
        <v>37600000</v>
      </c>
      <c r="T11" s="68">
        <v>20100000</v>
      </c>
      <c r="U11" s="68">
        <v>71250000</v>
      </c>
      <c r="V11" s="68">
        <v>36664516.129032254</v>
      </c>
      <c r="W11" s="68">
        <v>33570967.741935484</v>
      </c>
      <c r="X11" s="68">
        <v>21506451.612903226</v>
      </c>
      <c r="Y11" s="68">
        <v>20000000</v>
      </c>
      <c r="Z11" s="68">
        <v>46100000</v>
      </c>
      <c r="AA11" s="68">
        <v>51012903.225806452</v>
      </c>
      <c r="AB11" s="68">
        <v>18800000</v>
      </c>
      <c r="AC11" s="68">
        <v>32000000</v>
      </c>
      <c r="AD11" s="68">
        <v>42700000</v>
      </c>
      <c r="AE11" s="68">
        <v>16800000</v>
      </c>
      <c r="AF11" s="68">
        <v>45083870.967741936</v>
      </c>
      <c r="AG11" s="68">
        <v>42200000</v>
      </c>
      <c r="AH11" s="68">
        <v>44900000</v>
      </c>
      <c r="AI11" s="68">
        <v>13832258.064516131</v>
      </c>
      <c r="AJ11" s="68">
        <v>71243548.387096778</v>
      </c>
      <c r="AK11" s="68">
        <v>48000000</v>
      </c>
      <c r="AL11" s="68">
        <v>42900000</v>
      </c>
      <c r="AM11" s="68">
        <v>60950000</v>
      </c>
      <c r="AN11" s="68">
        <v>25900000</v>
      </c>
      <c r="AO11" s="68">
        <v>19400000</v>
      </c>
      <c r="AP11" s="68">
        <v>42000000</v>
      </c>
      <c r="AQ11" s="68">
        <v>94550000</v>
      </c>
      <c r="AR11" s="68">
        <v>35100000</v>
      </c>
      <c r="AS11" s="68">
        <v>68600000</v>
      </c>
      <c r="AT11" s="68">
        <v>129843548.38709678</v>
      </c>
      <c r="AU11" s="68">
        <v>18000000</v>
      </c>
      <c r="AV11" s="68">
        <v>34600000</v>
      </c>
      <c r="AW11" s="68">
        <v>32400000</v>
      </c>
      <c r="AX11" s="68">
        <v>30000000</v>
      </c>
      <c r="AY11" s="68">
        <v>74022580.645161286</v>
      </c>
      <c r="AZ11" s="68">
        <v>67800000</v>
      </c>
      <c r="BA11" s="68">
        <v>36700000</v>
      </c>
      <c r="BB11" s="68">
        <v>31400000</v>
      </c>
      <c r="BC11" s="68">
        <v>52100000</v>
      </c>
      <c r="BD11" s="68">
        <v>100425806.4516129</v>
      </c>
    </row>
    <row r="12" spans="1:56" s="68" customFormat="1" ht="13" x14ac:dyDescent="0.3">
      <c r="A12" s="128" t="s">
        <v>10</v>
      </c>
      <c r="B12" s="69" t="s">
        <v>11</v>
      </c>
      <c r="C12" s="62">
        <f t="shared" si="0"/>
        <v>297899300</v>
      </c>
      <c r="D12" s="68">
        <v>2424000</v>
      </c>
      <c r="E12" s="68">
        <v>5600000</v>
      </c>
      <c r="F12" s="68">
        <v>6400000</v>
      </c>
      <c r="G12" s="68">
        <v>11484000</v>
      </c>
      <c r="H12" s="68">
        <v>6336000</v>
      </c>
      <c r="I12" s="68">
        <v>4856000</v>
      </c>
      <c r="J12" s="68">
        <v>6828000</v>
      </c>
      <c r="K12" s="68">
        <v>3508000</v>
      </c>
      <c r="L12" s="68">
        <v>8776000</v>
      </c>
      <c r="M12" s="68">
        <v>9052000</v>
      </c>
      <c r="N12" s="68">
        <v>7673800</v>
      </c>
      <c r="O12" s="68">
        <v>6216000</v>
      </c>
      <c r="P12" s="68">
        <v>8512000</v>
      </c>
      <c r="Q12" s="68">
        <v>4588000</v>
      </c>
      <c r="R12" s="68">
        <v>6608000</v>
      </c>
      <c r="S12" s="68">
        <v>4232000</v>
      </c>
      <c r="T12" s="68">
        <v>1680000</v>
      </c>
      <c r="U12" s="68">
        <v>7860000</v>
      </c>
      <c r="V12" s="68">
        <v>3672000</v>
      </c>
      <c r="W12" s="68">
        <v>4080000</v>
      </c>
      <c r="X12" s="68">
        <v>2588000</v>
      </c>
      <c r="Y12" s="68">
        <v>4236000</v>
      </c>
      <c r="Z12" s="68">
        <v>10716000</v>
      </c>
      <c r="AA12" s="68">
        <v>8352000</v>
      </c>
      <c r="AB12" s="68">
        <v>1316000</v>
      </c>
      <c r="AC12" s="68">
        <v>4338800</v>
      </c>
      <c r="AD12" s="68">
        <v>8476600</v>
      </c>
      <c r="AE12" s="68">
        <f>1724000+504000</f>
        <v>2228000</v>
      </c>
      <c r="AF12" s="68">
        <v>5384000</v>
      </c>
      <c r="AG12" s="68">
        <v>5157600</v>
      </c>
      <c r="AH12" s="68">
        <v>5649600</v>
      </c>
      <c r="AI12" s="68">
        <v>1706000</v>
      </c>
      <c r="AJ12" s="68">
        <v>9641500</v>
      </c>
      <c r="AK12" s="68">
        <v>4164000</v>
      </c>
      <c r="AL12" s="68">
        <v>5540000</v>
      </c>
      <c r="AM12" s="68">
        <v>5970200</v>
      </c>
      <c r="AN12" s="68">
        <v>2244000</v>
      </c>
      <c r="AO12" s="68">
        <v>3017000</v>
      </c>
      <c r="AP12" s="68">
        <v>4916000</v>
      </c>
      <c r="AQ12" s="68">
        <v>12767100</v>
      </c>
      <c r="AR12" s="68">
        <v>3228000</v>
      </c>
      <c r="AS12" s="68">
        <v>6872000</v>
      </c>
      <c r="AT12" s="68">
        <v>13008000</v>
      </c>
      <c r="AU12" s="68">
        <v>1764000</v>
      </c>
      <c r="AV12" s="68">
        <v>3024000</v>
      </c>
      <c r="AW12" s="68">
        <v>3166400</v>
      </c>
      <c r="AX12" s="68">
        <v>4204000</v>
      </c>
      <c r="AY12" s="68">
        <v>5324000</v>
      </c>
      <c r="AZ12" s="68">
        <v>8692000</v>
      </c>
      <c r="BA12" s="68">
        <v>4983200</v>
      </c>
      <c r="BB12" s="68">
        <v>3703500</v>
      </c>
      <c r="BC12" s="68">
        <v>4508000</v>
      </c>
      <c r="BD12" s="68">
        <v>6628000</v>
      </c>
    </row>
    <row r="13" spans="1:56" s="68" customFormat="1" ht="13" x14ac:dyDescent="0.3">
      <c r="A13" s="129"/>
      <c r="B13" s="69" t="s">
        <v>12</v>
      </c>
      <c r="C13" s="62">
        <f t="shared" si="0"/>
        <v>130940580.64516129</v>
      </c>
      <c r="D13" s="68">
        <v>1675000</v>
      </c>
      <c r="E13" s="68">
        <v>2554838.7096774192</v>
      </c>
      <c r="F13" s="68">
        <v>2580000</v>
      </c>
      <c r="G13" s="68">
        <v>5760000</v>
      </c>
      <c r="H13" s="68">
        <v>2790000</v>
      </c>
      <c r="I13" s="68">
        <v>2315000</v>
      </c>
      <c r="J13" s="68">
        <v>2400000</v>
      </c>
      <c r="K13" s="68">
        <v>1515000</v>
      </c>
      <c r="L13" s="68">
        <v>3950000</v>
      </c>
      <c r="M13" s="68">
        <v>4615000</v>
      </c>
      <c r="N13" s="68">
        <v>2875000</v>
      </c>
      <c r="O13" s="68">
        <v>2709032.2580645159</v>
      </c>
      <c r="P13" s="68">
        <v>4555806.4516129028</v>
      </c>
      <c r="Q13" s="68">
        <v>1875000</v>
      </c>
      <c r="R13" s="68">
        <v>2625000</v>
      </c>
      <c r="S13" s="68">
        <v>1805000</v>
      </c>
      <c r="T13" s="68">
        <v>1560000</v>
      </c>
      <c r="U13" s="68">
        <v>2740000</v>
      </c>
      <c r="V13" s="68">
        <v>1215000</v>
      </c>
      <c r="W13" s="68">
        <v>1120000</v>
      </c>
      <c r="X13" s="68">
        <v>1300000</v>
      </c>
      <c r="Y13" s="68">
        <v>1600000</v>
      </c>
      <c r="Z13" s="68">
        <v>2940000</v>
      </c>
      <c r="AA13" s="68">
        <v>2907096.7741935486</v>
      </c>
      <c r="AB13" s="68">
        <v>920000</v>
      </c>
      <c r="AC13" s="68">
        <v>1815000</v>
      </c>
      <c r="AD13" s="68">
        <v>2725000</v>
      </c>
      <c r="AE13" s="68">
        <v>960000</v>
      </c>
      <c r="AF13" s="68">
        <v>1820000</v>
      </c>
      <c r="AG13" s="68">
        <v>2645000</v>
      </c>
      <c r="AH13" s="68">
        <v>3180000</v>
      </c>
      <c r="AI13" s="68">
        <v>994193.54838709673</v>
      </c>
      <c r="AJ13" s="68">
        <v>4090000</v>
      </c>
      <c r="AK13" s="68">
        <v>1880000</v>
      </c>
      <c r="AL13" s="68">
        <v>2920000</v>
      </c>
      <c r="AM13" s="68">
        <v>3465000</v>
      </c>
      <c r="AN13" s="68">
        <v>1320000</v>
      </c>
      <c r="AO13" s="68">
        <v>1440000</v>
      </c>
      <c r="AP13" s="68">
        <v>2500000</v>
      </c>
      <c r="AQ13" s="68">
        <v>5170000</v>
      </c>
      <c r="AR13" s="68">
        <v>1255000</v>
      </c>
      <c r="AS13" s="68">
        <v>2785000</v>
      </c>
      <c r="AT13" s="68">
        <v>4935000</v>
      </c>
      <c r="AU13" s="68">
        <v>1006451.6129032258</v>
      </c>
      <c r="AV13" s="68">
        <v>2100000</v>
      </c>
      <c r="AW13" s="68">
        <v>1680000</v>
      </c>
      <c r="AX13" s="68">
        <v>2095000</v>
      </c>
      <c r="AY13" s="68">
        <v>3165161.2903225808</v>
      </c>
      <c r="AZ13" s="68">
        <v>3715000</v>
      </c>
      <c r="BA13" s="68">
        <v>2445000</v>
      </c>
      <c r="BB13" s="68">
        <v>1760000</v>
      </c>
      <c r="BC13" s="68">
        <v>1730000</v>
      </c>
      <c r="BD13" s="68">
        <v>2443000</v>
      </c>
    </row>
    <row r="14" spans="1:56" s="68" customFormat="1" ht="13" x14ac:dyDescent="0.3">
      <c r="A14" s="129"/>
      <c r="B14" s="69" t="s">
        <v>13</v>
      </c>
      <c r="C14" s="62">
        <f t="shared" si="0"/>
        <v>62896827.956989244</v>
      </c>
      <c r="D14" s="68">
        <v>780000</v>
      </c>
      <c r="E14" s="68">
        <v>1417419.3548387096</v>
      </c>
      <c r="F14" s="68">
        <v>1260000</v>
      </c>
      <c r="G14" s="68">
        <v>2355000</v>
      </c>
      <c r="H14" s="68">
        <v>1380000</v>
      </c>
      <c r="I14" s="68">
        <v>870000</v>
      </c>
      <c r="J14" s="68">
        <v>870000</v>
      </c>
      <c r="K14" s="68">
        <v>570000</v>
      </c>
      <c r="L14" s="68">
        <v>1830000</v>
      </c>
      <c r="M14" s="68">
        <v>2745000</v>
      </c>
      <c r="N14" s="68">
        <v>1470000</v>
      </c>
      <c r="O14" s="68">
        <v>1364516.1290322579</v>
      </c>
      <c r="P14" s="68">
        <v>1862903.2258064516</v>
      </c>
      <c r="Q14" s="68">
        <v>840000</v>
      </c>
      <c r="R14" s="68">
        <v>960000</v>
      </c>
      <c r="S14" s="68">
        <v>630000</v>
      </c>
      <c r="T14" s="68">
        <v>450000</v>
      </c>
      <c r="U14" s="68">
        <v>1748709.6774193547</v>
      </c>
      <c r="V14" s="68">
        <v>654193.54838709673</v>
      </c>
      <c r="W14" s="68">
        <v>942096.77419354836</v>
      </c>
      <c r="X14" s="68">
        <v>544838.70967741939</v>
      </c>
      <c r="Y14" s="68">
        <v>600000</v>
      </c>
      <c r="Z14" s="68">
        <v>1410000</v>
      </c>
      <c r="AA14" s="68">
        <v>1453548.3870967743</v>
      </c>
      <c r="AB14" s="68">
        <v>395000</v>
      </c>
      <c r="AC14" s="68">
        <v>1005000</v>
      </c>
      <c r="AD14" s="68">
        <v>1410000</v>
      </c>
      <c r="AE14" s="68">
        <v>430000</v>
      </c>
      <c r="AF14" s="68">
        <v>844623.65591397858</v>
      </c>
      <c r="AG14" s="68">
        <v>1300000</v>
      </c>
      <c r="AH14" s="68">
        <v>1330000</v>
      </c>
      <c r="AI14" s="68">
        <v>447096.77419354836</v>
      </c>
      <c r="AJ14" s="68">
        <v>1710000</v>
      </c>
      <c r="AK14" s="68">
        <v>953333.33333333337</v>
      </c>
      <c r="AL14" s="68">
        <v>1265000</v>
      </c>
      <c r="AM14" s="68">
        <v>1470000</v>
      </c>
      <c r="AN14" s="68">
        <v>630000</v>
      </c>
      <c r="AO14" s="68">
        <v>720000</v>
      </c>
      <c r="AP14" s="68">
        <v>1740000</v>
      </c>
      <c r="AQ14" s="68">
        <v>2150000</v>
      </c>
      <c r="AR14" s="68">
        <v>750000</v>
      </c>
      <c r="AS14" s="68">
        <v>1440000</v>
      </c>
      <c r="AT14" s="68">
        <v>1815161.2903225806</v>
      </c>
      <c r="AU14" s="68">
        <v>503225.80645161291</v>
      </c>
      <c r="AV14" s="68">
        <v>990000</v>
      </c>
      <c r="AW14" s="68">
        <v>840000</v>
      </c>
      <c r="AX14" s="68">
        <v>1140000</v>
      </c>
      <c r="AY14" s="68">
        <v>2005161.2903225806</v>
      </c>
      <c r="AZ14" s="68">
        <v>1955000</v>
      </c>
      <c r="BA14" s="68">
        <v>960000</v>
      </c>
      <c r="BB14" s="68">
        <v>840000</v>
      </c>
      <c r="BC14" s="68">
        <v>810000</v>
      </c>
      <c r="BD14" s="68">
        <v>2040000</v>
      </c>
    </row>
    <row r="15" spans="1:56" s="68" customFormat="1" ht="13" x14ac:dyDescent="0.3">
      <c r="A15" s="129"/>
      <c r="B15" s="69" t="s">
        <v>14</v>
      </c>
      <c r="C15" s="62">
        <f t="shared" si="0"/>
        <v>56958709.677419357</v>
      </c>
      <c r="D15" s="68">
        <v>700000</v>
      </c>
      <c r="E15" s="68">
        <v>1464516.1290322582</v>
      </c>
      <c r="F15" s="68">
        <v>1100000</v>
      </c>
      <c r="G15" s="68">
        <v>2600000</v>
      </c>
      <c r="H15" s="68">
        <v>1100000</v>
      </c>
      <c r="I15" s="68">
        <v>1100000</v>
      </c>
      <c r="J15" s="68">
        <v>1300000</v>
      </c>
      <c r="K15" s="68">
        <v>1000000</v>
      </c>
      <c r="L15" s="68">
        <v>1900000</v>
      </c>
      <c r="M15" s="68">
        <v>1400000</v>
      </c>
      <c r="N15" s="68">
        <v>1400000</v>
      </c>
      <c r="O15" s="68">
        <v>1287096.7741935484</v>
      </c>
      <c r="P15" s="68">
        <v>1654838.7096774194</v>
      </c>
      <c r="Q15" s="68">
        <v>900000</v>
      </c>
      <c r="R15" s="68">
        <v>1000000</v>
      </c>
      <c r="S15" s="68">
        <v>800000</v>
      </c>
      <c r="T15" s="68">
        <v>900000</v>
      </c>
      <c r="U15" s="68">
        <v>2064516.1290322579</v>
      </c>
      <c r="V15" s="68">
        <v>890322.58064516133</v>
      </c>
      <c r="W15" s="68">
        <v>700000</v>
      </c>
      <c r="X15" s="68">
        <v>458064.51612903224</v>
      </c>
      <c r="Y15" s="68">
        <v>400000</v>
      </c>
      <c r="Z15" s="68">
        <v>800000</v>
      </c>
      <c r="AA15" s="68">
        <v>900000</v>
      </c>
      <c r="AB15" s="68">
        <v>400000</v>
      </c>
      <c r="AC15" s="68">
        <v>800000</v>
      </c>
      <c r="AD15" s="68">
        <v>900000</v>
      </c>
      <c r="AE15" s="68">
        <v>600000</v>
      </c>
      <c r="AF15" s="68">
        <v>867741.93548387103</v>
      </c>
      <c r="AG15" s="68">
        <v>800000</v>
      </c>
      <c r="AH15" s="68">
        <v>800000</v>
      </c>
      <c r="AI15" s="68">
        <v>570967.74193548388</v>
      </c>
      <c r="AJ15" s="68">
        <v>1300000</v>
      </c>
      <c r="AK15" s="68">
        <v>820000</v>
      </c>
      <c r="AL15" s="68">
        <v>1100000</v>
      </c>
      <c r="AM15" s="68">
        <v>1600000</v>
      </c>
      <c r="AN15" s="68">
        <v>800000</v>
      </c>
      <c r="AO15" s="68">
        <v>700000</v>
      </c>
      <c r="AP15" s="68">
        <v>700000</v>
      </c>
      <c r="AQ15" s="68">
        <v>1300000</v>
      </c>
      <c r="AR15" s="68">
        <v>1000000</v>
      </c>
      <c r="AS15" s="68">
        <v>1600000</v>
      </c>
      <c r="AT15" s="68">
        <v>2470967.7419354841</v>
      </c>
      <c r="AU15" s="68">
        <v>538709.67741935479</v>
      </c>
      <c r="AV15" s="68">
        <v>900000</v>
      </c>
      <c r="AW15" s="68">
        <v>800000</v>
      </c>
      <c r="AX15" s="68">
        <v>900000</v>
      </c>
      <c r="AY15" s="68">
        <v>1770967.7419354839</v>
      </c>
      <c r="AZ15" s="68">
        <v>1000000</v>
      </c>
      <c r="BA15" s="68">
        <v>600000</v>
      </c>
      <c r="BB15" s="68">
        <v>600000</v>
      </c>
      <c r="BC15" s="68">
        <v>800000</v>
      </c>
      <c r="BD15" s="68">
        <v>2100000</v>
      </c>
    </row>
    <row r="16" spans="1:56" s="68" customFormat="1" ht="13" x14ac:dyDescent="0.3">
      <c r="A16" s="129"/>
      <c r="B16" s="69" t="s">
        <v>15</v>
      </c>
      <c r="C16" s="62">
        <f t="shared" si="0"/>
        <v>2250000</v>
      </c>
      <c r="D16" s="68">
        <v>0</v>
      </c>
      <c r="E16" s="68">
        <v>0</v>
      </c>
      <c r="F16" s="68">
        <v>150000</v>
      </c>
      <c r="G16" s="68">
        <v>0</v>
      </c>
      <c r="H16" s="68">
        <v>0</v>
      </c>
      <c r="I16" s="68">
        <v>150000</v>
      </c>
      <c r="J16" s="68">
        <v>200000</v>
      </c>
      <c r="K16" s="68">
        <v>0</v>
      </c>
      <c r="L16" s="68">
        <v>50000</v>
      </c>
      <c r="M16" s="68">
        <v>150000</v>
      </c>
      <c r="N16" s="68">
        <v>150000</v>
      </c>
      <c r="O16" s="68">
        <v>0</v>
      </c>
      <c r="P16" s="68">
        <v>0</v>
      </c>
      <c r="Q16" s="68">
        <v>0</v>
      </c>
      <c r="R16" s="68">
        <v>50000</v>
      </c>
      <c r="S16" s="68">
        <v>0</v>
      </c>
      <c r="T16" s="68">
        <v>0</v>
      </c>
      <c r="U16" s="68">
        <v>50000</v>
      </c>
      <c r="V16" s="68">
        <v>0</v>
      </c>
      <c r="W16" s="68">
        <v>0</v>
      </c>
      <c r="X16" s="68">
        <v>200000</v>
      </c>
      <c r="Y16" s="68">
        <v>0</v>
      </c>
      <c r="Z16" s="68">
        <v>0</v>
      </c>
      <c r="AA16" s="68">
        <v>150000</v>
      </c>
      <c r="AB16" s="68">
        <v>0</v>
      </c>
      <c r="AC16" s="68">
        <v>0</v>
      </c>
      <c r="AD16" s="68">
        <v>0</v>
      </c>
      <c r="AE16" s="68">
        <v>0</v>
      </c>
      <c r="AF16" s="68">
        <v>50000</v>
      </c>
      <c r="AG16" s="68">
        <v>0</v>
      </c>
      <c r="AH16" s="68">
        <v>0</v>
      </c>
      <c r="AI16" s="68">
        <v>0</v>
      </c>
      <c r="AJ16" s="68">
        <v>0</v>
      </c>
      <c r="AK16" s="68">
        <v>0</v>
      </c>
      <c r="AL16" s="68">
        <v>0</v>
      </c>
      <c r="AM16" s="68">
        <v>0</v>
      </c>
      <c r="AN16" s="68">
        <v>0</v>
      </c>
      <c r="AO16" s="68">
        <v>0</v>
      </c>
      <c r="AP16" s="68">
        <v>0</v>
      </c>
      <c r="AQ16" s="68">
        <v>0</v>
      </c>
      <c r="AR16" s="68">
        <v>0</v>
      </c>
      <c r="AS16" s="68">
        <v>0</v>
      </c>
      <c r="AT16" s="68">
        <v>0</v>
      </c>
      <c r="AU16" s="68">
        <v>0</v>
      </c>
      <c r="AV16" s="68">
        <v>0</v>
      </c>
      <c r="AW16" s="68">
        <v>150000</v>
      </c>
      <c r="AX16" s="68">
        <v>0</v>
      </c>
      <c r="AY16" s="68">
        <v>450000</v>
      </c>
      <c r="AZ16" s="68">
        <v>0</v>
      </c>
      <c r="BA16" s="68">
        <v>0</v>
      </c>
      <c r="BB16" s="68">
        <v>150000</v>
      </c>
      <c r="BC16" s="68">
        <v>0</v>
      </c>
      <c r="BD16" s="68">
        <v>150000</v>
      </c>
    </row>
    <row r="17" spans="1:58" s="68" customFormat="1" ht="13" x14ac:dyDescent="0.3">
      <c r="A17" s="129"/>
      <c r="B17" s="69" t="s">
        <v>16</v>
      </c>
      <c r="C17" s="62">
        <f t="shared" si="0"/>
        <v>32341763.440860216</v>
      </c>
      <c r="D17" s="68">
        <v>0</v>
      </c>
      <c r="E17" s="68">
        <v>0</v>
      </c>
      <c r="F17" s="68">
        <v>0</v>
      </c>
      <c r="G17" s="68">
        <v>676000</v>
      </c>
      <c r="H17" s="68">
        <v>0</v>
      </c>
      <c r="I17" s="68">
        <v>0</v>
      </c>
      <c r="J17" s="68">
        <v>0</v>
      </c>
      <c r="K17" s="68">
        <v>0</v>
      </c>
      <c r="L17" s="68">
        <v>1750000</v>
      </c>
      <c r="M17" s="68">
        <v>2100000</v>
      </c>
      <c r="N17" s="68">
        <v>0</v>
      </c>
      <c r="O17" s="68">
        <v>1424516.1290322579</v>
      </c>
      <c r="P17" s="68">
        <v>1192903.2258064516</v>
      </c>
      <c r="Q17" s="68">
        <v>750000</v>
      </c>
      <c r="R17" s="68">
        <v>1250000</v>
      </c>
      <c r="S17" s="68">
        <v>690000</v>
      </c>
      <c r="T17" s="68">
        <v>1152000</v>
      </c>
      <c r="U17" s="68">
        <v>1582258.064516129</v>
      </c>
      <c r="V17" s="68">
        <v>545161.29032258061</v>
      </c>
      <c r="W17" s="68">
        <v>572580.6451612903</v>
      </c>
      <c r="X17" s="68">
        <v>0</v>
      </c>
      <c r="Y17" s="68">
        <v>0</v>
      </c>
      <c r="Z17" s="68">
        <v>900000</v>
      </c>
      <c r="AA17" s="68">
        <v>0</v>
      </c>
      <c r="AB17" s="68">
        <v>660000</v>
      </c>
      <c r="AC17" s="68">
        <v>500000</v>
      </c>
      <c r="AD17" s="68">
        <v>1110000</v>
      </c>
      <c r="AE17" s="68">
        <v>0</v>
      </c>
      <c r="AF17" s="68">
        <v>981075.26881720428</v>
      </c>
      <c r="AG17" s="68">
        <v>1000000</v>
      </c>
      <c r="AH17" s="68">
        <v>0</v>
      </c>
      <c r="AI17" s="68">
        <v>0</v>
      </c>
      <c r="AJ17" s="68">
        <v>1450000</v>
      </c>
      <c r="AK17" s="68">
        <v>1103333.3333333335</v>
      </c>
      <c r="AL17" s="68">
        <v>0</v>
      </c>
      <c r="AM17" s="68">
        <v>0</v>
      </c>
      <c r="AN17" s="68">
        <v>0</v>
      </c>
      <c r="AO17" s="68">
        <v>0</v>
      </c>
      <c r="AP17" s="68">
        <v>1450000</v>
      </c>
      <c r="AQ17" s="68">
        <v>1400000</v>
      </c>
      <c r="AR17" s="68">
        <v>0</v>
      </c>
      <c r="AS17" s="68">
        <v>1250000</v>
      </c>
      <c r="AT17" s="68">
        <v>1630967.7419354839</v>
      </c>
      <c r="AU17" s="68">
        <v>0</v>
      </c>
      <c r="AV17" s="68">
        <v>0</v>
      </c>
      <c r="AW17" s="68">
        <v>0</v>
      </c>
      <c r="AX17" s="68">
        <v>0</v>
      </c>
      <c r="AY17" s="68">
        <v>1120967.7419354839</v>
      </c>
      <c r="AZ17" s="68">
        <v>1650000</v>
      </c>
      <c r="BA17" s="68">
        <v>0</v>
      </c>
      <c r="BB17" s="68">
        <v>0</v>
      </c>
      <c r="BC17" s="68">
        <v>750000</v>
      </c>
      <c r="BD17" s="68">
        <v>1700000</v>
      </c>
    </row>
    <row r="18" spans="1:58" s="68" customFormat="1" ht="13" x14ac:dyDescent="0.3">
      <c r="A18" s="129"/>
      <c r="B18" s="121" t="s">
        <v>17</v>
      </c>
      <c r="C18" s="62">
        <f t="shared" si="0"/>
        <v>65106827.956989244</v>
      </c>
      <c r="D18" s="68">
        <v>840000</v>
      </c>
      <c r="E18" s="68">
        <v>1387419.3548387096</v>
      </c>
      <c r="F18" s="68">
        <v>1320000</v>
      </c>
      <c r="G18" s="68">
        <v>3135000</v>
      </c>
      <c r="H18" s="68">
        <v>1860000</v>
      </c>
      <c r="I18" s="68">
        <v>720000</v>
      </c>
      <c r="J18" s="68">
        <v>870000</v>
      </c>
      <c r="K18" s="68">
        <v>960000</v>
      </c>
      <c r="L18" s="68">
        <v>1490000</v>
      </c>
      <c r="M18" s="68">
        <v>2745000</v>
      </c>
      <c r="N18" s="68">
        <v>1770000</v>
      </c>
      <c r="O18" s="68">
        <v>1424516.1290322579</v>
      </c>
      <c r="P18" s="68">
        <v>2012903.2258064516</v>
      </c>
      <c r="Q18" s="68">
        <v>1020000</v>
      </c>
      <c r="R18" s="68">
        <v>870000</v>
      </c>
      <c r="S18" s="68">
        <v>960000</v>
      </c>
      <c r="T18" s="68">
        <v>660000</v>
      </c>
      <c r="U18" s="68">
        <v>1868709.6774193547</v>
      </c>
      <c r="V18" s="68">
        <v>654193.54838709673</v>
      </c>
      <c r="W18" s="68">
        <v>942096.77419354836</v>
      </c>
      <c r="X18" s="68">
        <v>214838.70967741936</v>
      </c>
      <c r="Y18" s="68">
        <v>750000</v>
      </c>
      <c r="Z18" s="68">
        <v>1330000</v>
      </c>
      <c r="AA18" s="68">
        <v>1453548.3870967743</v>
      </c>
      <c r="AB18" s="68">
        <v>395000</v>
      </c>
      <c r="AC18" s="68">
        <v>1005000</v>
      </c>
      <c r="AD18" s="68">
        <v>1320000</v>
      </c>
      <c r="AE18" s="68">
        <v>430000</v>
      </c>
      <c r="AF18" s="68">
        <v>844623.65591397858</v>
      </c>
      <c r="AG18" s="68">
        <v>1300000</v>
      </c>
      <c r="AH18" s="68">
        <v>1290000</v>
      </c>
      <c r="AI18" s="68">
        <v>447096.77419354836</v>
      </c>
      <c r="AJ18" s="68">
        <v>2130000</v>
      </c>
      <c r="AK18" s="68">
        <v>1093333.3333333335</v>
      </c>
      <c r="AL18" s="68">
        <v>1265000</v>
      </c>
      <c r="AM18" s="68">
        <v>1410000</v>
      </c>
      <c r="AN18" s="68">
        <v>630000</v>
      </c>
      <c r="AO18" s="68">
        <v>720000</v>
      </c>
      <c r="AP18" s="68">
        <v>1740000</v>
      </c>
      <c r="AQ18" s="68">
        <v>1590000</v>
      </c>
      <c r="AR18" s="68">
        <v>750000</v>
      </c>
      <c r="AS18" s="68">
        <v>1590000</v>
      </c>
      <c r="AT18" s="68">
        <v>1815161.2903225806</v>
      </c>
      <c r="AU18" s="68">
        <v>503225.80645161291</v>
      </c>
      <c r="AV18" s="68">
        <v>990000</v>
      </c>
      <c r="AW18" s="68">
        <v>840000</v>
      </c>
      <c r="AX18" s="68">
        <v>1140000</v>
      </c>
      <c r="AY18" s="68">
        <v>2005161.2903225806</v>
      </c>
      <c r="AZ18" s="68">
        <v>1955000</v>
      </c>
      <c r="BA18" s="68">
        <v>960000</v>
      </c>
      <c r="BB18" s="68">
        <v>840000</v>
      </c>
      <c r="BC18" s="68">
        <v>810000</v>
      </c>
      <c r="BD18" s="68">
        <v>2040000</v>
      </c>
    </row>
    <row r="19" spans="1:58" s="68" customFormat="1" ht="13" x14ac:dyDescent="0.3">
      <c r="A19" s="130"/>
      <c r="B19" s="80" t="s">
        <v>18</v>
      </c>
      <c r="C19" s="62">
        <f>SUM(C12:C18)</f>
        <v>648394009.67741942</v>
      </c>
      <c r="D19" s="81">
        <f t="shared" ref="D19:R19" si="1">SUM(D12:D18)</f>
        <v>6419000</v>
      </c>
      <c r="E19" s="81">
        <f t="shared" si="1"/>
        <v>12424193.548387097</v>
      </c>
      <c r="F19" s="81">
        <f t="shared" si="1"/>
        <v>12810000</v>
      </c>
      <c r="G19" s="81">
        <f t="shared" si="1"/>
        <v>26010000</v>
      </c>
      <c r="H19" s="81">
        <f t="shared" si="1"/>
        <v>13466000</v>
      </c>
      <c r="I19" s="81">
        <f t="shared" si="1"/>
        <v>10011000</v>
      </c>
      <c r="J19" s="81">
        <f t="shared" si="1"/>
        <v>12468000</v>
      </c>
      <c r="K19" s="81">
        <f t="shared" si="1"/>
        <v>7553000</v>
      </c>
      <c r="L19" s="81">
        <f t="shared" si="1"/>
        <v>19746000</v>
      </c>
      <c r="M19" s="81">
        <f t="shared" si="1"/>
        <v>22807000</v>
      </c>
      <c r="N19" s="81">
        <f t="shared" si="1"/>
        <v>15338800</v>
      </c>
      <c r="O19" s="81">
        <f t="shared" si="1"/>
        <v>14425677.419354837</v>
      </c>
      <c r="P19" s="81">
        <f t="shared" si="1"/>
        <v>19791354.838709679</v>
      </c>
      <c r="Q19" s="81">
        <f t="shared" si="1"/>
        <v>9973000</v>
      </c>
      <c r="R19" s="81">
        <f t="shared" si="1"/>
        <v>13363000</v>
      </c>
      <c r="S19" s="81">
        <f>SUM(S12:S18)</f>
        <v>9117000</v>
      </c>
      <c r="T19" s="81">
        <f>SUM(T12:T18)</f>
        <v>6402000</v>
      </c>
      <c r="U19" s="81">
        <f>SUM(U12:U18)</f>
        <v>17914193.548387095</v>
      </c>
      <c r="V19" s="81">
        <f>SUM(V12:V18)</f>
        <v>7630870.9677419364</v>
      </c>
      <c r="W19" s="81">
        <f t="shared" ref="W19:AC19" si="2">SUM(W12:W18)</f>
        <v>8356774.1935483878</v>
      </c>
      <c r="X19" s="81">
        <f t="shared" si="2"/>
        <v>5305741.935483872</v>
      </c>
      <c r="Y19" s="81">
        <f t="shared" si="2"/>
        <v>7586000</v>
      </c>
      <c r="Z19" s="81">
        <f t="shared" si="2"/>
        <v>18096000</v>
      </c>
      <c r="AA19" s="81">
        <f t="shared" si="2"/>
        <v>15216193.548387095</v>
      </c>
      <c r="AB19" s="81">
        <f t="shared" si="2"/>
        <v>4086000</v>
      </c>
      <c r="AC19" s="81">
        <f t="shared" si="2"/>
        <v>9463800</v>
      </c>
      <c r="AD19" s="81">
        <f>SUM(AD12:AD18)</f>
        <v>15941600</v>
      </c>
      <c r="AE19" s="81">
        <f>SUM(AE12:AE18)</f>
        <v>4648000</v>
      </c>
      <c r="AF19" s="81">
        <f t="shared" ref="AF19:BD19" si="3">SUM(AF12:AF18)</f>
        <v>10792064.516129034</v>
      </c>
      <c r="AG19" s="81">
        <f t="shared" si="3"/>
        <v>12202600</v>
      </c>
      <c r="AH19" s="81">
        <f t="shared" si="3"/>
        <v>12249600</v>
      </c>
      <c r="AI19" s="81">
        <f t="shared" si="3"/>
        <v>4165354.8387096776</v>
      </c>
      <c r="AJ19" s="81">
        <f t="shared" si="3"/>
        <v>20321500</v>
      </c>
      <c r="AK19" s="81">
        <f t="shared" si="3"/>
        <v>10014000</v>
      </c>
      <c r="AL19" s="81">
        <f t="shared" si="3"/>
        <v>12090000</v>
      </c>
      <c r="AM19" s="81">
        <f t="shared" si="3"/>
        <v>13915200</v>
      </c>
      <c r="AN19" s="81">
        <f t="shared" si="3"/>
        <v>5624000</v>
      </c>
      <c r="AO19" s="81">
        <f t="shared" si="3"/>
        <v>6597000</v>
      </c>
      <c r="AP19" s="81">
        <f t="shared" si="3"/>
        <v>13046000</v>
      </c>
      <c r="AQ19" s="81">
        <f t="shared" si="3"/>
        <v>24377100</v>
      </c>
      <c r="AR19" s="81">
        <f t="shared" si="3"/>
        <v>6983000</v>
      </c>
      <c r="AS19" s="81">
        <f t="shared" ref="AS19:BC19" si="4">SUM(AS12:AS18)</f>
        <v>15537000</v>
      </c>
      <c r="AT19" s="81">
        <f t="shared" si="4"/>
        <v>25675258.064516127</v>
      </c>
      <c r="AU19" s="81">
        <f t="shared" si="4"/>
        <v>4315612.9032258065</v>
      </c>
      <c r="AV19" s="81">
        <f t="shared" si="4"/>
        <v>8004000</v>
      </c>
      <c r="AW19" s="81">
        <f t="shared" si="4"/>
        <v>7476400</v>
      </c>
      <c r="AX19" s="81">
        <f t="shared" si="4"/>
        <v>9479000</v>
      </c>
      <c r="AY19" s="81">
        <f t="shared" si="4"/>
        <v>15841419.354838712</v>
      </c>
      <c r="AZ19" s="81">
        <f t="shared" si="4"/>
        <v>18967000</v>
      </c>
      <c r="BA19" s="81">
        <f t="shared" si="4"/>
        <v>9948200</v>
      </c>
      <c r="BB19" s="81">
        <f t="shared" si="4"/>
        <v>7893500</v>
      </c>
      <c r="BC19" s="81">
        <f t="shared" si="4"/>
        <v>9408000</v>
      </c>
      <c r="BD19" s="81">
        <f t="shared" si="3"/>
        <v>17101000</v>
      </c>
    </row>
    <row r="20" spans="1:58" s="64" customFormat="1" ht="13" x14ac:dyDescent="0.3">
      <c r="A20" s="60"/>
      <c r="B20" s="61"/>
      <c r="C20" s="62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F20" s="68"/>
    </row>
    <row r="21" spans="1:58" s="68" customFormat="1" ht="38.5" customHeight="1" x14ac:dyDescent="0.3">
      <c r="A21" s="62" t="s">
        <v>19</v>
      </c>
      <c r="B21" s="67" t="s">
        <v>20</v>
      </c>
      <c r="C21" s="67">
        <f t="shared" ref="C21:C28" si="5">SUM(D21:BD21)</f>
        <v>2066466666.666667</v>
      </c>
      <c r="D21" s="82">
        <v>24000000</v>
      </c>
      <c r="E21" s="83">
        <v>49333333.333333336</v>
      </c>
      <c r="F21" s="68">
        <v>42000000</v>
      </c>
      <c r="G21" s="82">
        <v>61100000</v>
      </c>
      <c r="H21" s="82">
        <v>45000000</v>
      </c>
      <c r="I21" s="82">
        <v>33000000</v>
      </c>
      <c r="J21" s="82">
        <v>36000000</v>
      </c>
      <c r="K21" s="82">
        <v>22000000</v>
      </c>
      <c r="L21" s="82">
        <v>73900000</v>
      </c>
      <c r="M21" s="82">
        <v>64800000</v>
      </c>
      <c r="N21" s="82">
        <v>46100000</v>
      </c>
      <c r="O21" s="82">
        <v>51000000</v>
      </c>
      <c r="P21" s="82">
        <v>61000000</v>
      </c>
      <c r="Q21" s="82">
        <v>30800000</v>
      </c>
      <c r="R21" s="82">
        <v>45000000</v>
      </c>
      <c r="S21" s="82">
        <v>25000000</v>
      </c>
      <c r="T21" s="82">
        <v>11000000</v>
      </c>
      <c r="U21" s="82">
        <v>60000000</v>
      </c>
      <c r="V21" s="82">
        <v>33000000</v>
      </c>
      <c r="W21" s="82">
        <v>38500000</v>
      </c>
      <c r="X21" s="82">
        <v>24000000</v>
      </c>
      <c r="Y21" s="82">
        <v>14000000</v>
      </c>
      <c r="Z21" s="82">
        <v>43300000</v>
      </c>
      <c r="AA21" s="82">
        <v>42000000</v>
      </c>
      <c r="AB21" s="82">
        <v>10500000</v>
      </c>
      <c r="AC21" s="82">
        <v>28500000</v>
      </c>
      <c r="AD21" s="82">
        <v>40000000</v>
      </c>
      <c r="AE21" s="82">
        <v>12500000</v>
      </c>
      <c r="AF21" s="82">
        <v>37000000</v>
      </c>
      <c r="AG21" s="82">
        <v>31666666.666666668</v>
      </c>
      <c r="AH21" s="82">
        <v>36000000</v>
      </c>
      <c r="AI21" s="82">
        <v>10000000</v>
      </c>
      <c r="AJ21" s="82">
        <v>62000000</v>
      </c>
      <c r="AK21" s="82">
        <v>37000000</v>
      </c>
      <c r="AL21" s="82">
        <v>35000000</v>
      </c>
      <c r="AM21" s="82">
        <v>50000000</v>
      </c>
      <c r="AN21" s="82">
        <v>19000000</v>
      </c>
      <c r="AO21" s="82">
        <v>10000000</v>
      </c>
      <c r="AP21" s="82">
        <v>36000000</v>
      </c>
      <c r="AQ21" s="82">
        <v>80000000</v>
      </c>
      <c r="AR21" s="82">
        <v>26000000</v>
      </c>
      <c r="AS21" s="82">
        <v>53300000</v>
      </c>
      <c r="AT21" s="82">
        <v>105000000</v>
      </c>
      <c r="AU21" s="82">
        <v>13000000</v>
      </c>
      <c r="AV21" s="82">
        <v>26666666.666666668</v>
      </c>
      <c r="AW21" s="82">
        <v>26000000</v>
      </c>
      <c r="AX21" s="82">
        <v>22000000</v>
      </c>
      <c r="AY21" s="82">
        <v>60000000</v>
      </c>
      <c r="AZ21" s="82">
        <v>50000000</v>
      </c>
      <c r="BA21" s="82">
        <v>32000000</v>
      </c>
      <c r="BB21" s="82">
        <v>16000000</v>
      </c>
      <c r="BC21" s="82">
        <v>41000000</v>
      </c>
      <c r="BD21" s="82">
        <v>84500000</v>
      </c>
    </row>
    <row r="22" spans="1:58" s="68" customFormat="1" ht="39" customHeight="1" x14ac:dyDescent="0.3">
      <c r="A22" s="84" t="s">
        <v>21</v>
      </c>
      <c r="C22" s="67">
        <f t="shared" si="5"/>
        <v>13007000</v>
      </c>
      <c r="D22" s="82"/>
      <c r="E22" s="82">
        <v>1200000</v>
      </c>
      <c r="F22" s="82"/>
      <c r="G22" s="82"/>
      <c r="H22" s="82">
        <v>1933000</v>
      </c>
      <c r="I22" s="82"/>
      <c r="J22" s="82"/>
      <c r="K22" s="82"/>
      <c r="L22" s="82"/>
      <c r="M22" s="82"/>
      <c r="N22" s="82"/>
      <c r="O22" s="82"/>
      <c r="P22" s="82"/>
      <c r="Q22" s="82"/>
      <c r="R22" s="82">
        <v>1300000</v>
      </c>
      <c r="S22" s="82"/>
      <c r="T22" s="82"/>
      <c r="U22" s="82"/>
      <c r="V22" s="82"/>
      <c r="W22" s="83"/>
      <c r="X22" s="82"/>
      <c r="Y22" s="82"/>
      <c r="Z22" s="82"/>
      <c r="AA22" s="82">
        <v>680000</v>
      </c>
      <c r="AB22" s="82"/>
      <c r="AC22" s="82"/>
      <c r="AD22" s="82"/>
      <c r="AE22" s="82"/>
      <c r="AF22" s="82"/>
      <c r="AG22" s="82"/>
      <c r="AH22" s="82">
        <v>1400000</v>
      </c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>
        <v>1500000</v>
      </c>
      <c r="AU22" s="82"/>
      <c r="AV22" s="82"/>
      <c r="AW22" s="82"/>
      <c r="AX22" s="82"/>
      <c r="AY22" s="82">
        <v>2494000</v>
      </c>
      <c r="AZ22" s="82"/>
      <c r="BA22" s="82"/>
      <c r="BB22" s="82"/>
      <c r="BC22" s="82"/>
      <c r="BD22" s="82">
        <v>2500000</v>
      </c>
    </row>
    <row r="23" spans="1:58" s="68" customFormat="1" ht="20.5" customHeight="1" x14ac:dyDescent="0.3">
      <c r="A23" s="131" t="s">
        <v>22</v>
      </c>
      <c r="B23" s="67" t="s">
        <v>23</v>
      </c>
      <c r="C23" s="67">
        <f t="shared" si="5"/>
        <v>308284578</v>
      </c>
      <c r="D23" s="82">
        <v>2048000</v>
      </c>
      <c r="E23" s="83">
        <v>4816930</v>
      </c>
      <c r="F23" s="83">
        <v>6046509</v>
      </c>
      <c r="G23" s="83">
        <v>14744096</v>
      </c>
      <c r="H23" s="82">
        <v>7412126</v>
      </c>
      <c r="I23" s="83">
        <v>4229383.6000000006</v>
      </c>
      <c r="J23" s="82">
        <v>6344075.3999999994</v>
      </c>
      <c r="K23" s="83">
        <v>6294823</v>
      </c>
      <c r="L23" s="83">
        <v>6762722</v>
      </c>
      <c r="M23" s="83">
        <v>7693207</v>
      </c>
      <c r="N23" s="82">
        <v>5860512</v>
      </c>
      <c r="O23" s="82">
        <v>8043646</v>
      </c>
      <c r="P23" s="82">
        <v>8143027</v>
      </c>
      <c r="Q23" s="82">
        <v>4675558</v>
      </c>
      <c r="R23" s="82">
        <v>5752873</v>
      </c>
      <c r="S23" s="82">
        <v>4017064</v>
      </c>
      <c r="T23" s="83">
        <v>4041533</v>
      </c>
      <c r="U23" s="82">
        <v>9381420</v>
      </c>
      <c r="V23" s="82">
        <v>2675786</v>
      </c>
      <c r="W23" s="83">
        <v>3410921</v>
      </c>
      <c r="X23" s="82">
        <v>2459973</v>
      </c>
      <c r="Y23" s="83">
        <v>4445107</v>
      </c>
      <c r="Z23" s="83">
        <v>9788083</v>
      </c>
      <c r="AA23" s="83">
        <v>4732841</v>
      </c>
      <c r="AB23" s="83">
        <v>2479550</v>
      </c>
      <c r="AC23" s="83">
        <v>5472727</v>
      </c>
      <c r="AD23" s="83">
        <v>5403248.5999999996</v>
      </c>
      <c r="AE23" s="83">
        <v>3060832.4000000004</v>
      </c>
      <c r="AF23" s="83">
        <v>4737247</v>
      </c>
      <c r="AG23" s="83">
        <v>4012394</v>
      </c>
      <c r="AH23" s="83">
        <v>5978750</v>
      </c>
      <c r="AI23" s="83">
        <v>2916756</v>
      </c>
      <c r="AJ23" s="83">
        <v>12213914</v>
      </c>
      <c r="AK23" s="83">
        <v>4444222</v>
      </c>
      <c r="AL23" s="83">
        <v>4665578</v>
      </c>
      <c r="AM23" s="83">
        <v>6221286</v>
      </c>
      <c r="AN23" s="83">
        <v>2927966</v>
      </c>
      <c r="AO23" s="83">
        <v>3349231</v>
      </c>
      <c r="AP23" s="122">
        <v>4531615</v>
      </c>
      <c r="AQ23" s="83">
        <v>10802946</v>
      </c>
      <c r="AR23" s="83">
        <v>4078910</v>
      </c>
      <c r="AS23" s="83">
        <v>6829553</v>
      </c>
      <c r="AT23" s="83">
        <v>14925147</v>
      </c>
      <c r="AU23" s="83">
        <v>1874189</v>
      </c>
      <c r="AV23" s="83">
        <v>2282515</v>
      </c>
      <c r="AW23" s="83">
        <v>3507170</v>
      </c>
      <c r="AX23" s="83">
        <v>4480790</v>
      </c>
      <c r="AY23" s="83">
        <v>8678902</v>
      </c>
      <c r="AZ23" s="83">
        <v>9792468</v>
      </c>
      <c r="BA23" s="83">
        <v>5812776</v>
      </c>
      <c r="BB23" s="83">
        <v>4151952</v>
      </c>
      <c r="BC23" s="83">
        <v>5894986</v>
      </c>
      <c r="BD23" s="83">
        <v>8936741</v>
      </c>
    </row>
    <row r="24" spans="1:58" s="68" customFormat="1" ht="20.5" customHeight="1" x14ac:dyDescent="0.3">
      <c r="A24" s="131"/>
      <c r="B24" s="68" t="s">
        <v>24</v>
      </c>
      <c r="C24" s="67">
        <f t="shared" si="5"/>
        <v>116789755</v>
      </c>
      <c r="D24" s="82">
        <v>520000</v>
      </c>
      <c r="E24" s="83">
        <v>2541500</v>
      </c>
      <c r="F24" s="83">
        <v>2972750</v>
      </c>
      <c r="G24" s="83">
        <v>60000</v>
      </c>
      <c r="H24" s="82">
        <v>6169750</v>
      </c>
      <c r="I24" s="83">
        <v>2625333.3333333335</v>
      </c>
      <c r="J24" s="82">
        <v>3108333.3333333335</v>
      </c>
      <c r="K24" s="83">
        <v>1540000</v>
      </c>
      <c r="L24" s="83">
        <v>3675000</v>
      </c>
      <c r="M24" s="83">
        <v>4173333.3333333335</v>
      </c>
      <c r="N24" s="82">
        <v>1000000</v>
      </c>
      <c r="O24" s="82">
        <v>5066900</v>
      </c>
      <c r="P24" s="82">
        <v>4183700</v>
      </c>
      <c r="Q24" s="82">
        <v>519800</v>
      </c>
      <c r="R24" s="82">
        <v>131905</v>
      </c>
      <c r="S24" s="82">
        <v>2634650</v>
      </c>
      <c r="T24" s="82">
        <v>0</v>
      </c>
      <c r="U24" s="82">
        <v>4245800</v>
      </c>
      <c r="V24" s="82">
        <v>457700</v>
      </c>
      <c r="W24" s="83">
        <v>1078700</v>
      </c>
      <c r="X24" s="82">
        <v>1948100</v>
      </c>
      <c r="Y24" s="82">
        <v>1125550</v>
      </c>
      <c r="Z24" s="83">
        <v>938000</v>
      </c>
      <c r="AA24" s="83">
        <v>3450000</v>
      </c>
      <c r="AB24" s="83">
        <v>830300</v>
      </c>
      <c r="AC24" s="83">
        <v>1575500</v>
      </c>
      <c r="AD24" s="83">
        <v>2156970</v>
      </c>
      <c r="AE24" s="83">
        <v>1437980</v>
      </c>
      <c r="AF24" s="83">
        <v>1575500</v>
      </c>
      <c r="AG24" s="83">
        <v>770000</v>
      </c>
      <c r="AH24" s="83">
        <v>3303950</v>
      </c>
      <c r="AI24" s="83">
        <v>285200</v>
      </c>
      <c r="AJ24" s="83">
        <v>3306250</v>
      </c>
      <c r="AK24" s="83">
        <v>954500</v>
      </c>
      <c r="AL24" s="83">
        <v>728000</v>
      </c>
      <c r="AM24" s="83">
        <v>3550050</v>
      </c>
      <c r="AN24" s="83">
        <v>426650</v>
      </c>
      <c r="AO24" s="83"/>
      <c r="AP24" s="83">
        <v>2010200</v>
      </c>
      <c r="AQ24" s="83">
        <v>5760000</v>
      </c>
      <c r="AR24" s="83">
        <v>100050</v>
      </c>
      <c r="AS24" s="83">
        <v>5200300</v>
      </c>
      <c r="AT24" s="83">
        <v>9746250</v>
      </c>
      <c r="AU24" s="83">
        <v>737150</v>
      </c>
      <c r="AV24" s="83">
        <v>985550</v>
      </c>
      <c r="AW24" s="83">
        <v>3149850</v>
      </c>
      <c r="AX24" s="83">
        <v>2444900</v>
      </c>
      <c r="AY24" s="83">
        <v>0</v>
      </c>
      <c r="AZ24" s="83">
        <v>4121600</v>
      </c>
      <c r="BA24" s="83">
        <v>1400000</v>
      </c>
      <c r="BB24" s="83">
        <v>1909000</v>
      </c>
      <c r="BC24" s="83">
        <v>1668650</v>
      </c>
      <c r="BD24" s="83">
        <v>2488600</v>
      </c>
    </row>
    <row r="25" spans="1:58" s="68" customFormat="1" ht="19" customHeight="1" x14ac:dyDescent="0.3">
      <c r="A25" s="131"/>
      <c r="B25" s="67" t="s">
        <v>25</v>
      </c>
      <c r="C25" s="67">
        <f t="shared" si="5"/>
        <v>15837814.916666668</v>
      </c>
      <c r="D25" s="82">
        <v>280000</v>
      </c>
      <c r="E25" s="83">
        <v>437900</v>
      </c>
      <c r="F25" s="83">
        <f>1560000/6</f>
        <v>260000</v>
      </c>
      <c r="G25" s="68">
        <v>545000</v>
      </c>
      <c r="H25" s="82">
        <v>260000</v>
      </c>
      <c r="I25" s="83">
        <v>272500.25</v>
      </c>
      <c r="J25" s="82">
        <v>272500</v>
      </c>
      <c r="K25" s="83">
        <v>272500</v>
      </c>
      <c r="L25" s="83">
        <v>272500</v>
      </c>
      <c r="M25" s="83">
        <v>660000</v>
      </c>
      <c r="N25" s="82">
        <v>245000</v>
      </c>
      <c r="O25" s="82">
        <v>300000</v>
      </c>
      <c r="P25" s="82">
        <v>545000</v>
      </c>
      <c r="Q25" s="82">
        <v>220000</v>
      </c>
      <c r="R25" s="82">
        <v>320000</v>
      </c>
      <c r="S25" s="82">
        <v>298166.66666666669</v>
      </c>
      <c r="T25" s="82">
        <v>220000</v>
      </c>
      <c r="U25" s="82">
        <v>545000</v>
      </c>
      <c r="V25" s="82">
        <v>299999.66666666669</v>
      </c>
      <c r="W25" s="83">
        <v>330000</v>
      </c>
      <c r="X25" s="82">
        <v>330000</v>
      </c>
      <c r="Y25" s="82">
        <v>220000</v>
      </c>
      <c r="Z25" s="83">
        <v>265000</v>
      </c>
      <c r="AA25" s="83">
        <v>529833.33333333337</v>
      </c>
      <c r="AB25" s="83">
        <v>245000</v>
      </c>
      <c r="AC25" s="83">
        <v>440000</v>
      </c>
      <c r="AD25" s="83">
        <v>320000</v>
      </c>
      <c r="AE25" s="83">
        <v>320000</v>
      </c>
      <c r="AF25" s="83">
        <v>330000</v>
      </c>
      <c r="AG25" s="83">
        <v>145000</v>
      </c>
      <c r="AH25" s="83">
        <v>545000</v>
      </c>
      <c r="AI25" s="83">
        <v>220000</v>
      </c>
      <c r="AJ25" s="83">
        <v>0</v>
      </c>
      <c r="AK25" s="83">
        <v>245000</v>
      </c>
      <c r="AL25" s="83">
        <v>377419</v>
      </c>
      <c r="AM25" s="83">
        <v>639996</v>
      </c>
      <c r="AN25" s="83">
        <v>336500</v>
      </c>
      <c r="AO25" s="83"/>
      <c r="AP25" s="83">
        <v>215000</v>
      </c>
      <c r="AQ25" s="83">
        <v>470000</v>
      </c>
      <c r="AR25" s="83">
        <v>235000</v>
      </c>
      <c r="AS25" s="83">
        <v>270000</v>
      </c>
      <c r="AT25" s="83">
        <v>818166.66666666674</v>
      </c>
      <c r="AU25" s="83">
        <v>235000</v>
      </c>
      <c r="AV25" s="83">
        <v>235000</v>
      </c>
      <c r="AW25" s="83">
        <v>289833.33333333331</v>
      </c>
      <c r="AX25" s="83">
        <v>235000</v>
      </c>
      <c r="AY25" s="83">
        <v>235000</v>
      </c>
      <c r="AZ25" s="83">
        <v>235000</v>
      </c>
      <c r="BA25" s="83">
        <v>0</v>
      </c>
      <c r="BB25" s="83">
        <v>0</v>
      </c>
      <c r="BC25" s="83">
        <v>0</v>
      </c>
      <c r="BD25" s="83"/>
    </row>
    <row r="26" spans="1:58" s="68" customFormat="1" ht="18.5" customHeight="1" x14ac:dyDescent="0.3">
      <c r="A26" s="131"/>
      <c r="B26" s="67" t="s">
        <v>26</v>
      </c>
      <c r="C26" s="67">
        <f t="shared" si="5"/>
        <v>10610000</v>
      </c>
      <c r="D26" s="82">
        <v>200000</v>
      </c>
      <c r="E26" s="82"/>
      <c r="F26" s="83">
        <v>200000</v>
      </c>
      <c r="H26" s="82">
        <v>200000</v>
      </c>
      <c r="I26" s="83">
        <v>140000</v>
      </c>
      <c r="J26" s="82">
        <v>140000</v>
      </c>
      <c r="K26" s="83">
        <v>140000</v>
      </c>
      <c r="L26" s="83">
        <v>140000</v>
      </c>
      <c r="M26" s="83">
        <v>140000</v>
      </c>
      <c r="N26" s="82">
        <v>300000</v>
      </c>
      <c r="O26" s="82">
        <v>200000</v>
      </c>
      <c r="P26" s="82">
        <v>150000</v>
      </c>
      <c r="Q26" s="82">
        <v>150000</v>
      </c>
      <c r="R26" s="82">
        <v>250000</v>
      </c>
      <c r="S26" s="82">
        <v>300000</v>
      </c>
      <c r="T26" s="82"/>
      <c r="U26" s="82">
        <v>300000</v>
      </c>
      <c r="V26" s="82">
        <v>166666.66666666666</v>
      </c>
      <c r="W26" s="83">
        <v>166666.66666666666</v>
      </c>
      <c r="X26" s="82">
        <v>166666.66666666666</v>
      </c>
      <c r="Y26" s="82"/>
      <c r="Z26" s="83">
        <v>300000</v>
      </c>
      <c r="AA26" s="83">
        <v>500000</v>
      </c>
      <c r="AB26" s="83">
        <v>200000</v>
      </c>
      <c r="AC26" s="83">
        <v>260000</v>
      </c>
      <c r="AD26" s="83">
        <v>150000</v>
      </c>
      <c r="AE26" s="83">
        <v>150000</v>
      </c>
      <c r="AF26" s="83">
        <v>150000</v>
      </c>
      <c r="AG26" s="83"/>
      <c r="AH26" s="83">
        <v>300000</v>
      </c>
      <c r="AI26" s="83">
        <v>250000</v>
      </c>
      <c r="AJ26" s="83">
        <v>200000</v>
      </c>
      <c r="AK26" s="83">
        <v>300000</v>
      </c>
      <c r="AL26" s="83"/>
      <c r="AM26" s="83">
        <v>300000</v>
      </c>
      <c r="AN26" s="83">
        <v>300000</v>
      </c>
      <c r="AO26" s="83"/>
      <c r="AP26" s="83">
        <v>200000</v>
      </c>
      <c r="AQ26" s="83">
        <v>300000</v>
      </c>
      <c r="AR26" s="83">
        <v>200000</v>
      </c>
      <c r="AS26" s="83"/>
      <c r="AT26" s="83">
        <v>400000</v>
      </c>
      <c r="AU26" s="83">
        <v>200000</v>
      </c>
      <c r="AV26" s="83">
        <v>300000</v>
      </c>
      <c r="AW26" s="83">
        <v>300000</v>
      </c>
      <c r="AX26" s="83">
        <v>250000</v>
      </c>
      <c r="AY26" s="83">
        <v>500000</v>
      </c>
      <c r="AZ26" s="83">
        <v>300000</v>
      </c>
      <c r="BA26" s="83"/>
      <c r="BB26" s="83">
        <v>300000</v>
      </c>
      <c r="BC26" s="83">
        <v>250000</v>
      </c>
      <c r="BD26" s="83">
        <v>300000</v>
      </c>
    </row>
    <row r="27" spans="1:58" s="68" customFormat="1" ht="17.5" customHeight="1" x14ac:dyDescent="0.3">
      <c r="A27" s="131"/>
      <c r="B27" s="67" t="s">
        <v>27</v>
      </c>
      <c r="C27" s="67">
        <f t="shared" si="5"/>
        <v>1440000</v>
      </c>
      <c r="D27" s="82"/>
      <c r="F27" s="83"/>
      <c r="H27" s="82"/>
      <c r="I27" s="82"/>
      <c r="J27" s="83"/>
      <c r="K27" s="83"/>
      <c r="L27" s="82"/>
      <c r="M27" s="83"/>
      <c r="N27" s="82"/>
      <c r="W27" s="83"/>
      <c r="AA27" s="83"/>
      <c r="AM27" s="68">
        <v>1440000</v>
      </c>
    </row>
    <row r="28" spans="1:58" s="68" customFormat="1" ht="19.5" customHeight="1" x14ac:dyDescent="0.3">
      <c r="A28" s="131"/>
      <c r="B28" s="67" t="s">
        <v>28</v>
      </c>
      <c r="C28" s="67">
        <f t="shared" si="5"/>
        <v>333333.33333333331</v>
      </c>
      <c r="F28" s="82"/>
      <c r="I28" s="82"/>
      <c r="L28" s="82"/>
      <c r="M28" s="82">
        <v>333333.33333333331</v>
      </c>
      <c r="N28" s="82"/>
    </row>
    <row r="29" spans="1:58" s="64" customFormat="1" ht="13" x14ac:dyDescent="0.3">
      <c r="A29" s="88" t="s">
        <v>29</v>
      </c>
      <c r="B29" s="60"/>
      <c r="C29" s="62">
        <f>SUM(C21:C28)</f>
        <v>2532769147.916667</v>
      </c>
      <c r="D29" s="60">
        <f t="shared" ref="D29:BD29" si="6">SUM(D21:D28)</f>
        <v>27048000</v>
      </c>
      <c r="E29" s="60">
        <f t="shared" si="6"/>
        <v>58329663.333333336</v>
      </c>
      <c r="F29" s="60">
        <f t="shared" si="6"/>
        <v>51479259</v>
      </c>
      <c r="G29" s="60">
        <f t="shared" si="6"/>
        <v>76449096</v>
      </c>
      <c r="H29" s="60">
        <f t="shared" si="6"/>
        <v>60974876</v>
      </c>
      <c r="I29" s="60">
        <f>SUM(I21:I28)</f>
        <v>40267217.183333337</v>
      </c>
      <c r="J29" s="60">
        <f t="shared" si="6"/>
        <v>45864908.733333334</v>
      </c>
      <c r="K29" s="60">
        <f t="shared" si="6"/>
        <v>30247323</v>
      </c>
      <c r="L29" s="60">
        <f t="shared" si="6"/>
        <v>84750222</v>
      </c>
      <c r="M29" s="60">
        <f t="shared" si="6"/>
        <v>77799873.666666657</v>
      </c>
      <c r="N29" s="60">
        <f t="shared" si="6"/>
        <v>53505512</v>
      </c>
      <c r="O29" s="60">
        <f t="shared" si="6"/>
        <v>64610546</v>
      </c>
      <c r="P29" s="60">
        <f t="shared" si="6"/>
        <v>74021727</v>
      </c>
      <c r="Q29" s="60">
        <f t="shared" si="6"/>
        <v>36365358</v>
      </c>
      <c r="R29" s="60">
        <f t="shared" si="6"/>
        <v>52754778</v>
      </c>
      <c r="S29" s="60">
        <f t="shared" si="6"/>
        <v>32249880.666666668</v>
      </c>
      <c r="T29" s="60">
        <f t="shared" si="6"/>
        <v>15261533</v>
      </c>
      <c r="U29" s="60">
        <f t="shared" si="6"/>
        <v>74472220</v>
      </c>
      <c r="V29" s="60">
        <f t="shared" si="6"/>
        <v>36600152.333333328</v>
      </c>
      <c r="W29" s="60">
        <f t="shared" si="6"/>
        <v>43486287.666666664</v>
      </c>
      <c r="X29" s="60">
        <f t="shared" si="6"/>
        <v>28904739.666666668</v>
      </c>
      <c r="Y29" s="60">
        <f t="shared" si="6"/>
        <v>19790657</v>
      </c>
      <c r="Z29" s="60">
        <f t="shared" si="6"/>
        <v>54591083</v>
      </c>
      <c r="AA29" s="60">
        <f t="shared" si="6"/>
        <v>51892674.333333336</v>
      </c>
      <c r="AB29" s="60">
        <f t="shared" si="6"/>
        <v>14254850</v>
      </c>
      <c r="AC29" s="60">
        <f t="shared" si="6"/>
        <v>36248227</v>
      </c>
      <c r="AD29" s="60">
        <f t="shared" si="6"/>
        <v>48030218.600000001</v>
      </c>
      <c r="AE29" s="60">
        <f t="shared" si="6"/>
        <v>17468812.399999999</v>
      </c>
      <c r="AF29" s="60">
        <f t="shared" si="6"/>
        <v>43792747</v>
      </c>
      <c r="AG29" s="60">
        <f t="shared" si="6"/>
        <v>36594060.666666672</v>
      </c>
      <c r="AH29" s="60">
        <f t="shared" si="6"/>
        <v>47527700</v>
      </c>
      <c r="AI29" s="60">
        <f t="shared" si="6"/>
        <v>13671956</v>
      </c>
      <c r="AJ29" s="60">
        <f t="shared" si="6"/>
        <v>77720164</v>
      </c>
      <c r="AK29" s="60">
        <f t="shared" si="6"/>
        <v>42943722</v>
      </c>
      <c r="AL29" s="60">
        <f t="shared" si="6"/>
        <v>40770997</v>
      </c>
      <c r="AM29" s="60">
        <f t="shared" si="6"/>
        <v>62151332</v>
      </c>
      <c r="AN29" s="60">
        <f t="shared" si="6"/>
        <v>22991116</v>
      </c>
      <c r="AO29" s="60">
        <f t="shared" si="6"/>
        <v>13349231</v>
      </c>
      <c r="AP29" s="60">
        <f t="shared" si="6"/>
        <v>42956815</v>
      </c>
      <c r="AQ29" s="60">
        <f t="shared" si="6"/>
        <v>97332946</v>
      </c>
      <c r="AR29" s="60">
        <f t="shared" si="6"/>
        <v>30613960</v>
      </c>
      <c r="AS29" s="60">
        <f t="shared" si="6"/>
        <v>65599853</v>
      </c>
      <c r="AT29" s="60">
        <f t="shared" si="6"/>
        <v>132389563.66666667</v>
      </c>
      <c r="AU29" s="60">
        <f t="shared" si="6"/>
        <v>16046339</v>
      </c>
      <c r="AV29" s="60">
        <f t="shared" si="6"/>
        <v>30469731.666666668</v>
      </c>
      <c r="AW29" s="60">
        <f t="shared" si="6"/>
        <v>33246853.333333332</v>
      </c>
      <c r="AX29" s="60">
        <f t="shared" si="6"/>
        <v>29410690</v>
      </c>
      <c r="AY29" s="60">
        <f t="shared" si="6"/>
        <v>71907902</v>
      </c>
      <c r="AZ29" s="60">
        <f t="shared" si="6"/>
        <v>64449068</v>
      </c>
      <c r="BA29" s="60">
        <f t="shared" si="6"/>
        <v>39212776</v>
      </c>
      <c r="BB29" s="60">
        <f t="shared" si="6"/>
        <v>22360952</v>
      </c>
      <c r="BC29" s="60">
        <f t="shared" si="6"/>
        <v>48813636</v>
      </c>
      <c r="BD29" s="60">
        <f t="shared" si="6"/>
        <v>98725341</v>
      </c>
      <c r="BF29" s="68"/>
    </row>
    <row r="30" spans="1:58" s="68" customFormat="1" ht="24" customHeight="1" x14ac:dyDescent="0.3">
      <c r="A30" s="132" t="s">
        <v>30</v>
      </c>
      <c r="B30" s="67" t="s">
        <v>31</v>
      </c>
      <c r="C30" s="67">
        <f t="shared" ref="C30:C42" si="7">SUM(D30:BD30)</f>
        <v>75774595.999118969</v>
      </c>
      <c r="D30" s="82">
        <v>934419.04218908655</v>
      </c>
      <c r="E30" s="83">
        <v>1909232.5464806391</v>
      </c>
      <c r="F30" s="83">
        <v>1688025.5466583762</v>
      </c>
      <c r="G30" s="82">
        <v>3105065.2599732629</v>
      </c>
      <c r="H30" s="83">
        <v>1758657.2438162544</v>
      </c>
      <c r="I30" s="82">
        <v>1298102.5607513718</v>
      </c>
      <c r="J30" s="82">
        <v>1562816.8696519532</v>
      </c>
      <c r="K30" s="82">
        <v>1160771.9298245613</v>
      </c>
      <c r="L30" s="83">
        <v>2437445.5680586193</v>
      </c>
      <c r="M30" s="82">
        <v>2195087.7192982459</v>
      </c>
      <c r="N30" s="82">
        <v>1666805.5555555557</v>
      </c>
      <c r="O30" s="82">
        <v>1888897.4060475132</v>
      </c>
      <c r="P30" s="82">
        <v>1593053.400375386</v>
      </c>
      <c r="Q30" s="82">
        <v>1290900</v>
      </c>
      <c r="R30" s="82">
        <v>1422258.7719298247</v>
      </c>
      <c r="S30" s="82">
        <v>1096032.3886639676</v>
      </c>
      <c r="T30" s="83">
        <v>1067904.927000694</v>
      </c>
      <c r="U30" s="82">
        <v>2494164.0070569604</v>
      </c>
      <c r="V30" s="83">
        <v>928094.53681414074</v>
      </c>
      <c r="W30" s="83">
        <v>834353.20876952133</v>
      </c>
      <c r="X30" s="82">
        <v>104000</v>
      </c>
      <c r="Y30" s="82">
        <v>645403.59253971581</v>
      </c>
      <c r="Z30" s="82">
        <v>926503.81875268219</v>
      </c>
      <c r="AA30" s="82">
        <v>1654762.4705087391</v>
      </c>
      <c r="AB30" s="82">
        <v>900394.81035061646</v>
      </c>
      <c r="AC30" s="82">
        <v>974611.90692914708</v>
      </c>
      <c r="AD30" s="82">
        <v>1112827.801173321</v>
      </c>
      <c r="AE30" s="82">
        <v>848842.10526315786</v>
      </c>
      <c r="AF30" s="82">
        <v>1270804.6632101056</v>
      </c>
      <c r="AG30" s="82">
        <v>1283600.3038610846</v>
      </c>
      <c r="AH30" s="82">
        <v>1636656.2138832696</v>
      </c>
      <c r="AI30" s="82">
        <v>613654.6698022366</v>
      </c>
      <c r="AJ30" s="83">
        <v>1716839.4172602287</v>
      </c>
      <c r="AK30" s="82">
        <v>1303312.3074617381</v>
      </c>
      <c r="AL30" s="82">
        <v>1624903.9445265431</v>
      </c>
      <c r="AM30" s="82">
        <v>1949624.4216254954</v>
      </c>
      <c r="AN30" s="82">
        <v>1098664.5718774546</v>
      </c>
      <c r="AO30" s="82">
        <v>855433.07086614182</v>
      </c>
      <c r="AP30" s="82">
        <v>1169122.8070175438</v>
      </c>
      <c r="AQ30" s="82">
        <v>2478638.9163082703</v>
      </c>
      <c r="AR30" s="82">
        <v>1184364.2595908951</v>
      </c>
      <c r="AS30" s="82">
        <v>1772161.0526958928</v>
      </c>
      <c r="AT30" s="82">
        <v>2671469.4513031072</v>
      </c>
      <c r="AU30" s="82">
        <v>869236.18798512686</v>
      </c>
      <c r="AV30" s="82">
        <v>1067682.2028783346</v>
      </c>
      <c r="AW30" s="83">
        <v>864855.14021608501</v>
      </c>
      <c r="AX30" s="82">
        <v>1147163.4212082969</v>
      </c>
      <c r="AY30" s="82">
        <v>2136854.6580755478</v>
      </c>
      <c r="AZ30" s="82">
        <v>1964487.3699851411</v>
      </c>
      <c r="BA30" s="82">
        <v>1060054.5770635586</v>
      </c>
      <c r="BB30" s="82">
        <v>1097252.2864709583</v>
      </c>
      <c r="BC30" s="82">
        <v>1105360.9035743049</v>
      </c>
      <c r="BD30" s="82">
        <v>2332964.1859382908</v>
      </c>
    </row>
    <row r="31" spans="1:58" s="68" customFormat="1" ht="24" customHeight="1" x14ac:dyDescent="0.3">
      <c r="A31" s="133"/>
      <c r="B31" s="67" t="s">
        <v>32</v>
      </c>
      <c r="C31" s="67">
        <f t="shared" si="7"/>
        <v>5697674.4186046459</v>
      </c>
      <c r="D31" s="82">
        <v>66445.182724252489</v>
      </c>
      <c r="E31" s="83">
        <v>141196.01328903655</v>
      </c>
      <c r="F31" s="83">
        <v>116279.06976744186</v>
      </c>
      <c r="G31" s="82">
        <v>240863.78737541527</v>
      </c>
      <c r="H31" s="83">
        <v>124584.71760797342</v>
      </c>
      <c r="I31" s="82">
        <v>91362.126245847176</v>
      </c>
      <c r="J31" s="82">
        <v>107973.42192691029</v>
      </c>
      <c r="K31" s="82">
        <v>83056.478405315604</v>
      </c>
      <c r="L31" s="83">
        <v>157807.30897009966</v>
      </c>
      <c r="M31" s="82">
        <v>149501.66112956809</v>
      </c>
      <c r="N31" s="82">
        <v>124584.71760797342</v>
      </c>
      <c r="O31" s="82">
        <v>141196.01328903655</v>
      </c>
      <c r="P31" s="82">
        <v>149501.66112956809</v>
      </c>
      <c r="Q31" s="82">
        <v>83056.478405315604</v>
      </c>
      <c r="R31" s="82">
        <v>99667.774086378733</v>
      </c>
      <c r="S31" s="82">
        <v>74750.830564784046</v>
      </c>
      <c r="T31" s="83">
        <v>74750.830564784046</v>
      </c>
      <c r="U31" s="82">
        <v>174418.60465116278</v>
      </c>
      <c r="V31" s="83">
        <v>83056.478405315604</v>
      </c>
      <c r="W31" s="83">
        <v>91362.126245847176</v>
      </c>
      <c r="X31" s="82">
        <v>66445.182724252489</v>
      </c>
      <c r="Y31" s="82">
        <v>58139.534883720931</v>
      </c>
      <c r="Z31" s="82">
        <v>107973.42192691029</v>
      </c>
      <c r="AA31" s="82">
        <v>124584.71760797342</v>
      </c>
      <c r="AB31" s="82">
        <v>58139.534883720931</v>
      </c>
      <c r="AC31" s="82">
        <v>74750.830564784046</v>
      </c>
      <c r="AD31" s="82">
        <v>91362.126245847176</v>
      </c>
      <c r="AE31" s="82">
        <v>58139.534883720931</v>
      </c>
      <c r="AF31" s="82">
        <v>83056.478405315604</v>
      </c>
      <c r="AG31" s="82">
        <v>91362.126245847176</v>
      </c>
      <c r="AH31" s="82">
        <v>116279.06976744186</v>
      </c>
      <c r="AI31" s="82">
        <v>66445.182724252489</v>
      </c>
      <c r="AJ31" s="83">
        <v>141196.01328903655</v>
      </c>
      <c r="AK31" s="82">
        <v>91362.126245847176</v>
      </c>
      <c r="AL31" s="82">
        <v>116279.06976744186</v>
      </c>
      <c r="AM31" s="82">
        <v>149501.66112956809</v>
      </c>
      <c r="AN31" s="82">
        <v>74750.830564784046</v>
      </c>
      <c r="AO31" s="82">
        <v>58139.534883720931</v>
      </c>
      <c r="AP31" s="82">
        <v>83056.478405315604</v>
      </c>
      <c r="AQ31" s="82">
        <v>182724.25249169435</v>
      </c>
      <c r="AR31" s="82">
        <v>83056.478405315604</v>
      </c>
      <c r="AS31" s="82">
        <v>132890.36544850498</v>
      </c>
      <c r="AT31" s="82">
        <v>215946.84385382058</v>
      </c>
      <c r="AU31" s="82">
        <v>66445.182724252489</v>
      </c>
      <c r="AV31" s="82">
        <v>74750.830564784046</v>
      </c>
      <c r="AW31" s="83">
        <v>66445.182724252489</v>
      </c>
      <c r="AX31" s="82">
        <v>74750.830564784046</v>
      </c>
      <c r="AY31" s="82">
        <v>149501.66112956809</v>
      </c>
      <c r="AZ31" s="82">
        <v>124584.71760797342</v>
      </c>
      <c r="BA31" s="82">
        <v>83056.478405315604</v>
      </c>
      <c r="BB31" s="82">
        <v>74750.830564784046</v>
      </c>
      <c r="BC31" s="82">
        <v>83056.478405315604</v>
      </c>
      <c r="BD31" s="82">
        <v>199335.54817275747</v>
      </c>
    </row>
    <row r="32" spans="1:58" s="68" customFormat="1" ht="24" customHeight="1" x14ac:dyDescent="0.3">
      <c r="A32" s="133"/>
      <c r="B32" s="67" t="s">
        <v>33</v>
      </c>
      <c r="C32" s="67">
        <f t="shared" si="7"/>
        <v>10499674.418604644</v>
      </c>
      <c r="D32" s="82">
        <v>122445.18272425249</v>
      </c>
      <c r="E32" s="83">
        <v>260196.01328903655</v>
      </c>
      <c r="F32" s="83">
        <v>214279.06976744186</v>
      </c>
      <c r="G32" s="82">
        <v>443863.78737541527</v>
      </c>
      <c r="H32" s="83">
        <v>229584.71760797343</v>
      </c>
      <c r="I32" s="82">
        <v>168362.12624584718</v>
      </c>
      <c r="J32" s="82">
        <v>198973.42192691029</v>
      </c>
      <c r="K32" s="82">
        <v>153056.4784053156</v>
      </c>
      <c r="L32" s="83">
        <v>290807.30897009966</v>
      </c>
      <c r="M32" s="82">
        <v>275501.66112956812</v>
      </c>
      <c r="N32" s="82">
        <v>229584.71760797343</v>
      </c>
      <c r="O32" s="82">
        <v>260196.01328903655</v>
      </c>
      <c r="P32" s="82">
        <v>275501.66112956812</v>
      </c>
      <c r="Q32" s="82">
        <v>153056.4784053156</v>
      </c>
      <c r="R32" s="82">
        <v>183667.77408637875</v>
      </c>
      <c r="S32" s="82">
        <v>137750.83056478406</v>
      </c>
      <c r="T32" s="83">
        <v>137750.83056478406</v>
      </c>
      <c r="U32" s="82">
        <v>321418.60465116275</v>
      </c>
      <c r="V32" s="83">
        <v>153056.4784053156</v>
      </c>
      <c r="W32" s="83">
        <v>168362.12624584718</v>
      </c>
      <c r="X32" s="82">
        <v>122445.18272425249</v>
      </c>
      <c r="Y32" s="82">
        <v>107139.53488372093</v>
      </c>
      <c r="Z32" s="82">
        <v>198973.42192691029</v>
      </c>
      <c r="AA32" s="82">
        <v>229584.71760797343</v>
      </c>
      <c r="AB32" s="82">
        <v>107139.53488372093</v>
      </c>
      <c r="AC32" s="82">
        <v>137750.83056478406</v>
      </c>
      <c r="AD32" s="82">
        <v>168362.12624584718</v>
      </c>
      <c r="AE32" s="82">
        <v>107139.53488372093</v>
      </c>
      <c r="AF32" s="82">
        <v>153056.4784053156</v>
      </c>
      <c r="AG32" s="82">
        <v>168362.12624584718</v>
      </c>
      <c r="AH32" s="82">
        <v>214279.06976744186</v>
      </c>
      <c r="AI32" s="82">
        <v>122445.18272425249</v>
      </c>
      <c r="AJ32" s="83">
        <v>260196.01328903655</v>
      </c>
      <c r="AK32" s="82">
        <v>168362.12624584718</v>
      </c>
      <c r="AL32" s="82">
        <v>214279.06976744186</v>
      </c>
      <c r="AM32" s="82">
        <v>275501.66112956812</v>
      </c>
      <c r="AN32" s="82">
        <v>137750.83056478406</v>
      </c>
      <c r="AO32" s="82">
        <v>107139.53488372093</v>
      </c>
      <c r="AP32" s="82">
        <v>153056.4784053156</v>
      </c>
      <c r="AQ32" s="82">
        <v>336724.25249169435</v>
      </c>
      <c r="AR32" s="82">
        <v>153056.4784053156</v>
      </c>
      <c r="AS32" s="82">
        <v>244890.36544850498</v>
      </c>
      <c r="AT32" s="82">
        <v>397946.84385382058</v>
      </c>
      <c r="AU32" s="82">
        <v>122445.18272425249</v>
      </c>
      <c r="AV32" s="82">
        <v>137750.83056478406</v>
      </c>
      <c r="AW32" s="83">
        <v>122445.18272425249</v>
      </c>
      <c r="AX32" s="82">
        <v>137750.83056478406</v>
      </c>
      <c r="AY32" s="82">
        <v>275501.66112956812</v>
      </c>
      <c r="AZ32" s="82">
        <v>229584.71760797343</v>
      </c>
      <c r="BA32" s="82">
        <v>153056.4784053156</v>
      </c>
      <c r="BB32" s="82">
        <v>137750.83056478406</v>
      </c>
      <c r="BC32" s="82">
        <v>153056.4784053156</v>
      </c>
      <c r="BD32" s="82">
        <v>367335.5481727575</v>
      </c>
    </row>
    <row r="33" spans="1:58" s="68" customFormat="1" ht="24" customHeight="1" x14ac:dyDescent="0.3">
      <c r="A33" s="133"/>
      <c r="B33" s="67" t="s">
        <v>34</v>
      </c>
      <c r="C33" s="67">
        <f t="shared" si="7"/>
        <v>7988139.5348837208</v>
      </c>
      <c r="D33" s="82">
        <v>93156.146179401985</v>
      </c>
      <c r="E33" s="83">
        <v>197956.81063122925</v>
      </c>
      <c r="F33" s="83">
        <v>163023.25581395347</v>
      </c>
      <c r="G33" s="82">
        <v>337691.02990033221</v>
      </c>
      <c r="H33" s="83">
        <v>174667.77408637875</v>
      </c>
      <c r="I33" s="82">
        <v>128089.70099667774</v>
      </c>
      <c r="J33" s="82">
        <v>151378.73754152824</v>
      </c>
      <c r="K33" s="82">
        <v>116445.18272425249</v>
      </c>
      <c r="L33" s="83">
        <v>221245.84717607973</v>
      </c>
      <c r="M33" s="82">
        <v>209601.32890365447</v>
      </c>
      <c r="N33" s="82">
        <v>174667.77408637875</v>
      </c>
      <c r="O33" s="82">
        <v>197956.81063122925</v>
      </c>
      <c r="P33" s="82">
        <v>209601.32890365447</v>
      </c>
      <c r="Q33" s="82">
        <v>116445.18272425249</v>
      </c>
      <c r="R33" s="82">
        <v>139734.21926910299</v>
      </c>
      <c r="S33" s="82">
        <v>104800.66445182724</v>
      </c>
      <c r="T33" s="83">
        <v>104800.66445182724</v>
      </c>
      <c r="U33" s="82">
        <v>244534.88372093023</v>
      </c>
      <c r="V33" s="83">
        <v>116445.18272425249</v>
      </c>
      <c r="W33" s="83">
        <v>128089.70099667774</v>
      </c>
      <c r="X33" s="82">
        <v>93156.146179401985</v>
      </c>
      <c r="Y33" s="82">
        <v>81511.627906976733</v>
      </c>
      <c r="Z33" s="82">
        <v>151378.73754152824</v>
      </c>
      <c r="AA33" s="82">
        <v>174667.77408637875</v>
      </c>
      <c r="AB33" s="82">
        <v>81511.627906976733</v>
      </c>
      <c r="AC33" s="82">
        <v>104800.66445182724</v>
      </c>
      <c r="AD33" s="82">
        <v>128089.70099667774</v>
      </c>
      <c r="AE33" s="82">
        <v>81511.627906976733</v>
      </c>
      <c r="AF33" s="82">
        <v>116445.18272425249</v>
      </c>
      <c r="AG33" s="82">
        <v>128089.70099667774</v>
      </c>
      <c r="AH33" s="82">
        <v>163023.25581395347</v>
      </c>
      <c r="AI33" s="82">
        <v>93156.146179401985</v>
      </c>
      <c r="AJ33" s="83">
        <v>197956.81063122925</v>
      </c>
      <c r="AK33" s="82">
        <v>128089.70099667774</v>
      </c>
      <c r="AL33" s="82">
        <v>163023.25581395347</v>
      </c>
      <c r="AM33" s="82">
        <v>209601.32890365447</v>
      </c>
      <c r="AN33" s="82">
        <v>104800.66445182724</v>
      </c>
      <c r="AO33" s="82">
        <v>81511.627906976733</v>
      </c>
      <c r="AP33" s="82">
        <v>116445.18272425249</v>
      </c>
      <c r="AQ33" s="82">
        <v>256179.40199335548</v>
      </c>
      <c r="AR33" s="82">
        <v>116445.18272425249</v>
      </c>
      <c r="AS33" s="82">
        <v>186312.29235880397</v>
      </c>
      <c r="AT33" s="82">
        <v>302757.47508305649</v>
      </c>
      <c r="AU33" s="82">
        <v>93156.146179401985</v>
      </c>
      <c r="AV33" s="82">
        <v>104800.66445182724</v>
      </c>
      <c r="AW33" s="83">
        <v>93156.146179401985</v>
      </c>
      <c r="AX33" s="82">
        <v>104800.66445182724</v>
      </c>
      <c r="AY33" s="82">
        <v>209601.32890365447</v>
      </c>
      <c r="AZ33" s="82">
        <v>174667.77408637875</v>
      </c>
      <c r="BA33" s="82">
        <v>116445.18272425249</v>
      </c>
      <c r="BB33" s="82">
        <v>104800.66445182724</v>
      </c>
      <c r="BC33" s="82">
        <v>116445.18272425249</v>
      </c>
      <c r="BD33" s="82">
        <v>279468.43853820598</v>
      </c>
    </row>
    <row r="34" spans="1:58" s="68" customFormat="1" ht="21.5" customHeight="1" x14ac:dyDescent="0.3">
      <c r="A34" s="133"/>
      <c r="B34" s="67" t="s">
        <v>35</v>
      </c>
      <c r="C34" s="67">
        <f t="shared" si="7"/>
        <v>16293157.511627903</v>
      </c>
      <c r="D34" s="82">
        <v>190007.66777408638</v>
      </c>
      <c r="E34" s="83">
        <v>403766.29401993356</v>
      </c>
      <c r="F34" s="83">
        <v>332513.41860465117</v>
      </c>
      <c r="G34" s="82">
        <v>688777.79568106309</v>
      </c>
      <c r="H34" s="83">
        <v>356264.37707641197</v>
      </c>
      <c r="I34" s="82">
        <v>261260.54318936876</v>
      </c>
      <c r="J34" s="82">
        <v>308762.46013289038</v>
      </c>
      <c r="K34" s="82">
        <v>237509.58471760797</v>
      </c>
      <c r="L34" s="83">
        <v>451268.21096345515</v>
      </c>
      <c r="M34" s="82">
        <v>427517.25249169435</v>
      </c>
      <c r="N34" s="82">
        <v>356264.37707641197</v>
      </c>
      <c r="O34" s="82">
        <v>403766.29401993356</v>
      </c>
      <c r="P34" s="82">
        <v>427517.25249169435</v>
      </c>
      <c r="Q34" s="82">
        <v>237509.58471760797</v>
      </c>
      <c r="R34" s="82">
        <v>285011.50166112959</v>
      </c>
      <c r="S34" s="82">
        <v>213758.62624584718</v>
      </c>
      <c r="T34" s="83">
        <v>213758.62624584718</v>
      </c>
      <c r="U34" s="82">
        <v>498770.12790697673</v>
      </c>
      <c r="V34" s="83">
        <v>237509.58471760797</v>
      </c>
      <c r="W34" s="83">
        <v>261260.54318936876</v>
      </c>
      <c r="X34" s="82">
        <v>190007.66777408638</v>
      </c>
      <c r="Y34" s="82">
        <v>166256.70930232559</v>
      </c>
      <c r="Z34" s="82">
        <v>308762.46013289038</v>
      </c>
      <c r="AA34" s="82">
        <v>356264.37707641197</v>
      </c>
      <c r="AB34" s="82">
        <v>166256.70930232559</v>
      </c>
      <c r="AC34" s="82">
        <v>213758.62624584718</v>
      </c>
      <c r="AD34" s="82">
        <v>261260.54318936876</v>
      </c>
      <c r="AE34" s="82">
        <v>166256.70930232559</v>
      </c>
      <c r="AF34" s="82">
        <v>237509.58471760797</v>
      </c>
      <c r="AG34" s="82">
        <v>261260.54318936876</v>
      </c>
      <c r="AH34" s="82">
        <v>332513.41860465117</v>
      </c>
      <c r="AI34" s="82">
        <v>190007.66777408638</v>
      </c>
      <c r="AJ34" s="83">
        <v>403766.29401993356</v>
      </c>
      <c r="AK34" s="82">
        <v>261260.54318936876</v>
      </c>
      <c r="AL34" s="82">
        <v>332513.41860465117</v>
      </c>
      <c r="AM34" s="82">
        <v>427517.25249169435</v>
      </c>
      <c r="AN34" s="82">
        <v>213758.62624584718</v>
      </c>
      <c r="AO34" s="82">
        <v>166256.70930232559</v>
      </c>
      <c r="AP34" s="82">
        <v>237509.58471760797</v>
      </c>
      <c r="AQ34" s="82">
        <v>522521.08637873753</v>
      </c>
      <c r="AR34" s="82">
        <v>237509.58471760797</v>
      </c>
      <c r="AS34" s="82">
        <v>380015.33554817276</v>
      </c>
      <c r="AT34" s="82">
        <v>617524.92026578076</v>
      </c>
      <c r="AU34" s="82">
        <v>190007.66777408638</v>
      </c>
      <c r="AV34" s="82">
        <v>213758.62624584718</v>
      </c>
      <c r="AW34" s="83">
        <v>190007.66777408638</v>
      </c>
      <c r="AX34" s="82">
        <v>213758.62624584718</v>
      </c>
      <c r="AY34" s="82">
        <v>427517.25249169435</v>
      </c>
      <c r="AZ34" s="82">
        <v>356264.37707641197</v>
      </c>
      <c r="BA34" s="82">
        <v>237509.58471760797</v>
      </c>
      <c r="BB34" s="82">
        <v>213758.62624584718</v>
      </c>
      <c r="BC34" s="82">
        <v>237509.58471760797</v>
      </c>
      <c r="BD34" s="82">
        <v>570023.00332225917</v>
      </c>
    </row>
    <row r="35" spans="1:58" s="68" customFormat="1" ht="21" customHeight="1" x14ac:dyDescent="0.3">
      <c r="A35" s="133"/>
      <c r="B35" s="67" t="s">
        <v>36</v>
      </c>
      <c r="C35" s="67">
        <f t="shared" si="7"/>
        <v>21850000</v>
      </c>
      <c r="D35" s="82">
        <v>400000</v>
      </c>
      <c r="E35" s="83">
        <v>550000</v>
      </c>
      <c r="F35" s="83">
        <v>350000</v>
      </c>
      <c r="G35" s="82">
        <v>600000</v>
      </c>
      <c r="H35" s="83">
        <v>400000</v>
      </c>
      <c r="I35" s="82">
        <v>350000</v>
      </c>
      <c r="J35" s="82">
        <v>350000</v>
      </c>
      <c r="K35" s="82">
        <v>350000</v>
      </c>
      <c r="L35" s="83">
        <v>350000</v>
      </c>
      <c r="M35" s="82">
        <v>350000</v>
      </c>
      <c r="N35" s="82">
        <v>350000</v>
      </c>
      <c r="O35" s="82">
        <v>550000</v>
      </c>
      <c r="P35" s="82">
        <v>550000</v>
      </c>
      <c r="Q35" s="82">
        <v>400000</v>
      </c>
      <c r="R35" s="82">
        <v>400000</v>
      </c>
      <c r="S35" s="82"/>
      <c r="T35" s="83">
        <v>400000</v>
      </c>
      <c r="U35" s="82">
        <v>550000</v>
      </c>
      <c r="V35" s="83">
        <v>400000</v>
      </c>
      <c r="W35" s="83">
        <v>400000</v>
      </c>
      <c r="X35" s="82">
        <v>400000</v>
      </c>
      <c r="Y35" s="82">
        <v>400000</v>
      </c>
      <c r="Z35" s="82">
        <v>550000</v>
      </c>
      <c r="AA35" s="82">
        <v>350000</v>
      </c>
      <c r="AB35" s="82">
        <v>350000</v>
      </c>
      <c r="AC35" s="82">
        <v>350000</v>
      </c>
      <c r="AD35" s="82">
        <v>275000</v>
      </c>
      <c r="AE35" s="82">
        <v>275000</v>
      </c>
      <c r="AF35" s="82">
        <v>400000</v>
      </c>
      <c r="AG35" s="82">
        <v>400000</v>
      </c>
      <c r="AH35" s="82">
        <v>400000</v>
      </c>
      <c r="AI35" s="82">
        <v>400000</v>
      </c>
      <c r="AJ35" s="83">
        <v>550000</v>
      </c>
      <c r="AK35" s="82">
        <v>400000</v>
      </c>
      <c r="AL35" s="82">
        <v>400000</v>
      </c>
      <c r="AM35" s="82">
        <v>550000</v>
      </c>
      <c r="AN35" s="82">
        <v>400000</v>
      </c>
      <c r="AO35" s="82">
        <v>350000</v>
      </c>
      <c r="AP35" s="82">
        <v>400000</v>
      </c>
      <c r="AQ35" s="82">
        <v>500000</v>
      </c>
      <c r="AR35" s="82">
        <v>400000</v>
      </c>
      <c r="AS35" s="82">
        <v>550000</v>
      </c>
      <c r="AT35" s="82">
        <v>550000</v>
      </c>
      <c r="AU35" s="82">
        <v>350000</v>
      </c>
      <c r="AV35" s="82">
        <v>400000</v>
      </c>
      <c r="AW35" s="83">
        <v>400000</v>
      </c>
      <c r="AX35" s="82">
        <v>400000</v>
      </c>
      <c r="AY35" s="82">
        <v>550000</v>
      </c>
      <c r="AZ35" s="82">
        <v>350000</v>
      </c>
      <c r="BA35" s="82">
        <v>400000</v>
      </c>
      <c r="BB35" s="82">
        <v>400000</v>
      </c>
      <c r="BC35" s="82">
        <v>400000</v>
      </c>
      <c r="BD35" s="82">
        <v>550000</v>
      </c>
    </row>
    <row r="36" spans="1:58" s="68" customFormat="1" ht="21.5" customHeight="1" x14ac:dyDescent="0.3">
      <c r="A36" s="133"/>
      <c r="B36" s="67" t="s">
        <v>37</v>
      </c>
      <c r="C36" s="67">
        <f t="shared" si="7"/>
        <v>8499744.445903616</v>
      </c>
      <c r="D36" s="82">
        <v>103289.0365448505</v>
      </c>
      <c r="E36" s="83">
        <v>208239.2026578073</v>
      </c>
      <c r="F36" s="83">
        <v>173255.81395348837</v>
      </c>
      <c r="G36" s="82">
        <v>348172.75747508305</v>
      </c>
      <c r="H36" s="83">
        <v>184916.94352159469</v>
      </c>
      <c r="I36" s="82">
        <v>138272.42524916944</v>
      </c>
      <c r="J36" s="82">
        <v>161594.68438538205</v>
      </c>
      <c r="K36" s="82">
        <v>126611.29568106311</v>
      </c>
      <c r="L36" s="83">
        <v>231561.46179401994</v>
      </c>
      <c r="M36" s="82">
        <v>219900.33222591362</v>
      </c>
      <c r="N36" s="82">
        <v>184916.94352159469</v>
      </c>
      <c r="O36" s="82">
        <v>208239.2026578073</v>
      </c>
      <c r="P36" s="82">
        <v>219900.33222591362</v>
      </c>
      <c r="Q36" s="82">
        <v>126611.29568106311</v>
      </c>
      <c r="R36" s="82">
        <v>149933.55481727576</v>
      </c>
      <c r="S36" s="82">
        <v>114950.16611295681</v>
      </c>
      <c r="T36" s="83">
        <v>114950.16611295681</v>
      </c>
      <c r="U36" s="82">
        <v>254883.72093023255</v>
      </c>
      <c r="V36" s="83">
        <v>126820.85786375105</v>
      </c>
      <c r="W36" s="83">
        <v>138272.42524916944</v>
      </c>
      <c r="X36" s="82">
        <v>103289.0365448505</v>
      </c>
      <c r="Y36" s="82">
        <v>91627.906976744183</v>
      </c>
      <c r="Z36" s="82">
        <v>161594.68438538205</v>
      </c>
      <c r="AA36" s="82">
        <v>184916.94352159469</v>
      </c>
      <c r="AB36" s="82">
        <v>91627.906976744183</v>
      </c>
      <c r="AC36" s="82">
        <v>114950.16611295681</v>
      </c>
      <c r="AD36" s="82">
        <v>138272.42524916944</v>
      </c>
      <c r="AE36" s="82">
        <v>91627.906976744183</v>
      </c>
      <c r="AF36" s="82">
        <v>126611.29568106311</v>
      </c>
      <c r="AG36" s="82">
        <v>138272.42524916944</v>
      </c>
      <c r="AH36" s="82">
        <v>173255.81395348837</v>
      </c>
      <c r="AI36" s="82">
        <v>103289.0365448505</v>
      </c>
      <c r="AJ36" s="83">
        <v>208239.2026578073</v>
      </c>
      <c r="AK36" s="82">
        <v>138272.42524916944</v>
      </c>
      <c r="AL36" s="82">
        <v>173255.81395348837</v>
      </c>
      <c r="AM36" s="82">
        <v>219900.33222591362</v>
      </c>
      <c r="AN36" s="82">
        <v>114950.16611295681</v>
      </c>
      <c r="AO36" s="82">
        <v>91627.906976744183</v>
      </c>
      <c r="AP36" s="82">
        <v>126611.29568106311</v>
      </c>
      <c r="AQ36" s="82">
        <v>266544.85049833887</v>
      </c>
      <c r="AR36" s="82">
        <v>126611.29568106311</v>
      </c>
      <c r="AS36" s="82">
        <v>196578.07308970101</v>
      </c>
      <c r="AT36" s="82">
        <v>293189.36877076409</v>
      </c>
      <c r="AU36" s="82">
        <v>103289.0365448505</v>
      </c>
      <c r="AV36" s="82">
        <v>114950.16611295681</v>
      </c>
      <c r="AW36" s="83">
        <v>103289.0365448505</v>
      </c>
      <c r="AX36" s="82">
        <v>114950.16611295681</v>
      </c>
      <c r="AY36" s="82">
        <v>219900.33222591362</v>
      </c>
      <c r="AZ36" s="82">
        <v>184916.94352159469</v>
      </c>
      <c r="BA36" s="82">
        <v>116611.29568106311</v>
      </c>
      <c r="BB36" s="82">
        <v>114950.16611295681</v>
      </c>
      <c r="BC36" s="82">
        <v>126611.29568106311</v>
      </c>
      <c r="BD36" s="82">
        <v>289867.10963455151</v>
      </c>
    </row>
    <row r="37" spans="1:58" s="68" customFormat="1" ht="24" customHeight="1" x14ac:dyDescent="0.3">
      <c r="A37" s="133"/>
      <c r="B37" s="67" t="s">
        <v>38</v>
      </c>
      <c r="C37" s="67">
        <f t="shared" si="7"/>
        <v>12534883.720930232</v>
      </c>
      <c r="D37" s="82">
        <v>146179.40199335548</v>
      </c>
      <c r="E37" s="83">
        <v>310631.22923588043</v>
      </c>
      <c r="F37" s="83">
        <v>255813.95348837209</v>
      </c>
      <c r="G37" s="82">
        <v>529900.33222591365</v>
      </c>
      <c r="H37" s="83">
        <v>274086.3787375415</v>
      </c>
      <c r="I37" s="82">
        <v>200996.67774086379</v>
      </c>
      <c r="J37" s="82">
        <v>237541.52823920266</v>
      </c>
      <c r="K37" s="82">
        <v>182724.25249169435</v>
      </c>
      <c r="L37" s="83">
        <v>347176.07973421924</v>
      </c>
      <c r="M37" s="82">
        <v>328903.65448504983</v>
      </c>
      <c r="N37" s="83">
        <v>274086.3787375415</v>
      </c>
      <c r="O37" s="82">
        <v>310631.22923588043</v>
      </c>
      <c r="P37" s="82">
        <v>328903.65448504983</v>
      </c>
      <c r="Q37" s="82">
        <v>182724.25249169435</v>
      </c>
      <c r="R37" s="82">
        <v>219269.10299003322</v>
      </c>
      <c r="S37" s="82">
        <v>164451.82724252492</v>
      </c>
      <c r="T37" s="83">
        <v>164451.82724252492</v>
      </c>
      <c r="U37" s="82">
        <v>383720.93023255817</v>
      </c>
      <c r="V37" s="83">
        <v>182724.25249169435</v>
      </c>
      <c r="W37" s="83">
        <v>200996.67774086379</v>
      </c>
      <c r="X37" s="82">
        <v>146179.40199335548</v>
      </c>
      <c r="Y37" s="82">
        <v>127906.97674418605</v>
      </c>
      <c r="Z37" s="82">
        <v>237541.52823920266</v>
      </c>
      <c r="AA37" s="82">
        <v>274086.3787375415</v>
      </c>
      <c r="AB37" s="82">
        <v>127906.97674418605</v>
      </c>
      <c r="AC37" s="82">
        <v>164451.82724252492</v>
      </c>
      <c r="AD37" s="82">
        <v>200996.67774086379</v>
      </c>
      <c r="AE37" s="82">
        <v>127906.97674418605</v>
      </c>
      <c r="AF37" s="82">
        <v>182724.25249169435</v>
      </c>
      <c r="AG37" s="82">
        <v>200996.67774086379</v>
      </c>
      <c r="AH37" s="82">
        <v>255813.95348837209</v>
      </c>
      <c r="AI37" s="82">
        <v>146179.40199335548</v>
      </c>
      <c r="AJ37" s="83">
        <v>310631.22923588043</v>
      </c>
      <c r="AK37" s="82">
        <v>200996.67774086379</v>
      </c>
      <c r="AL37" s="82">
        <v>255813.95348837209</v>
      </c>
      <c r="AM37" s="82">
        <v>328903.65448504983</v>
      </c>
      <c r="AN37" s="82">
        <v>164451.82724252492</v>
      </c>
      <c r="AO37" s="82">
        <v>127906.97674418605</v>
      </c>
      <c r="AP37" s="82">
        <v>182724.25249169435</v>
      </c>
      <c r="AQ37" s="82">
        <v>401993.35548172757</v>
      </c>
      <c r="AR37" s="82">
        <v>182724.25249169435</v>
      </c>
      <c r="AS37" s="82">
        <v>292358.80398671096</v>
      </c>
      <c r="AT37" s="82">
        <v>475083.05647840531</v>
      </c>
      <c r="AU37" s="82">
        <v>146179.40199335548</v>
      </c>
      <c r="AV37" s="82">
        <v>164451.82724252492</v>
      </c>
      <c r="AW37" s="83">
        <v>146179.40199335548</v>
      </c>
      <c r="AX37" s="82">
        <v>164451.82724252492</v>
      </c>
      <c r="AY37" s="82">
        <v>328903.65448504983</v>
      </c>
      <c r="AZ37" s="82">
        <v>274086.3787375415</v>
      </c>
      <c r="BA37" s="82">
        <v>182724.25249169435</v>
      </c>
      <c r="BB37" s="82">
        <v>164451.82724252492</v>
      </c>
      <c r="BC37" s="82">
        <v>182724.25249169435</v>
      </c>
      <c r="BD37" s="82">
        <v>438538.20598006644</v>
      </c>
    </row>
    <row r="38" spans="1:58" s="68" customFormat="1" ht="21" customHeight="1" x14ac:dyDescent="0.35">
      <c r="A38" s="133"/>
      <c r="B38" s="67" t="s">
        <v>39</v>
      </c>
      <c r="C38" s="67">
        <f t="shared" si="7"/>
        <v>0</v>
      </c>
      <c r="D38" s="82"/>
      <c r="E38" s="83"/>
      <c r="F38" s="83"/>
      <c r="G38" s="82"/>
      <c r="H38" s="83"/>
      <c r="I38" s="82"/>
      <c r="J38" s="82"/>
      <c r="K38" s="82"/>
      <c r="L38" s="89"/>
      <c r="M38" s="82"/>
      <c r="N38" s="82"/>
      <c r="T38" s="83"/>
      <c r="V38" s="83"/>
      <c r="W38" s="83"/>
      <c r="AJ38" s="83"/>
      <c r="AW38" s="83"/>
    </row>
    <row r="39" spans="1:58" s="68" customFormat="1" ht="25.5" customHeight="1" x14ac:dyDescent="0.3">
      <c r="A39" s="134"/>
      <c r="B39" s="67" t="s">
        <v>40</v>
      </c>
      <c r="C39" s="67">
        <f>SUM(D39:BD39)</f>
        <v>26348091.976744197</v>
      </c>
      <c r="D39" s="82">
        <v>307266.37873754156</v>
      </c>
      <c r="E39" s="83">
        <v>652941.05481727584</v>
      </c>
      <c r="F39" s="83">
        <v>537716.16279069777</v>
      </c>
      <c r="G39" s="82">
        <v>1113840.6229235881</v>
      </c>
      <c r="H39" s="83">
        <v>576124.46013289038</v>
      </c>
      <c r="I39" s="82">
        <v>422491.27076411963</v>
      </c>
      <c r="J39" s="82">
        <v>499307.86544850504</v>
      </c>
      <c r="K39" s="82">
        <v>384082.97342192696</v>
      </c>
      <c r="L39" s="83">
        <v>729757.64950166119</v>
      </c>
      <c r="M39" s="82">
        <v>691349.35215946846</v>
      </c>
      <c r="N39" s="82">
        <v>576124.46013289038</v>
      </c>
      <c r="O39" s="83">
        <v>652941.05481727584</v>
      </c>
      <c r="P39" s="83">
        <v>691349.35215946846</v>
      </c>
      <c r="Q39" s="83">
        <v>384082.97342192696</v>
      </c>
      <c r="R39" s="83">
        <v>460899.5681063123</v>
      </c>
      <c r="S39" s="83">
        <v>345674.67607973423</v>
      </c>
      <c r="T39" s="83">
        <v>345674.67607973423</v>
      </c>
      <c r="U39" s="83">
        <v>806574.24418604653</v>
      </c>
      <c r="V39" s="83">
        <v>384082.97342192696</v>
      </c>
      <c r="W39" s="83">
        <v>422491.27076411963</v>
      </c>
      <c r="X39" s="83">
        <v>307266.37873754156</v>
      </c>
      <c r="Y39" s="83">
        <v>268858.08139534888</v>
      </c>
      <c r="Z39" s="83">
        <v>499307.86544850504</v>
      </c>
      <c r="AA39" s="83">
        <v>576124.46013289038</v>
      </c>
      <c r="AB39" s="83">
        <v>268858.08139534888</v>
      </c>
      <c r="AC39" s="83">
        <v>345674.67607973423</v>
      </c>
      <c r="AD39" s="83">
        <v>422491.27076411963</v>
      </c>
      <c r="AE39" s="83">
        <v>268858.08139534888</v>
      </c>
      <c r="AF39" s="83">
        <v>384082.97342192696</v>
      </c>
      <c r="AG39" s="83">
        <v>422491.27076411963</v>
      </c>
      <c r="AH39" s="83">
        <v>537716.16279069777</v>
      </c>
      <c r="AI39" s="83">
        <v>307266.37873754156</v>
      </c>
      <c r="AJ39" s="83">
        <v>652941.05481727584</v>
      </c>
      <c r="AK39" s="83">
        <v>422491.27076411963</v>
      </c>
      <c r="AL39" s="83">
        <v>537716.16279069777</v>
      </c>
      <c r="AM39" s="83">
        <v>691349.35215946846</v>
      </c>
      <c r="AN39" s="83">
        <v>345674.67607973423</v>
      </c>
      <c r="AO39" s="83">
        <v>268858.08139534888</v>
      </c>
      <c r="AP39" s="83">
        <v>384082.97342192696</v>
      </c>
      <c r="AQ39" s="83">
        <v>844982.54152823926</v>
      </c>
      <c r="AR39" s="83">
        <v>384082.97342192696</v>
      </c>
      <c r="AS39" s="83">
        <v>614532.75747508311</v>
      </c>
      <c r="AT39" s="83">
        <v>998615.73089701007</v>
      </c>
      <c r="AU39" s="83">
        <v>307266.37873754156</v>
      </c>
      <c r="AV39" s="83">
        <v>345674.67607973423</v>
      </c>
      <c r="AW39" s="83">
        <v>307266.37873754156</v>
      </c>
      <c r="AX39" s="83">
        <v>345674.67607973423</v>
      </c>
      <c r="AY39" s="83">
        <v>691349.35215946846</v>
      </c>
      <c r="AZ39" s="83">
        <v>576124.46013289038</v>
      </c>
      <c r="BA39" s="83">
        <v>384082.97342192696</v>
      </c>
      <c r="BB39" s="83">
        <v>345674.67607973423</v>
      </c>
      <c r="BC39" s="83">
        <v>384082.97342192696</v>
      </c>
      <c r="BD39" s="83">
        <v>921799.13621262461</v>
      </c>
    </row>
    <row r="40" spans="1:58" s="68" customFormat="1" ht="33" customHeight="1" x14ac:dyDescent="0.3">
      <c r="A40" s="135" t="s">
        <v>41</v>
      </c>
      <c r="B40" s="66" t="s">
        <v>42</v>
      </c>
      <c r="C40" s="67">
        <f t="shared" si="7"/>
        <v>40820760.285714291</v>
      </c>
      <c r="D40" s="82">
        <v>1034397</v>
      </c>
      <c r="E40" s="82">
        <v>1262468</v>
      </c>
      <c r="F40" s="82">
        <v>298111</v>
      </c>
      <c r="G40" s="82">
        <v>1606563</v>
      </c>
      <c r="H40" s="83">
        <v>55118.571428571428</v>
      </c>
      <c r="I40" s="82">
        <v>40420.28571428571</v>
      </c>
      <c r="J40" s="82">
        <v>47769.428571428572</v>
      </c>
      <c r="K40" s="82">
        <v>36745.714285714283</v>
      </c>
      <c r="L40" s="82">
        <v>69816.857142857145</v>
      </c>
      <c r="M40" s="82">
        <v>66142.28571428571</v>
      </c>
      <c r="N40" s="82">
        <v>55118.571428571428</v>
      </c>
      <c r="O40" s="68">
        <v>2617468</v>
      </c>
      <c r="P40" s="68">
        <v>1466142</v>
      </c>
      <c r="Q40" s="68">
        <v>36745.714285714283</v>
      </c>
      <c r="R40" s="68">
        <v>44094.857142857145</v>
      </c>
      <c r="S40" s="68">
        <v>33071.142857142855</v>
      </c>
      <c r="T40" s="83">
        <v>803071</v>
      </c>
      <c r="U40" s="68">
        <v>1627166</v>
      </c>
      <c r="V40" s="83">
        <v>2286746</v>
      </c>
      <c r="W40" s="83">
        <v>2535420</v>
      </c>
      <c r="X40" s="68">
        <v>1929397</v>
      </c>
      <c r="Y40" s="68">
        <v>25722</v>
      </c>
      <c r="Z40" s="68">
        <v>47769.428571428572</v>
      </c>
      <c r="AA40" s="68">
        <v>1315119</v>
      </c>
      <c r="AB40" s="68">
        <v>25722</v>
      </c>
      <c r="AC40" s="68">
        <v>2033071</v>
      </c>
      <c r="AD40" s="68">
        <v>40420.28571428571</v>
      </c>
      <c r="AE40" s="68">
        <v>830722</v>
      </c>
      <c r="AF40" s="68">
        <v>2386746</v>
      </c>
      <c r="AG40" s="68">
        <v>40420.28571428571</v>
      </c>
      <c r="AH40" s="68">
        <v>441444</v>
      </c>
      <c r="AI40" s="68">
        <v>1979397</v>
      </c>
      <c r="AJ40" s="68">
        <v>1529135</v>
      </c>
      <c r="AK40" s="68">
        <v>40420.28571428571</v>
      </c>
      <c r="AL40" s="68">
        <v>51444</v>
      </c>
      <c r="AM40" s="68">
        <v>66142.28571428571</v>
      </c>
      <c r="AN40" s="68">
        <v>33071.142857142855</v>
      </c>
      <c r="AO40" s="68">
        <v>25722</v>
      </c>
      <c r="AP40" s="68">
        <v>36745.714285714283</v>
      </c>
      <c r="AQ40" s="68">
        <v>80840.57142857142</v>
      </c>
      <c r="AR40" s="68">
        <v>36745.714285714283</v>
      </c>
      <c r="AS40" s="68">
        <v>58793.142857142855</v>
      </c>
      <c r="AT40" s="68">
        <v>7165539</v>
      </c>
      <c r="AU40" s="68">
        <v>799397</v>
      </c>
      <c r="AV40" s="68">
        <v>33071.142857142855</v>
      </c>
      <c r="AW40" s="83">
        <v>29396.571428571428</v>
      </c>
      <c r="AX40" s="68">
        <v>33071.142857142855</v>
      </c>
      <c r="AY40" s="68">
        <v>2766142</v>
      </c>
      <c r="AZ40" s="68">
        <v>55118.571428571428</v>
      </c>
      <c r="BA40" s="68">
        <v>36745.714285714283</v>
      </c>
      <c r="BB40" s="68">
        <v>33071.142857142855</v>
      </c>
      <c r="BC40" s="68">
        <v>36745.714285714283</v>
      </c>
      <c r="BD40" s="68">
        <v>754857</v>
      </c>
    </row>
    <row r="41" spans="1:58" s="68" customFormat="1" ht="33" customHeight="1" x14ac:dyDescent="0.3">
      <c r="A41" s="135"/>
      <c r="B41" s="66" t="s">
        <v>43</v>
      </c>
      <c r="C41" s="67">
        <f>SUM(D41:BD41)</f>
        <v>4562000</v>
      </c>
      <c r="D41" s="82"/>
      <c r="E41" s="82">
        <v>307000</v>
      </c>
      <c r="F41" s="82">
        <v>115000</v>
      </c>
      <c r="G41" s="82">
        <v>195000</v>
      </c>
      <c r="H41" s="68">
        <v>585000</v>
      </c>
      <c r="I41" s="82"/>
      <c r="O41" s="68">
        <v>210000</v>
      </c>
      <c r="P41" s="68">
        <v>100000</v>
      </c>
      <c r="R41" s="68">
        <v>350000</v>
      </c>
      <c r="X41" s="68">
        <v>100000</v>
      </c>
      <c r="Y41" s="68">
        <v>80000</v>
      </c>
      <c r="Z41" s="68">
        <v>250000</v>
      </c>
      <c r="AB41" s="68">
        <v>40000</v>
      </c>
      <c r="AE41" s="68">
        <v>80000</v>
      </c>
      <c r="AH41" s="68">
        <v>225000</v>
      </c>
      <c r="AT41" s="68">
        <v>200000</v>
      </c>
      <c r="AV41" s="68">
        <v>60000</v>
      </c>
      <c r="AY41" s="68">
        <v>1545000</v>
      </c>
      <c r="BA41" s="68">
        <v>85000</v>
      </c>
      <c r="BD41" s="68">
        <v>35000</v>
      </c>
    </row>
    <row r="42" spans="1:58" s="68" customFormat="1" ht="54.5" customHeight="1" x14ac:dyDescent="0.3">
      <c r="A42" s="135"/>
      <c r="B42" s="66" t="s">
        <v>44</v>
      </c>
      <c r="C42" s="67">
        <f t="shared" si="7"/>
        <v>13713000</v>
      </c>
      <c r="D42" s="82"/>
      <c r="E42" s="82"/>
      <c r="F42" s="82">
        <v>213000</v>
      </c>
      <c r="G42" s="68">
        <v>1000000</v>
      </c>
      <c r="I42" s="82"/>
      <c r="J42" s="82">
        <v>400000</v>
      </c>
      <c r="L42" s="82">
        <v>250000</v>
      </c>
      <c r="M42" s="82"/>
      <c r="O42" s="68">
        <v>340000</v>
      </c>
      <c r="P42" s="68">
        <v>795000</v>
      </c>
      <c r="R42" s="68">
        <v>250000</v>
      </c>
      <c r="S42" s="68">
        <v>490000</v>
      </c>
      <c r="U42" s="68">
        <v>300000</v>
      </c>
      <c r="V42" s="68">
        <v>100000</v>
      </c>
      <c r="X42" s="68">
        <v>1290000</v>
      </c>
      <c r="Y42" s="68">
        <v>300000</v>
      </c>
      <c r="Z42" s="68">
        <v>100000</v>
      </c>
      <c r="AA42" s="68">
        <v>131000</v>
      </c>
      <c r="AC42" s="68">
        <v>3100000</v>
      </c>
      <c r="AD42" s="68">
        <v>100000</v>
      </c>
      <c r="AE42" s="68">
        <v>370000</v>
      </c>
      <c r="AF42" s="68">
        <v>252000</v>
      </c>
      <c r="AH42" s="68">
        <v>200000</v>
      </c>
      <c r="AI42" s="68">
        <v>800000</v>
      </c>
      <c r="AJ42" s="68">
        <v>1042000</v>
      </c>
      <c r="AQ42" s="68">
        <v>1300000</v>
      </c>
      <c r="AS42" s="68">
        <v>75000</v>
      </c>
      <c r="AT42" s="68">
        <v>120000</v>
      </c>
      <c r="AU42" s="68">
        <v>100000</v>
      </c>
      <c r="AV42" s="68">
        <v>75000</v>
      </c>
      <c r="BA42" s="68">
        <v>200000</v>
      </c>
      <c r="BB42" s="68">
        <v>20000</v>
      </c>
    </row>
    <row r="43" spans="1:58" s="93" customFormat="1" ht="13" x14ac:dyDescent="0.3">
      <c r="A43" s="91" t="s">
        <v>45</v>
      </c>
      <c r="B43" s="92"/>
      <c r="C43" s="62">
        <f t="shared" ref="C43:AW43" si="8">SUM(C30:C42)</f>
        <v>244581722.31213221</v>
      </c>
      <c r="D43" s="92">
        <f t="shared" si="8"/>
        <v>3397605.0388668273</v>
      </c>
      <c r="E43" s="92">
        <f t="shared" si="8"/>
        <v>6203627.1644208385</v>
      </c>
      <c r="F43" s="92">
        <f t="shared" si="8"/>
        <v>4457017.2908444228</v>
      </c>
      <c r="G43" s="92">
        <f t="shared" si="8"/>
        <v>10209738.372930074</v>
      </c>
      <c r="H43" s="92">
        <f t="shared" si="8"/>
        <v>4719005.1840155907</v>
      </c>
      <c r="I43" s="92">
        <f t="shared" si="8"/>
        <v>3099357.7168975514</v>
      </c>
      <c r="J43" s="92">
        <f t="shared" si="8"/>
        <v>4026118.4178247112</v>
      </c>
      <c r="K43" s="92">
        <f t="shared" si="8"/>
        <v>2831003.8899574517</v>
      </c>
      <c r="L43" s="92">
        <f t="shared" si="8"/>
        <v>5536886.2923111105</v>
      </c>
      <c r="M43" s="92">
        <f t="shared" si="8"/>
        <v>4913505.247537449</v>
      </c>
      <c r="N43" s="92">
        <f t="shared" si="8"/>
        <v>3992153.4957548911</v>
      </c>
      <c r="O43" s="92">
        <f t="shared" si="8"/>
        <v>7781292.0239877123</v>
      </c>
      <c r="P43" s="92">
        <f t="shared" si="8"/>
        <v>6806470.642900303</v>
      </c>
      <c r="Q43" s="92">
        <f t="shared" si="8"/>
        <v>3011131.9601328908</v>
      </c>
      <c r="R43" s="92">
        <f t="shared" si="8"/>
        <v>4004537.1240892932</v>
      </c>
      <c r="S43" s="92">
        <f t="shared" si="8"/>
        <v>2775241.1527835689</v>
      </c>
      <c r="T43" s="92">
        <f t="shared" si="8"/>
        <v>3427113.5482631526</v>
      </c>
      <c r="U43" s="92">
        <f t="shared" si="8"/>
        <v>7655651.1233360302</v>
      </c>
      <c r="V43" s="92">
        <f t="shared" si="8"/>
        <v>4998536.3448440051</v>
      </c>
      <c r="W43" s="92">
        <f t="shared" si="8"/>
        <v>5180608.0792014152</v>
      </c>
      <c r="X43" s="92">
        <f t="shared" si="8"/>
        <v>4852185.9966777414</v>
      </c>
      <c r="Y43" s="92">
        <f t="shared" si="8"/>
        <v>2352565.9646327393</v>
      </c>
      <c r="Z43" s="92">
        <f t="shared" si="8"/>
        <v>3539805.3669254403</v>
      </c>
      <c r="AA43" s="92">
        <f t="shared" si="8"/>
        <v>5371110.8392795026</v>
      </c>
      <c r="AB43" s="92">
        <f t="shared" si="8"/>
        <v>2217557.1824436397</v>
      </c>
      <c r="AC43" s="92">
        <f t="shared" si="8"/>
        <v>7613820.5281916056</v>
      </c>
      <c r="AD43" s="92">
        <f t="shared" si="8"/>
        <v>2939082.9573195009</v>
      </c>
      <c r="AE43" s="92">
        <f t="shared" si="8"/>
        <v>3306004.4773561815</v>
      </c>
      <c r="AF43" s="92">
        <f t="shared" si="8"/>
        <v>5593036.9090572819</v>
      </c>
      <c r="AG43" s="92">
        <f t="shared" si="8"/>
        <v>3134855.4600072643</v>
      </c>
      <c r="AH43" s="92">
        <f t="shared" si="8"/>
        <v>4695980.9580693161</v>
      </c>
      <c r="AI43" s="92">
        <f t="shared" si="8"/>
        <v>4821840.6664799778</v>
      </c>
      <c r="AJ43" s="92">
        <f t="shared" si="8"/>
        <v>7012901.0352004282</v>
      </c>
      <c r="AK43" s="92">
        <f t="shared" si="8"/>
        <v>3154567.463607918</v>
      </c>
      <c r="AL43" s="92">
        <f t="shared" si="8"/>
        <v>3869228.6887125904</v>
      </c>
      <c r="AM43" s="92">
        <f t="shared" si="8"/>
        <v>4868041.9498646986</v>
      </c>
      <c r="AN43" s="92">
        <f t="shared" si="8"/>
        <v>2687873.3359970558</v>
      </c>
      <c r="AO43" s="92">
        <f t="shared" si="8"/>
        <v>2132595.4429591652</v>
      </c>
      <c r="AP43" s="92">
        <f t="shared" si="8"/>
        <v>2889354.7671504342</v>
      </c>
      <c r="AQ43" s="92">
        <f t="shared" si="8"/>
        <v>7171149.2286006296</v>
      </c>
      <c r="AR43" s="92">
        <f t="shared" si="8"/>
        <v>2904596.2197237858</v>
      </c>
      <c r="AS43" s="92">
        <f t="shared" si="8"/>
        <v>4503532.1889085174</v>
      </c>
      <c r="AT43" s="92">
        <f t="shared" si="8"/>
        <v>14008072.690505765</v>
      </c>
      <c r="AU43" s="92">
        <f t="shared" si="8"/>
        <v>3147422.1846628678</v>
      </c>
      <c r="AV43" s="92">
        <f t="shared" si="8"/>
        <v>2791890.9669979359</v>
      </c>
      <c r="AW43" s="92">
        <f t="shared" si="8"/>
        <v>2323040.7083223974</v>
      </c>
      <c r="AX43" s="92">
        <f t="shared" ref="AX43:BD43" si="9">SUM(AX30:AX42)</f>
        <v>2736372.1853278982</v>
      </c>
      <c r="AY43" s="92">
        <f t="shared" si="9"/>
        <v>9300271.900600465</v>
      </c>
      <c r="AZ43" s="92">
        <f t="shared" si="9"/>
        <v>4289835.3101844769</v>
      </c>
      <c r="BA43" s="92">
        <f t="shared" si="9"/>
        <v>3055286.5371964495</v>
      </c>
      <c r="BB43" s="92">
        <f t="shared" si="9"/>
        <v>2706461.0505905594</v>
      </c>
      <c r="BC43" s="92">
        <f t="shared" si="9"/>
        <v>2825592.8637071955</v>
      </c>
      <c r="BD43" s="92">
        <f t="shared" si="9"/>
        <v>6739188.1759715127</v>
      </c>
      <c r="BF43" s="68"/>
    </row>
    <row r="44" spans="1:58" s="96" customFormat="1" ht="13" x14ac:dyDescent="0.3">
      <c r="A44" s="94" t="s">
        <v>46</v>
      </c>
      <c r="B44" s="95"/>
      <c r="C44" s="62">
        <f>C29+C43</f>
        <v>2777350870.2287993</v>
      </c>
      <c r="D44" s="95">
        <f t="shared" ref="D44:AW44" si="10">D29+D43</f>
        <v>30445605.038866825</v>
      </c>
      <c r="E44" s="95">
        <f t="shared" si="10"/>
        <v>64533290.497754171</v>
      </c>
      <c r="F44" s="95">
        <f t="shared" si="10"/>
        <v>55936276.290844426</v>
      </c>
      <c r="G44" s="95">
        <f t="shared" si="10"/>
        <v>86658834.37293008</v>
      </c>
      <c r="H44" s="95">
        <f t="shared" si="10"/>
        <v>65693881.184015587</v>
      </c>
      <c r="I44" s="95">
        <f t="shared" si="10"/>
        <v>43366574.900230892</v>
      </c>
      <c r="J44" s="95">
        <f t="shared" si="10"/>
        <v>49891027.151158042</v>
      </c>
      <c r="K44" s="95">
        <f t="shared" si="10"/>
        <v>33078326.88995745</v>
      </c>
      <c r="L44" s="95">
        <f t="shared" si="10"/>
        <v>90287108.292311117</v>
      </c>
      <c r="M44" s="95">
        <f t="shared" si="10"/>
        <v>82713378.914204106</v>
      </c>
      <c r="N44" s="95">
        <f t="shared" si="10"/>
        <v>57497665.49575489</v>
      </c>
      <c r="O44" s="95">
        <f t="shared" si="10"/>
        <v>72391838.02398771</v>
      </c>
      <c r="P44" s="95">
        <f t="shared" si="10"/>
        <v>80828197.642900303</v>
      </c>
      <c r="Q44" s="95">
        <f t="shared" si="10"/>
        <v>39376489.960132889</v>
      </c>
      <c r="R44" s="95">
        <f t="shared" si="10"/>
        <v>56759315.124089293</v>
      </c>
      <c r="S44" s="95">
        <f t="shared" si="10"/>
        <v>35025121.819450237</v>
      </c>
      <c r="T44" s="95">
        <f t="shared" si="10"/>
        <v>18688646.548263151</v>
      </c>
      <c r="U44" s="95">
        <f t="shared" si="10"/>
        <v>82127871.123336032</v>
      </c>
      <c r="V44" s="95">
        <f t="shared" si="10"/>
        <v>41598688.678177334</v>
      </c>
      <c r="W44" s="95">
        <f t="shared" si="10"/>
        <v>48666895.745868079</v>
      </c>
      <c r="X44" s="95">
        <f t="shared" si="10"/>
        <v>33756925.663344413</v>
      </c>
      <c r="Y44" s="95">
        <f t="shared" si="10"/>
        <v>22143222.964632738</v>
      </c>
      <c r="Z44" s="95">
        <f t="shared" si="10"/>
        <v>58130888.366925441</v>
      </c>
      <c r="AA44" s="95">
        <f t="shared" si="10"/>
        <v>57263785.172612838</v>
      </c>
      <c r="AB44" s="95">
        <f t="shared" si="10"/>
        <v>16472407.182443639</v>
      </c>
      <c r="AC44" s="95">
        <f t="shared" si="10"/>
        <v>43862047.528191604</v>
      </c>
      <c r="AD44" s="95">
        <f t="shared" si="10"/>
        <v>50969301.5573195</v>
      </c>
      <c r="AE44" s="95">
        <f t="shared" si="10"/>
        <v>20774816.877356179</v>
      </c>
      <c r="AF44" s="95">
        <f t="shared" si="10"/>
        <v>49385783.909057282</v>
      </c>
      <c r="AG44" s="95">
        <f t="shared" si="10"/>
        <v>39728916.126673937</v>
      </c>
      <c r="AH44" s="95">
        <f t="shared" si="10"/>
        <v>52223680.958069317</v>
      </c>
      <c r="AI44" s="95">
        <f t="shared" si="10"/>
        <v>18493796.666479979</v>
      </c>
      <c r="AJ44" s="95">
        <f t="shared" si="10"/>
        <v>84733065.035200432</v>
      </c>
      <c r="AK44" s="95">
        <f t="shared" si="10"/>
        <v>46098289.463607915</v>
      </c>
      <c r="AL44" s="95">
        <f t="shared" si="10"/>
        <v>44640225.688712589</v>
      </c>
      <c r="AM44" s="95">
        <f t="shared" si="10"/>
        <v>67019373.9498647</v>
      </c>
      <c r="AN44" s="95">
        <f t="shared" si="10"/>
        <v>25678989.335997056</v>
      </c>
      <c r="AO44" s="95">
        <f t="shared" si="10"/>
        <v>15481826.442959165</v>
      </c>
      <c r="AP44" s="95">
        <f t="shared" si="10"/>
        <v>45846169.767150432</v>
      </c>
      <c r="AQ44" s="95">
        <f t="shared" si="10"/>
        <v>104504095.22860064</v>
      </c>
      <c r="AR44" s="95">
        <f t="shared" si="10"/>
        <v>33518556.219723787</v>
      </c>
      <c r="AS44" s="95">
        <f t="shared" si="10"/>
        <v>70103385.188908517</v>
      </c>
      <c r="AT44" s="95">
        <f t="shared" si="10"/>
        <v>146397636.35717243</v>
      </c>
      <c r="AU44" s="95">
        <f t="shared" si="10"/>
        <v>19193761.184662867</v>
      </c>
      <c r="AV44" s="95">
        <f t="shared" si="10"/>
        <v>33261622.633664604</v>
      </c>
      <c r="AW44" s="95">
        <f t="shared" si="10"/>
        <v>35569894.041655727</v>
      </c>
      <c r="AX44" s="95">
        <f t="shared" ref="AX44:BD44" si="11">AX29+AX43</f>
        <v>32147062.185327899</v>
      </c>
      <c r="AY44" s="95">
        <f t="shared" si="11"/>
        <v>81208173.900600463</v>
      </c>
      <c r="AZ44" s="95">
        <f t="shared" si="11"/>
        <v>68738903.310184479</v>
      </c>
      <c r="BA44" s="95">
        <f t="shared" si="11"/>
        <v>42268062.53719645</v>
      </c>
      <c r="BB44" s="95">
        <f t="shared" si="11"/>
        <v>25067413.05059056</v>
      </c>
      <c r="BC44" s="95">
        <f t="shared" si="11"/>
        <v>51639228.863707192</v>
      </c>
      <c r="BD44" s="95">
        <f t="shared" si="11"/>
        <v>105464529.17597151</v>
      </c>
      <c r="BF44" s="68"/>
    </row>
    <row r="45" spans="1:58" s="93" customFormat="1" ht="13" x14ac:dyDescent="0.3">
      <c r="A45" s="92" t="s">
        <v>47</v>
      </c>
      <c r="B45" s="92"/>
      <c r="C45" s="67">
        <f t="shared" ref="C45:AW45" si="12">C4-C29</f>
        <v>731444031.08333302</v>
      </c>
      <c r="D45" s="97">
        <f t="shared" si="12"/>
        <v>8462000</v>
      </c>
      <c r="E45" s="97">
        <f t="shared" si="12"/>
        <v>10100336.666666664</v>
      </c>
      <c r="F45" s="97">
        <f t="shared" si="12"/>
        <v>14461741</v>
      </c>
      <c r="G45" s="97">
        <f t="shared" si="12"/>
        <v>32980570</v>
      </c>
      <c r="H45" s="97">
        <f t="shared" si="12"/>
        <v>7791124</v>
      </c>
      <c r="I45" s="97">
        <f t="shared" si="12"/>
        <v>10051782.816666663</v>
      </c>
      <c r="J45" s="97">
        <f t="shared" si="12"/>
        <v>11403091.266666666</v>
      </c>
      <c r="K45" s="97">
        <f t="shared" si="12"/>
        <v>5105677</v>
      </c>
      <c r="L45" s="97">
        <f t="shared" si="12"/>
        <v>22245778</v>
      </c>
      <c r="M45" s="97">
        <f t="shared" si="12"/>
        <v>23207126.333333343</v>
      </c>
      <c r="N45" s="97">
        <f t="shared" si="12"/>
        <v>16383288</v>
      </c>
      <c r="O45" s="97">
        <f t="shared" si="12"/>
        <v>11537454</v>
      </c>
      <c r="P45" s="97">
        <f t="shared" si="12"/>
        <v>15862273</v>
      </c>
      <c r="Q45" s="97">
        <f t="shared" si="12"/>
        <v>13327642</v>
      </c>
      <c r="R45" s="97">
        <f t="shared" si="12"/>
        <v>15108222</v>
      </c>
      <c r="S45" s="97">
        <f t="shared" si="12"/>
        <v>14467119.333333332</v>
      </c>
      <c r="T45" s="97">
        <f t="shared" si="12"/>
        <v>13416467</v>
      </c>
      <c r="U45" s="97">
        <f t="shared" si="12"/>
        <v>14668780</v>
      </c>
      <c r="V45" s="97">
        <f t="shared" si="12"/>
        <v>12394847.666666672</v>
      </c>
      <c r="W45" s="97">
        <f t="shared" si="12"/>
        <v>2134712.3333333358</v>
      </c>
      <c r="X45" s="97">
        <f t="shared" si="12"/>
        <v>1832260.3333333321</v>
      </c>
      <c r="Y45" s="97">
        <f t="shared" si="12"/>
        <v>7919343</v>
      </c>
      <c r="Z45" s="97">
        <f t="shared" si="12"/>
        <v>9605797</v>
      </c>
      <c r="AA45" s="97">
        <f t="shared" si="12"/>
        <v>17937325.666666664</v>
      </c>
      <c r="AB45" s="97">
        <f t="shared" si="12"/>
        <v>8630483</v>
      </c>
      <c r="AC45" s="97">
        <f t="shared" si="12"/>
        <v>12955573</v>
      </c>
      <c r="AD45" s="97">
        <f t="shared" si="12"/>
        <v>10611781.399999999</v>
      </c>
      <c r="AE45" s="97">
        <f t="shared" si="12"/>
        <v>4429187.6000000015</v>
      </c>
      <c r="AF45" s="97">
        <f t="shared" si="12"/>
        <v>16778253</v>
      </c>
      <c r="AG45" s="97">
        <f t="shared" si="12"/>
        <v>17807939.333333328</v>
      </c>
      <c r="AH45" s="97">
        <f t="shared" si="12"/>
        <v>11171500</v>
      </c>
      <c r="AI45" s="97">
        <f t="shared" si="12"/>
        <v>8797044</v>
      </c>
      <c r="AJ45" s="97">
        <f t="shared" si="12"/>
        <v>18236336</v>
      </c>
      <c r="AK45" s="97">
        <f t="shared" si="12"/>
        <v>15070278</v>
      </c>
      <c r="AL45" s="97">
        <f t="shared" si="12"/>
        <v>14219003</v>
      </c>
      <c r="AM45" s="97">
        <f t="shared" si="12"/>
        <v>12695468</v>
      </c>
      <c r="AN45" s="97">
        <f t="shared" si="12"/>
        <v>8532884</v>
      </c>
      <c r="AO45" s="97">
        <f t="shared" si="12"/>
        <v>12647769</v>
      </c>
      <c r="AP45" s="97">
        <f t="shared" si="12"/>
        <v>11789185</v>
      </c>
      <c r="AQ45" s="97">
        <f t="shared" si="12"/>
        <v>21684154</v>
      </c>
      <c r="AR45" s="97">
        <f t="shared" si="12"/>
        <v>11469040</v>
      </c>
      <c r="AS45" s="97">
        <f t="shared" si="12"/>
        <v>18564147</v>
      </c>
      <c r="AT45" s="97">
        <f t="shared" si="12"/>
        <v>38897436.333333328</v>
      </c>
      <c r="AU45" s="97">
        <f t="shared" si="12"/>
        <v>9320661</v>
      </c>
      <c r="AV45" s="97">
        <f t="shared" si="12"/>
        <v>12135268.333333332</v>
      </c>
      <c r="AW45" s="97">
        <f t="shared" si="12"/>
        <v>6629546.6666666679</v>
      </c>
      <c r="AX45" s="97">
        <f t="shared" ref="AX45:BD45" si="13">AX4-AX29</f>
        <v>10115310</v>
      </c>
      <c r="AY45" s="97">
        <f t="shared" si="13"/>
        <v>25346098</v>
      </c>
      <c r="AZ45" s="97">
        <f t="shared" si="13"/>
        <v>22317932</v>
      </c>
      <c r="BA45" s="97">
        <f t="shared" si="13"/>
        <v>7435424</v>
      </c>
      <c r="BB45" s="97">
        <f t="shared" si="13"/>
        <v>16924548</v>
      </c>
      <c r="BC45" s="97">
        <f t="shared" si="13"/>
        <v>12694364</v>
      </c>
      <c r="BD45" s="97">
        <f t="shared" si="13"/>
        <v>21132659</v>
      </c>
      <c r="BF45" s="68"/>
    </row>
    <row r="46" spans="1:58" s="100" customFormat="1" ht="13" x14ac:dyDescent="0.3">
      <c r="A46" s="98" t="s">
        <v>48</v>
      </c>
      <c r="B46" s="98"/>
      <c r="C46" s="67">
        <f>C4-C44</f>
        <v>486862308.77120066</v>
      </c>
      <c r="D46" s="99">
        <f t="shared" ref="D46:AW46" si="14">D4-D44</f>
        <v>5064394.9611331746</v>
      </c>
      <c r="E46" s="99">
        <f t="shared" si="14"/>
        <v>3896709.5022458285</v>
      </c>
      <c r="F46" s="99">
        <f t="shared" si="14"/>
        <v>10004723.709155574</v>
      </c>
      <c r="G46" s="99">
        <f t="shared" si="14"/>
        <v>22770831.62706992</v>
      </c>
      <c r="H46" s="99">
        <f t="shared" si="14"/>
        <v>3072118.815984413</v>
      </c>
      <c r="I46" s="99">
        <f t="shared" si="14"/>
        <v>6952425.099769108</v>
      </c>
      <c r="J46" s="99">
        <f t="shared" si="14"/>
        <v>7376972.8488419577</v>
      </c>
      <c r="K46" s="99">
        <f t="shared" si="14"/>
        <v>2274673.1100425497</v>
      </c>
      <c r="L46" s="99">
        <f t="shared" si="14"/>
        <v>16708891.707688883</v>
      </c>
      <c r="M46" s="99">
        <f t="shared" si="14"/>
        <v>18293621.085795894</v>
      </c>
      <c r="N46" s="99">
        <f t="shared" si="14"/>
        <v>12391134.50424511</v>
      </c>
      <c r="O46" s="99">
        <f t="shared" si="14"/>
        <v>3756161.9760122895</v>
      </c>
      <c r="P46" s="99">
        <f t="shared" si="14"/>
        <v>9055802.357099697</v>
      </c>
      <c r="Q46" s="99">
        <f t="shared" si="14"/>
        <v>10316510.039867111</v>
      </c>
      <c r="R46" s="99">
        <f t="shared" si="14"/>
        <v>11103684.875910707</v>
      </c>
      <c r="S46" s="99">
        <f t="shared" si="14"/>
        <v>11691878.180549763</v>
      </c>
      <c r="T46" s="99">
        <f t="shared" si="14"/>
        <v>9989353.4517368488</v>
      </c>
      <c r="U46" s="99">
        <f t="shared" si="14"/>
        <v>7013128.876663968</v>
      </c>
      <c r="V46" s="99">
        <f t="shared" si="14"/>
        <v>7396311.3218226656</v>
      </c>
      <c r="W46" s="99">
        <f t="shared" si="14"/>
        <v>-3045895.7458680794</v>
      </c>
      <c r="X46" s="99">
        <f t="shared" si="14"/>
        <v>-3019925.663344413</v>
      </c>
      <c r="Y46" s="99">
        <f t="shared" si="14"/>
        <v>5566777.0353672616</v>
      </c>
      <c r="Z46" s="99">
        <f t="shared" si="14"/>
        <v>6065991.6330745593</v>
      </c>
      <c r="AA46" s="99">
        <f t="shared" si="14"/>
        <v>12566214.827387162</v>
      </c>
      <c r="AB46" s="99">
        <f t="shared" si="14"/>
        <v>6412925.8175563607</v>
      </c>
      <c r="AC46" s="99">
        <f t="shared" si="14"/>
        <v>5341752.4718083963</v>
      </c>
      <c r="AD46" s="99">
        <f t="shared" si="14"/>
        <v>7672698.4426805004</v>
      </c>
      <c r="AE46" s="99">
        <f t="shared" si="14"/>
        <v>1123183.1226438209</v>
      </c>
      <c r="AF46" s="99">
        <f t="shared" si="14"/>
        <v>11185216.090942718</v>
      </c>
      <c r="AG46" s="99">
        <f t="shared" si="14"/>
        <v>14673083.873326063</v>
      </c>
      <c r="AH46" s="99">
        <f t="shared" si="14"/>
        <v>6475519.041930683</v>
      </c>
      <c r="AI46" s="99">
        <f t="shared" si="14"/>
        <v>3975203.3335200213</v>
      </c>
      <c r="AJ46" s="99">
        <f t="shared" si="14"/>
        <v>11223434.964799568</v>
      </c>
      <c r="AK46" s="99">
        <f t="shared" si="14"/>
        <v>11915710.536392085</v>
      </c>
      <c r="AL46" s="99">
        <f t="shared" si="14"/>
        <v>10349774.311287411</v>
      </c>
      <c r="AM46" s="99">
        <f t="shared" si="14"/>
        <v>7827426.0501352996</v>
      </c>
      <c r="AN46" s="99">
        <f t="shared" si="14"/>
        <v>5845010.6640029438</v>
      </c>
      <c r="AO46" s="99">
        <f t="shared" si="14"/>
        <v>10515173.557040835</v>
      </c>
      <c r="AP46" s="99">
        <f t="shared" si="14"/>
        <v>8899830.2328495681</v>
      </c>
      <c r="AQ46" s="99">
        <f t="shared" si="14"/>
        <v>14513004.771399364</v>
      </c>
      <c r="AR46" s="99">
        <f t="shared" si="14"/>
        <v>8564443.7802762128</v>
      </c>
      <c r="AS46" s="99">
        <f t="shared" si="14"/>
        <v>14060614.811091483</v>
      </c>
      <c r="AT46" s="99">
        <f t="shared" si="14"/>
        <v>24889363.64282757</v>
      </c>
      <c r="AU46" s="99">
        <f t="shared" si="14"/>
        <v>6173238.8153371327</v>
      </c>
      <c r="AV46" s="99">
        <f t="shared" si="14"/>
        <v>9343377.3663353957</v>
      </c>
      <c r="AW46" s="99">
        <f t="shared" si="14"/>
        <v>4306505.9583442733</v>
      </c>
      <c r="AX46" s="99">
        <f t="shared" ref="AX46:BD46" si="15">AX4-AX44</f>
        <v>7378937.8146721013</v>
      </c>
      <c r="AY46" s="99">
        <f t="shared" si="15"/>
        <v>16045826.099399537</v>
      </c>
      <c r="AZ46" s="99">
        <f t="shared" si="15"/>
        <v>18028096.689815521</v>
      </c>
      <c r="BA46" s="99">
        <f t="shared" si="15"/>
        <v>4380137.4628035501</v>
      </c>
      <c r="BB46" s="99">
        <f t="shared" si="15"/>
        <v>14218086.94940944</v>
      </c>
      <c r="BC46" s="99">
        <f t="shared" si="15"/>
        <v>9868771.1362928078</v>
      </c>
      <c r="BD46" s="99">
        <f t="shared" si="15"/>
        <v>14393470.824028492</v>
      </c>
      <c r="BF46" s="68"/>
    </row>
    <row r="47" spans="1:58" s="64" customFormat="1" ht="13" x14ac:dyDescent="0.3">
      <c r="A47" s="60" t="s">
        <v>29</v>
      </c>
      <c r="B47" s="60"/>
      <c r="C47" s="67">
        <f t="shared" ref="C47:AW47" si="16">C29</f>
        <v>2532769147.916667</v>
      </c>
      <c r="D47" s="61">
        <f t="shared" si="16"/>
        <v>27048000</v>
      </c>
      <c r="E47" s="61">
        <f t="shared" si="16"/>
        <v>58329663.333333336</v>
      </c>
      <c r="F47" s="61">
        <f t="shared" si="16"/>
        <v>51479259</v>
      </c>
      <c r="G47" s="61">
        <f t="shared" si="16"/>
        <v>76449096</v>
      </c>
      <c r="H47" s="61">
        <f t="shared" si="16"/>
        <v>60974876</v>
      </c>
      <c r="I47" s="61">
        <f t="shared" si="16"/>
        <v>40267217.183333337</v>
      </c>
      <c r="J47" s="61">
        <f t="shared" si="16"/>
        <v>45864908.733333334</v>
      </c>
      <c r="K47" s="61">
        <f t="shared" si="16"/>
        <v>30247323</v>
      </c>
      <c r="L47" s="61">
        <f t="shared" si="16"/>
        <v>84750222</v>
      </c>
      <c r="M47" s="61">
        <f t="shared" si="16"/>
        <v>77799873.666666657</v>
      </c>
      <c r="N47" s="61">
        <f t="shared" si="16"/>
        <v>53505512</v>
      </c>
      <c r="O47" s="61">
        <f t="shared" si="16"/>
        <v>64610546</v>
      </c>
      <c r="P47" s="61">
        <f t="shared" si="16"/>
        <v>74021727</v>
      </c>
      <c r="Q47" s="61">
        <f t="shared" si="16"/>
        <v>36365358</v>
      </c>
      <c r="R47" s="61">
        <f t="shared" si="16"/>
        <v>52754778</v>
      </c>
      <c r="S47" s="61">
        <f t="shared" si="16"/>
        <v>32249880.666666668</v>
      </c>
      <c r="T47" s="61">
        <f t="shared" si="16"/>
        <v>15261533</v>
      </c>
      <c r="U47" s="61">
        <f t="shared" si="16"/>
        <v>74472220</v>
      </c>
      <c r="V47" s="61">
        <f t="shared" si="16"/>
        <v>36600152.333333328</v>
      </c>
      <c r="W47" s="61">
        <f t="shared" si="16"/>
        <v>43486287.666666664</v>
      </c>
      <c r="X47" s="61">
        <f t="shared" si="16"/>
        <v>28904739.666666668</v>
      </c>
      <c r="Y47" s="61">
        <f t="shared" si="16"/>
        <v>19790657</v>
      </c>
      <c r="Z47" s="61">
        <f t="shared" si="16"/>
        <v>54591083</v>
      </c>
      <c r="AA47" s="61">
        <f t="shared" si="16"/>
        <v>51892674.333333336</v>
      </c>
      <c r="AB47" s="61">
        <f t="shared" si="16"/>
        <v>14254850</v>
      </c>
      <c r="AC47" s="61">
        <f t="shared" si="16"/>
        <v>36248227</v>
      </c>
      <c r="AD47" s="61">
        <f t="shared" si="16"/>
        <v>48030218.600000001</v>
      </c>
      <c r="AE47" s="61">
        <f t="shared" si="16"/>
        <v>17468812.399999999</v>
      </c>
      <c r="AF47" s="61">
        <f t="shared" si="16"/>
        <v>43792747</v>
      </c>
      <c r="AG47" s="61">
        <f t="shared" si="16"/>
        <v>36594060.666666672</v>
      </c>
      <c r="AH47" s="61">
        <f t="shared" si="16"/>
        <v>47527700</v>
      </c>
      <c r="AI47" s="61">
        <f t="shared" si="16"/>
        <v>13671956</v>
      </c>
      <c r="AJ47" s="61">
        <f t="shared" si="16"/>
        <v>77720164</v>
      </c>
      <c r="AK47" s="61">
        <f t="shared" si="16"/>
        <v>42943722</v>
      </c>
      <c r="AL47" s="61">
        <f t="shared" si="16"/>
        <v>40770997</v>
      </c>
      <c r="AM47" s="61">
        <f t="shared" si="16"/>
        <v>62151332</v>
      </c>
      <c r="AN47" s="61">
        <f t="shared" si="16"/>
        <v>22991116</v>
      </c>
      <c r="AO47" s="61">
        <f t="shared" si="16"/>
        <v>13349231</v>
      </c>
      <c r="AP47" s="61">
        <f t="shared" si="16"/>
        <v>42956815</v>
      </c>
      <c r="AQ47" s="61">
        <f t="shared" si="16"/>
        <v>97332946</v>
      </c>
      <c r="AR47" s="61">
        <f t="shared" si="16"/>
        <v>30613960</v>
      </c>
      <c r="AS47" s="61">
        <f t="shared" si="16"/>
        <v>65599853</v>
      </c>
      <c r="AT47" s="61">
        <f t="shared" si="16"/>
        <v>132389563.66666667</v>
      </c>
      <c r="AU47" s="61">
        <f t="shared" si="16"/>
        <v>16046339</v>
      </c>
      <c r="AV47" s="61">
        <f t="shared" si="16"/>
        <v>30469731.666666668</v>
      </c>
      <c r="AW47" s="61">
        <f t="shared" si="16"/>
        <v>33246853.333333332</v>
      </c>
      <c r="AX47" s="61">
        <f t="shared" ref="AX47:BD47" si="17">AX29</f>
        <v>29410690</v>
      </c>
      <c r="AY47" s="61">
        <f t="shared" si="17"/>
        <v>71907902</v>
      </c>
      <c r="AZ47" s="61">
        <f t="shared" si="17"/>
        <v>64449068</v>
      </c>
      <c r="BA47" s="61">
        <f t="shared" si="17"/>
        <v>39212776</v>
      </c>
      <c r="BB47" s="61">
        <f t="shared" si="17"/>
        <v>22360952</v>
      </c>
      <c r="BC47" s="61">
        <f t="shared" si="17"/>
        <v>48813636</v>
      </c>
      <c r="BD47" s="61">
        <f t="shared" si="17"/>
        <v>98725341</v>
      </c>
      <c r="BF47" s="68"/>
    </row>
    <row r="48" spans="1:58" s="104" customFormat="1" ht="13" x14ac:dyDescent="0.3">
      <c r="A48" s="101" t="s">
        <v>49</v>
      </c>
      <c r="B48" s="102"/>
      <c r="C48" s="103">
        <f t="shared" ref="C48:AW48" si="18">C46/C4</f>
        <v>0.14915150514782008</v>
      </c>
      <c r="D48" s="101">
        <f t="shared" si="18"/>
        <v>0.14261883866891509</v>
      </c>
      <c r="E48" s="101">
        <f t="shared" si="18"/>
        <v>5.694446152631636E-2</v>
      </c>
      <c r="F48" s="101">
        <f t="shared" si="18"/>
        <v>0.1517223534546879</v>
      </c>
      <c r="G48" s="101">
        <f t="shared" si="18"/>
        <v>0.20808645826507338</v>
      </c>
      <c r="H48" s="101">
        <f t="shared" si="18"/>
        <v>4.4674967512788488E-2</v>
      </c>
      <c r="I48" s="101">
        <f t="shared" si="18"/>
        <v>0.13816699655734629</v>
      </c>
      <c r="J48" s="101">
        <f t="shared" si="18"/>
        <v>0.12881492017954108</v>
      </c>
      <c r="K48" s="101">
        <f t="shared" si="18"/>
        <v>6.4341728001656148E-2</v>
      </c>
      <c r="L48" s="101">
        <f t="shared" si="18"/>
        <v>0.15616370432248761</v>
      </c>
      <c r="M48" s="101">
        <f t="shared" si="18"/>
        <v>0.18111240890033259</v>
      </c>
      <c r="N48" s="101">
        <f t="shared" si="18"/>
        <v>0.17729785751429572</v>
      </c>
      <c r="O48" s="101">
        <f t="shared" si="18"/>
        <v>4.9327125807799146E-2</v>
      </c>
      <c r="P48" s="101">
        <f t="shared" si="18"/>
        <v>0.10074988159293864</v>
      </c>
      <c r="Q48" s="101">
        <f t="shared" si="18"/>
        <v>0.20760489485173184</v>
      </c>
      <c r="R48" s="101">
        <f t="shared" si="18"/>
        <v>0.16361912788869792</v>
      </c>
      <c r="S48" s="101">
        <f t="shared" si="18"/>
        <v>0.25027031231778074</v>
      </c>
      <c r="T48" s="101">
        <f t="shared" si="18"/>
        <v>0.34832810697178496</v>
      </c>
      <c r="U48" s="101">
        <f t="shared" si="18"/>
        <v>7.8674559144097198E-2</v>
      </c>
      <c r="V48" s="101">
        <f t="shared" si="18"/>
        <v>0.15096053315282509</v>
      </c>
      <c r="W48" s="101">
        <f t="shared" si="18"/>
        <v>-6.6765212202013965E-2</v>
      </c>
      <c r="X48" s="101">
        <f t="shared" si="18"/>
        <v>-9.8250501458971698E-2</v>
      </c>
      <c r="Y48" s="101">
        <f t="shared" si="18"/>
        <v>0.20089415501144936</v>
      </c>
      <c r="Z48" s="101">
        <f t="shared" si="18"/>
        <v>9.4490443041383931E-2</v>
      </c>
      <c r="AA48" s="101">
        <f t="shared" si="18"/>
        <v>0.17995438675908867</v>
      </c>
      <c r="AB48" s="101">
        <f t="shared" si="18"/>
        <v>0.28021990405629493</v>
      </c>
      <c r="AC48" s="101">
        <f t="shared" si="18"/>
        <v>0.10856381970108805</v>
      </c>
      <c r="AD48" s="101">
        <f t="shared" si="18"/>
        <v>0.1308396446690171</v>
      </c>
      <c r="AE48" s="101">
        <f t="shared" si="18"/>
        <v>5.1291584740333407E-2</v>
      </c>
      <c r="AF48" s="101">
        <f t="shared" si="18"/>
        <v>0.18466289298414618</v>
      </c>
      <c r="AG48" s="101">
        <f t="shared" si="18"/>
        <v>0.2697158904695795</v>
      </c>
      <c r="AH48" s="101">
        <f t="shared" si="18"/>
        <v>0.1103169897022563</v>
      </c>
      <c r="AI48" s="101">
        <f t="shared" si="18"/>
        <v>0.17691945941163476</v>
      </c>
      <c r="AJ48" s="101">
        <f t="shared" si="18"/>
        <v>0.11696378009618492</v>
      </c>
      <c r="AK48" s="101">
        <f t="shared" si="18"/>
        <v>0.20539370731878659</v>
      </c>
      <c r="AL48" s="101">
        <f t="shared" si="18"/>
        <v>0.18821193510251702</v>
      </c>
      <c r="AM48" s="101">
        <f t="shared" si="18"/>
        <v>0.10457930132130297</v>
      </c>
      <c r="AN48" s="101">
        <f t="shared" si="18"/>
        <v>0.18541462580900089</v>
      </c>
      <c r="AO48" s="101">
        <f t="shared" si="18"/>
        <v>0.4044764225503264</v>
      </c>
      <c r="AP48" s="101">
        <f t="shared" si="18"/>
        <v>0.16256585381305608</v>
      </c>
      <c r="AQ48" s="101">
        <f t="shared" si="18"/>
        <v>0.12194050074652604</v>
      </c>
      <c r="AR48" s="101">
        <f t="shared" si="18"/>
        <v>0.2035131473582257</v>
      </c>
      <c r="AS48" s="101">
        <f t="shared" si="18"/>
        <v>0.16706210269344948</v>
      </c>
      <c r="AT48" s="101">
        <f t="shared" si="18"/>
        <v>0.14530795473578012</v>
      </c>
      <c r="AU48" s="101">
        <f t="shared" si="18"/>
        <v>0.2433570708139367</v>
      </c>
      <c r="AV48" s="101">
        <f t="shared" si="18"/>
        <v>0.21930236747647919</v>
      </c>
      <c r="AW48" s="101">
        <f t="shared" si="18"/>
        <v>0.10799635770391192</v>
      </c>
      <c r="AX48" s="101">
        <f t="shared" ref="AX48:BD48" si="19">AX46/AX4</f>
        <v>0.18668567056297378</v>
      </c>
      <c r="AY48" s="101">
        <f t="shared" si="19"/>
        <v>0.16498885495094842</v>
      </c>
      <c r="AZ48" s="101">
        <f t="shared" si="19"/>
        <v>0.20777595963690712</v>
      </c>
      <c r="BA48" s="101">
        <f t="shared" si="19"/>
        <v>9.3897244969871299E-2</v>
      </c>
      <c r="BB48" s="101">
        <f t="shared" si="19"/>
        <v>0.36191691462268372</v>
      </c>
      <c r="BC48" s="101">
        <f t="shared" si="19"/>
        <v>0.16044695220610014</v>
      </c>
      <c r="BD48" s="101">
        <f t="shared" si="19"/>
        <v>0.12008769397143697</v>
      </c>
      <c r="BF48" s="123"/>
    </row>
    <row r="49" spans="1:58" s="104" customFormat="1" ht="13" x14ac:dyDescent="0.3">
      <c r="A49" s="101" t="s">
        <v>50</v>
      </c>
      <c r="B49" s="102"/>
      <c r="C49" s="103">
        <f t="shared" ref="C49:AW49" si="20">C45/C4</f>
        <v>0.22407973712899865</v>
      </c>
      <c r="D49" s="101">
        <f t="shared" si="20"/>
        <v>0.23829907068431427</v>
      </c>
      <c r="E49" s="101">
        <f t="shared" si="20"/>
        <v>0.14760100345852206</v>
      </c>
      <c r="F49" s="101">
        <f t="shared" si="20"/>
        <v>0.21931334071366829</v>
      </c>
      <c r="G49" s="101">
        <f t="shared" si="20"/>
        <v>0.3013860062407574</v>
      </c>
      <c r="H49" s="101">
        <f t="shared" si="20"/>
        <v>0.11329907221592066</v>
      </c>
      <c r="I49" s="101">
        <f t="shared" si="20"/>
        <v>0.19976118000490198</v>
      </c>
      <c r="J49" s="101">
        <f t="shared" si="20"/>
        <v>0.19911802868384901</v>
      </c>
      <c r="K49" s="101">
        <f t="shared" si="20"/>
        <v>0.14441990778717506</v>
      </c>
      <c r="L49" s="101">
        <f t="shared" si="20"/>
        <v>0.2079122397098957</v>
      </c>
      <c r="M49" s="101">
        <f t="shared" si="20"/>
        <v>0.22975760425845082</v>
      </c>
      <c r="N49" s="101">
        <f t="shared" si="20"/>
        <v>0.23441936333146371</v>
      </c>
      <c r="O49" s="101">
        <f t="shared" si="20"/>
        <v>0.15151355255554971</v>
      </c>
      <c r="P49" s="101">
        <f t="shared" si="20"/>
        <v>0.17647493435984157</v>
      </c>
      <c r="Q49" s="101">
        <f t="shared" si="20"/>
        <v>0.2681995854546918</v>
      </c>
      <c r="R49" s="101">
        <f t="shared" si="20"/>
        <v>0.22262826577074399</v>
      </c>
      <c r="S49" s="101">
        <f t="shared" si="20"/>
        <v>0.30967569264578915</v>
      </c>
      <c r="T49" s="101">
        <f t="shared" si="20"/>
        <v>0.46783133412371852</v>
      </c>
      <c r="U49" s="101">
        <f t="shared" si="20"/>
        <v>0.16455705006674817</v>
      </c>
      <c r="V49" s="101">
        <f t="shared" si="20"/>
        <v>0.25298188930843296</v>
      </c>
      <c r="W49" s="101">
        <f t="shared" si="20"/>
        <v>4.6792317865310622E-2</v>
      </c>
      <c r="X49" s="101">
        <f t="shared" si="20"/>
        <v>5.9610903254492371E-2</v>
      </c>
      <c r="Y49" s="101">
        <f t="shared" si="20"/>
        <v>0.28579368459040055</v>
      </c>
      <c r="Z49" s="101">
        <f t="shared" si="20"/>
        <v>0.14963027798235679</v>
      </c>
      <c r="AA49" s="101">
        <f t="shared" si="20"/>
        <v>0.25687133992075989</v>
      </c>
      <c r="AB49" s="101">
        <f t="shared" si="20"/>
        <v>0.37711852390349748</v>
      </c>
      <c r="AC49" s="101">
        <f t="shared" si="20"/>
        <v>0.26330431795918202</v>
      </c>
      <c r="AD49" s="101">
        <f t="shared" si="20"/>
        <v>0.18095872241738001</v>
      </c>
      <c r="AE49" s="101">
        <f t="shared" si="20"/>
        <v>0.20226448077450002</v>
      </c>
      <c r="AF49" s="101">
        <f t="shared" si="20"/>
        <v>0.27700141982136667</v>
      </c>
      <c r="AG49" s="101">
        <f t="shared" si="20"/>
        <v>0.32733979142923658</v>
      </c>
      <c r="AH49" s="101">
        <f t="shared" si="20"/>
        <v>0.19031775560825359</v>
      </c>
      <c r="AI49" s="101">
        <f t="shared" si="20"/>
        <v>0.39151915973118517</v>
      </c>
      <c r="AJ49" s="101">
        <f t="shared" si="20"/>
        <v>0.19004794881013792</v>
      </c>
      <c r="AK49" s="101">
        <f t="shared" si="20"/>
        <v>0.25976967628503467</v>
      </c>
      <c r="AL49" s="101">
        <f t="shared" si="20"/>
        <v>0.25857434078923441</v>
      </c>
      <c r="AM49" s="101">
        <f t="shared" si="20"/>
        <v>0.16961938252537181</v>
      </c>
      <c r="AN49" s="101">
        <f t="shared" si="20"/>
        <v>0.27067897474939728</v>
      </c>
      <c r="AO49" s="101">
        <f t="shared" si="20"/>
        <v>0.48650878947570875</v>
      </c>
      <c r="AP49" s="101">
        <f t="shared" si="20"/>
        <v>0.21534331275344318</v>
      </c>
      <c r="AQ49" s="101">
        <f t="shared" si="20"/>
        <v>0.18219360075148866</v>
      </c>
      <c r="AR49" s="101">
        <f t="shared" si="20"/>
        <v>0.27253380224793861</v>
      </c>
      <c r="AS49" s="101">
        <f t="shared" si="20"/>
        <v>0.22057111116391806</v>
      </c>
      <c r="AT49" s="101">
        <f t="shared" si="20"/>
        <v>0.2270892498165846</v>
      </c>
      <c r="AU49" s="101">
        <f t="shared" si="20"/>
        <v>0.36743253045295066</v>
      </c>
      <c r="AV49" s="101">
        <f t="shared" si="20"/>
        <v>0.2848320228455189</v>
      </c>
      <c r="AW49" s="101">
        <f t="shared" si="20"/>
        <v>0.16625238654107863</v>
      </c>
      <c r="AX49" s="101">
        <f t="shared" ref="AX49:BD49" si="21">AX45/AX4</f>
        <v>0.25591534686029449</v>
      </c>
      <c r="AY49" s="101">
        <f t="shared" si="21"/>
        <v>0.26061753758200179</v>
      </c>
      <c r="AZ49" s="101">
        <f t="shared" si="21"/>
        <v>0.25721682206368779</v>
      </c>
      <c r="BA49" s="101">
        <f t="shared" si="21"/>
        <v>0.15939358860577685</v>
      </c>
      <c r="BB49" s="101">
        <f t="shared" si="21"/>
        <v>0.43080902623105216</v>
      </c>
      <c r="BC49" s="101">
        <f t="shared" si="21"/>
        <v>0.20638557586005071</v>
      </c>
      <c r="BD49" s="101">
        <f t="shared" si="21"/>
        <v>0.17631413005389712</v>
      </c>
      <c r="BF49" s="123"/>
    </row>
    <row r="50" spans="1:58" s="104" customFormat="1" ht="13" x14ac:dyDescent="0.3">
      <c r="A50" s="101" t="s">
        <v>51</v>
      </c>
      <c r="B50" s="102"/>
      <c r="C50" s="103">
        <f>C46/C47</f>
        <v>0.19222529979554986</v>
      </c>
      <c r="D50" s="101">
        <f t="shared" ref="D50:BD50" si="22">D46/D47</f>
        <v>0.18723731740362226</v>
      </c>
      <c r="E50" s="101">
        <f t="shared" si="22"/>
        <v>6.6804937309127191E-2</v>
      </c>
      <c r="F50" s="101">
        <f t="shared" si="22"/>
        <v>0.19434474977884927</v>
      </c>
      <c r="G50" s="101">
        <f t="shared" si="22"/>
        <v>0.29785612673654011</v>
      </c>
      <c r="H50" s="101">
        <f t="shared" si="22"/>
        <v>5.0383354875283601E-2</v>
      </c>
      <c r="I50" s="101">
        <f t="shared" si="22"/>
        <v>0.17265720320615369</v>
      </c>
      <c r="J50" s="101">
        <f t="shared" si="22"/>
        <v>0.16084132842677129</v>
      </c>
      <c r="K50" s="101">
        <f t="shared" si="22"/>
        <v>7.520246039765402E-2</v>
      </c>
      <c r="L50" s="101">
        <f t="shared" si="22"/>
        <v>0.19715454795727713</v>
      </c>
      <c r="M50" s="101">
        <f>M46/M47</f>
        <v>0.23513689963270201</v>
      </c>
      <c r="N50" s="101">
        <f t="shared" si="22"/>
        <v>0.23158613086900487</v>
      </c>
      <c r="O50" s="101">
        <f t="shared" si="22"/>
        <v>5.8135431575091309E-2</v>
      </c>
      <c r="P50" s="101">
        <f t="shared" si="22"/>
        <v>0.1223397875747981</v>
      </c>
      <c r="Q50" s="101">
        <f t="shared" si="22"/>
        <v>0.28369059476513636</v>
      </c>
      <c r="R50" s="101">
        <f t="shared" si="22"/>
        <v>0.21047733109426991</v>
      </c>
      <c r="S50" s="101">
        <f t="shared" si="22"/>
        <v>0.36254019980403945</v>
      </c>
      <c r="T50" s="101">
        <f t="shared" si="22"/>
        <v>0.65454456323207166</v>
      </c>
      <c r="U50" s="101">
        <f t="shared" si="22"/>
        <v>9.4171073141957745E-2</v>
      </c>
      <c r="V50" s="101">
        <f t="shared" si="22"/>
        <v>0.2020841676958412</v>
      </c>
      <c r="W50" s="101">
        <f t="shared" si="22"/>
        <v>-7.0042671133844228E-2</v>
      </c>
      <c r="X50" s="101">
        <f t="shared" si="22"/>
        <v>-0.10447856296823983</v>
      </c>
      <c r="Y50" s="101">
        <f t="shared" si="22"/>
        <v>0.28128308400106483</v>
      </c>
      <c r="Z50" s="101">
        <f t="shared" si="22"/>
        <v>0.11111689491623676</v>
      </c>
      <c r="AA50" s="101">
        <f t="shared" si="22"/>
        <v>0.24215778024211859</v>
      </c>
      <c r="AB50" s="101">
        <f t="shared" si="22"/>
        <v>0.44987676598184906</v>
      </c>
      <c r="AC50" s="101">
        <f t="shared" si="22"/>
        <v>0.14736589659429125</v>
      </c>
      <c r="AD50" s="101">
        <f t="shared" si="22"/>
        <v>0.15974731463496816</v>
      </c>
      <c r="AE50" s="101">
        <f t="shared" si="22"/>
        <v>6.4296478599988924E-2</v>
      </c>
      <c r="AF50" s="101">
        <f t="shared" si="22"/>
        <v>0.25541252506819723</v>
      </c>
      <c r="AG50" s="101">
        <f t="shared" si="22"/>
        <v>0.40096899895812038</v>
      </c>
      <c r="AH50" s="101">
        <f t="shared" si="22"/>
        <v>0.13624726300516715</v>
      </c>
      <c r="AI50" s="101">
        <f t="shared" si="22"/>
        <v>0.29075600693273307</v>
      </c>
      <c r="AJ50" s="101">
        <f t="shared" si="22"/>
        <v>0.14440827691510749</v>
      </c>
      <c r="AK50" s="101">
        <f t="shared" si="22"/>
        <v>0.27747270104794564</v>
      </c>
      <c r="AL50" s="101">
        <f t="shared" si="22"/>
        <v>0.25385139125460704</v>
      </c>
      <c r="AM50" s="101">
        <f t="shared" si="22"/>
        <v>0.12594140460473638</v>
      </c>
      <c r="AN50" s="101">
        <f t="shared" si="22"/>
        <v>0.25422909718705883</v>
      </c>
      <c r="AO50" s="101">
        <f t="shared" si="22"/>
        <v>0.78769882377800149</v>
      </c>
      <c r="AP50" s="101">
        <f t="shared" si="22"/>
        <v>0.20718086834067118</v>
      </c>
      <c r="AQ50" s="101">
        <f t="shared" si="22"/>
        <v>0.14910680676817656</v>
      </c>
      <c r="AR50" s="101">
        <f t="shared" si="22"/>
        <v>0.27975615635076978</v>
      </c>
      <c r="AS50" s="101">
        <f t="shared" si="22"/>
        <v>0.21433912071558275</v>
      </c>
      <c r="AT50" s="101">
        <f t="shared" si="22"/>
        <v>0.18800094927040134</v>
      </c>
      <c r="AU50" s="101">
        <f t="shared" si="22"/>
        <v>0.38471322432718968</v>
      </c>
      <c r="AV50" s="101">
        <f t="shared" si="22"/>
        <v>0.30664455691800135</v>
      </c>
      <c r="AW50" s="101">
        <f t="shared" si="22"/>
        <v>0.12953123458533641</v>
      </c>
      <c r="AX50" s="101">
        <f t="shared" ref="AX50:BC50" si="23">AX46/AX47</f>
        <v>0.25089305333102013</v>
      </c>
      <c r="AY50" s="101">
        <f t="shared" si="23"/>
        <v>0.22314412815714657</v>
      </c>
      <c r="AZ50" s="101">
        <f t="shared" si="23"/>
        <v>0.2797262590331876</v>
      </c>
      <c r="BA50" s="101">
        <f t="shared" si="23"/>
        <v>0.11170179491509477</v>
      </c>
      <c r="BB50" s="101">
        <f t="shared" si="23"/>
        <v>0.63584443763438336</v>
      </c>
      <c r="BC50" s="101">
        <f t="shared" si="23"/>
        <v>0.2021724244490373</v>
      </c>
      <c r="BD50" s="101">
        <f t="shared" si="22"/>
        <v>0.14579307276364326</v>
      </c>
      <c r="BF50" s="123"/>
    </row>
    <row r="51" spans="1:58" s="105" customFormat="1" ht="13" x14ac:dyDescent="0.3">
      <c r="A51" s="101" t="s">
        <v>52</v>
      </c>
      <c r="B51" s="102"/>
      <c r="C51" s="103">
        <f t="shared" ref="C51:BD51" si="24">C46/C45</f>
        <v>0.66561799410696498</v>
      </c>
      <c r="D51" s="101">
        <f t="shared" si="24"/>
        <v>0.59848675976520616</v>
      </c>
      <c r="E51" s="101">
        <f t="shared" si="24"/>
        <v>0.38579996200580402</v>
      </c>
      <c r="F51" s="101">
        <f t="shared" si="24"/>
        <v>0.69180631219682154</v>
      </c>
      <c r="G51" s="101">
        <f t="shared" si="24"/>
        <v>0.69043171864737085</v>
      </c>
      <c r="H51" s="101">
        <f t="shared" si="24"/>
        <v>0.39431009132756878</v>
      </c>
      <c r="I51" s="101">
        <f t="shared" si="24"/>
        <v>0.69166089504455164</v>
      </c>
      <c r="J51" s="101">
        <f t="shared" si="24"/>
        <v>0.64692745820654851</v>
      </c>
      <c r="K51" s="101">
        <f t="shared" si="24"/>
        <v>0.44551841216014049</v>
      </c>
      <c r="L51" s="101">
        <f t="shared" si="24"/>
        <v>0.75110394914886247</v>
      </c>
      <c r="M51" s="101">
        <f>M46/M45</f>
        <v>0.78827601586845408</v>
      </c>
      <c r="N51" s="101">
        <f t="shared" si="24"/>
        <v>0.75632769833778846</v>
      </c>
      <c r="O51" s="101">
        <f t="shared" si="24"/>
        <v>0.3255624660355993</v>
      </c>
      <c r="P51" s="101">
        <f t="shared" si="24"/>
        <v>0.57090193549812795</v>
      </c>
      <c r="Q51" s="101">
        <f t="shared" si="24"/>
        <v>0.77406866419934683</v>
      </c>
      <c r="R51" s="101">
        <f t="shared" si="24"/>
        <v>0.73494319026492372</v>
      </c>
      <c r="S51" s="101">
        <f t="shared" si="24"/>
        <v>0.80816905640715875</v>
      </c>
      <c r="T51" s="101">
        <f t="shared" si="24"/>
        <v>0.74455916387949594</v>
      </c>
      <c r="U51" s="101">
        <f t="shared" si="24"/>
        <v>0.47809898823651104</v>
      </c>
      <c r="V51" s="101">
        <f t="shared" si="24"/>
        <v>0.5967246650165362</v>
      </c>
      <c r="W51" s="101">
        <f t="shared" si="24"/>
        <v>-1.4268413117339975</v>
      </c>
      <c r="X51" s="101">
        <f t="shared" si="24"/>
        <v>-1.6481968246566936</v>
      </c>
      <c r="Y51" s="101">
        <f t="shared" si="24"/>
        <v>0.7029341998909836</v>
      </c>
      <c r="Z51" s="101">
        <f t="shared" si="24"/>
        <v>0.63149279888743837</v>
      </c>
      <c r="AA51" s="101">
        <f t="shared" si="24"/>
        <v>0.70056233916403943</v>
      </c>
      <c r="AB51" s="101">
        <f t="shared" si="24"/>
        <v>0.74305526325193627</v>
      </c>
      <c r="AC51" s="101">
        <f t="shared" si="24"/>
        <v>0.4123131004555643</v>
      </c>
      <c r="AD51" s="101">
        <f t="shared" si="24"/>
        <v>0.72303585547667815</v>
      </c>
      <c r="AE51" s="101">
        <f t="shared" si="24"/>
        <v>0.25358671252575088</v>
      </c>
      <c r="AF51" s="101">
        <f t="shared" si="24"/>
        <v>0.66664962621214008</v>
      </c>
      <c r="AG51" s="101">
        <f t="shared" si="24"/>
        <v>0.82396304247626406</v>
      </c>
      <c r="AH51" s="101">
        <f t="shared" si="24"/>
        <v>0.57964633593793879</v>
      </c>
      <c r="AI51" s="101">
        <f t="shared" si="24"/>
        <v>0.45187944194891161</v>
      </c>
      <c r="AJ51" s="101">
        <f t="shared" si="24"/>
        <v>0.61544352795427593</v>
      </c>
      <c r="AK51" s="101">
        <f t="shared" si="24"/>
        <v>0.7906762261712813</v>
      </c>
      <c r="AL51" s="101">
        <f t="shared" si="24"/>
        <v>0.7278832637764695</v>
      </c>
      <c r="AM51" s="101">
        <f t="shared" si="24"/>
        <v>0.61655277695436672</v>
      </c>
      <c r="AN51" s="101">
        <f t="shared" si="24"/>
        <v>0.68499825662729552</v>
      </c>
      <c r="AO51" s="101">
        <f t="shared" si="24"/>
        <v>0.8313856425620072</v>
      </c>
      <c r="AP51" s="101">
        <f t="shared" si="24"/>
        <v>0.75491479969561659</v>
      </c>
      <c r="AQ51" s="101">
        <f t="shared" si="24"/>
        <v>0.66929079969637573</v>
      </c>
      <c r="AR51" s="101">
        <f t="shared" si="24"/>
        <v>0.74674460811682697</v>
      </c>
      <c r="AS51" s="101">
        <f t="shared" si="24"/>
        <v>0.75740699592022642</v>
      </c>
      <c r="AT51" s="101">
        <f t="shared" si="24"/>
        <v>0.63987156967202286</v>
      </c>
      <c r="AU51" s="101">
        <f t="shared" si="24"/>
        <v>0.66231770636622578</v>
      </c>
      <c r="AV51" s="101">
        <f t="shared" si="24"/>
        <v>0.76993578631227055</v>
      </c>
      <c r="AW51" s="101">
        <f t="shared" si="24"/>
        <v>0.64959282661020645</v>
      </c>
      <c r="AX51" s="101">
        <f t="shared" si="24"/>
        <v>0.7294821231056785</v>
      </c>
      <c r="AY51" s="101">
        <f t="shared" si="24"/>
        <v>0.63306888892323931</v>
      </c>
      <c r="AZ51" s="101">
        <f t="shared" si="24"/>
        <v>0.80778526835799669</v>
      </c>
      <c r="BA51" s="101">
        <f t="shared" si="24"/>
        <v>0.58909047591684749</v>
      </c>
      <c r="BB51" s="101">
        <f t="shared" si="24"/>
        <v>0.84008665693225248</v>
      </c>
      <c r="BC51" s="101">
        <f t="shared" si="24"/>
        <v>0.77741359364618878</v>
      </c>
      <c r="BD51" s="101">
        <f t="shared" si="24"/>
        <v>0.68110079399040568</v>
      </c>
      <c r="BF51" s="123"/>
    </row>
    <row r="52" spans="1:58" s="108" customFormat="1" ht="13" x14ac:dyDescent="0.3">
      <c r="A52" s="106" t="s">
        <v>53</v>
      </c>
      <c r="B52" s="107"/>
      <c r="C52" s="87">
        <f>C44/C45</f>
        <v>3.7970791368893915</v>
      </c>
      <c r="D52" s="106">
        <f t="shared" ref="D52:BD52" si="25">D44/D45</f>
        <v>3.5979207089183203</v>
      </c>
      <c r="E52" s="106">
        <f t="shared" si="25"/>
        <v>6.3892217286903161</v>
      </c>
      <c r="F52" s="106">
        <f t="shared" si="25"/>
        <v>3.8678798279435669</v>
      </c>
      <c r="G52" s="106">
        <f t="shared" si="25"/>
        <v>2.627572366788387</v>
      </c>
      <c r="H52" s="106">
        <f t="shared" si="25"/>
        <v>8.4318875150768466</v>
      </c>
      <c r="I52" s="106">
        <f t="shared" si="25"/>
        <v>4.3143167427300186</v>
      </c>
      <c r="J52" s="106">
        <f t="shared" si="25"/>
        <v>4.3752194895605809</v>
      </c>
      <c r="K52" s="106">
        <f t="shared" si="25"/>
        <v>6.4787347280208776</v>
      </c>
      <c r="L52" s="106">
        <f t="shared" si="25"/>
        <v>4.0586176978081463</v>
      </c>
      <c r="M52" s="106">
        <f>M44/M45</f>
        <v>3.5641370554095491</v>
      </c>
      <c r="N52" s="106">
        <f t="shared" si="25"/>
        <v>3.5095315113641958</v>
      </c>
      <c r="O52" s="106">
        <f t="shared" si="25"/>
        <v>6.2745071853796954</v>
      </c>
      <c r="P52" s="106">
        <f t="shared" si="25"/>
        <v>5.0956251757172701</v>
      </c>
      <c r="Q52" s="106">
        <f t="shared" si="25"/>
        <v>2.9544978744276662</v>
      </c>
      <c r="R52" s="106">
        <f t="shared" si="25"/>
        <v>3.7568494243789439</v>
      </c>
      <c r="S52" s="106">
        <f t="shared" si="25"/>
        <v>2.4210156156484945</v>
      </c>
      <c r="T52" s="106">
        <f t="shared" si="25"/>
        <v>1.3929633299335176</v>
      </c>
      <c r="U52" s="106">
        <f t="shared" si="25"/>
        <v>5.5988208374067936</v>
      </c>
      <c r="V52" s="106">
        <f t="shared" si="25"/>
        <v>3.3561274649666113</v>
      </c>
      <c r="W52" s="106">
        <f t="shared" si="25"/>
        <v>22.797870694771845</v>
      </c>
      <c r="X52" s="106">
        <f t="shared" si="25"/>
        <v>18.423651404346163</v>
      </c>
      <c r="Y52" s="106">
        <f t="shared" si="25"/>
        <v>2.7960934340933004</v>
      </c>
      <c r="Z52" s="106">
        <f t="shared" si="25"/>
        <v>6.0516465595645466</v>
      </c>
      <c r="AA52" s="106">
        <f t="shared" si="25"/>
        <v>3.1924371691052817</v>
      </c>
      <c r="AB52" s="106">
        <f t="shared" si="25"/>
        <v>1.9086309749342696</v>
      </c>
      <c r="AC52" s="106">
        <f t="shared" si="25"/>
        <v>3.3855737240021422</v>
      </c>
      <c r="AD52" s="106">
        <f t="shared" si="25"/>
        <v>4.803086271388846</v>
      </c>
      <c r="AE52" s="106">
        <f t="shared" si="25"/>
        <v>4.6904350760297833</v>
      </c>
      <c r="AF52" s="106">
        <f t="shared" si="25"/>
        <v>2.9434401727675272</v>
      </c>
      <c r="AG52" s="106">
        <f t="shared" si="25"/>
        <v>2.2309665022447822</v>
      </c>
      <c r="AH52" s="106">
        <f t="shared" si="25"/>
        <v>4.6747241604143861</v>
      </c>
      <c r="AI52" s="106">
        <f t="shared" si="25"/>
        <v>2.1022739759491915</v>
      </c>
      <c r="AJ52" s="106">
        <f t="shared" si="25"/>
        <v>4.6463864800034633</v>
      </c>
      <c r="AK52" s="106">
        <f t="shared" si="25"/>
        <v>3.0588877964698407</v>
      </c>
      <c r="AL52" s="106">
        <f t="shared" si="25"/>
        <v>3.1394764941474862</v>
      </c>
      <c r="AM52" s="106">
        <f t="shared" si="25"/>
        <v>5.2789998722272156</v>
      </c>
      <c r="AN52" s="106">
        <f t="shared" si="25"/>
        <v>3.0094150273221874</v>
      </c>
      <c r="AO52" s="106">
        <f t="shared" si="25"/>
        <v>1.2240756803005466</v>
      </c>
      <c r="AP52" s="106">
        <f t="shared" si="25"/>
        <v>3.8888328384998991</v>
      </c>
      <c r="AQ52" s="106">
        <f t="shared" si="25"/>
        <v>4.8193761780422992</v>
      </c>
      <c r="AR52" s="106">
        <f t="shared" si="25"/>
        <v>2.9225250081718945</v>
      </c>
      <c r="AS52" s="106">
        <f t="shared" si="25"/>
        <v>3.7762782846369682</v>
      </c>
      <c r="AT52" s="106">
        <f t="shared" si="25"/>
        <v>3.7636834238280206</v>
      </c>
      <c r="AU52" s="106">
        <f t="shared" si="25"/>
        <v>2.0592703870104136</v>
      </c>
      <c r="AV52" s="106">
        <f t="shared" si="25"/>
        <v>2.7409054105792694</v>
      </c>
      <c r="AW52" s="106">
        <f t="shared" si="25"/>
        <v>5.3653584219417292</v>
      </c>
      <c r="AX52" s="106">
        <f t="shared" si="25"/>
        <v>3.1780600085739241</v>
      </c>
      <c r="AY52" s="106">
        <f t="shared" si="25"/>
        <v>3.2039714318393493</v>
      </c>
      <c r="AZ52" s="106">
        <f t="shared" si="25"/>
        <v>3.0799853369113448</v>
      </c>
      <c r="BA52" s="106">
        <f t="shared" si="25"/>
        <v>5.6846875897321318</v>
      </c>
      <c r="BB52" s="106">
        <f t="shared" si="25"/>
        <v>1.4811274753447217</v>
      </c>
      <c r="BC52" s="106">
        <f t="shared" si="25"/>
        <v>4.0678862575318613</v>
      </c>
      <c r="BD52" s="106">
        <f t="shared" si="25"/>
        <v>4.9905943769769578</v>
      </c>
      <c r="BF52" s="123"/>
    </row>
    <row r="53" spans="1:58" s="112" customFormat="1" ht="13" x14ac:dyDescent="0.3">
      <c r="A53" s="112" t="s">
        <v>54</v>
      </c>
      <c r="C53" s="111">
        <f t="shared" ref="C53:AW53" si="26">C47/C4</f>
        <v>0.77592026287100135</v>
      </c>
      <c r="D53" s="112">
        <f t="shared" si="26"/>
        <v>0.76170092931568567</v>
      </c>
      <c r="E53" s="112">
        <f t="shared" si="26"/>
        <v>0.85239899654147799</v>
      </c>
      <c r="F53" s="112">
        <f t="shared" si="26"/>
        <v>0.78068665928633174</v>
      </c>
      <c r="G53" s="112">
        <f t="shared" si="26"/>
        <v>0.6986139937592426</v>
      </c>
      <c r="H53" s="112">
        <f t="shared" si="26"/>
        <v>0.88670092778407938</v>
      </c>
      <c r="I53" s="112">
        <f t="shared" si="26"/>
        <v>0.80023881999509805</v>
      </c>
      <c r="J53" s="112">
        <f t="shared" si="26"/>
        <v>0.80088197131615102</v>
      </c>
      <c r="K53" s="112">
        <f t="shared" si="26"/>
        <v>0.85558009221282494</v>
      </c>
      <c r="L53" s="112">
        <f t="shared" si="26"/>
        <v>0.7920877602901043</v>
      </c>
      <c r="M53" s="112">
        <f t="shared" si="26"/>
        <v>0.77024239574154918</v>
      </c>
      <c r="N53" s="112">
        <f t="shared" si="26"/>
        <v>0.76558063666853626</v>
      </c>
      <c r="O53" s="112">
        <f t="shared" si="26"/>
        <v>0.84848644744445023</v>
      </c>
      <c r="P53" s="112">
        <f t="shared" si="26"/>
        <v>0.82352506564015837</v>
      </c>
      <c r="Q53" s="112">
        <f t="shared" si="26"/>
        <v>0.7318004145453082</v>
      </c>
      <c r="R53" s="112">
        <f t="shared" si="26"/>
        <v>0.77737173422925598</v>
      </c>
      <c r="S53" s="112">
        <f t="shared" si="26"/>
        <v>0.6903243073542108</v>
      </c>
      <c r="T53" s="112">
        <f t="shared" si="26"/>
        <v>0.53216866587628142</v>
      </c>
      <c r="U53" s="112">
        <f t="shared" si="26"/>
        <v>0.83544294993325185</v>
      </c>
      <c r="V53" s="112">
        <f t="shared" si="26"/>
        <v>0.74701811069156709</v>
      </c>
      <c r="W53" s="112">
        <f t="shared" si="26"/>
        <v>0.95320768213468943</v>
      </c>
      <c r="X53" s="112">
        <f t="shared" si="26"/>
        <v>0.94038909674550764</v>
      </c>
      <c r="Y53" s="112">
        <f t="shared" si="26"/>
        <v>0.71420631540959945</v>
      </c>
      <c r="Z53" s="112">
        <f t="shared" si="26"/>
        <v>0.85036972201764327</v>
      </c>
      <c r="AA53" s="112">
        <f t="shared" si="26"/>
        <v>0.74312866007924006</v>
      </c>
      <c r="AB53" s="112">
        <f t="shared" si="26"/>
        <v>0.62288147609650246</v>
      </c>
      <c r="AC53" s="112">
        <f t="shared" si="26"/>
        <v>0.73669568204081803</v>
      </c>
      <c r="AD53" s="112">
        <f t="shared" si="26"/>
        <v>0.81904127758262002</v>
      </c>
      <c r="AE53" s="112">
        <f t="shared" si="26"/>
        <v>0.79773551922550001</v>
      </c>
      <c r="AF53" s="112">
        <f t="shared" si="26"/>
        <v>0.72299858017863339</v>
      </c>
      <c r="AG53" s="112">
        <f t="shared" si="26"/>
        <v>0.67266020857076347</v>
      </c>
      <c r="AH53" s="112">
        <f t="shared" si="26"/>
        <v>0.80968224439174641</v>
      </c>
      <c r="AI53" s="112">
        <f t="shared" si="26"/>
        <v>0.60848084026881477</v>
      </c>
      <c r="AJ53" s="112">
        <f t="shared" si="26"/>
        <v>0.80995205118986202</v>
      </c>
      <c r="AK53" s="112">
        <f t="shared" si="26"/>
        <v>0.74023032371496533</v>
      </c>
      <c r="AL53" s="112">
        <f t="shared" si="26"/>
        <v>0.74142565921076564</v>
      </c>
      <c r="AM53" s="112">
        <f t="shared" si="26"/>
        <v>0.83038061747462821</v>
      </c>
      <c r="AN53" s="112">
        <f t="shared" si="26"/>
        <v>0.72932102525060272</v>
      </c>
      <c r="AO53" s="112">
        <f t="shared" si="26"/>
        <v>0.51349121052429125</v>
      </c>
      <c r="AP53" s="112">
        <f t="shared" si="26"/>
        <v>0.78465668724655679</v>
      </c>
      <c r="AQ53" s="112">
        <f t="shared" si="26"/>
        <v>0.8178063992485114</v>
      </c>
      <c r="AR53" s="112">
        <f t="shared" si="26"/>
        <v>0.72746619775206145</v>
      </c>
      <c r="AS53" s="112">
        <f t="shared" si="26"/>
        <v>0.77942888883608197</v>
      </c>
      <c r="AT53" s="112">
        <f t="shared" si="26"/>
        <v>0.77291075018341537</v>
      </c>
      <c r="AU53" s="112">
        <f t="shared" si="26"/>
        <v>0.63256746954704934</v>
      </c>
      <c r="AV53" s="112">
        <f t="shared" si="26"/>
        <v>0.7151679771544811</v>
      </c>
      <c r="AW53" s="112">
        <f t="shared" si="26"/>
        <v>0.83374761345892134</v>
      </c>
      <c r="AX53" s="112">
        <f t="shared" ref="AX53:BD53" si="27">AX47/AX4</f>
        <v>0.74408465313970551</v>
      </c>
      <c r="AY53" s="112">
        <f t="shared" si="27"/>
        <v>0.73938246241799821</v>
      </c>
      <c r="AZ53" s="112">
        <f t="shared" si="27"/>
        <v>0.74278317793631221</v>
      </c>
      <c r="BA53" s="112">
        <f t="shared" si="27"/>
        <v>0.8406064113942231</v>
      </c>
      <c r="BB53" s="112">
        <f t="shared" si="27"/>
        <v>0.56919097376894778</v>
      </c>
      <c r="BC53" s="112">
        <f t="shared" si="27"/>
        <v>0.79361442413994931</v>
      </c>
      <c r="BD53" s="112">
        <f t="shared" si="27"/>
        <v>0.82368586994610293</v>
      </c>
      <c r="BF53" s="123"/>
    </row>
    <row r="54" spans="1:58" s="112" customFormat="1" ht="13" x14ac:dyDescent="0.3">
      <c r="A54" s="112" t="s">
        <v>55</v>
      </c>
      <c r="C54" s="111">
        <f t="shared" ref="C54:AW54" si="28">C43/C4</f>
        <v>7.4928231981178525E-2</v>
      </c>
      <c r="D54" s="112">
        <f t="shared" si="28"/>
        <v>9.5680232015399241E-2</v>
      </c>
      <c r="E54" s="112">
        <f t="shared" si="28"/>
        <v>9.0656541932205736E-2</v>
      </c>
      <c r="F54" s="112">
        <f t="shared" si="28"/>
        <v>6.7590987258980342E-2</v>
      </c>
      <c r="G54" s="112">
        <f t="shared" si="28"/>
        <v>9.3299547975683975E-2</v>
      </c>
      <c r="H54" s="112">
        <f t="shared" si="28"/>
        <v>6.8624104703132224E-2</v>
      </c>
      <c r="I54" s="112">
        <f t="shared" si="28"/>
        <v>6.1594183447555621E-2</v>
      </c>
      <c r="J54" s="112">
        <f t="shared" si="28"/>
        <v>7.0303108504308015E-2</v>
      </c>
      <c r="K54" s="112">
        <f t="shared" si="28"/>
        <v>8.0078179785518955E-2</v>
      </c>
      <c r="L54" s="112">
        <f t="shared" si="28"/>
        <v>5.1748535387408041E-2</v>
      </c>
      <c r="M54" s="112">
        <f t="shared" si="28"/>
        <v>4.8645195358118239E-2</v>
      </c>
      <c r="N54" s="112">
        <f t="shared" si="28"/>
        <v>5.7121505817168003E-2</v>
      </c>
      <c r="O54" s="112">
        <f t="shared" si="28"/>
        <v>0.10218642674775059</v>
      </c>
      <c r="P54" s="112">
        <f t="shared" si="28"/>
        <v>7.5725052766902931E-2</v>
      </c>
      <c r="Q54" s="112">
        <f t="shared" si="28"/>
        <v>6.0594690602959994E-2</v>
      </c>
      <c r="R54" s="112">
        <f t="shared" si="28"/>
        <v>5.9009137882046078E-2</v>
      </c>
      <c r="S54" s="112">
        <f t="shared" si="28"/>
        <v>5.9405380328008413E-2</v>
      </c>
      <c r="T54" s="112">
        <f t="shared" si="28"/>
        <v>0.11950322715193362</v>
      </c>
      <c r="U54" s="112">
        <f t="shared" si="28"/>
        <v>8.5882490922650975E-2</v>
      </c>
      <c r="V54" s="112">
        <f t="shared" si="28"/>
        <v>0.10202135615560781</v>
      </c>
      <c r="W54" s="112">
        <f t="shared" si="28"/>
        <v>0.11355753006732459</v>
      </c>
      <c r="X54" s="112">
        <f t="shared" si="28"/>
        <v>0.15786140471346394</v>
      </c>
      <c r="Y54" s="112">
        <f t="shared" si="28"/>
        <v>8.4899529578951249E-2</v>
      </c>
      <c r="Z54" s="112">
        <f t="shared" si="28"/>
        <v>5.5139834940972833E-2</v>
      </c>
      <c r="AA54" s="112">
        <f t="shared" si="28"/>
        <v>7.6916953161671242E-2</v>
      </c>
      <c r="AB54" s="112">
        <f t="shared" si="28"/>
        <v>9.6898619847202563E-2</v>
      </c>
      <c r="AC54" s="112">
        <f t="shared" si="28"/>
        <v>0.15474049825809399</v>
      </c>
      <c r="AD54" s="112">
        <f t="shared" si="28"/>
        <v>5.011907774836296E-2</v>
      </c>
      <c r="AE54" s="112">
        <f t="shared" si="28"/>
        <v>0.15097289603416666</v>
      </c>
      <c r="AF54" s="112">
        <f t="shared" si="28"/>
        <v>9.2338526837220478E-2</v>
      </c>
      <c r="AG54" s="112">
        <f t="shared" si="28"/>
        <v>5.7623900959657075E-2</v>
      </c>
      <c r="AH54" s="112">
        <f t="shared" si="28"/>
        <v>8.0000765905997293E-2</v>
      </c>
      <c r="AI54" s="112">
        <f t="shared" si="28"/>
        <v>0.21459970031955039</v>
      </c>
      <c r="AJ54" s="112">
        <f t="shared" si="28"/>
        <v>7.3084168713952971E-2</v>
      </c>
      <c r="AK54" s="112">
        <f t="shared" si="28"/>
        <v>5.4375968966248113E-2</v>
      </c>
      <c r="AL54" s="112">
        <f t="shared" si="28"/>
        <v>7.0362405686717408E-2</v>
      </c>
      <c r="AM54" s="112">
        <f t="shared" si="28"/>
        <v>6.5040081204068831E-2</v>
      </c>
      <c r="AN54" s="112">
        <f t="shared" si="28"/>
        <v>8.5264348940396389E-2</v>
      </c>
      <c r="AO54" s="112">
        <f t="shared" si="28"/>
        <v>8.2032366925382363E-2</v>
      </c>
      <c r="AP54" s="112">
        <f t="shared" si="28"/>
        <v>5.2777458940387136E-2</v>
      </c>
      <c r="AQ54" s="112">
        <f t="shared" si="28"/>
        <v>6.0253100004962562E-2</v>
      </c>
      <c r="AR54" s="112">
        <f t="shared" si="28"/>
        <v>6.9020654889712846E-2</v>
      </c>
      <c r="AS54" s="112">
        <f t="shared" si="28"/>
        <v>5.3509008470468578E-2</v>
      </c>
      <c r="AT54" s="112">
        <f t="shared" si="28"/>
        <v>8.1781295080804534E-2</v>
      </c>
      <c r="AU54" s="112">
        <f t="shared" si="28"/>
        <v>0.12407545963901399</v>
      </c>
      <c r="AV54" s="112">
        <f t="shared" si="28"/>
        <v>6.5529655369039694E-2</v>
      </c>
      <c r="AW54" s="112">
        <f t="shared" si="28"/>
        <v>5.8256028837166782E-2</v>
      </c>
      <c r="AX54" s="112">
        <f t="shared" ref="AX54:BD54" si="29">AX43/AX4</f>
        <v>6.92296762973207E-2</v>
      </c>
      <c r="AY54" s="112">
        <f t="shared" si="29"/>
        <v>9.5628682631053383E-2</v>
      </c>
      <c r="AZ54" s="112">
        <f t="shared" si="29"/>
        <v>4.9440862426780655E-2</v>
      </c>
      <c r="BA54" s="112">
        <f t="shared" si="29"/>
        <v>6.5496343635905549E-2</v>
      </c>
      <c r="BB54" s="112">
        <f t="shared" si="29"/>
        <v>6.8892111608368473E-2</v>
      </c>
      <c r="BC54" s="112">
        <f t="shared" si="29"/>
        <v>4.5938623653950635E-2</v>
      </c>
      <c r="BD54" s="112">
        <f t="shared" si="29"/>
        <v>5.6226436082460182E-2</v>
      </c>
      <c r="BF54" s="123"/>
    </row>
    <row r="55" spans="1:58" s="112" customFormat="1" ht="13" x14ac:dyDescent="0.3">
      <c r="A55" s="112" t="s">
        <v>56</v>
      </c>
      <c r="C55" s="111">
        <f t="shared" ref="C55:AW55" si="30">C44/C4</f>
        <v>0.85084849485217995</v>
      </c>
      <c r="D55" s="112">
        <f t="shared" si="30"/>
        <v>0.85738116133108488</v>
      </c>
      <c r="E55" s="112">
        <f t="shared" si="30"/>
        <v>0.94305553847368362</v>
      </c>
      <c r="F55" s="112">
        <f t="shared" si="30"/>
        <v>0.84827764654531213</v>
      </c>
      <c r="G55" s="112">
        <f t="shared" si="30"/>
        <v>0.79191354173492656</v>
      </c>
      <c r="H55" s="112">
        <f t="shared" si="30"/>
        <v>0.95532503248721157</v>
      </c>
      <c r="I55" s="112">
        <f t="shared" si="30"/>
        <v>0.86183300344265368</v>
      </c>
      <c r="J55" s="112">
        <f t="shared" si="30"/>
        <v>0.8711850798204589</v>
      </c>
      <c r="K55" s="112">
        <f t="shared" si="30"/>
        <v>0.93565827199834384</v>
      </c>
      <c r="L55" s="112">
        <f t="shared" si="30"/>
        <v>0.84383629567751239</v>
      </c>
      <c r="M55" s="112">
        <f t="shared" si="30"/>
        <v>0.81888759109966736</v>
      </c>
      <c r="N55" s="112">
        <f t="shared" si="30"/>
        <v>0.82270214248570428</v>
      </c>
      <c r="O55" s="112">
        <f t="shared" si="30"/>
        <v>0.95067287419220081</v>
      </c>
      <c r="P55" s="112">
        <f t="shared" si="30"/>
        <v>0.89925011840706137</v>
      </c>
      <c r="Q55" s="112">
        <f t="shared" si="30"/>
        <v>0.79239510514826816</v>
      </c>
      <c r="R55" s="112">
        <f t="shared" si="30"/>
        <v>0.83638087211130208</v>
      </c>
      <c r="S55" s="112">
        <f t="shared" si="30"/>
        <v>0.74972968768221926</v>
      </c>
      <c r="T55" s="112">
        <f t="shared" si="30"/>
        <v>0.65167189302821504</v>
      </c>
      <c r="U55" s="112">
        <f t="shared" si="30"/>
        <v>0.92132544085590284</v>
      </c>
      <c r="V55" s="112">
        <f t="shared" si="30"/>
        <v>0.84903946684717491</v>
      </c>
      <c r="W55" s="112">
        <f t="shared" si="30"/>
        <v>1.0667652122020139</v>
      </c>
      <c r="X55" s="112">
        <f t="shared" si="30"/>
        <v>1.0982505014589716</v>
      </c>
      <c r="Y55" s="112">
        <f t="shared" si="30"/>
        <v>0.79910584498855064</v>
      </c>
      <c r="Z55" s="112">
        <f t="shared" si="30"/>
        <v>0.90550955695861612</v>
      </c>
      <c r="AA55" s="112">
        <f t="shared" si="30"/>
        <v>0.8200456132409113</v>
      </c>
      <c r="AB55" s="112">
        <f t="shared" si="30"/>
        <v>0.71978009594370507</v>
      </c>
      <c r="AC55" s="112">
        <f t="shared" si="30"/>
        <v>0.89143618029891192</v>
      </c>
      <c r="AD55" s="112">
        <f t="shared" si="30"/>
        <v>0.8691603553309829</v>
      </c>
      <c r="AE55" s="112">
        <f t="shared" si="30"/>
        <v>0.94870841525966665</v>
      </c>
      <c r="AF55" s="112">
        <f t="shared" si="30"/>
        <v>0.81533710701585382</v>
      </c>
      <c r="AG55" s="112">
        <f t="shared" si="30"/>
        <v>0.73028410953042056</v>
      </c>
      <c r="AH55" s="112">
        <f t="shared" si="30"/>
        <v>0.88968301029774366</v>
      </c>
      <c r="AI55" s="112">
        <f t="shared" si="30"/>
        <v>0.82308054058836522</v>
      </c>
      <c r="AJ55" s="112">
        <f t="shared" si="30"/>
        <v>0.88303621990381509</v>
      </c>
      <c r="AK55" s="112">
        <f t="shared" si="30"/>
        <v>0.79460629268121341</v>
      </c>
      <c r="AL55" s="112">
        <f t="shared" si="30"/>
        <v>0.81178806489748301</v>
      </c>
      <c r="AM55" s="112">
        <f t="shared" si="30"/>
        <v>0.895420698678697</v>
      </c>
      <c r="AN55" s="112">
        <f t="shared" si="30"/>
        <v>0.81458537419099908</v>
      </c>
      <c r="AO55" s="112">
        <f t="shared" si="30"/>
        <v>0.59552357744967366</v>
      </c>
      <c r="AP55" s="112">
        <f t="shared" si="30"/>
        <v>0.8374341461869439</v>
      </c>
      <c r="AQ55" s="112">
        <f t="shared" si="30"/>
        <v>0.87805949925347393</v>
      </c>
      <c r="AR55" s="112">
        <f t="shared" si="30"/>
        <v>0.79648685264177432</v>
      </c>
      <c r="AS55" s="112">
        <f t="shared" si="30"/>
        <v>0.83293789730655055</v>
      </c>
      <c r="AT55" s="112">
        <f t="shared" si="30"/>
        <v>0.85469204526421982</v>
      </c>
      <c r="AU55" s="112">
        <f t="shared" si="30"/>
        <v>0.75664292918606324</v>
      </c>
      <c r="AV55" s="112">
        <f t="shared" si="30"/>
        <v>0.78069763252352087</v>
      </c>
      <c r="AW55" s="112">
        <f t="shared" si="30"/>
        <v>0.89200364229608808</v>
      </c>
      <c r="AX55" s="112">
        <f t="shared" ref="AX55:BD55" si="31">AX44/AX4</f>
        <v>0.8133143294370262</v>
      </c>
      <c r="AY55" s="112">
        <f t="shared" si="31"/>
        <v>0.83501114504905161</v>
      </c>
      <c r="AZ55" s="112">
        <f t="shared" si="31"/>
        <v>0.79222404036309291</v>
      </c>
      <c r="BA55" s="112">
        <f t="shared" si="31"/>
        <v>0.90610275503012871</v>
      </c>
      <c r="BB55" s="112">
        <f t="shared" si="31"/>
        <v>0.63808308537731628</v>
      </c>
      <c r="BC55" s="112">
        <f t="shared" si="31"/>
        <v>0.83955304779389983</v>
      </c>
      <c r="BD55" s="112">
        <f t="shared" si="31"/>
        <v>0.87991230602856307</v>
      </c>
      <c r="BF55" s="123"/>
    </row>
    <row r="56" spans="1:58" s="112" customFormat="1" ht="13" x14ac:dyDescent="0.3">
      <c r="A56" s="112" t="s">
        <v>57</v>
      </c>
      <c r="C56" s="111">
        <f t="shared" ref="C56:AU56" si="32">SUM(C30:C38)/C43</f>
        <v>0.65065315815620883</v>
      </c>
      <c r="D56" s="112">
        <f t="shared" si="32"/>
        <v>0.6051149667516933</v>
      </c>
      <c r="E56" s="112">
        <f t="shared" si="32"/>
        <v>0.6417565085852871</v>
      </c>
      <c r="F56" s="112">
        <f t="shared" si="32"/>
        <v>0.7388775751035509</v>
      </c>
      <c r="G56" s="112">
        <f t="shared" si="32"/>
        <v>0.61650304053776517</v>
      </c>
      <c r="H56" s="112">
        <f t="shared" si="32"/>
        <v>0.74226707025430472</v>
      </c>
      <c r="I56" s="112">
        <f t="shared" si="32"/>
        <v>0.85064274641335091</v>
      </c>
      <c r="J56" s="112">
        <f t="shared" si="32"/>
        <v>0.76476665717854508</v>
      </c>
      <c r="K56" s="112">
        <f t="shared" si="32"/>
        <v>0.85135001431807789</v>
      </c>
      <c r="L56" s="112">
        <f t="shared" si="32"/>
        <v>0.81043957718582238</v>
      </c>
      <c r="M56" s="112">
        <f t="shared" si="32"/>
        <v>0.84583477584492373</v>
      </c>
      <c r="N56" s="112">
        <f t="shared" si="32"/>
        <v>0.84187906796852818</v>
      </c>
      <c r="O56" s="112">
        <f t="shared" si="32"/>
        <v>0.50902638751508844</v>
      </c>
      <c r="P56" s="112">
        <f t="shared" si="32"/>
        <v>0.55153096041875049</v>
      </c>
      <c r="Q56" s="112">
        <f t="shared" si="32"/>
        <v>0.860242362912229</v>
      </c>
      <c r="R56" s="112">
        <f t="shared" si="32"/>
        <v>0.72406438222233582</v>
      </c>
      <c r="S56" s="112">
        <f t="shared" si="32"/>
        <v>0.68696564690764828</v>
      </c>
      <c r="T56" s="112">
        <f t="shared" si="32"/>
        <v>0.66480664853899751</v>
      </c>
      <c r="U56" s="112">
        <f t="shared" si="32"/>
        <v>0.64291211810148541</v>
      </c>
      <c r="V56" s="112">
        <f t="shared" si="32"/>
        <v>0.4456719362899022</v>
      </c>
      <c r="W56" s="112">
        <f t="shared" si="32"/>
        <v>0.42904168284042854</v>
      </c>
      <c r="X56" s="112">
        <f t="shared" si="32"/>
        <v>0.25257123671254694</v>
      </c>
      <c r="Y56" s="112">
        <f t="shared" si="32"/>
        <v>0.71325774004357911</v>
      </c>
      <c r="Z56" s="112">
        <f t="shared" si="32"/>
        <v>0.74657440140583042</v>
      </c>
      <c r="AA56" s="112">
        <f t="shared" si="32"/>
        <v>0.62349623371314378</v>
      </c>
      <c r="AB56" s="112">
        <f t="shared" si="32"/>
        <v>0.84912223051373215</v>
      </c>
      <c r="AC56" s="112">
        <f t="shared" si="32"/>
        <v>0.28042095872976702</v>
      </c>
      <c r="AD56" s="112">
        <f t="shared" si="32"/>
        <v>0.80847374345915324</v>
      </c>
      <c r="AE56" s="112">
        <f t="shared" si="32"/>
        <v>0.53128312680491241</v>
      </c>
      <c r="AF56" s="112">
        <f t="shared" si="32"/>
        <v>0.45953709539681348</v>
      </c>
      <c r="AG56" s="112">
        <f t="shared" si="32"/>
        <v>0.85233400315135022</v>
      </c>
      <c r="AH56" s="112">
        <f t="shared" si="32"/>
        <v>0.70098682781541821</v>
      </c>
      <c r="AI56" s="112">
        <f t="shared" si="32"/>
        <v>0.35985786502753597</v>
      </c>
      <c r="AJ56" s="112">
        <f t="shared" si="32"/>
        <v>0.54026500037082981</v>
      </c>
      <c r="AK56" s="112">
        <f t="shared" si="32"/>
        <v>0.85325672637573979</v>
      </c>
      <c r="AL56" s="112">
        <f t="shared" si="32"/>
        <v>0.84773188400328714</v>
      </c>
      <c r="AM56" s="112">
        <f t="shared" si="32"/>
        <v>0.84439500610819351</v>
      </c>
      <c r="AN56" s="112">
        <f t="shared" si="32"/>
        <v>0.85909089767565894</v>
      </c>
      <c r="AO56" s="112">
        <f t="shared" si="32"/>
        <v>0.86186780883926439</v>
      </c>
      <c r="AP56" s="112">
        <f t="shared" si="32"/>
        <v>0.85435201918015946</v>
      </c>
      <c r="AQ56" s="112">
        <f t="shared" si="32"/>
        <v>0.68961416894246452</v>
      </c>
      <c r="AR56" s="112">
        <f t="shared" si="32"/>
        <v>0.85511628609512547</v>
      </c>
      <c r="AS56" s="112">
        <f t="shared" si="32"/>
        <v>0.83383578290497551</v>
      </c>
      <c r="AT56" s="112">
        <f t="shared" si="32"/>
        <v>0.39433818496335288</v>
      </c>
      <c r="AU56" s="112">
        <f t="shared" si="32"/>
        <v>0.61661851892081265</v>
      </c>
      <c r="AV56" s="112">
        <f t="shared" ref="AV56:BD56" si="33">SUM(AV30:AV38)/AV43</f>
        <v>0.81598643177340935</v>
      </c>
      <c r="AW56" s="112">
        <f t="shared" si="33"/>
        <v>0.85507660328120683</v>
      </c>
      <c r="AX56" s="112">
        <f t="shared" si="33"/>
        <v>0.86158833912737931</v>
      </c>
      <c r="AY56" s="112">
        <f t="shared" si="33"/>
        <v>0.46211343005611627</v>
      </c>
      <c r="AZ56" s="112">
        <f t="shared" si="33"/>
        <v>0.8528514532800755</v>
      </c>
      <c r="BA56" s="112">
        <f t="shared" si="33"/>
        <v>0.76898118094176726</v>
      </c>
      <c r="BB56" s="112">
        <f t="shared" si="33"/>
        <v>0.85266892392562998</v>
      </c>
      <c r="BC56" s="112">
        <f t="shared" si="33"/>
        <v>0.85106534875816775</v>
      </c>
      <c r="BD56" s="112">
        <f t="shared" si="33"/>
        <v>0.74601449143154774</v>
      </c>
      <c r="BF56" s="123"/>
    </row>
    <row r="57" spans="1:58" s="112" customFormat="1" ht="13" x14ac:dyDescent="0.3">
      <c r="A57" s="112" t="s">
        <v>58</v>
      </c>
      <c r="C57" s="111">
        <f>C40/C43</f>
        <v>0.166900289603895</v>
      </c>
      <c r="D57" s="112">
        <f t="shared" ref="D57:AM57" si="34">D40/D43</f>
        <v>0.3044488656471363</v>
      </c>
      <c r="E57" s="112">
        <f t="shared" si="34"/>
        <v>0.20350481525397443</v>
      </c>
      <c r="F57" s="112">
        <f t="shared" si="34"/>
        <v>6.6885762505875343E-2</v>
      </c>
      <c r="G57" s="112">
        <f t="shared" si="34"/>
        <v>0.15735594207385506</v>
      </c>
      <c r="H57" s="112">
        <f t="shared" si="34"/>
        <v>1.1680125212676461E-2</v>
      </c>
      <c r="I57" s="112">
        <f>I40/I43</f>
        <v>1.3041503887697837E-2</v>
      </c>
      <c r="J57" s="112">
        <f t="shared" si="34"/>
        <v>1.1864884142488319E-2</v>
      </c>
      <c r="K57" s="112">
        <f t="shared" si="34"/>
        <v>1.2979747013440715E-2</v>
      </c>
      <c r="L57" s="112">
        <f t="shared" si="34"/>
        <v>1.2609407789321859E-2</v>
      </c>
      <c r="M57" s="112">
        <f>M40/M43</f>
        <v>1.3461323918893727E-2</v>
      </c>
      <c r="N57" s="112">
        <f t="shared" si="34"/>
        <v>1.3806726491649804E-2</v>
      </c>
      <c r="O57" s="112">
        <f t="shared" si="34"/>
        <v>0.33637961304254133</v>
      </c>
      <c r="P57" s="112">
        <f t="shared" si="34"/>
        <v>0.21540414657180726</v>
      </c>
      <c r="Q57" s="112">
        <f t="shared" si="34"/>
        <v>1.2203289252089961E-2</v>
      </c>
      <c r="R57" s="112">
        <f t="shared" si="34"/>
        <v>1.101122446277362E-2</v>
      </c>
      <c r="S57" s="112">
        <f t="shared" si="34"/>
        <v>1.1916493391564359E-2</v>
      </c>
      <c r="T57" s="112">
        <f t="shared" si="34"/>
        <v>0.23432868175814986</v>
      </c>
      <c r="U57" s="112">
        <f t="shared" si="34"/>
        <v>0.21254442943984958</v>
      </c>
      <c r="V57" s="112">
        <f t="shared" si="34"/>
        <v>0.45748311950532894</v>
      </c>
      <c r="W57" s="112">
        <f t="shared" si="34"/>
        <v>0.48940586920268098</v>
      </c>
      <c r="X57" s="112">
        <f t="shared" si="34"/>
        <v>0.39763459218608788</v>
      </c>
      <c r="Y57" s="112">
        <f t="shared" si="34"/>
        <v>1.0933593525831476E-2</v>
      </c>
      <c r="Z57" s="112">
        <f t="shared" si="34"/>
        <v>1.3494930828052714E-2</v>
      </c>
      <c r="AA57" s="112">
        <f t="shared" si="34"/>
        <v>0.24485046750150741</v>
      </c>
      <c r="AB57" s="112">
        <f t="shared" si="34"/>
        <v>1.1599249933052735E-2</v>
      </c>
      <c r="AC57" s="112">
        <f t="shared" si="34"/>
        <v>0.26702376191718358</v>
      </c>
      <c r="AD57" s="112">
        <f t="shared" si="34"/>
        <v>1.3752686229431842E-2</v>
      </c>
      <c r="AE57" s="112">
        <f t="shared" si="34"/>
        <v>0.25127673168317366</v>
      </c>
      <c r="AF57" s="112">
        <f t="shared" si="34"/>
        <v>0.42673524934815621</v>
      </c>
      <c r="AG57" s="112">
        <f t="shared" si="34"/>
        <v>1.289382755598947E-2</v>
      </c>
      <c r="AH57" s="112">
        <f t="shared" si="34"/>
        <v>9.4004640125605027E-2</v>
      </c>
      <c r="AI57" s="112">
        <f t="shared" si="34"/>
        <v>0.41050651336536015</v>
      </c>
      <c r="AJ57" s="112">
        <f t="shared" si="34"/>
        <v>0.21804599727340904</v>
      </c>
      <c r="AK57" s="112">
        <f t="shared" si="34"/>
        <v>1.2813257659120255E-2</v>
      </c>
      <c r="AL57" s="112">
        <f t="shared" si="34"/>
        <v>1.3295673153172287E-2</v>
      </c>
      <c r="AM57" s="112">
        <f t="shared" si="34"/>
        <v>1.3587041031173541E-2</v>
      </c>
      <c r="AN57" s="112">
        <f>AN40/AN43</f>
        <v>1.2303832332514005E-2</v>
      </c>
      <c r="AO57" s="112">
        <f>AO40/AO43</f>
        <v>1.2061359356704075E-2</v>
      </c>
      <c r="AP57" s="112">
        <f>AP40/AP43</f>
        <v>1.2717619415754187E-2</v>
      </c>
      <c r="AQ57" s="112">
        <f>AQ40/AQ43</f>
        <v>1.1273028750560049E-2</v>
      </c>
      <c r="AR57" s="112">
        <f t="shared" ref="AR57:BC57" si="35">AR40/AR43</f>
        <v>1.2650885529696322E-2</v>
      </c>
      <c r="AS57" s="112">
        <f t="shared" si="35"/>
        <v>1.305489566654836E-2</v>
      </c>
      <c r="AT57" s="112">
        <f t="shared" si="35"/>
        <v>0.51152925590231835</v>
      </c>
      <c r="AU57" s="112">
        <f t="shared" si="35"/>
        <v>0.25398467479049891</v>
      </c>
      <c r="AV57" s="112">
        <f t="shared" si="35"/>
        <v>1.1845427793587365E-2</v>
      </c>
      <c r="AW57" s="112">
        <f t="shared" si="35"/>
        <v>1.2654350534304842E-2</v>
      </c>
      <c r="AX57" s="112">
        <f t="shared" si="35"/>
        <v>1.2085761956822389E-2</v>
      </c>
      <c r="AY57" s="112">
        <f t="shared" si="35"/>
        <v>0.29742592792597883</v>
      </c>
      <c r="AZ57" s="112">
        <f t="shared" si="35"/>
        <v>1.2848645097800071E-2</v>
      </c>
      <c r="BA57" s="112">
        <f t="shared" si="35"/>
        <v>1.2026929009228832E-2</v>
      </c>
      <c r="BB57" s="112">
        <f t="shared" si="35"/>
        <v>1.221933079359358E-2</v>
      </c>
      <c r="BC57" s="112">
        <f t="shared" si="35"/>
        <v>1.3004603302084956E-2</v>
      </c>
      <c r="BD57" s="112">
        <f>BD40/BD43</f>
        <v>0.11201007900201285</v>
      </c>
      <c r="BF57" s="123"/>
    </row>
    <row r="58" spans="1:58" s="112" customFormat="1" ht="13" x14ac:dyDescent="0.3">
      <c r="A58" s="112" t="s">
        <v>59</v>
      </c>
      <c r="C58" s="111">
        <f>C42/C43</f>
        <v>5.606714954153294E-2</v>
      </c>
      <c r="D58" s="112">
        <f t="shared" ref="D58:BD58" si="36">D42/D43</f>
        <v>0</v>
      </c>
      <c r="E58" s="112">
        <f t="shared" si="36"/>
        <v>0</v>
      </c>
      <c r="F58" s="112">
        <f t="shared" si="36"/>
        <v>4.7789807869389078E-2</v>
      </c>
      <c r="G58" s="112">
        <f t="shared" si="36"/>
        <v>9.7945702766623566E-2</v>
      </c>
      <c r="H58" s="112">
        <f t="shared" si="36"/>
        <v>0</v>
      </c>
      <c r="I58" s="112">
        <f t="shared" si="36"/>
        <v>0</v>
      </c>
      <c r="J58" s="112">
        <f t="shared" si="36"/>
        <v>9.9351275468970865E-2</v>
      </c>
      <c r="K58" s="112">
        <f t="shared" si="36"/>
        <v>0</v>
      </c>
      <c r="L58" s="112">
        <f t="shared" si="36"/>
        <v>4.5151730919084733E-2</v>
      </c>
      <c r="M58" s="112">
        <f>M42/M43</f>
        <v>0</v>
      </c>
      <c r="N58" s="112">
        <f t="shared" si="36"/>
        <v>0</v>
      </c>
      <c r="O58" s="112">
        <f t="shared" si="36"/>
        <v>4.3694543136521269E-2</v>
      </c>
      <c r="P58" s="112">
        <f t="shared" si="36"/>
        <v>0.11680062130720405</v>
      </c>
      <c r="Q58" s="112">
        <f t="shared" si="36"/>
        <v>0</v>
      </c>
      <c r="R58" s="112">
        <f t="shared" si="36"/>
        <v>6.2429187757088077E-2</v>
      </c>
      <c r="S58" s="112">
        <f t="shared" si="36"/>
        <v>0.17656123306925225</v>
      </c>
      <c r="T58" s="112">
        <f t="shared" si="36"/>
        <v>0</v>
      </c>
      <c r="U58" s="112">
        <f t="shared" si="36"/>
        <v>3.9186738680598583E-2</v>
      </c>
      <c r="V58" s="112">
        <f t="shared" si="36"/>
        <v>2.0005856334954952E-2</v>
      </c>
      <c r="W58" s="112">
        <f t="shared" si="36"/>
        <v>0</v>
      </c>
      <c r="X58" s="112">
        <f t="shared" si="36"/>
        <v>0.26585955296916775</v>
      </c>
      <c r="Y58" s="112">
        <f t="shared" si="36"/>
        <v>0.1275203350341903</v>
      </c>
      <c r="Z58" s="112">
        <f t="shared" si="36"/>
        <v>2.8250140794282355E-2</v>
      </c>
      <c r="AA58" s="112">
        <f t="shared" si="36"/>
        <v>2.4389740580660357E-2</v>
      </c>
      <c r="AB58" s="112">
        <f t="shared" si="36"/>
        <v>0</v>
      </c>
      <c r="AC58" s="112">
        <f t="shared" si="36"/>
        <v>0.40715433053900674</v>
      </c>
      <c r="AD58" s="112">
        <f t="shared" si="36"/>
        <v>3.402421825180528E-2</v>
      </c>
      <c r="AE58" s="112">
        <f t="shared" si="36"/>
        <v>0.11191757377651519</v>
      </c>
      <c r="AF58" s="112">
        <f t="shared" si="36"/>
        <v>4.5056023068954704E-2</v>
      </c>
      <c r="AG58" s="112">
        <f t="shared" si="36"/>
        <v>0</v>
      </c>
      <c r="AH58" s="112">
        <f t="shared" si="36"/>
        <v>4.2589610517123365E-2</v>
      </c>
      <c r="AI58" s="112">
        <f t="shared" si="36"/>
        <v>0.1659117451892107</v>
      </c>
      <c r="AJ58" s="112">
        <f t="shared" si="36"/>
        <v>0.14858330308239118</v>
      </c>
      <c r="AK58" s="112">
        <f t="shared" si="36"/>
        <v>0</v>
      </c>
      <c r="AL58" s="112">
        <f t="shared" si="36"/>
        <v>0</v>
      </c>
      <c r="AM58" s="112">
        <f t="shared" si="36"/>
        <v>0</v>
      </c>
      <c r="AN58" s="112">
        <f t="shared" si="36"/>
        <v>0</v>
      </c>
      <c r="AO58" s="112">
        <f t="shared" si="36"/>
        <v>0</v>
      </c>
      <c r="AP58" s="112">
        <f t="shared" si="36"/>
        <v>0</v>
      </c>
      <c r="AQ58" s="112">
        <f t="shared" si="36"/>
        <v>0.1812819617273089</v>
      </c>
      <c r="AR58" s="112">
        <f t="shared" si="36"/>
        <v>0</v>
      </c>
      <c r="AS58" s="112">
        <f t="shared" si="36"/>
        <v>1.6653594746077992E-2</v>
      </c>
      <c r="AT58" s="112">
        <f t="shared" si="36"/>
        <v>8.5664889561382889E-3</v>
      </c>
      <c r="AU58" s="112">
        <f t="shared" si="36"/>
        <v>3.177203251832305E-2</v>
      </c>
      <c r="AV58" s="112">
        <f t="shared" si="36"/>
        <v>2.6863513255550229E-2</v>
      </c>
      <c r="AW58" s="112">
        <f t="shared" si="36"/>
        <v>0</v>
      </c>
      <c r="AX58" s="112">
        <f t="shared" si="36"/>
        <v>0</v>
      </c>
      <c r="AY58" s="112">
        <f t="shared" si="36"/>
        <v>0</v>
      </c>
      <c r="AZ58" s="112">
        <f t="shared" si="36"/>
        <v>0</v>
      </c>
      <c r="BA58" s="112">
        <f t="shared" si="36"/>
        <v>6.5460308735403025E-2</v>
      </c>
      <c r="BB58" s="112">
        <f t="shared" si="36"/>
        <v>7.3897239332655204E-3</v>
      </c>
      <c r="BC58" s="112">
        <f t="shared" si="36"/>
        <v>0</v>
      </c>
      <c r="BD58" s="112">
        <f t="shared" si="36"/>
        <v>0</v>
      </c>
      <c r="BF58" s="123"/>
    </row>
    <row r="59" spans="1:58" x14ac:dyDescent="0.3">
      <c r="A59" s="124"/>
    </row>
    <row r="60" spans="1:58" x14ac:dyDescent="0.3">
      <c r="A60" s="125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</row>
    <row r="61" spans="1:58" x14ac:dyDescent="0.3">
      <c r="A61" s="125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</row>
    <row r="62" spans="1:58" x14ac:dyDescent="0.3">
      <c r="A62" s="125"/>
      <c r="B62" s="119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</row>
    <row r="63" spans="1:58" x14ac:dyDescent="0.3">
      <c r="A63" s="125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</row>
    <row r="64" spans="1:58" x14ac:dyDescent="0.3">
      <c r="B64" s="119"/>
    </row>
    <row r="68" spans="1:56" s="120" customFormat="1" x14ac:dyDescent="0.3">
      <c r="A68" s="115"/>
      <c r="B68" s="119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</row>
  </sheetData>
  <mergeCells count="4">
    <mergeCell ref="A12:A19"/>
    <mergeCell ref="A23:A28"/>
    <mergeCell ref="A30:A39"/>
    <mergeCell ref="A40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BÁO CÁO TỔNG THÁNG 1  </vt:lpstr>
      <vt:lpstr>BC DT THÁNG 1 NHÀ T </vt:lpstr>
      <vt:lpstr>BCDT THÁNG 2 NHÀ S </vt:lpstr>
      <vt:lpstr>BC DT THÁNG 2 NHÀ G</vt:lpstr>
      <vt:lpstr>BC DT THÁNG 2 NHÀ T </vt:lpstr>
      <vt:lpstr>BÁO CÁO TỔNG THÁNG 2</vt:lpstr>
      <vt:lpstr>BÁO CÁO KINH DOANH THÁNG 2 </vt:lpstr>
      <vt:lpstr>BCDT THÁNG 3 NHÀ S </vt:lpstr>
      <vt:lpstr>BC DT THÁNG 3 NHÀ T </vt:lpstr>
      <vt:lpstr>BC DT THÁNG 4 NHÀ T  </vt:lpstr>
      <vt:lpstr>BC DT THÁNG 3 NHÀ G </vt:lpstr>
      <vt:lpstr>BÁO CÁO TỔNG THÁNG 3</vt:lpstr>
      <vt:lpstr>BÁO CÁO  KINH DOANH THÁNG 3 </vt:lpstr>
      <vt:lpstr>BCDT THÁNG 4 NHÀ S </vt:lpstr>
      <vt:lpstr>BC DT THÁNG 4 NHÀ G </vt:lpstr>
      <vt:lpstr>BÁO CÁO TỔNG THÁNG 4 </vt:lpstr>
      <vt:lpstr>BÁO CÁO KINH DOANH THÁNG 4</vt:lpstr>
      <vt:lpstr>BCDT THÁNG 5 NHÀ S  </vt:lpstr>
      <vt:lpstr>BC DT THÁNG 5 NHÀ G  </vt:lpstr>
      <vt:lpstr>BC DT THÁNG 5 NHÀ T  </vt:lpstr>
      <vt:lpstr>BÁO CÁO TỔNG THÁNG 5</vt:lpstr>
      <vt:lpstr>BÁO CÁO KINH DOANH THÁNG 5</vt:lpstr>
      <vt:lpstr>BCDT THÁNG 6 NHÀ S   </vt:lpstr>
      <vt:lpstr>BC DT THÁNG 6 NHÀ T  </vt:lpstr>
      <vt:lpstr>BC DT THÁNG 6 NHÀ G  </vt:lpstr>
      <vt:lpstr>BÁO CÁO TỔNG THÁNG 6</vt:lpstr>
      <vt:lpstr>BÁO CÁO KINH DOANH THÁNG 6 </vt:lpstr>
      <vt:lpstr>BC DT THÁNG 7 NHÀ G  </vt:lpstr>
      <vt:lpstr>BC DT THÁNG 8 NHÀ G  </vt:lpstr>
      <vt:lpstr>BCDT THÁNG 7 NHÀ S  </vt:lpstr>
      <vt:lpstr>BCDT THÁNG 8 NHÀ S  </vt:lpstr>
      <vt:lpstr>BC DT THÁNG 7 NHÀ T  </vt:lpstr>
      <vt:lpstr>BC DT THÁNG 8 NHÀ T  </vt:lpstr>
      <vt:lpstr>BÁO CÁO TỔNG THÁNG 7</vt:lpstr>
      <vt:lpstr>BÁO CÁO TỔNG THÁNG 8</vt:lpstr>
      <vt:lpstr>BÁO CÁO KINH DOANH THÁNG 8</vt:lpstr>
      <vt:lpstr>BÁO CÁO KINH DOANH THÁNG 7 </vt:lpstr>
      <vt:lpstr>BCDT THÁNG 1 NHÀ 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2026-02-11T03:40:45Z</dcterms:created>
  <dcterms:modified xsi:type="dcterms:W3CDTF">2026-09-16T03:33:46Z</dcterms:modified>
</cp:coreProperties>
</file>
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ngoc oi\TÀI CHÍNH THÁNG 8.2026\"/>
    </mc:Choice>
  </mc:AlternateContent>
  <xr:revisionPtr revIDLastSave="0" documentId="13_ncr:1_{A9C03993-8C03-4DCC-ADB0-B632D4AA118F}" xr6:coauthVersionLast="47" xr6:coauthVersionMax="47" xr10:uidLastSave="{00000000-0000-0000-0000-000000000000}"/>
  <bookViews>
    <workbookView xWindow="-110" yWindow="-110" windowWidth="19420" windowHeight="11500" firstSheet="7" activeTab="7" xr2:uid="{B5F676E8-8977-40CE-BF7F-88D657D798C5}"/>
  </bookViews>
  <sheets>
    <sheet name="THÁNG 1" sheetId="1" state="hidden" r:id="rId1"/>
    <sheet name="THÁNG 2 " sheetId="2" state="hidden" r:id="rId2"/>
    <sheet name="THÁNG 3" sheetId="3" state="hidden" r:id="rId3"/>
    <sheet name="THÁNG 4 " sheetId="4" state="hidden" r:id="rId4"/>
    <sheet name="THÁNG 5 " sheetId="5" state="hidden" r:id="rId5"/>
    <sheet name="THÁNG 6" sheetId="6" state="hidden" r:id="rId6"/>
    <sheet name="THÁNG 7" sheetId="7" state="hidden" r:id="rId7"/>
    <sheet name="THÁNG 8" sheetId="8" r:id="rId8"/>
  </sheets>
  <definedNames>
    <definedName name="_xlnm._FilterDatabase" localSheetId="0" hidden="1">'THÁNG 1'!$A$8:$Y$147</definedName>
    <definedName name="_xlnm._FilterDatabase" localSheetId="1" hidden="1">'THÁNG 2 '!$A$8:$Y$141</definedName>
    <definedName name="_xlnm._FilterDatabase" localSheetId="2" hidden="1">'THÁNG 3'!$A$8:$Y$143</definedName>
    <definedName name="_xlnm._FilterDatabase" localSheetId="3" hidden="1">'THÁNG 4 '!$A$8:$Y$147</definedName>
    <definedName name="_xlnm._FilterDatabase" localSheetId="4" hidden="1">'THÁNG 5 '!$A$8:$Y$149</definedName>
    <definedName name="_xlnm._FilterDatabase" localSheetId="5" hidden="1">'THÁNG 6'!$A$8:$Y$154</definedName>
    <definedName name="_xlnm._FilterDatabase" localSheetId="6" hidden="1">'THÁNG 7'!$A$8:$Y$161</definedName>
    <definedName name="_xlnm._FilterDatabase" localSheetId="7" hidden="1">'THÁNG 8'!$A$8:$Y$167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8" i="8" l="1"/>
  <c r="Y141" i="8" l="1"/>
  <c r="G9" i="8" l="1"/>
  <c r="F9" i="8"/>
  <c r="E9" i="8"/>
  <c r="D140" i="8"/>
  <c r="W140" i="8" s="1"/>
  <c r="W157" i="8"/>
  <c r="D157" i="8"/>
  <c r="D156" i="8"/>
  <c r="W156" i="8" s="1"/>
  <c r="D152" i="8"/>
  <c r="W152" i="8" s="1"/>
  <c r="D149" i="8"/>
  <c r="W149" i="8" s="1"/>
  <c r="D151" i="8"/>
  <c r="W151" i="8" s="1"/>
  <c r="D147" i="8"/>
  <c r="W147" i="8" s="1"/>
  <c r="D148" i="8"/>
  <c r="W148" i="8" s="1"/>
  <c r="D143" i="8"/>
  <c r="D138" i="8"/>
  <c r="X11" i="8"/>
  <c r="G10" i="8"/>
  <c r="X10" i="8" s="1"/>
  <c r="J91" i="8"/>
  <c r="W90" i="8"/>
  <c r="J133" i="8"/>
  <c r="W72" i="8"/>
  <c r="V122" i="8"/>
  <c r="W122" i="8" s="1"/>
  <c r="K133" i="8"/>
  <c r="M130" i="8"/>
  <c r="P130" i="8" s="1"/>
  <c r="L130" i="8"/>
  <c r="R130" i="8" s="1"/>
  <c r="M127" i="8"/>
  <c r="P127" i="8" s="1"/>
  <c r="L127" i="8"/>
  <c r="R127" i="8" s="1"/>
  <c r="M132" i="8"/>
  <c r="P132" i="8" s="1"/>
  <c r="L132" i="8"/>
  <c r="R132" i="8" s="1"/>
  <c r="S131" i="8"/>
  <c r="S133" i="8" s="1"/>
  <c r="Q133" i="8"/>
  <c r="N133" i="8"/>
  <c r="O133" i="8"/>
  <c r="Q126" i="8"/>
  <c r="O126" i="8"/>
  <c r="S126" i="8"/>
  <c r="K126" i="8"/>
  <c r="J126" i="8"/>
  <c r="M123" i="8"/>
  <c r="P123" i="8" s="1"/>
  <c r="L123" i="8"/>
  <c r="R123" i="8" s="1"/>
  <c r="M121" i="8"/>
  <c r="P121" i="8" s="1"/>
  <c r="L121" i="8"/>
  <c r="R121" i="8" s="1"/>
  <c r="M117" i="8"/>
  <c r="P117" i="8" s="1"/>
  <c r="L117" i="8"/>
  <c r="R117" i="8" s="1"/>
  <c r="M118" i="8"/>
  <c r="P118" i="8" s="1"/>
  <c r="L118" i="8"/>
  <c r="R118" i="8" s="1"/>
  <c r="M119" i="8"/>
  <c r="L119" i="8"/>
  <c r="R119" i="8" s="1"/>
  <c r="M125" i="8"/>
  <c r="L125" i="8"/>
  <c r="R125" i="8" s="1"/>
  <c r="P122" i="8"/>
  <c r="P124" i="8"/>
  <c r="R122" i="8"/>
  <c r="T122" i="8" s="1"/>
  <c r="U122" i="8" s="1"/>
  <c r="R124" i="8"/>
  <c r="N126" i="8"/>
  <c r="Q113" i="8"/>
  <c r="Q115" i="8" s="1"/>
  <c r="M111" i="8"/>
  <c r="P111" i="8" s="1"/>
  <c r="L111" i="8"/>
  <c r="R111" i="8" s="1"/>
  <c r="M108" i="8"/>
  <c r="L108" i="8"/>
  <c r="M107" i="8"/>
  <c r="P107" i="8" s="1"/>
  <c r="L107" i="8"/>
  <c r="R107" i="8" s="1"/>
  <c r="M114" i="8"/>
  <c r="P114" i="8" s="1"/>
  <c r="L114" i="8"/>
  <c r="R114" i="8" s="1"/>
  <c r="M113" i="8"/>
  <c r="P113" i="8" s="1"/>
  <c r="L113" i="8"/>
  <c r="S114" i="8"/>
  <c r="S115" i="8" s="1"/>
  <c r="Q103" i="8"/>
  <c r="N103" i="8"/>
  <c r="M93" i="8"/>
  <c r="P93" i="8" s="1"/>
  <c r="L93" i="8"/>
  <c r="R93" i="8" s="1"/>
  <c r="M92" i="8"/>
  <c r="P92" i="8" s="1"/>
  <c r="L92" i="8"/>
  <c r="R92" i="8" s="1"/>
  <c r="M101" i="8"/>
  <c r="L101" i="8"/>
  <c r="R101" i="8" s="1"/>
  <c r="M100" i="8"/>
  <c r="L100" i="8"/>
  <c r="M99" i="8"/>
  <c r="P99" i="8" s="1"/>
  <c r="L99" i="8"/>
  <c r="M94" i="8"/>
  <c r="P94" i="8" s="1"/>
  <c r="L94" i="8"/>
  <c r="R94" i="8" s="1"/>
  <c r="S103" i="8"/>
  <c r="J103" i="8"/>
  <c r="Q91" i="8"/>
  <c r="M86" i="8"/>
  <c r="P86" i="8" s="1"/>
  <c r="L86" i="8"/>
  <c r="R86" i="8" s="1"/>
  <c r="M85" i="8"/>
  <c r="L85" i="8"/>
  <c r="R85" i="8" s="1"/>
  <c r="M84" i="8"/>
  <c r="P84" i="8" s="1"/>
  <c r="L84" i="8"/>
  <c r="R84" i="8" s="1"/>
  <c r="M82" i="8"/>
  <c r="P82" i="8" s="1"/>
  <c r="L82" i="8"/>
  <c r="R82" i="8" s="1"/>
  <c r="M80" i="8"/>
  <c r="P80" i="8" s="1"/>
  <c r="L80" i="8"/>
  <c r="R80" i="8" s="1"/>
  <c r="M79" i="8"/>
  <c r="P79" i="8" s="1"/>
  <c r="L79" i="8"/>
  <c r="R79" i="8" s="1"/>
  <c r="S91" i="8"/>
  <c r="S81" i="8"/>
  <c r="K91" i="8"/>
  <c r="M74" i="8"/>
  <c r="P74" i="8" s="1"/>
  <c r="L74" i="8"/>
  <c r="R74" i="8" s="1"/>
  <c r="S78" i="8"/>
  <c r="P71" i="8"/>
  <c r="P72" i="8"/>
  <c r="T72" i="8" s="1"/>
  <c r="J73" i="8"/>
  <c r="M70" i="8"/>
  <c r="L70" i="8"/>
  <c r="R70" i="8" s="1"/>
  <c r="M68" i="8"/>
  <c r="L68" i="8"/>
  <c r="R68" i="8" s="1"/>
  <c r="M67" i="8"/>
  <c r="P67" i="8" s="1"/>
  <c r="P73" i="8" s="1"/>
  <c r="L67" i="8"/>
  <c r="R67" i="8" s="1"/>
  <c r="M69" i="8"/>
  <c r="P69" i="8" s="1"/>
  <c r="L69" i="8"/>
  <c r="R69" i="8" s="1"/>
  <c r="S73" i="8"/>
  <c r="K73" i="8"/>
  <c r="N73" i="8"/>
  <c r="O73" i="8"/>
  <c r="Q73" i="8"/>
  <c r="M65" i="8"/>
  <c r="P65" i="8" s="1"/>
  <c r="L65" i="8"/>
  <c r="L66" i="8" s="1"/>
  <c r="M63" i="8"/>
  <c r="L63" i="8"/>
  <c r="R63" i="8" s="1"/>
  <c r="S66" i="8"/>
  <c r="T62" i="8"/>
  <c r="U62" i="8" s="1"/>
  <c r="V62" i="8" s="1"/>
  <c r="W62" i="8" s="1"/>
  <c r="T64" i="8"/>
  <c r="U64" i="8" s="1"/>
  <c r="V64" i="8" s="1"/>
  <c r="W64" i="8" s="1"/>
  <c r="R62" i="8"/>
  <c r="R64" i="8"/>
  <c r="R61" i="8"/>
  <c r="P62" i="8"/>
  <c r="P64" i="8"/>
  <c r="P61" i="8"/>
  <c r="T61" i="8" s="1"/>
  <c r="U61" i="8" s="1"/>
  <c r="V61" i="8" s="1"/>
  <c r="W61" i="8" s="1"/>
  <c r="K66" i="8"/>
  <c r="N66" i="8"/>
  <c r="O66" i="8"/>
  <c r="Q66" i="8"/>
  <c r="J66" i="8"/>
  <c r="M57" i="8"/>
  <c r="P57" i="8" s="1"/>
  <c r="L57" i="8"/>
  <c r="R57" i="8" s="1"/>
  <c r="M56" i="8"/>
  <c r="P56" i="8" s="1"/>
  <c r="L56" i="8"/>
  <c r="S56" i="8"/>
  <c r="S60" i="8" s="1"/>
  <c r="Q60" i="8"/>
  <c r="R58" i="8"/>
  <c r="R59" i="8"/>
  <c r="R55" i="8"/>
  <c r="P58" i="8"/>
  <c r="P59" i="8"/>
  <c r="T59" i="8" s="1"/>
  <c r="U59" i="8" s="1"/>
  <c r="V59" i="8" s="1"/>
  <c r="W59" i="8" s="1"/>
  <c r="P55" i="8"/>
  <c r="T55" i="8" s="1"/>
  <c r="U55" i="8" s="1"/>
  <c r="V55" i="8" s="1"/>
  <c r="W55" i="8" s="1"/>
  <c r="O60" i="8"/>
  <c r="N60" i="8"/>
  <c r="K54" i="8"/>
  <c r="J54" i="8"/>
  <c r="M45" i="8"/>
  <c r="P45" i="8" s="1"/>
  <c r="L45" i="8"/>
  <c r="R45" i="8"/>
  <c r="M44" i="8"/>
  <c r="L44" i="8"/>
  <c r="R44" i="8" s="1"/>
  <c r="M51" i="8"/>
  <c r="L51" i="8"/>
  <c r="R51" i="8" s="1"/>
  <c r="M49" i="8"/>
  <c r="P49" i="8" s="1"/>
  <c r="L49" i="8"/>
  <c r="R49" i="8" s="1"/>
  <c r="L53" i="8"/>
  <c r="M53" i="8"/>
  <c r="R53" i="8"/>
  <c r="S44" i="8"/>
  <c r="S54" i="8"/>
  <c r="J28" i="8"/>
  <c r="M30" i="8"/>
  <c r="L30" i="8"/>
  <c r="R30" i="8" s="1"/>
  <c r="M39" i="8"/>
  <c r="P39" i="8" s="1"/>
  <c r="L39" i="8"/>
  <c r="M38" i="8"/>
  <c r="L38" i="8"/>
  <c r="R38" i="8" s="1"/>
  <c r="M35" i="8"/>
  <c r="P35" i="8" s="1"/>
  <c r="L35" i="8"/>
  <c r="M31" i="8"/>
  <c r="L31" i="8"/>
  <c r="S39" i="8"/>
  <c r="S41" i="8"/>
  <c r="Q41" i="8"/>
  <c r="N41" i="8"/>
  <c r="O41" i="8"/>
  <c r="K28" i="8"/>
  <c r="M21" i="8"/>
  <c r="P21" i="8" s="1"/>
  <c r="L21" i="8"/>
  <c r="R21" i="8" s="1"/>
  <c r="M19" i="8"/>
  <c r="P19" i="8" s="1"/>
  <c r="P28" i="8" s="1"/>
  <c r="L19" i="8"/>
  <c r="R19" i="8" s="1"/>
  <c r="M26" i="8"/>
  <c r="P26" i="8" s="1"/>
  <c r="L26" i="8"/>
  <c r="R26" i="8" s="1"/>
  <c r="S28" i="8"/>
  <c r="R71" i="8"/>
  <c r="K59" i="8"/>
  <c r="K60" i="8" s="1"/>
  <c r="J59" i="8"/>
  <c r="J60" i="8" s="1"/>
  <c r="W163" i="8"/>
  <c r="W162" i="8"/>
  <c r="W161" i="8"/>
  <c r="X160" i="8"/>
  <c r="W160" i="8"/>
  <c r="X159" i="8"/>
  <c r="W159" i="8"/>
  <c r="W158" i="8"/>
  <c r="W155" i="8"/>
  <c r="W154" i="8"/>
  <c r="W153" i="8"/>
  <c r="W150" i="8"/>
  <c r="W146" i="8"/>
  <c r="W145" i="8"/>
  <c r="W144" i="8"/>
  <c r="W143" i="8"/>
  <c r="W142" i="8"/>
  <c r="W141" i="8"/>
  <c r="W139" i="8"/>
  <c r="W137" i="8"/>
  <c r="W136" i="8"/>
  <c r="R131" i="8"/>
  <c r="P131" i="8"/>
  <c r="R129" i="8"/>
  <c r="P129" i="8"/>
  <c r="R128" i="8"/>
  <c r="P128" i="8"/>
  <c r="P120" i="8"/>
  <c r="R120" i="8"/>
  <c r="P119" i="8"/>
  <c r="R116" i="8"/>
  <c r="P116" i="8"/>
  <c r="O115" i="8"/>
  <c r="N115" i="8"/>
  <c r="K115" i="8"/>
  <c r="J115" i="8"/>
  <c r="R112" i="8"/>
  <c r="P112" i="8"/>
  <c r="R110" i="8"/>
  <c r="P110" i="8"/>
  <c r="R109" i="8"/>
  <c r="P109" i="8"/>
  <c r="R108" i="8"/>
  <c r="P108" i="8"/>
  <c r="R105" i="8"/>
  <c r="P105" i="8"/>
  <c r="R104" i="8"/>
  <c r="P104" i="8"/>
  <c r="O103" i="8"/>
  <c r="K103" i="8"/>
  <c r="P101" i="8"/>
  <c r="R100" i="8"/>
  <c r="P100" i="8"/>
  <c r="R98" i="8"/>
  <c r="P98" i="8"/>
  <c r="R97" i="8"/>
  <c r="P97" i="8"/>
  <c r="R96" i="8"/>
  <c r="P96" i="8"/>
  <c r="R95" i="8"/>
  <c r="P95" i="8"/>
  <c r="O91" i="8"/>
  <c r="N91" i="8"/>
  <c r="R89" i="8"/>
  <c r="P89" i="8"/>
  <c r="R88" i="8"/>
  <c r="P88" i="8"/>
  <c r="R87" i="8"/>
  <c r="P87" i="8"/>
  <c r="P85" i="8"/>
  <c r="P83" i="8"/>
  <c r="R83" i="8"/>
  <c r="R81" i="8"/>
  <c r="P81" i="8"/>
  <c r="Q78" i="8"/>
  <c r="O78" i="8"/>
  <c r="N78" i="8"/>
  <c r="K78" i="8"/>
  <c r="J78" i="8"/>
  <c r="W77" i="8"/>
  <c r="P76" i="8"/>
  <c r="R75" i="8"/>
  <c r="B78" i="8"/>
  <c r="B73" i="8"/>
  <c r="P70" i="8"/>
  <c r="P68" i="8"/>
  <c r="Q54" i="8"/>
  <c r="O54" i="8"/>
  <c r="N54" i="8"/>
  <c r="P53" i="8"/>
  <c r="P52" i="8"/>
  <c r="R52" i="8"/>
  <c r="P51" i="8"/>
  <c r="R50" i="8"/>
  <c r="P50" i="8"/>
  <c r="R48" i="8"/>
  <c r="P48" i="8"/>
  <c r="R47" i="8"/>
  <c r="P47" i="8"/>
  <c r="P46" i="8"/>
  <c r="R46" i="8"/>
  <c r="P44" i="8"/>
  <c r="R43" i="8"/>
  <c r="P43" i="8"/>
  <c r="R42" i="8"/>
  <c r="P42" i="8"/>
  <c r="P40" i="8"/>
  <c r="R39" i="8"/>
  <c r="P38" i="8"/>
  <c r="K38" i="8"/>
  <c r="R37" i="8"/>
  <c r="P37" i="8"/>
  <c r="P36" i="8"/>
  <c r="R36" i="8"/>
  <c r="J35" i="8"/>
  <c r="J41" i="8" s="1"/>
  <c r="R34" i="8"/>
  <c r="P34" i="8"/>
  <c r="R33" i="8"/>
  <c r="P33" i="8"/>
  <c r="R32" i="8"/>
  <c r="P32" i="8"/>
  <c r="P30" i="8"/>
  <c r="R29" i="8"/>
  <c r="P29" i="8"/>
  <c r="F29" i="8"/>
  <c r="Q28" i="8"/>
  <c r="O28" i="8"/>
  <c r="N28" i="8"/>
  <c r="B28" i="8"/>
  <c r="R27" i="8"/>
  <c r="P27" i="8"/>
  <c r="P25" i="8"/>
  <c r="R25" i="8"/>
  <c r="R24" i="8"/>
  <c r="P24" i="8"/>
  <c r="R23" i="8"/>
  <c r="P23" i="8"/>
  <c r="R22" i="8"/>
  <c r="P22" i="8"/>
  <c r="B22" i="8"/>
  <c r="B23" i="8" s="1"/>
  <c r="P20" i="8"/>
  <c r="R20" i="8"/>
  <c r="W18" i="8"/>
  <c r="T18" i="8"/>
  <c r="S18" i="8"/>
  <c r="Q18" i="8"/>
  <c r="O18" i="8"/>
  <c r="N18" i="8"/>
  <c r="M18" i="8"/>
  <c r="L18" i="8"/>
  <c r="K18" i="8"/>
  <c r="J18" i="8"/>
  <c r="P17" i="8"/>
  <c r="P16" i="8"/>
  <c r="P15" i="8"/>
  <c r="P14" i="8"/>
  <c r="P13" i="8"/>
  <c r="P12" i="8"/>
  <c r="B12" i="8"/>
  <c r="B13" i="8" s="1"/>
  <c r="B14" i="8" s="1"/>
  <c r="B15" i="8" s="1"/>
  <c r="B18" i="8" s="1"/>
  <c r="P11" i="8"/>
  <c r="G11" i="8"/>
  <c r="Y136" i="7"/>
  <c r="X131" i="7"/>
  <c r="E9" i="7"/>
  <c r="F9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31" i="7"/>
  <c r="D144" i="7"/>
  <c r="D146" i="7"/>
  <c r="D149" i="7"/>
  <c r="D143" i="7"/>
  <c r="D139" i="7"/>
  <c r="D138" i="7"/>
  <c r="D133" i="7"/>
  <c r="P103" i="8" l="1"/>
  <c r="P126" i="8"/>
  <c r="L103" i="8"/>
  <c r="R113" i="8"/>
  <c r="T113" i="8" s="1"/>
  <c r="U113" i="8" s="1"/>
  <c r="V113" i="8" s="1"/>
  <c r="W113" i="8" s="1"/>
  <c r="L28" i="8"/>
  <c r="M103" i="8"/>
  <c r="L126" i="8"/>
  <c r="M133" i="8"/>
  <c r="L133" i="8"/>
  <c r="T132" i="8"/>
  <c r="U132" i="8" s="1"/>
  <c r="V132" i="8" s="1"/>
  <c r="W132" i="8" s="1"/>
  <c r="P133" i="8"/>
  <c r="T121" i="8"/>
  <c r="U121" i="8" s="1"/>
  <c r="V121" i="8" s="1"/>
  <c r="W121" i="8" s="1"/>
  <c r="M126" i="8"/>
  <c r="P125" i="8"/>
  <c r="T124" i="8"/>
  <c r="U124" i="8" s="1"/>
  <c r="V124" i="8" s="1"/>
  <c r="W124" i="8" s="1"/>
  <c r="T123" i="8"/>
  <c r="U123" i="8" s="1"/>
  <c r="V123" i="8" s="1"/>
  <c r="W123" i="8" s="1"/>
  <c r="R99" i="8"/>
  <c r="T71" i="8"/>
  <c r="U71" i="8" s="1"/>
  <c r="V71" i="8" s="1"/>
  <c r="W71" i="8" s="1"/>
  <c r="M73" i="8"/>
  <c r="L73" i="8"/>
  <c r="M66" i="8"/>
  <c r="R65" i="8"/>
  <c r="T65" i="8" s="1"/>
  <c r="U65" i="8" s="1"/>
  <c r="V65" i="8" s="1"/>
  <c r="W65" i="8" s="1"/>
  <c r="P63" i="8"/>
  <c r="P66" i="8" s="1"/>
  <c r="T63" i="8"/>
  <c r="U63" i="8" s="1"/>
  <c r="V63" i="8" s="1"/>
  <c r="W63" i="8" s="1"/>
  <c r="W66" i="8" s="1"/>
  <c r="X61" i="8" s="1"/>
  <c r="T57" i="8"/>
  <c r="U57" i="8" s="1"/>
  <c r="V57" i="8" s="1"/>
  <c r="W57" i="8" s="1"/>
  <c r="P60" i="8"/>
  <c r="L60" i="8"/>
  <c r="M60" i="8"/>
  <c r="R56" i="8"/>
  <c r="T56" i="8" s="1"/>
  <c r="U56" i="8" s="1"/>
  <c r="V56" i="8" s="1"/>
  <c r="W56" i="8" s="1"/>
  <c r="T58" i="8"/>
  <c r="M41" i="8"/>
  <c r="L41" i="8"/>
  <c r="R35" i="8"/>
  <c r="T35" i="8" s="1"/>
  <c r="U35" i="8" s="1"/>
  <c r="V35" i="8" s="1"/>
  <c r="W35" i="8" s="1"/>
  <c r="P31" i="8"/>
  <c r="P41" i="8" s="1"/>
  <c r="R31" i="8"/>
  <c r="R40" i="8"/>
  <c r="T40" i="8" s="1"/>
  <c r="U40" i="8" s="1"/>
  <c r="V40" i="8" s="1"/>
  <c r="W40" i="8" s="1"/>
  <c r="T129" i="8"/>
  <c r="U129" i="8" s="1"/>
  <c r="V129" i="8" s="1"/>
  <c r="W129" i="8" s="1"/>
  <c r="T30" i="8"/>
  <c r="U30" i="8" s="1"/>
  <c r="V30" i="8" s="1"/>
  <c r="W30" i="8" s="1"/>
  <c r="T94" i="8"/>
  <c r="U94" i="8" s="1"/>
  <c r="T98" i="8"/>
  <c r="U98" i="8" s="1"/>
  <c r="V98" i="8" s="1"/>
  <c r="W98" i="8" s="1"/>
  <c r="T112" i="8"/>
  <c r="U112" i="8" s="1"/>
  <c r="V112" i="8" s="1"/>
  <c r="W112" i="8" s="1"/>
  <c r="T37" i="8"/>
  <c r="U37" i="8" s="1"/>
  <c r="V37" i="8" s="1"/>
  <c r="W37" i="8" s="1"/>
  <c r="T131" i="8"/>
  <c r="U131" i="8" s="1"/>
  <c r="V131" i="8" s="1"/>
  <c r="W131" i="8" s="1"/>
  <c r="T110" i="8"/>
  <c r="U110" i="8" s="1"/>
  <c r="T114" i="8"/>
  <c r="U114" i="8" s="1"/>
  <c r="T86" i="8"/>
  <c r="U86" i="8" s="1"/>
  <c r="V86" i="8" s="1"/>
  <c r="W86" i="8" s="1"/>
  <c r="T70" i="8"/>
  <c r="U70" i="8" s="1"/>
  <c r="V70" i="8" s="1"/>
  <c r="W70" i="8" s="1"/>
  <c r="T87" i="8"/>
  <c r="U87" i="8" s="1"/>
  <c r="V87" i="8" s="1"/>
  <c r="W87" i="8" s="1"/>
  <c r="T92" i="8"/>
  <c r="T130" i="8"/>
  <c r="U130" i="8" s="1"/>
  <c r="V130" i="8" s="1"/>
  <c r="W130" i="8" s="1"/>
  <c r="T85" i="8"/>
  <c r="U85" i="8" s="1"/>
  <c r="V85" i="8" s="1"/>
  <c r="W85" i="8" s="1"/>
  <c r="T89" i="8"/>
  <c r="U89" i="8" s="1"/>
  <c r="V89" i="8" s="1"/>
  <c r="W89" i="8" s="1"/>
  <c r="M54" i="8"/>
  <c r="T23" i="8"/>
  <c r="U23" i="8" s="1"/>
  <c r="V23" i="8" s="1"/>
  <c r="W23" i="8" s="1"/>
  <c r="T26" i="8"/>
  <c r="T74" i="8"/>
  <c r="T32" i="8"/>
  <c r="U32" i="8" s="1"/>
  <c r="V32" i="8" s="1"/>
  <c r="W32" i="8" s="1"/>
  <c r="T34" i="8"/>
  <c r="U34" i="8" s="1"/>
  <c r="V34" i="8" s="1"/>
  <c r="W34" i="8" s="1"/>
  <c r="T97" i="8"/>
  <c r="U97" i="8" s="1"/>
  <c r="T101" i="8"/>
  <c r="U101" i="8" s="1"/>
  <c r="T111" i="8"/>
  <c r="U111" i="8" s="1"/>
  <c r="M78" i="8"/>
  <c r="T24" i="8"/>
  <c r="U24" i="8" s="1"/>
  <c r="V24" i="8" s="1"/>
  <c r="W24" i="8" s="1"/>
  <c r="T36" i="8"/>
  <c r="U36" i="8" s="1"/>
  <c r="V36" i="8" s="1"/>
  <c r="W36" i="8" s="1"/>
  <c r="L54" i="8"/>
  <c r="T81" i="8"/>
  <c r="U81" i="8" s="1"/>
  <c r="V81" i="8" s="1"/>
  <c r="W81" i="8" s="1"/>
  <c r="T96" i="8"/>
  <c r="U96" i="8" s="1"/>
  <c r="T20" i="8"/>
  <c r="U20" i="8" s="1"/>
  <c r="T22" i="8"/>
  <c r="U22" i="8" s="1"/>
  <c r="V22" i="8" s="1"/>
  <c r="W22" i="8" s="1"/>
  <c r="T46" i="8"/>
  <c r="U46" i="8" s="1"/>
  <c r="V46" i="8" s="1"/>
  <c r="W46" i="8" s="1"/>
  <c r="T107" i="8"/>
  <c r="U107" i="8" s="1"/>
  <c r="Q9" i="8"/>
  <c r="T53" i="8"/>
  <c r="U53" i="8" s="1"/>
  <c r="V53" i="8" s="1"/>
  <c r="W53" i="8" s="1"/>
  <c r="T43" i="8"/>
  <c r="U43" i="8" s="1"/>
  <c r="V43" i="8" s="1"/>
  <c r="W43" i="8" s="1"/>
  <c r="T47" i="8"/>
  <c r="U47" i="8" s="1"/>
  <c r="V47" i="8" s="1"/>
  <c r="W47" i="8" s="1"/>
  <c r="T82" i="8"/>
  <c r="U82" i="8" s="1"/>
  <c r="V82" i="8" s="1"/>
  <c r="W82" i="8" s="1"/>
  <c r="T108" i="8"/>
  <c r="U108" i="8" s="1"/>
  <c r="T118" i="8"/>
  <c r="U118" i="8" s="1"/>
  <c r="V118" i="8" s="1"/>
  <c r="W118" i="8" s="1"/>
  <c r="T27" i="8"/>
  <c r="U27" i="8" s="1"/>
  <c r="V27" i="8" s="1"/>
  <c r="W27" i="8" s="1"/>
  <c r="T52" i="8"/>
  <c r="U52" i="8" s="1"/>
  <c r="V52" i="8" s="1"/>
  <c r="W52" i="8" s="1"/>
  <c r="T51" i="8"/>
  <c r="U51" i="8" s="1"/>
  <c r="V51" i="8" s="1"/>
  <c r="W51" i="8" s="1"/>
  <c r="L78" i="8"/>
  <c r="T95" i="8"/>
  <c r="U95" i="8" s="1"/>
  <c r="V95" i="8" s="1"/>
  <c r="W95" i="8" s="1"/>
  <c r="T109" i="8"/>
  <c r="U109" i="8" s="1"/>
  <c r="V109" i="8" s="1"/>
  <c r="W109" i="8" s="1"/>
  <c r="T128" i="8"/>
  <c r="U128" i="8" s="1"/>
  <c r="V128" i="8" s="1"/>
  <c r="W128" i="8" s="1"/>
  <c r="O9" i="8"/>
  <c r="T68" i="8"/>
  <c r="U68" i="8" s="1"/>
  <c r="V68" i="8" s="1"/>
  <c r="W68" i="8" s="1"/>
  <c r="T76" i="8"/>
  <c r="W76" i="8" s="1"/>
  <c r="M115" i="8"/>
  <c r="P18" i="8"/>
  <c r="S9" i="8"/>
  <c r="T48" i="8"/>
  <c r="U48" i="8" s="1"/>
  <c r="V48" i="8" s="1"/>
  <c r="W48" i="8" s="1"/>
  <c r="T69" i="8"/>
  <c r="U69" i="8" s="1"/>
  <c r="V69" i="8" s="1"/>
  <c r="W69" i="8" s="1"/>
  <c r="T80" i="8"/>
  <c r="U80" i="8" s="1"/>
  <c r="V80" i="8" s="1"/>
  <c r="W80" i="8" s="1"/>
  <c r="P106" i="8"/>
  <c r="P115" i="8" s="1"/>
  <c r="T120" i="8"/>
  <c r="U120" i="8" s="1"/>
  <c r="V120" i="8" s="1"/>
  <c r="W120" i="8" s="1"/>
  <c r="T25" i="8"/>
  <c r="U25" i="8" s="1"/>
  <c r="V25" i="8" s="1"/>
  <c r="W25" i="8" s="1"/>
  <c r="T21" i="8"/>
  <c r="U21" i="8" s="1"/>
  <c r="T44" i="8"/>
  <c r="U44" i="8" s="1"/>
  <c r="V44" i="8" s="1"/>
  <c r="W44" i="8" s="1"/>
  <c r="T49" i="8"/>
  <c r="U49" i="8" s="1"/>
  <c r="V49" i="8" s="1"/>
  <c r="W49" i="8" s="1"/>
  <c r="T99" i="8"/>
  <c r="U99" i="8" s="1"/>
  <c r="V99" i="8" s="1"/>
  <c r="W99" i="8" s="1"/>
  <c r="T104" i="8"/>
  <c r="T127" i="8"/>
  <c r="N9" i="8"/>
  <c r="T38" i="8"/>
  <c r="U38" i="8" s="1"/>
  <c r="V38" i="8" s="1"/>
  <c r="K41" i="8"/>
  <c r="K9" i="8" s="1"/>
  <c r="T39" i="8"/>
  <c r="U39" i="8" s="1"/>
  <c r="V39" i="8" s="1"/>
  <c r="W39" i="8" s="1"/>
  <c r="T117" i="8"/>
  <c r="U117" i="8" s="1"/>
  <c r="V117" i="8" s="1"/>
  <c r="W117" i="8" s="1"/>
  <c r="T119" i="8"/>
  <c r="U119" i="8" s="1"/>
  <c r="V119" i="8" s="1"/>
  <c r="W119" i="8" s="1"/>
  <c r="T33" i="8"/>
  <c r="U33" i="8" s="1"/>
  <c r="V33" i="8" s="1"/>
  <c r="W33" i="8" s="1"/>
  <c r="P75" i="8"/>
  <c r="T75" i="8" s="1"/>
  <c r="U75" i="8" s="1"/>
  <c r="T88" i="8"/>
  <c r="U88" i="8" s="1"/>
  <c r="V88" i="8" s="1"/>
  <c r="W88" i="8" s="1"/>
  <c r="T100" i="8"/>
  <c r="U100" i="8" s="1"/>
  <c r="L115" i="8"/>
  <c r="T45" i="8"/>
  <c r="U45" i="8" s="1"/>
  <c r="V45" i="8" s="1"/>
  <c r="W45" i="8" s="1"/>
  <c r="T84" i="8"/>
  <c r="U84" i="8" s="1"/>
  <c r="V84" i="8" s="1"/>
  <c r="W84" i="8" s="1"/>
  <c r="T19" i="8"/>
  <c r="T93" i="8"/>
  <c r="U93" i="8" s="1"/>
  <c r="T116" i="8"/>
  <c r="J9" i="8"/>
  <c r="T42" i="8"/>
  <c r="P54" i="8"/>
  <c r="L91" i="8"/>
  <c r="T67" i="8"/>
  <c r="P91" i="8"/>
  <c r="T79" i="8"/>
  <c r="T105" i="8"/>
  <c r="U105" i="8" s="1"/>
  <c r="V105" i="8" s="1"/>
  <c r="W105" i="8" s="1"/>
  <c r="T50" i="8"/>
  <c r="U50" i="8" s="1"/>
  <c r="V50" i="8" s="1"/>
  <c r="W50" i="8" s="1"/>
  <c r="T83" i="8"/>
  <c r="U83" i="8" s="1"/>
  <c r="V83" i="8" s="1"/>
  <c r="W83" i="8" s="1"/>
  <c r="T29" i="8"/>
  <c r="R106" i="8"/>
  <c r="M91" i="8"/>
  <c r="M28" i="8"/>
  <c r="G11" i="7"/>
  <c r="D9" i="7"/>
  <c r="G10" i="7"/>
  <c r="J128" i="7"/>
  <c r="W127" i="7"/>
  <c r="W70" i="7"/>
  <c r="J71" i="7"/>
  <c r="W120" i="7"/>
  <c r="J121" i="7"/>
  <c r="L114" i="7"/>
  <c r="M114" i="7"/>
  <c r="M116" i="7"/>
  <c r="L116" i="7"/>
  <c r="M115" i="7"/>
  <c r="L115" i="7"/>
  <c r="S115" i="7"/>
  <c r="W60" i="8" l="1"/>
  <c r="X55" i="8" s="1"/>
  <c r="V75" i="8"/>
  <c r="W75" i="8" s="1"/>
  <c r="V93" i="8"/>
  <c r="W93" i="8" s="1"/>
  <c r="T133" i="8"/>
  <c r="U133" i="8" s="1"/>
  <c r="V107" i="8"/>
  <c r="W107" i="8" s="1"/>
  <c r="W110" i="8"/>
  <c r="V110" i="8"/>
  <c r="U104" i="8"/>
  <c r="U92" i="8"/>
  <c r="T103" i="8"/>
  <c r="V108" i="8"/>
  <c r="W108" i="8" s="1"/>
  <c r="W111" i="8"/>
  <c r="V111" i="8"/>
  <c r="W20" i="8"/>
  <c r="V20" i="8"/>
  <c r="W94" i="8"/>
  <c r="V94" i="8"/>
  <c r="V96" i="8"/>
  <c r="W96" i="8" s="1"/>
  <c r="W97" i="8"/>
  <c r="V97" i="8"/>
  <c r="T126" i="8"/>
  <c r="U126" i="8" s="1"/>
  <c r="V101" i="8"/>
  <c r="W101" i="8" s="1"/>
  <c r="V100" i="8"/>
  <c r="W100" i="8" s="1"/>
  <c r="W21" i="8"/>
  <c r="V21" i="8"/>
  <c r="W114" i="8"/>
  <c r="V114" i="8"/>
  <c r="U127" i="8"/>
  <c r="T125" i="8"/>
  <c r="U125" i="8" s="1"/>
  <c r="V125" i="8" s="1"/>
  <c r="W125" i="8" s="1"/>
  <c r="U74" i="8"/>
  <c r="T78" i="8"/>
  <c r="U78" i="8" s="1"/>
  <c r="T73" i="8"/>
  <c r="U73" i="8" s="1"/>
  <c r="T66" i="8"/>
  <c r="U66" i="8" s="1"/>
  <c r="T60" i="8"/>
  <c r="U60" i="8" s="1"/>
  <c r="U58" i="8"/>
  <c r="V58" i="8" s="1"/>
  <c r="W58" i="8" s="1"/>
  <c r="T31" i="8"/>
  <c r="U31" i="8" s="1"/>
  <c r="V31" i="8" s="1"/>
  <c r="W31" i="8" s="1"/>
  <c r="U26" i="8"/>
  <c r="T28" i="8"/>
  <c r="L9" i="8"/>
  <c r="R9" i="8" s="1"/>
  <c r="T106" i="8"/>
  <c r="U106" i="8" s="1"/>
  <c r="P78" i="8"/>
  <c r="P9" i="8" s="1"/>
  <c r="M9" i="8"/>
  <c r="U103" i="8"/>
  <c r="U67" i="8"/>
  <c r="U29" i="8"/>
  <c r="U42" i="8"/>
  <c r="T54" i="8"/>
  <c r="U54" i="8" s="1"/>
  <c r="T91" i="8"/>
  <c r="U91" i="8" s="1"/>
  <c r="U79" i="8"/>
  <c r="U19" i="8"/>
  <c r="V19" i="8" s="1"/>
  <c r="W19" i="8" s="1"/>
  <c r="U116" i="8"/>
  <c r="V116" i="8" s="1"/>
  <c r="W116" i="8" s="1"/>
  <c r="W126" i="8" s="1"/>
  <c r="X116" i="8" s="1"/>
  <c r="M102" i="7"/>
  <c r="L102" i="7"/>
  <c r="M103" i="7"/>
  <c r="L103" i="7"/>
  <c r="M110" i="7"/>
  <c r="L110" i="7"/>
  <c r="M109" i="7"/>
  <c r="L109" i="7"/>
  <c r="M76" i="7"/>
  <c r="L76" i="7"/>
  <c r="M78" i="7"/>
  <c r="L78" i="7"/>
  <c r="M77" i="7"/>
  <c r="L77" i="7"/>
  <c r="M72" i="7"/>
  <c r="L72" i="7"/>
  <c r="M80" i="7"/>
  <c r="L80" i="7"/>
  <c r="S72" i="7"/>
  <c r="S85" i="7" s="1"/>
  <c r="M68" i="7"/>
  <c r="L68" i="7"/>
  <c r="M69" i="7"/>
  <c r="P69" i="7" s="1"/>
  <c r="L69" i="7"/>
  <c r="R69" i="7" s="1"/>
  <c r="Q71" i="7"/>
  <c r="S71" i="7"/>
  <c r="O71" i="7"/>
  <c r="N71" i="7"/>
  <c r="K71" i="7"/>
  <c r="M60" i="7"/>
  <c r="L60" i="7"/>
  <c r="M59" i="7"/>
  <c r="L59" i="7"/>
  <c r="V106" i="8" l="1"/>
  <c r="W106" i="8" s="1"/>
  <c r="V67" i="8"/>
  <c r="W67" i="8" s="1"/>
  <c r="W73" i="8" s="1"/>
  <c r="X67" i="8" s="1"/>
  <c r="V26" i="8"/>
  <c r="W26" i="8" s="1"/>
  <c r="W28" i="8" s="1"/>
  <c r="X19" i="8" s="1"/>
  <c r="T41" i="8"/>
  <c r="U41" i="8" s="1"/>
  <c r="W42" i="8"/>
  <c r="W54" i="8" s="1"/>
  <c r="X42" i="8" s="1"/>
  <c r="V42" i="8"/>
  <c r="V127" i="8"/>
  <c r="W127" i="8" s="1"/>
  <c r="W133" i="8" s="1"/>
  <c r="X127" i="8" s="1"/>
  <c r="V92" i="8"/>
  <c r="W92" i="8" s="1"/>
  <c r="W103" i="8" s="1"/>
  <c r="X92" i="8" s="1"/>
  <c r="V29" i="8"/>
  <c r="W29" i="8" s="1"/>
  <c r="W41" i="8" s="1"/>
  <c r="X29" i="8" s="1"/>
  <c r="W74" i="8"/>
  <c r="W78" i="8" s="1"/>
  <c r="X74" i="8" s="1"/>
  <c r="V74" i="8"/>
  <c r="T115" i="8"/>
  <c r="U115" i="8" s="1"/>
  <c r="V79" i="8"/>
  <c r="W79" i="8" s="1"/>
  <c r="W91" i="8" s="1"/>
  <c r="X79" i="8" s="1"/>
  <c r="V104" i="8"/>
  <c r="W104" i="8" s="1"/>
  <c r="U28" i="8"/>
  <c r="L71" i="7"/>
  <c r="M71" i="7"/>
  <c r="T69" i="7"/>
  <c r="U69" i="7" s="1"/>
  <c r="V69" i="7" s="1"/>
  <c r="M56" i="7"/>
  <c r="L56" i="7"/>
  <c r="M55" i="7"/>
  <c r="L55" i="7"/>
  <c r="M50" i="7"/>
  <c r="L50" i="7"/>
  <c r="M57" i="7"/>
  <c r="L57" i="7"/>
  <c r="W115" i="8" l="1"/>
  <c r="X104" i="8" s="1"/>
  <c r="T9" i="8"/>
  <c r="U9" i="8" s="1"/>
  <c r="V9" i="8" s="1"/>
  <c r="M32" i="7"/>
  <c r="L32" i="7"/>
  <c r="M42" i="7"/>
  <c r="P42" i="7" s="1"/>
  <c r="L42" i="7"/>
  <c r="R42" i="7" s="1"/>
  <c r="M40" i="7"/>
  <c r="P40" i="7" s="1"/>
  <c r="L40" i="7"/>
  <c r="R40" i="7" s="1"/>
  <c r="M39" i="7"/>
  <c r="P39" i="7" s="1"/>
  <c r="L39" i="7"/>
  <c r="R39" i="7" s="1"/>
  <c r="Q45" i="7"/>
  <c r="P44" i="7"/>
  <c r="M19" i="7"/>
  <c r="P19" i="7" s="1"/>
  <c r="L19" i="7"/>
  <c r="R19" i="7" s="1"/>
  <c r="M20" i="7"/>
  <c r="P20" i="7" s="1"/>
  <c r="L20" i="7"/>
  <c r="R20" i="7" s="1"/>
  <c r="M27" i="7"/>
  <c r="P27" i="7" s="1"/>
  <c r="L27" i="7"/>
  <c r="R27" i="7" s="1"/>
  <c r="M28" i="7"/>
  <c r="L28" i="7"/>
  <c r="R28" i="7" s="1"/>
  <c r="W157" i="7"/>
  <c r="W156" i="7"/>
  <c r="W155" i="7"/>
  <c r="X154" i="7"/>
  <c r="W154" i="7"/>
  <c r="X153" i="7"/>
  <c r="W153" i="7"/>
  <c r="S128" i="7"/>
  <c r="Q128" i="7"/>
  <c r="O128" i="7"/>
  <c r="N128" i="7"/>
  <c r="L128" i="7"/>
  <c r="K128" i="7"/>
  <c r="R126" i="7"/>
  <c r="P126" i="7"/>
  <c r="R125" i="7"/>
  <c r="P125" i="7"/>
  <c r="R124" i="7"/>
  <c r="P124" i="7"/>
  <c r="P123" i="7"/>
  <c r="R123" i="7"/>
  <c r="R122" i="7"/>
  <c r="P122" i="7"/>
  <c r="S121" i="7"/>
  <c r="Q121" i="7"/>
  <c r="O121" i="7"/>
  <c r="N121" i="7"/>
  <c r="K121" i="7"/>
  <c r="R119" i="7"/>
  <c r="P119" i="7"/>
  <c r="T119" i="7" s="1"/>
  <c r="U119" i="7" s="1"/>
  <c r="R118" i="7"/>
  <c r="P118" i="7"/>
  <c r="R117" i="7"/>
  <c r="P117" i="7"/>
  <c r="R116" i="7"/>
  <c r="P116" i="7"/>
  <c r="P115" i="7"/>
  <c r="R115" i="7"/>
  <c r="R114" i="7"/>
  <c r="P114" i="7"/>
  <c r="R113" i="7"/>
  <c r="P113" i="7"/>
  <c r="M121" i="7"/>
  <c r="L121" i="7"/>
  <c r="R112" i="7"/>
  <c r="P112" i="7"/>
  <c r="Q111" i="7"/>
  <c r="O111" i="7"/>
  <c r="N111" i="7"/>
  <c r="K111" i="7"/>
  <c r="J111" i="7"/>
  <c r="P110" i="7"/>
  <c r="R110" i="7"/>
  <c r="R109" i="7"/>
  <c r="P109" i="7"/>
  <c r="R108" i="7"/>
  <c r="P108" i="7"/>
  <c r="R107" i="7"/>
  <c r="P107" i="7"/>
  <c r="R106" i="7"/>
  <c r="P106" i="7"/>
  <c r="R105" i="7"/>
  <c r="P105" i="7"/>
  <c r="P104" i="7"/>
  <c r="R104" i="7"/>
  <c r="R103" i="7"/>
  <c r="P103" i="7"/>
  <c r="R102" i="7"/>
  <c r="P102" i="7"/>
  <c r="P101" i="7"/>
  <c r="R101" i="7"/>
  <c r="R100" i="7"/>
  <c r="P100" i="7"/>
  <c r="S99" i="7"/>
  <c r="Q99" i="7"/>
  <c r="O99" i="7"/>
  <c r="N99" i="7"/>
  <c r="M99" i="7"/>
  <c r="L99" i="7"/>
  <c r="K99" i="7"/>
  <c r="J99" i="7"/>
  <c r="R97" i="7"/>
  <c r="P97" i="7"/>
  <c r="R96" i="7"/>
  <c r="P96" i="7"/>
  <c r="R95" i="7"/>
  <c r="P95" i="7"/>
  <c r="R94" i="7"/>
  <c r="P94" i="7"/>
  <c r="R93" i="7"/>
  <c r="P93" i="7"/>
  <c r="R92" i="7"/>
  <c r="P92" i="7"/>
  <c r="R91" i="7"/>
  <c r="P91" i="7"/>
  <c r="R90" i="7"/>
  <c r="P90" i="7"/>
  <c r="R89" i="7"/>
  <c r="P89" i="7"/>
  <c r="R88" i="7"/>
  <c r="P88" i="7"/>
  <c r="R87" i="7"/>
  <c r="P87" i="7"/>
  <c r="R86" i="7"/>
  <c r="P86" i="7"/>
  <c r="Q85" i="7"/>
  <c r="O85" i="7"/>
  <c r="N85" i="7"/>
  <c r="K85" i="7"/>
  <c r="J85" i="7"/>
  <c r="R83" i="7"/>
  <c r="P83" i="7"/>
  <c r="R82" i="7"/>
  <c r="P82" i="7"/>
  <c r="R81" i="7"/>
  <c r="P81" i="7"/>
  <c r="R80" i="7"/>
  <c r="P80" i="7"/>
  <c r="R79" i="7"/>
  <c r="P79" i="7"/>
  <c r="T79" i="7" s="1"/>
  <c r="U79" i="7" s="1"/>
  <c r="V79" i="7" s="1"/>
  <c r="W79" i="7" s="1"/>
  <c r="R78" i="7"/>
  <c r="P78" i="7"/>
  <c r="R77" i="7"/>
  <c r="P77" i="7"/>
  <c r="R76" i="7"/>
  <c r="R75" i="7"/>
  <c r="P75" i="7"/>
  <c r="R74" i="7"/>
  <c r="P74" i="7"/>
  <c r="R73" i="7"/>
  <c r="P73" i="7"/>
  <c r="P72" i="7"/>
  <c r="W69" i="7"/>
  <c r="R68" i="7"/>
  <c r="P68" i="7"/>
  <c r="R67" i="7"/>
  <c r="P67" i="7"/>
  <c r="R66" i="7"/>
  <c r="P66" i="7"/>
  <c r="R65" i="7"/>
  <c r="P65" i="7"/>
  <c r="B65" i="7"/>
  <c r="B66" i="7" s="1"/>
  <c r="B71" i="7" s="1"/>
  <c r="R64" i="7"/>
  <c r="P64" i="7"/>
  <c r="S63" i="7"/>
  <c r="Q63" i="7"/>
  <c r="O63" i="7"/>
  <c r="N63" i="7"/>
  <c r="M63" i="7"/>
  <c r="L63" i="7"/>
  <c r="K63" i="7"/>
  <c r="J63" i="7"/>
  <c r="B63" i="7"/>
  <c r="R62" i="7"/>
  <c r="P62" i="7"/>
  <c r="R61" i="7"/>
  <c r="P61" i="7"/>
  <c r="R60" i="7"/>
  <c r="P60" i="7"/>
  <c r="R59" i="7"/>
  <c r="P59" i="7"/>
  <c r="Q58" i="7"/>
  <c r="O58" i="7"/>
  <c r="N58" i="7"/>
  <c r="K58" i="7"/>
  <c r="J58" i="7"/>
  <c r="R57" i="7"/>
  <c r="P57" i="7"/>
  <c r="R56" i="7"/>
  <c r="P56" i="7"/>
  <c r="P55" i="7"/>
  <c r="R55" i="7"/>
  <c r="R54" i="7"/>
  <c r="P54" i="7"/>
  <c r="P53" i="7"/>
  <c r="R53" i="7"/>
  <c r="T53" i="7" s="1"/>
  <c r="U53" i="7" s="1"/>
  <c r="P52" i="7"/>
  <c r="R52" i="7"/>
  <c r="R51" i="7"/>
  <c r="P51" i="7"/>
  <c r="R50" i="7"/>
  <c r="M58" i="7"/>
  <c r="S58" i="7"/>
  <c r="R49" i="7"/>
  <c r="P49" i="7"/>
  <c r="R48" i="7"/>
  <c r="P48" i="7"/>
  <c r="R47" i="7"/>
  <c r="P47" i="7"/>
  <c r="P46" i="7"/>
  <c r="R46" i="7"/>
  <c r="O45" i="7"/>
  <c r="S45" i="7"/>
  <c r="P43" i="7"/>
  <c r="R43" i="7"/>
  <c r="K42" i="7"/>
  <c r="P41" i="7"/>
  <c r="R41" i="7"/>
  <c r="J39" i="7"/>
  <c r="R38" i="7"/>
  <c r="P38" i="7"/>
  <c r="R37" i="7"/>
  <c r="P37" i="7"/>
  <c r="R36" i="7"/>
  <c r="P36" i="7"/>
  <c r="R35" i="7"/>
  <c r="P35" i="7"/>
  <c r="R34" i="7"/>
  <c r="P34" i="7"/>
  <c r="K34" i="7"/>
  <c r="J34" i="7"/>
  <c r="P33" i="7"/>
  <c r="R33" i="7"/>
  <c r="P32" i="7"/>
  <c r="R32" i="7"/>
  <c r="P31" i="7"/>
  <c r="R31" i="7"/>
  <c r="F31" i="7"/>
  <c r="Q30" i="7"/>
  <c r="O30" i="7"/>
  <c r="N30" i="7"/>
  <c r="K30" i="7"/>
  <c r="J30" i="7"/>
  <c r="B30" i="7"/>
  <c r="R29" i="7"/>
  <c r="P29" i="7"/>
  <c r="P28" i="7"/>
  <c r="R26" i="7"/>
  <c r="P26" i="7"/>
  <c r="S30" i="7"/>
  <c r="R25" i="7"/>
  <c r="P25" i="7"/>
  <c r="R24" i="7"/>
  <c r="P24" i="7"/>
  <c r="R23" i="7"/>
  <c r="P23" i="7"/>
  <c r="B23" i="7"/>
  <c r="B24" i="7" s="1"/>
  <c r="R22" i="7"/>
  <c r="P22" i="7"/>
  <c r="R21" i="7"/>
  <c r="P21" i="7"/>
  <c r="W18" i="7"/>
  <c r="T18" i="7"/>
  <c r="S18" i="7"/>
  <c r="Q18" i="7"/>
  <c r="O18" i="7"/>
  <c r="N18" i="7"/>
  <c r="M18" i="7"/>
  <c r="L18" i="7"/>
  <c r="K18" i="7"/>
  <c r="J18" i="7"/>
  <c r="P17" i="7"/>
  <c r="P16" i="7"/>
  <c r="P15" i="7"/>
  <c r="P14" i="7"/>
  <c r="P13" i="7"/>
  <c r="P12" i="7"/>
  <c r="B12" i="7"/>
  <c r="B13" i="7" s="1"/>
  <c r="B14" i="7" s="1"/>
  <c r="B15" i="7" s="1"/>
  <c r="B18" i="7" s="1"/>
  <c r="P11" i="7"/>
  <c r="G9" i="7"/>
  <c r="X10" i="7"/>
  <c r="W56" i="6"/>
  <c r="W9" i="8" l="1"/>
  <c r="V53" i="7"/>
  <c r="W53" i="7" s="1"/>
  <c r="V119" i="7"/>
  <c r="W119" i="7" s="1"/>
  <c r="T26" i="7"/>
  <c r="U26" i="7" s="1"/>
  <c r="K45" i="7"/>
  <c r="K9" i="7" s="1"/>
  <c r="T89" i="7"/>
  <c r="U89" i="7" s="1"/>
  <c r="T93" i="7"/>
  <c r="U93" i="7" s="1"/>
  <c r="T97" i="7"/>
  <c r="U97" i="7" s="1"/>
  <c r="P18" i="7"/>
  <c r="L30" i="7"/>
  <c r="T34" i="7"/>
  <c r="U34" i="7" s="1"/>
  <c r="T38" i="7"/>
  <c r="U38" i="7" s="1"/>
  <c r="T52" i="7"/>
  <c r="U52" i="7" s="1"/>
  <c r="T78" i="7"/>
  <c r="U78" i="7" s="1"/>
  <c r="T82" i="7"/>
  <c r="U82" i="7" s="1"/>
  <c r="T20" i="7"/>
  <c r="U20" i="7" s="1"/>
  <c r="T51" i="7"/>
  <c r="U51" i="7" s="1"/>
  <c r="V51" i="7" s="1"/>
  <c r="W51" i="7" s="1"/>
  <c r="X11" i="7"/>
  <c r="P71" i="7"/>
  <c r="J45" i="7"/>
  <c r="J9" i="7" s="1"/>
  <c r="T124" i="7"/>
  <c r="U124" i="7" s="1"/>
  <c r="T122" i="7"/>
  <c r="U122" i="7" s="1"/>
  <c r="T126" i="7"/>
  <c r="U126" i="7" s="1"/>
  <c r="V126" i="7" s="1"/>
  <c r="W126" i="7" s="1"/>
  <c r="T125" i="7"/>
  <c r="U125" i="7" s="1"/>
  <c r="P121" i="7"/>
  <c r="T118" i="7"/>
  <c r="U118" i="7" s="1"/>
  <c r="T112" i="7"/>
  <c r="U112" i="7" s="1"/>
  <c r="T105" i="7"/>
  <c r="U105" i="7" s="1"/>
  <c r="T107" i="7"/>
  <c r="U107" i="7" s="1"/>
  <c r="T100" i="7"/>
  <c r="U100" i="7" s="1"/>
  <c r="T108" i="7"/>
  <c r="U108" i="7" s="1"/>
  <c r="V108" i="7" s="1"/>
  <c r="W108" i="7" s="1"/>
  <c r="T109" i="7"/>
  <c r="U109" i="7" s="1"/>
  <c r="T102" i="7"/>
  <c r="U102" i="7" s="1"/>
  <c r="T106" i="7"/>
  <c r="U106" i="7" s="1"/>
  <c r="T92" i="7"/>
  <c r="U92" i="7" s="1"/>
  <c r="T86" i="7"/>
  <c r="U86" i="7" s="1"/>
  <c r="T90" i="7"/>
  <c r="U90" i="7" s="1"/>
  <c r="T94" i="7"/>
  <c r="U94" i="7" s="1"/>
  <c r="V94" i="7" s="1"/>
  <c r="W94" i="7" s="1"/>
  <c r="T96" i="7"/>
  <c r="U96" i="7" s="1"/>
  <c r="T83" i="7"/>
  <c r="U83" i="7" s="1"/>
  <c r="V83" i="7" s="1"/>
  <c r="W83" i="7" s="1"/>
  <c r="T80" i="7"/>
  <c r="U80" i="7" s="1"/>
  <c r="T73" i="7"/>
  <c r="U73" i="7" s="1"/>
  <c r="T68" i="7"/>
  <c r="T65" i="7"/>
  <c r="U65" i="7" s="1"/>
  <c r="V65" i="7" s="1"/>
  <c r="W65" i="7" s="1"/>
  <c r="T59" i="7"/>
  <c r="U59" i="7" s="1"/>
  <c r="T62" i="7"/>
  <c r="U62" i="7" s="1"/>
  <c r="V62" i="7" s="1"/>
  <c r="W62" i="7" s="1"/>
  <c r="T57" i="7"/>
  <c r="U57" i="7" s="1"/>
  <c r="V57" i="7" s="1"/>
  <c r="W57" i="7" s="1"/>
  <c r="T56" i="7"/>
  <c r="U56" i="7" s="1"/>
  <c r="T49" i="7"/>
  <c r="U49" i="7" s="1"/>
  <c r="T54" i="7"/>
  <c r="U54" i="7" s="1"/>
  <c r="V54" i="7" s="1"/>
  <c r="W54" i="7" s="1"/>
  <c r="T48" i="7"/>
  <c r="U48" i="7" s="1"/>
  <c r="R44" i="7"/>
  <c r="T44" i="7" s="1"/>
  <c r="U44" i="7" s="1"/>
  <c r="N45" i="7"/>
  <c r="T36" i="7"/>
  <c r="U36" i="7" s="1"/>
  <c r="V36" i="7" s="1"/>
  <c r="W36" i="7" s="1"/>
  <c r="T23" i="7"/>
  <c r="U23" i="7" s="1"/>
  <c r="T21" i="7"/>
  <c r="U21" i="7" s="1"/>
  <c r="T24" i="7"/>
  <c r="U24" i="7" s="1"/>
  <c r="V24" i="7" s="1"/>
  <c r="W24" i="7" s="1"/>
  <c r="T117" i="7"/>
  <c r="U117" i="7" s="1"/>
  <c r="T114" i="7"/>
  <c r="U114" i="7" s="1"/>
  <c r="T113" i="7"/>
  <c r="U113" i="7" s="1"/>
  <c r="T103" i="7"/>
  <c r="U103" i="7" s="1"/>
  <c r="T101" i="7"/>
  <c r="U101" i="7" s="1"/>
  <c r="T91" i="7"/>
  <c r="U91" i="7" s="1"/>
  <c r="V91" i="7" s="1"/>
  <c r="W91" i="7" s="1"/>
  <c r="T95" i="7"/>
  <c r="U95" i="7" s="1"/>
  <c r="V95" i="7" s="1"/>
  <c r="W95" i="7" s="1"/>
  <c r="T88" i="7"/>
  <c r="U88" i="7" s="1"/>
  <c r="V88" i="7" s="1"/>
  <c r="W88" i="7" s="1"/>
  <c r="T87" i="7"/>
  <c r="U87" i="7" s="1"/>
  <c r="T81" i="7"/>
  <c r="U81" i="7" s="1"/>
  <c r="V81" i="7" s="1"/>
  <c r="W81" i="7" s="1"/>
  <c r="T75" i="7"/>
  <c r="U75" i="7" s="1"/>
  <c r="V75" i="7" s="1"/>
  <c r="W75" i="7" s="1"/>
  <c r="T77" i="7"/>
  <c r="U77" i="7" s="1"/>
  <c r="T66" i="7"/>
  <c r="U66" i="7" s="1"/>
  <c r="T67" i="7"/>
  <c r="U67" i="7" s="1"/>
  <c r="T61" i="7"/>
  <c r="U61" i="7" s="1"/>
  <c r="O9" i="7"/>
  <c r="T60" i="7"/>
  <c r="U60" i="7" s="1"/>
  <c r="T55" i="7"/>
  <c r="U55" i="7" s="1"/>
  <c r="V55" i="7" s="1"/>
  <c r="W55" i="7" s="1"/>
  <c r="Q9" i="7"/>
  <c r="T47" i="7"/>
  <c r="U47" i="7" s="1"/>
  <c r="T46" i="7"/>
  <c r="U46" i="7" s="1"/>
  <c r="T33" i="7"/>
  <c r="U33" i="7" s="1"/>
  <c r="T40" i="7"/>
  <c r="U40" i="7" s="1"/>
  <c r="T31" i="7"/>
  <c r="U31" i="7" s="1"/>
  <c r="T39" i="7"/>
  <c r="U39" i="7" s="1"/>
  <c r="V39" i="7" s="1"/>
  <c r="W39" i="7" s="1"/>
  <c r="T27" i="7"/>
  <c r="U27" i="7" s="1"/>
  <c r="V27" i="7" s="1"/>
  <c r="W27" i="7" s="1"/>
  <c r="T28" i="7"/>
  <c r="U28" i="7" s="1"/>
  <c r="V28" i="7" s="1"/>
  <c r="W28" i="7" s="1"/>
  <c r="N9" i="7"/>
  <c r="T19" i="7"/>
  <c r="U19" i="7" s="1"/>
  <c r="T29" i="7"/>
  <c r="U29" i="7" s="1"/>
  <c r="T123" i="7"/>
  <c r="P128" i="7"/>
  <c r="T41" i="7"/>
  <c r="U41" i="7" s="1"/>
  <c r="V41" i="7" s="1"/>
  <c r="W41" i="7" s="1"/>
  <c r="T43" i="7"/>
  <c r="U43" i="7" s="1"/>
  <c r="L85" i="7"/>
  <c r="R72" i="7"/>
  <c r="T72" i="7" s="1"/>
  <c r="P45" i="7"/>
  <c r="T25" i="7"/>
  <c r="U25" i="7" s="1"/>
  <c r="P50" i="7"/>
  <c r="T50" i="7" s="1"/>
  <c r="U50" i="7" s="1"/>
  <c r="T32" i="7"/>
  <c r="U32" i="7" s="1"/>
  <c r="L58" i="7"/>
  <c r="P99" i="7"/>
  <c r="T64" i="7"/>
  <c r="P30" i="7"/>
  <c r="P111" i="7"/>
  <c r="T104" i="7"/>
  <c r="U104" i="7" s="1"/>
  <c r="V104" i="7" s="1"/>
  <c r="W104" i="7" s="1"/>
  <c r="M85" i="7"/>
  <c r="P76" i="7"/>
  <c r="T76" i="7" s="1"/>
  <c r="U76" i="7" s="1"/>
  <c r="V76" i="7" s="1"/>
  <c r="W76" i="7" s="1"/>
  <c r="L45" i="7"/>
  <c r="T74" i="7"/>
  <c r="U74" i="7" s="1"/>
  <c r="T22" i="7"/>
  <c r="U22" i="7" s="1"/>
  <c r="M30" i="7"/>
  <c r="T35" i="7"/>
  <c r="U35" i="7" s="1"/>
  <c r="T37" i="7"/>
  <c r="U37" i="7" s="1"/>
  <c r="T42" i="7"/>
  <c r="U42" i="7" s="1"/>
  <c r="V42" i="7" s="1"/>
  <c r="W42" i="7" s="1"/>
  <c r="P63" i="7"/>
  <c r="L111" i="7"/>
  <c r="T116" i="7"/>
  <c r="U116" i="7" s="1"/>
  <c r="M128" i="7"/>
  <c r="T115" i="7"/>
  <c r="U115" i="7" s="1"/>
  <c r="M45" i="7"/>
  <c r="M111" i="7"/>
  <c r="R128" i="7"/>
  <c r="Y131" i="6"/>
  <c r="V115" i="7" l="1"/>
  <c r="W115" i="7" s="1"/>
  <c r="V35" i="7"/>
  <c r="W35" i="7" s="1"/>
  <c r="V50" i="7"/>
  <c r="W50" i="7" s="1"/>
  <c r="V40" i="7"/>
  <c r="W40" i="7" s="1"/>
  <c r="V61" i="7"/>
  <c r="W61" i="7" s="1"/>
  <c r="V21" i="7"/>
  <c r="W21" i="7" s="1"/>
  <c r="V33" i="7"/>
  <c r="W33" i="7" s="1"/>
  <c r="V67" i="7"/>
  <c r="W67" i="7" s="1"/>
  <c r="V109" i="7"/>
  <c r="W109" i="7" s="1"/>
  <c r="V22" i="7"/>
  <c r="W22" i="7" s="1"/>
  <c r="V19" i="7"/>
  <c r="W19" i="7" s="1"/>
  <c r="V74" i="7"/>
  <c r="W74" i="7" s="1"/>
  <c r="V89" i="7"/>
  <c r="W89" i="7" s="1"/>
  <c r="V56" i="7"/>
  <c r="W56" i="7" s="1"/>
  <c r="V80" i="7"/>
  <c r="W80" i="7" s="1"/>
  <c r="V102" i="7"/>
  <c r="W102" i="7" s="1"/>
  <c r="V25" i="7"/>
  <c r="W25" i="7" s="1"/>
  <c r="V29" i="7"/>
  <c r="W29" i="7" s="1"/>
  <c r="V23" i="7"/>
  <c r="W23" i="7" s="1"/>
  <c r="V125" i="7"/>
  <c r="W125" i="7" s="1"/>
  <c r="V20" i="7"/>
  <c r="W20" i="7" s="1"/>
  <c r="V97" i="7"/>
  <c r="W97" i="7" s="1"/>
  <c r="V46" i="7"/>
  <c r="W46" i="7" s="1"/>
  <c r="V66" i="7"/>
  <c r="W66" i="7" s="1"/>
  <c r="V101" i="7"/>
  <c r="W101" i="7" s="1"/>
  <c r="V96" i="7"/>
  <c r="W96" i="7" s="1"/>
  <c r="V82" i="7"/>
  <c r="W82" i="7" s="1"/>
  <c r="V93" i="7"/>
  <c r="W93" i="7" s="1"/>
  <c r="V116" i="7"/>
  <c r="W116" i="7" s="1"/>
  <c r="V47" i="7"/>
  <c r="W47" i="7" s="1"/>
  <c r="V77" i="7"/>
  <c r="W77" i="7" s="1"/>
  <c r="V103" i="7"/>
  <c r="W103" i="7" s="1"/>
  <c r="V59" i="7"/>
  <c r="W59" i="7" s="1"/>
  <c r="V100" i="7"/>
  <c r="W100" i="7" s="1"/>
  <c r="V122" i="7"/>
  <c r="W122" i="7" s="1"/>
  <c r="V78" i="7"/>
  <c r="W78" i="7" s="1"/>
  <c r="V113" i="7"/>
  <c r="W113" i="7" s="1"/>
  <c r="V44" i="7"/>
  <c r="W44" i="7" s="1"/>
  <c r="V90" i="7"/>
  <c r="W90" i="7" s="1"/>
  <c r="V107" i="7"/>
  <c r="W107" i="7" s="1"/>
  <c r="V124" i="7"/>
  <c r="W124" i="7" s="1"/>
  <c r="V52" i="7"/>
  <c r="W52" i="7" s="1"/>
  <c r="V43" i="7"/>
  <c r="W43" i="7" s="1"/>
  <c r="V114" i="7"/>
  <c r="W114" i="7" s="1"/>
  <c r="V48" i="7"/>
  <c r="W48" i="7" s="1"/>
  <c r="V86" i="7"/>
  <c r="W86" i="7" s="1"/>
  <c r="V105" i="7"/>
  <c r="W105" i="7" s="1"/>
  <c r="V38" i="7"/>
  <c r="W38" i="7" s="1"/>
  <c r="V26" i="7"/>
  <c r="W26" i="7" s="1"/>
  <c r="V32" i="7"/>
  <c r="W32" i="7" s="1"/>
  <c r="V60" i="7"/>
  <c r="W60" i="7" s="1"/>
  <c r="W87" i="7"/>
  <c r="V87" i="7"/>
  <c r="V117" i="7"/>
  <c r="W117" i="7" s="1"/>
  <c r="V92" i="7"/>
  <c r="W92" i="7" s="1"/>
  <c r="V112" i="7"/>
  <c r="W112" i="7" s="1"/>
  <c r="V34" i="7"/>
  <c r="W34" i="7" s="1"/>
  <c r="V37" i="7"/>
  <c r="W37" i="7" s="1"/>
  <c r="V31" i="7"/>
  <c r="W31" i="7" s="1"/>
  <c r="V49" i="7"/>
  <c r="W49" i="7" s="1"/>
  <c r="V73" i="7"/>
  <c r="W73" i="7" s="1"/>
  <c r="V106" i="7"/>
  <c r="W106" i="7" s="1"/>
  <c r="V118" i="7"/>
  <c r="W118" i="7" s="1"/>
  <c r="T99" i="7"/>
  <c r="U99" i="7" s="1"/>
  <c r="U68" i="7"/>
  <c r="T71" i="7"/>
  <c r="U71" i="7" s="1"/>
  <c r="T63" i="7"/>
  <c r="U63" i="7" s="1"/>
  <c r="T58" i="7"/>
  <c r="U58" i="7" s="1"/>
  <c r="L9" i="7"/>
  <c r="R9" i="7" s="1"/>
  <c r="U64" i="7"/>
  <c r="T121" i="7"/>
  <c r="U121" i="7" s="1"/>
  <c r="M9" i="7"/>
  <c r="T85" i="7"/>
  <c r="U85" i="7" s="1"/>
  <c r="U72" i="7"/>
  <c r="T45" i="7"/>
  <c r="U45" i="7" s="1"/>
  <c r="T30" i="7"/>
  <c r="U30" i="7" s="1"/>
  <c r="P85" i="7"/>
  <c r="P58" i="7"/>
  <c r="U123" i="7"/>
  <c r="T128" i="7"/>
  <c r="U128" i="7" s="1"/>
  <c r="F9" i="6"/>
  <c r="E9" i="6"/>
  <c r="G9" i="6"/>
  <c r="X126" i="6"/>
  <c r="D144" i="6"/>
  <c r="D131" i="6"/>
  <c r="D141" i="6"/>
  <c r="D130" i="6"/>
  <c r="D133" i="6"/>
  <c r="D137" i="6"/>
  <c r="D134" i="6"/>
  <c r="D136" i="6"/>
  <c r="W99" i="7" l="1"/>
  <c r="X86" i="7" s="1"/>
  <c r="W58" i="7"/>
  <c r="X46" i="7" s="1"/>
  <c r="W30" i="7"/>
  <c r="W121" i="7"/>
  <c r="X112" i="7" s="1"/>
  <c r="W45" i="7"/>
  <c r="X31" i="7" s="1"/>
  <c r="W63" i="7"/>
  <c r="X59" i="7" s="1"/>
  <c r="V68" i="7"/>
  <c r="W68" i="7" s="1"/>
  <c r="W72" i="7"/>
  <c r="W85" i="7" s="1"/>
  <c r="X72" i="7" s="1"/>
  <c r="V72" i="7"/>
  <c r="V123" i="7"/>
  <c r="W123" i="7" s="1"/>
  <c r="W128" i="7" s="1"/>
  <c r="X122" i="7" s="1"/>
  <c r="P9" i="7"/>
  <c r="V64" i="7"/>
  <c r="W64" i="7" s="1"/>
  <c r="G11" i="6"/>
  <c r="G10" i="6"/>
  <c r="V124" i="6"/>
  <c r="W124" i="6" s="1"/>
  <c r="V123" i="6"/>
  <c r="V122" i="6"/>
  <c r="W122" i="6" s="1"/>
  <c r="V121" i="6"/>
  <c r="W121" i="6" s="1"/>
  <c r="W123" i="6"/>
  <c r="W69" i="6"/>
  <c r="M52" i="6"/>
  <c r="L52" i="6"/>
  <c r="S49" i="6"/>
  <c r="M123" i="6"/>
  <c r="L123" i="6"/>
  <c r="U121" i="6"/>
  <c r="U122" i="6"/>
  <c r="U124" i="6"/>
  <c r="T121" i="6"/>
  <c r="T122" i="6"/>
  <c r="T124" i="6"/>
  <c r="M124" i="6"/>
  <c r="L124" i="6"/>
  <c r="R124" i="6" s="1"/>
  <c r="M121" i="6"/>
  <c r="P121" i="6" s="1"/>
  <c r="L121" i="6"/>
  <c r="R121" i="6" s="1"/>
  <c r="M120" i="6"/>
  <c r="L120" i="6"/>
  <c r="R120" i="6" s="1"/>
  <c r="R122" i="6"/>
  <c r="R123" i="6"/>
  <c r="P122" i="6"/>
  <c r="P123" i="6"/>
  <c r="P124" i="6"/>
  <c r="P120" i="6"/>
  <c r="T120" i="6" s="1"/>
  <c r="U120" i="6" s="1"/>
  <c r="V120" i="6" s="1"/>
  <c r="W120" i="6" s="1"/>
  <c r="M112" i="6"/>
  <c r="L112" i="6"/>
  <c r="R112" i="6" s="1"/>
  <c r="M114" i="6"/>
  <c r="P114" i="6" s="1"/>
  <c r="L114" i="6"/>
  <c r="T113" i="6"/>
  <c r="U113" i="6" s="1"/>
  <c r="V113" i="6" s="1"/>
  <c r="W113" i="6" s="1"/>
  <c r="T118" i="6"/>
  <c r="U118" i="6" s="1"/>
  <c r="V118" i="6" s="1"/>
  <c r="W118" i="6" s="1"/>
  <c r="T111" i="6"/>
  <c r="U111" i="6" s="1"/>
  <c r="V111" i="6" s="1"/>
  <c r="W111" i="6" s="1"/>
  <c r="R113" i="6"/>
  <c r="R114" i="6"/>
  <c r="R115" i="6"/>
  <c r="R116" i="6"/>
  <c r="R117" i="6"/>
  <c r="R118" i="6"/>
  <c r="R111" i="6"/>
  <c r="P112" i="6"/>
  <c r="P113" i="6"/>
  <c r="P115" i="6"/>
  <c r="T115" i="6" s="1"/>
  <c r="U115" i="6" s="1"/>
  <c r="V115" i="6" s="1"/>
  <c r="W115" i="6" s="1"/>
  <c r="P116" i="6"/>
  <c r="T116" i="6" s="1"/>
  <c r="U116" i="6" s="1"/>
  <c r="V116" i="6" s="1"/>
  <c r="W116" i="6" s="1"/>
  <c r="P117" i="6"/>
  <c r="T117" i="6" s="1"/>
  <c r="U117" i="6" s="1"/>
  <c r="V117" i="6" s="1"/>
  <c r="W117" i="6" s="1"/>
  <c r="P118" i="6"/>
  <c r="P111" i="6"/>
  <c r="M100" i="6"/>
  <c r="L100" i="6"/>
  <c r="M104" i="6"/>
  <c r="L104" i="6"/>
  <c r="M103" i="6"/>
  <c r="L103" i="6"/>
  <c r="M102" i="6"/>
  <c r="L102" i="6"/>
  <c r="M109" i="6"/>
  <c r="L109" i="6"/>
  <c r="S108" i="6"/>
  <c r="S109" i="6"/>
  <c r="W71" i="7" l="1"/>
  <c r="X64" i="7" s="1"/>
  <c r="X19" i="7"/>
  <c r="P119" i="6"/>
  <c r="W125" i="6"/>
  <c r="X120" i="6" s="1"/>
  <c r="T123" i="6"/>
  <c r="U123" i="6"/>
  <c r="T125" i="6"/>
  <c r="T112" i="6"/>
  <c r="U112" i="6" s="1"/>
  <c r="V112" i="6" s="1"/>
  <c r="W112" i="6" s="1"/>
  <c r="W119" i="6" s="1"/>
  <c r="X111" i="6" s="1"/>
  <c r="T114" i="6"/>
  <c r="U114" i="6" s="1"/>
  <c r="V114" i="6" s="1"/>
  <c r="W114" i="6" s="1"/>
  <c r="M96" i="6"/>
  <c r="L96" i="6"/>
  <c r="M92" i="6"/>
  <c r="L92" i="6"/>
  <c r="M89" i="6"/>
  <c r="L89" i="6"/>
  <c r="M77" i="6"/>
  <c r="L77" i="6"/>
  <c r="L75" i="6"/>
  <c r="M75" i="6"/>
  <c r="M71" i="6"/>
  <c r="L71" i="6"/>
  <c r="O70" i="6"/>
  <c r="L70" i="6"/>
  <c r="M70" i="6"/>
  <c r="K70" i="6"/>
  <c r="J70" i="6"/>
  <c r="M68" i="6"/>
  <c r="L68" i="6"/>
  <c r="M46" i="6"/>
  <c r="L46" i="6"/>
  <c r="M55" i="6"/>
  <c r="L55" i="6"/>
  <c r="M53" i="6"/>
  <c r="L53" i="6"/>
  <c r="M50" i="6"/>
  <c r="L50" i="6"/>
  <c r="M57" i="6"/>
  <c r="L57" i="6"/>
  <c r="S55" i="6"/>
  <c r="Q58" i="6"/>
  <c r="R49" i="6"/>
  <c r="P49" i="6"/>
  <c r="T119" i="6" l="1"/>
  <c r="T49" i="6"/>
  <c r="U49" i="6" s="1"/>
  <c r="V49" i="6" s="1"/>
  <c r="W49" i="6" s="1"/>
  <c r="M34" i="6"/>
  <c r="L34" i="6"/>
  <c r="M33" i="6"/>
  <c r="L33" i="6"/>
  <c r="L45" i="6" s="1"/>
  <c r="M31" i="6"/>
  <c r="L31" i="6"/>
  <c r="M32" i="6"/>
  <c r="L32" i="6"/>
  <c r="M43" i="6"/>
  <c r="L43" i="6"/>
  <c r="M41" i="6"/>
  <c r="L41" i="6"/>
  <c r="M40" i="6"/>
  <c r="L40" i="6"/>
  <c r="L39" i="6"/>
  <c r="L35" i="6"/>
  <c r="Q45" i="6" l="1"/>
  <c r="M39" i="6"/>
  <c r="M35" i="6"/>
  <c r="S44" i="6"/>
  <c r="S45" i="6" s="1"/>
  <c r="M45" i="6"/>
  <c r="N45" i="6"/>
  <c r="O45" i="6"/>
  <c r="J30" i="6"/>
  <c r="M29" i="6"/>
  <c r="L29" i="6"/>
  <c r="R29" i="6" s="1"/>
  <c r="L28" i="6"/>
  <c r="R28" i="6" s="1"/>
  <c r="M28" i="6"/>
  <c r="P28" i="6" s="1"/>
  <c r="M26" i="6"/>
  <c r="P26" i="6" s="1"/>
  <c r="L26" i="6"/>
  <c r="M25" i="6"/>
  <c r="L25" i="6"/>
  <c r="S25" i="6"/>
  <c r="P19" i="6"/>
  <c r="L125" i="6"/>
  <c r="M125" i="6"/>
  <c r="N125" i="6"/>
  <c r="O125" i="6"/>
  <c r="P125" i="6"/>
  <c r="Q125" i="6"/>
  <c r="R125" i="6"/>
  <c r="S125" i="6"/>
  <c r="J125" i="6"/>
  <c r="J110" i="6"/>
  <c r="J119" i="6"/>
  <c r="K125" i="6"/>
  <c r="U125" i="6" s="1"/>
  <c r="J58" i="6"/>
  <c r="J63" i="6"/>
  <c r="S119" i="6"/>
  <c r="L119" i="6"/>
  <c r="M119" i="6"/>
  <c r="N119" i="6"/>
  <c r="O119" i="6"/>
  <c r="Q119" i="6"/>
  <c r="K119" i="6"/>
  <c r="U119" i="6" s="1"/>
  <c r="W150" i="6"/>
  <c r="W149" i="6"/>
  <c r="W148" i="6"/>
  <c r="X147" i="6"/>
  <c r="W147" i="6"/>
  <c r="X146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Q110" i="6"/>
  <c r="O110" i="6"/>
  <c r="N110" i="6"/>
  <c r="K110" i="6"/>
  <c r="S110" i="6"/>
  <c r="P109" i="6"/>
  <c r="R109" i="6"/>
  <c r="R108" i="6"/>
  <c r="P108" i="6"/>
  <c r="R107" i="6"/>
  <c r="P107" i="6"/>
  <c r="R106" i="6"/>
  <c r="P106" i="6"/>
  <c r="P105" i="6"/>
  <c r="R105" i="6"/>
  <c r="P104" i="6"/>
  <c r="R104" i="6"/>
  <c r="R103" i="6"/>
  <c r="P103" i="6"/>
  <c r="R102" i="6"/>
  <c r="R101" i="6"/>
  <c r="P101" i="6"/>
  <c r="R100" i="6"/>
  <c r="P100" i="6"/>
  <c r="R99" i="6"/>
  <c r="P99" i="6"/>
  <c r="Q98" i="6"/>
  <c r="O98" i="6"/>
  <c r="N98" i="6"/>
  <c r="K98" i="6"/>
  <c r="J98" i="6"/>
  <c r="P96" i="6"/>
  <c r="R96" i="6"/>
  <c r="P95" i="6"/>
  <c r="R95" i="6"/>
  <c r="R94" i="6"/>
  <c r="P94" i="6"/>
  <c r="R93" i="6"/>
  <c r="P93" i="6"/>
  <c r="P92" i="6"/>
  <c r="R92" i="6"/>
  <c r="R91" i="6"/>
  <c r="P91" i="6"/>
  <c r="R90" i="6"/>
  <c r="P90" i="6"/>
  <c r="R89" i="6"/>
  <c r="P89" i="6"/>
  <c r="R88" i="6"/>
  <c r="P88" i="6"/>
  <c r="R87" i="6"/>
  <c r="P87" i="6"/>
  <c r="R86" i="6"/>
  <c r="P86" i="6"/>
  <c r="R85" i="6"/>
  <c r="Q84" i="6"/>
  <c r="O84" i="6"/>
  <c r="N84" i="6"/>
  <c r="K84" i="6"/>
  <c r="J84" i="6"/>
  <c r="R82" i="6"/>
  <c r="P82" i="6"/>
  <c r="R81" i="6"/>
  <c r="P81" i="6"/>
  <c r="R80" i="6"/>
  <c r="P80" i="6"/>
  <c r="R79" i="6"/>
  <c r="P79" i="6"/>
  <c r="R78" i="6"/>
  <c r="P78" i="6"/>
  <c r="P77" i="6"/>
  <c r="R77" i="6"/>
  <c r="P76" i="6"/>
  <c r="R76" i="6"/>
  <c r="P75" i="6"/>
  <c r="R75" i="6"/>
  <c r="R74" i="6"/>
  <c r="P74" i="6"/>
  <c r="S84" i="6"/>
  <c r="R73" i="6"/>
  <c r="P73" i="6"/>
  <c r="R72" i="6"/>
  <c r="P72" i="6"/>
  <c r="S70" i="6"/>
  <c r="Q70" i="6"/>
  <c r="N70" i="6"/>
  <c r="P68" i="6"/>
  <c r="R68" i="6"/>
  <c r="P67" i="6"/>
  <c r="R67" i="6"/>
  <c r="P66" i="6"/>
  <c r="R66" i="6"/>
  <c r="R65" i="6"/>
  <c r="P65" i="6"/>
  <c r="B65" i="6"/>
  <c r="B66" i="6" s="1"/>
  <c r="B70" i="6" s="1"/>
  <c r="P64" i="6"/>
  <c r="R64" i="6"/>
  <c r="Q63" i="6"/>
  <c r="O63" i="6"/>
  <c r="N63" i="6"/>
  <c r="K63" i="6"/>
  <c r="R62" i="6"/>
  <c r="P62" i="6"/>
  <c r="B63" i="6"/>
  <c r="P61" i="6"/>
  <c r="R61" i="6"/>
  <c r="R60" i="6"/>
  <c r="P60" i="6"/>
  <c r="R59" i="6"/>
  <c r="P59" i="6"/>
  <c r="S63" i="6"/>
  <c r="O58" i="6"/>
  <c r="N58" i="6"/>
  <c r="K58" i="6"/>
  <c r="P57" i="6"/>
  <c r="R57" i="6"/>
  <c r="R56" i="6"/>
  <c r="P56" i="6"/>
  <c r="P55" i="6"/>
  <c r="R55" i="6"/>
  <c r="R54" i="6"/>
  <c r="P54" i="6"/>
  <c r="R53" i="6"/>
  <c r="P53" i="6"/>
  <c r="R52" i="6"/>
  <c r="P52" i="6"/>
  <c r="R51" i="6"/>
  <c r="P51" i="6"/>
  <c r="P50" i="6"/>
  <c r="R50" i="6"/>
  <c r="R48" i="6"/>
  <c r="P48" i="6"/>
  <c r="R47" i="6"/>
  <c r="P47" i="6"/>
  <c r="R46" i="6"/>
  <c r="P46" i="6"/>
  <c r="P44" i="6"/>
  <c r="P43" i="6"/>
  <c r="R43" i="6"/>
  <c r="R42" i="6"/>
  <c r="P42" i="6"/>
  <c r="K42" i="6"/>
  <c r="R41" i="6"/>
  <c r="P41" i="6"/>
  <c r="R40" i="6"/>
  <c r="P40" i="6"/>
  <c r="J39" i="6"/>
  <c r="R38" i="6"/>
  <c r="P38" i="6"/>
  <c r="R37" i="6"/>
  <c r="P37" i="6"/>
  <c r="R36" i="6"/>
  <c r="P36" i="6"/>
  <c r="R35" i="6"/>
  <c r="P35" i="6"/>
  <c r="R34" i="6"/>
  <c r="P34" i="6"/>
  <c r="K34" i="6"/>
  <c r="J34" i="6"/>
  <c r="R33" i="6"/>
  <c r="P33" i="6"/>
  <c r="R32" i="6"/>
  <c r="P32" i="6"/>
  <c r="R31" i="6"/>
  <c r="P31" i="6"/>
  <c r="F31" i="6"/>
  <c r="Q30" i="6"/>
  <c r="O30" i="6"/>
  <c r="N30" i="6"/>
  <c r="K30" i="6"/>
  <c r="B30" i="6"/>
  <c r="P29" i="6"/>
  <c r="R27" i="6"/>
  <c r="P27" i="6"/>
  <c r="S30" i="6"/>
  <c r="R26" i="6"/>
  <c r="P25" i="6"/>
  <c r="R24" i="6"/>
  <c r="P24" i="6"/>
  <c r="R23" i="6"/>
  <c r="P23" i="6"/>
  <c r="B23" i="6"/>
  <c r="B24" i="6" s="1"/>
  <c r="R22" i="6"/>
  <c r="P22" i="6"/>
  <c r="R21" i="6"/>
  <c r="P21" i="6"/>
  <c r="R20" i="6"/>
  <c r="P20" i="6"/>
  <c r="R19" i="6"/>
  <c r="S18" i="6"/>
  <c r="Q18" i="6"/>
  <c r="O18" i="6"/>
  <c r="N18" i="6"/>
  <c r="M18" i="6"/>
  <c r="L18" i="6"/>
  <c r="K18" i="6"/>
  <c r="J18" i="6"/>
  <c r="P17" i="6"/>
  <c r="P16" i="6"/>
  <c r="P15" i="6"/>
  <c r="P14" i="6"/>
  <c r="P13" i="6"/>
  <c r="P12" i="6"/>
  <c r="B12" i="6"/>
  <c r="B13" i="6" s="1"/>
  <c r="B14" i="6" s="1"/>
  <c r="B15" i="6" s="1"/>
  <c r="B18" i="6" s="1"/>
  <c r="P11" i="6"/>
  <c r="X10" i="6"/>
  <c r="Y126" i="5"/>
  <c r="T103" i="6" l="1"/>
  <c r="U103" i="6" s="1"/>
  <c r="P30" i="6"/>
  <c r="T108" i="6"/>
  <c r="U108" i="6" s="1"/>
  <c r="R39" i="6"/>
  <c r="R44" i="6"/>
  <c r="T44" i="6" s="1"/>
  <c r="U44" i="6" s="1"/>
  <c r="V44" i="6" s="1"/>
  <c r="W44" i="6" s="1"/>
  <c r="T46" i="6"/>
  <c r="U46" i="6" s="1"/>
  <c r="V46" i="6" s="1"/>
  <c r="W46" i="6" s="1"/>
  <c r="T68" i="6"/>
  <c r="U68" i="6" s="1"/>
  <c r="V68" i="6" s="1"/>
  <c r="W68" i="6" s="1"/>
  <c r="T78" i="6"/>
  <c r="U78" i="6" s="1"/>
  <c r="T82" i="6"/>
  <c r="U82" i="6" s="1"/>
  <c r="V82" i="6" s="1"/>
  <c r="W82" i="6" s="1"/>
  <c r="T86" i="6"/>
  <c r="U86" i="6" s="1"/>
  <c r="V86" i="6" s="1"/>
  <c r="W86" i="6" s="1"/>
  <c r="T37" i="6"/>
  <c r="U37" i="6" s="1"/>
  <c r="V37" i="6" s="1"/>
  <c r="W37" i="6" s="1"/>
  <c r="T94" i="6"/>
  <c r="U94" i="6" s="1"/>
  <c r="V94" i="6" s="1"/>
  <c r="W94" i="6" s="1"/>
  <c r="T22" i="6"/>
  <c r="U22" i="6" s="1"/>
  <c r="T65" i="6"/>
  <c r="U65" i="6" s="1"/>
  <c r="S98" i="6"/>
  <c r="T59" i="6"/>
  <c r="T99" i="6"/>
  <c r="U99" i="6" s="1"/>
  <c r="T34" i="6"/>
  <c r="U34" i="6" s="1"/>
  <c r="V34" i="6" s="1"/>
  <c r="W34" i="6" s="1"/>
  <c r="T41" i="6"/>
  <c r="U41" i="6" s="1"/>
  <c r="V41" i="6" s="1"/>
  <c r="W41" i="6" s="1"/>
  <c r="T80" i="6"/>
  <c r="U80" i="6" s="1"/>
  <c r="M98" i="6"/>
  <c r="T19" i="6"/>
  <c r="U19" i="6" s="1"/>
  <c r="T48" i="6"/>
  <c r="U48" i="6" s="1"/>
  <c r="V48" i="6" s="1"/>
  <c r="W48" i="6" s="1"/>
  <c r="T62" i="6"/>
  <c r="U62" i="6" s="1"/>
  <c r="V62" i="6" s="1"/>
  <c r="L63" i="6"/>
  <c r="T60" i="6"/>
  <c r="U60" i="6" s="1"/>
  <c r="T42" i="6"/>
  <c r="U42" i="6" s="1"/>
  <c r="V42" i="6" s="1"/>
  <c r="W42" i="6" s="1"/>
  <c r="T53" i="6"/>
  <c r="U53" i="6" s="1"/>
  <c r="V53" i="6" s="1"/>
  <c r="W53" i="6" s="1"/>
  <c r="T56" i="6"/>
  <c r="U56" i="6" s="1"/>
  <c r="V56" i="6" s="1"/>
  <c r="T93" i="6"/>
  <c r="U93" i="6" s="1"/>
  <c r="V93" i="6" s="1"/>
  <c r="W93" i="6" s="1"/>
  <c r="M63" i="6"/>
  <c r="T81" i="6"/>
  <c r="U81" i="6" s="1"/>
  <c r="O9" i="6"/>
  <c r="T24" i="6"/>
  <c r="U24" i="6" s="1"/>
  <c r="V24" i="6" s="1"/>
  <c r="W24" i="6" s="1"/>
  <c r="T33" i="6"/>
  <c r="U33" i="6" s="1"/>
  <c r="V33" i="6" s="1"/>
  <c r="W33" i="6" s="1"/>
  <c r="T36" i="6"/>
  <c r="U36" i="6" s="1"/>
  <c r="V36" i="6" s="1"/>
  <c r="W36" i="6" s="1"/>
  <c r="T74" i="6"/>
  <c r="U74" i="6" s="1"/>
  <c r="V74" i="6" s="1"/>
  <c r="W74" i="6" s="1"/>
  <c r="T89" i="6"/>
  <c r="U89" i="6" s="1"/>
  <c r="M30" i="6"/>
  <c r="P85" i="6"/>
  <c r="T85" i="6" s="1"/>
  <c r="K45" i="6"/>
  <c r="K9" i="6" s="1"/>
  <c r="T52" i="6"/>
  <c r="U52" i="6" s="1"/>
  <c r="V52" i="6" s="1"/>
  <c r="W52" i="6" s="1"/>
  <c r="T54" i="6"/>
  <c r="U54" i="6" s="1"/>
  <c r="V54" i="6" s="1"/>
  <c r="W54" i="6" s="1"/>
  <c r="T73" i="6"/>
  <c r="U73" i="6" s="1"/>
  <c r="V73" i="6" s="1"/>
  <c r="W73" i="6" s="1"/>
  <c r="T51" i="6"/>
  <c r="U51" i="6" s="1"/>
  <c r="V51" i="6" s="1"/>
  <c r="W51" i="6" s="1"/>
  <c r="T28" i="6"/>
  <c r="U28" i="6" s="1"/>
  <c r="V28" i="6" s="1"/>
  <c r="W28" i="6" s="1"/>
  <c r="J45" i="6"/>
  <c r="J9" i="6" s="1"/>
  <c r="T21" i="6"/>
  <c r="U21" i="6" s="1"/>
  <c r="V21" i="6" s="1"/>
  <c r="W21" i="6" s="1"/>
  <c r="T27" i="6"/>
  <c r="U27" i="6" s="1"/>
  <c r="P70" i="6"/>
  <c r="T90" i="6"/>
  <c r="U90" i="6" s="1"/>
  <c r="V90" i="6" s="1"/>
  <c r="W90" i="6" s="1"/>
  <c r="T100" i="6"/>
  <c r="U100" i="6" s="1"/>
  <c r="V100" i="6" s="1"/>
  <c r="W100" i="6" s="1"/>
  <c r="T106" i="6"/>
  <c r="U106" i="6" s="1"/>
  <c r="T50" i="6"/>
  <c r="U50" i="6" s="1"/>
  <c r="V50" i="6" s="1"/>
  <c r="W50" i="6" s="1"/>
  <c r="T55" i="6"/>
  <c r="U55" i="6" s="1"/>
  <c r="V55" i="6" s="1"/>
  <c r="W55" i="6" s="1"/>
  <c r="T77" i="6"/>
  <c r="U77" i="6" s="1"/>
  <c r="T75" i="6"/>
  <c r="U75" i="6" s="1"/>
  <c r="T29" i="6"/>
  <c r="U29" i="6" s="1"/>
  <c r="T105" i="6"/>
  <c r="U105" i="6" s="1"/>
  <c r="T92" i="6"/>
  <c r="U92" i="6" s="1"/>
  <c r="V92" i="6" s="1"/>
  <c r="W92" i="6" s="1"/>
  <c r="P63" i="6"/>
  <c r="T61" i="6"/>
  <c r="U61" i="6" s="1"/>
  <c r="V61" i="6" s="1"/>
  <c r="W61" i="6" s="1"/>
  <c r="S58" i="6"/>
  <c r="T87" i="6"/>
  <c r="U87" i="6" s="1"/>
  <c r="T101" i="6"/>
  <c r="U101" i="6" s="1"/>
  <c r="V101" i="6" s="1"/>
  <c r="W101" i="6" s="1"/>
  <c r="T67" i="6"/>
  <c r="U67" i="6" s="1"/>
  <c r="P39" i="6"/>
  <c r="T95" i="6"/>
  <c r="U95" i="6" s="1"/>
  <c r="D9" i="6"/>
  <c r="T20" i="6"/>
  <c r="U20" i="6" s="1"/>
  <c r="T23" i="6"/>
  <c r="U23" i="6" s="1"/>
  <c r="T32" i="6"/>
  <c r="U32" i="6" s="1"/>
  <c r="V32" i="6" s="1"/>
  <c r="W32" i="6" s="1"/>
  <c r="T40" i="6"/>
  <c r="U40" i="6" s="1"/>
  <c r="V40" i="6" s="1"/>
  <c r="W40" i="6" s="1"/>
  <c r="T47" i="6"/>
  <c r="U47" i="6" s="1"/>
  <c r="V47" i="6" s="1"/>
  <c r="W47" i="6" s="1"/>
  <c r="T57" i="6"/>
  <c r="U57" i="6" s="1"/>
  <c r="V57" i="6" s="1"/>
  <c r="W57" i="6" s="1"/>
  <c r="T66" i="6"/>
  <c r="U66" i="6" s="1"/>
  <c r="V66" i="6" s="1"/>
  <c r="W66" i="6" s="1"/>
  <c r="T76" i="6"/>
  <c r="U76" i="6" s="1"/>
  <c r="T88" i="6"/>
  <c r="U88" i="6" s="1"/>
  <c r="T91" i="6"/>
  <c r="U91" i="6" s="1"/>
  <c r="V91" i="6" s="1"/>
  <c r="W91" i="6" s="1"/>
  <c r="T26" i="6"/>
  <c r="U26" i="6" s="1"/>
  <c r="T35" i="6"/>
  <c r="U35" i="6" s="1"/>
  <c r="V35" i="6" s="1"/>
  <c r="W35" i="6" s="1"/>
  <c r="T38" i="6"/>
  <c r="U38" i="6" s="1"/>
  <c r="V38" i="6" s="1"/>
  <c r="W38" i="6" s="1"/>
  <c r="T79" i="6"/>
  <c r="U79" i="6" s="1"/>
  <c r="T96" i="6"/>
  <c r="U96" i="6" s="1"/>
  <c r="T104" i="6"/>
  <c r="U104" i="6" s="1"/>
  <c r="T107" i="6"/>
  <c r="U107" i="6" s="1"/>
  <c r="T109" i="6"/>
  <c r="U109" i="6" s="1"/>
  <c r="L84" i="6"/>
  <c r="R71" i="6"/>
  <c r="M84" i="6"/>
  <c r="P71" i="6"/>
  <c r="N9" i="6"/>
  <c r="L30" i="6"/>
  <c r="R25" i="6"/>
  <c r="T25" i="6" s="1"/>
  <c r="L110" i="6"/>
  <c r="P18" i="6"/>
  <c r="Q9" i="6"/>
  <c r="T64" i="6"/>
  <c r="T43" i="6"/>
  <c r="U43" i="6" s="1"/>
  <c r="V43" i="6" s="1"/>
  <c r="W43" i="6" s="1"/>
  <c r="M58" i="6"/>
  <c r="L58" i="6"/>
  <c r="M110" i="6"/>
  <c r="T72" i="6"/>
  <c r="U72" i="6" s="1"/>
  <c r="L98" i="6"/>
  <c r="P102" i="6"/>
  <c r="T102" i="6" s="1"/>
  <c r="U102" i="6" s="1"/>
  <c r="T31" i="6"/>
  <c r="F9" i="5"/>
  <c r="W139" i="5"/>
  <c r="D136" i="5"/>
  <c r="W138" i="5"/>
  <c r="D125" i="5"/>
  <c r="D128" i="5"/>
  <c r="D127" i="5"/>
  <c r="D131" i="5"/>
  <c r="V106" i="6" l="1"/>
  <c r="W106" i="6" s="1"/>
  <c r="V109" i="6"/>
  <c r="W109" i="6" s="1"/>
  <c r="V105" i="6"/>
  <c r="W105" i="6" s="1"/>
  <c r="V108" i="6"/>
  <c r="W108" i="6" s="1"/>
  <c r="V102" i="6"/>
  <c r="W102" i="6" s="1"/>
  <c r="V107" i="6"/>
  <c r="W107" i="6" s="1"/>
  <c r="V104" i="6"/>
  <c r="W104" i="6" s="1"/>
  <c r="V99" i="6"/>
  <c r="W99" i="6" s="1"/>
  <c r="W110" i="6" s="1"/>
  <c r="X99" i="6" s="1"/>
  <c r="V103" i="6"/>
  <c r="W103" i="6" s="1"/>
  <c r="V88" i="6"/>
  <c r="W88" i="6" s="1"/>
  <c r="V95" i="6"/>
  <c r="W95" i="6" s="1"/>
  <c r="V89" i="6"/>
  <c r="W89" i="6" s="1"/>
  <c r="V96" i="6"/>
  <c r="W96" i="6" s="1"/>
  <c r="V87" i="6"/>
  <c r="W87" i="6" s="1"/>
  <c r="V81" i="6"/>
  <c r="W81" i="6" s="1"/>
  <c r="V77" i="6"/>
  <c r="W77" i="6" s="1"/>
  <c r="W79" i="6"/>
  <c r="V79" i="6"/>
  <c r="V80" i="6"/>
  <c r="W80" i="6" s="1"/>
  <c r="V72" i="6"/>
  <c r="W72" i="6" s="1"/>
  <c r="V78" i="6"/>
  <c r="W78" i="6" s="1"/>
  <c r="V76" i="6"/>
  <c r="W76" i="6" s="1"/>
  <c r="V75" i="6"/>
  <c r="W75" i="6" s="1"/>
  <c r="V65" i="6"/>
  <c r="W65" i="6" s="1"/>
  <c r="V67" i="6"/>
  <c r="W67" i="6" s="1"/>
  <c r="V60" i="6"/>
  <c r="W60" i="6" s="1"/>
  <c r="W58" i="6"/>
  <c r="X46" i="6" s="1"/>
  <c r="W62" i="6"/>
  <c r="U59" i="6"/>
  <c r="V22" i="6"/>
  <c r="W22" i="6" s="1"/>
  <c r="V29" i="6"/>
  <c r="W29" i="6" s="1"/>
  <c r="V26" i="6"/>
  <c r="W26" i="6" s="1"/>
  <c r="V27" i="6"/>
  <c r="W27" i="6" s="1"/>
  <c r="V19" i="6"/>
  <c r="W19" i="6" s="1"/>
  <c r="V23" i="6"/>
  <c r="W23" i="6" s="1"/>
  <c r="V20" i="6"/>
  <c r="W20" i="6" s="1"/>
  <c r="T39" i="6"/>
  <c r="U39" i="6" s="1"/>
  <c r="V39" i="6" s="1"/>
  <c r="W39" i="6" s="1"/>
  <c r="S9" i="6"/>
  <c r="P98" i="6"/>
  <c r="P58" i="6"/>
  <c r="W18" i="6"/>
  <c r="X11" i="6" s="1"/>
  <c r="T18" i="6"/>
  <c r="T110" i="6"/>
  <c r="U110" i="6" s="1"/>
  <c r="M9" i="6"/>
  <c r="P45" i="6"/>
  <c r="U25" i="6"/>
  <c r="T30" i="6"/>
  <c r="U30" i="6" s="1"/>
  <c r="T70" i="6"/>
  <c r="U70" i="6" s="1"/>
  <c r="U64" i="6"/>
  <c r="V64" i="6" s="1"/>
  <c r="W64" i="6" s="1"/>
  <c r="L9" i="6"/>
  <c r="R9" i="6" s="1"/>
  <c r="U85" i="6"/>
  <c r="T98" i="6"/>
  <c r="U98" i="6" s="1"/>
  <c r="T71" i="6"/>
  <c r="P84" i="6"/>
  <c r="T58" i="6"/>
  <c r="U58" i="6" s="1"/>
  <c r="T45" i="6"/>
  <c r="U45" i="6" s="1"/>
  <c r="U31" i="6"/>
  <c r="P110" i="6"/>
  <c r="K120" i="5"/>
  <c r="J120" i="5"/>
  <c r="W111" i="5"/>
  <c r="M119" i="5"/>
  <c r="P119" i="5" s="1"/>
  <c r="L119" i="5"/>
  <c r="R119" i="5" s="1"/>
  <c r="M115" i="5"/>
  <c r="P115" i="5" s="1"/>
  <c r="L115" i="5"/>
  <c r="R115" i="5" s="1"/>
  <c r="M114" i="5"/>
  <c r="L114" i="5"/>
  <c r="M112" i="5"/>
  <c r="L112" i="5"/>
  <c r="R112" i="5" s="1"/>
  <c r="T112" i="5" s="1"/>
  <c r="U112" i="5" s="1"/>
  <c r="V112" i="5" s="1"/>
  <c r="W112" i="5" s="1"/>
  <c r="S119" i="5"/>
  <c r="S120" i="5" s="1"/>
  <c r="Q120" i="5"/>
  <c r="J108" i="5"/>
  <c r="M106" i="5"/>
  <c r="P106" i="5" s="1"/>
  <c r="L106" i="5"/>
  <c r="M105" i="5"/>
  <c r="L105" i="5"/>
  <c r="R105" i="5" s="1"/>
  <c r="M102" i="5"/>
  <c r="L102" i="5"/>
  <c r="M95" i="5"/>
  <c r="L95" i="5"/>
  <c r="S106" i="5"/>
  <c r="S99" i="5"/>
  <c r="L87" i="5"/>
  <c r="M87" i="5"/>
  <c r="M86" i="5"/>
  <c r="M94" i="5" s="1"/>
  <c r="L86" i="5"/>
  <c r="M85" i="5"/>
  <c r="L85" i="5"/>
  <c r="L81" i="5"/>
  <c r="R81" i="5" s="1"/>
  <c r="M81" i="5"/>
  <c r="S83" i="5"/>
  <c r="S94" i="5" s="1"/>
  <c r="M79" i="5"/>
  <c r="L79" i="5"/>
  <c r="M78" i="5"/>
  <c r="L78" i="5"/>
  <c r="M77" i="5"/>
  <c r="L77" i="5"/>
  <c r="L80" i="5" s="1"/>
  <c r="M75" i="5"/>
  <c r="L75" i="5"/>
  <c r="Q80" i="5"/>
  <c r="Q74" i="5"/>
  <c r="M70" i="5"/>
  <c r="L70" i="5"/>
  <c r="M69" i="5"/>
  <c r="P69" i="5" s="1"/>
  <c r="L69" i="5"/>
  <c r="R69" i="5" s="1"/>
  <c r="M65" i="5"/>
  <c r="L65" i="5"/>
  <c r="M63" i="5"/>
  <c r="P63" i="5" s="1"/>
  <c r="L63" i="5"/>
  <c r="M64" i="5"/>
  <c r="L64" i="5"/>
  <c r="M62" i="5"/>
  <c r="P62" i="5" s="1"/>
  <c r="L62" i="5"/>
  <c r="L74" i="5" s="1"/>
  <c r="S74" i="5"/>
  <c r="S63" i="5"/>
  <c r="R73" i="5"/>
  <c r="P73" i="5"/>
  <c r="T73" i="5" s="1"/>
  <c r="U73" i="5" s="1"/>
  <c r="V73" i="5" s="1"/>
  <c r="W73" i="5" s="1"/>
  <c r="K74" i="5"/>
  <c r="W51" i="5"/>
  <c r="M60" i="5"/>
  <c r="P60" i="5" s="1"/>
  <c r="L60" i="5"/>
  <c r="R60" i="5" s="1"/>
  <c r="M57" i="5"/>
  <c r="L57" i="5"/>
  <c r="M51" i="5"/>
  <c r="L51" i="5"/>
  <c r="R51" i="5" s="1"/>
  <c r="M49" i="5"/>
  <c r="L49" i="5"/>
  <c r="S51" i="5"/>
  <c r="S49" i="5"/>
  <c r="S53" i="5"/>
  <c r="K61" i="5"/>
  <c r="J61" i="5"/>
  <c r="W40" i="5"/>
  <c r="M43" i="5"/>
  <c r="M45" i="5" s="1"/>
  <c r="L43" i="5"/>
  <c r="R43" i="5" s="1"/>
  <c r="M39" i="5"/>
  <c r="L39" i="5"/>
  <c r="S45" i="5"/>
  <c r="R44" i="5"/>
  <c r="Q45" i="5"/>
  <c r="N45" i="5"/>
  <c r="M29" i="5"/>
  <c r="P29" i="5" s="1"/>
  <c r="L29" i="5"/>
  <c r="R29" i="5" s="1"/>
  <c r="M28" i="5"/>
  <c r="L28" i="5"/>
  <c r="M26" i="5"/>
  <c r="L26" i="5"/>
  <c r="M25" i="5"/>
  <c r="M30" i="5" s="1"/>
  <c r="L25" i="5"/>
  <c r="J30" i="5"/>
  <c r="K30" i="5"/>
  <c r="S30" i="5"/>
  <c r="S26" i="5"/>
  <c r="Q30" i="5"/>
  <c r="O30" i="5"/>
  <c r="N30" i="5"/>
  <c r="W145" i="5"/>
  <c r="W144" i="5"/>
  <c r="W143" i="5"/>
  <c r="X142" i="5"/>
  <c r="W142" i="5"/>
  <c r="X141" i="5"/>
  <c r="W141" i="5"/>
  <c r="W140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O120" i="5"/>
  <c r="N120" i="5"/>
  <c r="R118" i="5"/>
  <c r="P118" i="5"/>
  <c r="R117" i="5"/>
  <c r="P117" i="5"/>
  <c r="R116" i="5"/>
  <c r="P116" i="5"/>
  <c r="R114" i="5"/>
  <c r="P113" i="5"/>
  <c r="R113" i="5"/>
  <c r="P112" i="5"/>
  <c r="R111" i="5"/>
  <c r="P111" i="5"/>
  <c r="R110" i="5"/>
  <c r="P110" i="5"/>
  <c r="R109" i="5"/>
  <c r="P109" i="5"/>
  <c r="Q108" i="5"/>
  <c r="O108" i="5"/>
  <c r="N108" i="5"/>
  <c r="K108" i="5"/>
  <c r="R106" i="5"/>
  <c r="P105" i="5"/>
  <c r="R104" i="5"/>
  <c r="P104" i="5"/>
  <c r="P103" i="5"/>
  <c r="R103" i="5"/>
  <c r="P102" i="5"/>
  <c r="R102" i="5"/>
  <c r="P101" i="5"/>
  <c r="R100" i="5"/>
  <c r="P100" i="5"/>
  <c r="R99" i="5"/>
  <c r="P99" i="5"/>
  <c r="R98" i="5"/>
  <c r="P98" i="5"/>
  <c r="R97" i="5"/>
  <c r="P97" i="5"/>
  <c r="R96" i="5"/>
  <c r="P96" i="5"/>
  <c r="R95" i="5"/>
  <c r="Q94" i="5"/>
  <c r="O94" i="5"/>
  <c r="N94" i="5"/>
  <c r="K94" i="5"/>
  <c r="J94" i="5"/>
  <c r="R92" i="5"/>
  <c r="P92" i="5"/>
  <c r="P91" i="5"/>
  <c r="R91" i="5"/>
  <c r="P90" i="5"/>
  <c r="R89" i="5"/>
  <c r="P89" i="5"/>
  <c r="P88" i="5"/>
  <c r="R88" i="5"/>
  <c r="P87" i="5"/>
  <c r="R87" i="5"/>
  <c r="R86" i="5"/>
  <c r="P86" i="5"/>
  <c r="P85" i="5"/>
  <c r="R84" i="5"/>
  <c r="P84" i="5"/>
  <c r="P83" i="5"/>
  <c r="R83" i="5"/>
  <c r="R82" i="5"/>
  <c r="P82" i="5"/>
  <c r="P81" i="5"/>
  <c r="S80" i="5"/>
  <c r="O80" i="5"/>
  <c r="N80" i="5"/>
  <c r="K80" i="5"/>
  <c r="J80" i="5"/>
  <c r="R79" i="5"/>
  <c r="P79" i="5"/>
  <c r="R78" i="5"/>
  <c r="P78" i="5"/>
  <c r="R76" i="5"/>
  <c r="P76" i="5"/>
  <c r="B76" i="5"/>
  <c r="B77" i="5" s="1"/>
  <c r="B80" i="5" s="1"/>
  <c r="R75" i="5"/>
  <c r="P75" i="5"/>
  <c r="O74" i="5"/>
  <c r="N74" i="5"/>
  <c r="J74" i="5"/>
  <c r="R72" i="5"/>
  <c r="P72" i="5"/>
  <c r="R71" i="5"/>
  <c r="P71" i="5"/>
  <c r="R70" i="5"/>
  <c r="P70" i="5"/>
  <c r="B70" i="5"/>
  <c r="B74" i="5" s="1"/>
  <c r="R68" i="5"/>
  <c r="P68" i="5"/>
  <c r="R67" i="5"/>
  <c r="P67" i="5"/>
  <c r="R66" i="5"/>
  <c r="P66" i="5"/>
  <c r="R65" i="5"/>
  <c r="P65" i="5"/>
  <c r="R64" i="5"/>
  <c r="P64" i="5"/>
  <c r="R63" i="5"/>
  <c r="B63" i="5"/>
  <c r="B64" i="5" s="1"/>
  <c r="S61" i="5"/>
  <c r="Q61" i="5"/>
  <c r="O61" i="5"/>
  <c r="N61" i="5"/>
  <c r="P59" i="5"/>
  <c r="R59" i="5"/>
  <c r="R58" i="5"/>
  <c r="P58" i="5"/>
  <c r="R57" i="5"/>
  <c r="P57" i="5"/>
  <c r="R56" i="5"/>
  <c r="P56" i="5"/>
  <c r="R55" i="5"/>
  <c r="P55" i="5"/>
  <c r="T55" i="5" s="1"/>
  <c r="U55" i="5" s="1"/>
  <c r="R54" i="5"/>
  <c r="P54" i="5"/>
  <c r="R53" i="5"/>
  <c r="P53" i="5"/>
  <c r="P52" i="5"/>
  <c r="R52" i="5"/>
  <c r="P51" i="5"/>
  <c r="R50" i="5"/>
  <c r="P50" i="5"/>
  <c r="T50" i="5" s="1"/>
  <c r="U50" i="5" s="1"/>
  <c r="V50" i="5" s="1"/>
  <c r="W50" i="5" s="1"/>
  <c r="P49" i="5"/>
  <c r="R48" i="5"/>
  <c r="P48" i="5"/>
  <c r="R47" i="5"/>
  <c r="P47" i="5"/>
  <c r="R46" i="5"/>
  <c r="P46" i="5"/>
  <c r="O45" i="5"/>
  <c r="P44" i="5"/>
  <c r="R42" i="5"/>
  <c r="P42" i="5"/>
  <c r="K42" i="5"/>
  <c r="R41" i="5"/>
  <c r="P41" i="5"/>
  <c r="R40" i="5"/>
  <c r="P40" i="5"/>
  <c r="P39" i="5"/>
  <c r="J39" i="5"/>
  <c r="R38" i="5"/>
  <c r="P38" i="5"/>
  <c r="R37" i="5"/>
  <c r="P37" i="5"/>
  <c r="R36" i="5"/>
  <c r="P36" i="5"/>
  <c r="R35" i="5"/>
  <c r="P35" i="5"/>
  <c r="R34" i="5"/>
  <c r="P34" i="5"/>
  <c r="K34" i="5"/>
  <c r="J34" i="5"/>
  <c r="J45" i="5" s="1"/>
  <c r="R33" i="5"/>
  <c r="P33" i="5"/>
  <c r="R32" i="5"/>
  <c r="P32" i="5"/>
  <c r="R31" i="5"/>
  <c r="P31" i="5"/>
  <c r="F31" i="5"/>
  <c r="B30" i="5"/>
  <c r="P28" i="5"/>
  <c r="R28" i="5"/>
  <c r="R27" i="5"/>
  <c r="P27" i="5"/>
  <c r="R26" i="5"/>
  <c r="P26" i="5"/>
  <c r="R25" i="5"/>
  <c r="R24" i="5"/>
  <c r="P24" i="5"/>
  <c r="R23" i="5"/>
  <c r="P23" i="5"/>
  <c r="B23" i="5"/>
  <c r="B24" i="5" s="1"/>
  <c r="R22" i="5"/>
  <c r="P22" i="5"/>
  <c r="R21" i="5"/>
  <c r="P21" i="5"/>
  <c r="R20" i="5"/>
  <c r="P20" i="5"/>
  <c r="P19" i="5"/>
  <c r="S18" i="5"/>
  <c r="Q18" i="5"/>
  <c r="O18" i="5"/>
  <c r="N18" i="5"/>
  <c r="M18" i="5"/>
  <c r="L18" i="5"/>
  <c r="K18" i="5"/>
  <c r="J18" i="5"/>
  <c r="P17" i="5"/>
  <c r="T17" i="5" s="1"/>
  <c r="U17" i="5" s="1"/>
  <c r="V17" i="5" s="1"/>
  <c r="W17" i="5" s="1"/>
  <c r="P16" i="5"/>
  <c r="T16" i="5" s="1"/>
  <c r="U16" i="5" s="1"/>
  <c r="V16" i="5" s="1"/>
  <c r="W16" i="5" s="1"/>
  <c r="P15" i="5"/>
  <c r="T15" i="5" s="1"/>
  <c r="U15" i="5" s="1"/>
  <c r="V15" i="5" s="1"/>
  <c r="W15" i="5" s="1"/>
  <c r="P14" i="5"/>
  <c r="T14" i="5" s="1"/>
  <c r="U14" i="5" s="1"/>
  <c r="V14" i="5" s="1"/>
  <c r="W14" i="5" s="1"/>
  <c r="P13" i="5"/>
  <c r="T13" i="5" s="1"/>
  <c r="U13" i="5" s="1"/>
  <c r="V13" i="5" s="1"/>
  <c r="W13" i="5" s="1"/>
  <c r="R12" i="5"/>
  <c r="P12" i="5"/>
  <c r="B12" i="5"/>
  <c r="B13" i="5" s="1"/>
  <c r="B14" i="5" s="1"/>
  <c r="B15" i="5" s="1"/>
  <c r="B18" i="5" s="1"/>
  <c r="R11" i="5"/>
  <c r="P11" i="5"/>
  <c r="G11" i="5"/>
  <c r="G10" i="5"/>
  <c r="X10" i="5" s="1"/>
  <c r="E9" i="5"/>
  <c r="D9" i="5"/>
  <c r="Y126" i="4"/>
  <c r="F9" i="4"/>
  <c r="E9" i="4"/>
  <c r="G9" i="4"/>
  <c r="W137" i="4"/>
  <c r="W136" i="4"/>
  <c r="D128" i="4"/>
  <c r="W128" i="4" s="1"/>
  <c r="D127" i="4"/>
  <c r="D129" i="4"/>
  <c r="W135" i="4"/>
  <c r="W134" i="4"/>
  <c r="M114" i="4"/>
  <c r="L114" i="4"/>
  <c r="R114" i="4" s="1"/>
  <c r="P114" i="4"/>
  <c r="M113" i="4"/>
  <c r="P113" i="4" s="1"/>
  <c r="L113" i="4"/>
  <c r="R113" i="4" s="1"/>
  <c r="M112" i="4"/>
  <c r="L112" i="4"/>
  <c r="J120" i="4"/>
  <c r="S120" i="4"/>
  <c r="P119" i="4"/>
  <c r="Q120" i="4"/>
  <c r="O120" i="4"/>
  <c r="M120" i="4"/>
  <c r="N120" i="4"/>
  <c r="L120" i="4"/>
  <c r="K120" i="4"/>
  <c r="L101" i="4"/>
  <c r="R101" i="4" s="1"/>
  <c r="M101" i="4"/>
  <c r="M106" i="4"/>
  <c r="P106" i="4" s="1"/>
  <c r="L106" i="4"/>
  <c r="R106" i="4" s="1"/>
  <c r="M104" i="4"/>
  <c r="P104" i="4" s="1"/>
  <c r="L104" i="4"/>
  <c r="R104" i="4" s="1"/>
  <c r="M103" i="4"/>
  <c r="P103" i="4" s="1"/>
  <c r="L103" i="4"/>
  <c r="R103" i="4" s="1"/>
  <c r="M102" i="4"/>
  <c r="P102" i="4" s="1"/>
  <c r="L102" i="4"/>
  <c r="M95" i="4"/>
  <c r="L95" i="4"/>
  <c r="S104" i="4"/>
  <c r="S105" i="4"/>
  <c r="S103" i="4"/>
  <c r="S108" i="4" s="1"/>
  <c r="M83" i="4"/>
  <c r="L83" i="4"/>
  <c r="M81" i="4"/>
  <c r="L81" i="4"/>
  <c r="M87" i="4"/>
  <c r="L87" i="4"/>
  <c r="R87" i="4" s="1"/>
  <c r="M85" i="4"/>
  <c r="L85" i="4"/>
  <c r="M90" i="4"/>
  <c r="L90" i="4"/>
  <c r="M91" i="4"/>
  <c r="P91" i="4" s="1"/>
  <c r="L91" i="4"/>
  <c r="M88" i="4"/>
  <c r="L88" i="4"/>
  <c r="R88" i="4" s="1"/>
  <c r="S82" i="4"/>
  <c r="S94" i="4" s="1"/>
  <c r="K30" i="4"/>
  <c r="J30" i="4"/>
  <c r="W29" i="4"/>
  <c r="M79" i="4"/>
  <c r="P79" i="4" s="1"/>
  <c r="L79" i="4"/>
  <c r="R79" i="4" s="1"/>
  <c r="M77" i="4"/>
  <c r="P77" i="4" s="1"/>
  <c r="L77" i="4"/>
  <c r="R77" i="4" s="1"/>
  <c r="Q80" i="4"/>
  <c r="S74" i="4"/>
  <c r="Q74" i="4"/>
  <c r="O74" i="4"/>
  <c r="N74" i="4"/>
  <c r="K74" i="4"/>
  <c r="W63" i="4"/>
  <c r="W73" i="4"/>
  <c r="J74" i="4"/>
  <c r="M68" i="4"/>
  <c r="P68" i="4" s="1"/>
  <c r="L68" i="4"/>
  <c r="R68" i="4" s="1"/>
  <c r="L66" i="4"/>
  <c r="R66" i="4" s="1"/>
  <c r="M66" i="4"/>
  <c r="P66" i="4" s="1"/>
  <c r="M65" i="4"/>
  <c r="P65" i="4" s="1"/>
  <c r="L65" i="4"/>
  <c r="R65" i="4" s="1"/>
  <c r="M63" i="4"/>
  <c r="P63" i="4" s="1"/>
  <c r="L63" i="4"/>
  <c r="R63" i="4" s="1"/>
  <c r="M62" i="4"/>
  <c r="L62" i="4"/>
  <c r="R67" i="4"/>
  <c r="P67" i="4"/>
  <c r="W53" i="4"/>
  <c r="W51" i="4"/>
  <c r="M60" i="4"/>
  <c r="P60" i="4" s="1"/>
  <c r="L60" i="4"/>
  <c r="R60" i="4" s="1"/>
  <c r="M48" i="4"/>
  <c r="L48" i="4"/>
  <c r="R48" i="4" s="1"/>
  <c r="M59" i="4"/>
  <c r="L59" i="4"/>
  <c r="M57" i="4"/>
  <c r="P57" i="4" s="1"/>
  <c r="L57" i="4"/>
  <c r="R57" i="4" s="1"/>
  <c r="L52" i="4"/>
  <c r="M52" i="4"/>
  <c r="S61" i="4"/>
  <c r="R50" i="4"/>
  <c r="R51" i="4"/>
  <c r="R52" i="4"/>
  <c r="R53" i="4"/>
  <c r="P47" i="4"/>
  <c r="P48" i="4"/>
  <c r="P49" i="4"/>
  <c r="P50" i="4"/>
  <c r="T50" i="4" s="1"/>
  <c r="U50" i="4" s="1"/>
  <c r="V50" i="4" s="1"/>
  <c r="W50" i="4" s="1"/>
  <c r="P51" i="4"/>
  <c r="T51" i="4" s="1"/>
  <c r="U51" i="4" s="1"/>
  <c r="P52" i="4"/>
  <c r="P53" i="4"/>
  <c r="T53" i="4" s="1"/>
  <c r="U53" i="4" s="1"/>
  <c r="O61" i="4"/>
  <c r="J61" i="4"/>
  <c r="K61" i="4"/>
  <c r="M44" i="4"/>
  <c r="L44" i="4"/>
  <c r="R44" i="4" s="1"/>
  <c r="M39" i="4"/>
  <c r="L39" i="4"/>
  <c r="M33" i="4"/>
  <c r="P33" i="4" s="1"/>
  <c r="L33" i="4"/>
  <c r="R33" i="4" s="1"/>
  <c r="M32" i="4"/>
  <c r="L32" i="4"/>
  <c r="R32" i="4" s="1"/>
  <c r="S43" i="4"/>
  <c r="S45" i="4" s="1"/>
  <c r="O45" i="4"/>
  <c r="Q45" i="4"/>
  <c r="N45" i="4"/>
  <c r="L45" i="4"/>
  <c r="P44" i="4"/>
  <c r="T44" i="4" s="1"/>
  <c r="U44" i="4" s="1"/>
  <c r="V44" i="4" s="1"/>
  <c r="P43" i="4"/>
  <c r="R43" i="4"/>
  <c r="M28" i="4"/>
  <c r="P28" i="4" s="1"/>
  <c r="L28" i="4"/>
  <c r="M26" i="4"/>
  <c r="L26" i="4"/>
  <c r="M25" i="4"/>
  <c r="P25" i="4" s="1"/>
  <c r="L25" i="4"/>
  <c r="R25" i="4" s="1"/>
  <c r="M19" i="4"/>
  <c r="P19" i="4" s="1"/>
  <c r="L19" i="4"/>
  <c r="R19" i="4" s="1"/>
  <c r="Q30" i="4"/>
  <c r="O30" i="4"/>
  <c r="N30" i="4"/>
  <c r="M30" i="4"/>
  <c r="L30" i="4"/>
  <c r="S21" i="4"/>
  <c r="S30" i="4" s="1"/>
  <c r="R26" i="4"/>
  <c r="R27" i="4"/>
  <c r="R28" i="4"/>
  <c r="P27" i="4"/>
  <c r="T27" i="4" s="1"/>
  <c r="U27" i="4" s="1"/>
  <c r="V27" i="4" s="1"/>
  <c r="W27" i="4" s="1"/>
  <c r="J18" i="4"/>
  <c r="G11" i="4"/>
  <c r="G10" i="4"/>
  <c r="W143" i="4"/>
  <c r="W142" i="4"/>
  <c r="W141" i="4"/>
  <c r="X140" i="4"/>
  <c r="W140" i="4"/>
  <c r="X139" i="4"/>
  <c r="W139" i="4"/>
  <c r="W138" i="4"/>
  <c r="W133" i="4"/>
  <c r="W132" i="4"/>
  <c r="W131" i="4"/>
  <c r="W130" i="4"/>
  <c r="W129" i="4"/>
  <c r="W126" i="4"/>
  <c r="W125" i="4"/>
  <c r="W124" i="4"/>
  <c r="W123" i="4"/>
  <c r="W122" i="4"/>
  <c r="W121" i="4"/>
  <c r="P118" i="4"/>
  <c r="R118" i="4"/>
  <c r="R117" i="4"/>
  <c r="P117" i="4"/>
  <c r="P116" i="4"/>
  <c r="R116" i="4"/>
  <c r="R115" i="4"/>
  <c r="P115" i="4"/>
  <c r="R111" i="4"/>
  <c r="P111" i="4"/>
  <c r="R110" i="4"/>
  <c r="P110" i="4"/>
  <c r="R109" i="4"/>
  <c r="P109" i="4"/>
  <c r="Q108" i="4"/>
  <c r="O108" i="4"/>
  <c r="N108" i="4"/>
  <c r="K108" i="4"/>
  <c r="J108" i="4"/>
  <c r="R105" i="4"/>
  <c r="P105" i="4"/>
  <c r="R102" i="4"/>
  <c r="R100" i="4"/>
  <c r="P100" i="4"/>
  <c r="R98" i="4"/>
  <c r="P98" i="4"/>
  <c r="T98" i="4" s="1"/>
  <c r="U98" i="4" s="1"/>
  <c r="V98" i="4" s="1"/>
  <c r="W98" i="4" s="1"/>
  <c r="R97" i="4"/>
  <c r="P97" i="4"/>
  <c r="T97" i="4" s="1"/>
  <c r="U97" i="4" s="1"/>
  <c r="V97" i="4" s="1"/>
  <c r="W97" i="4" s="1"/>
  <c r="R96" i="4"/>
  <c r="P96" i="4"/>
  <c r="W95" i="4"/>
  <c r="R95" i="4"/>
  <c r="P95" i="4"/>
  <c r="Q94" i="4"/>
  <c r="O94" i="4"/>
  <c r="N94" i="4"/>
  <c r="K94" i="4"/>
  <c r="J94" i="4"/>
  <c r="R92" i="4"/>
  <c r="P92" i="4"/>
  <c r="R91" i="4"/>
  <c r="R90" i="4"/>
  <c r="P90" i="4"/>
  <c r="R89" i="4"/>
  <c r="P89" i="4"/>
  <c r="P88" i="4"/>
  <c r="P87" i="4"/>
  <c r="R86" i="4"/>
  <c r="P86" i="4"/>
  <c r="T86" i="4" s="1"/>
  <c r="U86" i="4" s="1"/>
  <c r="V86" i="4" s="1"/>
  <c r="P85" i="4"/>
  <c r="R85" i="4"/>
  <c r="P84" i="4"/>
  <c r="R84" i="4"/>
  <c r="P83" i="4"/>
  <c r="R83" i="4"/>
  <c r="R82" i="4"/>
  <c r="P82" i="4"/>
  <c r="S80" i="4"/>
  <c r="O80" i="4"/>
  <c r="N80" i="4"/>
  <c r="K80" i="4"/>
  <c r="J80" i="4"/>
  <c r="R76" i="4"/>
  <c r="P76" i="4"/>
  <c r="B76" i="4"/>
  <c r="B77" i="4" s="1"/>
  <c r="B80" i="4" s="1"/>
  <c r="R75" i="4"/>
  <c r="P75" i="4"/>
  <c r="R72" i="4"/>
  <c r="P72" i="4"/>
  <c r="R71" i="4"/>
  <c r="P71" i="4"/>
  <c r="R70" i="4"/>
  <c r="P70" i="4"/>
  <c r="P69" i="4"/>
  <c r="R69" i="4"/>
  <c r="P64" i="4"/>
  <c r="R64" i="4"/>
  <c r="B63" i="4"/>
  <c r="B64" i="4" s="1"/>
  <c r="B70" i="4" s="1"/>
  <c r="B74" i="4" s="1"/>
  <c r="Q61" i="4"/>
  <c r="N61" i="4"/>
  <c r="P58" i="4"/>
  <c r="R58" i="4"/>
  <c r="P56" i="4"/>
  <c r="R56" i="4"/>
  <c r="P55" i="4"/>
  <c r="R55" i="4"/>
  <c r="R54" i="4"/>
  <c r="P54" i="4"/>
  <c r="T54" i="4" s="1"/>
  <c r="U54" i="4" s="1"/>
  <c r="V54" i="4" s="1"/>
  <c r="W54" i="4" s="1"/>
  <c r="R49" i="4"/>
  <c r="R47" i="4"/>
  <c r="R46" i="4"/>
  <c r="P46" i="4"/>
  <c r="R42" i="4"/>
  <c r="P42" i="4"/>
  <c r="K42" i="4"/>
  <c r="R41" i="4"/>
  <c r="P41" i="4"/>
  <c r="R40" i="4"/>
  <c r="P40" i="4"/>
  <c r="J39" i="4"/>
  <c r="P38" i="4"/>
  <c r="R38" i="4"/>
  <c r="P37" i="4"/>
  <c r="R37" i="4"/>
  <c r="R36" i="4"/>
  <c r="P36" i="4"/>
  <c r="R35" i="4"/>
  <c r="P35" i="4"/>
  <c r="R34" i="4"/>
  <c r="P34" i="4"/>
  <c r="T34" i="4" s="1"/>
  <c r="K34" i="4"/>
  <c r="K45" i="4" s="1"/>
  <c r="J34" i="4"/>
  <c r="J45" i="4" s="1"/>
  <c r="P31" i="4"/>
  <c r="R31" i="4"/>
  <c r="F31" i="4"/>
  <c r="B30" i="4"/>
  <c r="R24" i="4"/>
  <c r="P24" i="4"/>
  <c r="T24" i="4" s="1"/>
  <c r="U24" i="4" s="1"/>
  <c r="V24" i="4" s="1"/>
  <c r="R23" i="4"/>
  <c r="P23" i="4"/>
  <c r="T23" i="4" s="1"/>
  <c r="U23" i="4" s="1"/>
  <c r="B23" i="4"/>
  <c r="B24" i="4" s="1"/>
  <c r="R22" i="4"/>
  <c r="P22" i="4"/>
  <c r="T22" i="4" s="1"/>
  <c r="U22" i="4" s="1"/>
  <c r="V22" i="4" s="1"/>
  <c r="R21" i="4"/>
  <c r="P21" i="4"/>
  <c r="R20" i="4"/>
  <c r="P20" i="4"/>
  <c r="T20" i="4" s="1"/>
  <c r="U20" i="4" s="1"/>
  <c r="Q18" i="4"/>
  <c r="O18" i="4"/>
  <c r="N18" i="4"/>
  <c r="K18" i="4"/>
  <c r="P17" i="4"/>
  <c r="T17" i="4" s="1"/>
  <c r="U17" i="4" s="1"/>
  <c r="V17" i="4" s="1"/>
  <c r="W17" i="4" s="1"/>
  <c r="P16" i="4"/>
  <c r="T16" i="4" s="1"/>
  <c r="U16" i="4" s="1"/>
  <c r="V16" i="4" s="1"/>
  <c r="W16" i="4" s="1"/>
  <c r="P15" i="4"/>
  <c r="T15" i="4" s="1"/>
  <c r="U15" i="4" s="1"/>
  <c r="V15" i="4" s="1"/>
  <c r="W15" i="4" s="1"/>
  <c r="P14" i="4"/>
  <c r="T14" i="4" s="1"/>
  <c r="U14" i="4" s="1"/>
  <c r="V14" i="4" s="1"/>
  <c r="W14" i="4" s="1"/>
  <c r="P13" i="4"/>
  <c r="T13" i="4" s="1"/>
  <c r="U13" i="4" s="1"/>
  <c r="V13" i="4" s="1"/>
  <c r="W13" i="4" s="1"/>
  <c r="R12" i="4"/>
  <c r="P12" i="4"/>
  <c r="B12" i="4"/>
  <c r="B13" i="4" s="1"/>
  <c r="B14" i="4" s="1"/>
  <c r="B15" i="4" s="1"/>
  <c r="B18" i="4" s="1"/>
  <c r="S18" i="4"/>
  <c r="X10" i="4"/>
  <c r="Y125" i="3"/>
  <c r="V85" i="6" l="1"/>
  <c r="W85" i="6" s="1"/>
  <c r="W70" i="6"/>
  <c r="X64" i="6" s="1"/>
  <c r="W59" i="6"/>
  <c r="W63" i="6" s="1"/>
  <c r="X59" i="6" s="1"/>
  <c r="V59" i="6"/>
  <c r="V31" i="6"/>
  <c r="W31" i="6" s="1"/>
  <c r="V25" i="6"/>
  <c r="W25" i="6" s="1"/>
  <c r="W30" i="6" s="1"/>
  <c r="X19" i="6" s="1"/>
  <c r="P9" i="6"/>
  <c r="T63" i="6"/>
  <c r="U63" i="6" s="1"/>
  <c r="U71" i="6"/>
  <c r="T84" i="6"/>
  <c r="L61" i="5"/>
  <c r="T69" i="5"/>
  <c r="U69" i="5" s="1"/>
  <c r="V69" i="5" s="1"/>
  <c r="W69" i="5" s="1"/>
  <c r="L94" i="5"/>
  <c r="M108" i="5"/>
  <c r="G9" i="5"/>
  <c r="R49" i="5"/>
  <c r="M80" i="5"/>
  <c r="L120" i="5"/>
  <c r="L9" i="5" s="1"/>
  <c r="J9" i="5"/>
  <c r="T84" i="5"/>
  <c r="U84" i="5" s="1"/>
  <c r="V84" i="5" s="1"/>
  <c r="W84" i="5" s="1"/>
  <c r="L45" i="5"/>
  <c r="K45" i="5"/>
  <c r="R85" i="5"/>
  <c r="S108" i="5"/>
  <c r="M120" i="5"/>
  <c r="T119" i="5"/>
  <c r="U119" i="5" s="1"/>
  <c r="V119" i="5" s="1"/>
  <c r="W119" i="5" s="1"/>
  <c r="R39" i="5"/>
  <c r="M74" i="5"/>
  <c r="P43" i="5"/>
  <c r="T43" i="5" s="1"/>
  <c r="U43" i="5" s="1"/>
  <c r="P114" i="5"/>
  <c r="P25" i="5"/>
  <c r="P30" i="5" s="1"/>
  <c r="T48" i="5"/>
  <c r="U48" i="5" s="1"/>
  <c r="W55" i="5"/>
  <c r="T111" i="5"/>
  <c r="U111" i="5" s="1"/>
  <c r="L108" i="5"/>
  <c r="T65" i="5"/>
  <c r="U65" i="5" s="1"/>
  <c r="V65" i="5" s="1"/>
  <c r="W65" i="5" s="1"/>
  <c r="V55" i="5"/>
  <c r="X121" i="5"/>
  <c r="T117" i="5"/>
  <c r="U117" i="5" s="1"/>
  <c r="V117" i="5" s="1"/>
  <c r="W117" i="5" s="1"/>
  <c r="T114" i="5"/>
  <c r="U114" i="5" s="1"/>
  <c r="V114" i="5" s="1"/>
  <c r="W114" i="5" s="1"/>
  <c r="T118" i="5"/>
  <c r="U118" i="5" s="1"/>
  <c r="V118" i="5" s="1"/>
  <c r="W118" i="5" s="1"/>
  <c r="T110" i="5"/>
  <c r="U110" i="5" s="1"/>
  <c r="V110" i="5" s="1"/>
  <c r="W110" i="5" s="1"/>
  <c r="T99" i="5"/>
  <c r="U99" i="5" s="1"/>
  <c r="V99" i="5" s="1"/>
  <c r="W99" i="5" s="1"/>
  <c r="T97" i="5"/>
  <c r="U97" i="5" s="1"/>
  <c r="V97" i="5" s="1"/>
  <c r="W97" i="5" s="1"/>
  <c r="T96" i="5"/>
  <c r="U96" i="5" s="1"/>
  <c r="V96" i="5" s="1"/>
  <c r="W96" i="5" s="1"/>
  <c r="T98" i="5"/>
  <c r="U98" i="5" s="1"/>
  <c r="V98" i="5" s="1"/>
  <c r="W98" i="5" s="1"/>
  <c r="T104" i="5"/>
  <c r="U104" i="5" s="1"/>
  <c r="V104" i="5" s="1"/>
  <c r="W104" i="5" s="1"/>
  <c r="T85" i="5"/>
  <c r="U85" i="5" s="1"/>
  <c r="T88" i="5"/>
  <c r="U88" i="5" s="1"/>
  <c r="T86" i="5"/>
  <c r="U86" i="5" s="1"/>
  <c r="T89" i="5"/>
  <c r="U89" i="5" s="1"/>
  <c r="V89" i="5" s="1"/>
  <c r="W89" i="5" s="1"/>
  <c r="T75" i="5"/>
  <c r="U75" i="5" s="1"/>
  <c r="T79" i="5"/>
  <c r="U79" i="5" s="1"/>
  <c r="V79" i="5" s="1"/>
  <c r="W79" i="5" s="1"/>
  <c r="P74" i="5"/>
  <c r="T64" i="5"/>
  <c r="U64" i="5" s="1"/>
  <c r="V64" i="5" s="1"/>
  <c r="W64" i="5" s="1"/>
  <c r="T72" i="5"/>
  <c r="U72" i="5" s="1"/>
  <c r="V72" i="5" s="1"/>
  <c r="W72" i="5" s="1"/>
  <c r="T70" i="5"/>
  <c r="U70" i="5" s="1"/>
  <c r="V70" i="5" s="1"/>
  <c r="W70" i="5" s="1"/>
  <c r="T58" i="5"/>
  <c r="U58" i="5" s="1"/>
  <c r="T53" i="5"/>
  <c r="U53" i="5" s="1"/>
  <c r="V53" i="5" s="1"/>
  <c r="W53" i="5" s="1"/>
  <c r="T51" i="5"/>
  <c r="U51" i="5" s="1"/>
  <c r="T54" i="5"/>
  <c r="U54" i="5" s="1"/>
  <c r="V54" i="5" s="1"/>
  <c r="W54" i="5" s="1"/>
  <c r="T60" i="5"/>
  <c r="U60" i="5" s="1"/>
  <c r="V60" i="5" s="1"/>
  <c r="W60" i="5" s="1"/>
  <c r="T32" i="5"/>
  <c r="U32" i="5" s="1"/>
  <c r="T33" i="5"/>
  <c r="U33" i="5" s="1"/>
  <c r="T35" i="5"/>
  <c r="U35" i="5" s="1"/>
  <c r="T44" i="5"/>
  <c r="U44" i="5" s="1"/>
  <c r="V44" i="5" s="1"/>
  <c r="W44" i="5" s="1"/>
  <c r="T36" i="5"/>
  <c r="U36" i="5" s="1"/>
  <c r="T29" i="5"/>
  <c r="U29" i="5" s="1"/>
  <c r="V29" i="5" s="1"/>
  <c r="W29" i="5" s="1"/>
  <c r="L30" i="5"/>
  <c r="T22" i="5"/>
  <c r="U22" i="5" s="1"/>
  <c r="T27" i="5"/>
  <c r="U27" i="5" s="1"/>
  <c r="T21" i="5"/>
  <c r="U21" i="5" s="1"/>
  <c r="V21" i="5" s="1"/>
  <c r="W21" i="5" s="1"/>
  <c r="K9" i="5"/>
  <c r="P18" i="5"/>
  <c r="T116" i="5"/>
  <c r="U116" i="5" s="1"/>
  <c r="V116" i="5" s="1"/>
  <c r="W116" i="5" s="1"/>
  <c r="T115" i="5"/>
  <c r="U115" i="5" s="1"/>
  <c r="V115" i="5" s="1"/>
  <c r="W115" i="5" s="1"/>
  <c r="P120" i="5"/>
  <c r="T113" i="5"/>
  <c r="U113" i="5" s="1"/>
  <c r="V113" i="5" s="1"/>
  <c r="W113" i="5" s="1"/>
  <c r="T103" i="5"/>
  <c r="U103" i="5" s="1"/>
  <c r="V103" i="5" s="1"/>
  <c r="W103" i="5" s="1"/>
  <c r="T106" i="5"/>
  <c r="U106" i="5" s="1"/>
  <c r="V106" i="5" s="1"/>
  <c r="W106" i="5" s="1"/>
  <c r="T100" i="5"/>
  <c r="U100" i="5" s="1"/>
  <c r="V100" i="5" s="1"/>
  <c r="W100" i="5" s="1"/>
  <c r="T102" i="5"/>
  <c r="U102" i="5" s="1"/>
  <c r="V102" i="5" s="1"/>
  <c r="W102" i="5" s="1"/>
  <c r="T105" i="5"/>
  <c r="U105" i="5" s="1"/>
  <c r="V105" i="5" s="1"/>
  <c r="W105" i="5" s="1"/>
  <c r="T82" i="5"/>
  <c r="U82" i="5" s="1"/>
  <c r="T91" i="5"/>
  <c r="U91" i="5" s="1"/>
  <c r="V91" i="5" s="1"/>
  <c r="W91" i="5" s="1"/>
  <c r="T87" i="5"/>
  <c r="U87" i="5" s="1"/>
  <c r="T92" i="5"/>
  <c r="U92" i="5" s="1"/>
  <c r="V92" i="5" s="1"/>
  <c r="W92" i="5" s="1"/>
  <c r="T76" i="5"/>
  <c r="U76" i="5" s="1"/>
  <c r="Q9" i="5"/>
  <c r="T78" i="5"/>
  <c r="U78" i="5" s="1"/>
  <c r="T63" i="5"/>
  <c r="U63" i="5" s="1"/>
  <c r="V63" i="5" s="1"/>
  <c r="W63" i="5" s="1"/>
  <c r="T68" i="5"/>
  <c r="U68" i="5" s="1"/>
  <c r="V68" i="5" s="1"/>
  <c r="W68" i="5" s="1"/>
  <c r="T71" i="5"/>
  <c r="U71" i="5" s="1"/>
  <c r="V71" i="5" s="1"/>
  <c r="W71" i="5" s="1"/>
  <c r="T66" i="5"/>
  <c r="U66" i="5" s="1"/>
  <c r="V66" i="5" s="1"/>
  <c r="W66" i="5" s="1"/>
  <c r="T67" i="5"/>
  <c r="U67" i="5" s="1"/>
  <c r="V67" i="5" s="1"/>
  <c r="W67" i="5" s="1"/>
  <c r="T57" i="5"/>
  <c r="U57" i="5" s="1"/>
  <c r="V57" i="5" s="1"/>
  <c r="T49" i="5"/>
  <c r="U49" i="5" s="1"/>
  <c r="T59" i="5"/>
  <c r="U59" i="5" s="1"/>
  <c r="T56" i="5"/>
  <c r="U56" i="5" s="1"/>
  <c r="T34" i="5"/>
  <c r="U34" i="5" s="1"/>
  <c r="T41" i="5"/>
  <c r="U41" i="5" s="1"/>
  <c r="T39" i="5"/>
  <c r="U39" i="5" s="1"/>
  <c r="V39" i="5" s="1"/>
  <c r="W39" i="5" s="1"/>
  <c r="T40" i="5"/>
  <c r="U40" i="5" s="1"/>
  <c r="T38" i="5"/>
  <c r="U38" i="5" s="1"/>
  <c r="T31" i="5"/>
  <c r="T37" i="5"/>
  <c r="U37" i="5" s="1"/>
  <c r="T20" i="5"/>
  <c r="U20" i="5" s="1"/>
  <c r="V20" i="5" s="1"/>
  <c r="W20" i="5" s="1"/>
  <c r="T23" i="5"/>
  <c r="U23" i="5" s="1"/>
  <c r="V23" i="5" s="1"/>
  <c r="W23" i="5" s="1"/>
  <c r="T25" i="5"/>
  <c r="S9" i="5"/>
  <c r="T12" i="5"/>
  <c r="U12" i="5" s="1"/>
  <c r="V12" i="5" s="1"/>
  <c r="W12" i="5" s="1"/>
  <c r="T11" i="5"/>
  <c r="O9" i="5"/>
  <c r="T24" i="5"/>
  <c r="U24" i="5" s="1"/>
  <c r="V24" i="5" s="1"/>
  <c r="W24" i="5" s="1"/>
  <c r="P45" i="5"/>
  <c r="T47" i="5"/>
  <c r="U47" i="5" s="1"/>
  <c r="T83" i="5"/>
  <c r="U83" i="5" s="1"/>
  <c r="N9" i="5"/>
  <c r="T52" i="5"/>
  <c r="U52" i="5" s="1"/>
  <c r="V52" i="5" s="1"/>
  <c r="W52" i="5" s="1"/>
  <c r="P94" i="5"/>
  <c r="T28" i="5"/>
  <c r="U28" i="5" s="1"/>
  <c r="V28" i="5" s="1"/>
  <c r="W28" i="5" s="1"/>
  <c r="T26" i="5"/>
  <c r="U26" i="5" s="1"/>
  <c r="T42" i="5"/>
  <c r="U42" i="5" s="1"/>
  <c r="V42" i="5" s="1"/>
  <c r="W42" i="5" s="1"/>
  <c r="T46" i="5"/>
  <c r="P61" i="5"/>
  <c r="P77" i="5"/>
  <c r="R101" i="5"/>
  <c r="T101" i="5" s="1"/>
  <c r="U101" i="5" s="1"/>
  <c r="V101" i="5" s="1"/>
  <c r="W101" i="5" s="1"/>
  <c r="R19" i="5"/>
  <c r="T19" i="5" s="1"/>
  <c r="M61" i="5"/>
  <c r="R77" i="5"/>
  <c r="R90" i="5"/>
  <c r="T90" i="5" s="1"/>
  <c r="U90" i="5" s="1"/>
  <c r="T109" i="5"/>
  <c r="R62" i="5"/>
  <c r="T62" i="5" s="1"/>
  <c r="T81" i="5"/>
  <c r="P95" i="5"/>
  <c r="T102" i="4"/>
  <c r="U102" i="4" s="1"/>
  <c r="V102" i="4" s="1"/>
  <c r="W102" i="4" s="1"/>
  <c r="T103" i="4"/>
  <c r="U103" i="4" s="1"/>
  <c r="V103" i="4" s="1"/>
  <c r="W103" i="4" s="1"/>
  <c r="M74" i="4"/>
  <c r="P62" i="4"/>
  <c r="P74" i="4" s="1"/>
  <c r="W127" i="4"/>
  <c r="X121" i="4" s="1"/>
  <c r="D9" i="4"/>
  <c r="J9" i="4"/>
  <c r="T67" i="4"/>
  <c r="U67" i="4" s="1"/>
  <c r="V67" i="4" s="1"/>
  <c r="W67" i="4" s="1"/>
  <c r="K9" i="4"/>
  <c r="Q9" i="4"/>
  <c r="S9" i="4"/>
  <c r="N9" i="4"/>
  <c r="O9" i="4"/>
  <c r="W86" i="4"/>
  <c r="T119" i="4"/>
  <c r="W119" i="4" s="1"/>
  <c r="T114" i="4"/>
  <c r="U114" i="4" s="1"/>
  <c r="V114" i="4" s="1"/>
  <c r="W114" i="4" s="1"/>
  <c r="T113" i="4"/>
  <c r="U113" i="4" s="1"/>
  <c r="V113" i="4" s="1"/>
  <c r="W113" i="4" s="1"/>
  <c r="T111" i="4"/>
  <c r="U111" i="4" s="1"/>
  <c r="V111" i="4" s="1"/>
  <c r="W111" i="4" s="1"/>
  <c r="P101" i="4"/>
  <c r="M108" i="4"/>
  <c r="T100" i="4"/>
  <c r="U100" i="4" s="1"/>
  <c r="V100" i="4" s="1"/>
  <c r="W100" i="4" s="1"/>
  <c r="T90" i="4"/>
  <c r="U90" i="4" s="1"/>
  <c r="V90" i="4" s="1"/>
  <c r="W90" i="4" s="1"/>
  <c r="T92" i="4"/>
  <c r="U92" i="4" s="1"/>
  <c r="V92" i="4" s="1"/>
  <c r="W92" i="4" s="1"/>
  <c r="T89" i="4"/>
  <c r="U89" i="4" s="1"/>
  <c r="V89" i="4" s="1"/>
  <c r="W89" i="4" s="1"/>
  <c r="T82" i="4"/>
  <c r="U82" i="4" s="1"/>
  <c r="V82" i="4" s="1"/>
  <c r="W82" i="4" s="1"/>
  <c r="T115" i="4"/>
  <c r="U115" i="4" s="1"/>
  <c r="V115" i="4" s="1"/>
  <c r="W115" i="4" s="1"/>
  <c r="L74" i="4"/>
  <c r="R62" i="4"/>
  <c r="T76" i="4"/>
  <c r="U76" i="4" s="1"/>
  <c r="V76" i="4" s="1"/>
  <c r="W76" i="4" s="1"/>
  <c r="T96" i="4"/>
  <c r="U96" i="4" s="1"/>
  <c r="V96" i="4" s="1"/>
  <c r="W96" i="4" s="1"/>
  <c r="T46" i="4"/>
  <c r="U46" i="4" s="1"/>
  <c r="V46" i="4" s="1"/>
  <c r="W46" i="4" s="1"/>
  <c r="T66" i="4"/>
  <c r="U66" i="4" s="1"/>
  <c r="V66" i="4" s="1"/>
  <c r="W66" i="4" s="1"/>
  <c r="T65" i="4"/>
  <c r="U65" i="4" s="1"/>
  <c r="V65" i="4" s="1"/>
  <c r="W65" i="4" s="1"/>
  <c r="T68" i="4"/>
  <c r="U68" i="4" s="1"/>
  <c r="V68" i="4" s="1"/>
  <c r="W68" i="4" s="1"/>
  <c r="T71" i="4"/>
  <c r="U71" i="4" s="1"/>
  <c r="V71" i="4" s="1"/>
  <c r="W71" i="4" s="1"/>
  <c r="T47" i="4"/>
  <c r="U47" i="4" s="1"/>
  <c r="V47" i="4" s="1"/>
  <c r="W47" i="4" s="1"/>
  <c r="T21" i="4"/>
  <c r="U21" i="4" s="1"/>
  <c r="V21" i="4" s="1"/>
  <c r="W21" i="4" s="1"/>
  <c r="T49" i="4"/>
  <c r="U49" i="4" s="1"/>
  <c r="V49" i="4" s="1"/>
  <c r="W49" i="4" s="1"/>
  <c r="T52" i="4"/>
  <c r="U52" i="4" s="1"/>
  <c r="V52" i="4" s="1"/>
  <c r="W52" i="4" s="1"/>
  <c r="T57" i="4"/>
  <c r="U57" i="4" s="1"/>
  <c r="V57" i="4" s="1"/>
  <c r="W57" i="4" s="1"/>
  <c r="T48" i="4"/>
  <c r="U48" i="4" s="1"/>
  <c r="V48" i="4" s="1"/>
  <c r="W48" i="4" s="1"/>
  <c r="P32" i="4"/>
  <c r="T32" i="4" s="1"/>
  <c r="M45" i="4"/>
  <c r="W44" i="4"/>
  <c r="T43" i="4"/>
  <c r="U43" i="4" s="1"/>
  <c r="V43" i="4" s="1"/>
  <c r="W43" i="4" s="1"/>
  <c r="T36" i="4"/>
  <c r="U36" i="4" s="1"/>
  <c r="V36" i="4" s="1"/>
  <c r="W36" i="4" s="1"/>
  <c r="T42" i="4"/>
  <c r="U42" i="4" s="1"/>
  <c r="V42" i="4" s="1"/>
  <c r="W42" i="4" s="1"/>
  <c r="T40" i="4"/>
  <c r="U40" i="4" s="1"/>
  <c r="V40" i="4" s="1"/>
  <c r="W40" i="4" s="1"/>
  <c r="U34" i="4"/>
  <c r="V34" i="4" s="1"/>
  <c r="W34" i="4" s="1"/>
  <c r="T28" i="4"/>
  <c r="U28" i="4" s="1"/>
  <c r="V28" i="4" s="1"/>
  <c r="W28" i="4" s="1"/>
  <c r="T25" i="4"/>
  <c r="U25" i="4" s="1"/>
  <c r="V25" i="4" s="1"/>
  <c r="W25" i="4" s="1"/>
  <c r="T19" i="4"/>
  <c r="U19" i="4" s="1"/>
  <c r="V19" i="4" s="1"/>
  <c r="W19" i="4" s="1"/>
  <c r="V20" i="4"/>
  <c r="W20" i="4" s="1"/>
  <c r="W24" i="4"/>
  <c r="W22" i="4"/>
  <c r="T117" i="4"/>
  <c r="U117" i="4" s="1"/>
  <c r="V117" i="4" s="1"/>
  <c r="W117" i="4" s="1"/>
  <c r="T12" i="4"/>
  <c r="U12" i="4" s="1"/>
  <c r="V12" i="4" s="1"/>
  <c r="W12" i="4" s="1"/>
  <c r="T118" i="4"/>
  <c r="U118" i="4" s="1"/>
  <c r="V118" i="4" s="1"/>
  <c r="W118" i="4" s="1"/>
  <c r="T116" i="4"/>
  <c r="U116" i="4" s="1"/>
  <c r="V116" i="4" s="1"/>
  <c r="W116" i="4" s="1"/>
  <c r="T109" i="4"/>
  <c r="U109" i="4" s="1"/>
  <c r="V109" i="4" s="1"/>
  <c r="W109" i="4" s="1"/>
  <c r="T105" i="4"/>
  <c r="U105" i="4" s="1"/>
  <c r="V105" i="4" s="1"/>
  <c r="W105" i="4" s="1"/>
  <c r="T106" i="4"/>
  <c r="U106" i="4" s="1"/>
  <c r="V106" i="4" s="1"/>
  <c r="W106" i="4" s="1"/>
  <c r="T88" i="4"/>
  <c r="U88" i="4" s="1"/>
  <c r="V88" i="4" s="1"/>
  <c r="W88" i="4" s="1"/>
  <c r="T84" i="4"/>
  <c r="U84" i="4" s="1"/>
  <c r="V84" i="4" s="1"/>
  <c r="W84" i="4" s="1"/>
  <c r="T79" i="4"/>
  <c r="U79" i="4" s="1"/>
  <c r="V79" i="4" s="1"/>
  <c r="W79" i="4" s="1"/>
  <c r="T77" i="4"/>
  <c r="U77" i="4" s="1"/>
  <c r="V77" i="4" s="1"/>
  <c r="W77" i="4" s="1"/>
  <c r="T70" i="4"/>
  <c r="U70" i="4" s="1"/>
  <c r="V70" i="4" s="1"/>
  <c r="W70" i="4" s="1"/>
  <c r="T72" i="4"/>
  <c r="U72" i="4" s="1"/>
  <c r="V72" i="4" s="1"/>
  <c r="W72" i="4" s="1"/>
  <c r="T58" i="4"/>
  <c r="U58" i="4" s="1"/>
  <c r="V58" i="4" s="1"/>
  <c r="W58" i="4" s="1"/>
  <c r="T56" i="4"/>
  <c r="U56" i="4" s="1"/>
  <c r="V56" i="4" s="1"/>
  <c r="W56" i="4" s="1"/>
  <c r="T41" i="4"/>
  <c r="U41" i="4" s="1"/>
  <c r="V41" i="4" s="1"/>
  <c r="W41" i="4" s="1"/>
  <c r="T38" i="4"/>
  <c r="U38" i="4" s="1"/>
  <c r="V38" i="4" s="1"/>
  <c r="W38" i="4" s="1"/>
  <c r="T33" i="4"/>
  <c r="U33" i="4" s="1"/>
  <c r="V33" i="4" s="1"/>
  <c r="W33" i="4" s="1"/>
  <c r="T35" i="4"/>
  <c r="U35" i="4" s="1"/>
  <c r="V35" i="4" s="1"/>
  <c r="W35" i="4" s="1"/>
  <c r="P112" i="4"/>
  <c r="P120" i="4" s="1"/>
  <c r="R112" i="4"/>
  <c r="T110" i="4"/>
  <c r="U110" i="4" s="1"/>
  <c r="V110" i="4" s="1"/>
  <c r="W110" i="4" s="1"/>
  <c r="P99" i="4"/>
  <c r="R99" i="4"/>
  <c r="L108" i="4"/>
  <c r="T95" i="4"/>
  <c r="M94" i="4"/>
  <c r="P81" i="4"/>
  <c r="L94" i="4"/>
  <c r="R81" i="4"/>
  <c r="M80" i="4"/>
  <c r="P78" i="4"/>
  <c r="P80" i="4" s="1"/>
  <c r="L80" i="4"/>
  <c r="R78" i="4"/>
  <c r="T75" i="4"/>
  <c r="M61" i="4"/>
  <c r="P59" i="4"/>
  <c r="P61" i="4" s="1"/>
  <c r="L61" i="4"/>
  <c r="R59" i="4"/>
  <c r="T55" i="4"/>
  <c r="U55" i="4" s="1"/>
  <c r="V55" i="4" s="1"/>
  <c r="W55" i="4" s="1"/>
  <c r="P39" i="4"/>
  <c r="R39" i="4"/>
  <c r="T31" i="4"/>
  <c r="P26" i="4"/>
  <c r="V23" i="4"/>
  <c r="W23" i="4" s="1"/>
  <c r="M18" i="4"/>
  <c r="P11" i="4"/>
  <c r="L18" i="4"/>
  <c r="R11" i="4"/>
  <c r="T87" i="4"/>
  <c r="U87" i="4" s="1"/>
  <c r="V87" i="4" s="1"/>
  <c r="W87" i="4" s="1"/>
  <c r="T85" i="4"/>
  <c r="U85" i="4" s="1"/>
  <c r="V85" i="4" s="1"/>
  <c r="W85" i="4" s="1"/>
  <c r="T83" i="4"/>
  <c r="U83" i="4" s="1"/>
  <c r="V83" i="4" s="1"/>
  <c r="W83" i="4" s="1"/>
  <c r="T69" i="4"/>
  <c r="U69" i="4" s="1"/>
  <c r="V69" i="4" s="1"/>
  <c r="W69" i="4" s="1"/>
  <c r="T64" i="4"/>
  <c r="U64" i="4" s="1"/>
  <c r="V64" i="4" s="1"/>
  <c r="W64" i="4" s="1"/>
  <c r="T63" i="4"/>
  <c r="U63" i="4" s="1"/>
  <c r="T60" i="4"/>
  <c r="U60" i="4" s="1"/>
  <c r="V60" i="4" s="1"/>
  <c r="W60" i="4" s="1"/>
  <c r="T104" i="4"/>
  <c r="U104" i="4" s="1"/>
  <c r="V104" i="4" s="1"/>
  <c r="W104" i="4" s="1"/>
  <c r="T91" i="4"/>
  <c r="U91" i="4" s="1"/>
  <c r="V91" i="4" s="1"/>
  <c r="W91" i="4" s="1"/>
  <c r="T37" i="4"/>
  <c r="U37" i="4" s="1"/>
  <c r="V37" i="4" s="1"/>
  <c r="W37" i="4" s="1"/>
  <c r="X10" i="3"/>
  <c r="X9" i="3"/>
  <c r="F9" i="3"/>
  <c r="D9" i="3"/>
  <c r="W135" i="3"/>
  <c r="W136" i="3"/>
  <c r="W137" i="3"/>
  <c r="W138" i="3"/>
  <c r="W139" i="3"/>
  <c r="W132" i="3"/>
  <c r="D128" i="3"/>
  <c r="W98" i="6" l="1"/>
  <c r="X85" i="6" s="1"/>
  <c r="V71" i="6"/>
  <c r="W71" i="6" s="1"/>
  <c r="W84" i="6" s="1"/>
  <c r="W45" i="6"/>
  <c r="X31" i="6" s="1"/>
  <c r="U84" i="6"/>
  <c r="T9" i="6"/>
  <c r="U9" i="6" s="1"/>
  <c r="V9" i="6" s="1"/>
  <c r="V43" i="5"/>
  <c r="W43" i="5" s="1"/>
  <c r="V26" i="5"/>
  <c r="W26" i="5" s="1"/>
  <c r="V37" i="5"/>
  <c r="W37" i="5" s="1"/>
  <c r="W59" i="5"/>
  <c r="V59" i="5"/>
  <c r="V78" i="5"/>
  <c r="W78" i="5" s="1"/>
  <c r="V36" i="5"/>
  <c r="W36" i="5" s="1"/>
  <c r="V75" i="5"/>
  <c r="W75" i="5" s="1"/>
  <c r="V35" i="5"/>
  <c r="W35" i="5" s="1"/>
  <c r="V87" i="5"/>
  <c r="W87" i="5" s="1"/>
  <c r="V22" i="5"/>
  <c r="W22" i="5" s="1"/>
  <c r="V83" i="5"/>
  <c r="W83" i="5" s="1"/>
  <c r="V41" i="5"/>
  <c r="W41" i="5" s="1"/>
  <c r="V90" i="5"/>
  <c r="W90" i="5" s="1"/>
  <c r="V82" i="5"/>
  <c r="W82" i="5" s="1"/>
  <c r="V56" i="5"/>
  <c r="W56" i="5" s="1"/>
  <c r="V49" i="5"/>
  <c r="W49" i="5" s="1"/>
  <c r="V27" i="5"/>
  <c r="W27" i="5" s="1"/>
  <c r="V88" i="5"/>
  <c r="W88" i="5" s="1"/>
  <c r="V33" i="5"/>
  <c r="W33" i="5" s="1"/>
  <c r="W85" i="5"/>
  <c r="V85" i="5"/>
  <c r="V48" i="5"/>
  <c r="W48" i="5" s="1"/>
  <c r="V32" i="5"/>
  <c r="W32" i="5" s="1"/>
  <c r="V47" i="5"/>
  <c r="W47" i="5" s="1"/>
  <c r="V34" i="5"/>
  <c r="W34" i="5" s="1"/>
  <c r="V38" i="5"/>
  <c r="W38" i="5" s="1"/>
  <c r="V76" i="5"/>
  <c r="W76" i="5" s="1"/>
  <c r="V58" i="5"/>
  <c r="W58" i="5" s="1"/>
  <c r="V86" i="5"/>
  <c r="W86" i="5" s="1"/>
  <c r="T74" i="5"/>
  <c r="W57" i="5"/>
  <c r="T45" i="5"/>
  <c r="U45" i="5" s="1"/>
  <c r="U25" i="5"/>
  <c r="T30" i="5"/>
  <c r="R9" i="5"/>
  <c r="M9" i="5"/>
  <c r="U31" i="5"/>
  <c r="U11" i="5"/>
  <c r="T18" i="5"/>
  <c r="U18" i="5" s="1"/>
  <c r="U19" i="5"/>
  <c r="U62" i="5"/>
  <c r="U74" i="5"/>
  <c r="T94" i="5"/>
  <c r="U94" i="5" s="1"/>
  <c r="U81" i="5"/>
  <c r="T61" i="5"/>
  <c r="U61" i="5" s="1"/>
  <c r="U46" i="5"/>
  <c r="P108" i="5"/>
  <c r="T95" i="5"/>
  <c r="T108" i="5" s="1"/>
  <c r="T120" i="5"/>
  <c r="U120" i="5" s="1"/>
  <c r="U109" i="5"/>
  <c r="P80" i="5"/>
  <c r="T77" i="5"/>
  <c r="T62" i="4"/>
  <c r="L9" i="4"/>
  <c r="R9" i="4" s="1"/>
  <c r="M9" i="4"/>
  <c r="T101" i="4"/>
  <c r="U101" i="4" s="1"/>
  <c r="V101" i="4" s="1"/>
  <c r="W101" i="4" s="1"/>
  <c r="P108" i="4"/>
  <c r="T74" i="4"/>
  <c r="U74" i="4" s="1"/>
  <c r="P45" i="4"/>
  <c r="U32" i="4"/>
  <c r="V32" i="4" s="1"/>
  <c r="W32" i="4" s="1"/>
  <c r="P30" i="4"/>
  <c r="T26" i="4"/>
  <c r="U95" i="4"/>
  <c r="T81" i="4"/>
  <c r="P94" i="4"/>
  <c r="U75" i="4"/>
  <c r="V75" i="4" s="1"/>
  <c r="W75" i="4" s="1"/>
  <c r="U62" i="4"/>
  <c r="V62" i="4" s="1"/>
  <c r="W62" i="4" s="1"/>
  <c r="W74" i="4" s="1"/>
  <c r="X62" i="4" s="1"/>
  <c r="U31" i="4"/>
  <c r="V31" i="4" s="1"/>
  <c r="W31" i="4" s="1"/>
  <c r="T11" i="4"/>
  <c r="P18" i="4"/>
  <c r="P9" i="4" s="1"/>
  <c r="T112" i="4"/>
  <c r="T120" i="4" s="1"/>
  <c r="U120" i="4" s="1"/>
  <c r="T99" i="4"/>
  <c r="T78" i="4"/>
  <c r="T59" i="4"/>
  <c r="T39" i="4"/>
  <c r="T45" i="4" s="1"/>
  <c r="U45" i="4" s="1"/>
  <c r="E9" i="3"/>
  <c r="R9" i="3"/>
  <c r="J119" i="3"/>
  <c r="J107" i="3"/>
  <c r="J79" i="3"/>
  <c r="J72" i="3"/>
  <c r="J66" i="3"/>
  <c r="J54" i="3"/>
  <c r="J28" i="3"/>
  <c r="J18" i="3"/>
  <c r="I9" i="3"/>
  <c r="P12" i="3"/>
  <c r="K18" i="3"/>
  <c r="Q42" i="3"/>
  <c r="O42" i="3"/>
  <c r="N42" i="3"/>
  <c r="M29" i="3"/>
  <c r="P29" i="3" s="1"/>
  <c r="L29" i="3"/>
  <c r="R29" i="3" s="1"/>
  <c r="R30" i="3"/>
  <c r="P30" i="3"/>
  <c r="M115" i="3"/>
  <c r="P115" i="3" s="1"/>
  <c r="L115" i="3"/>
  <c r="M111" i="3"/>
  <c r="L111" i="3"/>
  <c r="M117" i="3"/>
  <c r="L117" i="3"/>
  <c r="R117" i="3" s="1"/>
  <c r="W105" i="3"/>
  <c r="M105" i="3"/>
  <c r="P105" i="3" s="1"/>
  <c r="L105" i="3"/>
  <c r="R105" i="3" s="1"/>
  <c r="M103" i="3"/>
  <c r="L103" i="3"/>
  <c r="M98" i="3"/>
  <c r="L98" i="3"/>
  <c r="S100" i="3"/>
  <c r="S107" i="3" s="1"/>
  <c r="M90" i="3"/>
  <c r="P90" i="3" s="1"/>
  <c r="L90" i="3"/>
  <c r="R90" i="3" s="1"/>
  <c r="M86" i="3"/>
  <c r="P86" i="3" s="1"/>
  <c r="L86" i="3"/>
  <c r="M84" i="3"/>
  <c r="L84" i="3"/>
  <c r="R84" i="3" s="1"/>
  <c r="M83" i="3"/>
  <c r="L83" i="3"/>
  <c r="M82" i="3"/>
  <c r="P82" i="3" s="1"/>
  <c r="L82" i="3"/>
  <c r="R82" i="3" s="1"/>
  <c r="M80" i="3"/>
  <c r="P80" i="3" s="1"/>
  <c r="L80" i="3"/>
  <c r="W74" i="3"/>
  <c r="M70" i="3"/>
  <c r="P70" i="3" s="1"/>
  <c r="L70" i="3"/>
  <c r="R70" i="3" s="1"/>
  <c r="W60" i="3"/>
  <c r="M64" i="3"/>
  <c r="P64" i="3" s="1"/>
  <c r="L64" i="3"/>
  <c r="R64" i="3" s="1"/>
  <c r="M61" i="3"/>
  <c r="P61" i="3" s="1"/>
  <c r="L61" i="3"/>
  <c r="R61" i="3" s="1"/>
  <c r="M58" i="3"/>
  <c r="P58" i="3" s="1"/>
  <c r="L58" i="3"/>
  <c r="R58" i="3" s="1"/>
  <c r="M57" i="3"/>
  <c r="P57" i="3" s="1"/>
  <c r="L57" i="3"/>
  <c r="R57" i="3" s="1"/>
  <c r="M59" i="3"/>
  <c r="P59" i="3" s="1"/>
  <c r="L59" i="3"/>
  <c r="R59" i="3" s="1"/>
  <c r="M55" i="3"/>
  <c r="L55" i="3"/>
  <c r="S58" i="3"/>
  <c r="S66" i="3" s="1"/>
  <c r="Q66" i="3"/>
  <c r="O66" i="3"/>
  <c r="N66" i="3"/>
  <c r="Q54" i="3"/>
  <c r="N54" i="3"/>
  <c r="K54" i="3"/>
  <c r="M53" i="3"/>
  <c r="P53" i="3" s="1"/>
  <c r="L53" i="3"/>
  <c r="R53" i="3" s="1"/>
  <c r="M52" i="3"/>
  <c r="P52" i="3" s="1"/>
  <c r="L52" i="3"/>
  <c r="R52" i="3" s="1"/>
  <c r="M51" i="3"/>
  <c r="P51" i="3" s="1"/>
  <c r="L51" i="3"/>
  <c r="R51" i="3" s="1"/>
  <c r="M49" i="3"/>
  <c r="P49" i="3" s="1"/>
  <c r="L49" i="3"/>
  <c r="R49" i="3" s="1"/>
  <c r="L48" i="3"/>
  <c r="R48" i="3" s="1"/>
  <c r="M48" i="3"/>
  <c r="P48" i="3" s="1"/>
  <c r="S45" i="3"/>
  <c r="S49" i="3"/>
  <c r="S47" i="3"/>
  <c r="R44" i="3"/>
  <c r="R45" i="3"/>
  <c r="R46" i="3"/>
  <c r="R47" i="3"/>
  <c r="R50" i="3"/>
  <c r="R43" i="3"/>
  <c r="P50" i="3"/>
  <c r="O54" i="3"/>
  <c r="P47" i="3"/>
  <c r="P46" i="3"/>
  <c r="M37" i="3"/>
  <c r="L37" i="3"/>
  <c r="M36" i="3"/>
  <c r="P36" i="3" s="1"/>
  <c r="L36" i="3"/>
  <c r="R36" i="3" s="1"/>
  <c r="M35" i="3"/>
  <c r="P35" i="3" s="1"/>
  <c r="L35" i="3"/>
  <c r="R35" i="3" s="1"/>
  <c r="M31" i="3"/>
  <c r="L31" i="3"/>
  <c r="R31" i="3" s="1"/>
  <c r="S34" i="3"/>
  <c r="S42" i="3" s="1"/>
  <c r="R39" i="3"/>
  <c r="W25" i="3"/>
  <c r="M26" i="3"/>
  <c r="M28" i="3" s="1"/>
  <c r="L26" i="3"/>
  <c r="L28" i="3" s="1"/>
  <c r="O28" i="3"/>
  <c r="N28" i="3"/>
  <c r="K28" i="3"/>
  <c r="W27" i="3"/>
  <c r="Q28" i="3"/>
  <c r="P27" i="3"/>
  <c r="T27" i="3" s="1"/>
  <c r="M11" i="3"/>
  <c r="M18" i="3" s="1"/>
  <c r="L11" i="3"/>
  <c r="R11" i="3" s="1"/>
  <c r="S11" i="3"/>
  <c r="S18" i="3" s="1"/>
  <c r="G11" i="3"/>
  <c r="G10" i="3"/>
  <c r="X135" i="3"/>
  <c r="X134" i="3"/>
  <c r="W134" i="3"/>
  <c r="W133" i="3"/>
  <c r="W131" i="3"/>
  <c r="W130" i="3"/>
  <c r="W129" i="3"/>
  <c r="W128" i="3"/>
  <c r="W127" i="3"/>
  <c r="W126" i="3"/>
  <c r="W125" i="3"/>
  <c r="W123" i="3"/>
  <c r="W122" i="3"/>
  <c r="W121" i="3"/>
  <c r="W120" i="3"/>
  <c r="S119" i="3"/>
  <c r="Q119" i="3"/>
  <c r="O119" i="3"/>
  <c r="N119" i="3"/>
  <c r="K119" i="3"/>
  <c r="P117" i="3"/>
  <c r="R116" i="3"/>
  <c r="P116" i="3"/>
  <c r="R115" i="3"/>
  <c r="R114" i="3"/>
  <c r="P114" i="3"/>
  <c r="R113" i="3"/>
  <c r="P113" i="3"/>
  <c r="R112" i="3"/>
  <c r="P112" i="3"/>
  <c r="R111" i="3"/>
  <c r="P111" i="3"/>
  <c r="R110" i="3"/>
  <c r="P110" i="3"/>
  <c r="R109" i="3"/>
  <c r="P109" i="3"/>
  <c r="R108" i="3"/>
  <c r="P108" i="3"/>
  <c r="Q107" i="3"/>
  <c r="O107" i="3"/>
  <c r="N107" i="3"/>
  <c r="K107" i="3"/>
  <c r="R104" i="3"/>
  <c r="P104" i="3"/>
  <c r="R103" i="3"/>
  <c r="P103" i="3"/>
  <c r="R102" i="3"/>
  <c r="P102" i="3"/>
  <c r="R101" i="3"/>
  <c r="P101" i="3"/>
  <c r="P100" i="3"/>
  <c r="R100" i="3"/>
  <c r="R99" i="3"/>
  <c r="P99" i="3"/>
  <c r="P98" i="3"/>
  <c r="R97" i="3"/>
  <c r="P97" i="3"/>
  <c r="R96" i="3"/>
  <c r="P96" i="3"/>
  <c r="R95" i="3"/>
  <c r="P95" i="3"/>
  <c r="W94" i="3"/>
  <c r="R94" i="3"/>
  <c r="P94" i="3"/>
  <c r="S93" i="3"/>
  <c r="Q93" i="3"/>
  <c r="O93" i="3"/>
  <c r="N93" i="3"/>
  <c r="K93" i="3"/>
  <c r="J93" i="3"/>
  <c r="R91" i="3"/>
  <c r="P91" i="3"/>
  <c r="R89" i="3"/>
  <c r="P89" i="3"/>
  <c r="R88" i="3"/>
  <c r="P88" i="3"/>
  <c r="R87" i="3"/>
  <c r="P87" i="3"/>
  <c r="R86" i="3"/>
  <c r="R85" i="3"/>
  <c r="P85" i="3"/>
  <c r="P84" i="3"/>
  <c r="R81" i="3"/>
  <c r="P81" i="3"/>
  <c r="R80" i="3"/>
  <c r="S79" i="3"/>
  <c r="Q79" i="3"/>
  <c r="O79" i="3"/>
  <c r="N79" i="3"/>
  <c r="M79" i="3"/>
  <c r="L79" i="3"/>
  <c r="K79" i="3"/>
  <c r="R78" i="3"/>
  <c r="P78" i="3"/>
  <c r="R77" i="3"/>
  <c r="P77" i="3"/>
  <c r="R76" i="3"/>
  <c r="P76" i="3"/>
  <c r="R75" i="3"/>
  <c r="P75" i="3"/>
  <c r="B75" i="3"/>
  <c r="B79" i="3" s="1"/>
  <c r="R74" i="3"/>
  <c r="P74" i="3"/>
  <c r="R73" i="3"/>
  <c r="P73" i="3"/>
  <c r="S72" i="3"/>
  <c r="Q72" i="3"/>
  <c r="O72" i="3"/>
  <c r="N72" i="3"/>
  <c r="K72" i="3"/>
  <c r="R71" i="3"/>
  <c r="P71" i="3"/>
  <c r="R69" i="3"/>
  <c r="P69" i="3"/>
  <c r="B68" i="3"/>
  <c r="B69" i="3" s="1"/>
  <c r="B72" i="3" s="1"/>
  <c r="R67" i="3"/>
  <c r="P67" i="3"/>
  <c r="K66" i="3"/>
  <c r="P65" i="3"/>
  <c r="R63" i="3"/>
  <c r="P63" i="3"/>
  <c r="R62" i="3"/>
  <c r="P62" i="3"/>
  <c r="R60" i="3"/>
  <c r="P60" i="3"/>
  <c r="R56" i="3"/>
  <c r="P56" i="3"/>
  <c r="B56" i="3"/>
  <c r="B57" i="3" s="1"/>
  <c r="B58" i="3" s="1"/>
  <c r="B59" i="3" s="1"/>
  <c r="B62" i="3" s="1"/>
  <c r="B66" i="3" s="1"/>
  <c r="R55" i="3"/>
  <c r="P45" i="3"/>
  <c r="P44" i="3"/>
  <c r="P43" i="3"/>
  <c r="R40" i="3"/>
  <c r="P40" i="3"/>
  <c r="K40" i="3"/>
  <c r="P39" i="3"/>
  <c r="R38" i="3"/>
  <c r="P38" i="3"/>
  <c r="J37" i="3"/>
  <c r="R34" i="3"/>
  <c r="P34" i="3"/>
  <c r="R33" i="3"/>
  <c r="P33" i="3"/>
  <c r="R32" i="3"/>
  <c r="P32" i="3"/>
  <c r="K32" i="3"/>
  <c r="J32" i="3"/>
  <c r="J42" i="3" s="1"/>
  <c r="F29" i="3"/>
  <c r="S28" i="3"/>
  <c r="B28" i="3"/>
  <c r="R25" i="3"/>
  <c r="P25" i="3"/>
  <c r="R24" i="3"/>
  <c r="P24" i="3"/>
  <c r="R23" i="3"/>
  <c r="P23" i="3"/>
  <c r="B23" i="3"/>
  <c r="B24" i="3" s="1"/>
  <c r="R22" i="3"/>
  <c r="P22" i="3"/>
  <c r="R21" i="3"/>
  <c r="P21" i="3"/>
  <c r="R20" i="3"/>
  <c r="P20" i="3"/>
  <c r="R19" i="3"/>
  <c r="P19" i="3"/>
  <c r="Q18" i="3"/>
  <c r="O18" i="3"/>
  <c r="N18" i="3"/>
  <c r="P17" i="3"/>
  <c r="T17" i="3" s="1"/>
  <c r="U17" i="3" s="1"/>
  <c r="V17" i="3" s="1"/>
  <c r="W17" i="3" s="1"/>
  <c r="P16" i="3"/>
  <c r="T16" i="3" s="1"/>
  <c r="U16" i="3" s="1"/>
  <c r="V16" i="3" s="1"/>
  <c r="W16" i="3" s="1"/>
  <c r="P15" i="3"/>
  <c r="T15" i="3" s="1"/>
  <c r="U15" i="3" s="1"/>
  <c r="V15" i="3" s="1"/>
  <c r="W15" i="3" s="1"/>
  <c r="P14" i="3"/>
  <c r="T14" i="3" s="1"/>
  <c r="U14" i="3" s="1"/>
  <c r="V14" i="3" s="1"/>
  <c r="W14" i="3" s="1"/>
  <c r="P13" i="3"/>
  <c r="T13" i="3" s="1"/>
  <c r="U13" i="3" s="1"/>
  <c r="V13" i="3" s="1"/>
  <c r="W13" i="3" s="1"/>
  <c r="R12" i="3"/>
  <c r="B12" i="3"/>
  <c r="B13" i="3" s="1"/>
  <c r="B14" i="3" s="1"/>
  <c r="B15" i="3" s="1"/>
  <c r="B18" i="3" s="1"/>
  <c r="X127" i="1"/>
  <c r="D127" i="2"/>
  <c r="D125" i="2"/>
  <c r="X71" i="6" l="1"/>
  <c r="W9" i="6"/>
  <c r="X9" i="6"/>
  <c r="V62" i="5"/>
  <c r="W62" i="5" s="1"/>
  <c r="W74" i="5" s="1"/>
  <c r="X62" i="5" s="1"/>
  <c r="V31" i="5"/>
  <c r="W31" i="5" s="1"/>
  <c r="W45" i="5" s="1"/>
  <c r="X31" i="5" s="1"/>
  <c r="V81" i="5"/>
  <c r="W81" i="5" s="1"/>
  <c r="W94" i="5" s="1"/>
  <c r="X81" i="5" s="1"/>
  <c r="W109" i="5"/>
  <c r="W120" i="5" s="1"/>
  <c r="X109" i="5" s="1"/>
  <c r="V109" i="5"/>
  <c r="V25" i="5"/>
  <c r="W25" i="5" s="1"/>
  <c r="V19" i="5"/>
  <c r="W19" i="5" s="1"/>
  <c r="W30" i="5" s="1"/>
  <c r="X19" i="5" s="1"/>
  <c r="V46" i="5"/>
  <c r="W46" i="5" s="1"/>
  <c r="W61" i="5" s="1"/>
  <c r="X46" i="5" s="1"/>
  <c r="V11" i="5"/>
  <c r="W11" i="5" s="1"/>
  <c r="W18" i="5" s="1"/>
  <c r="X11" i="5" s="1"/>
  <c r="P9" i="5"/>
  <c r="U30" i="5"/>
  <c r="U77" i="5"/>
  <c r="T80" i="5"/>
  <c r="U80" i="5" s="1"/>
  <c r="U108" i="5"/>
  <c r="U95" i="5"/>
  <c r="V95" i="5" s="1"/>
  <c r="W95" i="5" s="1"/>
  <c r="W108" i="5" s="1"/>
  <c r="X95" i="5" s="1"/>
  <c r="T30" i="4"/>
  <c r="U30" i="4" s="1"/>
  <c r="U26" i="4"/>
  <c r="V26" i="4" s="1"/>
  <c r="W26" i="4" s="1"/>
  <c r="W30" i="4" s="1"/>
  <c r="X19" i="4" s="1"/>
  <c r="U81" i="4"/>
  <c r="V81" i="4" s="1"/>
  <c r="W81" i="4" s="1"/>
  <c r="W94" i="4" s="1"/>
  <c r="X81" i="4" s="1"/>
  <c r="T94" i="4"/>
  <c r="U94" i="4" s="1"/>
  <c r="U11" i="4"/>
  <c r="V11" i="4" s="1"/>
  <c r="W11" i="4" s="1"/>
  <c r="W18" i="4" s="1"/>
  <c r="T18" i="4"/>
  <c r="U112" i="4"/>
  <c r="V112" i="4" s="1"/>
  <c r="W112" i="4" s="1"/>
  <c r="W120" i="4" s="1"/>
  <c r="X109" i="4" s="1"/>
  <c r="T61" i="4"/>
  <c r="U61" i="4" s="1"/>
  <c r="U59" i="4"/>
  <c r="V59" i="4" s="1"/>
  <c r="W59" i="4" s="1"/>
  <c r="W61" i="4" s="1"/>
  <c r="X46" i="4" s="1"/>
  <c r="U99" i="4"/>
  <c r="V99" i="4" s="1"/>
  <c r="W99" i="4" s="1"/>
  <c r="T108" i="4"/>
  <c r="U108" i="4" s="1"/>
  <c r="U78" i="4"/>
  <c r="V78" i="4" s="1"/>
  <c r="W78" i="4" s="1"/>
  <c r="W80" i="4" s="1"/>
  <c r="X75" i="4" s="1"/>
  <c r="T80" i="4"/>
  <c r="U80" i="4" s="1"/>
  <c r="U39" i="4"/>
  <c r="V39" i="4" s="1"/>
  <c r="W39" i="4" s="1"/>
  <c r="W45" i="4" s="1"/>
  <c r="X31" i="4" s="1"/>
  <c r="K42" i="3"/>
  <c r="O9" i="3"/>
  <c r="Q9" i="3"/>
  <c r="N9" i="3"/>
  <c r="L119" i="3"/>
  <c r="J9" i="3"/>
  <c r="M119" i="3"/>
  <c r="K9" i="3"/>
  <c r="G9" i="3"/>
  <c r="M107" i="3"/>
  <c r="L18" i="3"/>
  <c r="L107" i="3"/>
  <c r="T30" i="3"/>
  <c r="U30" i="3" s="1"/>
  <c r="V30" i="3" s="1"/>
  <c r="W30" i="3" s="1"/>
  <c r="L42" i="3"/>
  <c r="M42" i="3"/>
  <c r="T29" i="3"/>
  <c r="M93" i="3"/>
  <c r="P83" i="3"/>
  <c r="P93" i="3" s="1"/>
  <c r="M66" i="3"/>
  <c r="R26" i="3"/>
  <c r="R98" i="3"/>
  <c r="T98" i="3" s="1"/>
  <c r="U98" i="3" s="1"/>
  <c r="M54" i="3"/>
  <c r="L66" i="3"/>
  <c r="T52" i="3"/>
  <c r="U52" i="3" s="1"/>
  <c r="T53" i="3"/>
  <c r="U53" i="3" s="1"/>
  <c r="V53" i="3" s="1"/>
  <c r="W53" i="3" s="1"/>
  <c r="T50" i="3"/>
  <c r="U50" i="3" s="1"/>
  <c r="V50" i="3" s="1"/>
  <c r="W50" i="3" s="1"/>
  <c r="P54" i="3"/>
  <c r="S54" i="3"/>
  <c r="S9" i="3" s="1"/>
  <c r="T47" i="3"/>
  <c r="U47" i="3" s="1"/>
  <c r="V47" i="3" s="1"/>
  <c r="W47" i="3" s="1"/>
  <c r="T81" i="3"/>
  <c r="U81" i="3" s="1"/>
  <c r="L54" i="3"/>
  <c r="T99" i="3"/>
  <c r="U99" i="3" s="1"/>
  <c r="V99" i="3" s="1"/>
  <c r="W99" i="3" s="1"/>
  <c r="R65" i="3"/>
  <c r="T65" i="3" s="1"/>
  <c r="U65" i="3" s="1"/>
  <c r="V65" i="3" s="1"/>
  <c r="W65" i="3" s="1"/>
  <c r="T56" i="3"/>
  <c r="U56" i="3" s="1"/>
  <c r="T60" i="3"/>
  <c r="U60" i="3" s="1"/>
  <c r="T49" i="3"/>
  <c r="U49" i="3" s="1"/>
  <c r="T48" i="3"/>
  <c r="U48" i="3" s="1"/>
  <c r="V48" i="3" s="1"/>
  <c r="W48" i="3" s="1"/>
  <c r="T51" i="3"/>
  <c r="U51" i="3" s="1"/>
  <c r="T78" i="3"/>
  <c r="U78" i="3" s="1"/>
  <c r="P26" i="3"/>
  <c r="P28" i="3" s="1"/>
  <c r="T87" i="3"/>
  <c r="U87" i="3" s="1"/>
  <c r="T43" i="3"/>
  <c r="U43" i="3" s="1"/>
  <c r="T59" i="3"/>
  <c r="U59" i="3" s="1"/>
  <c r="T75" i="3"/>
  <c r="U75" i="3" s="1"/>
  <c r="T88" i="3"/>
  <c r="U88" i="3" s="1"/>
  <c r="V88" i="3" s="1"/>
  <c r="W88" i="3" s="1"/>
  <c r="T91" i="3"/>
  <c r="U91" i="3" s="1"/>
  <c r="V91" i="3" s="1"/>
  <c r="W91" i="3" s="1"/>
  <c r="W124" i="3"/>
  <c r="X120" i="3" s="1"/>
  <c r="P31" i="3"/>
  <c r="T113" i="3"/>
  <c r="U113" i="3" s="1"/>
  <c r="V113" i="3" s="1"/>
  <c r="W113" i="3" s="1"/>
  <c r="T108" i="3"/>
  <c r="U108" i="3" s="1"/>
  <c r="V108" i="3" s="1"/>
  <c r="W108" i="3" s="1"/>
  <c r="T45" i="3"/>
  <c r="U45" i="3" s="1"/>
  <c r="T85" i="3"/>
  <c r="U85" i="3" s="1"/>
  <c r="T89" i="3"/>
  <c r="U89" i="3" s="1"/>
  <c r="T46" i="3"/>
  <c r="U46" i="3" s="1"/>
  <c r="T58" i="3"/>
  <c r="U58" i="3" s="1"/>
  <c r="T77" i="3"/>
  <c r="U77" i="3" s="1"/>
  <c r="T86" i="3"/>
  <c r="U86" i="3" s="1"/>
  <c r="T90" i="3"/>
  <c r="U90" i="3" s="1"/>
  <c r="T35" i="3"/>
  <c r="U35" i="3" s="1"/>
  <c r="T94" i="3"/>
  <c r="U94" i="3" s="1"/>
  <c r="T39" i="3"/>
  <c r="U39" i="3" s="1"/>
  <c r="V39" i="3" s="1"/>
  <c r="W39" i="3" s="1"/>
  <c r="T62" i="3"/>
  <c r="U62" i="3" s="1"/>
  <c r="V62" i="3" s="1"/>
  <c r="W62" i="3" s="1"/>
  <c r="T74" i="3"/>
  <c r="U74" i="3" s="1"/>
  <c r="T109" i="3"/>
  <c r="U109" i="3" s="1"/>
  <c r="V109" i="3" s="1"/>
  <c r="W109" i="3" s="1"/>
  <c r="T112" i="3"/>
  <c r="U112" i="3" s="1"/>
  <c r="T116" i="3"/>
  <c r="U116" i="3" s="1"/>
  <c r="V116" i="3" s="1"/>
  <c r="W116" i="3" s="1"/>
  <c r="T80" i="3"/>
  <c r="U80" i="3" s="1"/>
  <c r="V80" i="3" s="1"/>
  <c r="W80" i="3" s="1"/>
  <c r="T34" i="3"/>
  <c r="U34" i="3" s="1"/>
  <c r="T38" i="3"/>
  <c r="U38" i="3" s="1"/>
  <c r="T63" i="3"/>
  <c r="U63" i="3" s="1"/>
  <c r="T69" i="3"/>
  <c r="U69" i="3" s="1"/>
  <c r="V69" i="3" s="1"/>
  <c r="W69" i="3" s="1"/>
  <c r="T82" i="3"/>
  <c r="U82" i="3" s="1"/>
  <c r="T96" i="3"/>
  <c r="U96" i="3" s="1"/>
  <c r="V96" i="3" s="1"/>
  <c r="W96" i="3" s="1"/>
  <c r="T104" i="3"/>
  <c r="U104" i="3" s="1"/>
  <c r="T33" i="3"/>
  <c r="U33" i="3" s="1"/>
  <c r="T70" i="3"/>
  <c r="U70" i="3" s="1"/>
  <c r="T101" i="3"/>
  <c r="U101" i="3" s="1"/>
  <c r="T105" i="3"/>
  <c r="U105" i="3" s="1"/>
  <c r="T114" i="3"/>
  <c r="U114" i="3" s="1"/>
  <c r="V114" i="3" s="1"/>
  <c r="W114" i="3" s="1"/>
  <c r="T22" i="3"/>
  <c r="U22" i="3" s="1"/>
  <c r="T25" i="3"/>
  <c r="U25" i="3" s="1"/>
  <c r="T19" i="3"/>
  <c r="U19" i="3" s="1"/>
  <c r="T24" i="3"/>
  <c r="U24" i="3" s="1"/>
  <c r="T117" i="3"/>
  <c r="U117" i="3" s="1"/>
  <c r="T110" i="3"/>
  <c r="U110" i="3" s="1"/>
  <c r="T102" i="3"/>
  <c r="U102" i="3" s="1"/>
  <c r="T97" i="3"/>
  <c r="U97" i="3" s="1"/>
  <c r="V97" i="3" s="1"/>
  <c r="W97" i="3" s="1"/>
  <c r="T103" i="3"/>
  <c r="U103" i="3" s="1"/>
  <c r="T76" i="3"/>
  <c r="U76" i="3" s="1"/>
  <c r="T71" i="3"/>
  <c r="U71" i="3" s="1"/>
  <c r="T67" i="3"/>
  <c r="U67" i="3" s="1"/>
  <c r="T57" i="3"/>
  <c r="U57" i="3" s="1"/>
  <c r="T61" i="3"/>
  <c r="U61" i="3" s="1"/>
  <c r="T64" i="3"/>
  <c r="T44" i="3"/>
  <c r="U44" i="3" s="1"/>
  <c r="T40" i="3"/>
  <c r="U40" i="3" s="1"/>
  <c r="T32" i="3"/>
  <c r="U32" i="3" s="1"/>
  <c r="V32" i="3" s="1"/>
  <c r="W32" i="3" s="1"/>
  <c r="T23" i="3"/>
  <c r="U23" i="3" s="1"/>
  <c r="V23" i="3" s="1"/>
  <c r="W23" i="3" s="1"/>
  <c r="T20" i="3"/>
  <c r="U20" i="3" s="1"/>
  <c r="V20" i="3" s="1"/>
  <c r="W20" i="3" s="1"/>
  <c r="T21" i="3"/>
  <c r="U21" i="3" s="1"/>
  <c r="V21" i="3" s="1"/>
  <c r="W21" i="3" s="1"/>
  <c r="T12" i="3"/>
  <c r="U12" i="3" s="1"/>
  <c r="R68" i="3"/>
  <c r="L72" i="3"/>
  <c r="M72" i="3"/>
  <c r="P68" i="3"/>
  <c r="P72" i="3" s="1"/>
  <c r="P11" i="3"/>
  <c r="R83" i="3"/>
  <c r="L93" i="3"/>
  <c r="P37" i="3"/>
  <c r="P79" i="3"/>
  <c r="T73" i="3"/>
  <c r="T84" i="3"/>
  <c r="U84" i="3" s="1"/>
  <c r="V84" i="3" s="1"/>
  <c r="W84" i="3" s="1"/>
  <c r="R37" i="3"/>
  <c r="T100" i="3"/>
  <c r="U100" i="3" s="1"/>
  <c r="P55" i="3"/>
  <c r="P66" i="3" s="1"/>
  <c r="T36" i="3"/>
  <c r="U36" i="3" s="1"/>
  <c r="V36" i="3" s="1"/>
  <c r="W36" i="3" s="1"/>
  <c r="P107" i="3"/>
  <c r="T111" i="3"/>
  <c r="U111" i="3" s="1"/>
  <c r="T115" i="3"/>
  <c r="U115" i="3" s="1"/>
  <c r="V115" i="3" s="1"/>
  <c r="W115" i="3" s="1"/>
  <c r="P119" i="3"/>
  <c r="T95" i="3"/>
  <c r="U95" i="3" s="1"/>
  <c r="Y132" i="1"/>
  <c r="V77" i="5" l="1"/>
  <c r="W77" i="5" s="1"/>
  <c r="T9" i="5"/>
  <c r="U9" i="5" s="1"/>
  <c r="V9" i="5" s="1"/>
  <c r="T9" i="4"/>
  <c r="U9" i="4" s="1"/>
  <c r="V9" i="4" s="1"/>
  <c r="X11" i="4"/>
  <c r="W108" i="4"/>
  <c r="U18" i="4"/>
  <c r="M9" i="3"/>
  <c r="L9" i="3"/>
  <c r="T83" i="3"/>
  <c r="U83" i="3" s="1"/>
  <c r="V83" i="3" s="1"/>
  <c r="W83" i="3" s="1"/>
  <c r="T79" i="3"/>
  <c r="U79" i="3" s="1"/>
  <c r="T31" i="3"/>
  <c r="U31" i="3" s="1"/>
  <c r="V31" i="3" s="1"/>
  <c r="W31" i="3" s="1"/>
  <c r="P42" i="3"/>
  <c r="U29" i="3"/>
  <c r="V29" i="3" s="1"/>
  <c r="W29" i="3" s="1"/>
  <c r="V112" i="3"/>
  <c r="W112" i="3" s="1"/>
  <c r="V117" i="3"/>
  <c r="W117" i="3" s="1"/>
  <c r="V111" i="3"/>
  <c r="W111" i="3" s="1"/>
  <c r="V110" i="3"/>
  <c r="W110" i="3" s="1"/>
  <c r="V95" i="3"/>
  <c r="W95" i="3" s="1"/>
  <c r="V100" i="3"/>
  <c r="W100" i="3" s="1"/>
  <c r="V82" i="3"/>
  <c r="W82" i="3" s="1"/>
  <c r="V85" i="3"/>
  <c r="W85" i="3" s="1"/>
  <c r="V104" i="3"/>
  <c r="W104" i="3" s="1"/>
  <c r="V102" i="3"/>
  <c r="W102" i="3" s="1"/>
  <c r="V89" i="3"/>
  <c r="W89" i="3" s="1"/>
  <c r="V90" i="3"/>
  <c r="W90" i="3" s="1"/>
  <c r="V101" i="3"/>
  <c r="W101" i="3" s="1"/>
  <c r="V86" i="3"/>
  <c r="W86" i="3" s="1"/>
  <c r="V87" i="3"/>
  <c r="W87" i="3" s="1"/>
  <c r="V81" i="3"/>
  <c r="W81" i="3" s="1"/>
  <c r="V98" i="3"/>
  <c r="W98" i="3" s="1"/>
  <c r="V103" i="3"/>
  <c r="W103" i="3" s="1"/>
  <c r="V63" i="3"/>
  <c r="W63" i="3" s="1"/>
  <c r="V75" i="3"/>
  <c r="W75" i="3" s="1"/>
  <c r="V44" i="3"/>
  <c r="W44" i="3" s="1"/>
  <c r="V70" i="3"/>
  <c r="W70" i="3" s="1"/>
  <c r="V46" i="3"/>
  <c r="W46" i="3" s="1"/>
  <c r="V76" i="3"/>
  <c r="W76" i="3" s="1"/>
  <c r="V49" i="3"/>
  <c r="W49" i="3" s="1"/>
  <c r="V71" i="3"/>
  <c r="W71" i="3" s="1"/>
  <c r="V45" i="3"/>
  <c r="W45" i="3" s="1"/>
  <c r="V59" i="3"/>
  <c r="W59" i="3" s="1"/>
  <c r="V51" i="3"/>
  <c r="W51" i="3" s="1"/>
  <c r="V56" i="3"/>
  <c r="W56" i="3" s="1"/>
  <c r="V77" i="3"/>
  <c r="W77" i="3" s="1"/>
  <c r="V52" i="3"/>
  <c r="W52" i="3" s="1"/>
  <c r="V78" i="3"/>
  <c r="W78" i="3" s="1"/>
  <c r="T26" i="3"/>
  <c r="U26" i="3" s="1"/>
  <c r="V61" i="3"/>
  <c r="W61" i="3" s="1"/>
  <c r="V57" i="3"/>
  <c r="W57" i="3" s="1"/>
  <c r="V67" i="3"/>
  <c r="W67" i="3" s="1"/>
  <c r="V58" i="3"/>
  <c r="W58" i="3" s="1"/>
  <c r="U64" i="3"/>
  <c r="V43" i="3"/>
  <c r="W43" i="3" s="1"/>
  <c r="T54" i="3"/>
  <c r="U54" i="3" s="1"/>
  <c r="T119" i="3"/>
  <c r="U119" i="3" s="1"/>
  <c r="V38" i="3"/>
  <c r="W38" i="3" s="1"/>
  <c r="V40" i="3"/>
  <c r="W40" i="3" s="1"/>
  <c r="V33" i="3"/>
  <c r="W33" i="3" s="1"/>
  <c r="V34" i="3"/>
  <c r="W34" i="3" s="1"/>
  <c r="V35" i="3"/>
  <c r="W35" i="3" s="1"/>
  <c r="V12" i="3"/>
  <c r="W12" i="3" s="1"/>
  <c r="V19" i="3"/>
  <c r="W19" i="3" s="1"/>
  <c r="V24" i="3"/>
  <c r="W24" i="3" s="1"/>
  <c r="V22" i="3"/>
  <c r="W22" i="3" s="1"/>
  <c r="T68" i="3"/>
  <c r="U68" i="3" s="1"/>
  <c r="U73" i="3"/>
  <c r="V73" i="3" s="1"/>
  <c r="W73" i="3" s="1"/>
  <c r="T11" i="3"/>
  <c r="P18" i="3"/>
  <c r="P9" i="3" s="1"/>
  <c r="T55" i="3"/>
  <c r="T66" i="3" s="1"/>
  <c r="T37" i="3"/>
  <c r="U37" i="3" s="1"/>
  <c r="V37" i="3" s="1"/>
  <c r="W37" i="3" s="1"/>
  <c r="T107" i="3"/>
  <c r="U107" i="3" s="1"/>
  <c r="T93" i="3"/>
  <c r="U93" i="3" s="1"/>
  <c r="D133" i="1"/>
  <c r="D131" i="1"/>
  <c r="X10" i="2"/>
  <c r="W80" i="5" l="1"/>
  <c r="X95" i="4"/>
  <c r="X9" i="4" s="1"/>
  <c r="W9" i="4"/>
  <c r="W119" i="3"/>
  <c r="W93" i="3"/>
  <c r="W107" i="3"/>
  <c r="X94" i="3" s="1"/>
  <c r="W42" i="3"/>
  <c r="X29" i="3" s="1"/>
  <c r="T42" i="3"/>
  <c r="U42" i="3" s="1"/>
  <c r="X108" i="3"/>
  <c r="X80" i="3"/>
  <c r="W79" i="3"/>
  <c r="X73" i="3" s="1"/>
  <c r="V68" i="3"/>
  <c r="W68" i="3" s="1"/>
  <c r="W72" i="3" s="1"/>
  <c r="X67" i="3" s="1"/>
  <c r="T28" i="3"/>
  <c r="U28" i="3" s="1"/>
  <c r="V64" i="3"/>
  <c r="W64" i="3" s="1"/>
  <c r="W54" i="3"/>
  <c r="X43" i="3" s="1"/>
  <c r="T72" i="3"/>
  <c r="U72" i="3" s="1"/>
  <c r="V26" i="3"/>
  <c r="W26" i="3" s="1"/>
  <c r="W28" i="3" s="1"/>
  <c r="X19" i="3" s="1"/>
  <c r="U66" i="3"/>
  <c r="U55" i="3"/>
  <c r="T18" i="3"/>
  <c r="U11" i="3"/>
  <c r="W71" i="2"/>
  <c r="V71" i="2"/>
  <c r="W119" i="2"/>
  <c r="M120" i="2"/>
  <c r="L120" i="2"/>
  <c r="K120" i="2"/>
  <c r="Q120" i="2"/>
  <c r="N120" i="2"/>
  <c r="O120" i="2"/>
  <c r="J120" i="2"/>
  <c r="M116" i="2"/>
  <c r="P116" i="2" s="1"/>
  <c r="L116" i="2"/>
  <c r="R116" i="2" s="1"/>
  <c r="M110" i="2"/>
  <c r="L110" i="2"/>
  <c r="Q117" i="2"/>
  <c r="O117" i="2"/>
  <c r="N117" i="2"/>
  <c r="W93" i="2"/>
  <c r="M102" i="2"/>
  <c r="L102" i="2"/>
  <c r="L99" i="2"/>
  <c r="R98" i="2"/>
  <c r="R99" i="2"/>
  <c r="Q106" i="2"/>
  <c r="P98" i="2"/>
  <c r="T98" i="2" s="1"/>
  <c r="U98" i="2" s="1"/>
  <c r="V98" i="2" s="1"/>
  <c r="W98" i="2" s="1"/>
  <c r="P99" i="2"/>
  <c r="K92" i="2"/>
  <c r="M82" i="2"/>
  <c r="L82" i="2"/>
  <c r="M81" i="2"/>
  <c r="L81" i="2"/>
  <c r="L92" i="2" s="1"/>
  <c r="M78" i="2"/>
  <c r="L78" i="2"/>
  <c r="M92" i="2"/>
  <c r="Q92" i="2"/>
  <c r="O92" i="2"/>
  <c r="N92" i="2"/>
  <c r="R80" i="2"/>
  <c r="J92" i="2"/>
  <c r="P80" i="2"/>
  <c r="M68" i="2"/>
  <c r="L68" i="2"/>
  <c r="M66" i="2"/>
  <c r="L66" i="2"/>
  <c r="M56" i="2"/>
  <c r="L56" i="2"/>
  <c r="M53" i="2"/>
  <c r="L53" i="2"/>
  <c r="R63" i="2"/>
  <c r="W47" i="2"/>
  <c r="S46" i="2"/>
  <c r="Q46" i="2"/>
  <c r="O46" i="2"/>
  <c r="N46" i="2"/>
  <c r="M46" i="2"/>
  <c r="L46" i="2"/>
  <c r="K46" i="2"/>
  <c r="J46" i="2"/>
  <c r="W45" i="2"/>
  <c r="M35" i="2"/>
  <c r="L35" i="2"/>
  <c r="V28" i="1"/>
  <c r="V33" i="1"/>
  <c r="M11" i="2"/>
  <c r="P11" i="2" s="1"/>
  <c r="L11" i="2"/>
  <c r="G11" i="2"/>
  <c r="G10" i="2"/>
  <c r="P15" i="2"/>
  <c r="K106" i="2"/>
  <c r="R94" i="2"/>
  <c r="R95" i="2"/>
  <c r="P94" i="2"/>
  <c r="P95" i="2"/>
  <c r="P93" i="2"/>
  <c r="R93" i="2"/>
  <c r="P96" i="2"/>
  <c r="R96" i="2"/>
  <c r="P97" i="2"/>
  <c r="R97" i="2"/>
  <c r="P100" i="2"/>
  <c r="R100" i="2"/>
  <c r="P101" i="2"/>
  <c r="R101" i="2"/>
  <c r="R102" i="2"/>
  <c r="P102" i="2"/>
  <c r="R103" i="2"/>
  <c r="P103" i="2"/>
  <c r="R41" i="2"/>
  <c r="P41" i="2"/>
  <c r="X135" i="2"/>
  <c r="X134" i="2"/>
  <c r="W134" i="2"/>
  <c r="W133" i="2"/>
  <c r="W132" i="2"/>
  <c r="W131" i="2"/>
  <c r="W130" i="2"/>
  <c r="W129" i="2"/>
  <c r="W128" i="2"/>
  <c r="W127" i="2"/>
  <c r="W126" i="2"/>
  <c r="W125" i="2"/>
  <c r="W124" i="2"/>
  <c r="W122" i="2"/>
  <c r="W121" i="2"/>
  <c r="R119" i="2"/>
  <c r="P119" i="2"/>
  <c r="R118" i="2"/>
  <c r="P118" i="2"/>
  <c r="P120" i="2" s="1"/>
  <c r="S117" i="2"/>
  <c r="K117" i="2"/>
  <c r="J117" i="2"/>
  <c r="R115" i="2"/>
  <c r="P115" i="2"/>
  <c r="R114" i="2"/>
  <c r="P114" i="2"/>
  <c r="R113" i="2"/>
  <c r="P113" i="2"/>
  <c r="R112" i="2"/>
  <c r="P112" i="2"/>
  <c r="P111" i="2"/>
  <c r="R111" i="2"/>
  <c r="R109" i="2"/>
  <c r="P109" i="2"/>
  <c r="R108" i="2"/>
  <c r="P108" i="2"/>
  <c r="R107" i="2"/>
  <c r="P107" i="2"/>
  <c r="S106" i="2"/>
  <c r="O106" i="2"/>
  <c r="N106" i="2"/>
  <c r="J106" i="2"/>
  <c r="P104" i="2"/>
  <c r="R104" i="2"/>
  <c r="S92" i="2"/>
  <c r="R90" i="2"/>
  <c r="P90" i="2"/>
  <c r="R89" i="2"/>
  <c r="P89" i="2"/>
  <c r="R88" i="2"/>
  <c r="P88" i="2"/>
  <c r="R87" i="2"/>
  <c r="P87" i="2"/>
  <c r="R86" i="2"/>
  <c r="P86" i="2"/>
  <c r="R85" i="2"/>
  <c r="P85" i="2"/>
  <c r="P84" i="2"/>
  <c r="R84" i="2"/>
  <c r="P83" i="2"/>
  <c r="R83" i="2"/>
  <c r="P82" i="2"/>
  <c r="R82" i="2"/>
  <c r="P81" i="2"/>
  <c r="R81" i="2"/>
  <c r="R79" i="2"/>
  <c r="P79" i="2"/>
  <c r="P78" i="2"/>
  <c r="S77" i="2"/>
  <c r="Q77" i="2"/>
  <c r="O77" i="2"/>
  <c r="N77" i="2"/>
  <c r="K77" i="2"/>
  <c r="J77" i="2"/>
  <c r="R76" i="2"/>
  <c r="P76" i="2"/>
  <c r="R75" i="2"/>
  <c r="P75" i="2"/>
  <c r="R74" i="2"/>
  <c r="P74" i="2"/>
  <c r="P73" i="2"/>
  <c r="R73" i="2"/>
  <c r="B73" i="2"/>
  <c r="B77" i="2" s="1"/>
  <c r="R72" i="2"/>
  <c r="P72" i="2"/>
  <c r="R71" i="2"/>
  <c r="P71" i="2"/>
  <c r="S70" i="2"/>
  <c r="Q70" i="2"/>
  <c r="O70" i="2"/>
  <c r="N70" i="2"/>
  <c r="M70" i="2"/>
  <c r="L70" i="2"/>
  <c r="K70" i="2"/>
  <c r="J70" i="2"/>
  <c r="R69" i="2"/>
  <c r="P69" i="2"/>
  <c r="R68" i="2"/>
  <c r="P68" i="2"/>
  <c r="R67" i="2"/>
  <c r="P67" i="2"/>
  <c r="R66" i="2"/>
  <c r="P66" i="2"/>
  <c r="B66" i="2"/>
  <c r="B67" i="2" s="1"/>
  <c r="B70" i="2" s="1"/>
  <c r="R65" i="2"/>
  <c r="P65" i="2"/>
  <c r="S64" i="2"/>
  <c r="Q64" i="2"/>
  <c r="O64" i="2"/>
  <c r="N64" i="2"/>
  <c r="K64" i="2"/>
  <c r="J64" i="2"/>
  <c r="P63" i="2"/>
  <c r="R62" i="2"/>
  <c r="P62" i="2"/>
  <c r="R61" i="2"/>
  <c r="P61" i="2"/>
  <c r="R60" i="2"/>
  <c r="P60" i="2"/>
  <c r="P59" i="2"/>
  <c r="R59" i="2"/>
  <c r="R58" i="2"/>
  <c r="P58" i="2"/>
  <c r="R57" i="2"/>
  <c r="P57" i="2"/>
  <c r="P56" i="2"/>
  <c r="R56" i="2"/>
  <c r="R55" i="2"/>
  <c r="P55" i="2"/>
  <c r="P54" i="2"/>
  <c r="R54" i="2"/>
  <c r="B54" i="2"/>
  <c r="B55" i="2" s="1"/>
  <c r="B56" i="2" s="1"/>
  <c r="B57" i="2" s="1"/>
  <c r="B60" i="2" s="1"/>
  <c r="B64" i="2" s="1"/>
  <c r="R53" i="2"/>
  <c r="S52" i="2"/>
  <c r="Q52" i="2"/>
  <c r="O52" i="2"/>
  <c r="N52" i="2"/>
  <c r="M52" i="2"/>
  <c r="L52" i="2"/>
  <c r="K52" i="2"/>
  <c r="J52" i="2"/>
  <c r="R51" i="2"/>
  <c r="P51" i="2"/>
  <c r="R50" i="2"/>
  <c r="P50" i="2"/>
  <c r="R49" i="2"/>
  <c r="P49" i="2"/>
  <c r="R48" i="2"/>
  <c r="P48" i="2"/>
  <c r="R47" i="2"/>
  <c r="P47" i="2"/>
  <c r="R44" i="2"/>
  <c r="P44" i="2"/>
  <c r="R43" i="2"/>
  <c r="P43" i="2"/>
  <c r="R42" i="2"/>
  <c r="P42" i="2"/>
  <c r="R40" i="2"/>
  <c r="P40" i="2"/>
  <c r="S39" i="2"/>
  <c r="Q39" i="2"/>
  <c r="O39" i="2"/>
  <c r="N39" i="2"/>
  <c r="R38" i="2"/>
  <c r="P38" i="2"/>
  <c r="K38" i="2"/>
  <c r="R37" i="2"/>
  <c r="P37" i="2"/>
  <c r="R36" i="2"/>
  <c r="P36" i="2"/>
  <c r="M39" i="2"/>
  <c r="R35" i="2"/>
  <c r="J35" i="2"/>
  <c r="R34" i="2"/>
  <c r="P34" i="2"/>
  <c r="R33" i="2"/>
  <c r="P33" i="2"/>
  <c r="R32" i="2"/>
  <c r="P32" i="2"/>
  <c r="R31" i="2"/>
  <c r="P31" i="2"/>
  <c r="R30" i="2"/>
  <c r="P30" i="2"/>
  <c r="K30" i="2"/>
  <c r="J30" i="2"/>
  <c r="W30" i="2" s="1"/>
  <c r="R29" i="2"/>
  <c r="P29" i="2"/>
  <c r="F29" i="2"/>
  <c r="F9" i="2" s="1"/>
  <c r="S28" i="2"/>
  <c r="Q28" i="2"/>
  <c r="O28" i="2"/>
  <c r="N28" i="2"/>
  <c r="K28" i="2"/>
  <c r="J28" i="2"/>
  <c r="B28" i="2"/>
  <c r="R26" i="2"/>
  <c r="P26" i="2"/>
  <c r="R25" i="2"/>
  <c r="P25" i="2"/>
  <c r="R24" i="2"/>
  <c r="P24" i="2"/>
  <c r="P23" i="2"/>
  <c r="R23" i="2"/>
  <c r="B23" i="2"/>
  <c r="B24" i="2" s="1"/>
  <c r="P22" i="2"/>
  <c r="R21" i="2"/>
  <c r="P21" i="2"/>
  <c r="R20" i="2"/>
  <c r="P20" i="2"/>
  <c r="R19" i="2"/>
  <c r="P19" i="2"/>
  <c r="S18" i="2"/>
  <c r="Q18" i="2"/>
  <c r="O18" i="2"/>
  <c r="N18" i="2"/>
  <c r="M18" i="2"/>
  <c r="L18" i="2"/>
  <c r="K18" i="2"/>
  <c r="J18" i="2"/>
  <c r="P17" i="2"/>
  <c r="T17" i="2" s="1"/>
  <c r="U17" i="2" s="1"/>
  <c r="V17" i="2" s="1"/>
  <c r="W17" i="2" s="1"/>
  <c r="P16" i="2"/>
  <c r="T16" i="2" s="1"/>
  <c r="U16" i="2" s="1"/>
  <c r="V16" i="2" s="1"/>
  <c r="W16" i="2" s="1"/>
  <c r="T15" i="2"/>
  <c r="U15" i="2" s="1"/>
  <c r="V15" i="2" s="1"/>
  <c r="W15" i="2" s="1"/>
  <c r="P14" i="2"/>
  <c r="T14" i="2" s="1"/>
  <c r="U14" i="2" s="1"/>
  <c r="V14" i="2" s="1"/>
  <c r="W14" i="2" s="1"/>
  <c r="P13" i="2"/>
  <c r="T13" i="2" s="1"/>
  <c r="U13" i="2" s="1"/>
  <c r="V13" i="2" s="1"/>
  <c r="W13" i="2" s="1"/>
  <c r="R12" i="2"/>
  <c r="P12" i="2"/>
  <c r="B12" i="2"/>
  <c r="B13" i="2" s="1"/>
  <c r="B14" i="2" s="1"/>
  <c r="B15" i="2" s="1"/>
  <c r="B18" i="2" s="1"/>
  <c r="R11" i="2"/>
  <c r="E9" i="2"/>
  <c r="F9" i="1"/>
  <c r="E9" i="1"/>
  <c r="X75" i="5" l="1"/>
  <c r="X9" i="5" s="1"/>
  <c r="W9" i="5"/>
  <c r="U18" i="3"/>
  <c r="T9" i="3"/>
  <c r="U9" i="3" s="1"/>
  <c r="V9" i="3" s="1"/>
  <c r="V55" i="3"/>
  <c r="W55" i="3" s="1"/>
  <c r="W66" i="3" s="1"/>
  <c r="X55" i="3" s="1"/>
  <c r="V11" i="3"/>
  <c r="W11" i="3" s="1"/>
  <c r="W18" i="3" s="1"/>
  <c r="P46" i="2"/>
  <c r="T74" i="2"/>
  <c r="T80" i="2"/>
  <c r="U80" i="2" s="1"/>
  <c r="V80" i="2" s="1"/>
  <c r="W80" i="2" s="1"/>
  <c r="T99" i="2"/>
  <c r="U99" i="2" s="1"/>
  <c r="V99" i="2" s="1"/>
  <c r="T116" i="2"/>
  <c r="U116" i="2" s="1"/>
  <c r="W99" i="2"/>
  <c r="P92" i="2"/>
  <c r="T11" i="2"/>
  <c r="U11" i="2" s="1"/>
  <c r="V11" i="2" s="1"/>
  <c r="T118" i="2"/>
  <c r="T33" i="2"/>
  <c r="U33" i="2" s="1"/>
  <c r="T95" i="2"/>
  <c r="U95" i="2" s="1"/>
  <c r="V95" i="2" s="1"/>
  <c r="W95" i="2" s="1"/>
  <c r="T94" i="2"/>
  <c r="U94" i="2" s="1"/>
  <c r="T63" i="2"/>
  <c r="U63" i="2" s="1"/>
  <c r="V63" i="2" s="1"/>
  <c r="W63" i="2" s="1"/>
  <c r="T65" i="2"/>
  <c r="U65" i="2" s="1"/>
  <c r="V65" i="2" s="1"/>
  <c r="W65" i="2" s="1"/>
  <c r="M117" i="2"/>
  <c r="T86" i="2"/>
  <c r="U86" i="2" s="1"/>
  <c r="T96" i="2"/>
  <c r="U96" i="2" s="1"/>
  <c r="V96" i="2" s="1"/>
  <c r="W96" i="2" s="1"/>
  <c r="T97" i="2"/>
  <c r="U97" i="2" s="1"/>
  <c r="V97" i="2" s="1"/>
  <c r="W97" i="2" s="1"/>
  <c r="T41" i="2"/>
  <c r="U41" i="2" s="1"/>
  <c r="L117" i="2"/>
  <c r="T103" i="2"/>
  <c r="U103" i="2" s="1"/>
  <c r="L77" i="2"/>
  <c r="T113" i="2"/>
  <c r="U113" i="2" s="1"/>
  <c r="T76" i="2"/>
  <c r="U76" i="2" s="1"/>
  <c r="T102" i="2"/>
  <c r="U102" i="2" s="1"/>
  <c r="T69" i="2"/>
  <c r="U69" i="2" s="1"/>
  <c r="V69" i="2" s="1"/>
  <c r="W69" i="2" s="1"/>
  <c r="T101" i="2"/>
  <c r="U101" i="2" s="1"/>
  <c r="V101" i="2" s="1"/>
  <c r="W101" i="2" s="1"/>
  <c r="T83" i="2"/>
  <c r="U83" i="2" s="1"/>
  <c r="T100" i="2"/>
  <c r="T93" i="2"/>
  <c r="U93" i="2" s="1"/>
  <c r="T108" i="2"/>
  <c r="U108" i="2" s="1"/>
  <c r="M77" i="2"/>
  <c r="T43" i="2"/>
  <c r="U43" i="2" s="1"/>
  <c r="V43" i="2" s="1"/>
  <c r="W43" i="2" s="1"/>
  <c r="T49" i="2"/>
  <c r="U49" i="2" s="1"/>
  <c r="T54" i="2"/>
  <c r="U54" i="2" s="1"/>
  <c r="V54" i="2" s="1"/>
  <c r="W54" i="2" s="1"/>
  <c r="T75" i="2"/>
  <c r="U75" i="2" s="1"/>
  <c r="T23" i="2"/>
  <c r="U23" i="2" s="1"/>
  <c r="V23" i="2" s="1"/>
  <c r="W23" i="2" s="1"/>
  <c r="T60" i="2"/>
  <c r="U60" i="2" s="1"/>
  <c r="V60" i="2" s="1"/>
  <c r="W60" i="2" s="1"/>
  <c r="L28" i="2"/>
  <c r="T34" i="2"/>
  <c r="U34" i="2" s="1"/>
  <c r="V34" i="2" s="1"/>
  <c r="W34" i="2" s="1"/>
  <c r="T61" i="2"/>
  <c r="U61" i="2" s="1"/>
  <c r="T79" i="2"/>
  <c r="U79" i="2" s="1"/>
  <c r="V79" i="2" s="1"/>
  <c r="W79" i="2" s="1"/>
  <c r="T112" i="2"/>
  <c r="U112" i="2" s="1"/>
  <c r="T62" i="2"/>
  <c r="U62" i="2" s="1"/>
  <c r="T68" i="2"/>
  <c r="U68" i="2" s="1"/>
  <c r="T85" i="2"/>
  <c r="U85" i="2" s="1"/>
  <c r="V85" i="2" s="1"/>
  <c r="W85" i="2" s="1"/>
  <c r="T87" i="2"/>
  <c r="U87" i="2" s="1"/>
  <c r="V87" i="2" s="1"/>
  <c r="W87" i="2" s="1"/>
  <c r="T21" i="2"/>
  <c r="U21" i="2" s="1"/>
  <c r="T24" i="2"/>
  <c r="U24" i="2" s="1"/>
  <c r="V24" i="2" s="1"/>
  <c r="W24" i="2" s="1"/>
  <c r="T42" i="2"/>
  <c r="U42" i="2" s="1"/>
  <c r="V42" i="2" s="1"/>
  <c r="W42" i="2" s="1"/>
  <c r="T48" i="2"/>
  <c r="U48" i="2" s="1"/>
  <c r="V48" i="2" s="1"/>
  <c r="W48" i="2" s="1"/>
  <c r="T55" i="2"/>
  <c r="U55" i="2" s="1"/>
  <c r="T67" i="2"/>
  <c r="U67" i="2" s="1"/>
  <c r="T90" i="2"/>
  <c r="U90" i="2" s="1"/>
  <c r="V90" i="2" s="1"/>
  <c r="W90" i="2" s="1"/>
  <c r="T109" i="2"/>
  <c r="U109" i="2" s="1"/>
  <c r="V109" i="2" s="1"/>
  <c r="W109" i="2" s="1"/>
  <c r="T119" i="2"/>
  <c r="U119" i="2" s="1"/>
  <c r="L106" i="2"/>
  <c r="T25" i="2"/>
  <c r="U25" i="2" s="1"/>
  <c r="M106" i="2"/>
  <c r="K39" i="2"/>
  <c r="T37" i="2"/>
  <c r="U37" i="2" s="1"/>
  <c r="V37" i="2" s="1"/>
  <c r="W37" i="2" s="1"/>
  <c r="T19" i="2"/>
  <c r="U19" i="2" s="1"/>
  <c r="V19" i="2" s="1"/>
  <c r="W19" i="2" s="1"/>
  <c r="W28" i="2" s="1"/>
  <c r="T31" i="2"/>
  <c r="U31" i="2" s="1"/>
  <c r="V31" i="2" s="1"/>
  <c r="W31" i="2" s="1"/>
  <c r="T50" i="2"/>
  <c r="U50" i="2" s="1"/>
  <c r="V50" i="2" s="1"/>
  <c r="W50" i="2" s="1"/>
  <c r="T89" i="2"/>
  <c r="U89" i="2" s="1"/>
  <c r="T115" i="2"/>
  <c r="U115" i="2" s="1"/>
  <c r="V115" i="2" s="1"/>
  <c r="W115" i="2" s="1"/>
  <c r="Y126" i="2"/>
  <c r="P35" i="2"/>
  <c r="T35" i="2" s="1"/>
  <c r="U35" i="2" s="1"/>
  <c r="V35" i="2" s="1"/>
  <c r="W35" i="2" s="1"/>
  <c r="T71" i="2"/>
  <c r="T56" i="2"/>
  <c r="U56" i="2" s="1"/>
  <c r="T40" i="2"/>
  <c r="U40" i="2" s="1"/>
  <c r="V40" i="2" s="1"/>
  <c r="W40" i="2" s="1"/>
  <c r="T47" i="2"/>
  <c r="U47" i="2" s="1"/>
  <c r="P77" i="2"/>
  <c r="T73" i="2"/>
  <c r="U73" i="2" s="1"/>
  <c r="T104" i="2"/>
  <c r="U104" i="2" s="1"/>
  <c r="T57" i="2"/>
  <c r="U57" i="2" s="1"/>
  <c r="V57" i="2" s="1"/>
  <c r="W57" i="2" s="1"/>
  <c r="T59" i="2"/>
  <c r="U59" i="2" s="1"/>
  <c r="V59" i="2" s="1"/>
  <c r="W59" i="2" s="1"/>
  <c r="P110" i="2"/>
  <c r="P117" i="2" s="1"/>
  <c r="W123" i="2"/>
  <c r="X121" i="2" s="1"/>
  <c r="R22" i="2"/>
  <c r="T22" i="2" s="1"/>
  <c r="U22" i="2" s="1"/>
  <c r="T29" i="2"/>
  <c r="U29" i="2" s="1"/>
  <c r="V29" i="2" s="1"/>
  <c r="W29" i="2" s="1"/>
  <c r="T32" i="2"/>
  <c r="U32" i="2" s="1"/>
  <c r="T51" i="2"/>
  <c r="U51" i="2" s="1"/>
  <c r="U74" i="2"/>
  <c r="J39" i="2"/>
  <c r="T88" i="2"/>
  <c r="U88" i="2" s="1"/>
  <c r="T114" i="2"/>
  <c r="U114" i="2" s="1"/>
  <c r="P28" i="2"/>
  <c r="T38" i="2"/>
  <c r="U38" i="2" s="1"/>
  <c r="V38" i="2" s="1"/>
  <c r="W38" i="2" s="1"/>
  <c r="T58" i="2"/>
  <c r="U58" i="2" s="1"/>
  <c r="V58" i="2" s="1"/>
  <c r="W58" i="2" s="1"/>
  <c r="T66" i="2"/>
  <c r="U66" i="2" s="1"/>
  <c r="T72" i="2"/>
  <c r="U72" i="2" s="1"/>
  <c r="R78" i="2"/>
  <c r="T78" i="2" s="1"/>
  <c r="U78" i="2" s="1"/>
  <c r="T30" i="2"/>
  <c r="U30" i="2" s="1"/>
  <c r="T36" i="2"/>
  <c r="U36" i="2" s="1"/>
  <c r="L39" i="2"/>
  <c r="T44" i="2"/>
  <c r="U44" i="2" s="1"/>
  <c r="L64" i="2"/>
  <c r="M64" i="2"/>
  <c r="P53" i="2"/>
  <c r="T111" i="2"/>
  <c r="U111" i="2" s="1"/>
  <c r="P106" i="2"/>
  <c r="T20" i="2"/>
  <c r="U20" i="2" s="1"/>
  <c r="V20" i="2" s="1"/>
  <c r="W20" i="2" s="1"/>
  <c r="T81" i="2"/>
  <c r="P18" i="2"/>
  <c r="T26" i="2"/>
  <c r="U26" i="2" s="1"/>
  <c r="V26" i="2" s="1"/>
  <c r="W26" i="2" s="1"/>
  <c r="T82" i="2"/>
  <c r="U82" i="2" s="1"/>
  <c r="V82" i="2" s="1"/>
  <c r="W82" i="2" s="1"/>
  <c r="T84" i="2"/>
  <c r="U84" i="2" s="1"/>
  <c r="T12" i="2"/>
  <c r="P52" i="2"/>
  <c r="P70" i="2"/>
  <c r="R110" i="2"/>
  <c r="M28" i="2"/>
  <c r="T107" i="2"/>
  <c r="W139" i="1"/>
  <c r="W138" i="1"/>
  <c r="W137" i="1"/>
  <c r="W125" i="1"/>
  <c r="R125" i="1"/>
  <c r="P125" i="1"/>
  <c r="T125" i="1" s="1"/>
  <c r="U125" i="1" s="1"/>
  <c r="R124" i="1"/>
  <c r="P124" i="1"/>
  <c r="W122" i="1"/>
  <c r="S123" i="1"/>
  <c r="O123" i="1"/>
  <c r="Q123" i="1"/>
  <c r="N123" i="1"/>
  <c r="K123" i="1"/>
  <c r="J123" i="1"/>
  <c r="M117" i="1"/>
  <c r="L117" i="1"/>
  <c r="M116" i="1"/>
  <c r="L116" i="1"/>
  <c r="Q112" i="1"/>
  <c r="M111" i="1"/>
  <c r="L111" i="1"/>
  <c r="M110" i="1"/>
  <c r="L110" i="1"/>
  <c r="M109" i="1"/>
  <c r="L109" i="1"/>
  <c r="M94" i="1"/>
  <c r="L94" i="1"/>
  <c r="M93" i="1"/>
  <c r="L93" i="1"/>
  <c r="M92" i="1"/>
  <c r="L92" i="1"/>
  <c r="M91" i="1"/>
  <c r="L91" i="1"/>
  <c r="M89" i="1"/>
  <c r="L89" i="1"/>
  <c r="S46" i="1"/>
  <c r="W82" i="1"/>
  <c r="M84" i="1"/>
  <c r="L84" i="1"/>
  <c r="W68" i="1"/>
  <c r="M70" i="1"/>
  <c r="L70" i="1"/>
  <c r="M67" i="1"/>
  <c r="L67" i="1"/>
  <c r="M65" i="1"/>
  <c r="L65" i="1"/>
  <c r="M64" i="1"/>
  <c r="L64" i="1"/>
  <c r="S75" i="1"/>
  <c r="R54" i="1"/>
  <c r="Q57" i="1"/>
  <c r="P53" i="1"/>
  <c r="P54" i="1"/>
  <c r="L47" i="1"/>
  <c r="M47" i="1"/>
  <c r="L41" i="1"/>
  <c r="M41" i="1"/>
  <c r="M30" i="1"/>
  <c r="L30" i="1"/>
  <c r="M29" i="1"/>
  <c r="L29" i="1"/>
  <c r="G10" i="1"/>
  <c r="X10" i="1" s="1"/>
  <c r="G18" i="1"/>
  <c r="M11" i="1"/>
  <c r="L11" i="1"/>
  <c r="X11" i="3" l="1"/>
  <c r="W9" i="3"/>
  <c r="U118" i="2"/>
  <c r="T120" i="2"/>
  <c r="U120" i="2" s="1"/>
  <c r="V112" i="2"/>
  <c r="W112" i="2" s="1"/>
  <c r="V111" i="2"/>
  <c r="W111" i="2" s="1"/>
  <c r="W114" i="2"/>
  <c r="V114" i="2"/>
  <c r="V108" i="2"/>
  <c r="W108" i="2" s="1"/>
  <c r="V113" i="2"/>
  <c r="W113" i="2" s="1"/>
  <c r="V116" i="2"/>
  <c r="W116" i="2" s="1"/>
  <c r="V104" i="2"/>
  <c r="W104" i="2" s="1"/>
  <c r="V94" i="2"/>
  <c r="W94" i="2" s="1"/>
  <c r="V102" i="2"/>
  <c r="W102" i="2" s="1"/>
  <c r="U100" i="2"/>
  <c r="V100" i="2" s="1"/>
  <c r="W100" i="2" s="1"/>
  <c r="V103" i="2"/>
  <c r="W103" i="2" s="1"/>
  <c r="V83" i="2"/>
  <c r="W83" i="2" s="1"/>
  <c r="V78" i="2"/>
  <c r="W78" i="2" s="1"/>
  <c r="V84" i="2"/>
  <c r="W84" i="2" s="1"/>
  <c r="V89" i="2"/>
  <c r="W89" i="2" s="1"/>
  <c r="V86" i="2"/>
  <c r="W86" i="2" s="1"/>
  <c r="V88" i="2"/>
  <c r="W88" i="2" s="1"/>
  <c r="V72" i="2"/>
  <c r="W72" i="2" s="1"/>
  <c r="V74" i="2"/>
  <c r="W74" i="2" s="1"/>
  <c r="V75" i="2"/>
  <c r="W75" i="2" s="1"/>
  <c r="U71" i="2"/>
  <c r="T77" i="2"/>
  <c r="V73" i="2"/>
  <c r="W73" i="2" s="1"/>
  <c r="V76" i="2"/>
  <c r="W76" i="2" s="1"/>
  <c r="V67" i="2"/>
  <c r="W67" i="2" s="1"/>
  <c r="V68" i="2"/>
  <c r="W68" i="2" s="1"/>
  <c r="W66" i="2"/>
  <c r="V66" i="2"/>
  <c r="V55" i="2"/>
  <c r="W55" i="2" s="1"/>
  <c r="V62" i="2"/>
  <c r="W62" i="2" s="1"/>
  <c r="V56" i="2"/>
  <c r="W56" i="2" s="1"/>
  <c r="V61" i="2"/>
  <c r="W61" i="2" s="1"/>
  <c r="V51" i="2"/>
  <c r="W51" i="2" s="1"/>
  <c r="V49" i="2"/>
  <c r="W49" i="2" s="1"/>
  <c r="W52" i="2" s="1"/>
  <c r="X47" i="2" s="1"/>
  <c r="W41" i="2"/>
  <c r="V41" i="2"/>
  <c r="V44" i="2"/>
  <c r="W44" i="2" s="1"/>
  <c r="W46" i="2" s="1"/>
  <c r="X40" i="2" s="1"/>
  <c r="U81" i="2"/>
  <c r="T92" i="2"/>
  <c r="U92" i="2" s="1"/>
  <c r="P39" i="2"/>
  <c r="V32" i="2"/>
  <c r="W32" i="2" s="1"/>
  <c r="V33" i="2"/>
  <c r="W33" i="2" s="1"/>
  <c r="V21" i="2"/>
  <c r="W21" i="2" s="1"/>
  <c r="V25" i="2"/>
  <c r="W25" i="2" s="1"/>
  <c r="V22" i="2"/>
  <c r="W22" i="2" s="1"/>
  <c r="V36" i="2"/>
  <c r="W36" i="2" s="1"/>
  <c r="W11" i="2"/>
  <c r="T52" i="2"/>
  <c r="U52" i="2" s="1"/>
  <c r="T110" i="2"/>
  <c r="T70" i="2"/>
  <c r="U70" i="2" s="1"/>
  <c r="T46" i="2"/>
  <c r="U46" i="2" s="1"/>
  <c r="T39" i="2"/>
  <c r="U39" i="2" s="1"/>
  <c r="U77" i="2"/>
  <c r="P64" i="2"/>
  <c r="T53" i="2"/>
  <c r="U107" i="2"/>
  <c r="V107" i="2" s="1"/>
  <c r="W107" i="2" s="1"/>
  <c r="T106" i="2"/>
  <c r="U106" i="2" s="1"/>
  <c r="T28" i="2"/>
  <c r="U28" i="2" s="1"/>
  <c r="U12" i="2"/>
  <c r="V12" i="2" s="1"/>
  <c r="W12" i="2" s="1"/>
  <c r="T18" i="2"/>
  <c r="U18" i="2" s="1"/>
  <c r="T124" i="1"/>
  <c r="L123" i="1"/>
  <c r="U124" i="1"/>
  <c r="V124" i="1" s="1"/>
  <c r="W124" i="1" s="1"/>
  <c r="W126" i="1" s="1"/>
  <c r="X124" i="1" s="1"/>
  <c r="M123" i="1"/>
  <c r="T54" i="1"/>
  <c r="U54" i="1" s="1"/>
  <c r="V54" i="1" s="1"/>
  <c r="W54" i="1" s="1"/>
  <c r="L75" i="1"/>
  <c r="R11" i="1"/>
  <c r="X141" i="1"/>
  <c r="X140" i="1"/>
  <c r="W140" i="1"/>
  <c r="W136" i="1"/>
  <c r="W135" i="1"/>
  <c r="W134" i="1"/>
  <c r="W133" i="1"/>
  <c r="W132" i="1"/>
  <c r="W131" i="1"/>
  <c r="W130" i="1"/>
  <c r="W129" i="1"/>
  <c r="W128" i="1"/>
  <c r="W127" i="1"/>
  <c r="R121" i="1"/>
  <c r="P121" i="1"/>
  <c r="R120" i="1"/>
  <c r="P120" i="1"/>
  <c r="R119" i="1"/>
  <c r="P119" i="1"/>
  <c r="R118" i="1"/>
  <c r="P118" i="1"/>
  <c r="P117" i="1"/>
  <c r="R117" i="1"/>
  <c r="R116" i="1"/>
  <c r="R115" i="1"/>
  <c r="P115" i="1"/>
  <c r="R114" i="1"/>
  <c r="P114" i="1"/>
  <c r="R113" i="1"/>
  <c r="P113" i="1"/>
  <c r="S112" i="1"/>
  <c r="O112" i="1"/>
  <c r="N112" i="1"/>
  <c r="K112" i="1"/>
  <c r="J112" i="1"/>
  <c r="P111" i="1"/>
  <c r="R111" i="1"/>
  <c r="R110" i="1"/>
  <c r="P110" i="1"/>
  <c r="T110" i="1" s="1"/>
  <c r="U110" i="1" s="1"/>
  <c r="P109" i="1"/>
  <c r="R109" i="1"/>
  <c r="R108" i="1"/>
  <c r="P108" i="1"/>
  <c r="R107" i="1"/>
  <c r="P107" i="1"/>
  <c r="P106" i="1"/>
  <c r="R106" i="1"/>
  <c r="R105" i="1"/>
  <c r="P105" i="1"/>
  <c r="W104" i="1"/>
  <c r="R104" i="1"/>
  <c r="P104" i="1"/>
  <c r="Q102" i="1"/>
  <c r="O102" i="1"/>
  <c r="N102" i="1"/>
  <c r="K102" i="1"/>
  <c r="J102" i="1"/>
  <c r="R100" i="1"/>
  <c r="P100" i="1"/>
  <c r="R99" i="1"/>
  <c r="P99" i="1"/>
  <c r="R98" i="1"/>
  <c r="P98" i="1"/>
  <c r="R97" i="1"/>
  <c r="P97" i="1"/>
  <c r="P96" i="1"/>
  <c r="R96" i="1"/>
  <c r="R95" i="1"/>
  <c r="P95" i="1"/>
  <c r="R94" i="1"/>
  <c r="P94" i="1"/>
  <c r="P93" i="1"/>
  <c r="R93" i="1"/>
  <c r="P92" i="1"/>
  <c r="R92" i="1"/>
  <c r="S102" i="1"/>
  <c r="P91" i="1"/>
  <c r="R91" i="1"/>
  <c r="R90" i="1"/>
  <c r="P90" i="1"/>
  <c r="S88" i="1"/>
  <c r="Q88" i="1"/>
  <c r="O88" i="1"/>
  <c r="N88" i="1"/>
  <c r="M88" i="1"/>
  <c r="L88" i="1"/>
  <c r="K88" i="1"/>
  <c r="J88" i="1"/>
  <c r="R87" i="1"/>
  <c r="P87" i="1"/>
  <c r="R86" i="1"/>
  <c r="P86" i="1"/>
  <c r="R85" i="1"/>
  <c r="P85" i="1"/>
  <c r="R84" i="1"/>
  <c r="P84" i="1"/>
  <c r="B84" i="1"/>
  <c r="B88" i="1" s="1"/>
  <c r="R83" i="1"/>
  <c r="P83" i="1"/>
  <c r="R82" i="1"/>
  <c r="P82" i="1"/>
  <c r="S81" i="1"/>
  <c r="Q81" i="1"/>
  <c r="O81" i="1"/>
  <c r="N81" i="1"/>
  <c r="K81" i="1"/>
  <c r="J81" i="1"/>
  <c r="P80" i="1"/>
  <c r="R79" i="1"/>
  <c r="P79" i="1"/>
  <c r="R78" i="1"/>
  <c r="P78" i="1"/>
  <c r="R77" i="1"/>
  <c r="P77" i="1"/>
  <c r="B77" i="1"/>
  <c r="B78" i="1" s="1"/>
  <c r="B81" i="1" s="1"/>
  <c r="R76" i="1"/>
  <c r="P76" i="1"/>
  <c r="Q75" i="1"/>
  <c r="O75" i="1"/>
  <c r="N75" i="1"/>
  <c r="K75" i="1"/>
  <c r="J75" i="1"/>
  <c r="R74" i="1"/>
  <c r="P74" i="1"/>
  <c r="R73" i="1"/>
  <c r="P73" i="1"/>
  <c r="P72" i="1"/>
  <c r="R72" i="1"/>
  <c r="R71" i="1"/>
  <c r="P71" i="1"/>
  <c r="P70" i="1"/>
  <c r="R70" i="1"/>
  <c r="R69" i="1"/>
  <c r="P69" i="1"/>
  <c r="P68" i="1"/>
  <c r="R68" i="1"/>
  <c r="P67" i="1"/>
  <c r="R67" i="1"/>
  <c r="R66" i="1"/>
  <c r="P66" i="1"/>
  <c r="R65" i="1"/>
  <c r="P65" i="1"/>
  <c r="B65" i="1"/>
  <c r="B66" i="1" s="1"/>
  <c r="B67" i="1" s="1"/>
  <c r="B68" i="1" s="1"/>
  <c r="B71" i="1" s="1"/>
  <c r="B75" i="1" s="1"/>
  <c r="S63" i="1"/>
  <c r="Q63" i="1"/>
  <c r="O63" i="1"/>
  <c r="N63" i="1"/>
  <c r="K63" i="1"/>
  <c r="J63" i="1"/>
  <c r="R62" i="1"/>
  <c r="P62" i="1"/>
  <c r="R61" i="1"/>
  <c r="P61" i="1"/>
  <c r="R60" i="1"/>
  <c r="P60" i="1"/>
  <c r="R59" i="1"/>
  <c r="P59" i="1"/>
  <c r="M63" i="1"/>
  <c r="L63" i="1"/>
  <c r="S57" i="1"/>
  <c r="O57" i="1"/>
  <c r="N57" i="1"/>
  <c r="L57" i="1"/>
  <c r="K57" i="1"/>
  <c r="J57" i="1"/>
  <c r="R56" i="1"/>
  <c r="P56" i="1"/>
  <c r="P55" i="1"/>
  <c r="M57" i="1"/>
  <c r="R55" i="1"/>
  <c r="R53" i="1"/>
  <c r="S52" i="1"/>
  <c r="Q52" i="1"/>
  <c r="O52" i="1"/>
  <c r="N52" i="1"/>
  <c r="M52" i="1"/>
  <c r="K52" i="1"/>
  <c r="J52" i="1"/>
  <c r="R47" i="1"/>
  <c r="P47" i="1"/>
  <c r="L52" i="1"/>
  <c r="B47" i="1"/>
  <c r="B48" i="1" s="1"/>
  <c r="B49" i="1" s="1"/>
  <c r="B50" i="1" s="1"/>
  <c r="B52" i="1" s="1"/>
  <c r="R46" i="1"/>
  <c r="P46" i="1"/>
  <c r="S45" i="1"/>
  <c r="Q45" i="1"/>
  <c r="O45" i="1"/>
  <c r="N45" i="1"/>
  <c r="M45" i="1"/>
  <c r="R44" i="1"/>
  <c r="P44" i="1"/>
  <c r="K44" i="1"/>
  <c r="R43" i="1"/>
  <c r="P43" i="1"/>
  <c r="R42" i="1"/>
  <c r="P42" i="1"/>
  <c r="P41" i="1"/>
  <c r="R41" i="1"/>
  <c r="J41" i="1"/>
  <c r="R40" i="1"/>
  <c r="P40" i="1"/>
  <c r="R39" i="1"/>
  <c r="P39" i="1"/>
  <c r="R38" i="1"/>
  <c r="P38" i="1"/>
  <c r="R37" i="1"/>
  <c r="P37" i="1"/>
  <c r="R36" i="1"/>
  <c r="P36" i="1"/>
  <c r="K36" i="1"/>
  <c r="J36" i="1"/>
  <c r="P35" i="1"/>
  <c r="F35" i="1"/>
  <c r="S34" i="1"/>
  <c r="Q34" i="1"/>
  <c r="O34" i="1"/>
  <c r="N34" i="1"/>
  <c r="K34" i="1"/>
  <c r="J34" i="1"/>
  <c r="B34" i="1"/>
  <c r="P33" i="1"/>
  <c r="M34" i="1"/>
  <c r="L34" i="1"/>
  <c r="R32" i="1"/>
  <c r="P32" i="1"/>
  <c r="R31" i="1"/>
  <c r="P31" i="1"/>
  <c r="R30" i="1"/>
  <c r="P30" i="1"/>
  <c r="B30" i="1"/>
  <c r="B31" i="1" s="1"/>
  <c r="R29" i="1"/>
  <c r="P29" i="1"/>
  <c r="R28" i="1"/>
  <c r="P28" i="1"/>
  <c r="R27" i="1"/>
  <c r="P27" i="1"/>
  <c r="R26" i="1"/>
  <c r="P26" i="1"/>
  <c r="S25" i="1"/>
  <c r="Q25" i="1"/>
  <c r="O25" i="1"/>
  <c r="N25" i="1"/>
  <c r="M25" i="1"/>
  <c r="K25" i="1"/>
  <c r="J25" i="1"/>
  <c r="P24" i="1"/>
  <c r="T24" i="1" s="1"/>
  <c r="U24" i="1" s="1"/>
  <c r="V24" i="1" s="1"/>
  <c r="W24" i="1" s="1"/>
  <c r="P23" i="1"/>
  <c r="T23" i="1" s="1"/>
  <c r="U23" i="1" s="1"/>
  <c r="V23" i="1" s="1"/>
  <c r="W23" i="1" s="1"/>
  <c r="P22" i="1"/>
  <c r="T22" i="1" s="1"/>
  <c r="U22" i="1" s="1"/>
  <c r="V22" i="1" s="1"/>
  <c r="W22" i="1" s="1"/>
  <c r="P21" i="1"/>
  <c r="T21" i="1" s="1"/>
  <c r="U21" i="1" s="1"/>
  <c r="V21" i="1" s="1"/>
  <c r="W21" i="1" s="1"/>
  <c r="P20" i="1"/>
  <c r="T20" i="1" s="1"/>
  <c r="U20" i="1" s="1"/>
  <c r="V20" i="1" s="1"/>
  <c r="W20" i="1" s="1"/>
  <c r="R19" i="1"/>
  <c r="P19" i="1"/>
  <c r="B19" i="1"/>
  <c r="B20" i="1" s="1"/>
  <c r="B21" i="1" s="1"/>
  <c r="B22" i="1" s="1"/>
  <c r="B25" i="1" s="1"/>
  <c r="P18" i="1"/>
  <c r="S17" i="1"/>
  <c r="Q17" i="1"/>
  <c r="O17" i="1"/>
  <c r="N17" i="1"/>
  <c r="M17" i="1"/>
  <c r="K17" i="1"/>
  <c r="J17" i="1"/>
  <c r="R14" i="1"/>
  <c r="P14" i="1"/>
  <c r="R13" i="1"/>
  <c r="P13" i="1"/>
  <c r="R12" i="1"/>
  <c r="P12" i="1"/>
  <c r="P11" i="1"/>
  <c r="B12" i="1"/>
  <c r="B13" i="1" s="1"/>
  <c r="B14" i="1" s="1"/>
  <c r="B17" i="1" s="1"/>
  <c r="W70" i="2" l="1"/>
  <c r="X65" i="2" s="1"/>
  <c r="V118" i="2"/>
  <c r="W118" i="2" s="1"/>
  <c r="W120" i="2" s="1"/>
  <c r="X118" i="2" s="1"/>
  <c r="W106" i="2"/>
  <c r="X93" i="2" s="1"/>
  <c r="V81" i="2"/>
  <c r="W81" i="2" s="1"/>
  <c r="W92" i="2" s="1"/>
  <c r="X78" i="2" s="1"/>
  <c r="W77" i="2"/>
  <c r="X71" i="2" s="1"/>
  <c r="U110" i="2"/>
  <c r="T117" i="2"/>
  <c r="U117" i="2" s="1"/>
  <c r="X19" i="2"/>
  <c r="W39" i="2"/>
  <c r="X30" i="2" s="1"/>
  <c r="W18" i="2"/>
  <c r="X11" i="2" s="1"/>
  <c r="U53" i="2"/>
  <c r="V53" i="2" s="1"/>
  <c r="W53" i="2" s="1"/>
  <c r="W64" i="2" s="1"/>
  <c r="X53" i="2" s="1"/>
  <c r="T64" i="2"/>
  <c r="U64" i="2" s="1"/>
  <c r="T99" i="1"/>
  <c r="U99" i="1" s="1"/>
  <c r="V99" i="1" s="1"/>
  <c r="W99" i="1" s="1"/>
  <c r="T120" i="1"/>
  <c r="U120" i="1" s="1"/>
  <c r="V120" i="1" s="1"/>
  <c r="W120" i="1" s="1"/>
  <c r="V110" i="1"/>
  <c r="W110" i="1" s="1"/>
  <c r="T36" i="1"/>
  <c r="U36" i="1" s="1"/>
  <c r="V36" i="1" s="1"/>
  <c r="W36" i="1" s="1"/>
  <c r="P57" i="1"/>
  <c r="T118" i="1"/>
  <c r="U118" i="1" s="1"/>
  <c r="T114" i="1"/>
  <c r="U114" i="1" s="1"/>
  <c r="T93" i="1"/>
  <c r="U93" i="1" s="1"/>
  <c r="T111" i="1"/>
  <c r="U111" i="1" s="1"/>
  <c r="T96" i="1"/>
  <c r="U96" i="1" s="1"/>
  <c r="T98" i="1"/>
  <c r="U98" i="1" s="1"/>
  <c r="V98" i="1" s="1"/>
  <c r="W98" i="1" s="1"/>
  <c r="T90" i="1"/>
  <c r="U90" i="1" s="1"/>
  <c r="V90" i="1" s="1"/>
  <c r="W90" i="1" s="1"/>
  <c r="T100" i="1"/>
  <c r="U100" i="1" s="1"/>
  <c r="V100" i="1" s="1"/>
  <c r="W100" i="1" s="1"/>
  <c r="T79" i="1"/>
  <c r="U79" i="1" s="1"/>
  <c r="T76" i="1"/>
  <c r="U76" i="1" s="1"/>
  <c r="V76" i="1" s="1"/>
  <c r="W76" i="1" s="1"/>
  <c r="T72" i="1"/>
  <c r="U72" i="1" s="1"/>
  <c r="T69" i="1"/>
  <c r="U69" i="1" s="1"/>
  <c r="T73" i="1"/>
  <c r="U73" i="1" s="1"/>
  <c r="T74" i="1"/>
  <c r="U74" i="1" s="1"/>
  <c r="T104" i="1"/>
  <c r="U104" i="1" s="1"/>
  <c r="T107" i="1"/>
  <c r="U107" i="1" s="1"/>
  <c r="V107" i="1" s="1"/>
  <c r="W107" i="1" s="1"/>
  <c r="T77" i="1"/>
  <c r="U77" i="1" s="1"/>
  <c r="T94" i="1"/>
  <c r="U94" i="1" s="1"/>
  <c r="T117" i="1"/>
  <c r="U117" i="1" s="1"/>
  <c r="V117" i="1" s="1"/>
  <c r="W117" i="1" s="1"/>
  <c r="T83" i="1"/>
  <c r="U83" i="1" s="1"/>
  <c r="T97" i="1"/>
  <c r="U97" i="1" s="1"/>
  <c r="V97" i="1" s="1"/>
  <c r="W97" i="1" s="1"/>
  <c r="T119" i="1"/>
  <c r="U119" i="1" s="1"/>
  <c r="M102" i="1"/>
  <c r="T27" i="1"/>
  <c r="U27" i="1" s="1"/>
  <c r="V27" i="1" s="1"/>
  <c r="W27" i="1" s="1"/>
  <c r="T62" i="1"/>
  <c r="U62" i="1" s="1"/>
  <c r="V62" i="1" s="1"/>
  <c r="W62" i="1" s="1"/>
  <c r="T95" i="1"/>
  <c r="U95" i="1" s="1"/>
  <c r="V95" i="1" s="1"/>
  <c r="W95" i="1" s="1"/>
  <c r="T59" i="1"/>
  <c r="U59" i="1" s="1"/>
  <c r="T71" i="1"/>
  <c r="U71" i="1" s="1"/>
  <c r="V71" i="1" s="1"/>
  <c r="W71" i="1" s="1"/>
  <c r="J45" i="1"/>
  <c r="P58" i="1"/>
  <c r="P63" i="1" s="1"/>
  <c r="K45" i="1"/>
  <c r="T67" i="1"/>
  <c r="U67" i="1" s="1"/>
  <c r="V67" i="1" s="1"/>
  <c r="W67" i="1" s="1"/>
  <c r="T87" i="1"/>
  <c r="U87" i="1" s="1"/>
  <c r="M81" i="1"/>
  <c r="T42" i="1"/>
  <c r="U42" i="1" s="1"/>
  <c r="T55" i="1"/>
  <c r="U55" i="1" s="1"/>
  <c r="R64" i="1"/>
  <c r="T84" i="1"/>
  <c r="U84" i="1" s="1"/>
  <c r="T105" i="1"/>
  <c r="U105" i="1" s="1"/>
  <c r="V105" i="1" s="1"/>
  <c r="W105" i="1" s="1"/>
  <c r="T108" i="1"/>
  <c r="U108" i="1" s="1"/>
  <c r="V108" i="1" s="1"/>
  <c r="W108" i="1" s="1"/>
  <c r="T121" i="1"/>
  <c r="U121" i="1" s="1"/>
  <c r="V121" i="1" s="1"/>
  <c r="W121" i="1" s="1"/>
  <c r="T91" i="1"/>
  <c r="U91" i="1" s="1"/>
  <c r="T60" i="1"/>
  <c r="U60" i="1" s="1"/>
  <c r="V60" i="1" s="1"/>
  <c r="W60" i="1" s="1"/>
  <c r="T65" i="1"/>
  <c r="U65" i="1" s="1"/>
  <c r="T68" i="1"/>
  <c r="U68" i="1" s="1"/>
  <c r="T78" i="1"/>
  <c r="U78" i="1" s="1"/>
  <c r="T82" i="1"/>
  <c r="U82" i="1" s="1"/>
  <c r="T85" i="1"/>
  <c r="U85" i="1" s="1"/>
  <c r="V85" i="1" s="1"/>
  <c r="M112" i="1"/>
  <c r="P89" i="1"/>
  <c r="P102" i="1" s="1"/>
  <c r="P25" i="1"/>
  <c r="T66" i="1"/>
  <c r="U66" i="1" s="1"/>
  <c r="P81" i="1"/>
  <c r="T86" i="1"/>
  <c r="U86" i="1" s="1"/>
  <c r="P112" i="1"/>
  <c r="T115" i="1"/>
  <c r="U115" i="1" s="1"/>
  <c r="V115" i="1" s="1"/>
  <c r="W115" i="1" s="1"/>
  <c r="T53" i="1"/>
  <c r="T46" i="1"/>
  <c r="U46" i="1" s="1"/>
  <c r="V46" i="1" s="1"/>
  <c r="P52" i="1"/>
  <c r="T47" i="1"/>
  <c r="U47" i="1" s="1"/>
  <c r="V47" i="1" s="1"/>
  <c r="W47" i="1" s="1"/>
  <c r="T43" i="1"/>
  <c r="U43" i="1" s="1"/>
  <c r="T40" i="1"/>
  <c r="U40" i="1" s="1"/>
  <c r="T44" i="1"/>
  <c r="U44" i="1" s="1"/>
  <c r="T39" i="1"/>
  <c r="U39" i="1" s="1"/>
  <c r="T37" i="1"/>
  <c r="U37" i="1" s="1"/>
  <c r="T30" i="1"/>
  <c r="U30" i="1" s="1"/>
  <c r="T28" i="1"/>
  <c r="U28" i="1" s="1"/>
  <c r="T31" i="1"/>
  <c r="U31" i="1" s="1"/>
  <c r="V31" i="1" s="1"/>
  <c r="W31" i="1" s="1"/>
  <c r="T32" i="1"/>
  <c r="U32" i="1" s="1"/>
  <c r="T29" i="1"/>
  <c r="U29" i="1" s="1"/>
  <c r="V29" i="1" s="1"/>
  <c r="W29" i="1" s="1"/>
  <c r="T26" i="1"/>
  <c r="U26" i="1" s="1"/>
  <c r="T19" i="1"/>
  <c r="U19" i="1" s="1"/>
  <c r="V19" i="1" s="1"/>
  <c r="W19" i="1" s="1"/>
  <c r="T13" i="1"/>
  <c r="U13" i="1" s="1"/>
  <c r="T12" i="1"/>
  <c r="U12" i="1" s="1"/>
  <c r="T11" i="1"/>
  <c r="U11" i="1" s="1"/>
  <c r="T14" i="1"/>
  <c r="U14" i="1" s="1"/>
  <c r="R18" i="1"/>
  <c r="T18" i="1" s="1"/>
  <c r="L25" i="1"/>
  <c r="P34" i="1"/>
  <c r="T38" i="1"/>
  <c r="U38" i="1" s="1"/>
  <c r="T56" i="1"/>
  <c r="U56" i="1" s="1"/>
  <c r="T70" i="1"/>
  <c r="U70" i="1" s="1"/>
  <c r="L45" i="1"/>
  <c r="R35" i="1"/>
  <c r="T35" i="1" s="1"/>
  <c r="T61" i="1"/>
  <c r="U61" i="1" s="1"/>
  <c r="V61" i="1" s="1"/>
  <c r="W61" i="1" s="1"/>
  <c r="L81" i="1"/>
  <c r="R80" i="1"/>
  <c r="T80" i="1" s="1"/>
  <c r="U80" i="1" s="1"/>
  <c r="L17" i="1"/>
  <c r="U53" i="1"/>
  <c r="T106" i="1"/>
  <c r="U106" i="1" s="1"/>
  <c r="V106" i="1" s="1"/>
  <c r="W106" i="1" s="1"/>
  <c r="T109" i="1"/>
  <c r="U109" i="1" s="1"/>
  <c r="T41" i="1"/>
  <c r="U41" i="1" s="1"/>
  <c r="P45" i="1"/>
  <c r="P17" i="1"/>
  <c r="P64" i="1"/>
  <c r="M75" i="1"/>
  <c r="L102" i="1"/>
  <c r="R89" i="1"/>
  <c r="P88" i="1"/>
  <c r="T92" i="1"/>
  <c r="U92" i="1" s="1"/>
  <c r="V92" i="1" s="1"/>
  <c r="T113" i="1"/>
  <c r="R33" i="1"/>
  <c r="T33" i="1" s="1"/>
  <c r="R58" i="1"/>
  <c r="T58" i="1" s="1"/>
  <c r="P116" i="1"/>
  <c r="T116" i="1" s="1"/>
  <c r="U116" i="1" s="1"/>
  <c r="L112" i="1"/>
  <c r="V110" i="2" l="1"/>
  <c r="W110" i="2" s="1"/>
  <c r="W117" i="2" s="1"/>
  <c r="X107" i="2" s="1"/>
  <c r="T89" i="1"/>
  <c r="T123" i="1"/>
  <c r="U123" i="1" s="1"/>
  <c r="V109" i="1"/>
  <c r="W109" i="1" s="1"/>
  <c r="V116" i="1"/>
  <c r="W116" i="1" s="1"/>
  <c r="V119" i="1"/>
  <c r="W119" i="1" s="1"/>
  <c r="V114" i="1"/>
  <c r="W114" i="1" s="1"/>
  <c r="V118" i="1"/>
  <c r="W118" i="1" s="1"/>
  <c r="V111" i="1"/>
  <c r="W111" i="1" s="1"/>
  <c r="W112" i="1" s="1"/>
  <c r="P123" i="1"/>
  <c r="V91" i="1"/>
  <c r="W91" i="1" s="1"/>
  <c r="V59" i="1"/>
  <c r="W59" i="1" s="1"/>
  <c r="V73" i="1"/>
  <c r="W73" i="1" s="1"/>
  <c r="V96" i="1"/>
  <c r="W96" i="1" s="1"/>
  <c r="V70" i="1"/>
  <c r="W70" i="1" s="1"/>
  <c r="V86" i="1"/>
  <c r="W86" i="1" s="1"/>
  <c r="V94" i="1"/>
  <c r="W94" i="1" s="1"/>
  <c r="V69" i="1"/>
  <c r="W69" i="1" s="1"/>
  <c r="V83" i="1"/>
  <c r="W83" i="1" s="1"/>
  <c r="V74" i="1"/>
  <c r="W74" i="1" s="1"/>
  <c r="V78" i="1"/>
  <c r="W78" i="1" s="1"/>
  <c r="V87" i="1"/>
  <c r="W87" i="1" s="1"/>
  <c r="V77" i="1"/>
  <c r="W77" i="1" s="1"/>
  <c r="V72" i="1"/>
  <c r="W72" i="1" s="1"/>
  <c r="V79" i="1"/>
  <c r="W79" i="1" s="1"/>
  <c r="V80" i="1"/>
  <c r="W80" i="1" s="1"/>
  <c r="V66" i="1"/>
  <c r="W66" i="1" s="1"/>
  <c r="V84" i="1"/>
  <c r="W84" i="1" s="1"/>
  <c r="V65" i="1"/>
  <c r="W65" i="1" s="1"/>
  <c r="V93" i="1"/>
  <c r="W93" i="1" s="1"/>
  <c r="W92" i="1"/>
  <c r="W85" i="1"/>
  <c r="T81" i="1"/>
  <c r="U81" i="1" s="1"/>
  <c r="V53" i="1"/>
  <c r="W53" i="1" s="1"/>
  <c r="V56" i="1"/>
  <c r="W56" i="1" s="1"/>
  <c r="V55" i="1"/>
  <c r="W55" i="1" s="1"/>
  <c r="W28" i="1"/>
  <c r="V37" i="1"/>
  <c r="W37" i="1" s="1"/>
  <c r="V14" i="1"/>
  <c r="W14" i="1" s="1"/>
  <c r="V11" i="1"/>
  <c r="W11" i="1" s="1"/>
  <c r="V30" i="1"/>
  <c r="W30" i="1" s="1"/>
  <c r="V39" i="1"/>
  <c r="W39" i="1" s="1"/>
  <c r="W46" i="1"/>
  <c r="W52" i="1" s="1"/>
  <c r="X46" i="1" s="1"/>
  <c r="V44" i="1"/>
  <c r="W44" i="1" s="1"/>
  <c r="T52" i="1"/>
  <c r="U52" i="1" s="1"/>
  <c r="V38" i="1"/>
  <c r="W38" i="1" s="1"/>
  <c r="V40" i="1"/>
  <c r="W40" i="1" s="1"/>
  <c r="V32" i="1"/>
  <c r="W32" i="1" s="1"/>
  <c r="V12" i="1"/>
  <c r="W12" i="1" s="1"/>
  <c r="V26" i="1"/>
  <c r="W26" i="1" s="1"/>
  <c r="V43" i="1"/>
  <c r="W43" i="1" s="1"/>
  <c r="V42" i="1"/>
  <c r="W42" i="1" s="1"/>
  <c r="T88" i="1"/>
  <c r="U88" i="1" s="1"/>
  <c r="V41" i="1"/>
  <c r="W41" i="1" s="1"/>
  <c r="V13" i="1"/>
  <c r="W13" i="1" s="1"/>
  <c r="U33" i="1"/>
  <c r="T34" i="1"/>
  <c r="U34" i="1" s="1"/>
  <c r="U113" i="1"/>
  <c r="V113" i="1" s="1"/>
  <c r="W113" i="1" s="1"/>
  <c r="T45" i="1"/>
  <c r="U45" i="1" s="1"/>
  <c r="U35" i="1"/>
  <c r="P75" i="1"/>
  <c r="T64" i="1"/>
  <c r="T57" i="1"/>
  <c r="U57" i="1" s="1"/>
  <c r="T17" i="1"/>
  <c r="U17" i="1" s="1"/>
  <c r="U58" i="1"/>
  <c r="V58" i="1" s="1"/>
  <c r="W58" i="1" s="1"/>
  <c r="T63" i="1"/>
  <c r="U63" i="1" s="1"/>
  <c r="U89" i="1"/>
  <c r="T102" i="1"/>
  <c r="U102" i="1" s="1"/>
  <c r="U18" i="1"/>
  <c r="T25" i="1"/>
  <c r="U25" i="1" s="1"/>
  <c r="T112" i="1"/>
  <c r="U112" i="1" s="1"/>
  <c r="W123" i="1" l="1"/>
  <c r="X113" i="1" s="1"/>
  <c r="X103" i="1"/>
  <c r="W81" i="1"/>
  <c r="X76" i="1" s="1"/>
  <c r="W88" i="1"/>
  <c r="X82" i="1" s="1"/>
  <c r="W63" i="1"/>
  <c r="X58" i="1" s="1"/>
  <c r="V89" i="1"/>
  <c r="W89" i="1" s="1"/>
  <c r="W102" i="1" s="1"/>
  <c r="X89" i="1" s="1"/>
  <c r="W57" i="1"/>
  <c r="X53" i="1" s="1"/>
  <c r="W17" i="1"/>
  <c r="X11" i="1"/>
  <c r="V18" i="1"/>
  <c r="W18" i="1" s="1"/>
  <c r="W25" i="1" s="1"/>
  <c r="X18" i="1" s="1"/>
  <c r="W33" i="1"/>
  <c r="W34" i="1" s="1"/>
  <c r="X26" i="1" s="1"/>
  <c r="V35" i="1"/>
  <c r="W35" i="1" s="1"/>
  <c r="W45" i="1" s="1"/>
  <c r="X36" i="1" s="1"/>
  <c r="U64" i="1"/>
  <c r="T75" i="1"/>
  <c r="U75" i="1" s="1"/>
  <c r="V64" i="1" l="1"/>
  <c r="W64" i="1" s="1"/>
  <c r="W75" i="1" s="1"/>
  <c r="X64" i="1" s="1"/>
  <c r="S111" i="7" l="1"/>
  <c r="S9" i="7" s="1"/>
  <c r="T110" i="7"/>
  <c r="U110" i="7" s="1"/>
  <c r="V110" i="7" l="1"/>
  <c r="W110" i="7" s="1"/>
  <c r="W111" i="7" s="1"/>
  <c r="T111" i="7"/>
  <c r="W9" i="7" l="1"/>
  <c r="X100" i="7"/>
  <c r="U111" i="7"/>
  <c r="T9" i="7"/>
  <c r="U9" i="7" s="1"/>
  <c r="V9" i="7" s="1"/>
  <c r="W138" i="8"/>
  <c r="X136" i="8" s="1"/>
  <c r="D9" i="8"/>
</calcChain>
</file>

<file path=xl/sharedStrings.xml><?xml version="1.0" encoding="utf-8"?>
<sst xmlns="http://schemas.openxmlformats.org/spreadsheetml/2006/main" count="1838" uniqueCount="249">
  <si>
    <t>HT CCMN TIMEHOUSE</t>
  </si>
  <si>
    <t>MST: 0</t>
  </si>
  <si>
    <t>ĐC : P702B, Chung cư 789 Mỹ Đình, Nam Từ Liêm, Hà Nội</t>
  </si>
  <si>
    <t>STK :2120368058 NGUYEN THI HANG. Ngân Hàng BIDV</t>
  </si>
  <si>
    <t>BẢNG LƯƠNG NHÂN VIÊN</t>
  </si>
  <si>
    <t>THÁNG 8  - NĂM 2025</t>
  </si>
  <si>
    <t>STT</t>
  </si>
  <si>
    <t>Họ và tên</t>
  </si>
  <si>
    <t>Chức vụ</t>
  </si>
  <si>
    <t>Lương cơ bản</t>
  </si>
  <si>
    <t>Phụ cấp ăn trưa</t>
  </si>
  <si>
    <t>Phụ cấp xăng xe</t>
  </si>
  <si>
    <t>Lương  trưởng nhóm</t>
  </si>
  <si>
    <t>Lương hỗ trợ</t>
  </si>
  <si>
    <t>Mã Toà</t>
  </si>
  <si>
    <t>HIỆU SUẤT</t>
  </si>
  <si>
    <t>MỨC LƯƠNG /PHÒNG</t>
  </si>
  <si>
    <t>TỔNG</t>
  </si>
  <si>
    <t>THỰC NHẬN</t>
  </si>
  <si>
    <t>Số phòng</t>
  </si>
  <si>
    <t>DT NIÊM YẾT</t>
  </si>
  <si>
    <t>DT PHẢI THU</t>
  </si>
  <si>
    <t>DT MỐC 1</t>
  </si>
  <si>
    <t>DT MỐC 2</t>
  </si>
  <si>
    <t>DT MỐC 3</t>
  </si>
  <si>
    <t>TỔNG DT SAU 3 MỐC</t>
  </si>
  <si>
    <t>DỊCH VỤ</t>
  </si>
  <si>
    <t>TỈ LỆ DV/DT</t>
  </si>
  <si>
    <t>DT THU THÊM</t>
  </si>
  <si>
    <t>TỔNG DT THU ĐƯỢC</t>
  </si>
  <si>
    <t>1</t>
  </si>
  <si>
    <t>Đặng Đình Mạnh</t>
  </si>
  <si>
    <t>TPVH</t>
  </si>
  <si>
    <t>2</t>
  </si>
  <si>
    <t>Đặng Tiến Đạt</t>
  </si>
  <si>
    <t>NVVH</t>
  </si>
  <si>
    <t>T14</t>
  </si>
  <si>
    <t>T15</t>
  </si>
  <si>
    <t>T30</t>
  </si>
  <si>
    <t>T31</t>
  </si>
  <si>
    <t>S14</t>
  </si>
  <si>
    <t>3</t>
  </si>
  <si>
    <t>Trần Quang Huy</t>
  </si>
  <si>
    <t>TNVH</t>
  </si>
  <si>
    <t>T42</t>
  </si>
  <si>
    <t>S32</t>
  </si>
  <si>
    <t>4</t>
  </si>
  <si>
    <t>Nguyễn Thị Thương Huyền</t>
  </si>
  <si>
    <t>T3</t>
  </si>
  <si>
    <t>T10</t>
  </si>
  <si>
    <t>T17</t>
  </si>
  <si>
    <t>T20</t>
  </si>
  <si>
    <t>T22</t>
  </si>
  <si>
    <t>T24</t>
  </si>
  <si>
    <t>T26</t>
  </si>
  <si>
    <t>T41</t>
  </si>
  <si>
    <t>5</t>
  </si>
  <si>
    <t>Đỗ Thùy Linh</t>
  </si>
  <si>
    <t>T21</t>
  </si>
  <si>
    <t>T38</t>
  </si>
  <si>
    <t>S3</t>
  </si>
  <si>
    <t>S6</t>
  </si>
  <si>
    <t>S7</t>
  </si>
  <si>
    <t>S8</t>
  </si>
  <si>
    <t>S9</t>
  </si>
  <si>
    <t>S10</t>
  </si>
  <si>
    <t>S34</t>
  </si>
  <si>
    <t>S9B</t>
  </si>
  <si>
    <t>6</t>
  </si>
  <si>
    <t>Nguyễn Hữu Tùng</t>
  </si>
  <si>
    <t>T25</t>
  </si>
  <si>
    <t>S15</t>
  </si>
  <si>
    <t>7</t>
  </si>
  <si>
    <t>Nguyễn Văn Ngọc Khải</t>
  </si>
  <si>
    <t>T18</t>
  </si>
  <si>
    <t>S4</t>
  </si>
  <si>
    <t>S49</t>
  </si>
  <si>
    <t>8</t>
  </si>
  <si>
    <t>Đỗ Thị Nụ</t>
  </si>
  <si>
    <t>S29</t>
  </si>
  <si>
    <t>S30</t>
  </si>
  <si>
    <t>S35</t>
  </si>
  <si>
    <t>S39</t>
  </si>
  <si>
    <t>S42</t>
  </si>
  <si>
    <t>9</t>
  </si>
  <si>
    <t>Bùi Trường Giang</t>
  </si>
  <si>
    <t>S1</t>
  </si>
  <si>
    <t>S17</t>
  </si>
  <si>
    <t>S19A</t>
  </si>
  <si>
    <t>S19B</t>
  </si>
  <si>
    <t>S19C</t>
  </si>
  <si>
    <t>S25A</t>
  </si>
  <si>
    <t>S25B</t>
  </si>
  <si>
    <t>S26</t>
  </si>
  <si>
    <t>S27</t>
  </si>
  <si>
    <t>S37</t>
  </si>
  <si>
    <t>S47</t>
  </si>
  <si>
    <t>10</t>
  </si>
  <si>
    <t>Đỗ Công Trường</t>
  </si>
  <si>
    <t>T44</t>
  </si>
  <si>
    <t>T45</t>
  </si>
  <si>
    <t>S20</t>
  </si>
  <si>
    <t>S28</t>
  </si>
  <si>
    <t>S36</t>
  </si>
  <si>
    <t>11</t>
  </si>
  <si>
    <t>Đặng Minh Hiếu</t>
  </si>
  <si>
    <t>T2</t>
  </si>
  <si>
    <t>T27</t>
  </si>
  <si>
    <t>T37</t>
  </si>
  <si>
    <t>S18</t>
  </si>
  <si>
    <t>S31</t>
  </si>
  <si>
    <t>S44</t>
  </si>
  <si>
    <t>12</t>
  </si>
  <si>
    <t>Nguyễn Công Lâm</t>
  </si>
  <si>
    <t>T8</t>
  </si>
  <si>
    <t>T12</t>
  </si>
  <si>
    <t>T13</t>
  </si>
  <si>
    <t>T28</t>
  </si>
  <si>
    <t>T33</t>
  </si>
  <si>
    <t>T34</t>
  </si>
  <si>
    <t>T35</t>
  </si>
  <si>
    <t>S16</t>
  </si>
  <si>
    <t>S22</t>
  </si>
  <si>
    <t>S23</t>
  </si>
  <si>
    <t>S24</t>
  </si>
  <si>
    <t>S41</t>
  </si>
  <si>
    <t>S46</t>
  </si>
  <si>
    <t>13</t>
  </si>
  <si>
    <t>Đặng Trung Kiên</t>
  </si>
  <si>
    <t>T5</t>
  </si>
  <si>
    <t>T7</t>
  </si>
  <si>
    <t>T32</t>
  </si>
  <si>
    <t>S2</t>
  </si>
  <si>
    <t>S33</t>
  </si>
  <si>
    <t>S38</t>
  </si>
  <si>
    <t>S40</t>
  </si>
  <si>
    <t>S45</t>
  </si>
  <si>
    <t>S50</t>
  </si>
  <si>
    <t>14</t>
  </si>
  <si>
    <t>Đỗ Thanh Hương</t>
  </si>
  <si>
    <t>T11</t>
  </si>
  <si>
    <t>T36</t>
  </si>
  <si>
    <t>T43</t>
  </si>
  <si>
    <t>S5</t>
  </si>
  <si>
    <t>S12</t>
  </si>
  <si>
    <t>S13</t>
  </si>
  <si>
    <t>S21</t>
  </si>
  <si>
    <t>s43</t>
  </si>
  <si>
    <t>S48</t>
  </si>
  <si>
    <t>15</t>
  </si>
  <si>
    <t>Hoàng Vũ Nhật Quang</t>
  </si>
  <si>
    <t>16</t>
  </si>
  <si>
    <t>Nguyễn Thành Luận</t>
  </si>
  <si>
    <t>TNKD</t>
  </si>
  <si>
    <t>17</t>
  </si>
  <si>
    <t>Nguyễn Đại Thắng</t>
  </si>
  <si>
    <t>NVKD</t>
  </si>
  <si>
    <t>18</t>
  </si>
  <si>
    <t>Đỗ Minh Chiến</t>
  </si>
  <si>
    <t>SALE</t>
  </si>
  <si>
    <t>19</t>
  </si>
  <si>
    <t>Đậu Nguyễn Hương Anh</t>
  </si>
  <si>
    <t>20</t>
  </si>
  <si>
    <t>21</t>
  </si>
  <si>
    <t>Đinh Tú Anh</t>
  </si>
  <si>
    <t>22</t>
  </si>
  <si>
    <t>Đỗ Thị Phương</t>
  </si>
  <si>
    <t>23</t>
  </si>
  <si>
    <t>Đào Yến Vi</t>
  </si>
  <si>
    <t>24</t>
  </si>
  <si>
    <t>Nguyễn Thị Huyền Trang</t>
  </si>
  <si>
    <t>25</t>
  </si>
  <si>
    <t>Hoàng Đăng Cường</t>
  </si>
  <si>
    <t>26</t>
  </si>
  <si>
    <t>Vũ Đức Chiến</t>
  </si>
  <si>
    <t>27</t>
  </si>
  <si>
    <t>Nguyễn Thị Hằng</t>
  </si>
  <si>
    <t>QL Tổng</t>
  </si>
  <si>
    <t>28</t>
  </si>
  <si>
    <t xml:space="preserve">Nguyễn Thị Ngọc </t>
  </si>
  <si>
    <t>Kế Toán</t>
  </si>
  <si>
    <t>29</t>
  </si>
  <si>
    <t>Trần Xuân Điệp</t>
  </si>
  <si>
    <t>Kĩ Thuật</t>
  </si>
  <si>
    <t>30</t>
  </si>
  <si>
    <t>Nguyễn Văn Ước</t>
  </si>
  <si>
    <t>Giám đốc công ty</t>
  </si>
  <si>
    <t>(Ký, họ tên, đóng dấu)</t>
  </si>
  <si>
    <t>NGUYỄN HỮU THĂNG</t>
  </si>
  <si>
    <t>G1</t>
  </si>
  <si>
    <t>31</t>
  </si>
  <si>
    <t>32</t>
  </si>
  <si>
    <t>XONG</t>
  </si>
  <si>
    <t>Nguyễn Lê Bách</t>
  </si>
  <si>
    <t>Trần Vĩ Hoàng Anh</t>
  </si>
  <si>
    <t>33</t>
  </si>
  <si>
    <t>Trần Hải Anh</t>
  </si>
  <si>
    <t>G3</t>
  </si>
  <si>
    <t>G2</t>
  </si>
  <si>
    <t>G4</t>
  </si>
  <si>
    <t>G5</t>
  </si>
  <si>
    <t>HIỆU SUẤT(%)</t>
  </si>
  <si>
    <t>THÁNG 3  - NĂM 2026</t>
  </si>
  <si>
    <t>Quỳnh Nương</t>
  </si>
  <si>
    <t>Vũ Thị Thùy Dung</t>
  </si>
  <si>
    <t>Thị Trường</t>
  </si>
  <si>
    <t>Vũ ĐẮc Hào</t>
  </si>
  <si>
    <t>Vũ  Đắc Hào</t>
  </si>
  <si>
    <t>G7</t>
  </si>
  <si>
    <t>G6</t>
  </si>
  <si>
    <t>Nguyễn Tài Đông</t>
  </si>
  <si>
    <t>Như Quỳnh</t>
  </si>
  <si>
    <t>Nguyễn Trung Hiếu</t>
  </si>
  <si>
    <t>Lưu Phương</t>
  </si>
  <si>
    <t>Minh Tuấn</t>
  </si>
  <si>
    <t>THÁNG 5  - NĂM 2026</t>
  </si>
  <si>
    <t>Nguyễn Đỗ Tùng Dương</t>
  </si>
  <si>
    <t>Nguyễn Vân Anh</t>
  </si>
  <si>
    <t>Phùng Văn Linh</t>
  </si>
  <si>
    <t>34</t>
  </si>
  <si>
    <t>35</t>
  </si>
  <si>
    <t>Đào Hữu Hoàng Giang</t>
  </si>
  <si>
    <t>Trịnh Xuân Hòa Tú</t>
  </si>
  <si>
    <t>Vũ Đắc Hào</t>
  </si>
  <si>
    <t>G9</t>
  </si>
  <si>
    <t>Nguyễn Văn Thịnh</t>
  </si>
  <si>
    <t>Bùi Hồng Thịnh</t>
  </si>
  <si>
    <t>G8</t>
  </si>
  <si>
    <t>G10</t>
  </si>
  <si>
    <t>G11</t>
  </si>
  <si>
    <t>Đồng Văn Phương</t>
  </si>
  <si>
    <t>Đặng Văn Thủy</t>
  </si>
  <si>
    <t>THÁNG 7 - NĂM 2026</t>
  </si>
  <si>
    <t>BẢNG HIỆU SUẤT NVVH THÁNG 7</t>
  </si>
  <si>
    <t>Ánh Sao</t>
  </si>
  <si>
    <t>Nguyễn Thế Hiếu</t>
  </si>
  <si>
    <t>Phương Hằng</t>
  </si>
  <si>
    <t>Lê my</t>
  </si>
  <si>
    <t>Nguyễn Đức Nam</t>
  </si>
  <si>
    <t>Khánh Ly</t>
  </si>
  <si>
    <t>G13</t>
  </si>
  <si>
    <t>G12A</t>
  </si>
  <si>
    <t>BẢNG HIỆU SUẤT NVVH THÁNG 8</t>
  </si>
  <si>
    <t>G14</t>
  </si>
  <si>
    <t>Trần Thủy Ngân</t>
  </si>
  <si>
    <t>Thu Hương</t>
  </si>
  <si>
    <t>Hồng Vân</t>
  </si>
  <si>
    <t>Diệu Linh</t>
  </si>
  <si>
    <t>Quỳnh nương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</si>
</sst>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&quot;Times New Roman&quot;"/>
    </font>
    <font>
      <sz val="10"/>
      <name val="&quot;Times New Roman&quot;"/>
    </font>
    <font>
      <b/>
      <sz val="8"/>
      <color rgb="FF000000"/>
      <name val="&quot;Times New Roman&quot;"/>
    </font>
    <font>
      <sz val="10"/>
      <color theme="1"/>
      <name val="&quot;Times New Roman&quot;"/>
    </font>
    <font>
      <sz val="10"/>
      <color rgb="FF000000"/>
      <name val="&quot;Times New Roman&quot;"/>
    </font>
    <font>
      <sz val="11"/>
      <color rgb="FF000000"/>
      <name val="&quot;Times New Roman&quot;"/>
    </font>
    <font>
      <b/>
      <sz val="10"/>
      <color theme="1"/>
      <name val="&quot;Times New Roman&quot;"/>
    </font>
    <font>
      <b/>
      <sz val="11"/>
      <color theme="1"/>
      <name val="&quot;Times New Roman&quot;"/>
    </font>
    <font>
      <sz val="11"/>
      <color theme="1"/>
      <name val="&quot;Times New Roman&quot;"/>
    </font>
    <font>
      <b/>
      <sz val="10"/>
      <color rgb="FF000000"/>
      <name val="&quot;Times New Roman&quot;"/>
    </font>
    <font>
      <sz val="10"/>
      <color theme="1"/>
      <name val="Roboto"/>
    </font>
    <font>
      <sz val="12"/>
      <color theme="1"/>
      <name val="&quot;Times New Roman&quot;"/>
    </font>
    <font>
      <b/>
      <i/>
      <sz val="10"/>
      <color theme="1"/>
      <name val="&quot;Times New Roman&quot;"/>
    </font>
    <font>
      <i/>
      <sz val="10"/>
      <color theme="1"/>
      <name val="&quot;Times New Roman&quot;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9DAF8"/>
      </patternFill>
    </fill>
    <fill>
      <patternFill patternType="solid">
        <fgColor rgb="FFFFFF00"/>
        <bgColor rgb="FFFF0000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93">
    <xf numFmtId="0" fontId="0" fillId="0" borderId="0" xfId="0"/>
    <xf numFmtId="0" fontId="5" fillId="3" borderId="0" xfId="2" applyFont="1" applyFill="1"/>
    <xf numFmtId="0" fontId="5" fillId="3" borderId="0" xfId="2" applyFont="1" applyFill="1" applyAlignment="1">
      <alignment horizontal="center" vertical="center"/>
    </xf>
    <xf numFmtId="0" fontId="6" fillId="0" borderId="0" xfId="2" applyFont="1"/>
    <xf numFmtId="0" fontId="7" fillId="0" borderId="0" xfId="2" applyFont="1"/>
    <xf numFmtId="0" fontId="10" fillId="7" borderId="9" xfId="2" applyFont="1" applyFill="1" applyBorder="1" applyAlignment="1">
      <alignment horizontal="center" vertical="center" wrapText="1"/>
    </xf>
    <xf numFmtId="49" fontId="9" fillId="7" borderId="7" xfId="2" applyNumberFormat="1" applyFont="1" applyFill="1" applyBorder="1" applyAlignment="1">
      <alignment horizontal="center"/>
    </xf>
    <xf numFmtId="0" fontId="9" fillId="7" borderId="12" xfId="2" applyFont="1" applyFill="1" applyBorder="1"/>
    <xf numFmtId="3" fontId="6" fillId="7" borderId="9" xfId="2" applyNumberFormat="1" applyFont="1" applyFill="1" applyBorder="1" applyAlignment="1">
      <alignment horizontal="center" vertical="center"/>
    </xf>
    <xf numFmtId="3" fontId="9" fillId="7" borderId="0" xfId="2" applyNumberFormat="1" applyFont="1" applyFill="1" applyAlignment="1">
      <alignment horizontal="center" vertical="center"/>
    </xf>
    <xf numFmtId="49" fontId="6" fillId="0" borderId="14" xfId="2" applyNumberFormat="1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3" fontId="6" fillId="0" borderId="9" xfId="2" applyNumberFormat="1" applyFont="1" applyBorder="1" applyAlignment="1">
      <alignment horizontal="center" vertical="center"/>
    </xf>
    <xf numFmtId="3" fontId="6" fillId="0" borderId="11" xfId="2" applyNumberFormat="1" applyFont="1" applyBorder="1" applyAlignment="1">
      <alignment horizontal="center" vertical="center"/>
    </xf>
    <xf numFmtId="3" fontId="6" fillId="0" borderId="9" xfId="2" applyNumberFormat="1" applyFont="1" applyBorder="1" applyAlignment="1">
      <alignment horizontal="right"/>
    </xf>
    <xf numFmtId="3" fontId="6" fillId="0" borderId="0" xfId="2" applyNumberFormat="1" applyFont="1" applyAlignment="1">
      <alignment horizontal="center" vertical="center"/>
    </xf>
    <xf numFmtId="3" fontId="6" fillId="0" borderId="12" xfId="2" applyNumberFormat="1" applyFont="1" applyBorder="1" applyAlignment="1">
      <alignment horizontal="center" vertical="center"/>
    </xf>
    <xf numFmtId="3" fontId="6" fillId="0" borderId="0" xfId="2" applyNumberFormat="1" applyFont="1"/>
    <xf numFmtId="3" fontId="11" fillId="8" borderId="16" xfId="0" applyNumberFormat="1" applyFont="1" applyFill="1" applyBorder="1" applyAlignment="1">
      <alignment horizontal="center" vertical="center"/>
    </xf>
    <xf numFmtId="164" fontId="6" fillId="0" borderId="9" xfId="1" applyNumberFormat="1" applyFont="1" applyBorder="1" applyAlignment="1">
      <alignment horizontal="right"/>
    </xf>
    <xf numFmtId="4" fontId="6" fillId="0" borderId="9" xfId="2" applyNumberFormat="1" applyFont="1" applyBorder="1" applyAlignment="1">
      <alignment horizontal="right"/>
    </xf>
    <xf numFmtId="3" fontId="6" fillId="0" borderId="8" xfId="2" applyNumberFormat="1" applyFont="1" applyBorder="1" applyAlignment="1">
      <alignment horizontal="center" vertical="center"/>
    </xf>
    <xf numFmtId="3" fontId="6" fillId="0" borderId="17" xfId="2" applyNumberFormat="1" applyFont="1" applyBorder="1" applyAlignment="1">
      <alignment vertical="center"/>
    </xf>
    <xf numFmtId="3" fontId="6" fillId="0" borderId="11" xfId="2" applyNumberFormat="1" applyFont="1" applyBorder="1" applyAlignment="1">
      <alignment horizontal="right"/>
    </xf>
    <xf numFmtId="0" fontId="6" fillId="0" borderId="12" xfId="2" applyFont="1" applyBorder="1" applyAlignment="1">
      <alignment horizontal="center" vertical="center"/>
    </xf>
    <xf numFmtId="3" fontId="6" fillId="0" borderId="21" xfId="2" applyNumberFormat="1" applyFont="1" applyBorder="1" applyAlignment="1">
      <alignment horizontal="right"/>
    </xf>
    <xf numFmtId="3" fontId="6" fillId="0" borderId="12" xfId="2" applyNumberFormat="1" applyFont="1" applyBorder="1" applyAlignment="1">
      <alignment horizontal="right"/>
    </xf>
    <xf numFmtId="164" fontId="6" fillId="0" borderId="11" xfId="1" applyNumberFormat="1" applyFont="1" applyBorder="1" applyAlignment="1">
      <alignment horizontal="right"/>
    </xf>
    <xf numFmtId="4" fontId="6" fillId="0" borderId="11" xfId="2" applyNumberFormat="1" applyFont="1" applyBorder="1" applyAlignment="1">
      <alignment horizontal="right"/>
    </xf>
    <xf numFmtId="3" fontId="6" fillId="0" borderId="22" xfId="2" applyNumberFormat="1" applyFont="1" applyBorder="1" applyAlignment="1">
      <alignment horizontal="right"/>
    </xf>
    <xf numFmtId="3" fontId="6" fillId="0" borderId="13" xfId="2" applyNumberFormat="1" applyFont="1" applyBorder="1" applyAlignment="1">
      <alignment horizontal="right"/>
    </xf>
    <xf numFmtId="3" fontId="11" fillId="8" borderId="16" xfId="0" applyNumberFormat="1" applyFont="1" applyFill="1" applyBorder="1" applyAlignment="1">
      <alignment horizontal="center"/>
    </xf>
    <xf numFmtId="3" fontId="6" fillId="0" borderId="0" xfId="2" applyNumberFormat="1" applyFont="1" applyAlignment="1">
      <alignment horizontal="right"/>
    </xf>
    <xf numFmtId="164" fontId="6" fillId="0" borderId="13" xfId="1" applyNumberFormat="1" applyFont="1" applyBorder="1" applyAlignment="1">
      <alignment horizontal="right"/>
    </xf>
    <xf numFmtId="4" fontId="6" fillId="0" borderId="13" xfId="2" applyNumberFormat="1" applyFont="1" applyBorder="1" applyAlignment="1">
      <alignment horizontal="right"/>
    </xf>
    <xf numFmtId="3" fontId="6" fillId="0" borderId="23" xfId="2" applyNumberFormat="1" applyFont="1" applyBorder="1" applyAlignment="1">
      <alignment vertical="center"/>
    </xf>
    <xf numFmtId="0" fontId="7" fillId="0" borderId="12" xfId="2" applyFont="1" applyBorder="1" applyAlignment="1">
      <alignment horizontal="right"/>
    </xf>
    <xf numFmtId="0" fontId="7" fillId="0" borderId="12" xfId="2" applyFont="1" applyBorder="1"/>
    <xf numFmtId="0" fontId="6" fillId="0" borderId="9" xfId="2" applyFont="1" applyBorder="1" applyAlignment="1">
      <alignment horizontal="center" vertical="center"/>
    </xf>
    <xf numFmtId="3" fontId="7" fillId="9" borderId="15" xfId="2" applyNumberFormat="1" applyFont="1" applyFill="1" applyBorder="1"/>
    <xf numFmtId="164" fontId="6" fillId="9" borderId="11" xfId="1" applyNumberFormat="1" applyFont="1" applyFill="1" applyBorder="1" applyAlignment="1">
      <alignment horizontal="right"/>
    </xf>
    <xf numFmtId="3" fontId="7" fillId="9" borderId="24" xfId="2" applyNumberFormat="1" applyFont="1" applyFill="1" applyBorder="1"/>
    <xf numFmtId="4" fontId="6" fillId="9" borderId="15" xfId="2" applyNumberFormat="1" applyFont="1" applyFill="1" applyBorder="1" applyAlignment="1">
      <alignment horizontal="right"/>
    </xf>
    <xf numFmtId="3" fontId="7" fillId="9" borderId="25" xfId="2" applyNumberFormat="1" applyFont="1" applyFill="1" applyBorder="1" applyAlignment="1">
      <alignment horizontal="center" vertical="center"/>
    </xf>
    <xf numFmtId="3" fontId="6" fillId="0" borderId="8" xfId="2" applyNumberFormat="1" applyFont="1" applyBorder="1" applyAlignment="1">
      <alignment horizontal="right"/>
    </xf>
    <xf numFmtId="164" fontId="6" fillId="0" borderId="12" xfId="1" applyNumberFormat="1" applyFont="1" applyBorder="1" applyAlignment="1">
      <alignment horizontal="right"/>
    </xf>
    <xf numFmtId="4" fontId="6" fillId="0" borderId="12" xfId="2" applyNumberFormat="1" applyFont="1" applyBorder="1" applyAlignment="1">
      <alignment horizontal="right"/>
    </xf>
    <xf numFmtId="3" fontId="6" fillId="0" borderId="17" xfId="2" applyNumberFormat="1" applyFont="1" applyBorder="1" applyAlignment="1">
      <alignment horizontal="right"/>
    </xf>
    <xf numFmtId="0" fontId="7" fillId="0" borderId="0" xfId="2" applyFont="1" applyAlignment="1">
      <alignment horizontal="right"/>
    </xf>
    <xf numFmtId="0" fontId="7" fillId="0" borderId="17" xfId="2" applyFont="1" applyBorder="1"/>
    <xf numFmtId="49" fontId="6" fillId="0" borderId="14" xfId="2" applyNumberFormat="1" applyFont="1" applyBorder="1" applyAlignment="1">
      <alignment horizontal="center" vertical="center"/>
    </xf>
    <xf numFmtId="0" fontId="7" fillId="9" borderId="12" xfId="2" applyFont="1" applyFill="1" applyBorder="1"/>
    <xf numFmtId="3" fontId="12" fillId="9" borderId="12" xfId="2" applyNumberFormat="1" applyFont="1" applyFill="1" applyBorder="1"/>
    <xf numFmtId="164" fontId="9" fillId="9" borderId="12" xfId="1" applyNumberFormat="1" applyFont="1" applyFill="1" applyBorder="1" applyAlignment="1">
      <alignment horizontal="right"/>
    </xf>
    <xf numFmtId="3" fontId="9" fillId="9" borderId="12" xfId="2" applyNumberFormat="1" applyFont="1" applyFill="1" applyBorder="1" applyAlignment="1">
      <alignment horizontal="right"/>
    </xf>
    <xf numFmtId="4" fontId="9" fillId="9" borderId="12" xfId="2" applyNumberFormat="1" applyFont="1" applyFill="1" applyBorder="1" applyAlignment="1">
      <alignment horizontal="right"/>
    </xf>
    <xf numFmtId="3" fontId="7" fillId="0" borderId="12" xfId="2" applyNumberFormat="1" applyFont="1" applyBorder="1"/>
    <xf numFmtId="0" fontId="6" fillId="0" borderId="18" xfId="2" applyFont="1" applyBorder="1" applyAlignment="1">
      <alignment horizontal="center" vertical="center" wrapText="1"/>
    </xf>
    <xf numFmtId="3" fontId="6" fillId="0" borderId="15" xfId="2" applyNumberFormat="1" applyFont="1" applyBorder="1" applyAlignment="1">
      <alignment horizontal="center" vertical="center"/>
    </xf>
    <xf numFmtId="0" fontId="12" fillId="9" borderId="12" xfId="2" applyFont="1" applyFill="1" applyBorder="1"/>
    <xf numFmtId="3" fontId="12" fillId="9" borderId="26" xfId="2" applyNumberFormat="1" applyFont="1" applyFill="1" applyBorder="1"/>
    <xf numFmtId="164" fontId="6" fillId="9" borderId="12" xfId="1" applyNumberFormat="1" applyFont="1" applyFill="1" applyBorder="1" applyAlignment="1">
      <alignment horizontal="right"/>
    </xf>
    <xf numFmtId="3" fontId="9" fillId="9" borderId="12" xfId="2" applyNumberFormat="1" applyFont="1" applyFill="1" applyBorder="1" applyAlignment="1">
      <alignment horizontal="center" vertical="center"/>
    </xf>
    <xf numFmtId="3" fontId="6" fillId="0" borderId="13" xfId="2" applyNumberFormat="1" applyFont="1" applyBorder="1" applyAlignment="1">
      <alignment horizontal="center" vertical="center"/>
    </xf>
    <xf numFmtId="3" fontId="11" fillId="0" borderId="16" xfId="0" applyNumberFormat="1" applyFont="1" applyBorder="1" applyAlignment="1">
      <alignment horizontal="center"/>
    </xf>
    <xf numFmtId="164" fontId="6" fillId="0" borderId="15" xfId="1" applyNumberFormat="1" applyFont="1" applyBorder="1" applyAlignment="1">
      <alignment horizontal="right"/>
    </xf>
    <xf numFmtId="3" fontId="6" fillId="0" borderId="15" xfId="2" applyNumberFormat="1" applyFont="1" applyBorder="1" applyAlignment="1">
      <alignment horizontal="right"/>
    </xf>
    <xf numFmtId="4" fontId="6" fillId="0" borderId="15" xfId="2" applyNumberFormat="1" applyFont="1" applyBorder="1" applyAlignment="1">
      <alignment horizontal="right"/>
    </xf>
    <xf numFmtId="3" fontId="6" fillId="0" borderId="26" xfId="2" applyNumberFormat="1" applyFont="1" applyBorder="1" applyAlignment="1">
      <alignment horizontal="center" vertical="center"/>
    </xf>
    <xf numFmtId="0" fontId="12" fillId="9" borderId="15" xfId="2" applyFont="1" applyFill="1" applyBorder="1"/>
    <xf numFmtId="3" fontId="12" fillId="9" borderId="15" xfId="2" applyNumberFormat="1" applyFont="1" applyFill="1" applyBorder="1"/>
    <xf numFmtId="3" fontId="9" fillId="9" borderId="8" xfId="2" applyNumberFormat="1" applyFont="1" applyFill="1" applyBorder="1" applyAlignment="1">
      <alignment horizontal="center" vertical="center"/>
    </xf>
    <xf numFmtId="3" fontId="12" fillId="0" borderId="12" xfId="2" applyNumberFormat="1" applyFont="1" applyBorder="1"/>
    <xf numFmtId="3" fontId="6" fillId="9" borderId="12" xfId="2" applyNumberFormat="1" applyFont="1" applyFill="1" applyBorder="1" applyAlignment="1">
      <alignment horizontal="right"/>
    </xf>
    <xf numFmtId="3" fontId="6" fillId="9" borderId="12" xfId="2" applyNumberFormat="1" applyFont="1" applyFill="1" applyBorder="1" applyAlignment="1">
      <alignment horizontal="center" vertical="center"/>
    </xf>
    <xf numFmtId="3" fontId="6" fillId="0" borderId="17" xfId="2" applyNumberFormat="1" applyFont="1" applyBorder="1" applyAlignment="1">
      <alignment horizontal="center" vertical="center"/>
    </xf>
    <xf numFmtId="0" fontId="7" fillId="0" borderId="22" xfId="2" applyFont="1" applyBorder="1"/>
    <xf numFmtId="3" fontId="7" fillId="0" borderId="13" xfId="2" applyNumberFormat="1" applyFont="1" applyBorder="1"/>
    <xf numFmtId="0" fontId="7" fillId="0" borderId="13" xfId="2" applyFont="1" applyBorder="1"/>
    <xf numFmtId="3" fontId="7" fillId="0" borderId="23" xfId="2" applyNumberFormat="1" applyFont="1" applyBorder="1"/>
    <xf numFmtId="3" fontId="7" fillId="0" borderId="22" xfId="2" applyNumberFormat="1" applyFont="1" applyBorder="1"/>
    <xf numFmtId="3" fontId="6" fillId="0" borderId="23" xfId="2" applyNumberFormat="1" applyFont="1" applyBorder="1" applyAlignment="1">
      <alignment horizontal="center" vertical="center"/>
    </xf>
    <xf numFmtId="3" fontId="7" fillId="0" borderId="17" xfId="2" applyNumberFormat="1" applyFont="1" applyBorder="1"/>
    <xf numFmtId="3" fontId="7" fillId="0" borderId="21" xfId="2" applyNumberFormat="1" applyFont="1" applyBorder="1"/>
    <xf numFmtId="3" fontId="6" fillId="0" borderId="26" xfId="2" applyNumberFormat="1" applyFont="1" applyBorder="1" applyAlignment="1">
      <alignment horizontal="right"/>
    </xf>
    <xf numFmtId="3" fontId="6" fillId="0" borderId="24" xfId="2" applyNumberFormat="1" applyFont="1" applyBorder="1" applyAlignment="1">
      <alignment horizontal="right"/>
    </xf>
    <xf numFmtId="3" fontId="6" fillId="0" borderId="25" xfId="2" applyNumberFormat="1" applyFont="1" applyBorder="1" applyAlignment="1">
      <alignment horizontal="right"/>
    </xf>
    <xf numFmtId="164" fontId="6" fillId="9" borderId="15" xfId="1" applyNumberFormat="1" applyFont="1" applyFill="1" applyBorder="1" applyAlignment="1">
      <alignment horizontal="right"/>
    </xf>
    <xf numFmtId="4" fontId="9" fillId="9" borderId="15" xfId="2" applyNumberFormat="1" applyFont="1" applyFill="1" applyBorder="1" applyAlignment="1">
      <alignment horizontal="right"/>
    </xf>
    <xf numFmtId="3" fontId="9" fillId="9" borderId="9" xfId="2" applyNumberFormat="1" applyFont="1" applyFill="1" applyBorder="1" applyAlignment="1">
      <alignment horizontal="right"/>
    </xf>
    <xf numFmtId="3" fontId="9" fillId="9" borderId="9" xfId="2" applyNumberFormat="1" applyFont="1" applyFill="1" applyBorder="1" applyAlignment="1">
      <alignment horizontal="center" vertical="center"/>
    </xf>
    <xf numFmtId="3" fontId="11" fillId="0" borderId="16" xfId="0" applyNumberFormat="1" applyFont="1" applyBorder="1"/>
    <xf numFmtId="3" fontId="11" fillId="0" borderId="6" xfId="0" applyNumberFormat="1" applyFont="1" applyBorder="1"/>
    <xf numFmtId="3" fontId="11" fillId="0" borderId="21" xfId="0" applyNumberFormat="1" applyFont="1" applyBorder="1"/>
    <xf numFmtId="0" fontId="12" fillId="9" borderId="26" xfId="2" applyFont="1" applyFill="1" applyBorder="1"/>
    <xf numFmtId="3" fontId="6" fillId="0" borderId="9" xfId="2" applyNumberFormat="1" applyFont="1" applyBorder="1" applyAlignment="1">
      <alignment horizontal="center"/>
    </xf>
    <xf numFmtId="3" fontId="6" fillId="0" borderId="11" xfId="2" applyNumberFormat="1" applyFont="1" applyBorder="1" applyAlignment="1">
      <alignment horizontal="center"/>
    </xf>
    <xf numFmtId="3" fontId="6" fillId="0" borderId="12" xfId="2" applyNumberFormat="1" applyFont="1" applyBorder="1" applyAlignment="1">
      <alignment horizontal="center"/>
    </xf>
    <xf numFmtId="3" fontId="6" fillId="0" borderId="13" xfId="2" applyNumberFormat="1" applyFont="1" applyBorder="1" applyAlignment="1">
      <alignment horizontal="center"/>
    </xf>
    <xf numFmtId="3" fontId="14" fillId="8" borderId="12" xfId="0" applyNumberFormat="1" applyFont="1" applyFill="1" applyBorder="1" applyAlignment="1">
      <alignment horizontal="center"/>
    </xf>
    <xf numFmtId="0" fontId="7" fillId="0" borderId="15" xfId="2" applyFont="1" applyBorder="1"/>
    <xf numFmtId="0" fontId="6" fillId="0" borderId="0" xfId="2" applyFont="1" applyAlignment="1">
      <alignment horizontal="center" vertical="center" wrapText="1"/>
    </xf>
    <xf numFmtId="3" fontId="7" fillId="0" borderId="0" xfId="2" applyNumberFormat="1" applyFont="1"/>
    <xf numFmtId="3" fontId="7" fillId="0" borderId="15" xfId="2" applyNumberFormat="1" applyFont="1" applyBorder="1"/>
    <xf numFmtId="3" fontId="12" fillId="9" borderId="12" xfId="2" applyNumberFormat="1" applyFont="1" applyFill="1" applyBorder="1" applyAlignment="1">
      <alignment horizontal="center"/>
    </xf>
    <xf numFmtId="3" fontId="7" fillId="0" borderId="12" xfId="2" applyNumberFormat="1" applyFont="1" applyBorder="1" applyAlignment="1">
      <alignment horizontal="center"/>
    </xf>
    <xf numFmtId="0" fontId="6" fillId="10" borderId="9" xfId="2" applyFont="1" applyFill="1" applyBorder="1" applyAlignment="1">
      <alignment horizontal="center" vertical="center" wrapText="1"/>
    </xf>
    <xf numFmtId="0" fontId="6" fillId="10" borderId="9" xfId="2" applyFont="1" applyFill="1" applyBorder="1" applyAlignment="1">
      <alignment horizontal="center"/>
    </xf>
    <xf numFmtId="3" fontId="9" fillId="0" borderId="0" xfId="2" applyNumberFormat="1" applyFont="1"/>
    <xf numFmtId="49" fontId="6" fillId="0" borderId="0" xfId="2" applyNumberFormat="1" applyFont="1"/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right"/>
    </xf>
    <xf numFmtId="1" fontId="6" fillId="0" borderId="0" xfId="2" applyNumberFormat="1" applyFont="1"/>
    <xf numFmtId="0" fontId="7" fillId="0" borderId="0" xfId="2" applyFont="1" applyAlignment="1">
      <alignment horizontal="center" vertical="center"/>
    </xf>
    <xf numFmtId="3" fontId="11" fillId="8" borderId="10" xfId="0" applyNumberFormat="1" applyFont="1" applyFill="1" applyBorder="1" applyAlignment="1">
      <alignment horizontal="center"/>
    </xf>
    <xf numFmtId="3" fontId="12" fillId="0" borderId="13" xfId="2" applyNumberFormat="1" applyFont="1" applyBorder="1"/>
    <xf numFmtId="3" fontId="13" fillId="0" borderId="12" xfId="2" applyNumberFormat="1" applyFont="1" applyBorder="1" applyAlignment="1">
      <alignment horizontal="right"/>
    </xf>
    <xf numFmtId="3" fontId="12" fillId="0" borderId="22" xfId="2" applyNumberFormat="1" applyFont="1" applyBorder="1"/>
    <xf numFmtId="3" fontId="12" fillId="0" borderId="21" xfId="2" applyNumberFormat="1" applyFont="1" applyBorder="1"/>
    <xf numFmtId="3" fontId="12" fillId="0" borderId="23" xfId="2" applyNumberFormat="1" applyFont="1" applyBorder="1"/>
    <xf numFmtId="3" fontId="12" fillId="0" borderId="17" xfId="2" applyNumberFormat="1" applyFont="1" applyBorder="1"/>
    <xf numFmtId="3" fontId="7" fillId="0" borderId="32" xfId="2" applyNumberFormat="1" applyFont="1" applyBorder="1"/>
    <xf numFmtId="3" fontId="7" fillId="0" borderId="33" xfId="2" applyNumberFormat="1" applyFont="1" applyBorder="1"/>
    <xf numFmtId="3" fontId="11" fillId="0" borderId="14" xfId="0" applyNumberFormat="1" applyFont="1" applyBorder="1" applyAlignment="1">
      <alignment horizontal="center"/>
    </xf>
    <xf numFmtId="3" fontId="6" fillId="7" borderId="11" xfId="2" applyNumberFormat="1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3" fontId="11" fillId="0" borderId="0" xfId="0" applyNumberFormat="1" applyFont="1" applyAlignment="1">
      <alignment horizontal="center"/>
    </xf>
    <xf numFmtId="0" fontId="12" fillId="9" borderId="13" xfId="2" applyFont="1" applyFill="1" applyBorder="1"/>
    <xf numFmtId="3" fontId="12" fillId="9" borderId="13" xfId="2" applyNumberFormat="1" applyFont="1" applyFill="1" applyBorder="1"/>
    <xf numFmtId="3" fontId="9" fillId="9" borderId="13" xfId="2" applyNumberFormat="1" applyFont="1" applyFill="1" applyBorder="1" applyAlignment="1">
      <alignment horizontal="right"/>
    </xf>
    <xf numFmtId="0" fontId="7" fillId="0" borderId="15" xfId="2" applyFont="1" applyBorder="1" applyAlignment="1">
      <alignment horizontal="right"/>
    </xf>
    <xf numFmtId="49" fontId="9" fillId="11" borderId="7" xfId="2" applyNumberFormat="1" applyFont="1" applyFill="1" applyBorder="1" applyAlignment="1">
      <alignment horizontal="center"/>
    </xf>
    <xf numFmtId="0" fontId="9" fillId="11" borderId="12" xfId="2" applyFont="1" applyFill="1" applyBorder="1"/>
    <xf numFmtId="3" fontId="9" fillId="11" borderId="9" xfId="2" applyNumberFormat="1" applyFont="1" applyFill="1" applyBorder="1" applyAlignment="1">
      <alignment horizontal="center" vertical="center"/>
    </xf>
    <xf numFmtId="3" fontId="9" fillId="11" borderId="11" xfId="2" applyNumberFormat="1" applyFont="1" applyFill="1" applyBorder="1" applyAlignment="1">
      <alignment horizontal="center" vertical="center"/>
    </xf>
    <xf numFmtId="3" fontId="9" fillId="11" borderId="0" xfId="2" applyNumberFormat="1" applyFont="1" applyFill="1" applyAlignment="1">
      <alignment horizontal="center" vertical="center"/>
    </xf>
    <xf numFmtId="3" fontId="11" fillId="0" borderId="12" xfId="0" applyNumberFormat="1" applyFont="1" applyBorder="1" applyAlignment="1">
      <alignment horizontal="center"/>
    </xf>
    <xf numFmtId="9" fontId="9" fillId="11" borderId="9" xfId="1" applyFont="1" applyFill="1" applyBorder="1" applyAlignment="1">
      <alignment horizontal="center" vertical="center"/>
    </xf>
    <xf numFmtId="0" fontId="6" fillId="0" borderId="12" xfId="2" applyFont="1" applyBorder="1" applyAlignment="1">
      <alignment horizontal="center" vertical="center" wrapText="1"/>
    </xf>
    <xf numFmtId="0" fontId="7" fillId="9" borderId="13" xfId="2" applyFont="1" applyFill="1" applyBorder="1"/>
    <xf numFmtId="4" fontId="9" fillId="9" borderId="13" xfId="2" applyNumberFormat="1" applyFont="1" applyFill="1" applyBorder="1" applyAlignment="1">
      <alignment horizontal="right"/>
    </xf>
    <xf numFmtId="49" fontId="6" fillId="0" borderId="12" xfId="2" applyNumberFormat="1" applyFont="1" applyBorder="1" applyAlignment="1">
      <alignment horizontal="center" vertical="center"/>
    </xf>
    <xf numFmtId="3" fontId="18" fillId="8" borderId="16" xfId="0" applyNumberFormat="1" applyFont="1" applyFill="1" applyBorder="1" applyAlignment="1">
      <alignment horizontal="center" vertical="center"/>
    </xf>
    <xf numFmtId="3" fontId="9" fillId="9" borderId="8" xfId="2" applyNumberFormat="1" applyFont="1" applyFill="1" applyBorder="1" applyAlignment="1">
      <alignment horizontal="right"/>
    </xf>
    <xf numFmtId="0" fontId="4" fillId="5" borderId="5" xfId="2" applyFont="1" applyFill="1" applyBorder="1"/>
    <xf numFmtId="0" fontId="4" fillId="5" borderId="6" xfId="2" applyFont="1" applyFill="1" applyBorder="1"/>
    <xf numFmtId="0" fontId="4" fillId="5" borderId="8" xfId="2" applyFont="1" applyFill="1" applyBorder="1"/>
    <xf numFmtId="0" fontId="4" fillId="5" borderId="9" xfId="2" applyFont="1" applyFill="1" applyBorder="1"/>
    <xf numFmtId="164" fontId="6" fillId="0" borderId="26" xfId="1" applyNumberFormat="1" applyFont="1" applyBorder="1" applyAlignment="1">
      <alignment horizontal="right"/>
    </xf>
    <xf numFmtId="0" fontId="12" fillId="0" borderId="15" xfId="2" applyFont="1" applyBorder="1"/>
    <xf numFmtId="3" fontId="12" fillId="0" borderId="15" xfId="2" applyNumberFormat="1" applyFont="1" applyBorder="1"/>
    <xf numFmtId="4" fontId="9" fillId="0" borderId="15" xfId="2" applyNumberFormat="1" applyFont="1" applyBorder="1" applyAlignment="1">
      <alignment horizontal="right"/>
    </xf>
    <xf numFmtId="3" fontId="12" fillId="0" borderId="15" xfId="2" applyNumberFormat="1" applyFont="1" applyBorder="1" applyAlignment="1">
      <alignment horizontal="center"/>
    </xf>
    <xf numFmtId="0" fontId="10" fillId="7" borderId="12" xfId="2" applyFont="1" applyFill="1" applyBorder="1" applyAlignment="1">
      <alignment horizontal="center" vertical="center" wrapText="1"/>
    </xf>
    <xf numFmtId="0" fontId="5" fillId="3" borderId="12" xfId="2" applyFont="1" applyFill="1" applyBorder="1"/>
    <xf numFmtId="0" fontId="5" fillId="3" borderId="12" xfId="2" applyFont="1" applyFill="1" applyBorder="1" applyAlignment="1">
      <alignment horizontal="center" vertical="center"/>
    </xf>
    <xf numFmtId="0" fontId="6" fillId="0" borderId="12" xfId="2" applyFont="1" applyBorder="1"/>
    <xf numFmtId="0" fontId="4" fillId="5" borderId="12" xfId="2" applyFont="1" applyFill="1" applyBorder="1"/>
    <xf numFmtId="49" fontId="9" fillId="11" borderId="12" xfId="2" applyNumberFormat="1" applyFont="1" applyFill="1" applyBorder="1" applyAlignment="1">
      <alignment horizontal="center"/>
    </xf>
    <xf numFmtId="3" fontId="9" fillId="11" borderId="12" xfId="2" applyNumberFormat="1" applyFont="1" applyFill="1" applyBorder="1" applyAlignment="1">
      <alignment horizontal="center" vertical="center"/>
    </xf>
    <xf numFmtId="9" fontId="9" fillId="11" borderId="12" xfId="1" applyFont="1" applyFill="1" applyBorder="1" applyAlignment="1">
      <alignment horizontal="center" vertical="center"/>
    </xf>
    <xf numFmtId="49" fontId="6" fillId="0" borderId="12" xfId="2" applyNumberFormat="1" applyFont="1" applyBorder="1" applyAlignment="1">
      <alignment horizontal="center"/>
    </xf>
    <xf numFmtId="0" fontId="6" fillId="0" borderId="12" xfId="2" applyFont="1" applyBorder="1" applyAlignment="1">
      <alignment horizontal="center"/>
    </xf>
    <xf numFmtId="3" fontId="6" fillId="0" borderId="12" xfId="2" applyNumberFormat="1" applyFont="1" applyBorder="1"/>
    <xf numFmtId="3" fontId="11" fillId="8" borderId="12" xfId="0" applyNumberFormat="1" applyFont="1" applyFill="1" applyBorder="1" applyAlignment="1">
      <alignment horizontal="center" vertical="center"/>
    </xf>
    <xf numFmtId="3" fontId="11" fillId="8" borderId="12" xfId="0" applyNumberFormat="1" applyFont="1" applyFill="1" applyBorder="1" applyAlignment="1">
      <alignment horizontal="center"/>
    </xf>
    <xf numFmtId="3" fontId="18" fillId="8" borderId="12" xfId="0" applyNumberFormat="1" applyFont="1" applyFill="1" applyBorder="1" applyAlignment="1">
      <alignment horizontal="center" vertical="center"/>
    </xf>
    <xf numFmtId="0" fontId="12" fillId="0" borderId="12" xfId="2" applyFont="1" applyBorder="1"/>
    <xf numFmtId="4" fontId="9" fillId="0" borderId="12" xfId="2" applyNumberFormat="1" applyFont="1" applyBorder="1" applyAlignment="1">
      <alignment horizontal="right"/>
    </xf>
    <xf numFmtId="3" fontId="12" fillId="0" borderId="12" xfId="2" applyNumberFormat="1" applyFont="1" applyBorder="1" applyAlignment="1">
      <alignment horizontal="center"/>
    </xf>
    <xf numFmtId="0" fontId="6" fillId="10" borderId="12" xfId="2" applyFont="1" applyFill="1" applyBorder="1" applyAlignment="1">
      <alignment horizontal="center" vertical="center" wrapText="1"/>
    </xf>
    <xf numFmtId="0" fontId="6" fillId="10" borderId="12" xfId="2" applyFont="1" applyFill="1" applyBorder="1" applyAlignment="1">
      <alignment horizontal="center"/>
    </xf>
    <xf numFmtId="3" fontId="9" fillId="0" borderId="12" xfId="2" applyNumberFormat="1" applyFont="1" applyBorder="1"/>
    <xf numFmtId="49" fontId="6" fillId="0" borderId="12" xfId="2" applyNumberFormat="1" applyFont="1" applyBorder="1"/>
    <xf numFmtId="0" fontId="6" fillId="0" borderId="12" xfId="2" applyFont="1" applyBorder="1" applyAlignment="1">
      <alignment horizontal="right"/>
    </xf>
    <xf numFmtId="1" fontId="6" fillId="0" borderId="12" xfId="2" applyNumberFormat="1" applyFont="1" applyBorder="1"/>
    <xf numFmtId="0" fontId="7" fillId="0" borderId="12" xfId="2" applyFont="1" applyBorder="1" applyAlignment="1">
      <alignment horizontal="center" vertical="center"/>
    </xf>
    <xf numFmtId="3" fontId="6" fillId="0" borderId="12" xfId="2" applyNumberFormat="1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49" fontId="6" fillId="0" borderId="12" xfId="2" applyNumberFormat="1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 wrapText="1"/>
    </xf>
    <xf numFmtId="3" fontId="6" fillId="0" borderId="13" xfId="2" applyNumberFormat="1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3" fontId="16" fillId="0" borderId="12" xfId="2" applyNumberFormat="1" applyFont="1" applyBorder="1" applyAlignment="1">
      <alignment horizontal="center"/>
    </xf>
    <xf numFmtId="0" fontId="7" fillId="0" borderId="12" xfId="2" applyFont="1" applyBorder="1"/>
    <xf numFmtId="0" fontId="9" fillId="0" borderId="12" xfId="2" applyFont="1" applyBorder="1" applyAlignment="1">
      <alignment horizontal="center"/>
    </xf>
    <xf numFmtId="3" fontId="9" fillId="0" borderId="12" xfId="2" applyNumberFormat="1" applyFont="1" applyBorder="1" applyAlignment="1">
      <alignment horizontal="center" vertical="center"/>
    </xf>
    <xf numFmtId="3" fontId="9" fillId="0" borderId="12" xfId="2" applyNumberFormat="1" applyFont="1" applyBorder="1" applyAlignment="1">
      <alignment horizontal="center"/>
    </xf>
    <xf numFmtId="3" fontId="15" fillId="0" borderId="12" xfId="2" applyNumberFormat="1" applyFont="1" applyBorder="1" applyAlignment="1">
      <alignment horizontal="center"/>
    </xf>
    <xf numFmtId="0" fontId="10" fillId="7" borderId="12" xfId="2" applyFont="1" applyFill="1" applyBorder="1" applyAlignment="1">
      <alignment horizontal="center" vertical="center" wrapText="1"/>
    </xf>
    <xf numFmtId="0" fontId="4" fillId="0" borderId="12" xfId="2" applyFont="1" applyBorder="1"/>
    <xf numFmtId="0" fontId="4" fillId="0" borderId="12" xfId="2" applyFont="1" applyBorder="1" applyAlignment="1">
      <alignment horizontal="center" vertical="center"/>
    </xf>
    <xf numFmtId="0" fontId="3" fillId="2" borderId="12" xfId="2" applyFont="1" applyFill="1" applyBorder="1"/>
    <xf numFmtId="0" fontId="8" fillId="2" borderId="12" xfId="2" applyFont="1" applyFill="1" applyBorder="1"/>
    <xf numFmtId="0" fontId="3" fillId="4" borderId="12" xfId="2" applyFont="1" applyFill="1" applyBorder="1" applyAlignment="1">
      <alignment horizontal="center" vertical="center"/>
    </xf>
    <xf numFmtId="49" fontId="9" fillId="12" borderId="12" xfId="2" applyNumberFormat="1" applyFont="1" applyFill="1" applyBorder="1" applyAlignment="1">
      <alignment horizontal="center" vertical="center"/>
    </xf>
    <xf numFmtId="0" fontId="4" fillId="9" borderId="12" xfId="2" applyFont="1" applyFill="1" applyBorder="1"/>
    <xf numFmtId="0" fontId="10" fillId="7" borderId="12" xfId="2" applyFont="1" applyFill="1" applyBorder="1" applyAlignment="1">
      <alignment horizontal="right" vertical="center" wrapText="1"/>
    </xf>
    <xf numFmtId="49" fontId="10" fillId="7" borderId="12" xfId="2" applyNumberFormat="1" applyFont="1" applyFill="1" applyBorder="1" applyAlignment="1">
      <alignment horizontal="center" vertical="center" wrapText="1"/>
    </xf>
    <xf numFmtId="0" fontId="3" fillId="2" borderId="1" xfId="2" applyFont="1" applyFill="1" applyBorder="1"/>
    <xf numFmtId="0" fontId="4" fillId="0" borderId="2" xfId="2" applyFont="1" applyBorder="1"/>
    <xf numFmtId="0" fontId="4" fillId="0" borderId="3" xfId="2" applyFont="1" applyBorder="1"/>
    <xf numFmtId="0" fontId="8" fillId="2" borderId="1" xfId="2" applyFont="1" applyFill="1" applyBorder="1"/>
    <xf numFmtId="0" fontId="3" fillId="4" borderId="4" xfId="2" applyFont="1" applyFill="1" applyBorder="1" applyAlignment="1">
      <alignment horizontal="center" vertical="center"/>
    </xf>
    <xf numFmtId="0" fontId="4" fillId="5" borderId="5" xfId="2" applyFont="1" applyFill="1" applyBorder="1"/>
    <xf numFmtId="0" fontId="4" fillId="5" borderId="6" xfId="2" applyFont="1" applyFill="1" applyBorder="1"/>
    <xf numFmtId="0" fontId="4" fillId="5" borderId="7" xfId="2" applyFont="1" applyFill="1" applyBorder="1"/>
    <xf numFmtId="0" fontId="4" fillId="5" borderId="8" xfId="2" applyFont="1" applyFill="1" applyBorder="1"/>
    <xf numFmtId="0" fontId="4" fillId="5" borderId="0" xfId="2" applyFont="1" applyFill="1"/>
    <xf numFmtId="0" fontId="4" fillId="5" borderId="9" xfId="2" applyFont="1" applyFill="1" applyBorder="1"/>
    <xf numFmtId="49" fontId="9" fillId="6" borderId="4" xfId="2" applyNumberFormat="1" applyFont="1" applyFill="1" applyBorder="1" applyAlignment="1">
      <alignment horizontal="center" vertical="center"/>
    </xf>
    <xf numFmtId="0" fontId="4" fillId="0" borderId="5" xfId="2" applyFont="1" applyBorder="1"/>
    <xf numFmtId="0" fontId="4" fillId="0" borderId="6" xfId="2" applyFont="1" applyBorder="1"/>
    <xf numFmtId="0" fontId="4" fillId="0" borderId="7" xfId="2" applyFont="1" applyBorder="1"/>
    <xf numFmtId="0" fontId="4" fillId="0" borderId="8" xfId="2" applyFont="1" applyBorder="1"/>
    <xf numFmtId="0" fontId="4" fillId="0" borderId="9" xfId="2" applyFont="1" applyBorder="1"/>
    <xf numFmtId="0" fontId="10" fillId="7" borderId="10" xfId="2" applyFont="1" applyFill="1" applyBorder="1" applyAlignment="1">
      <alignment horizontal="center" vertical="center" wrapText="1"/>
    </xf>
    <xf numFmtId="0" fontId="10" fillId="7" borderId="14" xfId="2" applyFont="1" applyFill="1" applyBorder="1" applyAlignment="1">
      <alignment horizontal="center" vertical="center" wrapText="1"/>
    </xf>
    <xf numFmtId="0" fontId="10" fillId="7" borderId="0" xfId="2" applyFont="1" applyFill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/>
    </xf>
    <xf numFmtId="49" fontId="6" fillId="0" borderId="19" xfId="2" applyNumberFormat="1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3" fontId="6" fillId="0" borderId="10" xfId="2" applyNumberFormat="1" applyFont="1" applyBorder="1" applyAlignment="1">
      <alignment horizontal="center" vertical="center"/>
    </xf>
    <xf numFmtId="3" fontId="6" fillId="0" borderId="19" xfId="2" applyNumberFormat="1" applyFont="1" applyBorder="1" applyAlignment="1">
      <alignment horizontal="center" vertical="center"/>
    </xf>
    <xf numFmtId="3" fontId="6" fillId="0" borderId="14" xfId="2" applyNumberFormat="1" applyFont="1" applyBorder="1" applyAlignment="1">
      <alignment horizontal="center" vertical="center"/>
    </xf>
    <xf numFmtId="3" fontId="6" fillId="0" borderId="4" xfId="2" applyNumberFormat="1" applyFont="1" applyBorder="1" applyAlignment="1">
      <alignment horizontal="center" vertical="center"/>
    </xf>
    <xf numFmtId="3" fontId="6" fillId="0" borderId="20" xfId="2" applyNumberFormat="1" applyFont="1" applyBorder="1" applyAlignment="1">
      <alignment horizontal="center" vertical="center"/>
    </xf>
    <xf numFmtId="3" fontId="6" fillId="0" borderId="7" xfId="2" applyNumberFormat="1" applyFont="1" applyBorder="1" applyAlignment="1">
      <alignment horizontal="center" vertical="center"/>
    </xf>
    <xf numFmtId="0" fontId="10" fillId="7" borderId="13" xfId="2" applyFont="1" applyFill="1" applyBorder="1" applyAlignment="1">
      <alignment horizontal="center" vertical="center" wrapText="1"/>
    </xf>
    <xf numFmtId="0" fontId="10" fillId="7" borderId="15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7" borderId="11" xfId="2" applyFont="1" applyFill="1" applyBorder="1" applyAlignment="1">
      <alignment horizontal="center" vertical="center" wrapText="1"/>
    </xf>
    <xf numFmtId="49" fontId="10" fillId="7" borderId="10" xfId="2" applyNumberFormat="1" applyFont="1" applyFill="1" applyBorder="1" applyAlignment="1">
      <alignment horizontal="center" vertical="center" wrapText="1"/>
    </xf>
    <xf numFmtId="0" fontId="4" fillId="0" borderId="14" xfId="2" applyFont="1" applyBorder="1"/>
    <xf numFmtId="0" fontId="4" fillId="0" borderId="11" xfId="2" applyFont="1" applyBorder="1"/>
    <xf numFmtId="0" fontId="6" fillId="0" borderId="18" xfId="2" applyFont="1" applyBorder="1" applyAlignment="1">
      <alignment horizontal="center" vertical="center"/>
    </xf>
    <xf numFmtId="49" fontId="6" fillId="0" borderId="14" xfId="2" applyNumberFormat="1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3" fontId="6" fillId="0" borderId="27" xfId="2" applyNumberFormat="1" applyFont="1" applyBorder="1" applyAlignment="1">
      <alignment horizontal="center" vertical="center"/>
    </xf>
    <xf numFmtId="3" fontId="6" fillId="0" borderId="28" xfId="2" applyNumberFormat="1" applyFont="1" applyBorder="1" applyAlignment="1">
      <alignment horizontal="center" vertical="center"/>
    </xf>
    <xf numFmtId="3" fontId="6" fillId="0" borderId="26" xfId="2" applyNumberFormat="1" applyFont="1" applyBorder="1" applyAlignment="1">
      <alignment horizontal="center" vertical="center"/>
    </xf>
    <xf numFmtId="3" fontId="6" fillId="0" borderId="15" xfId="2" applyNumberFormat="1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3" fontId="6" fillId="0" borderId="29" xfId="2" applyNumberFormat="1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49" fontId="6" fillId="0" borderId="13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49" fontId="6" fillId="0" borderId="15" xfId="2" applyNumberFormat="1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/>
    </xf>
    <xf numFmtId="3" fontId="6" fillId="0" borderId="22" xfId="2" applyNumberFormat="1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3" fontId="6" fillId="0" borderId="31" xfId="2" applyNumberFormat="1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49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3" fontId="16" fillId="0" borderId="0" xfId="2" applyNumberFormat="1" applyFont="1" applyAlignment="1">
      <alignment horizontal="center"/>
    </xf>
    <xf numFmtId="0" fontId="7" fillId="0" borderId="0" xfId="2" applyFont="1"/>
    <xf numFmtId="0" fontId="9" fillId="0" borderId="0" xfId="2" applyFont="1" applyAlignment="1">
      <alignment horizontal="center"/>
    </xf>
    <xf numFmtId="3" fontId="9" fillId="0" borderId="0" xfId="2" applyNumberFormat="1" applyFont="1" applyAlignment="1">
      <alignment horizontal="center"/>
    </xf>
    <xf numFmtId="3" fontId="15" fillId="0" borderId="0" xfId="2" applyNumberFormat="1" applyFont="1" applyAlignment="1">
      <alignment horizontal="center"/>
    </xf>
    <xf numFmtId="0" fontId="6" fillId="0" borderId="34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3" fontId="6" fillId="0" borderId="35" xfId="2" applyNumberFormat="1" applyFont="1" applyBorder="1" applyAlignment="1">
      <alignment horizontal="center" vertical="center"/>
    </xf>
    <xf numFmtId="3" fontId="6" fillId="0" borderId="30" xfId="2" applyNumberFormat="1" applyFont="1" applyBorder="1" applyAlignment="1">
      <alignment horizontal="center" vertical="center"/>
    </xf>
    <xf numFmtId="3" fontId="6" fillId="0" borderId="36" xfId="2" applyNumberFormat="1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 vertical="center"/>
    </xf>
    <xf numFmtId="3" fontId="6" fillId="0" borderId="37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center" vertical="center"/>
    </xf>
    <xf numFmtId="49" fontId="6" fillId="0" borderId="17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49" fontId="9" fillId="12" borderId="4" xfId="2" applyNumberFormat="1" applyFont="1" applyFill="1" applyBorder="1" applyAlignment="1">
      <alignment horizontal="center" vertical="center"/>
    </xf>
    <xf numFmtId="0" fontId="4" fillId="9" borderId="5" xfId="2" applyFont="1" applyFill="1" applyBorder="1"/>
    <xf numFmtId="0" fontId="4" fillId="9" borderId="6" xfId="2" applyFont="1" applyFill="1" applyBorder="1"/>
    <xf numFmtId="0" fontId="4" fillId="9" borderId="7" xfId="2" applyFont="1" applyFill="1" applyBorder="1"/>
    <xf numFmtId="0" fontId="4" fillId="9" borderId="8" xfId="2" applyFont="1" applyFill="1" applyBorder="1"/>
    <xf numFmtId="0" fontId="4" fillId="9" borderId="9" xfId="2" applyFont="1" applyFill="1" applyBorder="1"/>
    <xf numFmtId="0" fontId="3" fillId="4" borderId="5" xfId="2" applyFont="1" applyFill="1" applyBorder="1" applyAlignment="1">
      <alignment horizontal="center" vertical="center"/>
    </xf>
    <xf numFmtId="0" fontId="3" fillId="4" borderId="20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</cellXfs>
  <cellStyles count="3">
    <cellStyle name="Normal" xfId="0" builtinId="0"/>
    <cellStyle name="Normal 2" xfId="2" xr:uid="{F3617814-314A-482E-8769-64E4D51AB4B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3D90-5814-426D-B8D9-E64B0A564853}">
  <sheetPr codeName="Sheet1">
    <outlinePr summaryBelow="0" summaryRight="0"/>
    <pageSetUpPr fitToPage="1"/>
  </sheetPr>
  <dimension ref="A1:Y1107"/>
  <sheetViews>
    <sheetView topLeftCell="A4" zoomScale="90" zoomScaleNormal="90" workbookViewId="0">
      <pane xSplit="9" ySplit="6" topLeftCell="V133" activePane="bottomRight" state="frozen"/>
      <selection activeCell="A4" sqref="A4"/>
      <selection pane="topRight" activeCell="I4" sqref="I4"/>
      <selection pane="bottomLeft" activeCell="A10" sqref="A10"/>
      <selection pane="bottomRight" activeCell="Z138" sqref="Z138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7" width="12.6328125" style="4" customWidth="1"/>
    <col min="18" max="18" width="16.54296875" style="4" customWidth="1"/>
    <col min="19" max="19" width="21.08984375" style="4" customWidth="1"/>
    <col min="20" max="20" width="14.08984375" style="4" customWidth="1"/>
    <col min="21" max="23" width="12.6328125" style="4"/>
    <col min="24" max="24" width="12.6328125" style="113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>
      <c r="A5" s="204" t="s">
        <v>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6"/>
      <c r="U5" s="211" t="s">
        <v>5</v>
      </c>
      <c r="V5" s="212"/>
      <c r="W5" s="212"/>
      <c r="X5" s="213"/>
      <c r="Y5" s="3"/>
    </row>
    <row r="6" spans="1:25" ht="12.5">
      <c r="A6" s="207"/>
      <c r="B6" s="208"/>
      <c r="C6" s="208"/>
      <c r="D6" s="208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10"/>
      <c r="U6" s="214"/>
      <c r="V6" s="215"/>
      <c r="W6" s="215"/>
      <c r="X6" s="216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15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6"/>
      <c r="B9" s="7"/>
      <c r="C9" s="7"/>
      <c r="D9" s="8"/>
      <c r="E9" s="8">
        <f>SUM(E10:E143)</f>
        <v>11400000</v>
      </c>
      <c r="F9" s="8">
        <f>SUM(F10:F143)</f>
        <v>8700000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1154*7000</f>
        <v>8078000</v>
      </c>
      <c r="H10" s="13"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2"/>
      <c r="W10" s="15"/>
      <c r="X10" s="16">
        <f>D10+F10+E10+G10</f>
        <v>19278000</v>
      </c>
      <c r="Y10" s="17" t="s">
        <v>192</v>
      </c>
    </row>
    <row r="11" spans="1:25" ht="14">
      <c r="A11" s="221" t="s">
        <v>33</v>
      </c>
      <c r="B11" s="223" t="s">
        <v>34</v>
      </c>
      <c r="C11" s="223" t="s">
        <v>35</v>
      </c>
      <c r="D11" s="226">
        <v>0</v>
      </c>
      <c r="E11" s="226">
        <v>500000</v>
      </c>
      <c r="F11" s="229">
        <v>500000</v>
      </c>
      <c r="G11" s="177"/>
      <c r="H11" s="177">
        <v>0</v>
      </c>
      <c r="I11" s="23" t="s">
        <v>37</v>
      </c>
      <c r="J11" s="14">
        <v>19</v>
      </c>
      <c r="K11" s="14">
        <v>80600000</v>
      </c>
      <c r="L11" s="18">
        <f>104120000-10100000</f>
        <v>94020000</v>
      </c>
      <c r="M11" s="14">
        <f>87228000-10100000</f>
        <v>77128000</v>
      </c>
      <c r="N11" s="14">
        <v>15075000</v>
      </c>
      <c r="O11" s="14">
        <v>0</v>
      </c>
      <c r="P11" s="14">
        <f t="shared" ref="P11:P14" si="0">SUM(M11:O11)</f>
        <v>92203000</v>
      </c>
      <c r="Q11" s="14">
        <v>21820000</v>
      </c>
      <c r="R11" s="19">
        <f>Q11/L11</f>
        <v>0.23207828121676238</v>
      </c>
      <c r="S11" s="14"/>
      <c r="T11" s="14">
        <f>P11-(P11*R11)+S11</f>
        <v>70804686.236970857</v>
      </c>
      <c r="U11" s="20">
        <f>(T11/K11)*100</f>
        <v>87.847005256787654</v>
      </c>
      <c r="V11" s="21">
        <f>U11*109000/90</f>
        <v>106392.48414433173</v>
      </c>
      <c r="W11" s="22">
        <f>V11*J11</f>
        <v>2021457.1987423028</v>
      </c>
      <c r="X11" s="177">
        <f>SUM(W11:W14)+D11+F11+G11+H11+E11</f>
        <v>6228175.9465570375</v>
      </c>
      <c r="Y11" s="239" t="s">
        <v>192</v>
      </c>
    </row>
    <row r="12" spans="1:25" ht="14">
      <c r="A12" s="222"/>
      <c r="B12" s="224" t="str">
        <f>B11</f>
        <v>Đặng Tiến Đạt</v>
      </c>
      <c r="C12" s="224"/>
      <c r="D12" s="227"/>
      <c r="E12" s="227"/>
      <c r="F12" s="230"/>
      <c r="G12" s="177"/>
      <c r="H12" s="177"/>
      <c r="I12" s="25" t="s">
        <v>38</v>
      </c>
      <c r="J12" s="23">
        <v>6</v>
      </c>
      <c r="K12" s="23">
        <v>26100000</v>
      </c>
      <c r="L12" s="18">
        <v>24417000</v>
      </c>
      <c r="M12" s="14">
        <v>24309000</v>
      </c>
      <c r="N12" s="14">
        <v>54000</v>
      </c>
      <c r="O12" s="14">
        <v>0</v>
      </c>
      <c r="P12" s="14">
        <f t="shared" si="0"/>
        <v>24363000</v>
      </c>
      <c r="Q12" s="14">
        <v>4317000</v>
      </c>
      <c r="R12" s="19">
        <f>Q12/L12</f>
        <v>0.17680304705737807</v>
      </c>
      <c r="S12" s="14"/>
      <c r="T12" s="14">
        <f>P12-(P12*R12)+S12</f>
        <v>20055547.364541098</v>
      </c>
      <c r="U12" s="20">
        <f>(T12/K12)*100</f>
        <v>76.841177641919927</v>
      </c>
      <c r="V12" s="21">
        <f>U12*75000/75</f>
        <v>76841.17764191993</v>
      </c>
      <c r="W12" s="22">
        <f>V12*J12</f>
        <v>461047.06585151958</v>
      </c>
      <c r="X12" s="178"/>
      <c r="Y12" s="239"/>
    </row>
    <row r="13" spans="1:25" ht="14">
      <c r="A13" s="222"/>
      <c r="B13" s="224" t="str">
        <f>B12</f>
        <v>Đặng Tiến Đạt</v>
      </c>
      <c r="C13" s="224"/>
      <c r="D13" s="227"/>
      <c r="E13" s="227"/>
      <c r="F13" s="230"/>
      <c r="G13" s="177"/>
      <c r="H13" s="177"/>
      <c r="I13" s="25" t="s">
        <v>39</v>
      </c>
      <c r="J13" s="26">
        <v>13</v>
      </c>
      <c r="K13" s="26">
        <v>48000000</v>
      </c>
      <c r="L13" s="18">
        <v>52752000</v>
      </c>
      <c r="M13" s="14">
        <v>47908000</v>
      </c>
      <c r="N13" s="14">
        <v>4359600</v>
      </c>
      <c r="O13" s="14">
        <v>0</v>
      </c>
      <c r="P13" s="14">
        <f t="shared" si="0"/>
        <v>52267600</v>
      </c>
      <c r="Q13" s="14">
        <v>9194000</v>
      </c>
      <c r="R13" s="27">
        <f>Q13/L13</f>
        <v>0.17428723081589323</v>
      </c>
      <c r="S13" s="14">
        <v>790322.58064516122</v>
      </c>
      <c r="T13" s="14">
        <f>P13-(P13*R13)+S13</f>
        <v>43948347.315252379</v>
      </c>
      <c r="U13" s="28">
        <f>(T13/K13)*100</f>
        <v>91.559056906775794</v>
      </c>
      <c r="V13" s="21">
        <f>U13*110000/90</f>
        <v>111905.5139971704</v>
      </c>
      <c r="W13" s="22">
        <f>V13*J13</f>
        <v>1454771.6819632153</v>
      </c>
      <c r="X13" s="178"/>
      <c r="Y13" s="239"/>
    </row>
    <row r="14" spans="1:25" ht="14">
      <c r="A14" s="222"/>
      <c r="B14" s="224" t="str">
        <f>B13</f>
        <v>Đặng Tiến Đạt</v>
      </c>
      <c r="C14" s="224"/>
      <c r="D14" s="227"/>
      <c r="E14" s="227"/>
      <c r="F14" s="230"/>
      <c r="G14" s="177"/>
      <c r="H14" s="177"/>
      <c r="I14" s="29" t="s">
        <v>40</v>
      </c>
      <c r="J14" s="30">
        <v>10</v>
      </c>
      <c r="K14" s="30">
        <v>40000000</v>
      </c>
      <c r="L14" s="114">
        <v>49693000</v>
      </c>
      <c r="M14" s="23">
        <v>49693000</v>
      </c>
      <c r="N14" s="23">
        <v>0</v>
      </c>
      <c r="O14" s="23">
        <v>0</v>
      </c>
      <c r="P14" s="23">
        <f t="shared" si="0"/>
        <v>49693000</v>
      </c>
      <c r="Q14" s="32">
        <v>9973000</v>
      </c>
      <c r="R14" s="33">
        <f>Q14/L14</f>
        <v>0.20069225041756383</v>
      </c>
      <c r="S14" s="23"/>
      <c r="T14" s="32">
        <f>P14-(P14*R14)+S14</f>
        <v>39720000</v>
      </c>
      <c r="U14" s="34">
        <f>(T14/K14)*100</f>
        <v>99.3</v>
      </c>
      <c r="V14" s="15">
        <f>U14*130000/100</f>
        <v>129090</v>
      </c>
      <c r="W14" s="35">
        <f>V14*J14</f>
        <v>1290900</v>
      </c>
      <c r="X14" s="178"/>
      <c r="Y14" s="239"/>
    </row>
    <row r="15" spans="1:25" ht="12.5">
      <c r="A15" s="222"/>
      <c r="B15" s="224"/>
      <c r="C15" s="224"/>
      <c r="D15" s="227"/>
      <c r="E15" s="227"/>
      <c r="F15" s="230"/>
      <c r="G15" s="177"/>
      <c r="H15" s="177"/>
      <c r="I15" s="36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178"/>
      <c r="Y16" s="239"/>
    </row>
    <row r="17" spans="1:25" ht="12.5">
      <c r="A17" s="179"/>
      <c r="B17" s="178" t="str">
        <f>B14</f>
        <v>Đặng Tiến Đạt</v>
      </c>
      <c r="C17" s="225"/>
      <c r="D17" s="228"/>
      <c r="E17" s="228"/>
      <c r="F17" s="231"/>
      <c r="G17" s="177"/>
      <c r="H17" s="177"/>
      <c r="I17" s="39"/>
      <c r="J17" s="39">
        <f t="shared" ref="J17:Q17" si="1">SUM(J11:J16)</f>
        <v>48</v>
      </c>
      <c r="K17" s="39">
        <f t="shared" si="1"/>
        <v>194700000</v>
      </c>
      <c r="L17" s="39">
        <f t="shared" si="1"/>
        <v>220882000</v>
      </c>
      <c r="M17" s="39">
        <f t="shared" si="1"/>
        <v>199038000</v>
      </c>
      <c r="N17" s="39">
        <f t="shared" si="1"/>
        <v>19488600</v>
      </c>
      <c r="O17" s="39">
        <f t="shared" si="1"/>
        <v>0</v>
      </c>
      <c r="P17" s="39">
        <f t="shared" si="1"/>
        <v>218526600</v>
      </c>
      <c r="Q17" s="39">
        <f t="shared" si="1"/>
        <v>45304000</v>
      </c>
      <c r="R17" s="40"/>
      <c r="S17" s="39">
        <f>SUM(S11:S14)</f>
        <v>790322.58064516122</v>
      </c>
      <c r="T17" s="41">
        <f>SUM(T11:T16)</f>
        <v>174528580.91676432</v>
      </c>
      <c r="U17" s="42">
        <f>(T17/K17)*100</f>
        <v>89.639743665518395</v>
      </c>
      <c r="V17" s="43"/>
      <c r="W17" s="39">
        <f>SUM(W11:W16)</f>
        <v>5228175.9465570375</v>
      </c>
      <c r="X17" s="178"/>
      <c r="Y17" s="239"/>
    </row>
    <row r="18" spans="1:25" ht="14">
      <c r="A18" s="222" t="s">
        <v>41</v>
      </c>
      <c r="B18" s="224" t="s">
        <v>42</v>
      </c>
      <c r="C18" s="224" t="s">
        <v>43</v>
      </c>
      <c r="D18" s="227">
        <v>8000000</v>
      </c>
      <c r="E18" s="226">
        <v>500000</v>
      </c>
      <c r="F18" s="230">
        <v>500000</v>
      </c>
      <c r="G18" s="177">
        <f>1154*5000</f>
        <v>5770000</v>
      </c>
      <c r="H18" s="177"/>
      <c r="I18" s="25" t="s">
        <v>44</v>
      </c>
      <c r="J18" s="44">
        <v>50</v>
      </c>
      <c r="K18" s="26">
        <v>170000000</v>
      </c>
      <c r="L18" s="18">
        <v>196438000</v>
      </c>
      <c r="M18" s="14">
        <v>193786000</v>
      </c>
      <c r="N18" s="14">
        <v>2230200</v>
      </c>
      <c r="O18" s="14">
        <v>0</v>
      </c>
      <c r="P18" s="14">
        <f>SUM(M18:O18)</f>
        <v>196016200</v>
      </c>
      <c r="Q18" s="44">
        <v>41438000</v>
      </c>
      <c r="R18" s="45">
        <f>Q18/L18</f>
        <v>0.21094696545474909</v>
      </c>
      <c r="S18" s="14"/>
      <c r="T18" s="26">
        <f t="shared" ref="T18:T24" si="2">P18-(P18*R18)+S18</f>
        <v>154667177.4300288</v>
      </c>
      <c r="U18" s="46">
        <f t="shared" ref="U18:U111" si="3">(T18/K18)*100</f>
        <v>90.980692605899293</v>
      </c>
      <c r="V18" s="12">
        <f>U18*110000/90</f>
        <v>111198.62429609914</v>
      </c>
      <c r="W18" s="21">
        <f t="shared" ref="W18:W24" si="4">V18*J18</f>
        <v>5559931.2148049567</v>
      </c>
      <c r="X18" s="177">
        <f>W25+D18+F18+G18+H18+E18</f>
        <v>21954835.159331501</v>
      </c>
      <c r="Y18" s="239"/>
    </row>
    <row r="19" spans="1:25" ht="14">
      <c r="A19" s="222"/>
      <c r="B19" s="224" t="str">
        <f>B18</f>
        <v>Trần Quang Huy</v>
      </c>
      <c r="C19" s="224"/>
      <c r="D19" s="227"/>
      <c r="E19" s="227"/>
      <c r="F19" s="230"/>
      <c r="G19" s="177"/>
      <c r="H19" s="177"/>
      <c r="I19" s="26" t="s">
        <v>45</v>
      </c>
      <c r="J19" s="47">
        <v>14</v>
      </c>
      <c r="K19" s="26">
        <v>46300000</v>
      </c>
      <c r="L19" s="31">
        <v>54990000</v>
      </c>
      <c r="M19" s="14">
        <v>54990000</v>
      </c>
      <c r="N19" s="14">
        <v>0</v>
      </c>
      <c r="O19" s="14">
        <v>0</v>
      </c>
      <c r="P19" s="14">
        <f t="shared" ref="P19:P24" si="5">SUM(M19:O19)</f>
        <v>54990000</v>
      </c>
      <c r="Q19" s="44">
        <v>12090000</v>
      </c>
      <c r="R19" s="45">
        <f t="shared" ref="R19:R87" si="6">Q19/L19</f>
        <v>0.21985815602836881</v>
      </c>
      <c r="S19" s="14"/>
      <c r="T19" s="26">
        <f t="shared" si="2"/>
        <v>42900000</v>
      </c>
      <c r="U19" s="46">
        <f t="shared" si="3"/>
        <v>92.656587473002162</v>
      </c>
      <c r="V19" s="12">
        <f>U19*119000/95</f>
        <v>116064.56746618166</v>
      </c>
      <c r="W19" s="21">
        <f t="shared" si="4"/>
        <v>1624903.9445265431</v>
      </c>
      <c r="X19" s="178"/>
      <c r="Y19" s="239"/>
    </row>
    <row r="20" spans="1:25" ht="12.5">
      <c r="A20" s="222"/>
      <c r="B20" s="224" t="str">
        <f>B19</f>
        <v>Trần Quang Huy</v>
      </c>
      <c r="C20" s="224"/>
      <c r="D20" s="227"/>
      <c r="E20" s="227"/>
      <c r="F20" s="230"/>
      <c r="G20" s="177"/>
      <c r="H20" s="177"/>
      <c r="J20" s="49"/>
      <c r="K20" s="37"/>
      <c r="L20" s="14"/>
      <c r="M20" s="14"/>
      <c r="N20" s="14"/>
      <c r="O20" s="14"/>
      <c r="P20" s="14">
        <f t="shared" si="5"/>
        <v>0</v>
      </c>
      <c r="Q20" s="44"/>
      <c r="R20" s="45"/>
      <c r="S20" s="14"/>
      <c r="T20" s="26">
        <f t="shared" si="2"/>
        <v>0</v>
      </c>
      <c r="U20" s="46">
        <f>(T20/K117)*100</f>
        <v>0</v>
      </c>
      <c r="V20" s="12">
        <f>U20*100000/85</f>
        <v>0</v>
      </c>
      <c r="W20" s="21">
        <f t="shared" si="4"/>
        <v>0</v>
      </c>
      <c r="X20" s="178"/>
      <c r="Y20" s="239"/>
    </row>
    <row r="21" spans="1:25" ht="12.5">
      <c r="A21" s="222"/>
      <c r="B21" s="224" t="str">
        <f>B20</f>
        <v>Trần Quang Huy</v>
      </c>
      <c r="C21" s="224"/>
      <c r="D21" s="227"/>
      <c r="E21" s="227"/>
      <c r="F21" s="230"/>
      <c r="G21" s="177"/>
      <c r="H21" s="177"/>
      <c r="I21" s="36"/>
      <c r="J21" s="37"/>
      <c r="K21" s="37"/>
      <c r="L21" s="14"/>
      <c r="M21" s="14"/>
      <c r="N21" s="14"/>
      <c r="O21" s="14"/>
      <c r="P21" s="14">
        <f t="shared" si="5"/>
        <v>0</v>
      </c>
      <c r="Q21" s="44"/>
      <c r="R21" s="45"/>
      <c r="S21" s="14"/>
      <c r="T21" s="26">
        <f t="shared" si="2"/>
        <v>0</v>
      </c>
      <c r="U21" s="46">
        <f>(T21/K98)*100</f>
        <v>0</v>
      </c>
      <c r="V21" s="12">
        <f>U21*109000/90</f>
        <v>0</v>
      </c>
      <c r="W21" s="21">
        <f t="shared" si="4"/>
        <v>0</v>
      </c>
      <c r="X21" s="178"/>
      <c r="Y21" s="239"/>
    </row>
    <row r="22" spans="1:25" ht="12.5">
      <c r="A22" s="222"/>
      <c r="B22" s="224" t="str">
        <f>B21</f>
        <v>Trần Quang Huy</v>
      </c>
      <c r="C22" s="224"/>
      <c r="D22" s="227"/>
      <c r="E22" s="227"/>
      <c r="F22" s="230"/>
      <c r="G22" s="177"/>
      <c r="H22" s="177"/>
      <c r="I22" s="36"/>
      <c r="J22" s="37"/>
      <c r="K22" s="37"/>
      <c r="L22" s="14"/>
      <c r="M22" s="14"/>
      <c r="N22" s="14"/>
      <c r="O22" s="14"/>
      <c r="P22" s="14">
        <f t="shared" si="5"/>
        <v>0</v>
      </c>
      <c r="Q22" s="44"/>
      <c r="R22" s="45"/>
      <c r="S22" s="14"/>
      <c r="T22" s="26">
        <f t="shared" si="2"/>
        <v>0</v>
      </c>
      <c r="U22" s="46">
        <f>(T22/K19)*100</f>
        <v>0</v>
      </c>
      <c r="V22" s="12">
        <f>U22*100000/85</f>
        <v>0</v>
      </c>
      <c r="W22" s="21">
        <f t="shared" si="4"/>
        <v>0</v>
      </c>
      <c r="X22" s="178"/>
      <c r="Y22" s="239"/>
    </row>
    <row r="23" spans="1:25" ht="12.5">
      <c r="A23" s="222"/>
      <c r="B23" s="224"/>
      <c r="C23" s="224"/>
      <c r="D23" s="227"/>
      <c r="E23" s="227"/>
      <c r="F23" s="230"/>
      <c r="G23" s="177"/>
      <c r="H23" s="177"/>
      <c r="I23" s="36"/>
      <c r="J23" s="37"/>
      <c r="K23" s="37"/>
      <c r="L23" s="23"/>
      <c r="M23" s="23"/>
      <c r="N23" s="23"/>
      <c r="O23" s="23"/>
      <c r="P23" s="14">
        <f t="shared" si="5"/>
        <v>0</v>
      </c>
      <c r="Q23" s="44"/>
      <c r="R23" s="45"/>
      <c r="S23" s="14"/>
      <c r="T23" s="26">
        <f t="shared" si="2"/>
        <v>0</v>
      </c>
      <c r="U23" s="46">
        <f>(T23/K98)*100</f>
        <v>0</v>
      </c>
      <c r="V23" s="12">
        <f>U23*109000/95</f>
        <v>0</v>
      </c>
      <c r="W23" s="21">
        <f t="shared" si="4"/>
        <v>0</v>
      </c>
      <c r="X23" s="178"/>
      <c r="Y23" s="239"/>
    </row>
    <row r="24" spans="1:25" ht="12.5">
      <c r="A24" s="222"/>
      <c r="B24" s="224"/>
      <c r="C24" s="224"/>
      <c r="D24" s="227"/>
      <c r="E24" s="227"/>
      <c r="F24" s="230"/>
      <c r="G24" s="177"/>
      <c r="H24" s="177"/>
      <c r="I24" s="36"/>
      <c r="J24" s="37"/>
      <c r="K24" s="37"/>
      <c r="L24" s="25"/>
      <c r="M24" s="26"/>
      <c r="N24" s="26"/>
      <c r="O24" s="26"/>
      <c r="P24" s="14">
        <f t="shared" si="5"/>
        <v>0</v>
      </c>
      <c r="Q24" s="32"/>
      <c r="R24" s="45"/>
      <c r="S24" s="32"/>
      <c r="T24" s="26">
        <f t="shared" si="2"/>
        <v>0</v>
      </c>
      <c r="U24" s="46">
        <f>(T24/K19)*100</f>
        <v>0</v>
      </c>
      <c r="V24" s="12">
        <f>U24*109000/95</f>
        <v>0</v>
      </c>
      <c r="W24" s="21">
        <f t="shared" si="4"/>
        <v>0</v>
      </c>
      <c r="X24" s="178"/>
      <c r="Y24" s="239"/>
    </row>
    <row r="25" spans="1:25" ht="13">
      <c r="A25" s="240"/>
      <c r="B25" s="241" t="str">
        <f>B22</f>
        <v>Trần Quang Huy</v>
      </c>
      <c r="C25" s="241"/>
      <c r="D25" s="228"/>
      <c r="E25" s="228"/>
      <c r="F25" s="231"/>
      <c r="G25" s="177"/>
      <c r="H25" s="177"/>
      <c r="I25" s="51"/>
      <c r="J25" s="52">
        <f>SUM(J18:J24)</f>
        <v>64</v>
      </c>
      <c r="K25" s="52">
        <f>SUM(K18:K24)</f>
        <v>216300000</v>
      </c>
      <c r="L25" s="52">
        <f>SUM(L18:L24)</f>
        <v>251428000</v>
      </c>
      <c r="M25" s="52">
        <f t="shared" ref="M25:N25" si="7">SUM(M18:M24)</f>
        <v>248776000</v>
      </c>
      <c r="N25" s="52">
        <f t="shared" si="7"/>
        <v>2230200</v>
      </c>
      <c r="O25" s="52">
        <f>SUM(O18:O24)</f>
        <v>0</v>
      </c>
      <c r="P25" s="52">
        <f>SUM(P18:P24)</f>
        <v>251006200</v>
      </c>
      <c r="Q25" s="52">
        <f>SUM(Q18:Q24)</f>
        <v>53528000</v>
      </c>
      <c r="R25" s="53"/>
      <c r="S25" s="52">
        <f>SUM(S18:S24)</f>
        <v>0</v>
      </c>
      <c r="T25" s="54">
        <f>SUM(T18:T24)</f>
        <v>197567177.4300288</v>
      </c>
      <c r="U25" s="55">
        <f>(T25/K25)*100</f>
        <v>91.339425533993904</v>
      </c>
      <c r="V25" s="52"/>
      <c r="W25" s="52">
        <f>SUM(W18:W24)</f>
        <v>7184835.1593314996</v>
      </c>
      <c r="X25" s="178"/>
      <c r="Y25" s="239"/>
    </row>
    <row r="26" spans="1:25" ht="13" customHeight="1">
      <c r="A26" s="221" t="s">
        <v>46</v>
      </c>
      <c r="B26" s="249" t="s">
        <v>47</v>
      </c>
      <c r="C26" s="223" t="s">
        <v>35</v>
      </c>
      <c r="D26" s="226"/>
      <c r="E26" s="226">
        <v>500000</v>
      </c>
      <c r="F26" s="229">
        <v>500000</v>
      </c>
      <c r="G26" s="177">
        <v>0</v>
      </c>
      <c r="H26" s="177">
        <v>2000000</v>
      </c>
      <c r="I26" s="14" t="s">
        <v>48</v>
      </c>
      <c r="J26" s="56">
        <v>22</v>
      </c>
      <c r="K26" s="56">
        <v>103000000</v>
      </c>
      <c r="L26" s="14">
        <v>117869000</v>
      </c>
      <c r="M26" s="14">
        <v>109541000</v>
      </c>
      <c r="N26" s="14">
        <v>7609680</v>
      </c>
      <c r="O26" s="14">
        <v>0</v>
      </c>
      <c r="P26" s="14">
        <f>SUM(M26:O26)</f>
        <v>117150680</v>
      </c>
      <c r="Q26" s="14">
        <v>26369000</v>
      </c>
      <c r="R26" s="45">
        <f t="shared" si="6"/>
        <v>0.22371446266618025</v>
      </c>
      <c r="S26" s="14">
        <v>4500000</v>
      </c>
      <c r="T26" s="26">
        <f>P26-(P26*R26)+S26</f>
        <v>95442378.572822362</v>
      </c>
      <c r="U26" s="46">
        <f>(T26/K26)*100</f>
        <v>92.662503468759567</v>
      </c>
      <c r="V26" s="12">
        <f>U26*119000/95</f>
        <v>116071.97802928829</v>
      </c>
      <c r="W26" s="15">
        <f>V26*J26</f>
        <v>2553583.5166443423</v>
      </c>
      <c r="X26" s="177">
        <f>W34+D26+F26+G26+H26+E26</f>
        <v>14854506.408248447</v>
      </c>
      <c r="Y26" s="246"/>
    </row>
    <row r="27" spans="1:25" ht="13" customHeight="1">
      <c r="A27" s="222"/>
      <c r="B27" s="247"/>
      <c r="C27" s="224"/>
      <c r="D27" s="227"/>
      <c r="E27" s="227"/>
      <c r="F27" s="230"/>
      <c r="G27" s="177"/>
      <c r="H27" s="177"/>
      <c r="I27" s="32" t="s">
        <v>49</v>
      </c>
      <c r="J27" s="26">
        <v>8</v>
      </c>
      <c r="K27" s="26">
        <v>32800000</v>
      </c>
      <c r="L27" s="14">
        <v>38978000</v>
      </c>
      <c r="M27" s="14">
        <v>38978000</v>
      </c>
      <c r="N27" s="14">
        <v>0</v>
      </c>
      <c r="O27" s="14">
        <v>0</v>
      </c>
      <c r="P27" s="14">
        <f t="shared" ref="P27:P33" si="8">SUM(M27:O27)</f>
        <v>38978000</v>
      </c>
      <c r="Q27" s="14">
        <v>8578000</v>
      </c>
      <c r="R27" s="45">
        <f t="shared" si="6"/>
        <v>0.22007286161424394</v>
      </c>
      <c r="S27" s="14"/>
      <c r="T27" s="26">
        <f t="shared" ref="T27:T33" si="9">P27-(P27*R27)+S27</f>
        <v>30400000</v>
      </c>
      <c r="U27" s="46">
        <f t="shared" ref="U27:U33" si="10">(T27/K27)*100</f>
        <v>92.682926829268297</v>
      </c>
      <c r="V27" s="21">
        <f t="shared" ref="V27:V29" si="11">U27*119000/95</f>
        <v>116097.56097560975</v>
      </c>
      <c r="W27" s="16">
        <f t="shared" ref="W27:W33" si="12">V27*J27</f>
        <v>928780.48780487804</v>
      </c>
      <c r="X27" s="177"/>
      <c r="Y27" s="246"/>
    </row>
    <row r="28" spans="1:25" ht="13" customHeight="1">
      <c r="A28" s="222"/>
      <c r="B28" s="247"/>
      <c r="C28" s="224"/>
      <c r="D28" s="227"/>
      <c r="E28" s="227"/>
      <c r="F28" s="230"/>
      <c r="G28" s="177"/>
      <c r="H28" s="177"/>
      <c r="I28" s="47" t="s">
        <v>50</v>
      </c>
      <c r="J28" s="26">
        <v>9</v>
      </c>
      <c r="K28" s="26">
        <v>37800000</v>
      </c>
      <c r="L28" s="14">
        <v>43524000</v>
      </c>
      <c r="M28" s="14">
        <v>38840000</v>
      </c>
      <c r="N28" s="14">
        <v>0</v>
      </c>
      <c r="O28" s="14">
        <v>0</v>
      </c>
      <c r="P28" s="14">
        <f t="shared" si="8"/>
        <v>38840000</v>
      </c>
      <c r="Q28" s="14">
        <v>8124000</v>
      </c>
      <c r="R28" s="45">
        <f t="shared" si="6"/>
        <v>0.18665563826854151</v>
      </c>
      <c r="S28" s="14"/>
      <c r="T28" s="26">
        <f t="shared" si="9"/>
        <v>31590295.009649847</v>
      </c>
      <c r="U28" s="46">
        <f t="shared" si="10"/>
        <v>83.572209020237693</v>
      </c>
      <c r="V28" s="21">
        <f>U28*94000/85</f>
        <v>92421.031151792282</v>
      </c>
      <c r="W28" s="16">
        <f t="shared" si="12"/>
        <v>831789.28036613052</v>
      </c>
      <c r="X28" s="177"/>
      <c r="Y28" s="246"/>
    </row>
    <row r="29" spans="1:25" ht="13" customHeight="1">
      <c r="A29" s="222"/>
      <c r="B29" s="247"/>
      <c r="C29" s="224"/>
      <c r="D29" s="227"/>
      <c r="E29" s="227"/>
      <c r="F29" s="230"/>
      <c r="G29" s="177"/>
      <c r="H29" s="177"/>
      <c r="I29" s="26" t="s">
        <v>51</v>
      </c>
      <c r="J29" s="14">
        <v>17</v>
      </c>
      <c r="K29" s="14">
        <v>42000000</v>
      </c>
      <c r="L29" s="14">
        <f>54228000-2300000</f>
        <v>51928000</v>
      </c>
      <c r="M29" s="14">
        <f>51282000-2300000</f>
        <v>48982000</v>
      </c>
      <c r="N29" s="14">
        <v>0</v>
      </c>
      <c r="O29" s="14">
        <v>0</v>
      </c>
      <c r="P29" s="14">
        <f t="shared" si="8"/>
        <v>48982000</v>
      </c>
      <c r="Q29" s="14">
        <v>10728000</v>
      </c>
      <c r="R29" s="45">
        <f t="shared" si="6"/>
        <v>0.20659374518564166</v>
      </c>
      <c r="S29" s="14"/>
      <c r="T29" s="26">
        <f t="shared" si="9"/>
        <v>38862625.173316896</v>
      </c>
      <c r="U29" s="46">
        <f t="shared" si="10"/>
        <v>92.530059936468803</v>
      </c>
      <c r="V29" s="21">
        <f t="shared" si="11"/>
        <v>115906.07507831356</v>
      </c>
      <c r="W29" s="16">
        <f t="shared" si="12"/>
        <v>1970403.2763313304</v>
      </c>
      <c r="X29" s="177"/>
      <c r="Y29" s="246"/>
    </row>
    <row r="30" spans="1:25" ht="13" customHeight="1">
      <c r="A30" s="222"/>
      <c r="B30" s="247" t="str">
        <f>B26</f>
        <v>Nguyễn Thị Thương Huyền</v>
      </c>
      <c r="C30" s="224"/>
      <c r="D30" s="227"/>
      <c r="E30" s="227"/>
      <c r="F30" s="230"/>
      <c r="G30" s="177"/>
      <c r="H30" s="177"/>
      <c r="I30" s="23" t="s">
        <v>52</v>
      </c>
      <c r="J30" s="23">
        <v>9</v>
      </c>
      <c r="K30" s="23">
        <v>31500000</v>
      </c>
      <c r="L30" s="14">
        <f>42416000-3500000</f>
        <v>38916000</v>
      </c>
      <c r="M30" s="14">
        <f>38186000-3500000</f>
        <v>34686000</v>
      </c>
      <c r="N30" s="14">
        <v>3504600</v>
      </c>
      <c r="O30" s="14">
        <v>235199.99999999997</v>
      </c>
      <c r="P30" s="14">
        <f t="shared" si="8"/>
        <v>38425800</v>
      </c>
      <c r="Q30" s="14">
        <v>7416000</v>
      </c>
      <c r="R30" s="45">
        <f t="shared" si="6"/>
        <v>0.19056429232192415</v>
      </c>
      <c r="S30" s="14"/>
      <c r="T30" s="26">
        <f t="shared" si="9"/>
        <v>31103214.616096206</v>
      </c>
      <c r="U30" s="46">
        <f t="shared" si="10"/>
        <v>98.740363860622878</v>
      </c>
      <c r="V30" s="21">
        <f>U30*130000/100</f>
        <v>128362.47301880975</v>
      </c>
      <c r="W30" s="16">
        <f t="shared" si="12"/>
        <v>1155262.2571692877</v>
      </c>
      <c r="X30" s="178"/>
      <c r="Y30" s="246"/>
    </row>
    <row r="31" spans="1:25" ht="13" customHeight="1">
      <c r="A31" s="222"/>
      <c r="B31" s="247" t="str">
        <f>B30</f>
        <v>Nguyễn Thị Thương Huyền</v>
      </c>
      <c r="C31" s="224"/>
      <c r="D31" s="227"/>
      <c r="E31" s="227"/>
      <c r="F31" s="230"/>
      <c r="G31" s="177"/>
      <c r="H31" s="177"/>
      <c r="I31" s="26" t="s">
        <v>53</v>
      </c>
      <c r="J31" s="26">
        <v>10</v>
      </c>
      <c r="K31" s="26">
        <v>36200000</v>
      </c>
      <c r="L31" s="23">
        <v>46624000</v>
      </c>
      <c r="M31" s="23">
        <v>40302000</v>
      </c>
      <c r="N31" s="23">
        <v>5689800</v>
      </c>
      <c r="O31" s="23">
        <v>105000</v>
      </c>
      <c r="P31" s="14">
        <f t="shared" si="8"/>
        <v>46096800</v>
      </c>
      <c r="Q31" s="23">
        <v>10924000</v>
      </c>
      <c r="R31" s="45">
        <f t="shared" si="6"/>
        <v>0.23429993136582017</v>
      </c>
      <c r="S31" s="23"/>
      <c r="T31" s="26">
        <f t="shared" si="9"/>
        <v>35296322.923816063</v>
      </c>
      <c r="U31" s="46">
        <f t="shared" si="10"/>
        <v>97.503654485679732</v>
      </c>
      <c r="V31" s="12">
        <f>U31*130000/100</f>
        <v>126754.75083138366</v>
      </c>
      <c r="W31" s="21">
        <f t="shared" si="12"/>
        <v>1267547.5083138365</v>
      </c>
      <c r="X31" s="178"/>
      <c r="Y31" s="246"/>
    </row>
    <row r="32" spans="1:25" ht="13" customHeight="1">
      <c r="A32" s="222"/>
      <c r="B32" s="247"/>
      <c r="C32" s="224"/>
      <c r="D32" s="227"/>
      <c r="E32" s="227"/>
      <c r="F32" s="230"/>
      <c r="G32" s="245"/>
      <c r="H32" s="245"/>
      <c r="I32" s="26" t="s">
        <v>54</v>
      </c>
      <c r="J32" s="26">
        <v>15</v>
      </c>
      <c r="K32" s="26">
        <v>61200000</v>
      </c>
      <c r="L32" s="25">
        <v>71228000</v>
      </c>
      <c r="M32" s="26">
        <v>70565000</v>
      </c>
      <c r="N32" s="26">
        <v>596700</v>
      </c>
      <c r="O32" s="26">
        <v>65800</v>
      </c>
      <c r="P32" s="14">
        <f t="shared" si="8"/>
        <v>71227500</v>
      </c>
      <c r="Q32" s="26">
        <v>13628000</v>
      </c>
      <c r="R32" s="45">
        <f t="shared" si="6"/>
        <v>0.1913292525411355</v>
      </c>
      <c r="S32" s="26"/>
      <c r="T32" s="26">
        <f>P32-(P32*R32)+S32</f>
        <v>57599595.664626271</v>
      </c>
      <c r="U32" s="46">
        <f t="shared" si="10"/>
        <v>94.116986380108287</v>
      </c>
      <c r="V32" s="12">
        <f>U32*119000/95</f>
        <v>117893.90925508301</v>
      </c>
      <c r="W32" s="21">
        <f t="shared" si="12"/>
        <v>1768408.6388262452</v>
      </c>
      <c r="X32" s="178"/>
      <c r="Y32" s="246"/>
    </row>
    <row r="33" spans="1:25" ht="13" customHeight="1">
      <c r="A33" s="222"/>
      <c r="B33" s="247"/>
      <c r="C33" s="224"/>
      <c r="D33" s="227"/>
      <c r="E33" s="227"/>
      <c r="F33" s="230"/>
      <c r="G33" s="245"/>
      <c r="H33" s="245"/>
      <c r="I33" s="26" t="s">
        <v>55</v>
      </c>
      <c r="J33" s="26">
        <v>16</v>
      </c>
      <c r="K33" s="26">
        <v>71000000</v>
      </c>
      <c r="L33" s="25">
        <v>69566000</v>
      </c>
      <c r="M33" s="26">
        <v>66514000</v>
      </c>
      <c r="N33" s="26">
        <v>2790000</v>
      </c>
      <c r="O33" s="26">
        <v>0</v>
      </c>
      <c r="P33" s="23">
        <f t="shared" si="8"/>
        <v>69304000</v>
      </c>
      <c r="Q33" s="26">
        <v>11766000</v>
      </c>
      <c r="R33" s="45">
        <f t="shared" si="6"/>
        <v>0.16913434723859355</v>
      </c>
      <c r="S33" s="26"/>
      <c r="T33" s="26">
        <f t="shared" si="9"/>
        <v>57582313.198976517</v>
      </c>
      <c r="U33" s="46">
        <f t="shared" si="10"/>
        <v>81.10184957602327</v>
      </c>
      <c r="V33" s="13">
        <f>U33*85000/80</f>
        <v>86170.715174524725</v>
      </c>
      <c r="W33" s="15">
        <f t="shared" si="12"/>
        <v>1378731.4427923956</v>
      </c>
      <c r="X33" s="178"/>
      <c r="Y33" s="246"/>
    </row>
    <row r="34" spans="1:25" ht="13" customHeight="1">
      <c r="A34" s="179"/>
      <c r="B34" s="180" t="e">
        <f>#REF!</f>
        <v>#REF!</v>
      </c>
      <c r="C34" s="225"/>
      <c r="D34" s="228"/>
      <c r="E34" s="228"/>
      <c r="F34" s="231"/>
      <c r="G34" s="245"/>
      <c r="H34" s="245"/>
      <c r="I34" s="59"/>
      <c r="J34" s="52">
        <f>SUM(J26:J33)</f>
        <v>106</v>
      </c>
      <c r="K34" s="52">
        <f>SUM(K26:K33)</f>
        <v>415500000</v>
      </c>
      <c r="L34" s="52">
        <f>SUM(L26:L33)</f>
        <v>478633000</v>
      </c>
      <c r="M34" s="52">
        <f>SUM(M26:M33)</f>
        <v>448408000</v>
      </c>
      <c r="N34" s="60">
        <f t="shared" ref="N34:Q34" si="13">SUM(N26:N33)</f>
        <v>20190780</v>
      </c>
      <c r="O34" s="60">
        <f>SUM(O26:O33)</f>
        <v>406000</v>
      </c>
      <c r="P34" s="52">
        <f t="shared" si="13"/>
        <v>469004780</v>
      </c>
      <c r="Q34" s="60">
        <f t="shared" si="13"/>
        <v>97533000</v>
      </c>
      <c r="R34" s="61"/>
      <c r="S34" s="60">
        <f>SUM(S26:S33)</f>
        <v>4500000</v>
      </c>
      <c r="T34" s="54">
        <f>SUM(T26:T33)</f>
        <v>377876745.15930414</v>
      </c>
      <c r="U34" s="55">
        <f>(T34/K34)*100</f>
        <v>90.945065020289803</v>
      </c>
      <c r="V34" s="62"/>
      <c r="W34" s="62">
        <f>SUM(W26:W33)</f>
        <v>11854506.408248447</v>
      </c>
      <c r="X34" s="178"/>
      <c r="Y34" s="246"/>
    </row>
    <row r="35" spans="1:25" ht="13" customHeight="1">
      <c r="A35" s="222" t="s">
        <v>56</v>
      </c>
      <c r="B35" s="247" t="s">
        <v>57</v>
      </c>
      <c r="C35" s="223" t="s">
        <v>35</v>
      </c>
      <c r="D35" s="226">
        <v>0</v>
      </c>
      <c r="E35" s="226">
        <v>500000</v>
      </c>
      <c r="F35" s="242">
        <f>500000</f>
        <v>500000</v>
      </c>
      <c r="G35" s="181">
        <v>0</v>
      </c>
      <c r="H35" s="181"/>
      <c r="I35" s="14" t="s">
        <v>58</v>
      </c>
      <c r="J35" s="14">
        <v>18</v>
      </c>
      <c r="K35" s="14">
        <v>88300000</v>
      </c>
      <c r="L35" s="14">
        <v>90744000</v>
      </c>
      <c r="M35" s="64">
        <v>78984000</v>
      </c>
      <c r="N35" s="26">
        <v>576000</v>
      </c>
      <c r="O35" s="26">
        <v>0</v>
      </c>
      <c r="P35" s="44">
        <f>SUM(M35:O35)</f>
        <v>79560000</v>
      </c>
      <c r="Q35" s="26">
        <v>21144000</v>
      </c>
      <c r="R35" s="65">
        <f>Q35/L35</f>
        <v>0.23300714096799788</v>
      </c>
      <c r="S35" s="26">
        <v>12164516</v>
      </c>
      <c r="T35" s="66">
        <f>P35-(P35*R35)+S35</f>
        <v>73186467.864586085</v>
      </c>
      <c r="U35" s="67">
        <f>(T35/K35)*100</f>
        <v>82.883882066348903</v>
      </c>
      <c r="V35" s="12">
        <f>U35*94000/85</f>
        <v>91659.822520432906</v>
      </c>
      <c r="W35" s="21">
        <f>V35*J35</f>
        <v>1649876.8053677923</v>
      </c>
      <c r="X35" s="24"/>
      <c r="Y35" s="57"/>
    </row>
    <row r="36" spans="1:25" ht="13" customHeight="1">
      <c r="A36" s="222"/>
      <c r="B36" s="247"/>
      <c r="C36" s="224"/>
      <c r="D36" s="227"/>
      <c r="E36" s="227"/>
      <c r="F36" s="243"/>
      <c r="G36" s="244"/>
      <c r="H36" s="244"/>
      <c r="I36" s="66" t="s">
        <v>59</v>
      </c>
      <c r="J36" s="14">
        <f>7+1</f>
        <v>8</v>
      </c>
      <c r="K36" s="14">
        <f>27000000+8500000</f>
        <v>35500000</v>
      </c>
      <c r="L36" s="14">
        <v>39750000</v>
      </c>
      <c r="M36" s="64">
        <v>35436000</v>
      </c>
      <c r="N36" s="14">
        <v>3844800</v>
      </c>
      <c r="O36" s="14">
        <v>0</v>
      </c>
      <c r="P36" s="14">
        <f>SUM(M36:O36)</f>
        <v>39280800</v>
      </c>
      <c r="Q36" s="14">
        <v>5650000</v>
      </c>
      <c r="R36" s="65">
        <f>Q36/L36</f>
        <v>0.14213836477987421</v>
      </c>
      <c r="S36" s="14"/>
      <c r="T36" s="66">
        <f>P36-(P36*R36)+S36</f>
        <v>33697491.320754714</v>
      </c>
      <c r="U36" s="67">
        <f>(T36/K36)*100</f>
        <v>94.922510762689342</v>
      </c>
      <c r="V36" s="12">
        <f>U36*119000/95</f>
        <v>118902.93453431611</v>
      </c>
      <c r="W36" s="21">
        <f>V36*J36</f>
        <v>951223.47627452889</v>
      </c>
      <c r="X36" s="177">
        <f>W45+D35+F35+H36+G35+E35</f>
        <v>16708820.60331846</v>
      </c>
      <c r="Y36" s="246"/>
    </row>
    <row r="37" spans="1:25" ht="13" customHeight="1">
      <c r="A37" s="222"/>
      <c r="B37" s="247"/>
      <c r="C37" s="224"/>
      <c r="D37" s="227"/>
      <c r="E37" s="227"/>
      <c r="F37" s="243"/>
      <c r="G37" s="244"/>
      <c r="H37" s="244"/>
      <c r="I37" s="14" t="s">
        <v>60</v>
      </c>
      <c r="J37" s="14">
        <v>14</v>
      </c>
      <c r="K37" s="14">
        <v>54800000</v>
      </c>
      <c r="L37" s="14">
        <v>65910000</v>
      </c>
      <c r="M37" s="64">
        <v>56209000</v>
      </c>
      <c r="N37" s="14">
        <v>8578800</v>
      </c>
      <c r="O37" s="14">
        <v>140000</v>
      </c>
      <c r="P37" s="14">
        <f t="shared" ref="P37:P44" si="14">SUM(M37:O37)</f>
        <v>64927800</v>
      </c>
      <c r="Q37" s="14">
        <v>12810000</v>
      </c>
      <c r="R37" s="45">
        <f t="shared" si="6"/>
        <v>0.1943559399180701</v>
      </c>
      <c r="S37" s="14"/>
      <c r="T37" s="26">
        <f t="shared" ref="T37:T90" si="15">P37-(P37*R37)+S37</f>
        <v>52308696.40418753</v>
      </c>
      <c r="U37" s="67">
        <f t="shared" ref="U37:U44" si="16">(T37/K37)*100</f>
        <v>95.453825555086738</v>
      </c>
      <c r="V37" s="12">
        <f>U37*120000/95</f>
        <v>120573.25333274115</v>
      </c>
      <c r="W37" s="21">
        <f t="shared" ref="W37:W44" si="17">V37*J37</f>
        <v>1688025.5466583762</v>
      </c>
      <c r="X37" s="178"/>
      <c r="Y37" s="246"/>
    </row>
    <row r="38" spans="1:25" ht="13" customHeight="1">
      <c r="A38" s="222"/>
      <c r="B38" s="247"/>
      <c r="C38" s="224"/>
      <c r="D38" s="227"/>
      <c r="E38" s="227"/>
      <c r="F38" s="243"/>
      <c r="G38" s="244"/>
      <c r="H38" s="244"/>
      <c r="I38" s="14" t="s">
        <v>61</v>
      </c>
      <c r="J38" s="14">
        <v>11</v>
      </c>
      <c r="K38" s="14">
        <v>42400000</v>
      </c>
      <c r="L38" s="14">
        <v>50311000</v>
      </c>
      <c r="M38" s="64">
        <v>45819000</v>
      </c>
      <c r="N38" s="14">
        <v>4042800</v>
      </c>
      <c r="O38" s="14">
        <v>5600</v>
      </c>
      <c r="P38" s="14">
        <f t="shared" si="14"/>
        <v>49867400</v>
      </c>
      <c r="Q38" s="14">
        <v>10011000</v>
      </c>
      <c r="R38" s="45">
        <f t="shared" si="6"/>
        <v>0.19898232990797241</v>
      </c>
      <c r="S38" s="14"/>
      <c r="T38" s="26">
        <f t="shared" si="15"/>
        <v>39944668.561547175</v>
      </c>
      <c r="U38" s="67">
        <f t="shared" si="16"/>
        <v>94.20912396591315</v>
      </c>
      <c r="V38" s="12">
        <f>U38*119000/95</f>
        <v>118009.32370467015</v>
      </c>
      <c r="W38" s="21">
        <f t="shared" si="17"/>
        <v>1298102.5607513718</v>
      </c>
      <c r="X38" s="178"/>
      <c r="Y38" s="246"/>
    </row>
    <row r="39" spans="1:25" ht="13" customHeight="1">
      <c r="A39" s="222"/>
      <c r="B39" s="247"/>
      <c r="C39" s="224"/>
      <c r="D39" s="227"/>
      <c r="E39" s="227"/>
      <c r="F39" s="243"/>
      <c r="G39" s="244"/>
      <c r="H39" s="244"/>
      <c r="I39" s="14" t="s">
        <v>62</v>
      </c>
      <c r="J39" s="14">
        <v>13</v>
      </c>
      <c r="K39" s="14">
        <v>46800000</v>
      </c>
      <c r="L39" s="14">
        <v>57268000</v>
      </c>
      <c r="M39" s="64">
        <v>53948000</v>
      </c>
      <c r="N39" s="14">
        <v>2988000</v>
      </c>
      <c r="O39" s="14">
        <v>0</v>
      </c>
      <c r="P39" s="14">
        <f t="shared" si="14"/>
        <v>56936000</v>
      </c>
      <c r="Q39" s="14">
        <v>12468000</v>
      </c>
      <c r="R39" s="45">
        <f t="shared" si="6"/>
        <v>0.21771320807431724</v>
      </c>
      <c r="S39" s="14"/>
      <c r="T39" s="26">
        <f t="shared" si="15"/>
        <v>44540280.785080671</v>
      </c>
      <c r="U39" s="67">
        <f t="shared" si="16"/>
        <v>95.171540139061264</v>
      </c>
      <c r="V39" s="12">
        <f>U39*120000/95</f>
        <v>120216.68228091949</v>
      </c>
      <c r="W39" s="21">
        <f t="shared" si="17"/>
        <v>1562816.8696519532</v>
      </c>
      <c r="X39" s="178"/>
      <c r="Y39" s="246"/>
    </row>
    <row r="40" spans="1:25" ht="13" customHeight="1">
      <c r="A40" s="222"/>
      <c r="B40" s="247"/>
      <c r="C40" s="224"/>
      <c r="D40" s="227"/>
      <c r="E40" s="227"/>
      <c r="F40" s="243"/>
      <c r="G40" s="244"/>
      <c r="H40" s="244"/>
      <c r="I40" s="14" t="s">
        <v>63</v>
      </c>
      <c r="J40" s="14">
        <v>10</v>
      </c>
      <c r="K40" s="14">
        <v>30000000</v>
      </c>
      <c r="L40" s="14">
        <v>35353000</v>
      </c>
      <c r="M40" s="64">
        <v>35353000</v>
      </c>
      <c r="N40" s="14">
        <v>0</v>
      </c>
      <c r="O40" s="14">
        <v>0</v>
      </c>
      <c r="P40" s="23">
        <f t="shared" si="14"/>
        <v>35353000</v>
      </c>
      <c r="Q40" s="14">
        <v>7553000</v>
      </c>
      <c r="R40" s="45">
        <f t="shared" si="6"/>
        <v>0.21364523519927586</v>
      </c>
      <c r="S40" s="14"/>
      <c r="T40" s="26">
        <f>P40-(P40*R40)+S40</f>
        <v>27800000</v>
      </c>
      <c r="U40" s="67">
        <f t="shared" si="16"/>
        <v>92.666666666666657</v>
      </c>
      <c r="V40" s="12">
        <f>U40*119000/95</f>
        <v>116077.19298245612</v>
      </c>
      <c r="W40" s="21">
        <f t="shared" si="17"/>
        <v>1160771.9298245613</v>
      </c>
      <c r="X40" s="178"/>
      <c r="Y40" s="246"/>
    </row>
    <row r="41" spans="1:25" ht="13" customHeight="1">
      <c r="A41" s="222"/>
      <c r="B41" s="247"/>
      <c r="C41" s="224"/>
      <c r="D41" s="227"/>
      <c r="E41" s="227"/>
      <c r="F41" s="243"/>
      <c r="G41" s="244"/>
      <c r="H41" s="244"/>
      <c r="I41" s="23" t="s">
        <v>64</v>
      </c>
      <c r="J41" s="23">
        <f>18+1</f>
        <v>19</v>
      </c>
      <c r="K41" s="23">
        <v>87300000</v>
      </c>
      <c r="L41" s="14">
        <f>115796000-8800000</f>
        <v>106996000</v>
      </c>
      <c r="M41" s="64">
        <f>101694000-8800000</f>
        <v>92894000</v>
      </c>
      <c r="N41" s="14">
        <v>12691800</v>
      </c>
      <c r="O41" s="44">
        <v>0</v>
      </c>
      <c r="P41" s="26">
        <f>SUM(M41:O41)</f>
        <v>105585800</v>
      </c>
      <c r="Q41" s="14">
        <v>19696000</v>
      </c>
      <c r="R41" s="45">
        <f t="shared" si="6"/>
        <v>0.18408164791207149</v>
      </c>
      <c r="S41" s="14"/>
      <c r="T41" s="26">
        <f t="shared" si="15"/>
        <v>86149391.939885601</v>
      </c>
      <c r="U41" s="67">
        <f t="shared" si="16"/>
        <v>98.682006803992678</v>
      </c>
      <c r="V41" s="13">
        <f>U41*130000/100</f>
        <v>128286.60884519048</v>
      </c>
      <c r="W41" s="15">
        <f t="shared" si="17"/>
        <v>2437445.5680586193</v>
      </c>
      <c r="X41" s="178"/>
      <c r="Y41" s="246"/>
    </row>
    <row r="42" spans="1:25" ht="14">
      <c r="A42" s="222"/>
      <c r="B42" s="247"/>
      <c r="C42" s="224"/>
      <c r="D42" s="227"/>
      <c r="E42" s="227"/>
      <c r="F42" s="243"/>
      <c r="G42" s="244"/>
      <c r="H42" s="244"/>
      <c r="I42" s="26" t="s">
        <v>65</v>
      </c>
      <c r="J42" s="26">
        <v>15</v>
      </c>
      <c r="K42" s="26">
        <v>60000000</v>
      </c>
      <c r="L42" s="23">
        <v>69888800</v>
      </c>
      <c r="M42" s="64">
        <v>69888800</v>
      </c>
      <c r="N42" s="23">
        <v>0</v>
      </c>
      <c r="O42" s="32">
        <v>0</v>
      </c>
      <c r="P42" s="26">
        <f t="shared" si="14"/>
        <v>69888800</v>
      </c>
      <c r="Q42" s="23">
        <v>15338800</v>
      </c>
      <c r="R42" s="45">
        <f t="shared" si="6"/>
        <v>0.21947436499124323</v>
      </c>
      <c r="S42" s="23"/>
      <c r="T42" s="26">
        <f t="shared" si="15"/>
        <v>54550000</v>
      </c>
      <c r="U42" s="67">
        <f t="shared" si="16"/>
        <v>90.916666666666671</v>
      </c>
      <c r="V42" s="16">
        <f>U42*110000/90</f>
        <v>111120.37037037038</v>
      </c>
      <c r="W42" s="16">
        <f t="shared" si="17"/>
        <v>1666805.5555555557</v>
      </c>
      <c r="X42" s="178"/>
      <c r="Y42" s="246"/>
    </row>
    <row r="43" spans="1:25" ht="14">
      <c r="A43" s="222"/>
      <c r="B43" s="247"/>
      <c r="C43" s="224"/>
      <c r="D43" s="227"/>
      <c r="E43" s="227"/>
      <c r="F43" s="243"/>
      <c r="G43" s="244"/>
      <c r="H43" s="244"/>
      <c r="I43" s="66" t="s">
        <v>66</v>
      </c>
      <c r="J43" s="26">
        <v>9</v>
      </c>
      <c r="K43" s="26">
        <v>26800000</v>
      </c>
      <c r="L43" s="26">
        <v>31524000</v>
      </c>
      <c r="M43" s="64">
        <v>31524000</v>
      </c>
      <c r="N43" s="26">
        <v>0</v>
      </c>
      <c r="O43" s="47">
        <v>0</v>
      </c>
      <c r="P43" s="26">
        <f t="shared" si="14"/>
        <v>31524000</v>
      </c>
      <c r="Q43" s="26">
        <v>5624000</v>
      </c>
      <c r="R43" s="45">
        <f t="shared" si="6"/>
        <v>0.17840375586854459</v>
      </c>
      <c r="S43" s="26"/>
      <c r="T43" s="26">
        <f t="shared" si="15"/>
        <v>25900000</v>
      </c>
      <c r="U43" s="67">
        <f t="shared" si="16"/>
        <v>96.641791044776113</v>
      </c>
      <c r="V43" s="16">
        <f>U43*120000/95</f>
        <v>122073.84131971719</v>
      </c>
      <c r="W43" s="16">
        <f t="shared" si="17"/>
        <v>1098664.5718774546</v>
      </c>
      <c r="X43" s="178"/>
      <c r="Y43" s="246"/>
    </row>
    <row r="44" spans="1:25" ht="14">
      <c r="A44" s="222"/>
      <c r="B44" s="247"/>
      <c r="C44" s="224"/>
      <c r="D44" s="227"/>
      <c r="E44" s="227"/>
      <c r="F44" s="243"/>
      <c r="G44" s="244"/>
      <c r="H44" s="244"/>
      <c r="I44" s="66" t="s">
        <v>67</v>
      </c>
      <c r="J44" s="26">
        <v>18</v>
      </c>
      <c r="K44" s="26">
        <f>4500000*18</f>
        <v>81000000</v>
      </c>
      <c r="L44" s="26">
        <v>101007000</v>
      </c>
      <c r="M44" s="64">
        <v>101007000</v>
      </c>
      <c r="N44" s="26">
        <v>0</v>
      </c>
      <c r="O44" s="26">
        <v>0</v>
      </c>
      <c r="P44" s="23">
        <f t="shared" si="14"/>
        <v>101007000</v>
      </c>
      <c r="Q44" s="26">
        <v>22807000</v>
      </c>
      <c r="R44" s="45">
        <f t="shared" si="6"/>
        <v>0.22579623194432069</v>
      </c>
      <c r="S44" s="26"/>
      <c r="T44" s="26">
        <f t="shared" si="15"/>
        <v>78200000</v>
      </c>
      <c r="U44" s="67">
        <f t="shared" si="16"/>
        <v>96.543209876543216</v>
      </c>
      <c r="V44" s="16">
        <f>U44*120000/95</f>
        <v>121949.31773879143</v>
      </c>
      <c r="W44" s="16">
        <f t="shared" si="17"/>
        <v>2195087.7192982459</v>
      </c>
      <c r="X44" s="178"/>
      <c r="Y44" s="246"/>
    </row>
    <row r="45" spans="1:25" ht="13" customHeight="1">
      <c r="A45" s="179"/>
      <c r="B45" s="180"/>
      <c r="C45" s="225"/>
      <c r="D45" s="228"/>
      <c r="E45" s="228"/>
      <c r="F45" s="248"/>
      <c r="G45" s="245"/>
      <c r="H45" s="245"/>
      <c r="I45" s="69"/>
      <c r="J45" s="52">
        <f t="shared" ref="J45:Q45" si="18">SUM(J35:J44)</f>
        <v>135</v>
      </c>
      <c r="K45" s="52">
        <f t="shared" si="18"/>
        <v>552900000</v>
      </c>
      <c r="L45" s="52">
        <f>SUM(L35:L44)</f>
        <v>648751800</v>
      </c>
      <c r="M45" s="52">
        <f t="shared" si="18"/>
        <v>601062800</v>
      </c>
      <c r="N45" s="52">
        <f t="shared" si="18"/>
        <v>32722200</v>
      </c>
      <c r="O45" s="52">
        <f t="shared" si="18"/>
        <v>145600</v>
      </c>
      <c r="P45" s="52">
        <f t="shared" si="18"/>
        <v>633930600</v>
      </c>
      <c r="Q45" s="52">
        <f t="shared" si="18"/>
        <v>133101800</v>
      </c>
      <c r="R45" s="61"/>
      <c r="S45" s="52">
        <f>SUM(S35:S44)</f>
        <v>12164516</v>
      </c>
      <c r="T45" s="52">
        <f>SUM(T35:T44)</f>
        <v>516276996.87604177</v>
      </c>
      <c r="U45" s="55">
        <f>(T45/K45)*100</f>
        <v>93.376197662514343</v>
      </c>
      <c r="V45" s="70"/>
      <c r="W45" s="71">
        <f>SUM(W35:W44)</f>
        <v>15708820.60331846</v>
      </c>
      <c r="X45" s="178"/>
      <c r="Y45" s="246"/>
    </row>
    <row r="46" spans="1:25" ht="13" customHeight="1">
      <c r="A46" s="222" t="s">
        <v>68</v>
      </c>
      <c r="B46" s="247" t="s">
        <v>69</v>
      </c>
      <c r="C46" s="223" t="s">
        <v>35</v>
      </c>
      <c r="D46" s="226">
        <v>0</v>
      </c>
      <c r="E46" s="226">
        <v>500000</v>
      </c>
      <c r="F46" s="242">
        <v>500000</v>
      </c>
      <c r="G46" s="181">
        <v>0</v>
      </c>
      <c r="H46" s="181">
        <v>0</v>
      </c>
      <c r="I46" s="23" t="s">
        <v>70</v>
      </c>
      <c r="J46" s="23">
        <v>38</v>
      </c>
      <c r="K46" s="23">
        <v>143100000</v>
      </c>
      <c r="L46" s="14">
        <v>175800000</v>
      </c>
      <c r="M46" s="14">
        <v>164715998</v>
      </c>
      <c r="N46" s="14">
        <v>2894400</v>
      </c>
      <c r="O46" s="14">
        <v>0</v>
      </c>
      <c r="P46" s="14">
        <f>SUM(M46:O46)</f>
        <v>167610398</v>
      </c>
      <c r="Q46" s="14">
        <v>38422000</v>
      </c>
      <c r="R46" s="45">
        <f t="shared" si="6"/>
        <v>0.21855517633674632</v>
      </c>
      <c r="S46" s="14">
        <f>812903.225806452*2</f>
        <v>1625806.451612904</v>
      </c>
      <c r="T46" s="26">
        <f>P46-(P46*R46)+S46</f>
        <v>132604084.36085068</v>
      </c>
      <c r="U46" s="46">
        <f>(T46/K46)*100</f>
        <v>92.665327995003963</v>
      </c>
      <c r="V46" s="12">
        <f>U46*119000/95</f>
        <v>116075.5161200576</v>
      </c>
      <c r="W46" s="21">
        <f>V46*J46</f>
        <v>4410869.6125621889</v>
      </c>
      <c r="X46" s="177">
        <f>W52+D46+F46+G46+H46+E46</f>
        <v>6833128.3844920136</v>
      </c>
      <c r="Y46" s="246"/>
    </row>
    <row r="47" spans="1:25" ht="13" customHeight="1">
      <c r="A47" s="222"/>
      <c r="B47" s="247" t="str">
        <f>B46</f>
        <v>Nguyễn Hữu Tùng</v>
      </c>
      <c r="C47" s="224"/>
      <c r="D47" s="227"/>
      <c r="E47" s="227"/>
      <c r="F47" s="243"/>
      <c r="G47" s="244"/>
      <c r="H47" s="244"/>
      <c r="I47" s="26" t="s">
        <v>71</v>
      </c>
      <c r="J47" s="26">
        <v>12</v>
      </c>
      <c r="K47" s="26">
        <v>57600000</v>
      </c>
      <c r="L47" s="14">
        <f>62363000+5500000</f>
        <v>67863000</v>
      </c>
      <c r="M47" s="14">
        <f>62363000+5500000</f>
        <v>67863000</v>
      </c>
      <c r="N47" s="14">
        <v>0</v>
      </c>
      <c r="O47" s="14">
        <v>0</v>
      </c>
      <c r="P47" s="14">
        <f>SUM(M47:O47)</f>
        <v>67863000</v>
      </c>
      <c r="Q47" s="14">
        <v>13363000</v>
      </c>
      <c r="R47" s="45">
        <f t="shared" si="6"/>
        <v>0.19691142448757054</v>
      </c>
      <c r="S47" s="14">
        <v>0</v>
      </c>
      <c r="T47" s="26">
        <f t="shared" si="15"/>
        <v>54500000</v>
      </c>
      <c r="U47" s="46">
        <f>(T47/K47)*100</f>
        <v>94.618055555555557</v>
      </c>
      <c r="V47" s="12">
        <f>U47*119000/95</f>
        <v>118521.56432748539</v>
      </c>
      <c r="W47" s="21">
        <f>V47*J47</f>
        <v>1422258.7719298247</v>
      </c>
      <c r="X47" s="178"/>
      <c r="Y47" s="246"/>
    </row>
    <row r="48" spans="1:25" ht="13" customHeight="1">
      <c r="A48" s="222"/>
      <c r="B48" s="247" t="str">
        <f>B47</f>
        <v>Nguyễn Hữu Tùng</v>
      </c>
      <c r="C48" s="224"/>
      <c r="D48" s="227"/>
      <c r="E48" s="227"/>
      <c r="F48" s="243"/>
      <c r="G48" s="244"/>
      <c r="H48" s="244"/>
      <c r="I48" s="36"/>
      <c r="J48" s="37"/>
      <c r="K48" s="37"/>
      <c r="L48" s="14"/>
      <c r="M48" s="14"/>
      <c r="N48" s="14"/>
      <c r="O48" s="14"/>
      <c r="P48" s="14"/>
      <c r="Q48" s="14"/>
      <c r="R48" s="45"/>
      <c r="S48" s="14"/>
      <c r="T48" s="26"/>
      <c r="V48" s="12"/>
      <c r="W48" s="21"/>
      <c r="X48" s="178"/>
      <c r="Y48" s="246"/>
    </row>
    <row r="49" spans="1:25" ht="13" customHeight="1">
      <c r="A49" s="222"/>
      <c r="B49" s="247" t="str">
        <f>B48</f>
        <v>Nguyễn Hữu Tùng</v>
      </c>
      <c r="C49" s="224"/>
      <c r="D49" s="227"/>
      <c r="E49" s="227"/>
      <c r="F49" s="243"/>
      <c r="G49" s="244"/>
      <c r="H49" s="244"/>
      <c r="I49" s="36"/>
      <c r="J49" s="37"/>
      <c r="K49" s="37"/>
      <c r="L49" s="14"/>
      <c r="M49" s="14"/>
      <c r="N49" s="14"/>
      <c r="O49" s="14"/>
      <c r="P49" s="14"/>
      <c r="Q49" s="14"/>
      <c r="R49" s="45"/>
      <c r="S49" s="14"/>
      <c r="T49" s="26"/>
      <c r="U49" s="46"/>
      <c r="V49" s="12"/>
      <c r="W49" s="21"/>
      <c r="X49" s="178"/>
      <c r="Y49" s="246"/>
    </row>
    <row r="50" spans="1:25" ht="13" customHeight="1">
      <c r="A50" s="222"/>
      <c r="B50" s="247" t="str">
        <f>B49</f>
        <v>Nguyễn Hữu Tùng</v>
      </c>
      <c r="C50" s="224"/>
      <c r="D50" s="227"/>
      <c r="E50" s="227"/>
      <c r="F50" s="243"/>
      <c r="G50" s="244"/>
      <c r="H50" s="244"/>
      <c r="I50" s="36"/>
      <c r="J50" s="37"/>
      <c r="K50" s="37"/>
      <c r="L50" s="14"/>
      <c r="M50" s="14"/>
      <c r="N50" s="14"/>
      <c r="O50" s="14"/>
      <c r="P50" s="14"/>
      <c r="Q50" s="14"/>
      <c r="R50" s="45"/>
      <c r="S50" s="14"/>
      <c r="T50" s="26"/>
      <c r="U50" s="46"/>
      <c r="V50" s="12"/>
      <c r="W50" s="21"/>
      <c r="X50" s="178"/>
      <c r="Y50" s="246"/>
    </row>
    <row r="51" spans="1:25" ht="12.5">
      <c r="A51" s="222"/>
      <c r="B51" s="247"/>
      <c r="C51" s="224"/>
      <c r="D51" s="227"/>
      <c r="E51" s="227"/>
      <c r="F51" s="243"/>
      <c r="G51" s="244"/>
      <c r="H51" s="244"/>
      <c r="I51" s="36"/>
      <c r="J51" s="37"/>
      <c r="K51" s="37"/>
      <c r="L51" s="14"/>
      <c r="M51" s="14"/>
      <c r="N51" s="14"/>
      <c r="O51" s="14"/>
      <c r="P51" s="14"/>
      <c r="Q51" s="14"/>
      <c r="R51" s="45"/>
      <c r="S51" s="14"/>
      <c r="T51" s="26"/>
      <c r="U51" s="46"/>
      <c r="V51" s="12"/>
      <c r="W51" s="21"/>
      <c r="X51" s="178"/>
      <c r="Y51" s="246"/>
    </row>
    <row r="52" spans="1:25" ht="13" customHeight="1">
      <c r="A52" s="179"/>
      <c r="B52" s="180" t="str">
        <f>B50</f>
        <v>Nguyễn Hữu Tùng</v>
      </c>
      <c r="C52" s="258"/>
      <c r="D52" s="227"/>
      <c r="E52" s="227"/>
      <c r="F52" s="243"/>
      <c r="G52" s="245"/>
      <c r="H52" s="245"/>
      <c r="I52" s="51"/>
      <c r="J52" s="52">
        <f>SUM(J46:J47)</f>
        <v>50</v>
      </c>
      <c r="K52" s="52">
        <f>SUM(K46:K50)</f>
        <v>200700000</v>
      </c>
      <c r="L52" s="52">
        <f t="shared" ref="L52:S52" si="19">SUM(L46:L51)</f>
        <v>243663000</v>
      </c>
      <c r="M52" s="52">
        <f>SUM(M46:M51)</f>
        <v>232578998</v>
      </c>
      <c r="N52" s="52">
        <f t="shared" si="19"/>
        <v>2894400</v>
      </c>
      <c r="O52" s="52">
        <f t="shared" si="19"/>
        <v>0</v>
      </c>
      <c r="P52" s="52">
        <f t="shared" si="19"/>
        <v>235473398</v>
      </c>
      <c r="Q52" s="52">
        <f t="shared" si="19"/>
        <v>51785000</v>
      </c>
      <c r="R52" s="61"/>
      <c r="S52" s="52">
        <f t="shared" si="19"/>
        <v>1625806.451612904</v>
      </c>
      <c r="T52" s="52">
        <f>SUM(T46:T51)</f>
        <v>187104084.36085069</v>
      </c>
      <c r="U52" s="55">
        <f>(T52/K52)*100</f>
        <v>93.225752048256453</v>
      </c>
      <c r="V52" s="52"/>
      <c r="W52" s="52">
        <f>SUM(W46:W51)</f>
        <v>5833128.3844920136</v>
      </c>
      <c r="X52" s="178"/>
      <c r="Y52" s="246"/>
    </row>
    <row r="53" spans="1:25" ht="13" customHeight="1">
      <c r="A53" s="250" t="s">
        <v>72</v>
      </c>
      <c r="B53" s="253" t="s">
        <v>73</v>
      </c>
      <c r="C53" s="178" t="s">
        <v>35</v>
      </c>
      <c r="D53" s="177">
        <v>0</v>
      </c>
      <c r="E53" s="177">
        <v>500000</v>
      </c>
      <c r="F53" s="177">
        <v>500000</v>
      </c>
      <c r="G53" s="181">
        <v>0</v>
      </c>
      <c r="H53" s="181"/>
      <c r="I53" s="26" t="s">
        <v>36</v>
      </c>
      <c r="J53" s="116">
        <v>19</v>
      </c>
      <c r="K53" s="116">
        <v>71100000</v>
      </c>
      <c r="L53" s="117">
        <v>86248000</v>
      </c>
      <c r="M53" s="115">
        <v>81466000</v>
      </c>
      <c r="N53" s="115">
        <v>3952800</v>
      </c>
      <c r="O53" s="119">
        <v>0</v>
      </c>
      <c r="P53" s="26">
        <f>SUM(M53:O53)</f>
        <v>85418800</v>
      </c>
      <c r="Q53" s="121">
        <v>20878000</v>
      </c>
      <c r="R53" s="45">
        <f t="shared" ref="R53:R62" si="20">Q53/L53</f>
        <v>0.24206938131898711</v>
      </c>
      <c r="S53" s="119"/>
      <c r="T53" s="26">
        <f t="shared" ref="T53:T62" si="21">P53-(P53*R53)+S53</f>
        <v>64741523.930989705</v>
      </c>
      <c r="U53" s="46">
        <f t="shared" si="3"/>
        <v>91.056995683529834</v>
      </c>
      <c r="V53" s="16">
        <f>U53*100000/90</f>
        <v>101174.43964836649</v>
      </c>
      <c r="W53" s="16">
        <f>V53*J53</f>
        <v>1922314.3533189632</v>
      </c>
      <c r="X53" s="181">
        <f>W57+D53+F53+G53+H55+E53</f>
        <v>9257373.469558211</v>
      </c>
      <c r="Y53" s="57"/>
    </row>
    <row r="54" spans="1:25" ht="13" customHeight="1">
      <c r="A54" s="251"/>
      <c r="B54" s="246"/>
      <c r="C54" s="178"/>
      <c r="D54" s="177"/>
      <c r="E54" s="177"/>
      <c r="F54" s="177"/>
      <c r="G54" s="244"/>
      <c r="H54" s="244"/>
      <c r="I54" s="26" t="s">
        <v>74</v>
      </c>
      <c r="J54" s="116">
        <v>19</v>
      </c>
      <c r="K54" s="116">
        <v>61300000</v>
      </c>
      <c r="L54" s="118">
        <v>75128000</v>
      </c>
      <c r="M54" s="72">
        <v>75128000</v>
      </c>
      <c r="N54" s="72">
        <v>0</v>
      </c>
      <c r="O54" s="120">
        <v>0</v>
      </c>
      <c r="P54" s="26">
        <f t="shared" ref="P54:P56" si="22">SUM(M54:O54)</f>
        <v>75128000</v>
      </c>
      <c r="Q54" s="122">
        <v>15928000</v>
      </c>
      <c r="R54" s="45">
        <f t="shared" si="20"/>
        <v>0.21201150037269725</v>
      </c>
      <c r="S54" s="120"/>
      <c r="T54" s="26">
        <f t="shared" si="21"/>
        <v>59200000</v>
      </c>
      <c r="U54" s="46">
        <f t="shared" si="3"/>
        <v>96.574225122349105</v>
      </c>
      <c r="V54" s="16">
        <f>U54*110000/95</f>
        <v>111822.78698377265</v>
      </c>
      <c r="W54" s="16">
        <f>V54*J54</f>
        <v>2124632.9526916803</v>
      </c>
      <c r="X54" s="244"/>
      <c r="Y54" s="57"/>
    </row>
    <row r="55" spans="1:25" ht="12.5">
      <c r="A55" s="251"/>
      <c r="B55" s="246"/>
      <c r="C55" s="178"/>
      <c r="D55" s="177"/>
      <c r="E55" s="177"/>
      <c r="F55" s="177"/>
      <c r="G55" s="244"/>
      <c r="H55" s="244"/>
      <c r="I55" s="26" t="s">
        <v>75</v>
      </c>
      <c r="J55" s="26">
        <v>29</v>
      </c>
      <c r="K55" s="26">
        <v>86200000</v>
      </c>
      <c r="L55" s="14">
        <v>104417999.99999999</v>
      </c>
      <c r="M55" s="14">
        <v>104300666</v>
      </c>
      <c r="N55" s="14">
        <v>0</v>
      </c>
      <c r="O55" s="44">
        <v>0</v>
      </c>
      <c r="P55" s="26">
        <f t="shared" si="22"/>
        <v>104300666</v>
      </c>
      <c r="Q55" s="44">
        <v>26017999.999999996</v>
      </c>
      <c r="R55" s="45">
        <f t="shared" si="20"/>
        <v>0.24917159876649619</v>
      </c>
      <c r="S55" s="44">
        <v>2129032.2580645159</v>
      </c>
      <c r="T55" s="26">
        <f t="shared" si="21"/>
        <v>80440934.558434188</v>
      </c>
      <c r="U55" s="46">
        <f t="shared" si="3"/>
        <v>93.31894960375196</v>
      </c>
      <c r="V55" s="16">
        <f>U55*109000/95</f>
        <v>107071.21586114699</v>
      </c>
      <c r="W55" s="16">
        <f>V55*J55</f>
        <v>3105065.2599732629</v>
      </c>
      <c r="X55" s="244"/>
      <c r="Y55" s="246"/>
    </row>
    <row r="56" spans="1:25" ht="12.5">
      <c r="A56" s="251"/>
      <c r="B56" s="246"/>
      <c r="C56" s="178"/>
      <c r="D56" s="177"/>
      <c r="E56" s="177"/>
      <c r="F56" s="177"/>
      <c r="G56" s="244"/>
      <c r="H56" s="244"/>
      <c r="I56" s="23" t="s">
        <v>76</v>
      </c>
      <c r="J56" s="23">
        <v>10</v>
      </c>
      <c r="K56" s="23">
        <v>54100000</v>
      </c>
      <c r="L56" s="23">
        <v>61508000</v>
      </c>
      <c r="M56" s="23">
        <v>56142000</v>
      </c>
      <c r="N56" s="23">
        <v>4829400</v>
      </c>
      <c r="O56" s="23">
        <v>0</v>
      </c>
      <c r="P56" s="14">
        <f t="shared" si="22"/>
        <v>60971400</v>
      </c>
      <c r="Q56" s="23">
        <v>9408000</v>
      </c>
      <c r="R56" s="65">
        <f t="shared" si="20"/>
        <v>0.15295571307797359</v>
      </c>
      <c r="S56" s="23"/>
      <c r="T56" s="66">
        <f t="shared" si="21"/>
        <v>51645476.035637639</v>
      </c>
      <c r="U56" s="67">
        <f t="shared" si="3"/>
        <v>95.462987126871795</v>
      </c>
      <c r="V56" s="12">
        <f>U56*110000/95</f>
        <v>110536.0903574305</v>
      </c>
      <c r="W56" s="21">
        <f>V56*J56</f>
        <v>1105360.9035743049</v>
      </c>
      <c r="X56" s="244"/>
      <c r="Y56" s="246"/>
    </row>
    <row r="57" spans="1:25" ht="13">
      <c r="A57" s="252"/>
      <c r="B57" s="254"/>
      <c r="C57" s="178"/>
      <c r="D57" s="177"/>
      <c r="E57" s="177"/>
      <c r="F57" s="177"/>
      <c r="G57" s="245"/>
      <c r="H57" s="245"/>
      <c r="I57" s="73"/>
      <c r="J57" s="73">
        <f>SUM(J53:J56)</f>
        <v>77</v>
      </c>
      <c r="K57" s="73">
        <f>SUM(K53:K56)</f>
        <v>272700000</v>
      </c>
      <c r="L57" s="73">
        <f>SUM(L53:L56)</f>
        <v>327302000</v>
      </c>
      <c r="M57" s="73">
        <f>SUM(M53:M56)</f>
        <v>317036666</v>
      </c>
      <c r="N57" s="73">
        <f t="shared" ref="N57:O57" si="23">SUM(N53:N56)</f>
        <v>8782200</v>
      </c>
      <c r="O57" s="73">
        <f t="shared" si="23"/>
        <v>0</v>
      </c>
      <c r="P57" s="73">
        <f>SUM(P53:P56)</f>
        <v>325818866</v>
      </c>
      <c r="Q57" s="73">
        <f>SUM(Q53:Q56)</f>
        <v>72232000</v>
      </c>
      <c r="R57" s="73"/>
      <c r="S57" s="73">
        <f>SUM(S53:S56)</f>
        <v>2129032.2580645159</v>
      </c>
      <c r="T57" s="73">
        <f>SUM(T53:T56)</f>
        <v>256027934.52506155</v>
      </c>
      <c r="U57" s="55">
        <f>(T57/K57)*100</f>
        <v>93.886297955651472</v>
      </c>
      <c r="V57" s="74"/>
      <c r="W57" s="74">
        <f>SUM(W53:W56)</f>
        <v>8257373.469558211</v>
      </c>
      <c r="X57" s="245"/>
      <c r="Y57" s="246"/>
    </row>
    <row r="58" spans="1:25" ht="12.5">
      <c r="A58" s="252" t="s">
        <v>77</v>
      </c>
      <c r="B58" s="255" t="s">
        <v>78</v>
      </c>
      <c r="C58" s="258" t="s">
        <v>35</v>
      </c>
      <c r="D58" s="227">
        <v>0</v>
      </c>
      <c r="E58" s="227"/>
      <c r="F58" s="243"/>
      <c r="G58" s="244"/>
      <c r="H58" s="244"/>
      <c r="I58" s="23" t="s">
        <v>79</v>
      </c>
      <c r="J58" s="14">
        <v>8</v>
      </c>
      <c r="K58" s="14">
        <v>18800000</v>
      </c>
      <c r="L58" s="14">
        <v>21358000</v>
      </c>
      <c r="M58" s="14">
        <v>12434000</v>
      </c>
      <c r="N58" s="14">
        <v>2530800</v>
      </c>
      <c r="O58" s="44">
        <v>0</v>
      </c>
      <c r="P58" s="26">
        <f>SUM(M58:O58)</f>
        <v>14964800</v>
      </c>
      <c r="Q58" s="14">
        <v>4558000</v>
      </c>
      <c r="R58" s="65">
        <f t="shared" si="20"/>
        <v>0.21340949527109279</v>
      </c>
      <c r="S58" s="23">
        <v>2832258</v>
      </c>
      <c r="T58" s="66">
        <f t="shared" si="21"/>
        <v>14603427.585167151</v>
      </c>
      <c r="U58" s="67">
        <f t="shared" si="3"/>
        <v>77.67780630408059</v>
      </c>
      <c r="V58" s="15">
        <f>U58*79000/80</f>
        <v>76706.833725279575</v>
      </c>
      <c r="W58" s="16">
        <f>V58*J58</f>
        <v>613654.6698022366</v>
      </c>
      <c r="X58" s="259">
        <f>W63+D58+E58+F58+G58+H58</f>
        <v>6025770.4135028338</v>
      </c>
      <c r="Y58" s="246"/>
    </row>
    <row r="59" spans="1:25" ht="12.5">
      <c r="A59" s="179"/>
      <c r="B59" s="256"/>
      <c r="C59" s="258"/>
      <c r="D59" s="227"/>
      <c r="E59" s="227"/>
      <c r="F59" s="243"/>
      <c r="G59" s="244"/>
      <c r="H59" s="244"/>
      <c r="I59" s="26" t="s">
        <v>80</v>
      </c>
      <c r="J59" s="23">
        <v>17</v>
      </c>
      <c r="K59" s="23">
        <v>78900000</v>
      </c>
      <c r="L59" s="23">
        <v>95851500</v>
      </c>
      <c r="M59" s="23">
        <v>90562500</v>
      </c>
      <c r="N59" s="23">
        <v>0</v>
      </c>
      <c r="O59" s="32">
        <v>0</v>
      </c>
      <c r="P59" s="26">
        <f t="shared" ref="P59:P62" si="24">SUM(M59:O59)</f>
        <v>90562500</v>
      </c>
      <c r="Q59" s="23">
        <v>21001500</v>
      </c>
      <c r="R59" s="33">
        <f t="shared" si="20"/>
        <v>0.21910455235442325</v>
      </c>
      <c r="S59" s="26">
        <v>993548.38709677407</v>
      </c>
      <c r="T59" s="30">
        <f t="shared" si="21"/>
        <v>71713392.364499316</v>
      </c>
      <c r="U59" s="34">
        <f t="shared" si="3"/>
        <v>90.891498560835643</v>
      </c>
      <c r="V59" s="75">
        <f>U59*100000/90</f>
        <v>100990.55395648404</v>
      </c>
      <c r="W59" s="16">
        <f t="shared" ref="W59:W62" si="25">V59*J59</f>
        <v>1716839.4172602287</v>
      </c>
      <c r="X59" s="260"/>
      <c r="Y59" s="246"/>
    </row>
    <row r="60" spans="1:25" ht="12.5">
      <c r="A60" s="179"/>
      <c r="B60" s="256"/>
      <c r="C60" s="258"/>
      <c r="D60" s="227"/>
      <c r="E60" s="227"/>
      <c r="F60" s="243"/>
      <c r="G60" s="244"/>
      <c r="H60" s="244"/>
      <c r="I60" s="26" t="s">
        <v>81</v>
      </c>
      <c r="J60" s="76">
        <v>7</v>
      </c>
      <c r="K60" s="30">
        <v>19050000</v>
      </c>
      <c r="L60" s="30">
        <v>25997000</v>
      </c>
      <c r="M60" s="77">
        <v>25997000</v>
      </c>
      <c r="N60" s="78">
        <v>0</v>
      </c>
      <c r="O60" s="79">
        <v>0</v>
      </c>
      <c r="P60" s="26">
        <f t="shared" si="24"/>
        <v>25997000</v>
      </c>
      <c r="Q60" s="80">
        <v>6597000</v>
      </c>
      <c r="R60" s="33">
        <f t="shared" si="20"/>
        <v>0.25376004923645035</v>
      </c>
      <c r="S60" s="26"/>
      <c r="T60" s="30">
        <f t="shared" si="21"/>
        <v>19400000</v>
      </c>
      <c r="U60" s="34">
        <f t="shared" si="3"/>
        <v>101.83727034120736</v>
      </c>
      <c r="V60" s="81">
        <f>U60*120000/100</f>
        <v>122204.72440944883</v>
      </c>
      <c r="W60" s="16">
        <f t="shared" si="25"/>
        <v>855433.07086614182</v>
      </c>
      <c r="X60" s="260"/>
      <c r="Y60" s="246"/>
    </row>
    <row r="61" spans="1:25" ht="12.5">
      <c r="A61" s="179"/>
      <c r="B61" s="256"/>
      <c r="C61" s="258"/>
      <c r="D61" s="227"/>
      <c r="E61" s="227"/>
      <c r="F61" s="243"/>
      <c r="G61" s="244"/>
      <c r="H61" s="244"/>
      <c r="I61" s="66" t="s">
        <v>82</v>
      </c>
      <c r="J61" s="37">
        <v>15</v>
      </c>
      <c r="K61" s="26">
        <v>69700000</v>
      </c>
      <c r="L61" s="26">
        <v>84137000</v>
      </c>
      <c r="M61" s="56">
        <v>84164000</v>
      </c>
      <c r="N61" s="37">
        <v>0</v>
      </c>
      <c r="O61" s="82">
        <v>0</v>
      </c>
      <c r="P61" s="26">
        <f t="shared" si="24"/>
        <v>84164000</v>
      </c>
      <c r="Q61" s="83">
        <v>15537000</v>
      </c>
      <c r="R61" s="33">
        <f t="shared" si="20"/>
        <v>0.18466310897702556</v>
      </c>
      <c r="S61" s="56"/>
      <c r="T61" s="30">
        <f t="shared" si="21"/>
        <v>68622014.096057624</v>
      </c>
      <c r="U61" s="34">
        <f t="shared" si="3"/>
        <v>98.453391816438483</v>
      </c>
      <c r="V61" s="81">
        <f>U61*120000/100</f>
        <v>118144.07017972619</v>
      </c>
      <c r="W61" s="16">
        <f t="shared" si="25"/>
        <v>1772161.0526958928</v>
      </c>
      <c r="X61" s="260"/>
      <c r="Y61" s="246"/>
    </row>
    <row r="62" spans="1:25" ht="12.5">
      <c r="A62" s="250"/>
      <c r="B62" s="257"/>
      <c r="C62" s="258"/>
      <c r="D62" s="227"/>
      <c r="E62" s="227"/>
      <c r="F62" s="243"/>
      <c r="G62" s="244"/>
      <c r="H62" s="244"/>
      <c r="I62" s="84" t="s">
        <v>83</v>
      </c>
      <c r="J62" s="78">
        <v>9</v>
      </c>
      <c r="K62" s="30">
        <v>35000000</v>
      </c>
      <c r="L62" s="30">
        <v>42604000</v>
      </c>
      <c r="M62" s="77">
        <v>42605000</v>
      </c>
      <c r="N62" s="78">
        <v>0</v>
      </c>
      <c r="O62" s="79">
        <v>0</v>
      </c>
      <c r="P62" s="26">
        <f t="shared" si="24"/>
        <v>42605000</v>
      </c>
      <c r="Q62" s="80">
        <v>8004000</v>
      </c>
      <c r="R62" s="33">
        <f t="shared" si="20"/>
        <v>0.18786968359778425</v>
      </c>
      <c r="S62" s="78"/>
      <c r="T62" s="30">
        <f t="shared" si="21"/>
        <v>34600812.130316399</v>
      </c>
      <c r="U62" s="34">
        <f t="shared" si="3"/>
        <v>98.859463229475438</v>
      </c>
      <c r="V62" s="81">
        <f>U62*120000/100</f>
        <v>118631.35587537051</v>
      </c>
      <c r="W62" s="16">
        <f t="shared" si="25"/>
        <v>1067682.2028783346</v>
      </c>
      <c r="X62" s="260"/>
      <c r="Y62" s="246"/>
    </row>
    <row r="63" spans="1:25" ht="13">
      <c r="A63" s="179"/>
      <c r="B63" s="180"/>
      <c r="C63" s="225"/>
      <c r="D63" s="228"/>
      <c r="E63" s="228"/>
      <c r="F63" s="248"/>
      <c r="G63" s="245"/>
      <c r="H63" s="245"/>
      <c r="I63" s="59"/>
      <c r="J63" s="54">
        <f>SUM(J58:J62)</f>
        <v>56</v>
      </c>
      <c r="K63" s="54">
        <f>SUM(K58:K62)</f>
        <v>221450000</v>
      </c>
      <c r="L63" s="54">
        <f>SUM(L58:L62)</f>
        <v>269947500</v>
      </c>
      <c r="M63" s="54">
        <f>SUM(M58:M62)</f>
        <v>255762500</v>
      </c>
      <c r="N63" s="54">
        <f t="shared" ref="N63:S63" si="26">SUM(N58:N62)</f>
        <v>2530800</v>
      </c>
      <c r="O63" s="54">
        <f t="shared" si="26"/>
        <v>0</v>
      </c>
      <c r="P63" s="54">
        <f>SUM(P58:P62)</f>
        <v>258293300</v>
      </c>
      <c r="Q63" s="54">
        <f>SUM(Q58:Q62)</f>
        <v>55697500</v>
      </c>
      <c r="R63" s="54"/>
      <c r="S63" s="54">
        <f t="shared" si="26"/>
        <v>3825806.3870967738</v>
      </c>
      <c r="T63" s="54">
        <f>SUM(T58:T62)</f>
        <v>208939646.1760405</v>
      </c>
      <c r="U63" s="55">
        <f>(T63/K63)*100</f>
        <v>94.350709494712348</v>
      </c>
      <c r="V63" s="54"/>
      <c r="W63" s="54">
        <f>SUM(W58:W62)</f>
        <v>6025770.4135028338</v>
      </c>
      <c r="X63" s="261"/>
      <c r="Y63" s="246"/>
    </row>
    <row r="64" spans="1:25" ht="13" customHeight="1">
      <c r="A64" s="222" t="s">
        <v>84</v>
      </c>
      <c r="B64" s="247" t="s">
        <v>85</v>
      </c>
      <c r="C64" s="223" t="s">
        <v>35</v>
      </c>
      <c r="D64" s="226"/>
      <c r="E64" s="226">
        <v>500000</v>
      </c>
      <c r="F64" s="242">
        <v>500000</v>
      </c>
      <c r="G64" s="181"/>
      <c r="H64" s="181"/>
      <c r="I64" s="14" t="s">
        <v>86</v>
      </c>
      <c r="J64" s="14">
        <v>8</v>
      </c>
      <c r="K64" s="14">
        <v>31200000</v>
      </c>
      <c r="L64" s="14">
        <f>40019000-4500000</f>
        <v>35519000</v>
      </c>
      <c r="M64" s="14">
        <f>40010000-4500000</f>
        <v>35510000</v>
      </c>
      <c r="N64" s="14">
        <v>0</v>
      </c>
      <c r="O64" s="14">
        <v>0</v>
      </c>
      <c r="P64" s="14">
        <f>SUM(M64:O64)</f>
        <v>35510000</v>
      </c>
      <c r="Q64" s="14">
        <v>6419000</v>
      </c>
      <c r="R64" s="65">
        <f t="shared" si="6"/>
        <v>0.18072017793293729</v>
      </c>
      <c r="S64" s="14"/>
      <c r="T64" s="66">
        <f t="shared" si="15"/>
        <v>29092626.481601395</v>
      </c>
      <c r="U64" s="67">
        <f t="shared" si="3"/>
        <v>93.24559769744036</v>
      </c>
      <c r="V64" s="12">
        <f>U64*119000/95</f>
        <v>116802.38027363582</v>
      </c>
      <c r="W64" s="21">
        <f>V64*J64</f>
        <v>934419.04218908655</v>
      </c>
      <c r="X64" s="177">
        <f>W75+D64+F64+G64+H64+E64</f>
        <v>12923540.081652939</v>
      </c>
      <c r="Y64" s="246"/>
    </row>
    <row r="65" spans="1:25" ht="13" customHeight="1">
      <c r="A65" s="222"/>
      <c r="B65" s="247" t="str">
        <f>B64</f>
        <v>Bùi Trường Giang</v>
      </c>
      <c r="C65" s="224"/>
      <c r="D65" s="227"/>
      <c r="E65" s="227"/>
      <c r="F65" s="243"/>
      <c r="G65" s="244"/>
      <c r="H65" s="244"/>
      <c r="I65" s="14" t="s">
        <v>87</v>
      </c>
      <c r="J65" s="14">
        <v>9</v>
      </c>
      <c r="K65" s="14">
        <v>21200000</v>
      </c>
      <c r="L65" s="14">
        <f>28702000-2200000</f>
        <v>26502000</v>
      </c>
      <c r="M65" s="14">
        <f>28678000-2200000</f>
        <v>26478000</v>
      </c>
      <c r="N65" s="14">
        <v>0</v>
      </c>
      <c r="O65" s="14">
        <v>0</v>
      </c>
      <c r="P65" s="14">
        <f>SUM(M65:O65)</f>
        <v>26478000</v>
      </c>
      <c r="Q65" s="14">
        <v>6402000</v>
      </c>
      <c r="R65" s="45">
        <f t="shared" si="6"/>
        <v>0.24156667421326691</v>
      </c>
      <c r="S65" s="14"/>
      <c r="T65" s="26">
        <f>P65-(P65*R65)+S65</f>
        <v>20081797.600181118</v>
      </c>
      <c r="U65" s="46">
        <f t="shared" si="3"/>
        <v>94.725460378212816</v>
      </c>
      <c r="V65" s="12">
        <f>U65*119000/95</f>
        <v>118656.10300007711</v>
      </c>
      <c r="W65" s="21">
        <f t="shared" ref="W65:W74" si="27">V65*J65</f>
        <v>1067904.927000694</v>
      </c>
      <c r="X65" s="178"/>
      <c r="Y65" s="246"/>
    </row>
    <row r="66" spans="1:25" ht="13" customHeight="1">
      <c r="A66" s="222"/>
      <c r="B66" s="247" t="str">
        <f>B65</f>
        <v>Bùi Trường Giang</v>
      </c>
      <c r="C66" s="224"/>
      <c r="D66" s="227"/>
      <c r="E66" s="227"/>
      <c r="F66" s="243"/>
      <c r="G66" s="244"/>
      <c r="H66" s="244"/>
      <c r="I66" s="14" t="s">
        <v>88</v>
      </c>
      <c r="J66" s="14">
        <v>10</v>
      </c>
      <c r="K66" s="14">
        <v>43200000</v>
      </c>
      <c r="L66" s="14">
        <v>39987000</v>
      </c>
      <c r="M66" s="14">
        <v>34963000</v>
      </c>
      <c r="N66" s="14">
        <v>4521600</v>
      </c>
      <c r="O66" s="14">
        <v>0</v>
      </c>
      <c r="P66" s="14">
        <f t="shared" ref="P66:P71" si="28">SUM(M66:O66)</f>
        <v>39484600</v>
      </c>
      <c r="Q66" s="14">
        <v>7387000</v>
      </c>
      <c r="R66" s="45">
        <f t="shared" si="6"/>
        <v>0.18473503888763848</v>
      </c>
      <c r="S66" s="14">
        <v>4064516.1290322579</v>
      </c>
      <c r="T66" s="26">
        <f t="shared" si="15"/>
        <v>36254927.012569413</v>
      </c>
      <c r="U66" s="46">
        <f t="shared" si="3"/>
        <v>83.923442158725493</v>
      </c>
      <c r="V66" s="12">
        <f>U66*94000/85</f>
        <v>92809.453681414074</v>
      </c>
      <c r="W66" s="21">
        <f t="shared" si="27"/>
        <v>928094.53681414074</v>
      </c>
      <c r="X66" s="178"/>
      <c r="Y66" s="246"/>
    </row>
    <row r="67" spans="1:25" ht="13" customHeight="1">
      <c r="A67" s="222"/>
      <c r="B67" s="247" t="str">
        <f>B66</f>
        <v>Bùi Trường Giang</v>
      </c>
      <c r="C67" s="224"/>
      <c r="D67" s="227"/>
      <c r="E67" s="227"/>
      <c r="F67" s="243"/>
      <c r="G67" s="244"/>
      <c r="H67" s="244"/>
      <c r="I67" s="14" t="s">
        <v>89</v>
      </c>
      <c r="J67" s="14">
        <v>11</v>
      </c>
      <c r="K67" s="14">
        <v>47100000</v>
      </c>
      <c r="L67" s="14">
        <f>36700000+3500000</f>
        <v>40200000</v>
      </c>
      <c r="M67" s="14">
        <f>34268000+3500000</f>
        <v>37768000</v>
      </c>
      <c r="N67" s="14">
        <v>5147100</v>
      </c>
      <c r="O67" s="14">
        <v>0</v>
      </c>
      <c r="P67" s="14">
        <f t="shared" si="28"/>
        <v>42915100</v>
      </c>
      <c r="Q67" s="14">
        <v>8300000</v>
      </c>
      <c r="R67" s="45">
        <f t="shared" si="6"/>
        <v>0.20646766169154229</v>
      </c>
      <c r="S67" s="14">
        <v>1670967.7419354839</v>
      </c>
      <c r="T67" s="26">
        <f t="shared" si="15"/>
        <v>35725487.39367678</v>
      </c>
      <c r="U67" s="46">
        <f t="shared" si="3"/>
        <v>75.850291706320121</v>
      </c>
      <c r="V67" s="12">
        <f>U67*75000/75</f>
        <v>75850.291706320117</v>
      </c>
      <c r="W67" s="21">
        <f>V67*J67</f>
        <v>834353.20876952133</v>
      </c>
      <c r="X67" s="178"/>
      <c r="Y67" s="246"/>
    </row>
    <row r="68" spans="1:25" ht="13" customHeight="1">
      <c r="A68" s="222"/>
      <c r="B68" s="247" t="str">
        <f>B67</f>
        <v>Bùi Trường Giang</v>
      </c>
      <c r="C68" s="224"/>
      <c r="D68" s="227"/>
      <c r="E68" s="227"/>
      <c r="F68" s="243"/>
      <c r="G68" s="244"/>
      <c r="H68" s="244"/>
      <c r="I68" s="14" t="s">
        <v>90</v>
      </c>
      <c r="J68" s="14">
        <v>8</v>
      </c>
      <c r="K68" s="14">
        <v>31700000</v>
      </c>
      <c r="L68" s="14">
        <v>34380000</v>
      </c>
      <c r="M68" s="14">
        <v>19254000</v>
      </c>
      <c r="N68" s="14">
        <v>4698000</v>
      </c>
      <c r="O68" s="14">
        <v>0</v>
      </c>
      <c r="P68" s="14">
        <f t="shared" si="28"/>
        <v>23952000</v>
      </c>
      <c r="Q68" s="14">
        <v>7080000</v>
      </c>
      <c r="R68" s="45">
        <f>Q68/L68</f>
        <v>0.20593368237347295</v>
      </c>
      <c r="S68" s="14">
        <v>2206451.6129032257</v>
      </c>
      <c r="T68" s="26">
        <f>P68-(P68*R68)+S68</f>
        <v>21225928.052693803</v>
      </c>
      <c r="U68" s="46">
        <f t="shared" si="3"/>
        <v>66.958763573166564</v>
      </c>
      <c r="V68" s="12"/>
      <c r="W68" s="21">
        <f>(130000*J68)*10%</f>
        <v>104000</v>
      </c>
      <c r="X68" s="178"/>
      <c r="Y68" s="246"/>
    </row>
    <row r="69" spans="1:25" ht="13" customHeight="1">
      <c r="A69" s="222"/>
      <c r="B69" s="247"/>
      <c r="C69" s="224"/>
      <c r="D69" s="227"/>
      <c r="E69" s="227"/>
      <c r="F69" s="243"/>
      <c r="G69" s="244"/>
      <c r="H69" s="244"/>
      <c r="I69" s="14" t="s">
        <v>91</v>
      </c>
      <c r="J69" s="14">
        <v>11</v>
      </c>
      <c r="K69" s="14">
        <v>50000000</v>
      </c>
      <c r="L69" s="14">
        <v>64103600</v>
      </c>
      <c r="M69" s="14">
        <v>58642000</v>
      </c>
      <c r="N69" s="14">
        <v>0</v>
      </c>
      <c r="O69" s="14">
        <v>0</v>
      </c>
      <c r="P69" s="14">
        <f t="shared" si="28"/>
        <v>58642000</v>
      </c>
      <c r="Q69" s="14">
        <v>17103600</v>
      </c>
      <c r="R69" s="45">
        <f t="shared" si="6"/>
        <v>0.26681184832053112</v>
      </c>
      <c r="S69" s="14"/>
      <c r="T69" s="26">
        <f t="shared" si="15"/>
        <v>42995619.590787411</v>
      </c>
      <c r="U69" s="46">
        <f t="shared" si="3"/>
        <v>85.991239181574812</v>
      </c>
      <c r="V69" s="12">
        <f>U69*100000/85</f>
        <v>101166.16374302919</v>
      </c>
      <c r="W69" s="21">
        <f t="shared" si="27"/>
        <v>1112827.801173321</v>
      </c>
      <c r="X69" s="178"/>
      <c r="Y69" s="246"/>
    </row>
    <row r="70" spans="1:25" ht="13" customHeight="1">
      <c r="A70" s="222"/>
      <c r="B70" s="247"/>
      <c r="C70" s="224"/>
      <c r="D70" s="227"/>
      <c r="E70" s="227"/>
      <c r="F70" s="243"/>
      <c r="G70" s="244"/>
      <c r="H70" s="244"/>
      <c r="I70" s="14" t="s">
        <v>92</v>
      </c>
      <c r="J70" s="14">
        <v>7</v>
      </c>
      <c r="K70" s="14">
        <v>17500000</v>
      </c>
      <c r="L70" s="14">
        <f>23244000-2300000</f>
        <v>20944000</v>
      </c>
      <c r="M70" s="14">
        <f>23244000-2300000</f>
        <v>20944000</v>
      </c>
      <c r="N70" s="14">
        <v>0</v>
      </c>
      <c r="O70" s="14">
        <v>0</v>
      </c>
      <c r="P70" s="23">
        <f t="shared" si="28"/>
        <v>20944000</v>
      </c>
      <c r="Q70" s="14">
        <v>4144000</v>
      </c>
      <c r="R70" s="45">
        <f t="shared" si="6"/>
        <v>0.19786096256684493</v>
      </c>
      <c r="S70" s="14"/>
      <c r="T70" s="26">
        <f t="shared" si="15"/>
        <v>16800000</v>
      </c>
      <c r="U70" s="46">
        <f t="shared" si="3"/>
        <v>96</v>
      </c>
      <c r="V70" s="12">
        <f>U70*120000/95</f>
        <v>121263.15789473684</v>
      </c>
      <c r="W70" s="21">
        <f t="shared" si="27"/>
        <v>848842.10526315786</v>
      </c>
      <c r="X70" s="178"/>
      <c r="Y70" s="246"/>
    </row>
    <row r="71" spans="1:25" ht="13" customHeight="1">
      <c r="A71" s="222"/>
      <c r="B71" s="247" t="str">
        <f>B68</f>
        <v>Bùi Trường Giang</v>
      </c>
      <c r="C71" s="224"/>
      <c r="D71" s="227"/>
      <c r="E71" s="227"/>
      <c r="F71" s="243"/>
      <c r="G71" s="244"/>
      <c r="H71" s="244"/>
      <c r="I71" s="14" t="s">
        <v>93</v>
      </c>
      <c r="J71" s="14">
        <v>10</v>
      </c>
      <c r="K71" s="14">
        <v>47000000</v>
      </c>
      <c r="L71" s="14">
        <v>57094000</v>
      </c>
      <c r="M71" s="14">
        <v>52390000</v>
      </c>
      <c r="N71" s="14">
        <v>0</v>
      </c>
      <c r="O71" s="32">
        <v>0</v>
      </c>
      <c r="P71" s="26">
        <f t="shared" si="28"/>
        <v>52390000</v>
      </c>
      <c r="Q71" s="14">
        <v>10494000</v>
      </c>
      <c r="R71" s="45">
        <f t="shared" si="6"/>
        <v>0.18380215083896731</v>
      </c>
      <c r="S71" s="14">
        <v>3183870.9677419355</v>
      </c>
      <c r="T71" s="26">
        <f t="shared" si="15"/>
        <v>45944476.285288438</v>
      </c>
      <c r="U71" s="46">
        <f t="shared" si="3"/>
        <v>97.754204862315831</v>
      </c>
      <c r="V71" s="12">
        <f>U71*130000/100</f>
        <v>127080.46632101056</v>
      </c>
      <c r="W71" s="21">
        <f t="shared" si="27"/>
        <v>1270804.6632101056</v>
      </c>
      <c r="X71" s="178"/>
      <c r="Y71" s="246"/>
    </row>
    <row r="72" spans="1:25" ht="12.5">
      <c r="A72" s="222"/>
      <c r="B72" s="247"/>
      <c r="C72" s="224"/>
      <c r="D72" s="227"/>
      <c r="E72" s="227"/>
      <c r="F72" s="243"/>
      <c r="G72" s="244"/>
      <c r="H72" s="244"/>
      <c r="I72" s="23" t="s">
        <v>94</v>
      </c>
      <c r="J72" s="23">
        <v>11</v>
      </c>
      <c r="K72" s="23">
        <v>45300000</v>
      </c>
      <c r="L72" s="23">
        <v>54402600</v>
      </c>
      <c r="M72" s="23">
        <v>54402000</v>
      </c>
      <c r="N72" s="32">
        <v>540</v>
      </c>
      <c r="O72" s="47">
        <v>0</v>
      </c>
      <c r="P72" s="26">
        <f>SUM(M72:O72)</f>
        <v>54402540</v>
      </c>
      <c r="Q72" s="23">
        <v>12202600</v>
      </c>
      <c r="R72" s="33">
        <f t="shared" si="6"/>
        <v>0.22430177969435283</v>
      </c>
      <c r="S72" s="23"/>
      <c r="T72" s="30">
        <f>P72-(P72*R72)+S72</f>
        <v>42199953.458106786</v>
      </c>
      <c r="U72" s="46">
        <f t="shared" si="3"/>
        <v>93.156630150346103</v>
      </c>
      <c r="V72" s="13">
        <f>U72*119000/95</f>
        <v>116690.93671464406</v>
      </c>
      <c r="W72" s="15">
        <f t="shared" si="27"/>
        <v>1283600.3038610846</v>
      </c>
      <c r="X72" s="178"/>
      <c r="Y72" s="246"/>
    </row>
    <row r="73" spans="1:25" ht="12.5">
      <c r="A73" s="222"/>
      <c r="B73" s="247"/>
      <c r="C73" s="224"/>
      <c r="D73" s="227"/>
      <c r="E73" s="227"/>
      <c r="F73" s="243"/>
      <c r="G73" s="244"/>
      <c r="H73" s="244"/>
      <c r="I73" s="26" t="s">
        <v>95</v>
      </c>
      <c r="J73" s="26">
        <v>22</v>
      </c>
      <c r="K73" s="26">
        <v>103000000</v>
      </c>
      <c r="L73" s="26">
        <v>123867100</v>
      </c>
      <c r="M73" s="26">
        <v>116197100</v>
      </c>
      <c r="N73" s="47">
        <v>2538000</v>
      </c>
      <c r="O73" s="47">
        <v>0</v>
      </c>
      <c r="P73" s="26">
        <f>SUM(M73:O73)</f>
        <v>118735100</v>
      </c>
      <c r="Q73" s="25">
        <v>24817100</v>
      </c>
      <c r="R73" s="45">
        <f t="shared" si="6"/>
        <v>0.20035263601069211</v>
      </c>
      <c r="S73" s="26"/>
      <c r="T73" s="26">
        <f>P73-(P73*R73)+S73</f>
        <v>94946209.72800687</v>
      </c>
      <c r="U73" s="46">
        <f>(T73/K73)*100</f>
        <v>92.180786143695997</v>
      </c>
      <c r="V73" s="16">
        <f>U73*110000/90</f>
        <v>112665.40528673957</v>
      </c>
      <c r="W73" s="16">
        <f t="shared" si="27"/>
        <v>2478638.9163082703</v>
      </c>
      <c r="X73" s="178"/>
      <c r="Y73" s="246"/>
    </row>
    <row r="74" spans="1:25" ht="12.5">
      <c r="A74" s="222"/>
      <c r="B74" s="247"/>
      <c r="C74" s="224"/>
      <c r="D74" s="227"/>
      <c r="E74" s="227"/>
      <c r="F74" s="243"/>
      <c r="G74" s="244"/>
      <c r="H74" s="244"/>
      <c r="I74" s="66" t="s">
        <v>96</v>
      </c>
      <c r="J74" s="66">
        <v>10</v>
      </c>
      <c r="K74" s="66">
        <v>41300000</v>
      </c>
      <c r="L74" s="66">
        <v>52392200</v>
      </c>
      <c r="M74" s="66">
        <v>46648200</v>
      </c>
      <c r="N74" s="85">
        <v>0</v>
      </c>
      <c r="O74" s="85">
        <v>0</v>
      </c>
      <c r="P74" s="26">
        <f>SUM(M74:O74)</f>
        <v>46648200</v>
      </c>
      <c r="Q74" s="86">
        <v>11792200</v>
      </c>
      <c r="R74" s="45">
        <f t="shared" si="6"/>
        <v>0.22507548833605001</v>
      </c>
      <c r="S74" s="66"/>
      <c r="T74" s="26">
        <f>P74-(P74*R74)+S74</f>
        <v>36148833.605002269</v>
      </c>
      <c r="U74" s="46">
        <f>(T74/K74)*100</f>
        <v>87.52744214286264</v>
      </c>
      <c r="V74" s="16">
        <f>U74*109000/90</f>
        <v>106005.45770635587</v>
      </c>
      <c r="W74" s="16">
        <f t="shared" si="27"/>
        <v>1060054.5770635586</v>
      </c>
      <c r="X74" s="178"/>
      <c r="Y74" s="246"/>
    </row>
    <row r="75" spans="1:25" ht="13" customHeight="1">
      <c r="A75" s="179"/>
      <c r="B75" s="180" t="str">
        <f>B71</f>
        <v>Bùi Trường Giang</v>
      </c>
      <c r="C75" s="225"/>
      <c r="D75" s="228"/>
      <c r="E75" s="228"/>
      <c r="F75" s="248"/>
      <c r="G75" s="245"/>
      <c r="H75" s="245"/>
      <c r="I75" s="69"/>
      <c r="J75" s="70">
        <f>SUM(J64:J74)</f>
        <v>117</v>
      </c>
      <c r="K75" s="70">
        <f t="shared" ref="K75:Q75" si="29">SUM(K64:K74)</f>
        <v>478500000</v>
      </c>
      <c r="L75" s="70">
        <f t="shared" si="29"/>
        <v>549391500</v>
      </c>
      <c r="M75" s="70">
        <f>SUM(M64:M74)</f>
        <v>503196300</v>
      </c>
      <c r="N75" s="70">
        <f>SUM(N64:N74)</f>
        <v>16905240</v>
      </c>
      <c r="O75" s="70">
        <f t="shared" si="29"/>
        <v>0</v>
      </c>
      <c r="P75" s="70">
        <f t="shared" si="29"/>
        <v>520101540</v>
      </c>
      <c r="Q75" s="70">
        <f t="shared" si="29"/>
        <v>116141500</v>
      </c>
      <c r="R75" s="87"/>
      <c r="S75" s="70">
        <f>SUM(S64:S74)</f>
        <v>11125806.451612905</v>
      </c>
      <c r="T75" s="70">
        <f>SUM(T64:T74)</f>
        <v>421415859.20791423</v>
      </c>
      <c r="U75" s="88">
        <f>(T75/K75)*100</f>
        <v>88.070190012103282</v>
      </c>
      <c r="V75" s="62"/>
      <c r="W75" s="62">
        <f>SUM(W64:W74)</f>
        <v>11923540.081652939</v>
      </c>
      <c r="X75" s="178"/>
      <c r="Y75" s="246"/>
    </row>
    <row r="76" spans="1:25" ht="13" customHeight="1">
      <c r="A76" s="222" t="s">
        <v>97</v>
      </c>
      <c r="B76" s="247" t="s">
        <v>98</v>
      </c>
      <c r="C76" s="224" t="s">
        <v>35</v>
      </c>
      <c r="D76" s="227"/>
      <c r="E76" s="227">
        <v>500000</v>
      </c>
      <c r="F76" s="243">
        <v>500000</v>
      </c>
      <c r="G76" s="244"/>
      <c r="H76" s="244"/>
      <c r="I76" s="14" t="s">
        <v>99</v>
      </c>
      <c r="J76" s="14">
        <v>8</v>
      </c>
      <c r="K76" s="14">
        <v>35000000</v>
      </c>
      <c r="L76" s="14">
        <v>39370000</v>
      </c>
      <c r="M76" s="14">
        <v>39370000</v>
      </c>
      <c r="N76" s="14">
        <v>0</v>
      </c>
      <c r="O76" s="14">
        <v>0</v>
      </c>
      <c r="P76" s="14">
        <f t="shared" ref="P76:P80" si="30">SUM(M76:O76)</f>
        <v>39370000</v>
      </c>
      <c r="Q76" s="14">
        <v>6970000</v>
      </c>
      <c r="R76" s="45">
        <f t="shared" si="6"/>
        <v>0.17703835407670815</v>
      </c>
      <c r="S76" s="14"/>
      <c r="T76" s="26">
        <f t="shared" si="15"/>
        <v>32400000</v>
      </c>
      <c r="U76" s="46">
        <f t="shared" si="3"/>
        <v>92.571428571428569</v>
      </c>
      <c r="V76" s="12">
        <f>U76*119000/95</f>
        <v>115957.89473684211</v>
      </c>
      <c r="W76" s="21">
        <f>V76*J76</f>
        <v>927663.15789473685</v>
      </c>
      <c r="X76" s="177">
        <f>D76+E76+F76+G76+H76+W81</f>
        <v>6122981.0155362077</v>
      </c>
      <c r="Y76" s="246"/>
    </row>
    <row r="77" spans="1:25" ht="13" customHeight="1">
      <c r="A77" s="222"/>
      <c r="B77" s="247" t="str">
        <f>B76</f>
        <v>Đỗ Công Trường</v>
      </c>
      <c r="C77" s="224"/>
      <c r="D77" s="227"/>
      <c r="E77" s="227"/>
      <c r="F77" s="243"/>
      <c r="G77" s="244"/>
      <c r="H77" s="244"/>
      <c r="I77" s="14" t="s">
        <v>100</v>
      </c>
      <c r="J77" s="14">
        <v>8</v>
      </c>
      <c r="K77" s="14">
        <v>35000000</v>
      </c>
      <c r="L77" s="14">
        <v>39124000</v>
      </c>
      <c r="M77" s="14">
        <v>38780000</v>
      </c>
      <c r="N77" s="14">
        <v>0</v>
      </c>
      <c r="O77" s="14">
        <v>0</v>
      </c>
      <c r="P77" s="14">
        <f t="shared" si="30"/>
        <v>38780000</v>
      </c>
      <c r="Q77" s="14">
        <v>9424000</v>
      </c>
      <c r="R77" s="45">
        <f t="shared" si="6"/>
        <v>0.24087516613843166</v>
      </c>
      <c r="S77" s="14"/>
      <c r="T77" s="26">
        <f t="shared" si="15"/>
        <v>29438861.057151623</v>
      </c>
      <c r="U77" s="46">
        <f t="shared" si="3"/>
        <v>84.111031591861789</v>
      </c>
      <c r="V77" s="12">
        <f>U77*94000/85</f>
        <v>93016.905525117734</v>
      </c>
      <c r="W77" s="21">
        <f>V77*J77</f>
        <v>744135.24420094187</v>
      </c>
      <c r="X77" s="178"/>
      <c r="Y77" s="246"/>
    </row>
    <row r="78" spans="1:25" ht="13" customHeight="1">
      <c r="A78" s="222"/>
      <c r="B78" s="247" t="str">
        <f>B77</f>
        <v>Đỗ Công Trường</v>
      </c>
      <c r="C78" s="224"/>
      <c r="D78" s="227"/>
      <c r="E78" s="227"/>
      <c r="F78" s="243"/>
      <c r="G78" s="244"/>
      <c r="H78" s="244"/>
      <c r="I78" s="23" t="s">
        <v>101</v>
      </c>
      <c r="J78" s="23">
        <v>7</v>
      </c>
      <c r="K78" s="23">
        <v>24800000</v>
      </c>
      <c r="L78" s="23">
        <v>31226000</v>
      </c>
      <c r="M78" s="23">
        <v>27710000</v>
      </c>
      <c r="N78" s="23">
        <v>0</v>
      </c>
      <c r="O78" s="23">
        <v>0</v>
      </c>
      <c r="P78" s="23">
        <f>SUM(M78:O78)</f>
        <v>27710000</v>
      </c>
      <c r="Q78" s="23">
        <v>7926000</v>
      </c>
      <c r="R78" s="33">
        <f t="shared" si="6"/>
        <v>0.25382693908922055</v>
      </c>
      <c r="S78" s="23"/>
      <c r="T78" s="30">
        <f t="shared" si="15"/>
        <v>20676455.5178377</v>
      </c>
      <c r="U78" s="34">
        <f t="shared" si="3"/>
        <v>83.372804507410081</v>
      </c>
      <c r="V78" s="12">
        <f>U78*94000/85</f>
        <v>92200.513219959394</v>
      </c>
      <c r="W78" s="15">
        <f>V78*J78</f>
        <v>645403.59253971581</v>
      </c>
      <c r="X78" s="178"/>
      <c r="Y78" s="246"/>
    </row>
    <row r="79" spans="1:25" s="37" customFormat="1" ht="12.5">
      <c r="A79" s="222"/>
      <c r="B79" s="247"/>
      <c r="C79" s="224"/>
      <c r="D79" s="227"/>
      <c r="E79" s="227"/>
      <c r="F79" s="243"/>
      <c r="G79" s="244"/>
      <c r="H79" s="244"/>
      <c r="I79" s="26" t="s">
        <v>102</v>
      </c>
      <c r="J79" s="26">
        <v>14</v>
      </c>
      <c r="K79" s="26">
        <v>49800000</v>
      </c>
      <c r="L79" s="26">
        <v>61739600</v>
      </c>
      <c r="M79" s="26">
        <v>56989200</v>
      </c>
      <c r="N79" s="26">
        <v>225000</v>
      </c>
      <c r="O79" s="26">
        <v>0</v>
      </c>
      <c r="P79" s="26">
        <f t="shared" si="30"/>
        <v>57214200</v>
      </c>
      <c r="Q79" s="26">
        <v>12989600</v>
      </c>
      <c r="R79" s="45">
        <f t="shared" si="6"/>
        <v>0.2103933294028468</v>
      </c>
      <c r="S79" s="26">
        <v>1300000</v>
      </c>
      <c r="T79" s="26">
        <f t="shared" si="15"/>
        <v>46476713.972879641</v>
      </c>
      <c r="U79" s="46">
        <f t="shared" si="3"/>
        <v>93.326734885300482</v>
      </c>
      <c r="V79" s="16">
        <f>U79*119000/95</f>
        <v>116904.0152773764</v>
      </c>
      <c r="W79" s="16">
        <f t="shared" ref="W79:W80" si="31">V79*J79</f>
        <v>1636656.2138832696</v>
      </c>
      <c r="X79" s="178"/>
      <c r="Y79" s="246"/>
    </row>
    <row r="80" spans="1:25" s="37" customFormat="1" ht="12.5">
      <c r="A80" s="222"/>
      <c r="B80" s="247"/>
      <c r="C80" s="224"/>
      <c r="D80" s="227"/>
      <c r="E80" s="227"/>
      <c r="F80" s="243"/>
      <c r="G80" s="244"/>
      <c r="H80" s="244"/>
      <c r="I80" s="26" t="s">
        <v>103</v>
      </c>
      <c r="J80" s="26">
        <v>10</v>
      </c>
      <c r="K80" s="26">
        <v>45000000</v>
      </c>
      <c r="L80" s="26">
        <v>54746000</v>
      </c>
      <c r="M80" s="26">
        <v>54746000</v>
      </c>
      <c r="N80" s="26">
        <v>0</v>
      </c>
      <c r="O80" s="26">
        <v>0</v>
      </c>
      <c r="P80" s="26">
        <f t="shared" si="30"/>
        <v>54746000</v>
      </c>
      <c r="Q80" s="26">
        <v>12746000</v>
      </c>
      <c r="R80" s="45">
        <f t="shared" si="6"/>
        <v>0.23282066269681803</v>
      </c>
      <c r="S80" s="26"/>
      <c r="T80" s="26">
        <f t="shared" si="15"/>
        <v>42000000</v>
      </c>
      <c r="U80" s="46">
        <f>(T80/K80)*100</f>
        <v>93.333333333333329</v>
      </c>
      <c r="V80" s="16">
        <f>U80*119000/95</f>
        <v>116912.28070175438</v>
      </c>
      <c r="W80" s="16">
        <f t="shared" si="31"/>
        <v>1169122.8070175438</v>
      </c>
      <c r="X80" s="178"/>
      <c r="Y80" s="246"/>
    </row>
    <row r="81" spans="1:25" ht="13" customHeight="1">
      <c r="A81" s="179"/>
      <c r="B81" s="180" t="str">
        <f>B78</f>
        <v>Đỗ Công Trường</v>
      </c>
      <c r="C81" s="225"/>
      <c r="D81" s="228"/>
      <c r="E81" s="228"/>
      <c r="F81" s="248"/>
      <c r="G81" s="245"/>
      <c r="H81" s="245"/>
      <c r="I81" s="69"/>
      <c r="J81" s="70">
        <f t="shared" ref="J81:Q81" si="32">SUM(J76:J80)</f>
        <v>47</v>
      </c>
      <c r="K81" s="70">
        <f t="shared" si="32"/>
        <v>189600000</v>
      </c>
      <c r="L81" s="70">
        <f t="shared" si="32"/>
        <v>226205600</v>
      </c>
      <c r="M81" s="70">
        <f t="shared" si="32"/>
        <v>217595200</v>
      </c>
      <c r="N81" s="70">
        <f t="shared" si="32"/>
        <v>225000</v>
      </c>
      <c r="O81" s="70">
        <f t="shared" si="32"/>
        <v>0</v>
      </c>
      <c r="P81" s="70">
        <f t="shared" si="32"/>
        <v>217820200</v>
      </c>
      <c r="Q81" s="70">
        <f t="shared" si="32"/>
        <v>50055600</v>
      </c>
      <c r="R81" s="87"/>
      <c r="S81" s="89">
        <f>SUM(S76:S80)</f>
        <v>1300000</v>
      </c>
      <c r="T81" s="89">
        <f>SUM(T76:T80)</f>
        <v>170992030.54786897</v>
      </c>
      <c r="U81" s="55">
        <f>(T81/K81)*100</f>
        <v>90.185670120184056</v>
      </c>
      <c r="V81" s="90"/>
      <c r="W81" s="90">
        <f>SUM(W76:W80)</f>
        <v>5122981.0155362077</v>
      </c>
      <c r="X81" s="178"/>
      <c r="Y81" s="246"/>
    </row>
    <row r="82" spans="1:25" ht="13" customHeight="1">
      <c r="A82" s="222" t="s">
        <v>104</v>
      </c>
      <c r="B82" s="247" t="s">
        <v>105</v>
      </c>
      <c r="C82" s="223" t="s">
        <v>35</v>
      </c>
      <c r="D82" s="226"/>
      <c r="E82" s="226">
        <v>500000</v>
      </c>
      <c r="F82" s="242">
        <v>500000</v>
      </c>
      <c r="G82" s="181"/>
      <c r="H82" s="181"/>
      <c r="I82" s="47" t="s">
        <v>106</v>
      </c>
      <c r="J82" s="26">
        <v>10</v>
      </c>
      <c r="K82" s="26">
        <v>42100000</v>
      </c>
      <c r="L82" s="14">
        <v>43755000</v>
      </c>
      <c r="M82" s="14">
        <v>37347000</v>
      </c>
      <c r="N82" s="14">
        <v>0</v>
      </c>
      <c r="O82" s="14">
        <v>0</v>
      </c>
      <c r="P82" s="14">
        <f t="shared" ref="P82:P87" si="33">SUM(M82:O82)</f>
        <v>37347000</v>
      </c>
      <c r="Q82" s="91">
        <v>9555000</v>
      </c>
      <c r="R82" s="45">
        <f t="shared" si="6"/>
        <v>0.21837504285224546</v>
      </c>
      <c r="S82" s="14"/>
      <c r="T82" s="26">
        <f t="shared" si="15"/>
        <v>29191347.27459719</v>
      </c>
      <c r="U82" s="46">
        <f t="shared" si="3"/>
        <v>69.338117041798554</v>
      </c>
      <c r="V82" s="12"/>
      <c r="W82" s="21">
        <f>(130000*J82)*10%</f>
        <v>130000</v>
      </c>
      <c r="X82" s="177">
        <f>W88+D82+F82+G82+H82+E82</f>
        <v>9190499.0549224466</v>
      </c>
      <c r="Y82" s="246"/>
    </row>
    <row r="83" spans="1:25" ht="13" customHeight="1">
      <c r="A83" s="222"/>
      <c r="B83" s="247"/>
      <c r="C83" s="224"/>
      <c r="D83" s="227"/>
      <c r="E83" s="227"/>
      <c r="F83" s="243"/>
      <c r="G83" s="244"/>
      <c r="H83" s="244"/>
      <c r="I83" s="44" t="s">
        <v>107</v>
      </c>
      <c r="J83" s="26">
        <v>16</v>
      </c>
      <c r="K83" s="26">
        <v>66000000</v>
      </c>
      <c r="L83" s="14">
        <v>79776000</v>
      </c>
      <c r="M83" s="14">
        <v>70730000</v>
      </c>
      <c r="N83" s="14">
        <v>0</v>
      </c>
      <c r="O83" s="14">
        <v>0</v>
      </c>
      <c r="P83" s="14">
        <f t="shared" si="33"/>
        <v>70730000</v>
      </c>
      <c r="Q83" s="91">
        <v>20376000</v>
      </c>
      <c r="R83" s="45">
        <f t="shared" si="6"/>
        <v>0.25541516245487367</v>
      </c>
      <c r="S83" s="14">
        <v>858064.51612903224</v>
      </c>
      <c r="T83" s="26">
        <f t="shared" si="15"/>
        <v>53522550.075695813</v>
      </c>
      <c r="U83" s="46">
        <f t="shared" si="3"/>
        <v>81.094772841963348</v>
      </c>
      <c r="V83" s="12">
        <f>U83*85000/80</f>
        <v>86163.196144586051</v>
      </c>
      <c r="W83" s="21">
        <f>V83*J83</f>
        <v>1378611.1383133768</v>
      </c>
      <c r="X83" s="177"/>
      <c r="Y83" s="246"/>
    </row>
    <row r="84" spans="1:25" ht="13" customHeight="1">
      <c r="A84" s="222"/>
      <c r="B84" s="247" t="str">
        <f>B82</f>
        <v>Đặng Minh Hiếu</v>
      </c>
      <c r="C84" s="224"/>
      <c r="D84" s="227"/>
      <c r="E84" s="227"/>
      <c r="F84" s="243"/>
      <c r="G84" s="244"/>
      <c r="H84" s="244"/>
      <c r="I84" s="26" t="s">
        <v>108</v>
      </c>
      <c r="J84" s="26">
        <v>20</v>
      </c>
      <c r="K84" s="26">
        <v>84300000</v>
      </c>
      <c r="L84" s="14">
        <f>95295400-600000</f>
        <v>94695400</v>
      </c>
      <c r="M84" s="14">
        <f>88580400-600000</f>
        <v>87980400</v>
      </c>
      <c r="N84" s="14">
        <v>1665000</v>
      </c>
      <c r="O84" s="14">
        <v>0</v>
      </c>
      <c r="P84" s="14">
        <f t="shared" si="33"/>
        <v>89645400</v>
      </c>
      <c r="Q84" s="91">
        <v>21895400</v>
      </c>
      <c r="R84" s="45">
        <f t="shared" si="6"/>
        <v>0.23121925669039889</v>
      </c>
      <c r="S84" s="14"/>
      <c r="T84" s="26">
        <f t="shared" si="15"/>
        <v>68917657.246286511</v>
      </c>
      <c r="U84" s="46">
        <f t="shared" si="3"/>
        <v>81.752855570921128</v>
      </c>
      <c r="V84" s="12">
        <f>U84*85000/80</f>
        <v>86862.409044103697</v>
      </c>
      <c r="W84" s="21">
        <f t="shared" ref="W84:W87" si="34">V84*J84</f>
        <v>1737248.1808820739</v>
      </c>
      <c r="X84" s="178"/>
      <c r="Y84" s="246"/>
    </row>
    <row r="85" spans="1:25" ht="14">
      <c r="A85" s="222"/>
      <c r="B85" s="247"/>
      <c r="C85" s="224"/>
      <c r="D85" s="227"/>
      <c r="E85" s="227"/>
      <c r="F85" s="243"/>
      <c r="G85" s="244"/>
      <c r="H85" s="244"/>
      <c r="I85" s="84" t="s">
        <v>109</v>
      </c>
      <c r="J85" s="23">
        <v>21</v>
      </c>
      <c r="K85" s="23">
        <v>74800000</v>
      </c>
      <c r="L85" s="23">
        <v>86670000</v>
      </c>
      <c r="M85" s="23">
        <v>82697000</v>
      </c>
      <c r="N85" s="23">
        <v>3563100</v>
      </c>
      <c r="O85" s="14">
        <v>0</v>
      </c>
      <c r="P85" s="23">
        <f t="shared" si="33"/>
        <v>86260100</v>
      </c>
      <c r="Q85" s="91">
        <v>17420000</v>
      </c>
      <c r="R85" s="45">
        <f t="shared" si="6"/>
        <v>0.20099226952809507</v>
      </c>
      <c r="S85" s="14">
        <v>2000000</v>
      </c>
      <c r="T85" s="26">
        <f t="shared" si="15"/>
        <v>70922486.731279567</v>
      </c>
      <c r="U85" s="46">
        <f>(T85/K85)*100</f>
        <v>94.816158731657168</v>
      </c>
      <c r="V85" s="12">
        <f>U85*119000/95</f>
        <v>118769.71462176002</v>
      </c>
      <c r="W85" s="15">
        <f t="shared" si="34"/>
        <v>2494164.0070569604</v>
      </c>
      <c r="X85" s="178"/>
      <c r="Y85" s="246"/>
    </row>
    <row r="86" spans="1:25" ht="14">
      <c r="A86" s="222"/>
      <c r="B86" s="247"/>
      <c r="C86" s="224"/>
      <c r="D86" s="227"/>
      <c r="E86" s="227"/>
      <c r="F86" s="243"/>
      <c r="G86" s="244"/>
      <c r="H86" s="244"/>
      <c r="I86" s="30" t="s">
        <v>110</v>
      </c>
      <c r="J86" s="30">
        <v>11</v>
      </c>
      <c r="K86" s="30">
        <v>50300000</v>
      </c>
      <c r="L86" s="30">
        <v>58014000</v>
      </c>
      <c r="M86" s="30">
        <v>52906000</v>
      </c>
      <c r="N86" s="30">
        <v>4597200</v>
      </c>
      <c r="O86" s="32">
        <v>0</v>
      </c>
      <c r="P86" s="26">
        <f t="shared" si="33"/>
        <v>57503200</v>
      </c>
      <c r="Q86" s="92">
        <v>10014000</v>
      </c>
      <c r="R86" s="33">
        <f t="shared" si="6"/>
        <v>0.17261350708449685</v>
      </c>
      <c r="S86" s="32"/>
      <c r="T86" s="30">
        <f t="shared" si="15"/>
        <v>47577370.979418762</v>
      </c>
      <c r="U86" s="46">
        <f t="shared" si="3"/>
        <v>94.58721864695579</v>
      </c>
      <c r="V86" s="15">
        <f>U86*119000/95</f>
        <v>118482.9370419762</v>
      </c>
      <c r="W86" s="16">
        <f t="shared" si="34"/>
        <v>1303312.3074617381</v>
      </c>
      <c r="X86" s="178"/>
      <c r="Y86" s="246"/>
    </row>
    <row r="87" spans="1:25" ht="14">
      <c r="A87" s="222"/>
      <c r="B87" s="247"/>
      <c r="C87" s="224"/>
      <c r="D87" s="227"/>
      <c r="E87" s="227"/>
      <c r="F87" s="243"/>
      <c r="G87" s="244"/>
      <c r="H87" s="244"/>
      <c r="I87" s="26" t="s">
        <v>111</v>
      </c>
      <c r="J87" s="26">
        <v>9</v>
      </c>
      <c r="K87" s="26">
        <v>30600000</v>
      </c>
      <c r="L87" s="26">
        <v>39479000</v>
      </c>
      <c r="M87" s="26">
        <v>38346000</v>
      </c>
      <c r="N87" s="26">
        <v>1019700</v>
      </c>
      <c r="O87" s="47">
        <v>116899.99999999999</v>
      </c>
      <c r="P87" s="26">
        <f t="shared" si="33"/>
        <v>39482600</v>
      </c>
      <c r="Q87" s="93">
        <v>9479000</v>
      </c>
      <c r="R87" s="33">
        <f t="shared" si="6"/>
        <v>0.24010233288583804</v>
      </c>
      <c r="S87" s="26"/>
      <c r="T87" s="26">
        <f t="shared" si="15"/>
        <v>30002735.631601609</v>
      </c>
      <c r="U87" s="46">
        <f t="shared" si="3"/>
        <v>98.04815565882879</v>
      </c>
      <c r="V87" s="16">
        <f>U87*130000/100</f>
        <v>127462.60235647744</v>
      </c>
      <c r="W87" s="16">
        <f t="shared" si="34"/>
        <v>1147163.4212082969</v>
      </c>
      <c r="X87" s="178"/>
      <c r="Y87" s="246"/>
    </row>
    <row r="88" spans="1:25" ht="13" customHeight="1">
      <c r="A88" s="179"/>
      <c r="B88" s="180" t="str">
        <f>B84</f>
        <v>Đặng Minh Hiếu</v>
      </c>
      <c r="C88" s="225"/>
      <c r="D88" s="228"/>
      <c r="E88" s="228"/>
      <c r="F88" s="248"/>
      <c r="G88" s="245"/>
      <c r="H88" s="245"/>
      <c r="I88" s="94"/>
      <c r="J88" s="70">
        <f>SUM(J82:J87)</f>
        <v>87</v>
      </c>
      <c r="K88" s="70">
        <f t="shared" ref="K88:Q88" si="35">SUM(K82:K87)</f>
        <v>348100000</v>
      </c>
      <c r="L88" s="70">
        <f t="shared" si="35"/>
        <v>402389400</v>
      </c>
      <c r="M88" s="70">
        <f t="shared" si="35"/>
        <v>370006400</v>
      </c>
      <c r="N88" s="70">
        <f t="shared" si="35"/>
        <v>10845000</v>
      </c>
      <c r="O88" s="70">
        <f t="shared" si="35"/>
        <v>116899.99999999999</v>
      </c>
      <c r="P88" s="70">
        <f t="shared" si="35"/>
        <v>380968300</v>
      </c>
      <c r="Q88" s="70">
        <f t="shared" si="35"/>
        <v>88739400</v>
      </c>
      <c r="R88" s="87"/>
      <c r="S88" s="70">
        <f>SUM(S82:S87)</f>
        <v>2858064.5161290322</v>
      </c>
      <c r="T88" s="70">
        <f>SUM(T82:T87)</f>
        <v>300134147.93887949</v>
      </c>
      <c r="U88" s="55">
        <f>(T88/K88)*100</f>
        <v>86.220668755782668</v>
      </c>
      <c r="V88" s="71"/>
      <c r="W88" s="62">
        <f>SUM(W82:W87)</f>
        <v>8190499.0549224457</v>
      </c>
      <c r="X88" s="178"/>
      <c r="Y88" s="246"/>
    </row>
    <row r="89" spans="1:25" ht="13" customHeight="1">
      <c r="A89" s="222" t="s">
        <v>112</v>
      </c>
      <c r="B89" s="247" t="s">
        <v>113</v>
      </c>
      <c r="C89" s="223" t="s">
        <v>35</v>
      </c>
      <c r="D89" s="226"/>
      <c r="E89" s="226">
        <v>500000</v>
      </c>
      <c r="F89" s="242">
        <v>500000</v>
      </c>
      <c r="G89" s="181"/>
      <c r="H89" s="181"/>
      <c r="I89" s="26" t="s">
        <v>114</v>
      </c>
      <c r="J89" s="14">
        <v>9</v>
      </c>
      <c r="K89" s="14">
        <v>51700000</v>
      </c>
      <c r="L89" s="14">
        <f>44552800+9000000</f>
        <v>53552800</v>
      </c>
      <c r="M89" s="14">
        <f>44536800+9000000</f>
        <v>53536800</v>
      </c>
      <c r="N89" s="14">
        <v>0</v>
      </c>
      <c r="O89" s="14">
        <v>0</v>
      </c>
      <c r="P89" s="14">
        <f t="shared" ref="P89:P90" si="36">SUM(M89:O89)</f>
        <v>53536800</v>
      </c>
      <c r="Q89" s="14">
        <v>10652800</v>
      </c>
      <c r="R89" s="45">
        <f t="shared" ref="R89:R100" si="37">Q89/L89</f>
        <v>0.19892143828147174</v>
      </c>
      <c r="S89" s="95"/>
      <c r="T89" s="26">
        <f t="shared" si="15"/>
        <v>42887182.743012503</v>
      </c>
      <c r="U89" s="46">
        <f t="shared" si="3"/>
        <v>82.953931804666354</v>
      </c>
      <c r="V89" s="12">
        <f>U89*94000/85</f>
        <v>91737.289289866327</v>
      </c>
      <c r="W89" s="21">
        <f t="shared" ref="W89:W90" si="38">V89*J89</f>
        <v>825635.60360879696</v>
      </c>
      <c r="X89" s="177">
        <f>W102+D89+F89+G89+H89+E89</f>
        <v>17252017.641617961</v>
      </c>
      <c r="Y89" s="246"/>
    </row>
    <row r="90" spans="1:25" ht="13" customHeight="1">
      <c r="A90" s="222"/>
      <c r="B90" s="247"/>
      <c r="C90" s="224"/>
      <c r="D90" s="227"/>
      <c r="E90" s="227"/>
      <c r="F90" s="243"/>
      <c r="G90" s="244"/>
      <c r="H90" s="244"/>
      <c r="I90" s="32" t="s">
        <v>115</v>
      </c>
      <c r="J90" s="14">
        <v>9</v>
      </c>
      <c r="K90" s="14">
        <v>39200000</v>
      </c>
      <c r="L90" s="14">
        <v>43993000</v>
      </c>
      <c r="M90" s="14">
        <v>44233000</v>
      </c>
      <c r="N90" s="14">
        <v>0</v>
      </c>
      <c r="O90" s="14">
        <v>0</v>
      </c>
      <c r="P90" s="14">
        <f t="shared" si="36"/>
        <v>44233000</v>
      </c>
      <c r="Q90" s="14">
        <v>8273000</v>
      </c>
      <c r="R90" s="45">
        <f t="shared" si="37"/>
        <v>0.18805264473893574</v>
      </c>
      <c r="S90" s="95"/>
      <c r="T90" s="26">
        <f t="shared" si="15"/>
        <v>35914867.365262657</v>
      </c>
      <c r="U90" s="46">
        <f t="shared" si="3"/>
        <v>91.619559605261884</v>
      </c>
      <c r="V90" s="12">
        <f>U90*110000/90</f>
        <v>111979.46173976453</v>
      </c>
      <c r="W90" s="21">
        <f t="shared" si="38"/>
        <v>1007815.1556578808</v>
      </c>
      <c r="X90" s="177"/>
      <c r="Y90" s="246"/>
    </row>
    <row r="91" spans="1:25" ht="12.5">
      <c r="A91" s="222"/>
      <c r="B91" s="247"/>
      <c r="C91" s="224"/>
      <c r="D91" s="227"/>
      <c r="E91" s="227"/>
      <c r="F91" s="243"/>
      <c r="G91" s="244"/>
      <c r="H91" s="244"/>
      <c r="I91" s="14" t="s">
        <v>117</v>
      </c>
      <c r="J91" s="14">
        <v>24</v>
      </c>
      <c r="K91" s="14">
        <v>79200000</v>
      </c>
      <c r="L91" s="14">
        <f>94784000-2900000</f>
        <v>91884000</v>
      </c>
      <c r="M91" s="14">
        <f>88609000-2900000</f>
        <v>85709000</v>
      </c>
      <c r="N91" s="14">
        <v>1965600</v>
      </c>
      <c r="O91" s="14">
        <v>0</v>
      </c>
      <c r="P91" s="14">
        <f t="shared" ref="P91:P100" si="39">SUM(M91:O91)</f>
        <v>87674600</v>
      </c>
      <c r="Q91" s="14">
        <v>16884000</v>
      </c>
      <c r="R91" s="45">
        <f t="shared" si="37"/>
        <v>0.18375342823560142</v>
      </c>
      <c r="S91" s="95">
        <v>1896774.1935483871</v>
      </c>
      <c r="T91" s="26">
        <f t="shared" ref="T91:T100" si="40">P91-(P91*R91)+S91</f>
        <v>73460865.874363318</v>
      </c>
      <c r="U91" s="46">
        <f t="shared" ref="U91:U100" si="41">(T91/K91)*100</f>
        <v>92.753618528236515</v>
      </c>
      <c r="V91" s="12">
        <f>U91*119000/95</f>
        <v>116186.1116301068</v>
      </c>
      <c r="W91" s="21">
        <f t="shared" ref="W91:W100" si="42">V91*J91</f>
        <v>2788466.679122563</v>
      </c>
      <c r="X91" s="178"/>
      <c r="Y91" s="246"/>
    </row>
    <row r="92" spans="1:25" ht="12.5">
      <c r="A92" s="222"/>
      <c r="B92" s="247"/>
      <c r="C92" s="224"/>
      <c r="D92" s="227"/>
      <c r="E92" s="227"/>
      <c r="F92" s="243"/>
      <c r="G92" s="244"/>
      <c r="H92" s="244"/>
      <c r="I92" s="14" t="s">
        <v>118</v>
      </c>
      <c r="J92" s="14">
        <v>13</v>
      </c>
      <c r="K92" s="14">
        <v>60800000</v>
      </c>
      <c r="L92" s="14">
        <f>54828000+16000000</f>
        <v>70828000</v>
      </c>
      <c r="M92" s="14">
        <f>50470000+16000000</f>
        <v>66470000</v>
      </c>
      <c r="N92" s="14">
        <v>331200</v>
      </c>
      <c r="O92" s="14">
        <v>0</v>
      </c>
      <c r="P92" s="14">
        <f t="shared" si="39"/>
        <v>66801200</v>
      </c>
      <c r="Q92" s="14">
        <v>13628000</v>
      </c>
      <c r="R92" s="45">
        <f t="shared" si="37"/>
        <v>0.19240978144236742</v>
      </c>
      <c r="S92" s="95">
        <v>2322580.6451612902</v>
      </c>
      <c r="T92" s="26">
        <f t="shared" si="40"/>
        <v>56270576.353073418</v>
      </c>
      <c r="U92" s="46">
        <f t="shared" si="41"/>
        <v>92.550290054397067</v>
      </c>
      <c r="V92" s="12">
        <f>U92*119000/95</f>
        <v>115931.41596287632</v>
      </c>
      <c r="W92" s="21">
        <f t="shared" si="42"/>
        <v>1507108.4075173922</v>
      </c>
      <c r="X92" s="178"/>
      <c r="Y92" s="246"/>
    </row>
    <row r="93" spans="1:25" ht="12.5">
      <c r="A93" s="222"/>
      <c r="B93" s="247"/>
      <c r="C93" s="224"/>
      <c r="D93" s="227"/>
      <c r="E93" s="227"/>
      <c r="F93" s="243"/>
      <c r="G93" s="244"/>
      <c r="H93" s="244"/>
      <c r="I93" s="14" t="s">
        <v>119</v>
      </c>
      <c r="J93" s="14">
        <v>7</v>
      </c>
      <c r="K93" s="14">
        <v>23200000</v>
      </c>
      <c r="L93" s="14">
        <f>30088000-2500000</f>
        <v>27588000</v>
      </c>
      <c r="M93" s="14">
        <f>30087000-2500000</f>
        <v>27587000</v>
      </c>
      <c r="N93" s="14">
        <v>0</v>
      </c>
      <c r="O93" s="14">
        <v>0</v>
      </c>
      <c r="P93" s="14">
        <f t="shared" si="39"/>
        <v>27587000</v>
      </c>
      <c r="Q93" s="14">
        <v>4988000</v>
      </c>
      <c r="R93" s="45">
        <f t="shared" si="37"/>
        <v>0.18080324778889373</v>
      </c>
      <c r="S93" s="95"/>
      <c r="T93" s="26">
        <f t="shared" si="40"/>
        <v>22599180.803247787</v>
      </c>
      <c r="U93" s="46">
        <f t="shared" si="41"/>
        <v>97.410262082964607</v>
      </c>
      <c r="V93" s="12">
        <f>U93*120000/95</f>
        <v>123044.5415784816</v>
      </c>
      <c r="W93" s="21">
        <f t="shared" si="42"/>
        <v>861311.79104937124</v>
      </c>
      <c r="X93" s="178"/>
      <c r="Y93" s="246"/>
    </row>
    <row r="94" spans="1:25" ht="14">
      <c r="A94" s="222"/>
      <c r="B94" s="247"/>
      <c r="C94" s="224"/>
      <c r="D94" s="227"/>
      <c r="E94" s="227"/>
      <c r="F94" s="243"/>
      <c r="G94" s="244"/>
      <c r="H94" s="244"/>
      <c r="I94" s="14" t="s">
        <v>120</v>
      </c>
      <c r="J94" s="14">
        <v>18</v>
      </c>
      <c r="K94" s="14">
        <v>61400000</v>
      </c>
      <c r="L94" s="14">
        <f>74442000-2500000</f>
        <v>71942000</v>
      </c>
      <c r="M94" s="14">
        <f>61720000-2500000</f>
        <v>59220000</v>
      </c>
      <c r="N94" s="14">
        <v>4500000</v>
      </c>
      <c r="O94" s="14">
        <v>0</v>
      </c>
      <c r="P94" s="23">
        <f t="shared" si="39"/>
        <v>63720000</v>
      </c>
      <c r="Q94" s="23">
        <v>15442000</v>
      </c>
      <c r="R94" s="45">
        <f t="shared" si="37"/>
        <v>0.21464513079981096</v>
      </c>
      <c r="S94" s="18">
        <v>2209667</v>
      </c>
      <c r="T94" s="26">
        <f t="shared" si="40"/>
        <v>52252479.265436046</v>
      </c>
      <c r="U94" s="46">
        <f t="shared" si="41"/>
        <v>85.101757761296497</v>
      </c>
      <c r="V94" s="13">
        <f>U94*100000/85</f>
        <v>100119.71501329</v>
      </c>
      <c r="W94" s="21">
        <f t="shared" si="42"/>
        <v>1802154.8702392201</v>
      </c>
      <c r="X94" s="178"/>
      <c r="Y94" s="246"/>
    </row>
    <row r="95" spans="1:25" ht="12.5">
      <c r="A95" s="222"/>
      <c r="B95" s="247"/>
      <c r="C95" s="224"/>
      <c r="D95" s="227"/>
      <c r="E95" s="227"/>
      <c r="F95" s="243"/>
      <c r="G95" s="244"/>
      <c r="H95" s="244"/>
      <c r="I95" s="23" t="s">
        <v>121</v>
      </c>
      <c r="J95" s="23">
        <v>9</v>
      </c>
      <c r="K95" s="23">
        <v>39000000</v>
      </c>
      <c r="L95" s="23">
        <v>46717000</v>
      </c>
      <c r="M95" s="23">
        <v>46717000</v>
      </c>
      <c r="N95" s="23">
        <v>0</v>
      </c>
      <c r="O95" s="44">
        <v>0</v>
      </c>
      <c r="P95" s="26">
        <f t="shared" si="39"/>
        <v>46717000</v>
      </c>
      <c r="Q95" s="26">
        <v>9117000</v>
      </c>
      <c r="R95" s="33">
        <f t="shared" si="37"/>
        <v>0.19515379840315089</v>
      </c>
      <c r="S95" s="96"/>
      <c r="T95" s="26">
        <f t="shared" si="40"/>
        <v>37600000</v>
      </c>
      <c r="U95" s="46">
        <f t="shared" si="41"/>
        <v>96.410256410256409</v>
      </c>
      <c r="V95" s="16">
        <f>U95*120000/95</f>
        <v>121781.37651821863</v>
      </c>
      <c r="W95" s="21">
        <f t="shared" si="42"/>
        <v>1096032.3886639676</v>
      </c>
      <c r="X95" s="178"/>
      <c r="Y95" s="246"/>
    </row>
    <row r="96" spans="1:25" ht="12.5">
      <c r="A96" s="222"/>
      <c r="B96" s="247"/>
      <c r="C96" s="224"/>
      <c r="D96" s="227"/>
      <c r="E96" s="227"/>
      <c r="F96" s="243"/>
      <c r="G96" s="244"/>
      <c r="H96" s="244"/>
      <c r="I96" s="26" t="s">
        <v>122</v>
      </c>
      <c r="J96" s="26">
        <v>15</v>
      </c>
      <c r="K96" s="26">
        <v>56900000</v>
      </c>
      <c r="L96" s="26">
        <v>69442000</v>
      </c>
      <c r="M96" s="26">
        <v>65362000</v>
      </c>
      <c r="N96" s="26">
        <v>0</v>
      </c>
      <c r="O96" s="44">
        <v>0</v>
      </c>
      <c r="P96" s="26">
        <f t="shared" si="39"/>
        <v>65362000</v>
      </c>
      <c r="Q96" s="26">
        <v>15742000</v>
      </c>
      <c r="R96" s="33">
        <f t="shared" si="37"/>
        <v>0.22669277958584141</v>
      </c>
      <c r="S96" s="97">
        <v>812903.22580645164</v>
      </c>
      <c r="T96" s="26">
        <f t="shared" si="40"/>
        <v>51357809.766516685</v>
      </c>
      <c r="U96" s="46">
        <f t="shared" si="41"/>
        <v>90.259771118658492</v>
      </c>
      <c r="V96" s="16">
        <f>U96*110000/90</f>
        <v>110317.49803391594</v>
      </c>
      <c r="W96" s="15">
        <f t="shared" si="42"/>
        <v>1654762.4705087391</v>
      </c>
      <c r="X96" s="178"/>
      <c r="Y96" s="246"/>
    </row>
    <row r="97" spans="1:25" s="37" customFormat="1" ht="12.5">
      <c r="A97" s="222"/>
      <c r="B97" s="247"/>
      <c r="C97" s="224"/>
      <c r="D97" s="227"/>
      <c r="E97" s="227"/>
      <c r="F97" s="243"/>
      <c r="G97" s="244"/>
      <c r="H97" s="244"/>
      <c r="I97" s="26" t="s">
        <v>123</v>
      </c>
      <c r="J97" s="26">
        <v>7</v>
      </c>
      <c r="K97" s="26">
        <v>19000000</v>
      </c>
      <c r="L97" s="30">
        <v>22886000</v>
      </c>
      <c r="M97" s="30">
        <v>22885333</v>
      </c>
      <c r="N97" s="30">
        <v>0</v>
      </c>
      <c r="O97" s="32">
        <v>0</v>
      </c>
      <c r="P97" s="30">
        <f t="shared" si="39"/>
        <v>22885333</v>
      </c>
      <c r="Q97" s="30">
        <v>4086000</v>
      </c>
      <c r="R97" s="33">
        <f t="shared" si="37"/>
        <v>0.17853709691514463</v>
      </c>
      <c r="S97" s="98"/>
      <c r="T97" s="30">
        <f t="shared" si="40"/>
        <v>18799452.08424364</v>
      </c>
      <c r="U97" s="34">
        <f t="shared" si="41"/>
        <v>98.944484653913904</v>
      </c>
      <c r="V97" s="16">
        <f>U97*130000/100</f>
        <v>128627.83005008807</v>
      </c>
      <c r="W97" s="16">
        <f t="shared" si="42"/>
        <v>900394.81035061646</v>
      </c>
      <c r="X97" s="263"/>
      <c r="Y97" s="246"/>
    </row>
    <row r="98" spans="1:25" s="37" customFormat="1" ht="15.5">
      <c r="A98" s="222"/>
      <c r="B98" s="247"/>
      <c r="C98" s="224"/>
      <c r="D98" s="227"/>
      <c r="E98" s="227"/>
      <c r="F98" s="243"/>
      <c r="G98" s="244"/>
      <c r="H98" s="244"/>
      <c r="I98" s="23" t="s">
        <v>124</v>
      </c>
      <c r="J98" s="23">
        <v>9</v>
      </c>
      <c r="K98" s="32">
        <v>40500000</v>
      </c>
      <c r="L98" s="26">
        <v>45563800</v>
      </c>
      <c r="M98" s="26">
        <v>42448800</v>
      </c>
      <c r="N98" s="26">
        <v>0</v>
      </c>
      <c r="O98" s="26">
        <v>0</v>
      </c>
      <c r="P98" s="30">
        <f t="shared" si="39"/>
        <v>42448800</v>
      </c>
      <c r="Q98" s="26">
        <v>9463800</v>
      </c>
      <c r="R98" s="33">
        <f t="shared" si="37"/>
        <v>0.20770436179598717</v>
      </c>
      <c r="S98" s="99">
        <v>2580645.1612903229</v>
      </c>
      <c r="T98" s="30">
        <f t="shared" si="40"/>
        <v>36212644.248284824</v>
      </c>
      <c r="U98" s="34">
        <f t="shared" si="41"/>
        <v>89.41393641551808</v>
      </c>
      <c r="V98" s="63">
        <f>U98*109000/90</f>
        <v>108290.21188101634</v>
      </c>
      <c r="W98" s="16">
        <f t="shared" si="42"/>
        <v>974611.90692914708</v>
      </c>
      <c r="X98" s="263"/>
      <c r="Y98" s="246"/>
    </row>
    <row r="99" spans="1:25" ht="12.5">
      <c r="A99" s="222"/>
      <c r="B99" s="247"/>
      <c r="C99" s="224"/>
      <c r="D99" s="227"/>
      <c r="E99" s="227"/>
      <c r="F99" s="243"/>
      <c r="G99" s="244"/>
      <c r="H99" s="244"/>
      <c r="I99" s="26" t="s">
        <v>125</v>
      </c>
      <c r="J99" s="37">
        <v>8</v>
      </c>
      <c r="K99" s="26">
        <v>20800000</v>
      </c>
      <c r="L99" s="26">
        <v>25536000</v>
      </c>
      <c r="M99" s="26">
        <v>22184000</v>
      </c>
      <c r="N99" s="26">
        <v>0</v>
      </c>
      <c r="O99" s="26">
        <v>0</v>
      </c>
      <c r="P99" s="26">
        <f t="shared" si="39"/>
        <v>22184000</v>
      </c>
      <c r="Q99" s="26">
        <v>5036000</v>
      </c>
      <c r="R99" s="33">
        <f t="shared" si="37"/>
        <v>0.19721177944862156</v>
      </c>
      <c r="S99" s="97">
        <v>851612.90322580631</v>
      </c>
      <c r="T99" s="30">
        <f t="shared" si="40"/>
        <v>18660666.787937585</v>
      </c>
      <c r="U99" s="34">
        <f t="shared" si="41"/>
        <v>89.714744172776847</v>
      </c>
      <c r="V99" s="63">
        <f>U99*109000/90</f>
        <v>108654.52349814086</v>
      </c>
      <c r="W99" s="16">
        <f t="shared" si="42"/>
        <v>869236.18798512686</v>
      </c>
      <c r="X99" s="263"/>
      <c r="Y99" s="246"/>
    </row>
    <row r="100" spans="1:25" ht="12.5">
      <c r="A100" s="222"/>
      <c r="B100" s="247"/>
      <c r="C100" s="224"/>
      <c r="D100" s="227"/>
      <c r="E100" s="227"/>
      <c r="F100" s="243"/>
      <c r="G100" s="244"/>
      <c r="H100" s="244"/>
      <c r="I100" s="66" t="s">
        <v>126</v>
      </c>
      <c r="J100" s="100">
        <v>15</v>
      </c>
      <c r="K100" s="26">
        <v>67300000</v>
      </c>
      <c r="L100" s="66">
        <v>86767000</v>
      </c>
      <c r="M100" s="66">
        <v>86767000</v>
      </c>
      <c r="N100" s="66">
        <v>0</v>
      </c>
      <c r="O100" s="66">
        <v>0</v>
      </c>
      <c r="P100" s="26">
        <f t="shared" si="39"/>
        <v>86767000</v>
      </c>
      <c r="Q100" s="66">
        <v>18967000</v>
      </c>
      <c r="R100" s="45">
        <f t="shared" si="37"/>
        <v>0.21859693201332303</v>
      </c>
      <c r="S100" s="97"/>
      <c r="T100" s="26">
        <f t="shared" si="40"/>
        <v>67800000</v>
      </c>
      <c r="U100" s="46">
        <f t="shared" si="41"/>
        <v>100.74294205052006</v>
      </c>
      <c r="V100" s="16">
        <f>U100*130000/100</f>
        <v>130965.82466567607</v>
      </c>
      <c r="W100" s="16">
        <f t="shared" si="42"/>
        <v>1964487.3699851411</v>
      </c>
      <c r="X100" s="263"/>
      <c r="Y100" s="246"/>
    </row>
    <row r="101" spans="1:25" ht="12.5">
      <c r="A101" s="222"/>
      <c r="B101" s="247"/>
      <c r="C101" s="224"/>
      <c r="D101" s="227"/>
      <c r="E101" s="227"/>
      <c r="F101" s="243"/>
      <c r="G101" s="244"/>
      <c r="H101" s="244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263"/>
      <c r="Y101" s="246"/>
    </row>
    <row r="102" spans="1:25" ht="13">
      <c r="A102" s="179"/>
      <c r="B102" s="180"/>
      <c r="C102" s="258"/>
      <c r="D102" s="227"/>
      <c r="E102" s="262"/>
      <c r="F102" s="243"/>
      <c r="G102" s="244"/>
      <c r="H102" s="244"/>
      <c r="I102" s="59"/>
      <c r="J102" s="52">
        <f t="shared" ref="J102:Q102" si="43">SUM(J89:J100)</f>
        <v>143</v>
      </c>
      <c r="K102" s="52">
        <f t="shared" si="43"/>
        <v>559000000</v>
      </c>
      <c r="L102" s="52">
        <f t="shared" si="43"/>
        <v>656699600</v>
      </c>
      <c r="M102" s="52">
        <f t="shared" si="43"/>
        <v>623119933</v>
      </c>
      <c r="N102" s="52">
        <f t="shared" si="43"/>
        <v>6796800</v>
      </c>
      <c r="O102" s="52">
        <f t="shared" si="43"/>
        <v>0</v>
      </c>
      <c r="P102" s="52">
        <f t="shared" si="43"/>
        <v>629916733</v>
      </c>
      <c r="Q102" s="52">
        <f t="shared" si="43"/>
        <v>132279600</v>
      </c>
      <c r="R102" s="61"/>
      <c r="S102" s="52">
        <f>SUM(S89:S100)</f>
        <v>10674183.129032258</v>
      </c>
      <c r="T102" s="52">
        <f>SUM(T89:T100)</f>
        <v>513815725.29137844</v>
      </c>
      <c r="U102" s="55">
        <f>(T102/K102)*100</f>
        <v>91.916945490407585</v>
      </c>
      <c r="V102" s="74"/>
      <c r="W102" s="52">
        <f>SUM(W89:W100)</f>
        <v>16252017.641617961</v>
      </c>
      <c r="X102" s="263"/>
      <c r="Y102" s="246"/>
    </row>
    <row r="103" spans="1:25" ht="12.5">
      <c r="A103" s="251" t="s">
        <v>127</v>
      </c>
      <c r="B103" s="266" t="s">
        <v>128</v>
      </c>
      <c r="C103" s="263" t="s">
        <v>35</v>
      </c>
      <c r="D103" s="181"/>
      <c r="E103" s="181">
        <v>500000</v>
      </c>
      <c r="F103" s="181">
        <v>500000</v>
      </c>
      <c r="G103" s="181"/>
      <c r="H103" s="181"/>
      <c r="I103" s="14"/>
      <c r="J103" s="14"/>
      <c r="K103" s="14"/>
      <c r="L103" s="56"/>
      <c r="M103" s="56"/>
      <c r="N103" s="56"/>
      <c r="O103" s="56"/>
      <c r="P103" s="14"/>
      <c r="Q103" s="56"/>
      <c r="R103" s="45"/>
      <c r="S103" s="56"/>
      <c r="T103" s="26"/>
      <c r="U103" s="46"/>
      <c r="V103" s="12"/>
      <c r="W103" s="21"/>
      <c r="X103" s="181">
        <f>W112+D103+G103+F103+H103+E103</f>
        <v>13941898.996698186</v>
      </c>
      <c r="Y103" s="101"/>
    </row>
    <row r="104" spans="1:25" ht="12.5">
      <c r="A104" s="251"/>
      <c r="B104" s="266"/>
      <c r="C104" s="182"/>
      <c r="D104" s="244"/>
      <c r="E104" s="244"/>
      <c r="F104" s="244"/>
      <c r="G104" s="244"/>
      <c r="H104" s="244"/>
      <c r="I104" s="32" t="s">
        <v>130</v>
      </c>
      <c r="J104" s="32">
        <v>8</v>
      </c>
      <c r="K104" s="32">
        <v>32700000</v>
      </c>
      <c r="L104" s="56">
        <v>28832064.516129032</v>
      </c>
      <c r="M104" s="56">
        <v>24198000</v>
      </c>
      <c r="N104" s="56">
        <v>0</v>
      </c>
      <c r="O104" s="56">
        <v>0</v>
      </c>
      <c r="P104" s="14">
        <f>SUM(M104:O104)</f>
        <v>24198000</v>
      </c>
      <c r="Q104" s="56">
        <v>5374000</v>
      </c>
      <c r="R104" s="45">
        <f t="shared" ref="R104:R111" si="44">Q104/L104</f>
        <v>0.18638970501032676</v>
      </c>
      <c r="S104" s="56">
        <v>2700000</v>
      </c>
      <c r="T104" s="26">
        <f>P104-(P104*R104)+S104</f>
        <v>22387741.918160114</v>
      </c>
      <c r="U104" s="46">
        <f t="shared" si="3"/>
        <v>68.464042563180783</v>
      </c>
      <c r="V104" s="12"/>
      <c r="W104" s="21">
        <f>(120000*J104)*10%</f>
        <v>96000</v>
      </c>
      <c r="X104" s="244"/>
      <c r="Y104" s="101"/>
    </row>
    <row r="105" spans="1:25" ht="12.5">
      <c r="A105" s="251"/>
      <c r="B105" s="266"/>
      <c r="C105" s="182"/>
      <c r="D105" s="244"/>
      <c r="E105" s="244"/>
      <c r="F105" s="244"/>
      <c r="G105" s="244"/>
      <c r="H105" s="244"/>
      <c r="I105" s="26" t="s">
        <v>131</v>
      </c>
      <c r="J105" s="26">
        <v>6</v>
      </c>
      <c r="K105" s="26">
        <v>37500000</v>
      </c>
      <c r="L105" s="56">
        <v>42778000</v>
      </c>
      <c r="M105" s="56">
        <v>42778000</v>
      </c>
      <c r="N105" s="56">
        <v>0</v>
      </c>
      <c r="O105" s="56">
        <v>0</v>
      </c>
      <c r="P105" s="14">
        <f>SUM(M105:O105)</f>
        <v>42778000</v>
      </c>
      <c r="Q105" s="56">
        <v>7078000</v>
      </c>
      <c r="R105" s="45">
        <f t="shared" si="44"/>
        <v>0.16545888073308709</v>
      </c>
      <c r="S105" s="56"/>
      <c r="T105" s="26">
        <f t="shared" ref="T105:T111" si="45">P105-(P105*R105)+S105</f>
        <v>35700000</v>
      </c>
      <c r="U105" s="46">
        <f t="shared" si="3"/>
        <v>95.199999999999989</v>
      </c>
      <c r="V105" s="12">
        <f>U105*110000/95</f>
        <v>110231.5789473684</v>
      </c>
      <c r="W105" s="21">
        <f t="shared" ref="W105:W111" si="46">V105*J105</f>
        <v>661389.47368421033</v>
      </c>
      <c r="X105" s="244"/>
      <c r="Y105" s="101"/>
    </row>
    <row r="106" spans="1:25" ht="12.5">
      <c r="A106" s="251"/>
      <c r="B106" s="266"/>
      <c r="C106" s="182"/>
      <c r="D106" s="244"/>
      <c r="E106" s="244"/>
      <c r="F106" s="244"/>
      <c r="G106" s="244"/>
      <c r="H106" s="244"/>
      <c r="I106" s="26" t="s">
        <v>132</v>
      </c>
      <c r="J106" s="26">
        <v>17</v>
      </c>
      <c r="K106" s="44">
        <v>55200000</v>
      </c>
      <c r="L106" s="56">
        <v>67278000</v>
      </c>
      <c r="M106" s="56">
        <v>56922000</v>
      </c>
      <c r="N106" s="56">
        <v>7225200</v>
      </c>
      <c r="O106" s="56">
        <v>0</v>
      </c>
      <c r="P106" s="14">
        <f>SUM(M106:O106)</f>
        <v>64147200</v>
      </c>
      <c r="Q106" s="56">
        <v>12478000</v>
      </c>
      <c r="R106" s="45">
        <f t="shared" si="44"/>
        <v>0.18546924700496448</v>
      </c>
      <c r="S106" s="56">
        <v>1290322.5806451614</v>
      </c>
      <c r="T106" s="26">
        <f t="shared" si="45"/>
        <v>53540189.699168302</v>
      </c>
      <c r="U106" s="46">
        <f t="shared" si="3"/>
        <v>96.993097281101996</v>
      </c>
      <c r="V106" s="12">
        <f t="shared" ref="V106" si="47">U106*110000/95</f>
        <v>112307.7968518023</v>
      </c>
      <c r="W106" s="21">
        <f t="shared" si="46"/>
        <v>1909232.5464806391</v>
      </c>
      <c r="X106" s="244"/>
      <c r="Y106" s="101"/>
    </row>
    <row r="107" spans="1:25" ht="12.5">
      <c r="A107" s="251"/>
      <c r="B107" s="266"/>
      <c r="C107" s="182"/>
      <c r="D107" s="244"/>
      <c r="E107" s="244"/>
      <c r="F107" s="244"/>
      <c r="G107" s="244"/>
      <c r="H107" s="244"/>
      <c r="I107" s="26" t="s">
        <v>133</v>
      </c>
      <c r="J107" s="83">
        <v>18</v>
      </c>
      <c r="K107" s="56">
        <v>64200000</v>
      </c>
      <c r="L107" s="56">
        <v>74865200</v>
      </c>
      <c r="M107" s="56">
        <v>70796800</v>
      </c>
      <c r="N107" s="56">
        <v>3645000</v>
      </c>
      <c r="O107" s="56">
        <v>0</v>
      </c>
      <c r="P107" s="14">
        <f>SUM(M107:O107)</f>
        <v>74441800</v>
      </c>
      <c r="Q107" s="56">
        <v>13915200</v>
      </c>
      <c r="R107" s="45">
        <f t="shared" si="44"/>
        <v>0.18587007047333073</v>
      </c>
      <c r="S107" s="56"/>
      <c r="T107" s="26">
        <f t="shared" si="45"/>
        <v>60605297.387838408</v>
      </c>
      <c r="U107" s="46">
        <f t="shared" si="3"/>
        <v>94.400774747411859</v>
      </c>
      <c r="V107" s="12">
        <f>U107*109000/95</f>
        <v>108312.46786808308</v>
      </c>
      <c r="W107" s="21">
        <f t="shared" si="46"/>
        <v>1949624.4216254954</v>
      </c>
      <c r="X107" s="244"/>
      <c r="Y107" s="101"/>
    </row>
    <row r="108" spans="1:25" ht="12.5">
      <c r="A108" s="251"/>
      <c r="B108" s="266"/>
      <c r="C108" s="182"/>
      <c r="D108" s="244"/>
      <c r="E108" s="244"/>
      <c r="F108" s="244"/>
      <c r="G108" s="244"/>
      <c r="H108" s="244"/>
      <c r="I108" s="26" t="s">
        <v>134</v>
      </c>
      <c r="J108" s="83">
        <v>10</v>
      </c>
      <c r="K108" s="56">
        <v>35200000</v>
      </c>
      <c r="L108" s="56">
        <v>42083000</v>
      </c>
      <c r="M108" s="102">
        <v>37783000</v>
      </c>
      <c r="N108" s="56">
        <v>3870000</v>
      </c>
      <c r="O108" s="56">
        <v>0</v>
      </c>
      <c r="P108" s="14">
        <f t="shared" ref="P108:P111" si="48">SUM(M108:O108)</f>
        <v>41653000</v>
      </c>
      <c r="Q108" s="56">
        <v>6983000</v>
      </c>
      <c r="R108" s="45">
        <f t="shared" si="44"/>
        <v>0.16593398759594136</v>
      </c>
      <c r="S108" s="56"/>
      <c r="T108" s="26">
        <f t="shared" si="45"/>
        <v>34741351.614666253</v>
      </c>
      <c r="U108" s="46">
        <f t="shared" si="3"/>
        <v>98.697021632574589</v>
      </c>
      <c r="V108" s="12">
        <f>U108*120000/100</f>
        <v>118436.42595908951</v>
      </c>
      <c r="W108" s="21">
        <f t="shared" si="46"/>
        <v>1184364.2595908951</v>
      </c>
      <c r="X108" s="244"/>
      <c r="Y108" s="101"/>
    </row>
    <row r="109" spans="1:25" ht="13">
      <c r="A109" s="251"/>
      <c r="B109" s="266"/>
      <c r="C109" s="182"/>
      <c r="D109" s="244"/>
      <c r="E109" s="244"/>
      <c r="F109" s="244"/>
      <c r="G109" s="244"/>
      <c r="H109" s="244"/>
      <c r="I109" s="26" t="s">
        <v>135</v>
      </c>
      <c r="J109" s="56">
        <v>26</v>
      </c>
      <c r="K109" s="56">
        <v>140500000</v>
      </c>
      <c r="L109" s="56">
        <f>158989000+5400000</f>
        <v>164389000</v>
      </c>
      <c r="M109" s="56">
        <f>138203000+5400000</f>
        <v>143603000</v>
      </c>
      <c r="N109" s="56">
        <v>0</v>
      </c>
      <c r="O109" s="56">
        <v>0</v>
      </c>
      <c r="P109" s="14">
        <f t="shared" si="48"/>
        <v>143603000</v>
      </c>
      <c r="Q109" s="56">
        <v>26639000</v>
      </c>
      <c r="R109" s="45">
        <f t="shared" si="44"/>
        <v>0.16204855556028688</v>
      </c>
      <c r="S109" s="72">
        <v>9593548</v>
      </c>
      <c r="T109" s="26">
        <f t="shared" si="45"/>
        <v>129925889.27587612</v>
      </c>
      <c r="U109" s="46">
        <f t="shared" si="3"/>
        <v>92.473942545107562</v>
      </c>
      <c r="V109" s="12">
        <f>U109*100000/90</f>
        <v>102748.82505011951</v>
      </c>
      <c r="W109" s="21">
        <f t="shared" si="46"/>
        <v>2671469.4513031072</v>
      </c>
      <c r="X109" s="244"/>
      <c r="Y109" s="101"/>
    </row>
    <row r="110" spans="1:25" ht="13">
      <c r="A110" s="251"/>
      <c r="B110" s="266"/>
      <c r="C110" s="182"/>
      <c r="D110" s="244"/>
      <c r="E110" s="244"/>
      <c r="F110" s="244"/>
      <c r="G110" s="244"/>
      <c r="H110" s="244"/>
      <c r="I110" s="26" t="s">
        <v>136</v>
      </c>
      <c r="J110" s="56">
        <v>18</v>
      </c>
      <c r="K110" s="56">
        <v>75200000</v>
      </c>
      <c r="L110" s="56">
        <f>94182000-3200000</f>
        <v>90982000</v>
      </c>
      <c r="M110" s="56">
        <f>89544000-3200000</f>
        <v>86344000</v>
      </c>
      <c r="N110" s="56">
        <v>0</v>
      </c>
      <c r="O110" s="56">
        <v>0</v>
      </c>
      <c r="P110" s="14">
        <f t="shared" si="48"/>
        <v>86344000</v>
      </c>
      <c r="Q110" s="72">
        <v>15882000</v>
      </c>
      <c r="R110" s="45">
        <f t="shared" si="44"/>
        <v>0.17456200127497748</v>
      </c>
      <c r="S110" s="72">
        <v>3122580.6451612902</v>
      </c>
      <c r="T110" s="26">
        <f t="shared" si="45"/>
        <v>74394199.207074627</v>
      </c>
      <c r="U110" s="46">
        <f t="shared" si="3"/>
        <v>98.928456392386479</v>
      </c>
      <c r="V110" s="12">
        <f>U110*120000/100</f>
        <v>118714.14767086378</v>
      </c>
      <c r="W110" s="21">
        <f t="shared" si="46"/>
        <v>2136854.6580755478</v>
      </c>
      <c r="X110" s="245"/>
      <c r="Y110" s="101"/>
    </row>
    <row r="111" spans="1:25" ht="13">
      <c r="A111" s="251"/>
      <c r="B111" s="266"/>
      <c r="C111" s="260"/>
      <c r="D111" s="244"/>
      <c r="E111" s="244"/>
      <c r="F111" s="244"/>
      <c r="G111" s="244"/>
      <c r="H111" s="244"/>
      <c r="I111" s="26" t="s">
        <v>137</v>
      </c>
      <c r="J111" s="56">
        <v>24</v>
      </c>
      <c r="K111" s="56">
        <v>110800000</v>
      </c>
      <c r="L111" s="56">
        <f>116301000-2000000</f>
        <v>114301000</v>
      </c>
      <c r="M111" s="56">
        <f>87138000-2000000</f>
        <v>85138000</v>
      </c>
      <c r="N111" s="56">
        <v>25769700</v>
      </c>
      <c r="O111" s="56">
        <v>130899.99999999999</v>
      </c>
      <c r="P111" s="14">
        <f t="shared" si="48"/>
        <v>111038600</v>
      </c>
      <c r="Q111" s="72">
        <v>16831000</v>
      </c>
      <c r="R111" s="45">
        <f t="shared" si="44"/>
        <v>0.14725155510450477</v>
      </c>
      <c r="S111" s="72">
        <v>3225806.4516129033</v>
      </c>
      <c r="T111" s="26">
        <f t="shared" si="45"/>
        <v>97913799.924985841</v>
      </c>
      <c r="U111" s="46">
        <f t="shared" si="3"/>
        <v>88.369855527965555</v>
      </c>
      <c r="V111" s="12">
        <f>U111*99000/90</f>
        <v>97206.841080762111</v>
      </c>
      <c r="W111" s="21">
        <f t="shared" si="46"/>
        <v>2332964.1859382908</v>
      </c>
      <c r="X111" s="58"/>
      <c r="Y111" s="101"/>
    </row>
    <row r="112" spans="1:25" ht="13">
      <c r="A112" s="179"/>
      <c r="B112" s="180"/>
      <c r="C112" s="261"/>
      <c r="D112" s="245"/>
      <c r="E112" s="245"/>
      <c r="F112" s="245"/>
      <c r="G112" s="245"/>
      <c r="H112" s="245"/>
      <c r="I112" s="59"/>
      <c r="J112" s="52">
        <f t="shared" ref="J112:P112" si="49">SUM(J103:J111)</f>
        <v>127</v>
      </c>
      <c r="K112" s="52">
        <f t="shared" si="49"/>
        <v>551300000</v>
      </c>
      <c r="L112" s="52">
        <f t="shared" si="49"/>
        <v>625508264.51612902</v>
      </c>
      <c r="M112" s="52">
        <f t="shared" si="49"/>
        <v>547562800</v>
      </c>
      <c r="N112" s="52">
        <f t="shared" si="49"/>
        <v>40509900</v>
      </c>
      <c r="O112" s="52">
        <f t="shared" si="49"/>
        <v>130899.99999999999</v>
      </c>
      <c r="P112" s="52">
        <f t="shared" si="49"/>
        <v>588203600</v>
      </c>
      <c r="Q112" s="52">
        <f>SUM(Q103:Q111)</f>
        <v>105180200</v>
      </c>
      <c r="R112" s="61"/>
      <c r="S112" s="52">
        <f>SUM(S103:S111)</f>
        <v>19932257.677419357</v>
      </c>
      <c r="T112" s="52">
        <f>SUM(T103:T111)</f>
        <v>509208469.02776968</v>
      </c>
      <c r="U112" s="55">
        <f>(T112/K112)*100</f>
        <v>92.365040636272383</v>
      </c>
      <c r="V112" s="74"/>
      <c r="W112" s="52">
        <f>SUM(W103:W111)</f>
        <v>12941898.996698186</v>
      </c>
      <c r="X112" s="24"/>
      <c r="Y112" s="101"/>
    </row>
    <row r="113" spans="1:25" ht="13" customHeight="1">
      <c r="A113" s="222" t="s">
        <v>138</v>
      </c>
      <c r="B113" s="247" t="s">
        <v>139</v>
      </c>
      <c r="C113" s="223" t="s">
        <v>35</v>
      </c>
      <c r="D113" s="226"/>
      <c r="E113" s="227">
        <v>500000</v>
      </c>
      <c r="F113" s="243">
        <v>500000</v>
      </c>
      <c r="G113" s="181"/>
      <c r="H113" s="181"/>
      <c r="I113" s="26" t="s">
        <v>140</v>
      </c>
      <c r="J113" s="26">
        <v>9</v>
      </c>
      <c r="K113" s="26">
        <v>29000000</v>
      </c>
      <c r="L113" s="103">
        <v>33652000</v>
      </c>
      <c r="M113" s="103">
        <v>33652000</v>
      </c>
      <c r="N113" s="103">
        <v>0</v>
      </c>
      <c r="O113" s="103">
        <v>0</v>
      </c>
      <c r="P113" s="26">
        <f>SUM(M113:O113)</f>
        <v>33652000</v>
      </c>
      <c r="Q113" s="103">
        <v>5452000</v>
      </c>
      <c r="R113" s="45">
        <f>Q113/L113</f>
        <v>0.16201117318435754</v>
      </c>
      <c r="S113" s="103"/>
      <c r="T113" s="26">
        <f>P113-(P113*R113)+S113</f>
        <v>28200000</v>
      </c>
      <c r="U113" s="46">
        <f t="shared" ref="U113:U121" si="50">(T113/K113)*100</f>
        <v>97.241379310344826</v>
      </c>
      <c r="V113" s="12">
        <f>U113*110000/95</f>
        <v>112595.28130671506</v>
      </c>
      <c r="W113" s="58">
        <f>V113*J113</f>
        <v>1013357.5317604356</v>
      </c>
      <c r="X113" s="181">
        <f>D113+F113+G113+H113+W123+E113</f>
        <v>13405459.235004406</v>
      </c>
      <c r="Y113" s="101"/>
    </row>
    <row r="114" spans="1:25" ht="13" customHeight="1">
      <c r="A114" s="222"/>
      <c r="B114" s="247"/>
      <c r="C114" s="224"/>
      <c r="D114" s="227"/>
      <c r="E114" s="227"/>
      <c r="F114" s="243"/>
      <c r="G114" s="244"/>
      <c r="H114" s="244"/>
      <c r="I114" s="26" t="s">
        <v>141</v>
      </c>
      <c r="J114" s="26">
        <v>8</v>
      </c>
      <c r="K114" s="26">
        <v>30600000</v>
      </c>
      <c r="L114" s="103">
        <v>36614000</v>
      </c>
      <c r="M114" s="103">
        <v>30170000</v>
      </c>
      <c r="N114" s="103">
        <v>0</v>
      </c>
      <c r="O114" s="103">
        <v>0</v>
      </c>
      <c r="P114" s="26">
        <f t="shared" ref="P114:P121" si="51">SUM(M114:O114)</f>
        <v>30170000</v>
      </c>
      <c r="Q114" s="103">
        <v>6814000</v>
      </c>
      <c r="R114" s="45">
        <f t="shared" ref="R114:R121" si="52">Q114/L114</f>
        <v>0.18610367618943574</v>
      </c>
      <c r="S114" s="103"/>
      <c r="T114" s="26">
        <f t="shared" ref="T114:T121" si="53">P114-(P114*R114)+S114</f>
        <v>24555252.089364722</v>
      </c>
      <c r="U114" s="46">
        <f t="shared" si="50"/>
        <v>80.245921860669029</v>
      </c>
      <c r="V114" s="12">
        <f>U114*80000/80</f>
        <v>80245.921860669027</v>
      </c>
      <c r="W114" s="58">
        <f t="shared" ref="W114:W122" si="54">V114*J114</f>
        <v>641967.37488535221</v>
      </c>
      <c r="X114" s="244"/>
      <c r="Y114" s="101"/>
    </row>
    <row r="115" spans="1:25" ht="13" customHeight="1">
      <c r="A115" s="222"/>
      <c r="B115" s="247"/>
      <c r="C115" s="224"/>
      <c r="D115" s="227"/>
      <c r="E115" s="227"/>
      <c r="F115" s="243"/>
      <c r="G115" s="244"/>
      <c r="H115" s="244"/>
      <c r="I115" s="66" t="s">
        <v>142</v>
      </c>
      <c r="J115" s="66">
        <v>11</v>
      </c>
      <c r="K115" s="44">
        <v>37400000</v>
      </c>
      <c r="L115" s="103">
        <v>44433000</v>
      </c>
      <c r="M115" s="103">
        <v>44433000</v>
      </c>
      <c r="N115" s="103">
        <v>0</v>
      </c>
      <c r="O115" s="103">
        <v>0</v>
      </c>
      <c r="P115" s="26">
        <f t="shared" si="51"/>
        <v>44433000</v>
      </c>
      <c r="Q115" s="103">
        <v>10133000</v>
      </c>
      <c r="R115" s="45">
        <f t="shared" si="52"/>
        <v>0.22805122318997142</v>
      </c>
      <c r="S115" s="103"/>
      <c r="T115" s="26">
        <f t="shared" si="53"/>
        <v>34300000</v>
      </c>
      <c r="U115" s="46">
        <f t="shared" si="50"/>
        <v>91.711229946524071</v>
      </c>
      <c r="V115" s="12">
        <f>U115*100000/90</f>
        <v>101901.36660724897</v>
      </c>
      <c r="W115" s="58">
        <f t="shared" si="54"/>
        <v>1120915.0326797387</v>
      </c>
      <c r="X115" s="244"/>
      <c r="Y115" s="101"/>
    </row>
    <row r="116" spans="1:25" ht="13" customHeight="1">
      <c r="A116" s="222"/>
      <c r="B116" s="247"/>
      <c r="C116" s="224"/>
      <c r="D116" s="227"/>
      <c r="E116" s="227"/>
      <c r="F116" s="243"/>
      <c r="G116" s="244"/>
      <c r="H116" s="244"/>
      <c r="I116" s="26" t="s">
        <v>143</v>
      </c>
      <c r="J116" s="26">
        <v>15</v>
      </c>
      <c r="K116" s="26">
        <v>56600000</v>
      </c>
      <c r="L116" s="103">
        <f>63766000+5000000</f>
        <v>68766000</v>
      </c>
      <c r="M116" s="103">
        <f>63766000+5000000</f>
        <v>68766000</v>
      </c>
      <c r="N116" s="103">
        <v>0</v>
      </c>
      <c r="O116" s="103">
        <v>0</v>
      </c>
      <c r="P116" s="26">
        <f t="shared" si="51"/>
        <v>68766000</v>
      </c>
      <c r="Q116" s="103">
        <v>13466000</v>
      </c>
      <c r="R116" s="45">
        <f t="shared" si="52"/>
        <v>0.19582351743594217</v>
      </c>
      <c r="S116" s="103"/>
      <c r="T116" s="26">
        <f t="shared" si="53"/>
        <v>55300000</v>
      </c>
      <c r="U116" s="46">
        <f t="shared" si="50"/>
        <v>97.703180212014132</v>
      </c>
      <c r="V116" s="12">
        <f>U116*120000/100</f>
        <v>117243.81625441696</v>
      </c>
      <c r="W116" s="58">
        <f t="shared" si="54"/>
        <v>1758657.2438162544</v>
      </c>
      <c r="X116" s="244"/>
      <c r="Y116" s="101"/>
    </row>
    <row r="117" spans="1:25" ht="13" customHeight="1">
      <c r="A117" s="222"/>
      <c r="B117" s="247"/>
      <c r="C117" s="224"/>
      <c r="D117" s="227"/>
      <c r="E117" s="227"/>
      <c r="F117" s="243"/>
      <c r="G117" s="244"/>
      <c r="H117" s="244"/>
      <c r="I117" s="26" t="s">
        <v>144</v>
      </c>
      <c r="J117" s="26">
        <v>17</v>
      </c>
      <c r="K117" s="26">
        <v>61600000</v>
      </c>
      <c r="L117" s="103">
        <f>75670000-3600000</f>
        <v>72070000</v>
      </c>
      <c r="M117" s="103">
        <f>72808000-3600000</f>
        <v>69208000</v>
      </c>
      <c r="N117" s="103">
        <v>0</v>
      </c>
      <c r="O117" s="103">
        <v>0</v>
      </c>
      <c r="P117" s="26">
        <f t="shared" si="51"/>
        <v>69208000</v>
      </c>
      <c r="Q117" s="103">
        <v>13870000</v>
      </c>
      <c r="R117" s="45">
        <f t="shared" si="52"/>
        <v>0.19245178298876092</v>
      </c>
      <c r="S117" s="103">
        <v>3222580.6451612907</v>
      </c>
      <c r="T117" s="26">
        <f t="shared" si="53"/>
        <v>59111377.648075126</v>
      </c>
      <c r="U117" s="46">
        <f t="shared" si="50"/>
        <v>95.960028649472605</v>
      </c>
      <c r="V117" s="12">
        <f>U117*110000/95</f>
        <v>111111.61212044196</v>
      </c>
      <c r="W117" s="58">
        <f t="shared" si="54"/>
        <v>1888897.4060475132</v>
      </c>
      <c r="X117" s="244"/>
      <c r="Y117" s="101"/>
    </row>
    <row r="118" spans="1:25" ht="13" customHeight="1">
      <c r="A118" s="222"/>
      <c r="B118" s="247"/>
      <c r="C118" s="224"/>
      <c r="D118" s="227"/>
      <c r="E118" s="227"/>
      <c r="F118" s="243"/>
      <c r="G118" s="244"/>
      <c r="H118" s="244"/>
      <c r="I118" s="26" t="s">
        <v>145</v>
      </c>
      <c r="J118" s="26">
        <v>18</v>
      </c>
      <c r="K118" s="44">
        <v>78800000</v>
      </c>
      <c r="L118" s="103">
        <v>87862000</v>
      </c>
      <c r="M118" s="103">
        <v>83472000</v>
      </c>
      <c r="N118" s="103">
        <v>0</v>
      </c>
      <c r="O118" s="103">
        <v>0</v>
      </c>
      <c r="P118" s="26">
        <f t="shared" si="51"/>
        <v>83472000</v>
      </c>
      <c r="Q118" s="103">
        <v>20062000</v>
      </c>
      <c r="R118" s="45">
        <f t="shared" si="52"/>
        <v>0.22833534406227948</v>
      </c>
      <c r="S118" s="103">
        <v>2193548.3870967743</v>
      </c>
      <c r="T118" s="26">
        <f t="shared" si="53"/>
        <v>66605940.547530189</v>
      </c>
      <c r="U118" s="46">
        <f t="shared" si="50"/>
        <v>84.52530526336318</v>
      </c>
      <c r="V118" s="12">
        <f>U118*89000/85</f>
        <v>88502.966687521446</v>
      </c>
      <c r="W118" s="58">
        <f t="shared" si="54"/>
        <v>1593053.400375386</v>
      </c>
      <c r="X118" s="244"/>
      <c r="Y118" s="101"/>
    </row>
    <row r="119" spans="1:25" ht="13" customHeight="1">
      <c r="A119" s="222"/>
      <c r="B119" s="247"/>
      <c r="C119" s="224"/>
      <c r="D119" s="227"/>
      <c r="E119" s="227"/>
      <c r="F119" s="243"/>
      <c r="G119" s="244"/>
      <c r="H119" s="244"/>
      <c r="I119" s="26" t="s">
        <v>146</v>
      </c>
      <c r="J119" s="26">
        <v>13</v>
      </c>
      <c r="K119" s="44">
        <v>56700000</v>
      </c>
      <c r="L119" s="103">
        <v>68866000</v>
      </c>
      <c r="M119" s="103">
        <v>60016880</v>
      </c>
      <c r="N119" s="103">
        <v>0</v>
      </c>
      <c r="O119" s="103">
        <v>0</v>
      </c>
      <c r="P119" s="26">
        <f t="shared" si="51"/>
        <v>60016880</v>
      </c>
      <c r="Q119" s="103">
        <v>18466000</v>
      </c>
      <c r="R119" s="45">
        <f t="shared" si="52"/>
        <v>0.26814393169343365</v>
      </c>
      <c r="S119" s="103"/>
      <c r="T119" s="26">
        <f t="shared" si="53"/>
        <v>43923717.828826994</v>
      </c>
      <c r="U119" s="46">
        <f t="shared" si="50"/>
        <v>77.466874477649014</v>
      </c>
      <c r="V119" s="12">
        <f>U119*69000/75</f>
        <v>71269.524519437095</v>
      </c>
      <c r="W119" s="58">
        <f t="shared" si="54"/>
        <v>926503.81875268219</v>
      </c>
      <c r="X119" s="244"/>
      <c r="Y119" s="101"/>
    </row>
    <row r="120" spans="1:25" ht="13" customHeight="1">
      <c r="A120" s="222"/>
      <c r="B120" s="247"/>
      <c r="C120" s="224"/>
      <c r="D120" s="227"/>
      <c r="E120" s="227"/>
      <c r="F120" s="243"/>
      <c r="G120" s="244"/>
      <c r="H120" s="244"/>
      <c r="I120" s="26" t="s">
        <v>147</v>
      </c>
      <c r="J120" s="26">
        <v>8</v>
      </c>
      <c r="K120" s="26">
        <v>34000000</v>
      </c>
      <c r="L120" s="103">
        <v>39876400</v>
      </c>
      <c r="M120" s="103">
        <v>35388400</v>
      </c>
      <c r="N120" s="103">
        <v>4039200</v>
      </c>
      <c r="O120" s="103">
        <v>0</v>
      </c>
      <c r="P120" s="26">
        <f t="shared" si="51"/>
        <v>39427600</v>
      </c>
      <c r="Q120" s="103">
        <v>7476400</v>
      </c>
      <c r="R120" s="45">
        <f>Q120/L120</f>
        <v>0.187489342066987</v>
      </c>
      <c r="S120" s="103"/>
      <c r="T120" s="26">
        <f t="shared" si="53"/>
        <v>32035345.216719665</v>
      </c>
      <c r="U120" s="46">
        <f t="shared" si="50"/>
        <v>94.221603578587249</v>
      </c>
      <c r="V120" s="12">
        <f>U120*109000/95</f>
        <v>108106.89252701063</v>
      </c>
      <c r="W120" s="58">
        <f t="shared" si="54"/>
        <v>864855.14021608501</v>
      </c>
      <c r="X120" s="244"/>
      <c r="Y120" s="101"/>
    </row>
    <row r="121" spans="1:25" ht="13" customHeight="1">
      <c r="A121" s="222"/>
      <c r="B121" s="247"/>
      <c r="C121" s="224"/>
      <c r="D121" s="227"/>
      <c r="E121" s="227"/>
      <c r="F121" s="243"/>
      <c r="G121" s="244"/>
      <c r="H121" s="244"/>
      <c r="I121" s="36" t="s">
        <v>148</v>
      </c>
      <c r="J121" s="37">
        <v>9</v>
      </c>
      <c r="K121" s="26">
        <v>30900000</v>
      </c>
      <c r="L121" s="56">
        <v>39293500</v>
      </c>
      <c r="M121" s="72">
        <v>39285500</v>
      </c>
      <c r="N121" s="72">
        <v>0</v>
      </c>
      <c r="O121" s="72">
        <v>0</v>
      </c>
      <c r="P121" s="26">
        <f t="shared" si="51"/>
        <v>39285500</v>
      </c>
      <c r="Q121" s="72">
        <v>7893500</v>
      </c>
      <c r="R121" s="45">
        <f t="shared" si="52"/>
        <v>0.20088564266354486</v>
      </c>
      <c r="S121" s="56"/>
      <c r="T121" s="26">
        <f t="shared" si="53"/>
        <v>31393607.085141309</v>
      </c>
      <c r="U121" s="46">
        <f t="shared" si="50"/>
        <v>101.59743393249614</v>
      </c>
      <c r="V121" s="12">
        <f>U121*120000/100</f>
        <v>121916.92071899537</v>
      </c>
      <c r="W121" s="58">
        <f t="shared" si="54"/>
        <v>1097252.2864709583</v>
      </c>
      <c r="X121" s="245"/>
      <c r="Y121" s="101"/>
    </row>
    <row r="122" spans="1:25" ht="13" customHeight="1">
      <c r="A122" s="264"/>
      <c r="B122" s="265"/>
      <c r="C122" s="258"/>
      <c r="D122" s="227"/>
      <c r="E122" s="227"/>
      <c r="F122" s="243"/>
      <c r="G122" s="244"/>
      <c r="H122" s="244"/>
      <c r="I122" s="36" t="s">
        <v>189</v>
      </c>
      <c r="J122" s="37">
        <v>15</v>
      </c>
      <c r="K122" s="26"/>
      <c r="L122" s="56"/>
      <c r="M122" s="72"/>
      <c r="N122" s="72"/>
      <c r="O122" s="72"/>
      <c r="P122" s="26"/>
      <c r="Q122" s="72"/>
      <c r="R122" s="45"/>
      <c r="S122" s="56"/>
      <c r="T122" s="26"/>
      <c r="U122" s="46"/>
      <c r="V122" s="15">
        <v>100000</v>
      </c>
      <c r="W122" s="58">
        <f t="shared" si="54"/>
        <v>1500000</v>
      </c>
      <c r="X122" s="68"/>
      <c r="Y122" s="101"/>
    </row>
    <row r="123" spans="1:25" ht="13" customHeight="1">
      <c r="A123" s="179"/>
      <c r="B123" s="180"/>
      <c r="C123" s="225"/>
      <c r="D123" s="228"/>
      <c r="E123" s="227"/>
      <c r="F123" s="243"/>
      <c r="G123" s="245"/>
      <c r="H123" s="245"/>
      <c r="I123" s="51"/>
      <c r="J123" s="52">
        <f>SUM(J113:J122)</f>
        <v>123</v>
      </c>
      <c r="K123" s="52">
        <f t="shared" ref="K123:N123" si="55">SUM(K113:K122)</f>
        <v>415600000</v>
      </c>
      <c r="L123" s="52">
        <f t="shared" si="55"/>
        <v>491432900</v>
      </c>
      <c r="M123" s="52">
        <f t="shared" si="55"/>
        <v>464391780</v>
      </c>
      <c r="N123" s="52">
        <f t="shared" si="55"/>
        <v>4039200</v>
      </c>
      <c r="O123" s="52">
        <f t="shared" ref="O123" si="56">SUM(O113:O122)</f>
        <v>0</v>
      </c>
      <c r="P123" s="52">
        <f t="shared" ref="P123" si="57">SUM(P113:P122)</f>
        <v>468430980</v>
      </c>
      <c r="Q123" s="52">
        <f t="shared" ref="Q123" si="58">SUM(Q113:Q122)</f>
        <v>103632900</v>
      </c>
      <c r="R123" s="61"/>
      <c r="S123" s="52">
        <f>SUM(S113:S122)</f>
        <v>5416129.0322580654</v>
      </c>
      <c r="T123" s="52">
        <f>SUM(T113:T122)</f>
        <v>375425240.41565806</v>
      </c>
      <c r="U123" s="55">
        <f>(T123/K123)*100</f>
        <v>90.333310975856136</v>
      </c>
      <c r="V123" s="59"/>
      <c r="W123" s="104">
        <f>SUM(W113:W122)</f>
        <v>12405459.235004406</v>
      </c>
      <c r="X123" s="63"/>
      <c r="Y123" s="101"/>
    </row>
    <row r="124" spans="1:25" ht="13" customHeight="1">
      <c r="A124" s="50" t="s">
        <v>149</v>
      </c>
      <c r="B124" s="272" t="s">
        <v>150</v>
      </c>
      <c r="C124" s="223" t="s">
        <v>35</v>
      </c>
      <c r="D124" s="242"/>
      <c r="E124" s="181">
        <v>500000</v>
      </c>
      <c r="F124" s="181">
        <v>500000</v>
      </c>
      <c r="G124" s="181"/>
      <c r="H124" s="181"/>
      <c r="I124" s="36" t="s">
        <v>129</v>
      </c>
      <c r="J124" s="14">
        <v>12</v>
      </c>
      <c r="K124" s="14">
        <v>48900000</v>
      </c>
      <c r="L124" s="56">
        <v>49098000</v>
      </c>
      <c r="M124" s="56">
        <v>49046000</v>
      </c>
      <c r="N124" s="56">
        <v>0</v>
      </c>
      <c r="O124" s="56">
        <v>0</v>
      </c>
      <c r="P124" s="26">
        <f>SUM(M124:O124)</f>
        <v>49046000</v>
      </c>
      <c r="Q124" s="56">
        <v>7798000</v>
      </c>
      <c r="R124" s="45">
        <f>Q124/L124</f>
        <v>0.15882520672939834</v>
      </c>
      <c r="S124" s="56"/>
      <c r="T124" s="26">
        <f>P124-(P124*R124)+S124</f>
        <v>41256258.910749927</v>
      </c>
      <c r="U124" s="46">
        <f>(T124/K124)*100</f>
        <v>84.368627629345454</v>
      </c>
      <c r="V124" s="12">
        <f>U124*89000/85</f>
        <v>88338.915988373468</v>
      </c>
      <c r="W124" s="58">
        <f>V124*J124</f>
        <v>1060066.9918604817</v>
      </c>
      <c r="X124" s="181">
        <f>D124+E124+F124+G124+H124+W126</f>
        <v>2192066.9918604819</v>
      </c>
      <c r="Y124" s="101"/>
    </row>
    <row r="125" spans="1:25" ht="13" customHeight="1">
      <c r="A125" s="50" t="s">
        <v>151</v>
      </c>
      <c r="B125" s="247"/>
      <c r="C125" s="224"/>
      <c r="D125" s="243"/>
      <c r="E125" s="244"/>
      <c r="F125" s="244"/>
      <c r="G125" s="244"/>
      <c r="H125" s="244"/>
      <c r="I125" s="36" t="s">
        <v>116</v>
      </c>
      <c r="J125" s="14">
        <v>11</v>
      </c>
      <c r="K125" s="14">
        <v>43800000</v>
      </c>
      <c r="L125" s="14">
        <v>47709000</v>
      </c>
      <c r="M125" s="14">
        <v>37861000</v>
      </c>
      <c r="N125" s="14">
        <v>0</v>
      </c>
      <c r="O125" s="14">
        <v>0</v>
      </c>
      <c r="P125" s="14">
        <f t="shared" ref="P125" si="59">SUM(M125:O125)</f>
        <v>37861000</v>
      </c>
      <c r="Q125" s="14">
        <v>10809000</v>
      </c>
      <c r="R125" s="45">
        <f>Q125/L125</f>
        <v>0.22656102622146765</v>
      </c>
      <c r="S125" s="56"/>
      <c r="T125" s="26">
        <f>P125-(P125*R125)+S125</f>
        <v>29283172.986229014</v>
      </c>
      <c r="U125" s="46">
        <f>(T125/K125)*100</f>
        <v>66.856559329289993</v>
      </c>
      <c r="V125" s="37"/>
      <c r="W125" s="105">
        <f>(120000*J125)*10%</f>
        <v>132000</v>
      </c>
      <c r="X125" s="244"/>
      <c r="Y125" s="101"/>
    </row>
    <row r="126" spans="1:25" ht="13" customHeight="1">
      <c r="A126" s="50" t="s">
        <v>154</v>
      </c>
      <c r="B126" s="273"/>
      <c r="C126" s="241"/>
      <c r="D126" s="248"/>
      <c r="E126" s="245"/>
      <c r="F126" s="245"/>
      <c r="G126" s="245"/>
      <c r="H126" s="245"/>
      <c r="I126" s="59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5"/>
      <c r="V126" s="59"/>
      <c r="W126" s="104">
        <f>SUM(W124:W125)</f>
        <v>1192066.9918604817</v>
      </c>
      <c r="X126" s="245"/>
      <c r="Y126" s="101"/>
    </row>
    <row r="127" spans="1:25" ht="12.5" customHeight="1">
      <c r="A127" s="50" t="s">
        <v>157</v>
      </c>
      <c r="B127" s="106" t="s">
        <v>152</v>
      </c>
      <c r="C127" s="38" t="s">
        <v>153</v>
      </c>
      <c r="D127" s="21">
        <v>10000000</v>
      </c>
      <c r="E127" s="16">
        <v>500000</v>
      </c>
      <c r="F127" s="16">
        <v>500000</v>
      </c>
      <c r="G127" s="58"/>
      <c r="H127" s="1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16"/>
      <c r="W127" s="16">
        <f>D127+E127+F127</f>
        <v>11000000</v>
      </c>
      <c r="X127" s="187">
        <f>SUM(W127:W139)</f>
        <v>27423077</v>
      </c>
      <c r="Y127" s="17"/>
    </row>
    <row r="128" spans="1:25" ht="12.5" customHeight="1">
      <c r="A128" s="50" t="s">
        <v>160</v>
      </c>
      <c r="B128" s="106" t="s">
        <v>155</v>
      </c>
      <c r="C128" s="38" t="s">
        <v>156</v>
      </c>
      <c r="D128" s="21">
        <v>8000000</v>
      </c>
      <c r="E128" s="16">
        <v>500000</v>
      </c>
      <c r="F128" s="16">
        <v>500000</v>
      </c>
      <c r="G128" s="58"/>
      <c r="H128" s="1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16"/>
      <c r="W128" s="16">
        <f>D128+E128+F128</f>
        <v>9000000</v>
      </c>
      <c r="X128" s="187"/>
      <c r="Y128" s="17"/>
    </row>
    <row r="129" spans="1:25" ht="12.5" customHeight="1">
      <c r="A129" s="50" t="s">
        <v>162</v>
      </c>
      <c r="B129" s="106" t="s">
        <v>158</v>
      </c>
      <c r="C129" s="38" t="s">
        <v>159</v>
      </c>
      <c r="D129" s="21">
        <v>0</v>
      </c>
      <c r="E129" s="16">
        <v>0</v>
      </c>
      <c r="F129" s="16"/>
      <c r="G129" s="58"/>
      <c r="H129" s="1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16"/>
      <c r="W129" s="16">
        <f t="shared" ref="W129:W140" si="60">D129+E129+F129</f>
        <v>0</v>
      </c>
      <c r="X129" s="187"/>
      <c r="Y129" s="17"/>
    </row>
    <row r="130" spans="1:25" ht="12.5" customHeight="1">
      <c r="A130" s="50" t="s">
        <v>163</v>
      </c>
      <c r="B130" s="106" t="s">
        <v>161</v>
      </c>
      <c r="C130" s="38" t="s">
        <v>159</v>
      </c>
      <c r="D130" s="21">
        <v>3000000</v>
      </c>
      <c r="E130" s="16">
        <v>500000</v>
      </c>
      <c r="F130" s="16">
        <v>500000</v>
      </c>
      <c r="G130" s="58"/>
      <c r="H130" s="1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16"/>
      <c r="W130" s="16">
        <f t="shared" si="60"/>
        <v>4000000</v>
      </c>
      <c r="X130" s="187"/>
      <c r="Y130" s="17"/>
    </row>
    <row r="131" spans="1:25" ht="12.5" customHeight="1">
      <c r="A131" s="50" t="s">
        <v>165</v>
      </c>
      <c r="B131" s="106" t="s">
        <v>194</v>
      </c>
      <c r="C131" s="38" t="s">
        <v>159</v>
      </c>
      <c r="D131" s="21">
        <f>2115385-500000</f>
        <v>1615385</v>
      </c>
      <c r="E131" s="16">
        <v>500000</v>
      </c>
      <c r="F131" s="16"/>
      <c r="G131" s="58"/>
      <c r="H131" s="1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16"/>
      <c r="W131" s="16">
        <f>D131+E131+F131</f>
        <v>2115385</v>
      </c>
      <c r="X131" s="187"/>
      <c r="Y131" s="17"/>
    </row>
    <row r="132" spans="1:25" ht="13">
      <c r="A132" s="50" t="s">
        <v>167</v>
      </c>
      <c r="B132" s="107" t="s">
        <v>164</v>
      </c>
      <c r="C132" s="38" t="s">
        <v>159</v>
      </c>
      <c r="D132" s="21">
        <v>0</v>
      </c>
      <c r="E132" s="16">
        <v>0</v>
      </c>
      <c r="F132" s="16"/>
      <c r="G132" s="16"/>
      <c r="H132" s="1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16"/>
      <c r="W132" s="16">
        <f t="shared" si="60"/>
        <v>0</v>
      </c>
      <c r="X132" s="187"/>
      <c r="Y132" s="108">
        <f>SUM(D127:D139)</f>
        <v>23423077</v>
      </c>
    </row>
    <row r="133" spans="1:25" ht="12.5" customHeight="1">
      <c r="A133" s="50" t="s">
        <v>169</v>
      </c>
      <c r="B133" s="107" t="s">
        <v>166</v>
      </c>
      <c r="C133" s="38" t="s">
        <v>159</v>
      </c>
      <c r="D133" s="21">
        <f>1307692-500000</f>
        <v>807692</v>
      </c>
      <c r="E133" s="16">
        <v>500000</v>
      </c>
      <c r="F133" s="16"/>
      <c r="G133" s="16"/>
      <c r="H133" s="1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16"/>
      <c r="W133" s="16">
        <f t="shared" si="60"/>
        <v>1307692</v>
      </c>
      <c r="X133" s="187"/>
      <c r="Y133" s="17"/>
    </row>
    <row r="134" spans="1:25" ht="12.5" customHeight="1">
      <c r="A134" s="50" t="s">
        <v>171</v>
      </c>
      <c r="B134" s="107" t="s">
        <v>168</v>
      </c>
      <c r="C134" s="38" t="s">
        <v>159</v>
      </c>
      <c r="D134" s="21">
        <v>0</v>
      </c>
      <c r="E134" s="16">
        <v>0</v>
      </c>
      <c r="F134" s="16"/>
      <c r="G134" s="16"/>
      <c r="H134" s="5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16"/>
      <c r="W134" s="16">
        <f t="shared" si="60"/>
        <v>0</v>
      </c>
      <c r="X134" s="187"/>
      <c r="Y134" s="17"/>
    </row>
    <row r="135" spans="1:25" ht="12.5" customHeight="1">
      <c r="A135" s="50" t="s">
        <v>173</v>
      </c>
      <c r="B135" s="107" t="s">
        <v>170</v>
      </c>
      <c r="C135" s="38" t="s">
        <v>159</v>
      </c>
      <c r="D135" s="21">
        <v>0</v>
      </c>
      <c r="E135" s="16">
        <v>0</v>
      </c>
      <c r="F135" s="16"/>
      <c r="G135" s="16"/>
      <c r="H135" s="5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16"/>
      <c r="W135" s="16">
        <f t="shared" si="60"/>
        <v>0</v>
      </c>
      <c r="X135" s="187"/>
      <c r="Y135" s="17"/>
    </row>
    <row r="136" spans="1:25" ht="12.5" customHeight="1">
      <c r="A136" s="50" t="s">
        <v>175</v>
      </c>
      <c r="B136" s="107" t="s">
        <v>172</v>
      </c>
      <c r="C136" s="38" t="s">
        <v>159</v>
      </c>
      <c r="D136" s="21">
        <v>0</v>
      </c>
      <c r="E136" s="16">
        <v>0</v>
      </c>
      <c r="F136" s="16"/>
      <c r="G136" s="16"/>
      <c r="H136" s="5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16"/>
      <c r="W136" s="16">
        <f t="shared" si="60"/>
        <v>0</v>
      </c>
      <c r="X136" s="187"/>
      <c r="Y136" s="17"/>
    </row>
    <row r="137" spans="1:25" ht="12.5" customHeight="1">
      <c r="A137" s="50" t="s">
        <v>178</v>
      </c>
      <c r="B137" s="107" t="s">
        <v>174</v>
      </c>
      <c r="C137" s="38" t="s">
        <v>159</v>
      </c>
      <c r="D137" s="21">
        <v>0</v>
      </c>
      <c r="E137" s="16">
        <v>0</v>
      </c>
      <c r="F137" s="16"/>
      <c r="G137" s="16"/>
      <c r="H137" s="5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16"/>
      <c r="W137" s="16">
        <f>D137+E137+F137</f>
        <v>0</v>
      </c>
      <c r="X137" s="187"/>
      <c r="Y137" s="17"/>
    </row>
    <row r="138" spans="1:25" ht="13" customHeight="1">
      <c r="A138" s="50" t="s">
        <v>181</v>
      </c>
      <c r="B138" s="107" t="s">
        <v>193</v>
      </c>
      <c r="C138" s="38" t="s">
        <v>159</v>
      </c>
      <c r="D138" s="21">
        <v>0</v>
      </c>
      <c r="E138" s="16">
        <v>0</v>
      </c>
      <c r="F138" s="16"/>
      <c r="G138" s="16"/>
      <c r="H138" s="58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15"/>
      <c r="W138" s="16">
        <f>D138+E138+F138</f>
        <v>0</v>
      </c>
      <c r="X138" s="187"/>
      <c r="Y138" s="17"/>
    </row>
    <row r="139" spans="1:25" ht="13" customHeight="1">
      <c r="A139" s="50" t="s">
        <v>184</v>
      </c>
      <c r="B139" s="107" t="s">
        <v>196</v>
      </c>
      <c r="C139" s="38" t="s">
        <v>159</v>
      </c>
      <c r="D139" s="21">
        <v>0</v>
      </c>
      <c r="E139" s="16">
        <v>0</v>
      </c>
      <c r="F139" s="16"/>
      <c r="G139" s="16"/>
      <c r="H139" s="58"/>
      <c r="I139" s="2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15"/>
      <c r="W139" s="16">
        <f>D139+E139+F139</f>
        <v>0</v>
      </c>
      <c r="X139" s="187"/>
      <c r="Y139" s="17"/>
    </row>
    <row r="140" spans="1:25" ht="12.5">
      <c r="A140" s="50" t="s">
        <v>190</v>
      </c>
      <c r="B140" s="11" t="s">
        <v>176</v>
      </c>
      <c r="C140" s="11" t="s">
        <v>177</v>
      </c>
      <c r="D140" s="21">
        <v>12000000</v>
      </c>
      <c r="E140" s="16"/>
      <c r="F140" s="16"/>
      <c r="G140" s="16"/>
      <c r="H140" s="58"/>
      <c r="I140" s="2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2"/>
      <c r="W140" s="16">
        <f t="shared" si="60"/>
        <v>12000000</v>
      </c>
      <c r="X140" s="21">
        <f>D140+F140+G140+H140</f>
        <v>12000000</v>
      </c>
      <c r="Y140" s="17"/>
    </row>
    <row r="141" spans="1:25" ht="12.5">
      <c r="A141" s="50" t="s">
        <v>191</v>
      </c>
      <c r="B141" s="11" t="s">
        <v>179</v>
      </c>
      <c r="C141" s="11" t="s">
        <v>180</v>
      </c>
      <c r="D141" s="21"/>
      <c r="E141" s="16">
        <v>500000</v>
      </c>
      <c r="F141" s="16"/>
      <c r="G141" s="16"/>
      <c r="H141" s="16"/>
      <c r="I141" s="2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2"/>
      <c r="W141" s="12"/>
      <c r="X141" s="21">
        <f>D141+F141+G141+H141</f>
        <v>0</v>
      </c>
      <c r="Y141" s="17"/>
    </row>
    <row r="142" spans="1:25" ht="12.5">
      <c r="A142" s="50" t="s">
        <v>195</v>
      </c>
      <c r="B142" s="11" t="s">
        <v>182</v>
      </c>
      <c r="C142" s="11" t="s">
        <v>183</v>
      </c>
      <c r="D142" s="21"/>
      <c r="E142" s="16">
        <v>700000</v>
      </c>
      <c r="F142" s="16"/>
      <c r="G142" s="63"/>
      <c r="H142" s="63"/>
      <c r="I142" s="23"/>
      <c r="J142" s="23"/>
      <c r="K142" s="23"/>
      <c r="L142" s="23"/>
      <c r="M142" s="14"/>
      <c r="N142" s="14"/>
      <c r="O142" s="14"/>
      <c r="P142" s="14"/>
      <c r="Q142" s="14"/>
      <c r="R142" s="14"/>
      <c r="S142" s="14"/>
      <c r="T142" s="14"/>
      <c r="U142" s="14"/>
      <c r="V142" s="12"/>
      <c r="W142" s="12"/>
      <c r="X142" s="21"/>
      <c r="Y142" s="17"/>
    </row>
    <row r="143" spans="1:25" ht="12.5">
      <c r="A143" s="50" t="s">
        <v>191</v>
      </c>
      <c r="B143" s="11" t="s">
        <v>185</v>
      </c>
      <c r="C143" s="11" t="s">
        <v>183</v>
      </c>
      <c r="D143" s="21"/>
      <c r="E143" s="16">
        <v>700000</v>
      </c>
      <c r="F143" s="16"/>
      <c r="G143" s="16"/>
      <c r="H143" s="16"/>
      <c r="I143" s="26"/>
      <c r="J143" s="26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2"/>
      <c r="W143" s="12"/>
      <c r="X143" s="21"/>
      <c r="Y143" s="17"/>
    </row>
    <row r="144" spans="1:25" ht="13">
      <c r="A144" s="109"/>
      <c r="B144" s="270"/>
      <c r="C144" s="268"/>
      <c r="D144" s="110"/>
      <c r="E144" s="110"/>
      <c r="F144" s="110"/>
      <c r="G144" s="110"/>
      <c r="H144" s="110"/>
      <c r="I144" s="111"/>
      <c r="J144" s="3"/>
      <c r="K144" s="269"/>
      <c r="L144" s="268"/>
      <c r="T144" s="3"/>
      <c r="U144" s="271" t="s">
        <v>186</v>
      </c>
      <c r="V144" s="268"/>
      <c r="X144" s="110"/>
      <c r="Y144" s="3"/>
    </row>
    <row r="145" spans="1:25" ht="13">
      <c r="A145" s="109"/>
      <c r="B145" s="267"/>
      <c r="C145" s="268"/>
      <c r="D145" s="110"/>
      <c r="E145" s="110"/>
      <c r="F145" s="110"/>
      <c r="G145" s="110"/>
      <c r="H145" s="110"/>
      <c r="I145" s="111"/>
      <c r="J145" s="3"/>
      <c r="K145" s="267"/>
      <c r="L145" s="268"/>
      <c r="T145" s="3"/>
      <c r="U145" s="267" t="s">
        <v>187</v>
      </c>
      <c r="V145" s="268"/>
      <c r="X145" s="110"/>
      <c r="Y145" s="3"/>
    </row>
    <row r="146" spans="1:25" ht="13">
      <c r="A146" s="109"/>
      <c r="B146" s="269"/>
      <c r="C146" s="268"/>
      <c r="D146" s="110"/>
      <c r="E146" s="110"/>
      <c r="F146" s="110"/>
      <c r="G146" s="110"/>
      <c r="H146" s="110"/>
      <c r="I146" s="111"/>
      <c r="J146" s="3"/>
      <c r="K146" s="269"/>
      <c r="L146" s="268"/>
      <c r="T146" s="3"/>
      <c r="U146" s="269" t="s">
        <v>188</v>
      </c>
      <c r="V146" s="268"/>
      <c r="X146" s="110"/>
      <c r="Y146" s="3"/>
    </row>
    <row r="147" spans="1:25" ht="12.5">
      <c r="A147" s="109"/>
      <c r="B147" s="3"/>
      <c r="C147" s="3"/>
      <c r="D147" s="110"/>
      <c r="E147" s="110"/>
      <c r="F147" s="110"/>
      <c r="G147" s="110"/>
      <c r="H147" s="110"/>
      <c r="I147" s="111"/>
      <c r="J147" s="3"/>
      <c r="K147" s="3"/>
      <c r="L147" s="3">
        <v>1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110"/>
      <c r="Y147" s="3"/>
    </row>
    <row r="148" spans="1:25" ht="12.5">
      <c r="A148" s="109"/>
      <c r="B148" s="3"/>
      <c r="C148" s="3"/>
      <c r="D148" s="110"/>
      <c r="E148" s="110"/>
      <c r="F148" s="110"/>
      <c r="G148" s="110"/>
      <c r="H148" s="110"/>
      <c r="I148" s="11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110"/>
      <c r="Y148" s="3"/>
    </row>
    <row r="149" spans="1:25" ht="12.5">
      <c r="A149" s="109"/>
      <c r="B149" s="3"/>
      <c r="C149" s="3"/>
      <c r="D149" s="110"/>
      <c r="E149" s="110"/>
      <c r="F149" s="110"/>
      <c r="G149" s="110"/>
      <c r="H149" s="110"/>
      <c r="I149" s="11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17"/>
      <c r="V149" s="3"/>
      <c r="W149" s="3"/>
      <c r="X149" s="110"/>
      <c r="Y149" s="3"/>
    </row>
    <row r="150" spans="1:25" ht="12.5">
      <c r="A150" s="109"/>
      <c r="B150" s="3"/>
      <c r="C150" s="3"/>
      <c r="D150" s="110"/>
      <c r="E150" s="110"/>
      <c r="F150" s="110"/>
      <c r="G150" s="110"/>
      <c r="H150" s="110"/>
      <c r="I150" s="11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112"/>
      <c r="V150" s="3"/>
      <c r="W150" s="3"/>
      <c r="X150" s="110"/>
      <c r="Y150" s="3"/>
    </row>
    <row r="151" spans="1:25" ht="12.5">
      <c r="A151" s="109"/>
      <c r="B151" s="3"/>
      <c r="C151" s="3"/>
      <c r="D151" s="110"/>
      <c r="E151" s="110"/>
      <c r="F151" s="110"/>
      <c r="G151" s="110"/>
      <c r="H151" s="110"/>
      <c r="I151" s="11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110"/>
      <c r="Y151" s="3"/>
    </row>
    <row r="152" spans="1:25" ht="12.5">
      <c r="A152" s="109"/>
      <c r="B152" s="3"/>
      <c r="C152" s="3"/>
      <c r="D152" s="110"/>
      <c r="E152" s="110"/>
      <c r="F152" s="110"/>
      <c r="G152" s="110"/>
      <c r="H152" s="110"/>
      <c r="I152" s="11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110"/>
      <c r="Y152" s="3"/>
    </row>
    <row r="153" spans="1:25" ht="12.5">
      <c r="A153" s="109"/>
      <c r="B153" s="3"/>
      <c r="C153" s="3"/>
      <c r="D153" s="110"/>
      <c r="E153" s="110"/>
      <c r="F153" s="110"/>
      <c r="G153" s="110"/>
      <c r="H153" s="110"/>
      <c r="I153" s="11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10"/>
      <c r="Y153" s="3"/>
    </row>
    <row r="154" spans="1:25" ht="12.5">
      <c r="A154" s="109"/>
      <c r="B154" s="3"/>
      <c r="C154" s="3"/>
      <c r="D154" s="110"/>
      <c r="E154" s="110"/>
      <c r="F154" s="110"/>
      <c r="G154" s="110"/>
      <c r="H154" s="110"/>
      <c r="I154" s="11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10"/>
      <c r="Y154" s="3"/>
    </row>
    <row r="155" spans="1:25" ht="12.5">
      <c r="A155" s="109"/>
      <c r="B155" s="3"/>
      <c r="C155" s="3"/>
      <c r="D155" s="110"/>
      <c r="E155" s="110"/>
      <c r="F155" s="110"/>
      <c r="G155" s="110"/>
      <c r="H155" s="110"/>
      <c r="I155" s="1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10"/>
      <c r="Y155" s="3"/>
    </row>
    <row r="156" spans="1:25" ht="12.5">
      <c r="A156" s="109"/>
      <c r="B156" s="3"/>
      <c r="C156" s="3"/>
      <c r="D156" s="110"/>
      <c r="E156" s="110"/>
      <c r="F156" s="110"/>
      <c r="G156" s="110"/>
      <c r="H156" s="110"/>
      <c r="I156" s="1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110"/>
      <c r="Y156" s="3"/>
    </row>
    <row r="157" spans="1:25" ht="12.5">
      <c r="A157" s="109"/>
      <c r="B157" s="3"/>
      <c r="C157" s="3"/>
      <c r="D157" s="110"/>
      <c r="E157" s="110"/>
      <c r="F157" s="110"/>
      <c r="G157" s="110"/>
      <c r="H157" s="110"/>
      <c r="I157" s="1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10"/>
      <c r="Y157" s="3"/>
    </row>
    <row r="158" spans="1:25" ht="12.5">
      <c r="A158" s="109"/>
      <c r="B158" s="3"/>
      <c r="C158" s="3"/>
      <c r="D158" s="110"/>
      <c r="E158" s="110"/>
      <c r="F158" s="110"/>
      <c r="G158" s="110"/>
      <c r="H158" s="110"/>
      <c r="I158" s="1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10"/>
      <c r="Y158" s="3"/>
    </row>
    <row r="159" spans="1:25" ht="12.5">
      <c r="A159" s="109"/>
      <c r="B159" s="3"/>
      <c r="C159" s="3"/>
      <c r="D159" s="110"/>
      <c r="E159" s="110"/>
      <c r="F159" s="110"/>
      <c r="G159" s="110"/>
      <c r="H159" s="110"/>
      <c r="I159" s="11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0"/>
      <c r="Y159" s="3"/>
    </row>
    <row r="160" spans="1:25" ht="12.5">
      <c r="A160" s="109"/>
      <c r="B160" s="3"/>
      <c r="C160" s="3"/>
      <c r="D160" s="110"/>
      <c r="E160" s="110"/>
      <c r="F160" s="110"/>
      <c r="G160" s="110"/>
      <c r="H160" s="110"/>
      <c r="I160" s="1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109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109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109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109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109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109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3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3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3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3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3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3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3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3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3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3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3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3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3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3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  <row r="1102" spans="1:25" ht="12.5">
      <c r="A1102" s="3"/>
      <c r="B1102" s="3"/>
      <c r="C1102" s="3"/>
      <c r="D1102" s="110"/>
      <c r="E1102" s="110"/>
      <c r="F1102" s="110"/>
      <c r="G1102" s="110"/>
      <c r="H1102" s="110"/>
      <c r="I1102" s="1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110"/>
      <c r="Y1102" s="3"/>
    </row>
    <row r="1103" spans="1:25" ht="12.5">
      <c r="A1103" s="3"/>
      <c r="B1103" s="3"/>
      <c r="C1103" s="3"/>
      <c r="D1103" s="110"/>
      <c r="E1103" s="110"/>
      <c r="F1103" s="110"/>
      <c r="G1103" s="110"/>
      <c r="H1103" s="110"/>
      <c r="I1103" s="1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110"/>
      <c r="Y1103" s="3"/>
    </row>
    <row r="1104" spans="1:25" ht="12.5">
      <c r="A1104" s="3"/>
      <c r="B1104" s="3"/>
      <c r="C1104" s="3"/>
      <c r="D1104" s="110"/>
      <c r="E1104" s="110"/>
      <c r="F1104" s="110"/>
      <c r="G1104" s="110"/>
      <c r="H1104" s="110"/>
      <c r="I1104" s="11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110"/>
      <c r="Y1104" s="3"/>
    </row>
    <row r="1105" spans="1:25" ht="12.5">
      <c r="A1105" s="3"/>
      <c r="B1105" s="3"/>
      <c r="C1105" s="3"/>
      <c r="D1105" s="110"/>
      <c r="E1105" s="110"/>
      <c r="F1105" s="110"/>
      <c r="G1105" s="110"/>
      <c r="H1105" s="110"/>
      <c r="I1105" s="11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110"/>
      <c r="Y1105" s="3"/>
    </row>
    <row r="1106" spans="1:25" ht="12.5">
      <c r="A1106" s="3"/>
      <c r="B1106" s="3"/>
      <c r="C1106" s="3"/>
      <c r="D1106" s="110"/>
      <c r="E1106" s="110"/>
      <c r="F1106" s="110"/>
      <c r="G1106" s="110"/>
      <c r="H1106" s="110"/>
      <c r="I1106" s="11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110"/>
      <c r="Y1106" s="3"/>
    </row>
    <row r="1107" spans="1:25" ht="12.5">
      <c r="A1107" s="3"/>
      <c r="B1107" s="3"/>
      <c r="C1107" s="3"/>
      <c r="D1107" s="110"/>
      <c r="E1107" s="110"/>
      <c r="F1107" s="110"/>
      <c r="G1107" s="110"/>
      <c r="H1107" s="110"/>
      <c r="I1107" s="11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110"/>
      <c r="Y1107" s="3"/>
    </row>
  </sheetData>
  <mergeCells count="165">
    <mergeCell ref="X124:X126"/>
    <mergeCell ref="B145:C145"/>
    <mergeCell ref="K145:L145"/>
    <mergeCell ref="U145:V145"/>
    <mergeCell ref="B146:C146"/>
    <mergeCell ref="K146:L146"/>
    <mergeCell ref="U146:V146"/>
    <mergeCell ref="B144:C144"/>
    <mergeCell ref="K144:L144"/>
    <mergeCell ref="U144:V144"/>
    <mergeCell ref="B124:B126"/>
    <mergeCell ref="C124:C126"/>
    <mergeCell ref="D124:D126"/>
    <mergeCell ref="E124:E126"/>
    <mergeCell ref="F124:F126"/>
    <mergeCell ref="G124:G126"/>
    <mergeCell ref="H124:H126"/>
    <mergeCell ref="A113:A123"/>
    <mergeCell ref="B113:B123"/>
    <mergeCell ref="C113:C123"/>
    <mergeCell ref="D113:D123"/>
    <mergeCell ref="E113:E123"/>
    <mergeCell ref="F113:F123"/>
    <mergeCell ref="Y89:Y102"/>
    <mergeCell ref="A103:A112"/>
    <mergeCell ref="B103:B112"/>
    <mergeCell ref="C103:C112"/>
    <mergeCell ref="D103:D112"/>
    <mergeCell ref="E103:E112"/>
    <mergeCell ref="F103:F112"/>
    <mergeCell ref="G103:G112"/>
    <mergeCell ref="H103:H112"/>
    <mergeCell ref="X103:X110"/>
    <mergeCell ref="G113:G123"/>
    <mergeCell ref="H113:H123"/>
    <mergeCell ref="X113:X121"/>
    <mergeCell ref="Y82:Y88"/>
    <mergeCell ref="A89:A102"/>
    <mergeCell ref="B89:B102"/>
    <mergeCell ref="C89:C102"/>
    <mergeCell ref="D89:D102"/>
    <mergeCell ref="E89:E102"/>
    <mergeCell ref="F89:F102"/>
    <mergeCell ref="G89:G102"/>
    <mergeCell ref="H89:H102"/>
    <mergeCell ref="X89:X102"/>
    <mergeCell ref="A82:A88"/>
    <mergeCell ref="B82:B88"/>
    <mergeCell ref="C82:C88"/>
    <mergeCell ref="D82:D88"/>
    <mergeCell ref="E82:E88"/>
    <mergeCell ref="F82:F88"/>
    <mergeCell ref="G82:G88"/>
    <mergeCell ref="H82:H88"/>
    <mergeCell ref="X82:X88"/>
    <mergeCell ref="Y64:Y75"/>
    <mergeCell ref="A76:A81"/>
    <mergeCell ref="B76:B81"/>
    <mergeCell ref="C76:C81"/>
    <mergeCell ref="D76:D81"/>
    <mergeCell ref="E76:E81"/>
    <mergeCell ref="F76:F81"/>
    <mergeCell ref="G76:G81"/>
    <mergeCell ref="H76:H81"/>
    <mergeCell ref="X76:X81"/>
    <mergeCell ref="Y76:Y81"/>
    <mergeCell ref="A64:A75"/>
    <mergeCell ref="B64:B75"/>
    <mergeCell ref="C64:C75"/>
    <mergeCell ref="D64:D75"/>
    <mergeCell ref="E64:E75"/>
    <mergeCell ref="F64:F75"/>
    <mergeCell ref="G64:G75"/>
    <mergeCell ref="H64:H75"/>
    <mergeCell ref="X64:X75"/>
    <mergeCell ref="Y46:Y52"/>
    <mergeCell ref="A53:A57"/>
    <mergeCell ref="B53:B57"/>
    <mergeCell ref="C53:C57"/>
    <mergeCell ref="D53:D57"/>
    <mergeCell ref="E53:E57"/>
    <mergeCell ref="F53:F57"/>
    <mergeCell ref="G53:G57"/>
    <mergeCell ref="H53:H57"/>
    <mergeCell ref="X53:X57"/>
    <mergeCell ref="Y55:Y63"/>
    <mergeCell ref="A58:A63"/>
    <mergeCell ref="B58:B63"/>
    <mergeCell ref="C58:C63"/>
    <mergeCell ref="D58:D63"/>
    <mergeCell ref="E58:E63"/>
    <mergeCell ref="F58:F63"/>
    <mergeCell ref="G58:G63"/>
    <mergeCell ref="H58:H63"/>
    <mergeCell ref="X58:X63"/>
    <mergeCell ref="A46:A52"/>
    <mergeCell ref="B46:B52"/>
    <mergeCell ref="C46:C52"/>
    <mergeCell ref="D46:D52"/>
    <mergeCell ref="E46:E52"/>
    <mergeCell ref="F46:F52"/>
    <mergeCell ref="G46:G52"/>
    <mergeCell ref="H46:H52"/>
    <mergeCell ref="X46:X52"/>
    <mergeCell ref="Y26:Y34"/>
    <mergeCell ref="A35:A45"/>
    <mergeCell ref="B35:B45"/>
    <mergeCell ref="C35:C45"/>
    <mergeCell ref="D35:D45"/>
    <mergeCell ref="E35:E45"/>
    <mergeCell ref="F35:F45"/>
    <mergeCell ref="G35:G45"/>
    <mergeCell ref="H35:H45"/>
    <mergeCell ref="X36:X45"/>
    <mergeCell ref="Y36:Y45"/>
    <mergeCell ref="A26:A34"/>
    <mergeCell ref="B26:B34"/>
    <mergeCell ref="C26:C34"/>
    <mergeCell ref="D26:D34"/>
    <mergeCell ref="E26:E34"/>
    <mergeCell ref="F26:F34"/>
    <mergeCell ref="G26:G34"/>
    <mergeCell ref="H26:H34"/>
    <mergeCell ref="X26:X34"/>
    <mergeCell ref="B7:B8"/>
    <mergeCell ref="C7:C8"/>
    <mergeCell ref="D7:D8"/>
    <mergeCell ref="E7:E8"/>
    <mergeCell ref="F7:F8"/>
    <mergeCell ref="X11:X17"/>
    <mergeCell ref="Y11:Y17"/>
    <mergeCell ref="A18:A25"/>
    <mergeCell ref="B18:B25"/>
    <mergeCell ref="C18:C25"/>
    <mergeCell ref="D18:D25"/>
    <mergeCell ref="E18:E25"/>
    <mergeCell ref="F18:F25"/>
    <mergeCell ref="G18:G25"/>
    <mergeCell ref="H18:H25"/>
    <mergeCell ref="X18:X25"/>
    <mergeCell ref="Y18:Y25"/>
    <mergeCell ref="A1:J1"/>
    <mergeCell ref="A2:J2"/>
    <mergeCell ref="A3:J3"/>
    <mergeCell ref="A4:J4"/>
    <mergeCell ref="A5:T6"/>
    <mergeCell ref="U5:X6"/>
    <mergeCell ref="X127:X139"/>
    <mergeCell ref="W7:W8"/>
    <mergeCell ref="X7:X8"/>
    <mergeCell ref="A11:A17"/>
    <mergeCell ref="B11:B17"/>
    <mergeCell ref="C11:C17"/>
    <mergeCell ref="D11:D17"/>
    <mergeCell ref="E11:E17"/>
    <mergeCell ref="F11:F17"/>
    <mergeCell ref="G11:G17"/>
    <mergeCell ref="H11:H17"/>
    <mergeCell ref="G7:G8"/>
    <mergeCell ref="H7:H8"/>
    <mergeCell ref="I7:I8"/>
    <mergeCell ref="J7:T7"/>
    <mergeCell ref="U7:U8"/>
    <mergeCell ref="V7:V8"/>
    <mergeCell ref="A7:A8"/>
  </mergeCells>
  <phoneticPr fontId="17" type="noConversion"/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921D-A99C-4E0F-801F-933E463F6AE6}">
  <sheetPr codeName="Sheet2">
    <outlinePr summaryBelow="0" summaryRight="0"/>
    <pageSetUpPr fitToPage="1"/>
  </sheetPr>
  <dimension ref="A1:Y1101"/>
  <sheetViews>
    <sheetView topLeftCell="A4" zoomScale="90" zoomScaleNormal="90" workbookViewId="0">
      <pane xSplit="9" ySplit="6" topLeftCell="U49" activePane="bottomRight" state="frozen"/>
      <selection activeCell="A4" sqref="A4"/>
      <selection pane="topRight" activeCell="I4" sqref="I4"/>
      <selection pane="bottomLeft" activeCell="A10" sqref="A10"/>
      <selection pane="bottomRight" activeCell="W27" sqref="W27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7" width="12.6328125" style="4" customWidth="1"/>
    <col min="18" max="18" width="16.54296875" style="4" customWidth="1"/>
    <col min="19" max="19" width="21.08984375" style="4" customWidth="1"/>
    <col min="20" max="20" width="14.08984375" style="4" customWidth="1"/>
    <col min="21" max="23" width="12.6328125" style="4"/>
    <col min="24" max="24" width="12.6328125" style="113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>
      <c r="A5" s="204" t="s">
        <v>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6"/>
      <c r="U5" s="211" t="s">
        <v>5</v>
      </c>
      <c r="V5" s="212"/>
      <c r="W5" s="212"/>
      <c r="X5" s="213"/>
      <c r="Y5" s="3"/>
    </row>
    <row r="6" spans="1:25" ht="12.5">
      <c r="A6" s="207"/>
      <c r="B6" s="208"/>
      <c r="C6" s="208"/>
      <c r="D6" s="208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10"/>
      <c r="U6" s="214"/>
      <c r="V6" s="215"/>
      <c r="W6" s="215"/>
      <c r="X6" s="216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15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6"/>
      <c r="B9" s="7"/>
      <c r="C9" s="7"/>
      <c r="D9" s="8"/>
      <c r="E9" s="8">
        <f>SUM(E10:E137)</f>
        <v>10400000</v>
      </c>
      <c r="F9" s="8">
        <f>SUM(F10:F137)</f>
        <v>7700000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24"/>
      <c r="X9" s="9"/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1198*7000</f>
        <v>8386000</v>
      </c>
      <c r="H10" s="13"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1"/>
      <c r="W10" s="16"/>
      <c r="X10" s="16">
        <f>D10+F10+E10+G10</f>
        <v>19586000</v>
      </c>
      <c r="Y10" s="17" t="s">
        <v>192</v>
      </c>
    </row>
    <row r="11" spans="1:25" ht="14">
      <c r="A11" s="222" t="s">
        <v>41</v>
      </c>
      <c r="B11" s="224" t="s">
        <v>42</v>
      </c>
      <c r="C11" s="224" t="s">
        <v>43</v>
      </c>
      <c r="D11" s="227">
        <v>8000000</v>
      </c>
      <c r="E11" s="226">
        <v>500000</v>
      </c>
      <c r="F11" s="230">
        <v>500000</v>
      </c>
      <c r="G11" s="177">
        <f>1198*5000</f>
        <v>5990000</v>
      </c>
      <c r="H11" s="177"/>
      <c r="I11" s="25" t="s">
        <v>44</v>
      </c>
      <c r="J11" s="44">
        <v>50</v>
      </c>
      <c r="K11" s="26">
        <v>170000000</v>
      </c>
      <c r="L11" s="18">
        <f>203738000-2800000</f>
        <v>200938000</v>
      </c>
      <c r="M11" s="14">
        <f>189104143-2800000</f>
        <v>186304143</v>
      </c>
      <c r="N11" s="14">
        <v>8350200</v>
      </c>
      <c r="O11" s="14">
        <v>0</v>
      </c>
      <c r="P11" s="14">
        <f>SUM(M11:O11)</f>
        <v>194654343</v>
      </c>
      <c r="Q11" s="44">
        <v>43138000</v>
      </c>
      <c r="R11" s="45">
        <f>Q11/L11</f>
        <v>0.21468313609172979</v>
      </c>
      <c r="S11" s="14"/>
      <c r="T11" s="26">
        <f t="shared" ref="T11:T17" si="0">P11-(P11*R11)+S11</f>
        <v>152865338.19088477</v>
      </c>
      <c r="U11" s="46">
        <f t="shared" ref="U11:U90" si="1">(T11/K11)*100</f>
        <v>89.920787171108685</v>
      </c>
      <c r="V11" s="12">
        <f>U11*109000/90</f>
        <v>108904.06446278718</v>
      </c>
      <c r="W11" s="21">
        <f t="shared" ref="W11:W17" si="2">V11*J11</f>
        <v>5445203.2231393587</v>
      </c>
      <c r="X11" s="177">
        <f>W18+D11+F11+G11+H11+E11</f>
        <v>22060107.167665903</v>
      </c>
      <c r="Y11" s="239"/>
    </row>
    <row r="12" spans="1:25" ht="14">
      <c r="A12" s="222"/>
      <c r="B12" s="224" t="str">
        <f>B11</f>
        <v>Trần Quang Huy</v>
      </c>
      <c r="C12" s="224"/>
      <c r="D12" s="227"/>
      <c r="E12" s="227"/>
      <c r="F12" s="230"/>
      <c r="G12" s="177"/>
      <c r="H12" s="177"/>
      <c r="I12" s="26" t="s">
        <v>45</v>
      </c>
      <c r="J12" s="47">
        <v>14</v>
      </c>
      <c r="K12" s="26">
        <v>46300000</v>
      </c>
      <c r="L12" s="31">
        <v>54894000</v>
      </c>
      <c r="M12" s="14">
        <v>54894000</v>
      </c>
      <c r="N12" s="14">
        <v>0</v>
      </c>
      <c r="O12" s="14">
        <v>0</v>
      </c>
      <c r="P12" s="14">
        <f t="shared" ref="P12:P17" si="3">SUM(M12:O12)</f>
        <v>54894000</v>
      </c>
      <c r="Q12" s="44">
        <v>11994000</v>
      </c>
      <c r="R12" s="45">
        <f t="shared" ref="R12:R76" si="4">Q12/L12</f>
        <v>0.2184938244616898</v>
      </c>
      <c r="S12" s="14"/>
      <c r="T12" s="26">
        <f t="shared" si="0"/>
        <v>42900000</v>
      </c>
      <c r="U12" s="46">
        <f t="shared" si="1"/>
        <v>92.656587473002162</v>
      </c>
      <c r="V12" s="12">
        <f>U12*119000/95</f>
        <v>116064.56746618166</v>
      </c>
      <c r="W12" s="21">
        <f t="shared" si="2"/>
        <v>1624903.9445265431</v>
      </c>
      <c r="X12" s="178"/>
      <c r="Y12" s="239"/>
    </row>
    <row r="13" spans="1:25" ht="12.5">
      <c r="A13" s="222"/>
      <c r="B13" s="224" t="str">
        <f>B12</f>
        <v>Trần Quang Huy</v>
      </c>
      <c r="C13" s="224"/>
      <c r="D13" s="227"/>
      <c r="E13" s="227"/>
      <c r="F13" s="230"/>
      <c r="G13" s="177"/>
      <c r="H13" s="177"/>
      <c r="J13" s="49"/>
      <c r="K13" s="37"/>
      <c r="L13" s="14"/>
      <c r="M13" s="14"/>
      <c r="N13" s="14"/>
      <c r="O13" s="14"/>
      <c r="P13" s="14">
        <f t="shared" si="3"/>
        <v>0</v>
      </c>
      <c r="Q13" s="44"/>
      <c r="R13" s="45"/>
      <c r="S13" s="14"/>
      <c r="T13" s="26">
        <f t="shared" si="0"/>
        <v>0</v>
      </c>
      <c r="U13" s="46">
        <f>(T13/K111)*100</f>
        <v>0</v>
      </c>
      <c r="V13" s="12">
        <f>U13*100000/85</f>
        <v>0</v>
      </c>
      <c r="W13" s="21">
        <f t="shared" si="2"/>
        <v>0</v>
      </c>
      <c r="X13" s="178"/>
      <c r="Y13" s="239"/>
    </row>
    <row r="14" spans="1:25" ht="12.5">
      <c r="A14" s="222"/>
      <c r="B14" s="224" t="str">
        <f>B13</f>
        <v>Trần Quang Huy</v>
      </c>
      <c r="C14" s="224"/>
      <c r="D14" s="227"/>
      <c r="E14" s="227"/>
      <c r="F14" s="230"/>
      <c r="G14" s="177"/>
      <c r="H14" s="177"/>
      <c r="I14" s="36"/>
      <c r="J14" s="37"/>
      <c r="K14" s="37"/>
      <c r="L14" s="14"/>
      <c r="M14" s="14"/>
      <c r="N14" s="14"/>
      <c r="O14" s="14"/>
      <c r="P14" s="14">
        <f t="shared" si="3"/>
        <v>0</v>
      </c>
      <c r="Q14" s="44"/>
      <c r="R14" s="45"/>
      <c r="S14" s="14"/>
      <c r="T14" s="26">
        <f t="shared" si="0"/>
        <v>0</v>
      </c>
      <c r="U14" s="46">
        <f>(T14/K88)*100</f>
        <v>0</v>
      </c>
      <c r="V14" s="12">
        <f>U14*109000/90</f>
        <v>0</v>
      </c>
      <c r="W14" s="21">
        <f t="shared" si="2"/>
        <v>0</v>
      </c>
      <c r="X14" s="178"/>
      <c r="Y14" s="239"/>
    </row>
    <row r="15" spans="1:25" ht="12.5">
      <c r="A15" s="222"/>
      <c r="B15" s="224" t="str">
        <f>B14</f>
        <v>Trần Quang Huy</v>
      </c>
      <c r="C15" s="224"/>
      <c r="D15" s="227"/>
      <c r="E15" s="227"/>
      <c r="F15" s="230"/>
      <c r="G15" s="177"/>
      <c r="H15" s="177"/>
      <c r="I15" s="36"/>
      <c r="J15" s="37"/>
      <c r="K15" s="37"/>
      <c r="L15" s="14"/>
      <c r="M15" s="14"/>
      <c r="N15" s="14"/>
      <c r="O15" s="14"/>
      <c r="P15" s="14">
        <f>SUM(M15:O15)</f>
        <v>0</v>
      </c>
      <c r="Q15" s="44"/>
      <c r="R15" s="45"/>
      <c r="S15" s="14"/>
      <c r="T15" s="26">
        <f t="shared" si="0"/>
        <v>0</v>
      </c>
      <c r="U15" s="46">
        <f>(T15/K12)*100</f>
        <v>0</v>
      </c>
      <c r="V15" s="12">
        <f>U15*100000/85</f>
        <v>0</v>
      </c>
      <c r="W15" s="21">
        <f t="shared" si="2"/>
        <v>0</v>
      </c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23"/>
      <c r="M16" s="23"/>
      <c r="N16" s="23"/>
      <c r="O16" s="23"/>
      <c r="P16" s="14">
        <f t="shared" si="3"/>
        <v>0</v>
      </c>
      <c r="Q16" s="44"/>
      <c r="R16" s="45"/>
      <c r="S16" s="14"/>
      <c r="T16" s="26">
        <f t="shared" si="0"/>
        <v>0</v>
      </c>
      <c r="U16" s="46">
        <f>(T16/K88)*100</f>
        <v>0</v>
      </c>
      <c r="V16" s="12">
        <f>U16*109000/95</f>
        <v>0</v>
      </c>
      <c r="W16" s="21">
        <f t="shared" si="2"/>
        <v>0</v>
      </c>
      <c r="X16" s="178"/>
      <c r="Y16" s="239"/>
    </row>
    <row r="17" spans="1:25" ht="12.5">
      <c r="A17" s="222"/>
      <c r="B17" s="224"/>
      <c r="C17" s="224"/>
      <c r="D17" s="227"/>
      <c r="E17" s="227"/>
      <c r="F17" s="230"/>
      <c r="G17" s="177"/>
      <c r="H17" s="177"/>
      <c r="I17" s="36"/>
      <c r="J17" s="37"/>
      <c r="K17" s="37"/>
      <c r="L17" s="25"/>
      <c r="M17" s="26"/>
      <c r="N17" s="26"/>
      <c r="O17" s="26"/>
      <c r="P17" s="14">
        <f t="shared" si="3"/>
        <v>0</v>
      </c>
      <c r="Q17" s="32"/>
      <c r="R17" s="45"/>
      <c r="S17" s="32"/>
      <c r="T17" s="26">
        <f t="shared" si="0"/>
        <v>0</v>
      </c>
      <c r="U17" s="46">
        <f>(T17/K12)*100</f>
        <v>0</v>
      </c>
      <c r="V17" s="12">
        <f>U17*109000/95</f>
        <v>0</v>
      </c>
      <c r="W17" s="21">
        <f t="shared" si="2"/>
        <v>0</v>
      </c>
      <c r="X17" s="178"/>
      <c r="Y17" s="239"/>
    </row>
    <row r="18" spans="1:25" ht="13">
      <c r="A18" s="240"/>
      <c r="B18" s="241" t="str">
        <f>B15</f>
        <v>Trần Quang Huy</v>
      </c>
      <c r="C18" s="241"/>
      <c r="D18" s="228"/>
      <c r="E18" s="228"/>
      <c r="F18" s="231"/>
      <c r="G18" s="177"/>
      <c r="H18" s="177"/>
      <c r="I18" s="51"/>
      <c r="J18" s="52">
        <f>SUM(J11:J17)</f>
        <v>64</v>
      </c>
      <c r="K18" s="52">
        <f>SUM(K11:K17)</f>
        <v>216300000</v>
      </c>
      <c r="L18" s="52">
        <f>SUM(L11:L17)</f>
        <v>255832000</v>
      </c>
      <c r="M18" s="52">
        <f t="shared" ref="M18:N18" si="5">SUM(M11:M17)</f>
        <v>241198143</v>
      </c>
      <c r="N18" s="52">
        <f t="shared" si="5"/>
        <v>8350200</v>
      </c>
      <c r="O18" s="52">
        <f>SUM(O11:O17)</f>
        <v>0</v>
      </c>
      <c r="P18" s="52">
        <f>SUM(P11:P17)</f>
        <v>249548343</v>
      </c>
      <c r="Q18" s="52">
        <f>SUM(Q11:Q17)</f>
        <v>55132000</v>
      </c>
      <c r="R18" s="53"/>
      <c r="S18" s="52">
        <f>SUM(S11:S17)</f>
        <v>0</v>
      </c>
      <c r="T18" s="54">
        <f>SUM(T11:T17)</f>
        <v>195765338.19088477</v>
      </c>
      <c r="U18" s="55">
        <f>(T18/K18)*100</f>
        <v>90.506397684181579</v>
      </c>
      <c r="V18" s="52"/>
      <c r="W18" s="52">
        <f>SUM(W11:W17)</f>
        <v>7070107.1676659016</v>
      </c>
      <c r="X18" s="178"/>
      <c r="Y18" s="239"/>
    </row>
    <row r="19" spans="1:25" ht="13" customHeight="1">
      <c r="A19" s="221" t="s">
        <v>46</v>
      </c>
      <c r="B19" s="249" t="s">
        <v>47</v>
      </c>
      <c r="C19" s="223" t="s">
        <v>35</v>
      </c>
      <c r="D19" s="226"/>
      <c r="E19" s="226">
        <v>500000</v>
      </c>
      <c r="F19" s="229">
        <v>500000</v>
      </c>
      <c r="G19" s="177">
        <v>0</v>
      </c>
      <c r="H19" s="177">
        <v>2000000</v>
      </c>
      <c r="I19" s="14" t="s">
        <v>48</v>
      </c>
      <c r="J19" s="56">
        <v>22</v>
      </c>
      <c r="K19" s="56">
        <v>103000000</v>
      </c>
      <c r="L19" s="14">
        <v>121532000</v>
      </c>
      <c r="M19" s="14">
        <v>119720000</v>
      </c>
      <c r="N19" s="14">
        <v>1603800</v>
      </c>
      <c r="O19" s="14">
        <v>0</v>
      </c>
      <c r="P19" s="14">
        <f>SUM(M19:O19)</f>
        <v>121323800</v>
      </c>
      <c r="Q19" s="14">
        <v>25532000</v>
      </c>
      <c r="R19" s="45">
        <f t="shared" si="4"/>
        <v>0.21008458677549946</v>
      </c>
      <c r="S19" s="14"/>
      <c r="T19" s="26">
        <f>P19-(P19*R19)+S19</f>
        <v>95835539.610966653</v>
      </c>
      <c r="U19" s="46">
        <f>(T19/K19)*100</f>
        <v>93.044213214530743</v>
      </c>
      <c r="V19" s="12">
        <f>U19*119000/95</f>
        <v>116550.11971083324</v>
      </c>
      <c r="W19" s="15">
        <f>V19*J19</f>
        <v>2564102.6336383312</v>
      </c>
      <c r="X19" s="177">
        <f>W28+D19+F19+G19+H19+E19</f>
        <v>15125253.373250002</v>
      </c>
      <c r="Y19" s="246"/>
    </row>
    <row r="20" spans="1:25" ht="13" customHeight="1">
      <c r="A20" s="222"/>
      <c r="B20" s="247"/>
      <c r="C20" s="224"/>
      <c r="D20" s="227"/>
      <c r="E20" s="227"/>
      <c r="F20" s="230"/>
      <c r="G20" s="177"/>
      <c r="H20" s="177"/>
      <c r="I20" s="32" t="s">
        <v>49</v>
      </c>
      <c r="J20" s="26">
        <v>8</v>
      </c>
      <c r="K20" s="26">
        <v>32800000</v>
      </c>
      <c r="L20" s="14">
        <v>38542000</v>
      </c>
      <c r="M20" s="14">
        <v>38542000</v>
      </c>
      <c r="N20" s="14">
        <v>0</v>
      </c>
      <c r="O20" s="14">
        <v>0</v>
      </c>
      <c r="P20" s="14">
        <f t="shared" ref="P20:P26" si="6">SUM(M20:O20)</f>
        <v>38542000</v>
      </c>
      <c r="Q20" s="14">
        <v>8142000</v>
      </c>
      <c r="R20" s="45">
        <f t="shared" si="4"/>
        <v>0.21125006486430387</v>
      </c>
      <c r="S20" s="14"/>
      <c r="T20" s="26">
        <f t="shared" ref="T20:T26" si="7">P20-(P20*R20)+S20</f>
        <v>30400000</v>
      </c>
      <c r="U20" s="46">
        <f t="shared" ref="U20:U26" si="8">(T20/K20)*100</f>
        <v>92.682926829268297</v>
      </c>
      <c r="V20" s="21">
        <f t="shared" ref="V20" si="9">U20*119000/95</f>
        <v>116097.56097560975</v>
      </c>
      <c r="W20" s="16">
        <f t="shared" ref="W20:W26" si="10">V20*J20</f>
        <v>928780.48780487804</v>
      </c>
      <c r="X20" s="177"/>
      <c r="Y20" s="246"/>
    </row>
    <row r="21" spans="1:25" ht="13" customHeight="1">
      <c r="A21" s="222"/>
      <c r="B21" s="247"/>
      <c r="C21" s="224"/>
      <c r="D21" s="227"/>
      <c r="E21" s="227"/>
      <c r="F21" s="230"/>
      <c r="G21" s="177"/>
      <c r="H21" s="177"/>
      <c r="I21" s="47" t="s">
        <v>50</v>
      </c>
      <c r="J21" s="26">
        <v>9</v>
      </c>
      <c r="K21" s="26">
        <v>37800000</v>
      </c>
      <c r="L21" s="14">
        <v>39532000</v>
      </c>
      <c r="M21" s="14">
        <v>35004000</v>
      </c>
      <c r="N21" s="14">
        <v>0</v>
      </c>
      <c r="O21" s="14">
        <v>0</v>
      </c>
      <c r="P21" s="14">
        <f t="shared" si="6"/>
        <v>35004000</v>
      </c>
      <c r="Q21" s="14">
        <v>7932000</v>
      </c>
      <c r="R21" s="45">
        <f t="shared" si="4"/>
        <v>0.20064757664676719</v>
      </c>
      <c r="S21" s="14"/>
      <c r="T21" s="26">
        <f t="shared" si="7"/>
        <v>27980532.227056563</v>
      </c>
      <c r="U21" s="46">
        <f t="shared" si="8"/>
        <v>74.022572029250171</v>
      </c>
      <c r="V21" s="21">
        <f>U21*74000/75</f>
        <v>73035.604402193509</v>
      </c>
      <c r="W21" s="16">
        <f t="shared" si="10"/>
        <v>657320.43961974164</v>
      </c>
      <c r="X21" s="177"/>
      <c r="Y21" s="246"/>
    </row>
    <row r="22" spans="1:25" ht="13" customHeight="1">
      <c r="A22" s="222"/>
      <c r="B22" s="247"/>
      <c r="C22" s="224"/>
      <c r="D22" s="227"/>
      <c r="E22" s="227"/>
      <c r="F22" s="230"/>
      <c r="G22" s="177"/>
      <c r="H22" s="177"/>
      <c r="I22" s="26" t="s">
        <v>51</v>
      </c>
      <c r="J22" s="14">
        <v>17</v>
      </c>
      <c r="K22" s="14">
        <v>42000000</v>
      </c>
      <c r="L22" s="14">
        <v>49178000</v>
      </c>
      <c r="M22" s="14">
        <v>46526400</v>
      </c>
      <c r="N22" s="14">
        <v>0</v>
      </c>
      <c r="O22" s="14">
        <v>0</v>
      </c>
      <c r="P22" s="14">
        <f t="shared" si="6"/>
        <v>46526400</v>
      </c>
      <c r="Q22" s="14">
        <v>10478000</v>
      </c>
      <c r="R22" s="45">
        <f t="shared" si="4"/>
        <v>0.21306275163691082</v>
      </c>
      <c r="S22" s="14">
        <v>3750000</v>
      </c>
      <c r="T22" s="26">
        <f t="shared" si="7"/>
        <v>40363357.192240432</v>
      </c>
      <c r="U22" s="46">
        <f t="shared" si="8"/>
        <v>96.103231410096271</v>
      </c>
      <c r="V22" s="21">
        <f>U22*120000/95</f>
        <v>121393.55546538476</v>
      </c>
      <c r="W22" s="16">
        <f t="shared" si="10"/>
        <v>2063690.4429115411</v>
      </c>
      <c r="X22" s="177"/>
      <c r="Y22" s="246"/>
    </row>
    <row r="23" spans="1:25" ht="13" customHeight="1">
      <c r="A23" s="222"/>
      <c r="B23" s="247" t="str">
        <f>B19</f>
        <v>Nguyễn Thị Thương Huyền</v>
      </c>
      <c r="C23" s="224"/>
      <c r="D23" s="227"/>
      <c r="E23" s="227"/>
      <c r="F23" s="230"/>
      <c r="G23" s="177"/>
      <c r="H23" s="177"/>
      <c r="I23" s="23" t="s">
        <v>52</v>
      </c>
      <c r="J23" s="23">
        <v>9</v>
      </c>
      <c r="K23" s="23">
        <v>31500000</v>
      </c>
      <c r="L23" s="14">
        <v>39076000</v>
      </c>
      <c r="M23" s="14">
        <v>34604000</v>
      </c>
      <c r="N23" s="14">
        <v>4024800</v>
      </c>
      <c r="O23" s="14">
        <v>0</v>
      </c>
      <c r="P23" s="14">
        <f t="shared" si="6"/>
        <v>38628800</v>
      </c>
      <c r="Q23" s="14">
        <v>7576000</v>
      </c>
      <c r="R23" s="45">
        <f t="shared" si="4"/>
        <v>0.19387859555737538</v>
      </c>
      <c r="S23" s="14"/>
      <c r="T23" s="26">
        <f t="shared" si="7"/>
        <v>31139502.507933259</v>
      </c>
      <c r="U23" s="46">
        <f t="shared" si="8"/>
        <v>98.855563517248441</v>
      </c>
      <c r="V23" s="21">
        <f>U23*130000/100</f>
        <v>128512.23257242297</v>
      </c>
      <c r="W23" s="16">
        <f t="shared" si="10"/>
        <v>1156610.0931518069</v>
      </c>
      <c r="X23" s="178"/>
      <c r="Y23" s="246"/>
    </row>
    <row r="24" spans="1:25" ht="13" customHeight="1">
      <c r="A24" s="222"/>
      <c r="B24" s="247" t="str">
        <f>B23</f>
        <v>Nguyễn Thị Thương Huyền</v>
      </c>
      <c r="C24" s="224"/>
      <c r="D24" s="227"/>
      <c r="E24" s="227"/>
      <c r="F24" s="230"/>
      <c r="G24" s="177"/>
      <c r="H24" s="177"/>
      <c r="I24" s="26" t="s">
        <v>53</v>
      </c>
      <c r="J24" s="26">
        <v>10</v>
      </c>
      <c r="K24" s="26">
        <v>36200000</v>
      </c>
      <c r="L24" s="23">
        <v>45922000</v>
      </c>
      <c r="M24" s="23">
        <v>42922000</v>
      </c>
      <c r="N24" s="23">
        <v>2700000</v>
      </c>
      <c r="O24" s="23">
        <v>0</v>
      </c>
      <c r="P24" s="14">
        <f t="shared" si="6"/>
        <v>45622000</v>
      </c>
      <c r="Q24" s="23">
        <v>10222000</v>
      </c>
      <c r="R24" s="45">
        <f t="shared" si="4"/>
        <v>0.22259483471974217</v>
      </c>
      <c r="S24" s="23"/>
      <c r="T24" s="26">
        <f t="shared" si="7"/>
        <v>35466778.450415924</v>
      </c>
      <c r="U24" s="46">
        <f t="shared" si="8"/>
        <v>97.974526106121345</v>
      </c>
      <c r="V24" s="12">
        <f>U24*130000/100</f>
        <v>127366.88393795775</v>
      </c>
      <c r="W24" s="21">
        <f t="shared" si="10"/>
        <v>1273668.8393795774</v>
      </c>
      <c r="X24" s="178"/>
      <c r="Y24" s="246"/>
    </row>
    <row r="25" spans="1:25" ht="13" customHeight="1">
      <c r="A25" s="222"/>
      <c r="B25" s="247"/>
      <c r="C25" s="224"/>
      <c r="D25" s="227"/>
      <c r="E25" s="227"/>
      <c r="F25" s="230"/>
      <c r="G25" s="245"/>
      <c r="H25" s="245"/>
      <c r="I25" s="26" t="s">
        <v>54</v>
      </c>
      <c r="J25" s="26">
        <v>15</v>
      </c>
      <c r="K25" s="26">
        <v>61200000</v>
      </c>
      <c r="L25" s="25">
        <v>69519000</v>
      </c>
      <c r="M25" s="26">
        <v>64990000</v>
      </c>
      <c r="N25" s="26">
        <v>571500</v>
      </c>
      <c r="O25" s="26">
        <v>0</v>
      </c>
      <c r="P25" s="14">
        <f t="shared" si="6"/>
        <v>65561500</v>
      </c>
      <c r="Q25" s="26">
        <v>11919000</v>
      </c>
      <c r="R25" s="45">
        <f t="shared" si="4"/>
        <v>0.17144953178267811</v>
      </c>
      <c r="S25" s="26"/>
      <c r="T25" s="26">
        <f>P25-(P25*R25)+S25</f>
        <v>54321011.522029951</v>
      </c>
      <c r="U25" s="46">
        <f t="shared" si="8"/>
        <v>88.759822748414948</v>
      </c>
      <c r="V25" s="13">
        <f>U25*109000/90</f>
        <v>107498.00755085811</v>
      </c>
      <c r="W25" s="15">
        <f t="shared" si="10"/>
        <v>1612470.1132628715</v>
      </c>
      <c r="X25" s="178"/>
      <c r="Y25" s="246"/>
    </row>
    <row r="26" spans="1:25" ht="13" customHeight="1">
      <c r="A26" s="222"/>
      <c r="B26" s="247"/>
      <c r="C26" s="224"/>
      <c r="D26" s="227"/>
      <c r="E26" s="227"/>
      <c r="F26" s="230"/>
      <c r="G26" s="245"/>
      <c r="H26" s="245"/>
      <c r="I26" s="26" t="s">
        <v>55</v>
      </c>
      <c r="J26" s="26">
        <v>16</v>
      </c>
      <c r="K26" s="26">
        <v>68800000</v>
      </c>
      <c r="L26" s="25">
        <v>67238000</v>
      </c>
      <c r="M26" s="26">
        <v>67224000</v>
      </c>
      <c r="N26" s="26">
        <v>0</v>
      </c>
      <c r="O26" s="26">
        <v>0</v>
      </c>
      <c r="P26" s="23">
        <f t="shared" si="6"/>
        <v>67224000</v>
      </c>
      <c r="Q26" s="26">
        <v>11838000</v>
      </c>
      <c r="R26" s="45">
        <f t="shared" si="4"/>
        <v>0.17606115589398852</v>
      </c>
      <c r="S26" s="26"/>
      <c r="T26" s="26">
        <f t="shared" si="7"/>
        <v>55388464.856182516</v>
      </c>
      <c r="U26" s="46">
        <f t="shared" si="8"/>
        <v>80.506489616544357</v>
      </c>
      <c r="V26" s="16">
        <f>U26*85000/80</f>
        <v>85538.145217578378</v>
      </c>
      <c r="W26" s="16">
        <f t="shared" si="10"/>
        <v>1368610.323481254</v>
      </c>
      <c r="X26" s="178"/>
      <c r="Y26" s="246"/>
    </row>
    <row r="27" spans="1:25" ht="13" customHeight="1">
      <c r="A27" s="264"/>
      <c r="B27" s="265"/>
      <c r="C27" s="258"/>
      <c r="D27" s="227"/>
      <c r="E27" s="227"/>
      <c r="F27" s="230"/>
      <c r="G27" s="245"/>
      <c r="H27" s="245"/>
      <c r="I27" s="26" t="s">
        <v>197</v>
      </c>
      <c r="J27" s="26"/>
      <c r="K27" s="26"/>
      <c r="L27" s="25"/>
      <c r="M27" s="30"/>
      <c r="N27" s="84"/>
      <c r="O27" s="84"/>
      <c r="P27" s="32"/>
      <c r="Q27" s="84"/>
      <c r="R27" s="45"/>
      <c r="S27" s="84"/>
      <c r="T27" s="26"/>
      <c r="U27" s="46"/>
      <c r="V27" s="16"/>
      <c r="W27" s="16">
        <v>500000</v>
      </c>
      <c r="X27" s="178"/>
      <c r="Y27" s="246"/>
    </row>
    <row r="28" spans="1:25" ht="13" customHeight="1">
      <c r="A28" s="179"/>
      <c r="B28" s="180" t="e">
        <f>#REF!</f>
        <v>#REF!</v>
      </c>
      <c r="C28" s="225"/>
      <c r="D28" s="228"/>
      <c r="E28" s="228"/>
      <c r="F28" s="231"/>
      <c r="G28" s="245"/>
      <c r="H28" s="245"/>
      <c r="I28" s="59"/>
      <c r="J28" s="52">
        <f>SUM(J19:J26)</f>
        <v>106</v>
      </c>
      <c r="K28" s="52">
        <f>SUM(K19:K26)</f>
        <v>413300000</v>
      </c>
      <c r="L28" s="52">
        <f>SUM(L19:L26)</f>
        <v>470539000</v>
      </c>
      <c r="M28" s="52">
        <f>SUM(M19:M26)</f>
        <v>449532400</v>
      </c>
      <c r="N28" s="52">
        <f t="shared" ref="N28:Q28" si="11">SUM(N19:N26)</f>
        <v>8900100</v>
      </c>
      <c r="O28" s="52">
        <f>SUM(O19:O26)</f>
        <v>0</v>
      </c>
      <c r="P28" s="52">
        <f t="shared" si="11"/>
        <v>458432500</v>
      </c>
      <c r="Q28" s="60">
        <f t="shared" si="11"/>
        <v>93639000</v>
      </c>
      <c r="R28" s="61"/>
      <c r="S28" s="60">
        <f>SUM(S19:S26)</f>
        <v>3750000</v>
      </c>
      <c r="T28" s="54">
        <f>SUM(T19:T26)</f>
        <v>370895186.36682528</v>
      </c>
      <c r="U28" s="55">
        <f>(T28/K28)*100</f>
        <v>89.739943471286054</v>
      </c>
      <c r="V28" s="62"/>
      <c r="W28" s="62">
        <f>SUM(W19:W27)</f>
        <v>12125253.373250002</v>
      </c>
      <c r="X28" s="178"/>
      <c r="Y28" s="246"/>
    </row>
    <row r="29" spans="1:25" ht="13" customHeight="1">
      <c r="A29" s="222" t="s">
        <v>56</v>
      </c>
      <c r="B29" s="247" t="s">
        <v>57</v>
      </c>
      <c r="C29" s="223" t="s">
        <v>35</v>
      </c>
      <c r="D29" s="226">
        <v>0</v>
      </c>
      <c r="E29" s="226">
        <v>500000</v>
      </c>
      <c r="F29" s="242">
        <f>500000</f>
        <v>500000</v>
      </c>
      <c r="G29" s="181">
        <v>0</v>
      </c>
      <c r="H29" s="181"/>
      <c r="I29" s="14" t="s">
        <v>58</v>
      </c>
      <c r="J29" s="14">
        <v>18</v>
      </c>
      <c r="K29" s="14">
        <v>88300000</v>
      </c>
      <c r="L29" s="14">
        <v>93255000</v>
      </c>
      <c r="M29" s="123">
        <v>93223000</v>
      </c>
      <c r="N29" s="66">
        <v>0</v>
      </c>
      <c r="O29" s="66">
        <v>0</v>
      </c>
      <c r="P29" s="44">
        <f>SUM(M29:O29)</f>
        <v>93223000</v>
      </c>
      <c r="Q29" s="26">
        <v>20355000</v>
      </c>
      <c r="R29" s="65">
        <f>Q29/L29</f>
        <v>0.21827247868746985</v>
      </c>
      <c r="S29" s="26"/>
      <c r="T29" s="66">
        <f>P29-(P29*R29)+S29</f>
        <v>72874984.719318002</v>
      </c>
      <c r="U29" s="67">
        <f>(T29/K29)*100</f>
        <v>82.531126522443941</v>
      </c>
      <c r="V29" s="12">
        <f>U29*94000/85</f>
        <v>91269.716389526235</v>
      </c>
      <c r="W29" s="21">
        <f>V29*J29</f>
        <v>1642854.8950114723</v>
      </c>
      <c r="X29" s="24"/>
      <c r="Y29" s="57"/>
    </row>
    <row r="30" spans="1:25" ht="13" customHeight="1">
      <c r="A30" s="222"/>
      <c r="B30" s="247"/>
      <c r="C30" s="224"/>
      <c r="D30" s="227"/>
      <c r="E30" s="227"/>
      <c r="F30" s="243"/>
      <c r="G30" s="244"/>
      <c r="H30" s="244"/>
      <c r="I30" s="66" t="s">
        <v>59</v>
      </c>
      <c r="J30" s="14">
        <f>7+1</f>
        <v>8</v>
      </c>
      <c r="K30" s="14">
        <f>27000000+8500000</f>
        <v>35500000</v>
      </c>
      <c r="L30" s="14">
        <v>40198000</v>
      </c>
      <c r="M30" s="64">
        <v>24309000</v>
      </c>
      <c r="N30" s="14">
        <v>3798000</v>
      </c>
      <c r="O30" s="14">
        <v>0</v>
      </c>
      <c r="P30" s="14">
        <f>SUM(M30:O30)</f>
        <v>28107000</v>
      </c>
      <c r="Q30" s="14">
        <v>6098000</v>
      </c>
      <c r="R30" s="65">
        <f>Q30/L30</f>
        <v>0.15169908950694064</v>
      </c>
      <c r="S30" s="14"/>
      <c r="T30" s="66">
        <f>P30-(P30*R30)+S30</f>
        <v>23843193.69122842</v>
      </c>
      <c r="U30" s="67">
        <f>(T30/K30)*100</f>
        <v>67.163925890784284</v>
      </c>
      <c r="V30" s="12"/>
      <c r="W30" s="21">
        <f>(130000*J30)*10%</f>
        <v>104000</v>
      </c>
      <c r="X30" s="177">
        <f>W39+D29+F29+H30+G29+E29</f>
        <v>15639626.601424269</v>
      </c>
      <c r="Y30" s="246"/>
    </row>
    <row r="31" spans="1:25" ht="13" customHeight="1">
      <c r="A31" s="222"/>
      <c r="B31" s="247"/>
      <c r="C31" s="224"/>
      <c r="D31" s="227"/>
      <c r="E31" s="227"/>
      <c r="F31" s="243"/>
      <c r="G31" s="244"/>
      <c r="H31" s="244"/>
      <c r="I31" s="14" t="s">
        <v>60</v>
      </c>
      <c r="J31" s="14">
        <v>14</v>
      </c>
      <c r="K31" s="14">
        <v>54800000</v>
      </c>
      <c r="L31" s="14">
        <v>64182000</v>
      </c>
      <c r="M31" s="64">
        <v>59642000</v>
      </c>
      <c r="N31" s="14">
        <v>4086000</v>
      </c>
      <c r="O31" s="14">
        <v>0</v>
      </c>
      <c r="P31" s="14">
        <f t="shared" ref="P31:P38" si="12">SUM(M31:O31)</f>
        <v>63728000</v>
      </c>
      <c r="Q31" s="14">
        <v>11082000</v>
      </c>
      <c r="R31" s="45">
        <f t="shared" si="4"/>
        <v>0.17266523324296532</v>
      </c>
      <c r="S31" s="14"/>
      <c r="T31" s="26">
        <f t="shared" ref="T31:T90" si="13">P31-(P31*R31)+S31</f>
        <v>52724390.015892304</v>
      </c>
      <c r="U31" s="67">
        <f t="shared" ref="U31:U38" si="14">(T31/K31)*100</f>
        <v>96.212390539949467</v>
      </c>
      <c r="V31" s="12">
        <f>U31*120000/95</f>
        <v>121531.44068204143</v>
      </c>
      <c r="W31" s="21">
        <f t="shared" ref="W31:W38" si="15">V31*J31</f>
        <v>1701440.16954858</v>
      </c>
      <c r="X31" s="178"/>
      <c r="Y31" s="246"/>
    </row>
    <row r="32" spans="1:25" ht="13" customHeight="1">
      <c r="A32" s="222"/>
      <c r="B32" s="247"/>
      <c r="C32" s="224"/>
      <c r="D32" s="227"/>
      <c r="E32" s="227"/>
      <c r="F32" s="243"/>
      <c r="G32" s="244"/>
      <c r="H32" s="244"/>
      <c r="I32" s="14" t="s">
        <v>61</v>
      </c>
      <c r="J32" s="14">
        <v>11</v>
      </c>
      <c r="K32" s="14">
        <v>42400000</v>
      </c>
      <c r="L32" s="14">
        <v>49608000</v>
      </c>
      <c r="M32" s="64">
        <v>49608000</v>
      </c>
      <c r="N32" s="14">
        <v>0</v>
      </c>
      <c r="O32" s="14">
        <v>0</v>
      </c>
      <c r="P32" s="14">
        <f t="shared" si="12"/>
        <v>49608000</v>
      </c>
      <c r="Q32" s="14">
        <v>9308000</v>
      </c>
      <c r="R32" s="45">
        <f t="shared" si="4"/>
        <v>0.18763102725366876</v>
      </c>
      <c r="S32" s="14"/>
      <c r="T32" s="26">
        <f t="shared" si="13"/>
        <v>40300000</v>
      </c>
      <c r="U32" s="67">
        <f t="shared" si="14"/>
        <v>95.047169811320757</v>
      </c>
      <c r="V32" s="12">
        <f>U32*120000/95</f>
        <v>120059.58291956306</v>
      </c>
      <c r="W32" s="21">
        <f t="shared" si="15"/>
        <v>1320655.4121151937</v>
      </c>
      <c r="X32" s="178"/>
      <c r="Y32" s="246"/>
    </row>
    <row r="33" spans="1:25" ht="13" customHeight="1">
      <c r="A33" s="222"/>
      <c r="B33" s="247"/>
      <c r="C33" s="224"/>
      <c r="D33" s="227"/>
      <c r="E33" s="227"/>
      <c r="F33" s="243"/>
      <c r="G33" s="244"/>
      <c r="H33" s="244"/>
      <c r="I33" s="14" t="s">
        <v>62</v>
      </c>
      <c r="J33" s="14">
        <v>13</v>
      </c>
      <c r="K33" s="14">
        <v>46800000</v>
      </c>
      <c r="L33" s="14">
        <v>56176000</v>
      </c>
      <c r="M33" s="64">
        <v>52904000</v>
      </c>
      <c r="N33" s="14">
        <v>0</v>
      </c>
      <c r="O33" s="14">
        <v>0</v>
      </c>
      <c r="P33" s="14">
        <f t="shared" si="12"/>
        <v>52904000</v>
      </c>
      <c r="Q33" s="14">
        <v>11376000</v>
      </c>
      <c r="R33" s="45">
        <f t="shared" si="4"/>
        <v>0.20250640843064655</v>
      </c>
      <c r="S33" s="14"/>
      <c r="T33" s="26">
        <f t="shared" si="13"/>
        <v>42190600.968385071</v>
      </c>
      <c r="U33" s="67">
        <f t="shared" si="14"/>
        <v>90.150856770053565</v>
      </c>
      <c r="V33" s="12">
        <f>U33*110000/90</f>
        <v>110184.38049673212</v>
      </c>
      <c r="W33" s="21">
        <f t="shared" si="15"/>
        <v>1432396.9464575176</v>
      </c>
      <c r="X33" s="178"/>
      <c r="Y33" s="246"/>
    </row>
    <row r="34" spans="1:25" ht="13" customHeight="1">
      <c r="A34" s="222"/>
      <c r="B34" s="247"/>
      <c r="C34" s="224"/>
      <c r="D34" s="227"/>
      <c r="E34" s="227"/>
      <c r="F34" s="243"/>
      <c r="G34" s="244"/>
      <c r="H34" s="244"/>
      <c r="I34" s="14" t="s">
        <v>63</v>
      </c>
      <c r="J34" s="14">
        <v>10</v>
      </c>
      <c r="K34" s="14">
        <v>30000000</v>
      </c>
      <c r="L34" s="14">
        <v>34657000</v>
      </c>
      <c r="M34" s="64">
        <v>34657000</v>
      </c>
      <c r="N34" s="14">
        <v>0</v>
      </c>
      <c r="O34" s="14">
        <v>0</v>
      </c>
      <c r="P34" s="23">
        <f t="shared" si="12"/>
        <v>34657000</v>
      </c>
      <c r="Q34" s="14">
        <v>6857000</v>
      </c>
      <c r="R34" s="45">
        <f t="shared" si="4"/>
        <v>0.19785324754017947</v>
      </c>
      <c r="S34" s="14"/>
      <c r="T34" s="26">
        <f>P34-(P34*R34)+S34</f>
        <v>27800000</v>
      </c>
      <c r="U34" s="67">
        <f t="shared" si="14"/>
        <v>92.666666666666657</v>
      </c>
      <c r="V34" s="12">
        <f>U34*119000/95</f>
        <v>116077.19298245612</v>
      </c>
      <c r="W34" s="21">
        <f t="shared" si="15"/>
        <v>1160771.9298245613</v>
      </c>
      <c r="X34" s="178"/>
      <c r="Y34" s="246"/>
    </row>
    <row r="35" spans="1:25" ht="13" customHeight="1">
      <c r="A35" s="222"/>
      <c r="B35" s="247"/>
      <c r="C35" s="224"/>
      <c r="D35" s="227"/>
      <c r="E35" s="227"/>
      <c r="F35" s="243"/>
      <c r="G35" s="244"/>
      <c r="H35" s="244"/>
      <c r="I35" s="23" t="s">
        <v>64</v>
      </c>
      <c r="J35" s="23">
        <f>18+1</f>
        <v>19</v>
      </c>
      <c r="K35" s="23">
        <v>87300000</v>
      </c>
      <c r="L35" s="14">
        <f>101493000+4400000</f>
        <v>105893000</v>
      </c>
      <c r="M35" s="64">
        <f>101493000+4400000</f>
        <v>105893000</v>
      </c>
      <c r="N35" s="14">
        <v>0</v>
      </c>
      <c r="O35" s="44">
        <v>0</v>
      </c>
      <c r="P35" s="26">
        <f>SUM(M35:O35)</f>
        <v>105893000</v>
      </c>
      <c r="Q35" s="14">
        <v>18593000</v>
      </c>
      <c r="R35" s="45">
        <f t="shared" si="4"/>
        <v>0.1755828997195282</v>
      </c>
      <c r="S35" s="14"/>
      <c r="T35" s="26">
        <f t="shared" si="13"/>
        <v>87300000</v>
      </c>
      <c r="U35" s="67">
        <f t="shared" si="14"/>
        <v>100</v>
      </c>
      <c r="V35" s="13">
        <f>U35*130000/100</f>
        <v>130000</v>
      </c>
      <c r="W35" s="15">
        <f t="shared" si="15"/>
        <v>2470000</v>
      </c>
      <c r="X35" s="178"/>
      <c r="Y35" s="246"/>
    </row>
    <row r="36" spans="1:25" ht="14">
      <c r="A36" s="222"/>
      <c r="B36" s="247"/>
      <c r="C36" s="224"/>
      <c r="D36" s="227"/>
      <c r="E36" s="227"/>
      <c r="F36" s="243"/>
      <c r="G36" s="244"/>
      <c r="H36" s="244"/>
      <c r="I36" s="26" t="s">
        <v>65</v>
      </c>
      <c r="J36" s="26">
        <v>15</v>
      </c>
      <c r="K36" s="26">
        <v>59400000</v>
      </c>
      <c r="L36" s="23">
        <v>67634800</v>
      </c>
      <c r="M36" s="64">
        <v>63728200</v>
      </c>
      <c r="N36" s="23">
        <v>0</v>
      </c>
      <c r="O36" s="32">
        <v>0</v>
      </c>
      <c r="P36" s="26">
        <f t="shared" si="12"/>
        <v>63728200</v>
      </c>
      <c r="Q36" s="23">
        <v>13084800</v>
      </c>
      <c r="R36" s="45">
        <f t="shared" si="4"/>
        <v>0.19346253703714655</v>
      </c>
      <c r="S36" s="23"/>
      <c r="T36" s="26">
        <f t="shared" si="13"/>
        <v>51399180.747189313</v>
      </c>
      <c r="U36" s="67">
        <f t="shared" si="14"/>
        <v>86.530607318500529</v>
      </c>
      <c r="V36" s="16">
        <f>U36*100000/85</f>
        <v>101800.71449235355</v>
      </c>
      <c r="W36" s="16">
        <f t="shared" si="15"/>
        <v>1527010.7173853032</v>
      </c>
      <c r="X36" s="178"/>
      <c r="Y36" s="246"/>
    </row>
    <row r="37" spans="1:25" ht="14">
      <c r="A37" s="222"/>
      <c r="B37" s="247"/>
      <c r="C37" s="224"/>
      <c r="D37" s="227"/>
      <c r="E37" s="227"/>
      <c r="F37" s="243"/>
      <c r="G37" s="244"/>
      <c r="H37" s="244"/>
      <c r="I37" s="66" t="s">
        <v>66</v>
      </c>
      <c r="J37" s="26">
        <v>9</v>
      </c>
      <c r="K37" s="26">
        <v>27100000</v>
      </c>
      <c r="L37" s="26">
        <v>31136000</v>
      </c>
      <c r="M37" s="64">
        <v>31136000</v>
      </c>
      <c r="N37" s="26">
        <v>0</v>
      </c>
      <c r="O37" s="47">
        <v>0</v>
      </c>
      <c r="P37" s="26">
        <f t="shared" si="12"/>
        <v>31136000</v>
      </c>
      <c r="Q37" s="26">
        <v>5236000</v>
      </c>
      <c r="R37" s="45">
        <f t="shared" si="4"/>
        <v>0.16816546762589929</v>
      </c>
      <c r="S37" s="26"/>
      <c r="T37" s="26">
        <f t="shared" si="13"/>
        <v>25900000</v>
      </c>
      <c r="U37" s="67">
        <f t="shared" si="14"/>
        <v>95.571955719557195</v>
      </c>
      <c r="V37" s="16">
        <f>U37*120000/95</f>
        <v>120722.47038259858</v>
      </c>
      <c r="W37" s="16">
        <f t="shared" si="15"/>
        <v>1086502.2334433873</v>
      </c>
      <c r="X37" s="178"/>
      <c r="Y37" s="246"/>
    </row>
    <row r="38" spans="1:25" ht="14">
      <c r="A38" s="222"/>
      <c r="B38" s="247"/>
      <c r="C38" s="224"/>
      <c r="D38" s="227"/>
      <c r="E38" s="227"/>
      <c r="F38" s="243"/>
      <c r="G38" s="244"/>
      <c r="H38" s="244"/>
      <c r="I38" s="66" t="s">
        <v>67</v>
      </c>
      <c r="J38" s="26">
        <v>18</v>
      </c>
      <c r="K38" s="26">
        <f>4500000*18</f>
        <v>81000000</v>
      </c>
      <c r="L38" s="26">
        <v>100377000</v>
      </c>
      <c r="M38" s="64">
        <v>100327000</v>
      </c>
      <c r="N38" s="26">
        <v>0</v>
      </c>
      <c r="O38" s="26">
        <v>0</v>
      </c>
      <c r="P38" s="23">
        <f t="shared" si="12"/>
        <v>100327000</v>
      </c>
      <c r="Q38" s="26">
        <v>22177000</v>
      </c>
      <c r="R38" s="45">
        <f t="shared" si="4"/>
        <v>0.22093706725644321</v>
      </c>
      <c r="S38" s="26"/>
      <c r="T38" s="26">
        <f t="shared" si="13"/>
        <v>78161046.853362828</v>
      </c>
      <c r="U38" s="67">
        <f t="shared" si="14"/>
        <v>96.495119572052886</v>
      </c>
      <c r="V38" s="16">
        <f>U38*120000/95</f>
        <v>121888.57209101417</v>
      </c>
      <c r="W38" s="16">
        <f t="shared" si="15"/>
        <v>2193994.2976382552</v>
      </c>
      <c r="X38" s="178"/>
      <c r="Y38" s="246"/>
    </row>
    <row r="39" spans="1:25" ht="13" customHeight="1">
      <c r="A39" s="179"/>
      <c r="B39" s="180"/>
      <c r="C39" s="225"/>
      <c r="D39" s="228"/>
      <c r="E39" s="228"/>
      <c r="F39" s="248"/>
      <c r="G39" s="245"/>
      <c r="H39" s="245"/>
      <c r="I39" s="69"/>
      <c r="J39" s="52">
        <f t="shared" ref="J39:Q39" si="16">SUM(J29:J38)</f>
        <v>135</v>
      </c>
      <c r="K39" s="52">
        <f t="shared" si="16"/>
        <v>552600000</v>
      </c>
      <c r="L39" s="52">
        <f>SUM(L29:L38)</f>
        <v>643116800</v>
      </c>
      <c r="M39" s="52">
        <f t="shared" si="16"/>
        <v>615427200</v>
      </c>
      <c r="N39" s="52">
        <f t="shared" si="16"/>
        <v>7884000</v>
      </c>
      <c r="O39" s="52">
        <f t="shared" si="16"/>
        <v>0</v>
      </c>
      <c r="P39" s="52">
        <f t="shared" si="16"/>
        <v>623311200</v>
      </c>
      <c r="Q39" s="52">
        <f t="shared" si="16"/>
        <v>124166800</v>
      </c>
      <c r="R39" s="61"/>
      <c r="S39" s="52">
        <f>SUM(S29:S38)</f>
        <v>0</v>
      </c>
      <c r="T39" s="52">
        <f>SUM(T29:T38)</f>
        <v>502493396.99537587</v>
      </c>
      <c r="U39" s="55">
        <f>(T39/K39)*100</f>
        <v>90.932572746177314</v>
      </c>
      <c r="V39" s="70"/>
      <c r="W39" s="71">
        <f>SUM(W29:W38)</f>
        <v>14639626.601424269</v>
      </c>
      <c r="X39" s="178"/>
      <c r="Y39" s="246"/>
    </row>
    <row r="40" spans="1:25" ht="13" customHeight="1">
      <c r="A40" s="250" t="s">
        <v>72</v>
      </c>
      <c r="B40" s="253" t="s">
        <v>73</v>
      </c>
      <c r="C40" s="178" t="s">
        <v>35</v>
      </c>
      <c r="D40" s="177">
        <v>0</v>
      </c>
      <c r="E40" s="177">
        <v>500000</v>
      </c>
      <c r="F40" s="177">
        <v>500000</v>
      </c>
      <c r="G40" s="181">
        <v>0</v>
      </c>
      <c r="H40" s="181"/>
      <c r="I40" s="26" t="s">
        <v>36</v>
      </c>
      <c r="J40" s="116">
        <v>19</v>
      </c>
      <c r="K40" s="116">
        <v>71100000</v>
      </c>
      <c r="L40" s="117">
        <v>88826000</v>
      </c>
      <c r="M40" s="115">
        <v>82090000</v>
      </c>
      <c r="N40" s="115">
        <v>6062400</v>
      </c>
      <c r="O40" s="119">
        <v>0</v>
      </c>
      <c r="P40" s="26">
        <f>SUM(M40:O40)</f>
        <v>88152400</v>
      </c>
      <c r="Q40" s="121">
        <v>23962000</v>
      </c>
      <c r="R40" s="45">
        <f>Q40/L40</f>
        <v>0.26976335757548464</v>
      </c>
      <c r="S40" s="119"/>
      <c r="T40" s="26">
        <f>P40-(P40*R40)+S40</f>
        <v>64372112.597662851</v>
      </c>
      <c r="U40" s="46">
        <f>(T40/K40)*100</f>
        <v>90.53742981387181</v>
      </c>
      <c r="V40" s="16">
        <f>U40*100000/90</f>
        <v>100597.14423763535</v>
      </c>
      <c r="W40" s="16">
        <f t="shared" ref="W40:W45" si="17">V40*J40</f>
        <v>1911345.7405150717</v>
      </c>
      <c r="X40" s="181">
        <f>W46+D40+F40+G40+H43+E40</f>
        <v>10332143.770177586</v>
      </c>
      <c r="Y40" s="57"/>
    </row>
    <row r="41" spans="1:25" ht="13" customHeight="1">
      <c r="A41" s="251"/>
      <c r="B41" s="246"/>
      <c r="C41" s="178"/>
      <c r="D41" s="177"/>
      <c r="E41" s="177"/>
      <c r="F41" s="177"/>
      <c r="G41" s="244"/>
      <c r="H41" s="244"/>
      <c r="I41" s="26" t="s">
        <v>37</v>
      </c>
      <c r="J41" s="116">
        <v>19</v>
      </c>
      <c r="K41" s="116">
        <v>80600000</v>
      </c>
      <c r="L41" s="117">
        <v>82026000</v>
      </c>
      <c r="M41" s="115">
        <v>77352000</v>
      </c>
      <c r="N41" s="115">
        <v>0</v>
      </c>
      <c r="O41" s="119">
        <v>0</v>
      </c>
      <c r="P41" s="26">
        <f>SUM(M41:O41)</f>
        <v>77352000</v>
      </c>
      <c r="Q41" s="121">
        <v>17126000</v>
      </c>
      <c r="R41" s="45">
        <f>Q41/L41</f>
        <v>0.20878745763538389</v>
      </c>
      <c r="S41" s="119">
        <v>2857142.8571428573</v>
      </c>
      <c r="T41" s="26">
        <f>P41-(P41*R41)+S41</f>
        <v>64059015.434130646</v>
      </c>
      <c r="U41" s="46">
        <f>(T41/K41)*100</f>
        <v>79.477686642841988</v>
      </c>
      <c r="V41" s="16">
        <f>U41*79000/80</f>
        <v>78484.215559806471</v>
      </c>
      <c r="W41" s="16">
        <f t="shared" si="17"/>
        <v>1491200.0956363229</v>
      </c>
      <c r="X41" s="244"/>
      <c r="Y41" s="57"/>
    </row>
    <row r="42" spans="1:25" ht="13" customHeight="1">
      <c r="A42" s="251"/>
      <c r="B42" s="246"/>
      <c r="C42" s="178"/>
      <c r="D42" s="177"/>
      <c r="E42" s="177"/>
      <c r="F42" s="177"/>
      <c r="G42" s="244"/>
      <c r="H42" s="244"/>
      <c r="I42" s="26" t="s">
        <v>74</v>
      </c>
      <c r="J42" s="116">
        <v>19</v>
      </c>
      <c r="K42" s="116">
        <v>61300000</v>
      </c>
      <c r="L42" s="118">
        <v>74720000</v>
      </c>
      <c r="M42" s="72">
        <v>74693000</v>
      </c>
      <c r="N42" s="72">
        <v>0</v>
      </c>
      <c r="O42" s="120">
        <v>0</v>
      </c>
      <c r="P42" s="26">
        <f t="shared" ref="P42:P43" si="18">SUM(M42:O42)</f>
        <v>74693000</v>
      </c>
      <c r="Q42" s="122">
        <v>15520000</v>
      </c>
      <c r="R42" s="45">
        <f t="shared" ref="R42:R51" si="19">Q42/L42</f>
        <v>0.20770877944325483</v>
      </c>
      <c r="S42" s="120"/>
      <c r="T42" s="26">
        <f t="shared" ref="T42:T51" si="20">P42-(P42*R42)+S42</f>
        <v>59178608.137044966</v>
      </c>
      <c r="U42" s="46">
        <f t="shared" si="1"/>
        <v>96.539328119159819</v>
      </c>
      <c r="V42" s="16">
        <f>U42*110000/95</f>
        <v>111782.3799274482</v>
      </c>
      <c r="W42" s="16">
        <f t="shared" si="17"/>
        <v>2123865.2186215157</v>
      </c>
      <c r="X42" s="244"/>
      <c r="Y42" s="57"/>
    </row>
    <row r="43" spans="1:25" ht="12.5">
      <c r="A43" s="251"/>
      <c r="B43" s="246"/>
      <c r="C43" s="178"/>
      <c r="D43" s="177"/>
      <c r="E43" s="177"/>
      <c r="F43" s="177"/>
      <c r="G43" s="244"/>
      <c r="H43" s="244"/>
      <c r="I43" s="30" t="s">
        <v>75</v>
      </c>
      <c r="J43" s="30">
        <v>22</v>
      </c>
      <c r="K43" s="30">
        <v>69800000</v>
      </c>
      <c r="L43" s="23">
        <v>85790000</v>
      </c>
      <c r="M43" s="23">
        <v>85782000</v>
      </c>
      <c r="N43" s="23">
        <v>0</v>
      </c>
      <c r="O43" s="32">
        <v>0</v>
      </c>
      <c r="P43" s="30">
        <f t="shared" si="18"/>
        <v>85782000</v>
      </c>
      <c r="Q43" s="32">
        <v>19690000</v>
      </c>
      <c r="R43" s="33">
        <f t="shared" si="19"/>
        <v>0.22951392936239656</v>
      </c>
      <c r="S43" s="32"/>
      <c r="T43" s="30">
        <f t="shared" si="20"/>
        <v>66093836.111434899</v>
      </c>
      <c r="U43" s="34">
        <f t="shared" si="1"/>
        <v>94.690309615236245</v>
      </c>
      <c r="V43" s="63">
        <f>U43*109000/95</f>
        <v>108644.67103221842</v>
      </c>
      <c r="W43" s="63">
        <f t="shared" si="17"/>
        <v>2390182.7627088055</v>
      </c>
      <c r="X43" s="244"/>
      <c r="Y43" s="246"/>
    </row>
    <row r="44" spans="1:25" ht="12.5">
      <c r="A44" s="251"/>
      <c r="B44" s="246"/>
      <c r="C44" s="178"/>
      <c r="D44" s="177"/>
      <c r="E44" s="177"/>
      <c r="F44" s="177"/>
      <c r="G44" s="244"/>
      <c r="H44" s="244"/>
      <c r="I44" s="26" t="s">
        <v>76</v>
      </c>
      <c r="J44" s="26">
        <v>10</v>
      </c>
      <c r="K44" s="26">
        <v>54100000</v>
      </c>
      <c r="L44" s="26">
        <v>63029000</v>
      </c>
      <c r="M44" s="26">
        <v>46451222</v>
      </c>
      <c r="N44" s="26">
        <v>0</v>
      </c>
      <c r="O44" s="26">
        <v>2882600</v>
      </c>
      <c r="P44" s="26">
        <f>SUM(M44:O44)</f>
        <v>49333822</v>
      </c>
      <c r="Q44" s="26">
        <v>10929000</v>
      </c>
      <c r="R44" s="45">
        <f>Q44/L44</f>
        <v>0.17339637309809769</v>
      </c>
      <c r="S44" s="26">
        <v>6000000</v>
      </c>
      <c r="T44" s="26">
        <f t="shared" si="20"/>
        <v>46779516.194132864</v>
      </c>
      <c r="U44" s="46">
        <f>(T44/K44)*100</f>
        <v>86.468606643498831</v>
      </c>
      <c r="V44" s="16">
        <f>U44*90000/85</f>
        <v>91554.995269587002</v>
      </c>
      <c r="W44" s="16">
        <f t="shared" si="17"/>
        <v>915549.95269587007</v>
      </c>
      <c r="X44" s="244"/>
      <c r="Y44" s="246"/>
    </row>
    <row r="45" spans="1:25" ht="12.5">
      <c r="A45" s="251"/>
      <c r="B45" s="246"/>
      <c r="C45" s="178"/>
      <c r="D45" s="177"/>
      <c r="E45" s="177"/>
      <c r="F45" s="177"/>
      <c r="G45" s="244"/>
      <c r="H45" s="244"/>
      <c r="I45" s="26" t="s">
        <v>198</v>
      </c>
      <c r="J45" s="26">
        <v>5</v>
      </c>
      <c r="K45" s="26"/>
      <c r="L45" s="26"/>
      <c r="M45" s="26"/>
      <c r="N45" s="26"/>
      <c r="O45" s="26"/>
      <c r="P45" s="26"/>
      <c r="Q45" s="26"/>
      <c r="R45" s="45"/>
      <c r="S45" s="26"/>
      <c r="T45" s="26"/>
      <c r="U45" s="46"/>
      <c r="V45" s="16">
        <v>100000</v>
      </c>
      <c r="W45" s="16">
        <f t="shared" si="17"/>
        <v>500000</v>
      </c>
      <c r="X45" s="244"/>
      <c r="Y45" s="246"/>
    </row>
    <row r="46" spans="1:25" ht="13">
      <c r="A46" s="252"/>
      <c r="B46" s="254"/>
      <c r="C46" s="178"/>
      <c r="D46" s="177"/>
      <c r="E46" s="177"/>
      <c r="F46" s="177"/>
      <c r="G46" s="245"/>
      <c r="H46" s="245"/>
      <c r="I46" s="73"/>
      <c r="J46" s="73">
        <f t="shared" ref="J46:Q46" si="21">SUM(J40:J45)</f>
        <v>94</v>
      </c>
      <c r="K46" s="73">
        <f t="shared" si="21"/>
        <v>336900000</v>
      </c>
      <c r="L46" s="73">
        <f t="shared" si="21"/>
        <v>394391000</v>
      </c>
      <c r="M46" s="73">
        <f t="shared" si="21"/>
        <v>366368222</v>
      </c>
      <c r="N46" s="73">
        <f t="shared" si="21"/>
        <v>6062400</v>
      </c>
      <c r="O46" s="73">
        <f t="shared" si="21"/>
        <v>2882600</v>
      </c>
      <c r="P46" s="73">
        <f t="shared" si="21"/>
        <v>375313222</v>
      </c>
      <c r="Q46" s="73">
        <f t="shared" si="21"/>
        <v>87227000</v>
      </c>
      <c r="R46" s="73"/>
      <c r="S46" s="73">
        <f>SUM(S40:S45)</f>
        <v>8857142.8571428582</v>
      </c>
      <c r="T46" s="73">
        <f>SUM(T40:T44)</f>
        <v>300483088.47440624</v>
      </c>
      <c r="U46" s="55">
        <f>(T46/K46)*100</f>
        <v>89.190587258654276</v>
      </c>
      <c r="V46" s="74"/>
      <c r="W46" s="74">
        <f>SUM(W40:W45)</f>
        <v>9332143.770177586</v>
      </c>
      <c r="X46" s="245"/>
      <c r="Y46" s="246"/>
    </row>
    <row r="47" spans="1:25" ht="12.5">
      <c r="A47" s="252" t="s">
        <v>77</v>
      </c>
      <c r="B47" s="255" t="s">
        <v>78</v>
      </c>
      <c r="C47" s="258" t="s">
        <v>35</v>
      </c>
      <c r="D47" s="227">
        <v>0</v>
      </c>
      <c r="E47" s="227"/>
      <c r="F47" s="243"/>
      <c r="G47" s="244"/>
      <c r="H47" s="244"/>
      <c r="I47" s="23" t="s">
        <v>79</v>
      </c>
      <c r="J47" s="14">
        <v>8</v>
      </c>
      <c r="K47" s="14">
        <v>18800000</v>
      </c>
      <c r="L47" s="14">
        <v>19632000</v>
      </c>
      <c r="M47" s="14">
        <v>16884000</v>
      </c>
      <c r="N47" s="14">
        <v>405000</v>
      </c>
      <c r="O47" s="44">
        <v>0</v>
      </c>
      <c r="P47" s="26">
        <f>SUM(M47:O47)</f>
        <v>17289000</v>
      </c>
      <c r="Q47" s="14">
        <v>4732000</v>
      </c>
      <c r="R47" s="65">
        <f t="shared" si="19"/>
        <v>0.24103504482477586</v>
      </c>
      <c r="S47" s="23"/>
      <c r="T47" s="66">
        <f t="shared" si="20"/>
        <v>13121745.11002445</v>
      </c>
      <c r="U47" s="67">
        <f t="shared" si="1"/>
        <v>69.79651654268325</v>
      </c>
      <c r="V47" s="15"/>
      <c r="W47" s="16">
        <f>(120000*J47)*10%</f>
        <v>96000</v>
      </c>
      <c r="X47" s="259">
        <f>W52+D47+E47+F47+G47+H47</f>
        <v>4924592.465029995</v>
      </c>
      <c r="Y47" s="246"/>
    </row>
    <row r="48" spans="1:25" ht="12.5">
      <c r="A48" s="179"/>
      <c r="B48" s="256"/>
      <c r="C48" s="258"/>
      <c r="D48" s="227"/>
      <c r="E48" s="227"/>
      <c r="F48" s="243"/>
      <c r="G48" s="244"/>
      <c r="H48" s="244"/>
      <c r="I48" s="26" t="s">
        <v>80</v>
      </c>
      <c r="J48" s="23">
        <v>17</v>
      </c>
      <c r="K48" s="23">
        <v>78900000</v>
      </c>
      <c r="L48" s="23">
        <v>93597500</v>
      </c>
      <c r="M48" s="23">
        <v>88206000</v>
      </c>
      <c r="N48" s="23">
        <v>0</v>
      </c>
      <c r="O48" s="32">
        <v>0</v>
      </c>
      <c r="P48" s="26">
        <f t="shared" ref="P48:P51" si="22">SUM(M48:O48)</f>
        <v>88206000</v>
      </c>
      <c r="Q48" s="23">
        <v>18947500</v>
      </c>
      <c r="R48" s="33">
        <f t="shared" si="19"/>
        <v>0.20243596249899837</v>
      </c>
      <c r="S48" s="26"/>
      <c r="T48" s="30">
        <f t="shared" si="20"/>
        <v>70349933.491813347</v>
      </c>
      <c r="U48" s="34">
        <f t="shared" si="1"/>
        <v>89.163413804579648</v>
      </c>
      <c r="V48" s="75">
        <f>U48*99000/90</f>
        <v>98079.755185037604</v>
      </c>
      <c r="W48" s="16">
        <f>V48*J48</f>
        <v>1667355.8381456393</v>
      </c>
      <c r="X48" s="260"/>
      <c r="Y48" s="246"/>
    </row>
    <row r="49" spans="1:25" ht="12.5">
      <c r="A49" s="179"/>
      <c r="B49" s="256"/>
      <c r="C49" s="258"/>
      <c r="D49" s="227"/>
      <c r="E49" s="227"/>
      <c r="F49" s="243"/>
      <c r="G49" s="244"/>
      <c r="H49" s="244"/>
      <c r="I49" s="26" t="s">
        <v>81</v>
      </c>
      <c r="J49" s="76">
        <v>7</v>
      </c>
      <c r="K49" s="30">
        <v>19050000</v>
      </c>
      <c r="L49" s="30">
        <v>25512000</v>
      </c>
      <c r="M49" s="77">
        <v>22296000</v>
      </c>
      <c r="N49" s="78">
        <v>0</v>
      </c>
      <c r="O49" s="79">
        <v>0</v>
      </c>
      <c r="P49" s="26">
        <f t="shared" si="22"/>
        <v>22296000</v>
      </c>
      <c r="Q49" s="80">
        <v>6112000</v>
      </c>
      <c r="R49" s="33">
        <f t="shared" si="19"/>
        <v>0.23957353402320478</v>
      </c>
      <c r="S49" s="26"/>
      <c r="T49" s="30">
        <f t="shared" si="20"/>
        <v>16954468.485418625</v>
      </c>
      <c r="U49" s="34">
        <f t="shared" si="1"/>
        <v>88.999834569126648</v>
      </c>
      <c r="V49" s="81">
        <f>U49*99000/90</f>
        <v>97899.818026039313</v>
      </c>
      <c r="W49" s="16">
        <f t="shared" ref="W49:W51" si="23">V49*J49</f>
        <v>685298.72618227522</v>
      </c>
      <c r="X49" s="260"/>
      <c r="Y49" s="246"/>
    </row>
    <row r="50" spans="1:25" ht="12.5">
      <c r="A50" s="179"/>
      <c r="B50" s="256"/>
      <c r="C50" s="258"/>
      <c r="D50" s="227"/>
      <c r="E50" s="227"/>
      <c r="F50" s="243"/>
      <c r="G50" s="244"/>
      <c r="H50" s="244"/>
      <c r="I50" s="66" t="s">
        <v>82</v>
      </c>
      <c r="J50" s="37">
        <v>15</v>
      </c>
      <c r="K50" s="26">
        <v>69400000</v>
      </c>
      <c r="L50" s="26">
        <v>83622000</v>
      </c>
      <c r="M50" s="56">
        <v>78432000</v>
      </c>
      <c r="N50" s="37">
        <v>0</v>
      </c>
      <c r="O50" s="82">
        <v>0</v>
      </c>
      <c r="P50" s="26">
        <f t="shared" si="22"/>
        <v>78432000</v>
      </c>
      <c r="Q50" s="83">
        <v>15022000</v>
      </c>
      <c r="R50" s="33">
        <f t="shared" si="19"/>
        <v>0.17964172107818516</v>
      </c>
      <c r="S50" s="56">
        <v>3860714.2857142859</v>
      </c>
      <c r="T50" s="30">
        <f t="shared" si="20"/>
        <v>68203054.818110064</v>
      </c>
      <c r="U50" s="34">
        <f t="shared" si="1"/>
        <v>98.275295126959747</v>
      </c>
      <c r="V50" s="81">
        <f>U50*120000/100</f>
        <v>117930.35415235169</v>
      </c>
      <c r="W50" s="16">
        <f t="shared" si="23"/>
        <v>1768955.3122852754</v>
      </c>
      <c r="X50" s="260"/>
      <c r="Y50" s="246"/>
    </row>
    <row r="51" spans="1:25" ht="12.5">
      <c r="A51" s="250"/>
      <c r="B51" s="257"/>
      <c r="C51" s="258"/>
      <c r="D51" s="227"/>
      <c r="E51" s="227"/>
      <c r="F51" s="243"/>
      <c r="G51" s="244"/>
      <c r="H51" s="244"/>
      <c r="I51" s="84" t="s">
        <v>83</v>
      </c>
      <c r="J51" s="78">
        <v>9</v>
      </c>
      <c r="K51" s="30">
        <v>35000000</v>
      </c>
      <c r="L51" s="30">
        <v>42130000</v>
      </c>
      <c r="M51" s="77">
        <v>33901000</v>
      </c>
      <c r="N51" s="78">
        <v>0</v>
      </c>
      <c r="O51" s="79">
        <v>0</v>
      </c>
      <c r="P51" s="26">
        <f t="shared" si="22"/>
        <v>33901000</v>
      </c>
      <c r="Q51" s="80">
        <v>7530000</v>
      </c>
      <c r="R51" s="33">
        <f t="shared" si="19"/>
        <v>0.17873249465938762</v>
      </c>
      <c r="S51" s="78"/>
      <c r="T51" s="30">
        <f t="shared" si="20"/>
        <v>27841789.698552102</v>
      </c>
      <c r="U51" s="34">
        <f t="shared" si="1"/>
        <v>79.547970567291713</v>
      </c>
      <c r="V51" s="81">
        <f>U51*79000/80</f>
        <v>78553.620935200568</v>
      </c>
      <c r="W51" s="16">
        <f t="shared" si="23"/>
        <v>706982.58841680514</v>
      </c>
      <c r="X51" s="260"/>
      <c r="Y51" s="246"/>
    </row>
    <row r="52" spans="1:25" ht="13">
      <c r="A52" s="179"/>
      <c r="B52" s="180"/>
      <c r="C52" s="225"/>
      <c r="D52" s="228"/>
      <c r="E52" s="228"/>
      <c r="F52" s="248"/>
      <c r="G52" s="245"/>
      <c r="H52" s="245"/>
      <c r="I52" s="59"/>
      <c r="J52" s="54">
        <f>SUM(J47:J51)</f>
        <v>56</v>
      </c>
      <c r="K52" s="54">
        <f>SUM(K47:K51)</f>
        <v>221150000</v>
      </c>
      <c r="L52" s="54">
        <f>SUM(L47:L51)</f>
        <v>264493500</v>
      </c>
      <c r="M52" s="54">
        <f>SUM(M47:M51)</f>
        <v>239719000</v>
      </c>
      <c r="N52" s="54">
        <f t="shared" ref="N52:S52" si="24">SUM(N47:N51)</f>
        <v>405000</v>
      </c>
      <c r="O52" s="54">
        <f t="shared" si="24"/>
        <v>0</v>
      </c>
      <c r="P52" s="54">
        <f>SUM(P47:P51)</f>
        <v>240124000</v>
      </c>
      <c r="Q52" s="54">
        <f>SUM(Q47:Q51)</f>
        <v>52343500</v>
      </c>
      <c r="R52" s="54"/>
      <c r="S52" s="54">
        <f t="shared" si="24"/>
        <v>3860714.2857142859</v>
      </c>
      <c r="T52" s="54">
        <f>SUM(T47:T51)</f>
        <v>196470991.60391858</v>
      </c>
      <c r="U52" s="55">
        <f>(T52/K52)*100</f>
        <v>88.840602127026273</v>
      </c>
      <c r="V52" s="54"/>
      <c r="W52" s="54">
        <f>SUM(W47:W51)</f>
        <v>4924592.465029995</v>
      </c>
      <c r="X52" s="261"/>
      <c r="Y52" s="246"/>
    </row>
    <row r="53" spans="1:25" ht="13" customHeight="1">
      <c r="A53" s="222" t="s">
        <v>84</v>
      </c>
      <c r="B53" s="247" t="s">
        <v>85</v>
      </c>
      <c r="C53" s="223" t="s">
        <v>35</v>
      </c>
      <c r="D53" s="226"/>
      <c r="E53" s="226">
        <v>500000</v>
      </c>
      <c r="F53" s="242">
        <v>500000</v>
      </c>
      <c r="G53" s="181"/>
      <c r="H53" s="181"/>
      <c r="I53" s="14" t="s">
        <v>86</v>
      </c>
      <c r="J53" s="14">
        <v>8</v>
      </c>
      <c r="K53" s="14">
        <v>31200000</v>
      </c>
      <c r="L53" s="14">
        <f>32138000+4500000</f>
        <v>36638000</v>
      </c>
      <c r="M53" s="14">
        <f>32138000+4500000</f>
        <v>36638000</v>
      </c>
      <c r="N53" s="14">
        <v>0</v>
      </c>
      <c r="O53" s="14">
        <v>0</v>
      </c>
      <c r="P53" s="14">
        <f>SUM(M53:O53)</f>
        <v>36638000</v>
      </c>
      <c r="Q53" s="14">
        <v>7538000</v>
      </c>
      <c r="R53" s="65">
        <f t="shared" si="4"/>
        <v>0.2057426715432065</v>
      </c>
      <c r="S53" s="14"/>
      <c r="T53" s="66">
        <f t="shared" si="13"/>
        <v>29100000</v>
      </c>
      <c r="U53" s="67">
        <f t="shared" si="1"/>
        <v>93.269230769230774</v>
      </c>
      <c r="V53" s="12">
        <f>U53*119000/95</f>
        <v>116831.98380566802</v>
      </c>
      <c r="W53" s="21">
        <f>V53*J53</f>
        <v>934655.87044534413</v>
      </c>
      <c r="X53" s="177">
        <f>W64+D53+F53+G53+H53+E53</f>
        <v>12768833.357254401</v>
      </c>
      <c r="Y53" s="246"/>
    </row>
    <row r="54" spans="1:25" ht="13" customHeight="1">
      <c r="A54" s="222"/>
      <c r="B54" s="247" t="str">
        <f>B53</f>
        <v>Bùi Trường Giang</v>
      </c>
      <c r="C54" s="224"/>
      <c r="D54" s="227"/>
      <c r="E54" s="227"/>
      <c r="F54" s="243"/>
      <c r="G54" s="244"/>
      <c r="H54" s="244"/>
      <c r="I54" s="14" t="s">
        <v>87</v>
      </c>
      <c r="J54" s="14">
        <v>9</v>
      </c>
      <c r="K54" s="14">
        <v>21200000</v>
      </c>
      <c r="L54" s="14">
        <v>26522000</v>
      </c>
      <c r="M54" s="14">
        <v>26522000</v>
      </c>
      <c r="N54" s="14">
        <v>0</v>
      </c>
      <c r="O54" s="14">
        <v>0</v>
      </c>
      <c r="P54" s="14">
        <f>SUM(M54:O54)</f>
        <v>26522000</v>
      </c>
      <c r="Q54" s="14">
        <v>6422000</v>
      </c>
      <c r="R54" s="45">
        <f t="shared" si="4"/>
        <v>0.24213860191539099</v>
      </c>
      <c r="S54" s="14"/>
      <c r="T54" s="26">
        <f>P54-(P54*R54)+S54</f>
        <v>20100000</v>
      </c>
      <c r="U54" s="46">
        <f t="shared" si="1"/>
        <v>94.811320754716974</v>
      </c>
      <c r="V54" s="12">
        <f>U54*119000/95</f>
        <v>118763.65441906652</v>
      </c>
      <c r="W54" s="21">
        <f t="shared" ref="W54:W63" si="25">V54*J54</f>
        <v>1068872.8897715986</v>
      </c>
      <c r="X54" s="178"/>
      <c r="Y54" s="246"/>
    </row>
    <row r="55" spans="1:25" ht="13" customHeight="1">
      <c r="A55" s="222"/>
      <c r="B55" s="247" t="str">
        <f>B54</f>
        <v>Bùi Trường Giang</v>
      </c>
      <c r="C55" s="224"/>
      <c r="D55" s="227"/>
      <c r="E55" s="227"/>
      <c r="F55" s="243"/>
      <c r="G55" s="244"/>
      <c r="H55" s="244"/>
      <c r="I55" s="14" t="s">
        <v>88</v>
      </c>
      <c r="J55" s="14">
        <v>10</v>
      </c>
      <c r="K55" s="14">
        <v>43200000</v>
      </c>
      <c r="L55" s="14">
        <v>45417000</v>
      </c>
      <c r="M55" s="14">
        <v>41157000</v>
      </c>
      <c r="N55" s="14">
        <v>0</v>
      </c>
      <c r="O55" s="14">
        <v>0</v>
      </c>
      <c r="P55" s="14">
        <f t="shared" ref="P55:P60" si="26">SUM(M55:O55)</f>
        <v>41157000</v>
      </c>
      <c r="Q55" s="14">
        <v>8317000</v>
      </c>
      <c r="R55" s="45">
        <f t="shared" si="4"/>
        <v>0.18312526146597088</v>
      </c>
      <c r="S55" s="14"/>
      <c r="T55" s="26">
        <f t="shared" si="13"/>
        <v>33620113.613845035</v>
      </c>
      <c r="U55" s="46">
        <f t="shared" si="1"/>
        <v>77.824337069085729</v>
      </c>
      <c r="V55" s="12">
        <f>U55*84000/80</f>
        <v>81715.553922540013</v>
      </c>
      <c r="W55" s="21">
        <f t="shared" si="25"/>
        <v>817155.53922540019</v>
      </c>
      <c r="X55" s="178"/>
      <c r="Y55" s="246"/>
    </row>
    <row r="56" spans="1:25" ht="13" customHeight="1">
      <c r="A56" s="222"/>
      <c r="B56" s="247" t="str">
        <f>B55</f>
        <v>Bùi Trường Giang</v>
      </c>
      <c r="C56" s="224"/>
      <c r="D56" s="227"/>
      <c r="E56" s="227"/>
      <c r="F56" s="243"/>
      <c r="G56" s="244"/>
      <c r="H56" s="244"/>
      <c r="I56" s="14" t="s">
        <v>89</v>
      </c>
      <c r="J56" s="14">
        <v>11</v>
      </c>
      <c r="K56" s="14">
        <v>47100000</v>
      </c>
      <c r="L56" s="14">
        <f>51399000-7000000</f>
        <v>44399000</v>
      </c>
      <c r="M56" s="14">
        <f>50872000-7000000</f>
        <v>43872000</v>
      </c>
      <c r="N56" s="14">
        <v>0</v>
      </c>
      <c r="O56" s="14">
        <v>0</v>
      </c>
      <c r="P56" s="14">
        <f t="shared" si="26"/>
        <v>43872000</v>
      </c>
      <c r="Q56" s="14">
        <v>8799000</v>
      </c>
      <c r="R56" s="45">
        <f t="shared" si="4"/>
        <v>0.19818013919232416</v>
      </c>
      <c r="S56" s="14"/>
      <c r="T56" s="26">
        <f t="shared" si="13"/>
        <v>35177440.933354355</v>
      </c>
      <c r="U56" s="46">
        <f t="shared" si="1"/>
        <v>74.686711111155745</v>
      </c>
      <c r="V56" s="12">
        <f>U56*74000/75</f>
        <v>73690.88829634033</v>
      </c>
      <c r="W56" s="21">
        <f>V56*J56</f>
        <v>810599.7712597436</v>
      </c>
      <c r="X56" s="178"/>
      <c r="Y56" s="246"/>
    </row>
    <row r="57" spans="1:25" ht="13" customHeight="1">
      <c r="A57" s="222"/>
      <c r="B57" s="247" t="str">
        <f>B56</f>
        <v>Bùi Trường Giang</v>
      </c>
      <c r="C57" s="224"/>
      <c r="D57" s="227"/>
      <c r="E57" s="227"/>
      <c r="F57" s="243"/>
      <c r="G57" s="244"/>
      <c r="H57" s="244"/>
      <c r="I57" s="14" t="s">
        <v>90</v>
      </c>
      <c r="J57" s="14">
        <v>8</v>
      </c>
      <c r="K57" s="14">
        <v>31700000</v>
      </c>
      <c r="L57" s="14">
        <v>28483000</v>
      </c>
      <c r="M57" s="14">
        <v>28471000</v>
      </c>
      <c r="N57" s="14">
        <v>0</v>
      </c>
      <c r="O57" s="14">
        <v>0</v>
      </c>
      <c r="P57" s="14">
        <f t="shared" si="26"/>
        <v>28471000</v>
      </c>
      <c r="Q57" s="14">
        <v>5383000</v>
      </c>
      <c r="R57" s="45">
        <f>Q57/L57</f>
        <v>0.18898992381420496</v>
      </c>
      <c r="S57" s="14"/>
      <c r="T57" s="26">
        <f>P57-(P57*R57)+S57</f>
        <v>23090267.879085772</v>
      </c>
      <c r="U57" s="46">
        <f t="shared" si="1"/>
        <v>72.839961763677522</v>
      </c>
      <c r="V57" s="12">
        <f>U57*74000/75</f>
        <v>71868.762273495158</v>
      </c>
      <c r="W57" s="21">
        <f>V57*J57</f>
        <v>574950.09818796127</v>
      </c>
      <c r="X57" s="178"/>
      <c r="Y57" s="246"/>
    </row>
    <row r="58" spans="1:25" ht="13" customHeight="1">
      <c r="A58" s="222"/>
      <c r="B58" s="247"/>
      <c r="C58" s="224"/>
      <c r="D58" s="227"/>
      <c r="E58" s="227"/>
      <c r="F58" s="243"/>
      <c r="G58" s="244"/>
      <c r="H58" s="244"/>
      <c r="I58" s="14" t="s">
        <v>91</v>
      </c>
      <c r="J58" s="14">
        <v>11</v>
      </c>
      <c r="K58" s="14">
        <v>50000000</v>
      </c>
      <c r="L58" s="14">
        <v>57259600</v>
      </c>
      <c r="M58" s="14">
        <v>57228000</v>
      </c>
      <c r="N58" s="14">
        <v>0</v>
      </c>
      <c r="O58" s="14">
        <v>0</v>
      </c>
      <c r="P58" s="14">
        <f t="shared" si="26"/>
        <v>57228000</v>
      </c>
      <c r="Q58" s="14">
        <v>14559600</v>
      </c>
      <c r="R58" s="45">
        <f t="shared" si="4"/>
        <v>0.25427351920027386</v>
      </c>
      <c r="S58" s="14"/>
      <c r="T58" s="26">
        <f t="shared" si="13"/>
        <v>42676435.043206729</v>
      </c>
      <c r="U58" s="46">
        <f t="shared" si="1"/>
        <v>85.352870086413461</v>
      </c>
      <c r="V58" s="12">
        <f>U58*100000/85</f>
        <v>100415.14127813348</v>
      </c>
      <c r="W58" s="21">
        <f t="shared" si="25"/>
        <v>1104566.5540594682</v>
      </c>
      <c r="X58" s="178"/>
      <c r="Y58" s="246"/>
    </row>
    <row r="59" spans="1:25" ht="13" customHeight="1">
      <c r="A59" s="222"/>
      <c r="B59" s="247"/>
      <c r="C59" s="224"/>
      <c r="D59" s="227"/>
      <c r="E59" s="227"/>
      <c r="F59" s="243"/>
      <c r="G59" s="244"/>
      <c r="H59" s="244"/>
      <c r="I59" s="14" t="s">
        <v>92</v>
      </c>
      <c r="J59" s="14">
        <v>7</v>
      </c>
      <c r="K59" s="14">
        <v>17500000</v>
      </c>
      <c r="L59" s="14">
        <v>20636000</v>
      </c>
      <c r="M59" s="14">
        <v>19692000</v>
      </c>
      <c r="N59" s="14">
        <v>849600</v>
      </c>
      <c r="O59" s="14">
        <v>0</v>
      </c>
      <c r="P59" s="23">
        <f t="shared" si="26"/>
        <v>20541600</v>
      </c>
      <c r="Q59" s="14">
        <v>3836000</v>
      </c>
      <c r="R59" s="45">
        <f t="shared" si="4"/>
        <v>0.18588873812754408</v>
      </c>
      <c r="S59" s="14"/>
      <c r="T59" s="26">
        <f t="shared" si="13"/>
        <v>16723147.896879241</v>
      </c>
      <c r="U59" s="46">
        <f t="shared" si="1"/>
        <v>95.56084512502423</v>
      </c>
      <c r="V59" s="12">
        <f>U59*120000/95</f>
        <v>120708.43594739902</v>
      </c>
      <c r="W59" s="21">
        <f t="shared" si="25"/>
        <v>844959.05163179315</v>
      </c>
      <c r="X59" s="178"/>
      <c r="Y59" s="246"/>
    </row>
    <row r="60" spans="1:25" ht="13" customHeight="1">
      <c r="A60" s="222"/>
      <c r="B60" s="247" t="str">
        <f>B57</f>
        <v>Bùi Trường Giang</v>
      </c>
      <c r="C60" s="224"/>
      <c r="D60" s="227"/>
      <c r="E60" s="227"/>
      <c r="F60" s="243"/>
      <c r="G60" s="244"/>
      <c r="H60" s="244"/>
      <c r="I60" s="14" t="s">
        <v>93</v>
      </c>
      <c r="J60" s="14">
        <v>10</v>
      </c>
      <c r="K60" s="14">
        <v>47000000</v>
      </c>
      <c r="L60" s="14">
        <v>56477000</v>
      </c>
      <c r="M60" s="14">
        <v>56477000</v>
      </c>
      <c r="N60" s="14">
        <v>0</v>
      </c>
      <c r="O60" s="32">
        <v>0</v>
      </c>
      <c r="P60" s="26">
        <f t="shared" si="26"/>
        <v>56477000</v>
      </c>
      <c r="Q60" s="14">
        <v>9877000</v>
      </c>
      <c r="R60" s="45">
        <f t="shared" si="4"/>
        <v>0.17488535155904172</v>
      </c>
      <c r="S60" s="14"/>
      <c r="T60" s="26">
        <f t="shared" si="13"/>
        <v>46600000</v>
      </c>
      <c r="U60" s="46">
        <f t="shared" si="1"/>
        <v>99.148936170212764</v>
      </c>
      <c r="V60" s="12">
        <f>U60*130000/100</f>
        <v>128893.6170212766</v>
      </c>
      <c r="W60" s="21">
        <f t="shared" si="25"/>
        <v>1288936.1702127659</v>
      </c>
      <c r="X60" s="178"/>
      <c r="Y60" s="246"/>
    </row>
    <row r="61" spans="1:25" ht="12.5">
      <c r="A61" s="222"/>
      <c r="B61" s="247"/>
      <c r="C61" s="224"/>
      <c r="D61" s="227"/>
      <c r="E61" s="227"/>
      <c r="F61" s="243"/>
      <c r="G61" s="244"/>
      <c r="H61" s="244"/>
      <c r="I61" s="23" t="s">
        <v>94</v>
      </c>
      <c r="J61" s="23">
        <v>11</v>
      </c>
      <c r="K61" s="23">
        <v>45300000</v>
      </c>
      <c r="L61" s="23">
        <v>53713400</v>
      </c>
      <c r="M61" s="23">
        <v>48823000</v>
      </c>
      <c r="N61" s="32">
        <v>0</v>
      </c>
      <c r="O61" s="47">
        <v>0</v>
      </c>
      <c r="P61" s="26">
        <f>SUM(M61:O61)</f>
        <v>48823000</v>
      </c>
      <c r="Q61" s="23">
        <v>11513400</v>
      </c>
      <c r="R61" s="33">
        <f t="shared" si="4"/>
        <v>0.2143487472399811</v>
      </c>
      <c r="S61" s="23"/>
      <c r="T61" s="30">
        <f>P61-(P61*R61)+S61</f>
        <v>38357851.113502406</v>
      </c>
      <c r="U61" s="46">
        <f t="shared" si="1"/>
        <v>84.675168020976614</v>
      </c>
      <c r="V61" s="13">
        <f>U61*94000/85</f>
        <v>93640.774046727078</v>
      </c>
      <c r="W61" s="15">
        <f t="shared" si="25"/>
        <v>1030048.5145139978</v>
      </c>
      <c r="X61" s="178"/>
      <c r="Y61" s="246"/>
    </row>
    <row r="62" spans="1:25" ht="12.5">
      <c r="A62" s="222"/>
      <c r="B62" s="247"/>
      <c r="C62" s="224"/>
      <c r="D62" s="227"/>
      <c r="E62" s="227"/>
      <c r="F62" s="243"/>
      <c r="G62" s="244"/>
      <c r="H62" s="244"/>
      <c r="I62" s="26" t="s">
        <v>95</v>
      </c>
      <c r="J62" s="26">
        <v>22</v>
      </c>
      <c r="K62" s="26">
        <v>102700000</v>
      </c>
      <c r="L62" s="26">
        <v>118413800</v>
      </c>
      <c r="M62" s="26">
        <v>109765800</v>
      </c>
      <c r="N62" s="47">
        <v>450000</v>
      </c>
      <c r="O62" s="47">
        <v>0</v>
      </c>
      <c r="P62" s="26">
        <f>SUM(M62:O62)</f>
        <v>110215800</v>
      </c>
      <c r="Q62" s="25">
        <v>23863800</v>
      </c>
      <c r="R62" s="45">
        <f t="shared" si="4"/>
        <v>0.20152887585737472</v>
      </c>
      <c r="S62" s="26"/>
      <c r="T62" s="26">
        <f>P62-(P62*R62)+S62</f>
        <v>88004133.724278763</v>
      </c>
      <c r="U62" s="46">
        <f>(T62/K62)*100</f>
        <v>85.690490481284087</v>
      </c>
      <c r="V62" s="16">
        <f>U62*100000/85</f>
        <v>100812.34174268717</v>
      </c>
      <c r="W62" s="16">
        <f t="shared" si="25"/>
        <v>2217871.518339118</v>
      </c>
      <c r="X62" s="178"/>
      <c r="Y62" s="246"/>
    </row>
    <row r="63" spans="1:25" ht="12.5">
      <c r="A63" s="222"/>
      <c r="B63" s="247"/>
      <c r="C63" s="224"/>
      <c r="D63" s="227"/>
      <c r="E63" s="227"/>
      <c r="F63" s="243"/>
      <c r="G63" s="244"/>
      <c r="H63" s="244"/>
      <c r="I63" s="66" t="s">
        <v>96</v>
      </c>
      <c r="J63" s="66">
        <v>10</v>
      </c>
      <c r="K63" s="66">
        <v>41300000</v>
      </c>
      <c r="L63" s="66">
        <v>45492800</v>
      </c>
      <c r="M63" s="66">
        <v>45492800</v>
      </c>
      <c r="N63" s="85">
        <v>0</v>
      </c>
      <c r="O63" s="85">
        <v>0</v>
      </c>
      <c r="P63" s="26">
        <f>SUM(M63:O63)</f>
        <v>45492800</v>
      </c>
      <c r="Q63" s="86">
        <v>8792800</v>
      </c>
      <c r="R63" s="45">
        <f t="shared" si="4"/>
        <v>0.19327893644708613</v>
      </c>
      <c r="S63" s="66"/>
      <c r="T63" s="26">
        <f>P63-(P63*R63)+S63</f>
        <v>36700000</v>
      </c>
      <c r="U63" s="46">
        <f>(T63/K63)*100</f>
        <v>88.861985472154956</v>
      </c>
      <c r="V63" s="16">
        <f>U63*109000/90</f>
        <v>107621.73796072099</v>
      </c>
      <c r="W63" s="16">
        <f t="shared" si="25"/>
        <v>1076217.3796072099</v>
      </c>
      <c r="X63" s="178"/>
      <c r="Y63" s="246"/>
    </row>
    <row r="64" spans="1:25" ht="13" customHeight="1">
      <c r="A64" s="179"/>
      <c r="B64" s="180" t="str">
        <f>B60</f>
        <v>Bùi Trường Giang</v>
      </c>
      <c r="C64" s="225"/>
      <c r="D64" s="228"/>
      <c r="E64" s="228"/>
      <c r="F64" s="248"/>
      <c r="G64" s="245"/>
      <c r="H64" s="245"/>
      <c r="I64" s="69"/>
      <c r="J64" s="70">
        <f>SUM(J53:J63)</f>
        <v>117</v>
      </c>
      <c r="K64" s="70">
        <f t="shared" ref="K64:Q64" si="27">SUM(K53:K63)</f>
        <v>478200000</v>
      </c>
      <c r="L64" s="70">
        <f t="shared" si="27"/>
        <v>533451600</v>
      </c>
      <c r="M64" s="70">
        <f>SUM(M53:M63)</f>
        <v>514138600</v>
      </c>
      <c r="N64" s="70">
        <f>SUM(N53:N63)</f>
        <v>1299600</v>
      </c>
      <c r="O64" s="70">
        <f t="shared" si="27"/>
        <v>0</v>
      </c>
      <c r="P64" s="70">
        <f t="shared" si="27"/>
        <v>515438200</v>
      </c>
      <c r="Q64" s="70">
        <f t="shared" si="27"/>
        <v>108901600</v>
      </c>
      <c r="R64" s="87"/>
      <c r="S64" s="70">
        <f>SUM(S53:S63)</f>
        <v>0</v>
      </c>
      <c r="T64" s="70">
        <f>SUM(T53:T63)</f>
        <v>410149390.20415229</v>
      </c>
      <c r="U64" s="88">
        <f>(T64/K64)*100</f>
        <v>85.76942496950069</v>
      </c>
      <c r="V64" s="62"/>
      <c r="W64" s="62">
        <f>SUM(W53:W63)</f>
        <v>11768833.357254401</v>
      </c>
      <c r="X64" s="178"/>
      <c r="Y64" s="246"/>
    </row>
    <row r="65" spans="1:25" ht="13" customHeight="1">
      <c r="A65" s="222" t="s">
        <v>97</v>
      </c>
      <c r="B65" s="247" t="s">
        <v>98</v>
      </c>
      <c r="C65" s="224" t="s">
        <v>35</v>
      </c>
      <c r="D65" s="227"/>
      <c r="E65" s="227">
        <v>500000</v>
      </c>
      <c r="F65" s="243">
        <v>500000</v>
      </c>
      <c r="G65" s="244"/>
      <c r="H65" s="244"/>
      <c r="I65" s="14" t="s">
        <v>99</v>
      </c>
      <c r="J65" s="14">
        <v>8</v>
      </c>
      <c r="K65" s="14">
        <v>35000000</v>
      </c>
      <c r="L65" s="14">
        <v>39533000</v>
      </c>
      <c r="M65" s="14">
        <v>39533000</v>
      </c>
      <c r="N65" s="14">
        <v>0</v>
      </c>
      <c r="O65" s="14">
        <v>0</v>
      </c>
      <c r="P65" s="14">
        <f t="shared" ref="P65:P69" si="28">SUM(M65:O65)</f>
        <v>39533000</v>
      </c>
      <c r="Q65" s="14">
        <v>7133000</v>
      </c>
      <c r="R65" s="45">
        <f t="shared" si="4"/>
        <v>0.18043153820858523</v>
      </c>
      <c r="S65" s="14"/>
      <c r="T65" s="26">
        <f t="shared" si="13"/>
        <v>32400000</v>
      </c>
      <c r="U65" s="46">
        <f t="shared" si="1"/>
        <v>92.571428571428569</v>
      </c>
      <c r="V65" s="12">
        <f>U65*119000/95</f>
        <v>115957.89473684211</v>
      </c>
      <c r="W65" s="21">
        <f>V65*J65</f>
        <v>927663.15789473685</v>
      </c>
      <c r="X65" s="177">
        <f>D65+E65+F65+G65+H65+W70</f>
        <v>6210345.0482301395</v>
      </c>
      <c r="Y65" s="246"/>
    </row>
    <row r="66" spans="1:25" ht="13" customHeight="1">
      <c r="A66" s="222"/>
      <c r="B66" s="247" t="str">
        <f>B65</f>
        <v>Đỗ Công Trường</v>
      </c>
      <c r="C66" s="224"/>
      <c r="D66" s="227"/>
      <c r="E66" s="227"/>
      <c r="F66" s="243"/>
      <c r="G66" s="244"/>
      <c r="H66" s="244"/>
      <c r="I66" s="14" t="s">
        <v>100</v>
      </c>
      <c r="J66" s="14">
        <v>8</v>
      </c>
      <c r="K66" s="14">
        <v>35000000</v>
      </c>
      <c r="L66" s="14">
        <f>45439000-3800000</f>
        <v>41639000</v>
      </c>
      <c r="M66" s="14">
        <f>45439000-3800000</f>
        <v>41639000</v>
      </c>
      <c r="N66" s="14">
        <v>0</v>
      </c>
      <c r="O66" s="14">
        <v>0</v>
      </c>
      <c r="P66" s="14">
        <f t="shared" si="28"/>
        <v>41639000</v>
      </c>
      <c r="Q66" s="14">
        <v>8139000</v>
      </c>
      <c r="R66" s="45">
        <f t="shared" si="4"/>
        <v>0.19546578928408465</v>
      </c>
      <c r="S66" s="14"/>
      <c r="T66" s="26">
        <f t="shared" si="13"/>
        <v>33500000</v>
      </c>
      <c r="U66" s="46">
        <f t="shared" si="1"/>
        <v>95.714285714285722</v>
      </c>
      <c r="V66" s="12">
        <f>U66*120000/95</f>
        <v>120902.25563909776</v>
      </c>
      <c r="W66" s="21">
        <f>V66*J66</f>
        <v>967218.04511278204</v>
      </c>
      <c r="X66" s="178"/>
      <c r="Y66" s="246"/>
    </row>
    <row r="67" spans="1:25" ht="13" customHeight="1">
      <c r="A67" s="222"/>
      <c r="B67" s="247" t="str">
        <f>B66</f>
        <v>Đỗ Công Trường</v>
      </c>
      <c r="C67" s="224"/>
      <c r="D67" s="227"/>
      <c r="E67" s="227"/>
      <c r="F67" s="243"/>
      <c r="G67" s="244"/>
      <c r="H67" s="244"/>
      <c r="I67" s="23" t="s">
        <v>101</v>
      </c>
      <c r="J67" s="23">
        <v>7</v>
      </c>
      <c r="K67" s="23">
        <v>24800000</v>
      </c>
      <c r="L67" s="23">
        <v>25974000</v>
      </c>
      <c r="M67" s="23">
        <v>25974000</v>
      </c>
      <c r="N67" s="23">
        <v>0</v>
      </c>
      <c r="O67" s="23">
        <v>0</v>
      </c>
      <c r="P67" s="23">
        <f>SUM(M67:O67)</f>
        <v>25974000</v>
      </c>
      <c r="Q67" s="23">
        <v>5974000</v>
      </c>
      <c r="R67" s="33">
        <f t="shared" si="4"/>
        <v>0.22999922999923</v>
      </c>
      <c r="S67" s="23"/>
      <c r="T67" s="30">
        <f t="shared" si="13"/>
        <v>20000000</v>
      </c>
      <c r="U67" s="34">
        <f t="shared" si="1"/>
        <v>80.645161290322577</v>
      </c>
      <c r="V67" s="12">
        <f>U67*85000/80</f>
        <v>85685.483870967728</v>
      </c>
      <c r="W67" s="15">
        <f>V67*J67</f>
        <v>599798.38709677407</v>
      </c>
      <c r="X67" s="178"/>
      <c r="Y67" s="246"/>
    </row>
    <row r="68" spans="1:25" s="37" customFormat="1" ht="12.5">
      <c r="A68" s="222"/>
      <c r="B68" s="247"/>
      <c r="C68" s="224"/>
      <c r="D68" s="227"/>
      <c r="E68" s="227"/>
      <c r="F68" s="243"/>
      <c r="G68" s="244"/>
      <c r="H68" s="244"/>
      <c r="I68" s="26" t="s">
        <v>102</v>
      </c>
      <c r="J68" s="26">
        <v>14</v>
      </c>
      <c r="K68" s="26">
        <v>49800000</v>
      </c>
      <c r="L68" s="26">
        <f>61843200-3500000</f>
        <v>58343200</v>
      </c>
      <c r="M68" s="26">
        <f>61779000-3500000</f>
        <v>58279000</v>
      </c>
      <c r="N68" s="26">
        <v>0</v>
      </c>
      <c r="O68" s="26">
        <v>0</v>
      </c>
      <c r="P68" s="26">
        <f t="shared" si="28"/>
        <v>58279000</v>
      </c>
      <c r="Q68" s="26">
        <v>13283200</v>
      </c>
      <c r="R68" s="45">
        <f t="shared" si="4"/>
        <v>0.22767349065529488</v>
      </c>
      <c r="S68" s="26"/>
      <c r="T68" s="26">
        <f t="shared" si="13"/>
        <v>45010416.638100073</v>
      </c>
      <c r="U68" s="46">
        <f t="shared" si="1"/>
        <v>90.382362727108585</v>
      </c>
      <c r="V68" s="16">
        <f>U68*110000/90</f>
        <v>110467.33222202159</v>
      </c>
      <c r="W68" s="16">
        <f t="shared" ref="W68:W69" si="29">V68*J68</f>
        <v>1546542.6511083022</v>
      </c>
      <c r="X68" s="178"/>
      <c r="Y68" s="246"/>
    </row>
    <row r="69" spans="1:25" s="37" customFormat="1" ht="12.5">
      <c r="A69" s="222"/>
      <c r="B69" s="247"/>
      <c r="C69" s="224"/>
      <c r="D69" s="227"/>
      <c r="E69" s="227"/>
      <c r="F69" s="243"/>
      <c r="G69" s="244"/>
      <c r="H69" s="244"/>
      <c r="I69" s="26" t="s">
        <v>103</v>
      </c>
      <c r="J69" s="26">
        <v>10</v>
      </c>
      <c r="K69" s="26">
        <v>45000000</v>
      </c>
      <c r="L69" s="26">
        <v>53605000</v>
      </c>
      <c r="M69" s="26">
        <v>53605000</v>
      </c>
      <c r="N69" s="26">
        <v>0</v>
      </c>
      <c r="O69" s="26">
        <v>0</v>
      </c>
      <c r="P69" s="26">
        <f t="shared" si="28"/>
        <v>53605000</v>
      </c>
      <c r="Q69" s="26">
        <v>11605000</v>
      </c>
      <c r="R69" s="45">
        <f t="shared" si="4"/>
        <v>0.21649099897397631</v>
      </c>
      <c r="S69" s="26"/>
      <c r="T69" s="26">
        <f t="shared" si="13"/>
        <v>42000000</v>
      </c>
      <c r="U69" s="46">
        <f>(T69/K69)*100</f>
        <v>93.333333333333329</v>
      </c>
      <c r="V69" s="16">
        <f>U69*119000/95</f>
        <v>116912.28070175438</v>
      </c>
      <c r="W69" s="16">
        <f t="shared" si="29"/>
        <v>1169122.8070175438</v>
      </c>
      <c r="X69" s="178"/>
      <c r="Y69" s="246"/>
    </row>
    <row r="70" spans="1:25" ht="13" customHeight="1">
      <c r="A70" s="179"/>
      <c r="B70" s="180" t="str">
        <f>B67</f>
        <v>Đỗ Công Trường</v>
      </c>
      <c r="C70" s="225"/>
      <c r="D70" s="228"/>
      <c r="E70" s="228"/>
      <c r="F70" s="248"/>
      <c r="G70" s="245"/>
      <c r="H70" s="245"/>
      <c r="I70" s="69"/>
      <c r="J70" s="70">
        <f t="shared" ref="J70:Q70" si="30">SUM(J65:J69)</f>
        <v>47</v>
      </c>
      <c r="K70" s="70">
        <f t="shared" si="30"/>
        <v>189600000</v>
      </c>
      <c r="L70" s="70">
        <f t="shared" si="30"/>
        <v>219094200</v>
      </c>
      <c r="M70" s="70">
        <f t="shared" si="30"/>
        <v>219030000</v>
      </c>
      <c r="N70" s="70">
        <f t="shared" si="30"/>
        <v>0</v>
      </c>
      <c r="O70" s="70">
        <f t="shared" si="30"/>
        <v>0</v>
      </c>
      <c r="P70" s="70">
        <f t="shared" si="30"/>
        <v>219030000</v>
      </c>
      <c r="Q70" s="70">
        <f t="shared" si="30"/>
        <v>46134200</v>
      </c>
      <c r="R70" s="87"/>
      <c r="S70" s="89">
        <f>SUM(S65:S69)</f>
        <v>0</v>
      </c>
      <c r="T70" s="89">
        <f>SUM(T65:T69)</f>
        <v>172910416.63810009</v>
      </c>
      <c r="U70" s="55">
        <f>(T70/K70)*100</f>
        <v>91.197477129799623</v>
      </c>
      <c r="V70" s="90"/>
      <c r="W70" s="90">
        <f>SUM(W65:W69)</f>
        <v>5210345.0482301395</v>
      </c>
      <c r="X70" s="178"/>
      <c r="Y70" s="246"/>
    </row>
    <row r="71" spans="1:25" ht="13" customHeight="1">
      <c r="A71" s="222" t="s">
        <v>104</v>
      </c>
      <c r="B71" s="247" t="s">
        <v>105</v>
      </c>
      <c r="C71" s="223" t="s">
        <v>35</v>
      </c>
      <c r="D71" s="226"/>
      <c r="E71" s="226">
        <v>500000</v>
      </c>
      <c r="F71" s="242">
        <v>500000</v>
      </c>
      <c r="G71" s="181"/>
      <c r="H71" s="181"/>
      <c r="I71" s="47" t="s">
        <v>106</v>
      </c>
      <c r="J71" s="26">
        <v>10</v>
      </c>
      <c r="K71" s="26">
        <v>42100000</v>
      </c>
      <c r="L71" s="14">
        <v>36883000</v>
      </c>
      <c r="M71" s="14">
        <v>36721000</v>
      </c>
      <c r="N71" s="14">
        <v>0</v>
      </c>
      <c r="O71" s="14">
        <v>0</v>
      </c>
      <c r="P71" s="14">
        <f t="shared" ref="P71:P76" si="31">SUM(M71:O71)</f>
        <v>36721000</v>
      </c>
      <c r="Q71" s="91">
        <v>6883000</v>
      </c>
      <c r="R71" s="45">
        <f t="shared" si="4"/>
        <v>0.18661714068812191</v>
      </c>
      <c r="S71" s="14"/>
      <c r="T71" s="26">
        <f t="shared" si="13"/>
        <v>29868231.976791475</v>
      </c>
      <c r="U71" s="46">
        <f t="shared" si="1"/>
        <v>70.94591918477785</v>
      </c>
      <c r="V71" s="12">
        <f>U71*65000/70</f>
        <v>65878.353528722291</v>
      </c>
      <c r="W71" s="21">
        <f>V71*J71</f>
        <v>658783.53528722294</v>
      </c>
      <c r="X71" s="177">
        <f>W77+D71+F71+G71+H71+E71</f>
        <v>9219288.881138809</v>
      </c>
      <c r="Y71" s="246"/>
    </row>
    <row r="72" spans="1:25" ht="13" customHeight="1">
      <c r="A72" s="222"/>
      <c r="B72" s="247"/>
      <c r="C72" s="224"/>
      <c r="D72" s="227"/>
      <c r="E72" s="227"/>
      <c r="F72" s="243"/>
      <c r="G72" s="244"/>
      <c r="H72" s="244"/>
      <c r="I72" s="44" t="s">
        <v>107</v>
      </c>
      <c r="J72" s="26">
        <v>16</v>
      </c>
      <c r="K72" s="26">
        <v>66000000</v>
      </c>
      <c r="L72" s="14">
        <v>73824000</v>
      </c>
      <c r="M72" s="14">
        <v>58834000</v>
      </c>
      <c r="N72" s="14">
        <v>5557500</v>
      </c>
      <c r="O72" s="14">
        <v>0</v>
      </c>
      <c r="P72" s="14">
        <f t="shared" si="31"/>
        <v>64391500</v>
      </c>
      <c r="Q72" s="91">
        <v>18024000</v>
      </c>
      <c r="R72" s="45">
        <f t="shared" si="4"/>
        <v>0.24414824447334199</v>
      </c>
      <c r="S72" s="23"/>
      <c r="T72" s="26">
        <f t="shared" si="13"/>
        <v>48670428.315994799</v>
      </c>
      <c r="U72" s="46">
        <f t="shared" si="1"/>
        <v>73.743073206052728</v>
      </c>
      <c r="V72" s="12">
        <f>U72*74000/75</f>
        <v>72759.832229972017</v>
      </c>
      <c r="W72" s="21">
        <f>V72*J72</f>
        <v>1164157.3156795523</v>
      </c>
      <c r="X72" s="177"/>
      <c r="Y72" s="246"/>
    </row>
    <row r="73" spans="1:25" ht="13" customHeight="1">
      <c r="A73" s="222"/>
      <c r="B73" s="247" t="str">
        <f>B71</f>
        <v>Đặng Minh Hiếu</v>
      </c>
      <c r="C73" s="224"/>
      <c r="D73" s="227"/>
      <c r="E73" s="227"/>
      <c r="F73" s="243"/>
      <c r="G73" s="244"/>
      <c r="H73" s="244"/>
      <c r="I73" s="26" t="s">
        <v>108</v>
      </c>
      <c r="J73" s="26">
        <v>20</v>
      </c>
      <c r="K73" s="26">
        <v>84300000</v>
      </c>
      <c r="L73" s="14">
        <v>90126600</v>
      </c>
      <c r="M73" s="14">
        <v>84384600</v>
      </c>
      <c r="N73" s="14">
        <v>446400</v>
      </c>
      <c r="O73" s="14">
        <v>0</v>
      </c>
      <c r="P73" s="14">
        <f t="shared" si="31"/>
        <v>84831000</v>
      </c>
      <c r="Q73" s="91">
        <v>20526600</v>
      </c>
      <c r="R73" s="45">
        <f t="shared" si="4"/>
        <v>0.22775296083509197</v>
      </c>
      <c r="S73" s="37"/>
      <c r="T73" s="26">
        <f>P73-(P73*R73)+S74</f>
        <v>65510488.579398312</v>
      </c>
      <c r="U73" s="46">
        <f t="shared" si="1"/>
        <v>77.711137104861578</v>
      </c>
      <c r="V73" s="12">
        <f>U73*84000/80</f>
        <v>81596.693960104662</v>
      </c>
      <c r="W73" s="21">
        <f t="shared" ref="W73:W76" si="32">V73*J73</f>
        <v>1631933.8792020932</v>
      </c>
      <c r="X73" s="178"/>
      <c r="Y73" s="246"/>
    </row>
    <row r="74" spans="1:25" ht="14">
      <c r="A74" s="222"/>
      <c r="B74" s="247"/>
      <c r="C74" s="224"/>
      <c r="D74" s="227"/>
      <c r="E74" s="227"/>
      <c r="F74" s="243"/>
      <c r="G74" s="244"/>
      <c r="H74" s="244"/>
      <c r="I74" s="84" t="s">
        <v>109</v>
      </c>
      <c r="J74" s="23">
        <v>21</v>
      </c>
      <c r="K74" s="23">
        <v>74800000</v>
      </c>
      <c r="L74" s="23">
        <v>90316000</v>
      </c>
      <c r="M74" s="23">
        <v>81022000</v>
      </c>
      <c r="N74" s="23">
        <v>4965300</v>
      </c>
      <c r="O74" s="14">
        <v>0</v>
      </c>
      <c r="P74" s="23">
        <f t="shared" si="31"/>
        <v>85987300</v>
      </c>
      <c r="Q74" s="91">
        <v>17966000</v>
      </c>
      <c r="R74" s="45">
        <f t="shared" si="4"/>
        <v>0.19892377873245051</v>
      </c>
      <c r="S74" s="26"/>
      <c r="T74" s="26">
        <f>P74-(P74*R74)+S75</f>
        <v>68882381.360999167</v>
      </c>
      <c r="U74" s="46">
        <f>(T74/K74)*100</f>
        <v>92.088745135025633</v>
      </c>
      <c r="V74" s="12">
        <f>U74*110000/90</f>
        <v>112552.91072058688</v>
      </c>
      <c r="W74" s="15">
        <f t="shared" si="32"/>
        <v>2363611.1251323246</v>
      </c>
      <c r="X74" s="178"/>
      <c r="Y74" s="246"/>
    </row>
    <row r="75" spans="1:25" ht="14">
      <c r="A75" s="222"/>
      <c r="B75" s="247"/>
      <c r="C75" s="224"/>
      <c r="D75" s="227"/>
      <c r="E75" s="227"/>
      <c r="F75" s="243"/>
      <c r="G75" s="244"/>
      <c r="H75" s="244"/>
      <c r="I75" s="30" t="s">
        <v>110</v>
      </c>
      <c r="J75" s="30">
        <v>11</v>
      </c>
      <c r="K75" s="30">
        <v>50300000</v>
      </c>
      <c r="L75" s="30">
        <v>57742000</v>
      </c>
      <c r="M75" s="30">
        <v>57742000</v>
      </c>
      <c r="N75" s="30">
        <v>0</v>
      </c>
      <c r="O75" s="32">
        <v>0</v>
      </c>
      <c r="P75" s="26">
        <f t="shared" si="31"/>
        <v>57742000</v>
      </c>
      <c r="Q75" s="92">
        <v>9742000</v>
      </c>
      <c r="R75" s="33">
        <f t="shared" si="4"/>
        <v>0.16871601260780714</v>
      </c>
      <c r="S75" s="32"/>
      <c r="T75" s="30">
        <f t="shared" si="13"/>
        <v>48000000</v>
      </c>
      <c r="U75" s="46">
        <f t="shared" si="1"/>
        <v>95.427435387673953</v>
      </c>
      <c r="V75" s="15">
        <f>U75*120000/95</f>
        <v>120539.91838443026</v>
      </c>
      <c r="W75" s="16">
        <f t="shared" si="32"/>
        <v>1325939.1022287328</v>
      </c>
      <c r="X75" s="178"/>
      <c r="Y75" s="246"/>
    </row>
    <row r="76" spans="1:25" ht="14">
      <c r="A76" s="222"/>
      <c r="B76" s="247"/>
      <c r="C76" s="224"/>
      <c r="D76" s="227"/>
      <c r="E76" s="227"/>
      <c r="F76" s="243"/>
      <c r="G76" s="244"/>
      <c r="H76" s="244"/>
      <c r="I76" s="26" t="s">
        <v>111</v>
      </c>
      <c r="J76" s="26">
        <v>10</v>
      </c>
      <c r="K76" s="26">
        <v>30600000</v>
      </c>
      <c r="L76" s="26">
        <v>40001000</v>
      </c>
      <c r="M76" s="26">
        <v>36211000</v>
      </c>
      <c r="N76" s="26">
        <v>0</v>
      </c>
      <c r="O76" s="47">
        <v>0</v>
      </c>
      <c r="P76" s="26">
        <f t="shared" si="31"/>
        <v>36211000</v>
      </c>
      <c r="Q76" s="93">
        <v>10001000</v>
      </c>
      <c r="R76" s="33">
        <f t="shared" si="4"/>
        <v>0.25001874953126174</v>
      </c>
      <c r="S76" s="26"/>
      <c r="T76" s="26">
        <f t="shared" si="13"/>
        <v>27157571.060723484</v>
      </c>
      <c r="U76" s="46">
        <f t="shared" si="1"/>
        <v>88.75023222458654</v>
      </c>
      <c r="V76" s="16">
        <f>U76*109000/90</f>
        <v>107486.39236088816</v>
      </c>
      <c r="W76" s="16">
        <f t="shared" si="32"/>
        <v>1074863.9236088817</v>
      </c>
      <c r="X76" s="178"/>
      <c r="Y76" s="246"/>
    </row>
    <row r="77" spans="1:25" ht="13" customHeight="1">
      <c r="A77" s="179"/>
      <c r="B77" s="180" t="str">
        <f>B73</f>
        <v>Đặng Minh Hiếu</v>
      </c>
      <c r="C77" s="225"/>
      <c r="D77" s="228"/>
      <c r="E77" s="228"/>
      <c r="F77" s="248"/>
      <c r="G77" s="245"/>
      <c r="H77" s="245"/>
      <c r="I77" s="94"/>
      <c r="J77" s="70">
        <f>SUM(J71:J76)</f>
        <v>88</v>
      </c>
      <c r="K77" s="70">
        <f t="shared" ref="K77:Q77" si="33">SUM(K71:K76)</f>
        <v>348100000</v>
      </c>
      <c r="L77" s="70">
        <f t="shared" si="33"/>
        <v>388892600</v>
      </c>
      <c r="M77" s="70">
        <f t="shared" si="33"/>
        <v>354914600</v>
      </c>
      <c r="N77" s="70">
        <f t="shared" si="33"/>
        <v>10969200</v>
      </c>
      <c r="O77" s="70">
        <f t="shared" si="33"/>
        <v>0</v>
      </c>
      <c r="P77" s="70">
        <f t="shared" si="33"/>
        <v>365883800</v>
      </c>
      <c r="Q77" s="70">
        <f t="shared" si="33"/>
        <v>83142600</v>
      </c>
      <c r="R77" s="61"/>
      <c r="S77" s="70">
        <f>SUM(S71:S76)</f>
        <v>0</v>
      </c>
      <c r="T77" s="70">
        <f>SUM(T71:T76)</f>
        <v>288089101.29390723</v>
      </c>
      <c r="U77" s="55">
        <f>(T77/K77)*100</f>
        <v>82.760442773314352</v>
      </c>
      <c r="V77" s="71"/>
      <c r="W77" s="62">
        <f>SUM(W71:W76)</f>
        <v>8219288.8811388081</v>
      </c>
      <c r="X77" s="178"/>
      <c r="Y77" s="246"/>
    </row>
    <row r="78" spans="1:25" ht="13" customHeight="1">
      <c r="A78" s="222" t="s">
        <v>112</v>
      </c>
      <c r="B78" s="247" t="s">
        <v>113</v>
      </c>
      <c r="C78" s="223" t="s">
        <v>35</v>
      </c>
      <c r="D78" s="226"/>
      <c r="E78" s="226">
        <v>500000</v>
      </c>
      <c r="F78" s="242">
        <v>500000</v>
      </c>
      <c r="G78" s="181"/>
      <c r="H78" s="181"/>
      <c r="I78" s="30" t="s">
        <v>114</v>
      </c>
      <c r="J78" s="23">
        <v>9</v>
      </c>
      <c r="K78" s="14">
        <v>48500000</v>
      </c>
      <c r="L78" s="14">
        <f>71733600-18000000</f>
        <v>53733600</v>
      </c>
      <c r="M78" s="14">
        <f>71733600-18000000</f>
        <v>53733600</v>
      </c>
      <c r="N78" s="14">
        <v>0</v>
      </c>
      <c r="O78" s="14">
        <v>0</v>
      </c>
      <c r="P78" s="14">
        <f t="shared" ref="P78:P80" si="34">SUM(M78:O78)</f>
        <v>53733600</v>
      </c>
      <c r="Q78" s="14">
        <v>10833600</v>
      </c>
      <c r="R78" s="45">
        <f t="shared" ref="R78:R90" si="35">Q78/L78</f>
        <v>0.2016168654249855</v>
      </c>
      <c r="S78" s="95"/>
      <c r="T78" s="26">
        <f t="shared" si="13"/>
        <v>42900000</v>
      </c>
      <c r="U78" s="46">
        <f t="shared" si="1"/>
        <v>88.453608247422679</v>
      </c>
      <c r="V78" s="12">
        <f>U78*109000/90</f>
        <v>107127.14776632302</v>
      </c>
      <c r="W78" s="21">
        <f t="shared" ref="W78:W90" si="36">V78*J78</f>
        <v>964144.32989690721</v>
      </c>
      <c r="X78" s="177">
        <f>W92+D78+F78+G78+H78+E78</f>
        <v>21597517.986461245</v>
      </c>
      <c r="Y78" s="246"/>
    </row>
    <row r="79" spans="1:25" ht="13" customHeight="1">
      <c r="A79" s="222"/>
      <c r="B79" s="247"/>
      <c r="C79" s="224"/>
      <c r="D79" s="227"/>
      <c r="E79" s="227"/>
      <c r="F79" s="243"/>
      <c r="G79" s="244"/>
      <c r="H79" s="244"/>
      <c r="I79" s="26" t="s">
        <v>115</v>
      </c>
      <c r="J79" s="26">
        <v>9</v>
      </c>
      <c r="K79" s="14">
        <v>39200000</v>
      </c>
      <c r="L79" s="14">
        <v>43262000</v>
      </c>
      <c r="M79" s="14">
        <v>38882000</v>
      </c>
      <c r="N79" s="14">
        <v>3942000</v>
      </c>
      <c r="O79" s="14">
        <v>0</v>
      </c>
      <c r="P79" s="14">
        <f t="shared" si="34"/>
        <v>42824000</v>
      </c>
      <c r="Q79" s="14">
        <v>7562000</v>
      </c>
      <c r="R79" s="45">
        <f t="shared" si="35"/>
        <v>0.17479543248116131</v>
      </c>
      <c r="S79" s="95"/>
      <c r="T79" s="26">
        <f t="shared" si="13"/>
        <v>35338560.399426751</v>
      </c>
      <c r="U79" s="46">
        <f t="shared" si="1"/>
        <v>90.149388774047836</v>
      </c>
      <c r="V79" s="12">
        <f>U79*110000/90</f>
        <v>110182.58627939181</v>
      </c>
      <c r="W79" s="21">
        <f t="shared" si="36"/>
        <v>991643.27651452622</v>
      </c>
      <c r="X79" s="177"/>
      <c r="Y79" s="246"/>
    </row>
    <row r="80" spans="1:25" ht="13" customHeight="1">
      <c r="A80" s="222"/>
      <c r="B80" s="247"/>
      <c r="C80" s="224"/>
      <c r="D80" s="227"/>
      <c r="E80" s="227"/>
      <c r="F80" s="243"/>
      <c r="G80" s="244"/>
      <c r="H80" s="244"/>
      <c r="I80" s="26" t="s">
        <v>70</v>
      </c>
      <c r="J80" s="26">
        <v>38</v>
      </c>
      <c r="K80" s="14">
        <v>143100000</v>
      </c>
      <c r="L80" s="14">
        <v>173672000</v>
      </c>
      <c r="M80" s="14">
        <v>168405129</v>
      </c>
      <c r="N80" s="14">
        <v>4752000</v>
      </c>
      <c r="O80" s="14">
        <v>0</v>
      </c>
      <c r="P80" s="14">
        <f t="shared" si="34"/>
        <v>173157129</v>
      </c>
      <c r="Q80" s="14">
        <v>36186000</v>
      </c>
      <c r="R80" s="45">
        <f t="shared" si="35"/>
        <v>0.20835828458243125</v>
      </c>
      <c r="S80" s="95"/>
      <c r="T80" s="26">
        <f t="shared" si="13"/>
        <v>137078406.63834125</v>
      </c>
      <c r="U80" s="46">
        <f t="shared" si="1"/>
        <v>95.792038181929598</v>
      </c>
      <c r="V80" s="12">
        <f>U80*120000/95</f>
        <v>121000.46928243739</v>
      </c>
      <c r="W80" s="21">
        <f t="shared" si="36"/>
        <v>4598017.8327326206</v>
      </c>
      <c r="X80" s="177"/>
      <c r="Y80" s="246"/>
    </row>
    <row r="81" spans="1:25" ht="12.5">
      <c r="A81" s="222"/>
      <c r="B81" s="247"/>
      <c r="C81" s="224"/>
      <c r="D81" s="227"/>
      <c r="E81" s="227"/>
      <c r="F81" s="243"/>
      <c r="G81" s="244"/>
      <c r="H81" s="244"/>
      <c r="I81" s="26" t="s">
        <v>117</v>
      </c>
      <c r="J81" s="26">
        <v>24</v>
      </c>
      <c r="K81" s="14">
        <v>79200000</v>
      </c>
      <c r="L81" s="14">
        <f>91564000-200000</f>
        <v>91364000</v>
      </c>
      <c r="M81" s="14">
        <f>84300000-200000</f>
        <v>84100000</v>
      </c>
      <c r="N81" s="14">
        <v>0</v>
      </c>
      <c r="O81" s="14">
        <v>0</v>
      </c>
      <c r="P81" s="14">
        <f t="shared" ref="P81:P90" si="37">SUM(M81:O81)</f>
        <v>84100000</v>
      </c>
      <c r="Q81" s="14">
        <v>16964000</v>
      </c>
      <c r="R81" s="45">
        <f t="shared" si="35"/>
        <v>0.18567488288603826</v>
      </c>
      <c r="S81" s="95">
        <v>2800000</v>
      </c>
      <c r="T81" s="26">
        <f t="shared" si="13"/>
        <v>71284742.349284187</v>
      </c>
      <c r="U81" s="46">
        <f t="shared" si="1"/>
        <v>90.005987814752757</v>
      </c>
      <c r="V81" s="12">
        <f>U81*110000/90</f>
        <v>110007.31844025337</v>
      </c>
      <c r="W81" s="21">
        <f t="shared" si="36"/>
        <v>2640175.6425660807</v>
      </c>
      <c r="X81" s="178"/>
      <c r="Y81" s="246"/>
    </row>
    <row r="82" spans="1:25" ht="12.5">
      <c r="A82" s="222"/>
      <c r="B82" s="247"/>
      <c r="C82" s="224"/>
      <c r="D82" s="227"/>
      <c r="E82" s="227"/>
      <c r="F82" s="243"/>
      <c r="G82" s="244"/>
      <c r="H82" s="244"/>
      <c r="I82" s="14" t="s">
        <v>118</v>
      </c>
      <c r="J82" s="14">
        <v>13</v>
      </c>
      <c r="K82" s="14">
        <v>60800000</v>
      </c>
      <c r="L82" s="14">
        <f>101578000-32000000</f>
        <v>69578000</v>
      </c>
      <c r="M82" s="14">
        <f>101578000-32000000</f>
        <v>69578000</v>
      </c>
      <c r="N82" s="14">
        <v>0</v>
      </c>
      <c r="O82" s="14">
        <v>0</v>
      </c>
      <c r="P82" s="14">
        <f t="shared" si="37"/>
        <v>69578000</v>
      </c>
      <c r="Q82" s="14">
        <v>12478000</v>
      </c>
      <c r="R82" s="45">
        <f t="shared" si="35"/>
        <v>0.17933829658800196</v>
      </c>
      <c r="S82" s="95"/>
      <c r="T82" s="26">
        <f t="shared" si="13"/>
        <v>57100000</v>
      </c>
      <c r="U82" s="46">
        <f t="shared" si="1"/>
        <v>93.914473684210535</v>
      </c>
      <c r="V82" s="12">
        <f>U82*119000/95</f>
        <v>117640.23545706373</v>
      </c>
      <c r="W82" s="21">
        <f t="shared" si="36"/>
        <v>1529323.0609418284</v>
      </c>
      <c r="X82" s="178"/>
      <c r="Y82" s="246"/>
    </row>
    <row r="83" spans="1:25" ht="12.5">
      <c r="A83" s="222"/>
      <c r="B83" s="247"/>
      <c r="C83" s="224"/>
      <c r="D83" s="227"/>
      <c r="E83" s="227"/>
      <c r="F83" s="243"/>
      <c r="G83" s="244"/>
      <c r="H83" s="244"/>
      <c r="I83" s="14" t="s">
        <v>119</v>
      </c>
      <c r="J83" s="14">
        <v>7</v>
      </c>
      <c r="K83" s="14">
        <v>23200000</v>
      </c>
      <c r="L83" s="14">
        <v>27499000</v>
      </c>
      <c r="M83" s="14">
        <v>27499000</v>
      </c>
      <c r="N83" s="14">
        <v>0</v>
      </c>
      <c r="O83" s="14">
        <v>0</v>
      </c>
      <c r="P83" s="14">
        <f t="shared" si="37"/>
        <v>27499000</v>
      </c>
      <c r="Q83" s="14">
        <v>4899000</v>
      </c>
      <c r="R83" s="45">
        <f t="shared" si="35"/>
        <v>0.17815193279755628</v>
      </c>
      <c r="S83" s="95"/>
      <c r="T83" s="26">
        <f t="shared" si="13"/>
        <v>22600000</v>
      </c>
      <c r="U83" s="46">
        <f t="shared" si="1"/>
        <v>97.41379310344827</v>
      </c>
      <c r="V83" s="12">
        <f>U83*130000/100</f>
        <v>126637.93103448275</v>
      </c>
      <c r="W83" s="21">
        <f t="shared" si="36"/>
        <v>886465.51724137925</v>
      </c>
      <c r="X83" s="178"/>
      <c r="Y83" s="246"/>
    </row>
    <row r="84" spans="1:25" ht="14">
      <c r="A84" s="222"/>
      <c r="B84" s="247"/>
      <c r="C84" s="224"/>
      <c r="D84" s="227"/>
      <c r="E84" s="227"/>
      <c r="F84" s="243"/>
      <c r="G84" s="244"/>
      <c r="H84" s="244"/>
      <c r="I84" s="14" t="s">
        <v>120</v>
      </c>
      <c r="J84" s="14">
        <v>18</v>
      </c>
      <c r="K84" s="14">
        <v>61400000</v>
      </c>
      <c r="L84" s="14">
        <v>70613000</v>
      </c>
      <c r="M84" s="14">
        <v>65434000</v>
      </c>
      <c r="N84" s="14">
        <v>0</v>
      </c>
      <c r="O84" s="14">
        <v>0</v>
      </c>
      <c r="P84" s="23">
        <f t="shared" si="37"/>
        <v>65434000</v>
      </c>
      <c r="Q84" s="23">
        <v>14673000</v>
      </c>
      <c r="R84" s="45">
        <f t="shared" si="35"/>
        <v>0.20779459872827949</v>
      </c>
      <c r="S84" s="18"/>
      <c r="T84" s="26">
        <f t="shared" si="13"/>
        <v>51837168.226813763</v>
      </c>
      <c r="U84" s="46">
        <f t="shared" si="1"/>
        <v>84.425355418263464</v>
      </c>
      <c r="V84" s="13">
        <f>U84*94000/85</f>
        <v>93364.510697844307</v>
      </c>
      <c r="W84" s="21">
        <f t="shared" si="36"/>
        <v>1680561.1925611976</v>
      </c>
      <c r="X84" s="178"/>
      <c r="Y84" s="246"/>
    </row>
    <row r="85" spans="1:25" ht="12.5">
      <c r="A85" s="222"/>
      <c r="B85" s="247"/>
      <c r="C85" s="224"/>
      <c r="D85" s="227"/>
      <c r="E85" s="227"/>
      <c r="F85" s="243"/>
      <c r="G85" s="244"/>
      <c r="H85" s="244"/>
      <c r="I85" s="23" t="s">
        <v>121</v>
      </c>
      <c r="J85" s="23">
        <v>9</v>
      </c>
      <c r="K85" s="23">
        <v>39000000</v>
      </c>
      <c r="L85" s="23">
        <v>45436000</v>
      </c>
      <c r="M85" s="23">
        <v>45436000</v>
      </c>
      <c r="N85" s="23">
        <v>0</v>
      </c>
      <c r="O85" s="44">
        <v>0</v>
      </c>
      <c r="P85" s="26">
        <f t="shared" si="37"/>
        <v>45436000</v>
      </c>
      <c r="Q85" s="26">
        <v>7836000</v>
      </c>
      <c r="R85" s="33">
        <f t="shared" si="35"/>
        <v>0.17246236464477507</v>
      </c>
      <c r="S85" s="96"/>
      <c r="T85" s="26">
        <f t="shared" si="13"/>
        <v>37600000</v>
      </c>
      <c r="U85" s="46">
        <f t="shared" si="1"/>
        <v>96.410256410256409</v>
      </c>
      <c r="V85" s="16">
        <f>U85*120000/95</f>
        <v>121781.37651821863</v>
      </c>
      <c r="W85" s="21">
        <f t="shared" si="36"/>
        <v>1096032.3886639676</v>
      </c>
      <c r="X85" s="178"/>
      <c r="Y85" s="246"/>
    </row>
    <row r="86" spans="1:25" ht="12.5">
      <c r="A86" s="222"/>
      <c r="B86" s="247"/>
      <c r="C86" s="224"/>
      <c r="D86" s="227"/>
      <c r="E86" s="227"/>
      <c r="F86" s="243"/>
      <c r="G86" s="244"/>
      <c r="H86" s="244"/>
      <c r="I86" s="26" t="s">
        <v>122</v>
      </c>
      <c r="J86" s="26">
        <v>15</v>
      </c>
      <c r="K86" s="26">
        <v>56900000</v>
      </c>
      <c r="L86" s="26">
        <v>67374000</v>
      </c>
      <c r="M86" s="26">
        <v>67373000</v>
      </c>
      <c r="N86" s="26">
        <v>0</v>
      </c>
      <c r="O86" s="44">
        <v>0</v>
      </c>
      <c r="P86" s="26">
        <f t="shared" si="37"/>
        <v>67373000</v>
      </c>
      <c r="Q86" s="26">
        <v>13574000</v>
      </c>
      <c r="R86" s="33">
        <f t="shared" si="35"/>
        <v>0.2014723780686912</v>
      </c>
      <c r="S86" s="97"/>
      <c r="T86" s="26">
        <f t="shared" si="13"/>
        <v>53799201.472378068</v>
      </c>
      <c r="U86" s="46">
        <f t="shared" si="1"/>
        <v>94.550441954970239</v>
      </c>
      <c r="V86" s="16">
        <f>U86*119000/95</f>
        <v>118436.86939622587</v>
      </c>
      <c r="W86" s="15">
        <f t="shared" si="36"/>
        <v>1776553.0409433881</v>
      </c>
      <c r="X86" s="178"/>
      <c r="Y86" s="246"/>
    </row>
    <row r="87" spans="1:25" s="37" customFormat="1" ht="12.5">
      <c r="A87" s="222"/>
      <c r="B87" s="247"/>
      <c r="C87" s="224"/>
      <c r="D87" s="227"/>
      <c r="E87" s="227"/>
      <c r="F87" s="243"/>
      <c r="G87" s="244"/>
      <c r="H87" s="244"/>
      <c r="I87" s="26" t="s">
        <v>123</v>
      </c>
      <c r="J87" s="26">
        <v>7</v>
      </c>
      <c r="K87" s="26">
        <v>19000000</v>
      </c>
      <c r="L87" s="30">
        <v>22666000</v>
      </c>
      <c r="M87" s="30">
        <v>22666667</v>
      </c>
      <c r="N87" s="30">
        <v>0</v>
      </c>
      <c r="O87" s="32">
        <v>0</v>
      </c>
      <c r="P87" s="30">
        <f t="shared" si="37"/>
        <v>22666667</v>
      </c>
      <c r="Q87" s="30">
        <v>3866000</v>
      </c>
      <c r="R87" s="33">
        <f t="shared" si="35"/>
        <v>0.17056384011294451</v>
      </c>
      <c r="S87" s="98"/>
      <c r="T87" s="30">
        <f t="shared" si="13"/>
        <v>18800553.233918644</v>
      </c>
      <c r="U87" s="34">
        <f t="shared" si="1"/>
        <v>98.950280178519179</v>
      </c>
      <c r="V87" s="16">
        <f>U87*130000/100</f>
        <v>128635.36423207493</v>
      </c>
      <c r="W87" s="16">
        <f t="shared" si="36"/>
        <v>900447.54962452454</v>
      </c>
      <c r="X87" s="263"/>
      <c r="Y87" s="246"/>
    </row>
    <row r="88" spans="1:25" s="37" customFormat="1" ht="15.5">
      <c r="A88" s="222"/>
      <c r="B88" s="247"/>
      <c r="C88" s="224"/>
      <c r="D88" s="227"/>
      <c r="E88" s="227"/>
      <c r="F88" s="243"/>
      <c r="G88" s="244"/>
      <c r="H88" s="244"/>
      <c r="I88" s="23" t="s">
        <v>124</v>
      </c>
      <c r="J88" s="23">
        <v>9</v>
      </c>
      <c r="K88" s="32">
        <v>40500000</v>
      </c>
      <c r="L88" s="26">
        <v>44282900</v>
      </c>
      <c r="M88" s="26">
        <v>39792000</v>
      </c>
      <c r="N88" s="26">
        <v>0</v>
      </c>
      <c r="O88" s="26">
        <v>0</v>
      </c>
      <c r="P88" s="30">
        <f t="shared" si="37"/>
        <v>39792000</v>
      </c>
      <c r="Q88" s="26">
        <v>8282900</v>
      </c>
      <c r="R88" s="33">
        <f t="shared" si="35"/>
        <v>0.18704511222164763</v>
      </c>
      <c r="S88" s="99"/>
      <c r="T88" s="30">
        <f t="shared" si="13"/>
        <v>32349100.894476198</v>
      </c>
      <c r="U88" s="34">
        <f t="shared" si="1"/>
        <v>79.874323196237526</v>
      </c>
      <c r="V88" s="63">
        <f>U88*84000/80</f>
        <v>83868.039356049412</v>
      </c>
      <c r="W88" s="16">
        <f t="shared" si="36"/>
        <v>754812.35420444468</v>
      </c>
      <c r="X88" s="263"/>
      <c r="Y88" s="246"/>
    </row>
    <row r="89" spans="1:25" ht="12.5">
      <c r="A89" s="222"/>
      <c r="B89" s="247"/>
      <c r="C89" s="224"/>
      <c r="D89" s="227"/>
      <c r="E89" s="227"/>
      <c r="F89" s="243"/>
      <c r="G89" s="244"/>
      <c r="H89" s="244"/>
      <c r="I89" s="26" t="s">
        <v>125</v>
      </c>
      <c r="J89" s="37">
        <v>8</v>
      </c>
      <c r="K89" s="26">
        <v>20800000</v>
      </c>
      <c r="L89" s="26">
        <v>24745333.333333332</v>
      </c>
      <c r="M89" s="26">
        <v>22058000</v>
      </c>
      <c r="N89" s="26">
        <v>0</v>
      </c>
      <c r="O89" s="26">
        <v>0</v>
      </c>
      <c r="P89" s="26">
        <f t="shared" si="37"/>
        <v>22058000</v>
      </c>
      <c r="Q89" s="26">
        <v>4545333.333333333</v>
      </c>
      <c r="R89" s="33">
        <f t="shared" si="35"/>
        <v>0.18368446575785333</v>
      </c>
      <c r="S89" s="97"/>
      <c r="T89" s="30">
        <f t="shared" si="13"/>
        <v>18006288.054313272</v>
      </c>
      <c r="U89" s="34">
        <f t="shared" si="1"/>
        <v>86.568692568813816</v>
      </c>
      <c r="V89" s="63">
        <f>U89*100000/85</f>
        <v>101845.52066919273</v>
      </c>
      <c r="W89" s="16">
        <f t="shared" si="36"/>
        <v>814764.16535354184</v>
      </c>
      <c r="X89" s="263"/>
      <c r="Y89" s="246"/>
    </row>
    <row r="90" spans="1:25" ht="12.5">
      <c r="A90" s="222"/>
      <c r="B90" s="247"/>
      <c r="C90" s="224"/>
      <c r="D90" s="227"/>
      <c r="E90" s="227"/>
      <c r="F90" s="243"/>
      <c r="G90" s="244"/>
      <c r="H90" s="244"/>
      <c r="I90" s="66" t="s">
        <v>126</v>
      </c>
      <c r="J90" s="100">
        <v>15</v>
      </c>
      <c r="K90" s="26">
        <v>67300000</v>
      </c>
      <c r="L90" s="66">
        <v>87054000</v>
      </c>
      <c r="M90" s="66">
        <v>87058000</v>
      </c>
      <c r="N90" s="66">
        <v>0</v>
      </c>
      <c r="O90" s="66">
        <v>0</v>
      </c>
      <c r="P90" s="26">
        <f t="shared" si="37"/>
        <v>87058000</v>
      </c>
      <c r="Q90" s="66">
        <v>19254000</v>
      </c>
      <c r="R90" s="45">
        <f t="shared" si="35"/>
        <v>0.22117306499414158</v>
      </c>
      <c r="S90" s="97"/>
      <c r="T90" s="26">
        <f t="shared" si="13"/>
        <v>67803115.307740018</v>
      </c>
      <c r="U90" s="46">
        <f t="shared" si="1"/>
        <v>100.7475710367608</v>
      </c>
      <c r="V90" s="16">
        <f>U90*130000/100</f>
        <v>130971.84234778905</v>
      </c>
      <c r="W90" s="16">
        <f t="shared" si="36"/>
        <v>1964577.6352168357</v>
      </c>
      <c r="X90" s="263"/>
      <c r="Y90" s="246"/>
    </row>
    <row r="91" spans="1:25" ht="12.5">
      <c r="A91" s="222"/>
      <c r="B91" s="247"/>
      <c r="C91" s="224"/>
      <c r="D91" s="227"/>
      <c r="E91" s="227"/>
      <c r="F91" s="243"/>
      <c r="G91" s="244"/>
      <c r="H91" s="244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263"/>
      <c r="Y91" s="246"/>
    </row>
    <row r="92" spans="1:25" ht="13">
      <c r="A92" s="179"/>
      <c r="B92" s="180"/>
      <c r="C92" s="258"/>
      <c r="D92" s="227"/>
      <c r="E92" s="262"/>
      <c r="F92" s="243"/>
      <c r="G92" s="244"/>
      <c r="H92" s="244"/>
      <c r="I92" s="59"/>
      <c r="J92" s="52">
        <f>SUM(J78:J91)</f>
        <v>181</v>
      </c>
      <c r="K92" s="52">
        <f>SUM(K78:K91)</f>
        <v>698900000</v>
      </c>
      <c r="L92" s="52">
        <f t="shared" ref="L92" si="38">SUM(L78:L91)</f>
        <v>821279833.33333337</v>
      </c>
      <c r="M92" s="52">
        <f>SUM(M78:M91)</f>
        <v>792015396</v>
      </c>
      <c r="N92" s="52">
        <f>SUM(N78:N91)</f>
        <v>8694000</v>
      </c>
      <c r="O92" s="52">
        <f>SUM(O78:O91)</f>
        <v>0</v>
      </c>
      <c r="P92" s="52">
        <f>SUM(P78:P91)</f>
        <v>800709396</v>
      </c>
      <c r="Q92" s="52">
        <f>SUM(Q78:Q91)</f>
        <v>160953833.33333334</v>
      </c>
      <c r="R92" s="61"/>
      <c r="S92" s="52">
        <f>SUM(S78:S90)</f>
        <v>2800000</v>
      </c>
      <c r="T92" s="52">
        <f>SUM(T78:T91)</f>
        <v>646497136.57669222</v>
      </c>
      <c r="U92" s="55">
        <f>(T92/K92)*100</f>
        <v>92.50209423046104</v>
      </c>
      <c r="V92" s="74"/>
      <c r="W92" s="52">
        <f>SUM(W78:W90)</f>
        <v>20597517.986461245</v>
      </c>
      <c r="X92" s="263"/>
      <c r="Y92" s="246"/>
    </row>
    <row r="93" spans="1:25" ht="12.5">
      <c r="A93" s="251" t="s">
        <v>127</v>
      </c>
      <c r="B93" s="266" t="s">
        <v>128</v>
      </c>
      <c r="C93" s="263" t="s">
        <v>35</v>
      </c>
      <c r="D93" s="181"/>
      <c r="E93" s="181">
        <v>500000</v>
      </c>
      <c r="F93" s="181">
        <v>500000</v>
      </c>
      <c r="G93" s="181"/>
      <c r="H93" s="181"/>
      <c r="I93" s="26" t="s">
        <v>130</v>
      </c>
      <c r="J93" s="26">
        <v>8</v>
      </c>
      <c r="K93" s="26">
        <v>31100000</v>
      </c>
      <c r="L93" s="56">
        <v>26804000</v>
      </c>
      <c r="M93" s="56">
        <v>26644000</v>
      </c>
      <c r="N93" s="56">
        <v>0</v>
      </c>
      <c r="O93" s="56">
        <v>0</v>
      </c>
      <c r="P93" s="14">
        <f>SUM(M93:O93)</f>
        <v>26644000</v>
      </c>
      <c r="Q93" s="56">
        <v>5204000</v>
      </c>
      <c r="R93" s="45">
        <f t="shared" ref="R93:R104" si="39">Q93/L93</f>
        <v>0.1941501268467393</v>
      </c>
      <c r="S93" s="56"/>
      <c r="T93" s="26">
        <f>P93-(P93*R93)+S93</f>
        <v>21471064.020295478</v>
      </c>
      <c r="U93" s="46">
        <f>(T93/K93)*100</f>
        <v>69.03879106204333</v>
      </c>
      <c r="V93" s="12"/>
      <c r="W93" s="21">
        <f>(120000*J93)*10%</f>
        <v>96000</v>
      </c>
      <c r="X93" s="181">
        <f>W106+D93+G93+F93+H93+E93</f>
        <v>16784019.377149604</v>
      </c>
      <c r="Y93" s="101"/>
    </row>
    <row r="94" spans="1:25" ht="12.5">
      <c r="A94" s="251"/>
      <c r="B94" s="266"/>
      <c r="C94" s="182"/>
      <c r="D94" s="244"/>
      <c r="E94" s="244"/>
      <c r="F94" s="244"/>
      <c r="G94" s="244"/>
      <c r="H94" s="244"/>
      <c r="I94" s="26" t="s">
        <v>38</v>
      </c>
      <c r="J94" s="26">
        <v>6</v>
      </c>
      <c r="K94" s="26">
        <v>26100000</v>
      </c>
      <c r="L94" s="56">
        <v>28461529</v>
      </c>
      <c r="M94" s="56">
        <v>27145400</v>
      </c>
      <c r="N94" s="56">
        <v>0</v>
      </c>
      <c r="O94" s="56">
        <v>0</v>
      </c>
      <c r="P94" s="14">
        <f t="shared" ref="P94:P95" si="40">SUM(M94:O94)</f>
        <v>27145400</v>
      </c>
      <c r="Q94" s="56">
        <v>3905400</v>
      </c>
      <c r="R94" s="45">
        <f t="shared" si="39"/>
        <v>0.13721680237207215</v>
      </c>
      <c r="S94" s="56"/>
      <c r="T94" s="26">
        <f t="shared" ref="T94:T95" si="41">P94-(P94*R94)+S94</f>
        <v>23420595.012889154</v>
      </c>
      <c r="U94" s="46">
        <f t="shared" ref="U94:U95" si="42">(T94/K94)*100</f>
        <v>89.734080509153841</v>
      </c>
      <c r="V94" s="12">
        <f>U94*99000/90</f>
        <v>98707.488560069221</v>
      </c>
      <c r="W94" s="21">
        <f t="shared" ref="W94:W95" si="43">V94*J94</f>
        <v>592244.9313604153</v>
      </c>
      <c r="X94" s="244"/>
      <c r="Y94" s="101"/>
    </row>
    <row r="95" spans="1:25" ht="12.5">
      <c r="A95" s="251"/>
      <c r="B95" s="266"/>
      <c r="C95" s="182"/>
      <c r="D95" s="244"/>
      <c r="E95" s="244"/>
      <c r="F95" s="244"/>
      <c r="G95" s="244"/>
      <c r="H95" s="244"/>
      <c r="I95" s="26" t="s">
        <v>39</v>
      </c>
      <c r="J95" s="26">
        <v>13</v>
      </c>
      <c r="K95" s="26">
        <v>48000000</v>
      </c>
      <c r="L95" s="56">
        <v>54504000</v>
      </c>
      <c r="M95" s="56">
        <v>54502000</v>
      </c>
      <c r="N95" s="56">
        <v>0</v>
      </c>
      <c r="O95" s="56">
        <v>0</v>
      </c>
      <c r="P95" s="14">
        <f t="shared" si="40"/>
        <v>54502000</v>
      </c>
      <c r="Q95" s="56">
        <v>8104000</v>
      </c>
      <c r="R95" s="45">
        <f t="shared" si="39"/>
        <v>0.14868633494789374</v>
      </c>
      <c r="S95" s="56"/>
      <c r="T95" s="26">
        <f t="shared" si="41"/>
        <v>46398297.372669898</v>
      </c>
      <c r="U95" s="46">
        <f t="shared" si="42"/>
        <v>96.663119526395619</v>
      </c>
      <c r="V95" s="12">
        <f t="shared" ref="V95" si="44">U95*110000/95</f>
        <v>111925.71734635283</v>
      </c>
      <c r="W95" s="21">
        <f t="shared" si="43"/>
        <v>1455034.3255025868</v>
      </c>
      <c r="X95" s="244"/>
      <c r="Y95" s="101"/>
    </row>
    <row r="96" spans="1:25" ht="12.5">
      <c r="A96" s="251"/>
      <c r="B96" s="266"/>
      <c r="C96" s="182"/>
      <c r="D96" s="244"/>
      <c r="E96" s="244"/>
      <c r="F96" s="244"/>
      <c r="G96" s="244"/>
      <c r="H96" s="244"/>
      <c r="I96" s="26" t="s">
        <v>131</v>
      </c>
      <c r="J96" s="26">
        <v>6</v>
      </c>
      <c r="K96" s="26">
        <v>37500000</v>
      </c>
      <c r="L96" s="56">
        <v>42993000</v>
      </c>
      <c r="M96" s="56">
        <v>42993000</v>
      </c>
      <c r="N96" s="56">
        <v>0</v>
      </c>
      <c r="O96" s="56">
        <v>0</v>
      </c>
      <c r="P96" s="14">
        <f>SUM(M96:O96)</f>
        <v>42993000</v>
      </c>
      <c r="Q96" s="56">
        <v>7293000</v>
      </c>
      <c r="R96" s="45">
        <f t="shared" si="39"/>
        <v>0.16963226571767498</v>
      </c>
      <c r="S96" s="56"/>
      <c r="T96" s="26">
        <f t="shared" ref="T96:T104" si="45">P96-(P96*R96)+S96</f>
        <v>35700000</v>
      </c>
      <c r="U96" s="46">
        <f>(T96/K96)*100</f>
        <v>95.199999999999989</v>
      </c>
      <c r="V96" s="12">
        <f>U96*110000/95</f>
        <v>110231.5789473684</v>
      </c>
      <c r="W96" s="21">
        <f t="shared" ref="W96:W104" si="46">V96*J96</f>
        <v>661389.47368421033</v>
      </c>
      <c r="X96" s="244"/>
      <c r="Y96" s="101"/>
    </row>
    <row r="97" spans="1:25" ht="12.5">
      <c r="A97" s="251"/>
      <c r="B97" s="266"/>
      <c r="C97" s="182"/>
      <c r="D97" s="244"/>
      <c r="E97" s="244"/>
      <c r="F97" s="244"/>
      <c r="G97" s="244"/>
      <c r="H97" s="244"/>
      <c r="I97" s="30" t="s">
        <v>132</v>
      </c>
      <c r="J97" s="30">
        <v>17</v>
      </c>
      <c r="K97" s="32">
        <v>55200000</v>
      </c>
      <c r="L97" s="56">
        <v>68082000</v>
      </c>
      <c r="M97" s="56">
        <v>57810000</v>
      </c>
      <c r="N97" s="56">
        <v>2836800</v>
      </c>
      <c r="O97" s="56">
        <v>700000</v>
      </c>
      <c r="P97" s="14">
        <f>SUM(M97:O97)</f>
        <v>61346800</v>
      </c>
      <c r="Q97" s="56">
        <v>13282000</v>
      </c>
      <c r="R97" s="45">
        <f t="shared" si="39"/>
        <v>0.19508827590258807</v>
      </c>
      <c r="S97" s="56"/>
      <c r="T97" s="26">
        <f t="shared" si="45"/>
        <v>49378758.555859111</v>
      </c>
      <c r="U97" s="46">
        <f>(T97/K97)*100</f>
        <v>89.454272746121575</v>
      </c>
      <c r="V97" s="12">
        <f>U97*99000/90</f>
        <v>98399.700020733726</v>
      </c>
      <c r="W97" s="21">
        <f>V97*J97</f>
        <v>1672794.9003524734</v>
      </c>
      <c r="X97" s="244"/>
      <c r="Y97" s="101"/>
    </row>
    <row r="98" spans="1:25" ht="12.5">
      <c r="A98" s="251"/>
      <c r="B98" s="266"/>
      <c r="C98" s="182"/>
      <c r="D98" s="244"/>
      <c r="E98" s="244"/>
      <c r="F98" s="244"/>
      <c r="G98" s="244"/>
      <c r="H98" s="244"/>
      <c r="I98" s="26" t="s">
        <v>40</v>
      </c>
      <c r="J98" s="26">
        <v>10</v>
      </c>
      <c r="K98" s="26">
        <v>40000000</v>
      </c>
      <c r="L98" s="56">
        <v>49536000</v>
      </c>
      <c r="M98" s="56">
        <v>46713000</v>
      </c>
      <c r="N98" s="56">
        <v>2540700</v>
      </c>
      <c r="O98" s="56">
        <v>0</v>
      </c>
      <c r="P98" s="14">
        <f t="shared" ref="P98:P99" si="47">SUM(M98:O98)</f>
        <v>49253700</v>
      </c>
      <c r="Q98" s="56">
        <v>9936000</v>
      </c>
      <c r="R98" s="45">
        <f t="shared" si="39"/>
        <v>0.2005813953488372</v>
      </c>
      <c r="S98" s="56"/>
      <c r="T98" s="26">
        <f t="shared" si="45"/>
        <v>39374324.127906978</v>
      </c>
      <c r="U98" s="46">
        <f t="shared" ref="U98:U100" si="48">(T98/K98)*100</f>
        <v>98.435810319767441</v>
      </c>
      <c r="V98" s="12">
        <f>U98*120000/100</f>
        <v>118122.97238372093</v>
      </c>
      <c r="W98" s="21">
        <f t="shared" ref="W98:W99" si="49">V98*J98</f>
        <v>1181229.7238372094</v>
      </c>
      <c r="X98" s="244"/>
      <c r="Y98" s="101"/>
    </row>
    <row r="99" spans="1:25" ht="12.5">
      <c r="A99" s="251"/>
      <c r="B99" s="266"/>
      <c r="C99" s="182"/>
      <c r="D99" s="244"/>
      <c r="E99" s="244"/>
      <c r="F99" s="244"/>
      <c r="G99" s="244"/>
      <c r="H99" s="244"/>
      <c r="I99" s="26" t="s">
        <v>71</v>
      </c>
      <c r="J99" s="26">
        <v>12</v>
      </c>
      <c r="K99" s="26">
        <v>57600000</v>
      </c>
      <c r="L99" s="56">
        <f>78824000-11000000</f>
        <v>67824000</v>
      </c>
      <c r="M99" s="56">
        <v>51830000</v>
      </c>
      <c r="N99" s="56">
        <v>0</v>
      </c>
      <c r="O99" s="56">
        <v>0</v>
      </c>
      <c r="P99" s="14">
        <f t="shared" si="47"/>
        <v>51830000</v>
      </c>
      <c r="Q99" s="56">
        <v>13324000</v>
      </c>
      <c r="R99" s="45">
        <f t="shared" si="39"/>
        <v>0.19644963434772353</v>
      </c>
      <c r="S99" s="56"/>
      <c r="T99" s="26">
        <f t="shared" si="45"/>
        <v>41648015.451757491</v>
      </c>
      <c r="U99" s="46">
        <f t="shared" si="48"/>
        <v>72.305582381523422</v>
      </c>
      <c r="V99" s="12">
        <f>U99*69000/75</f>
        <v>66521.13579100155</v>
      </c>
      <c r="W99" s="21">
        <f t="shared" si="49"/>
        <v>798253.6294920186</v>
      </c>
      <c r="X99" s="244"/>
      <c r="Y99" s="101"/>
    </row>
    <row r="100" spans="1:25" ht="12.5">
      <c r="A100" s="251"/>
      <c r="B100" s="266"/>
      <c r="C100" s="182"/>
      <c r="D100" s="244"/>
      <c r="E100" s="244"/>
      <c r="F100" s="244"/>
      <c r="G100" s="244"/>
      <c r="H100" s="244"/>
      <c r="I100" s="26" t="s">
        <v>133</v>
      </c>
      <c r="J100" s="83">
        <v>18</v>
      </c>
      <c r="K100" s="56">
        <v>64200000</v>
      </c>
      <c r="L100" s="56">
        <v>75106800</v>
      </c>
      <c r="M100" s="56">
        <v>67416800</v>
      </c>
      <c r="N100" s="56">
        <v>3663000</v>
      </c>
      <c r="O100" s="56">
        <v>0</v>
      </c>
      <c r="P100" s="14">
        <f>SUM(M100:O100)</f>
        <v>71079800</v>
      </c>
      <c r="Q100" s="56">
        <v>14138800</v>
      </c>
      <c r="R100" s="45">
        <f t="shared" si="39"/>
        <v>0.18824926637801104</v>
      </c>
      <c r="S100" s="56"/>
      <c r="T100" s="26">
        <f t="shared" si="45"/>
        <v>57699079.795704253</v>
      </c>
      <c r="U100" s="46">
        <f t="shared" si="48"/>
        <v>89.873956068075159</v>
      </c>
      <c r="V100" s="12">
        <f>U100*99000/90</f>
        <v>98861.351674882681</v>
      </c>
      <c r="W100" s="21">
        <f t="shared" si="46"/>
        <v>1779504.3301478883</v>
      </c>
      <c r="X100" s="244"/>
      <c r="Y100" s="101"/>
    </row>
    <row r="101" spans="1:25" ht="12.5">
      <c r="A101" s="251"/>
      <c r="B101" s="266"/>
      <c r="C101" s="182"/>
      <c r="D101" s="244"/>
      <c r="E101" s="244"/>
      <c r="F101" s="244"/>
      <c r="G101" s="244"/>
      <c r="H101" s="244"/>
      <c r="I101" s="26" t="s">
        <v>134</v>
      </c>
      <c r="J101" s="83">
        <v>10</v>
      </c>
      <c r="K101" s="56">
        <v>35200000</v>
      </c>
      <c r="L101" s="56">
        <v>41799000</v>
      </c>
      <c r="M101" s="102">
        <v>37483000</v>
      </c>
      <c r="N101" s="56">
        <v>3870000</v>
      </c>
      <c r="O101" s="56">
        <v>0</v>
      </c>
      <c r="P101" s="14">
        <f t="shared" ref="P101:P104" si="50">SUM(M101:O101)</f>
        <v>41353000</v>
      </c>
      <c r="Q101" s="56">
        <v>6699000</v>
      </c>
      <c r="R101" s="45">
        <f t="shared" si="39"/>
        <v>0.16026699203330222</v>
      </c>
      <c r="S101" s="56"/>
      <c r="T101" s="26">
        <f t="shared" si="45"/>
        <v>34725479.07844685</v>
      </c>
      <c r="U101" s="46">
        <f>(T101/K101)*100</f>
        <v>98.651929200133097</v>
      </c>
      <c r="V101" s="12">
        <f>U101*120000/100</f>
        <v>118382.31504015971</v>
      </c>
      <c r="W101" s="21">
        <f t="shared" si="46"/>
        <v>1183823.1504015971</v>
      </c>
      <c r="X101" s="244"/>
      <c r="Y101" s="101"/>
    </row>
    <row r="102" spans="1:25" ht="13">
      <c r="A102" s="251"/>
      <c r="B102" s="266"/>
      <c r="C102" s="182"/>
      <c r="D102" s="244"/>
      <c r="E102" s="244"/>
      <c r="F102" s="244"/>
      <c r="G102" s="244"/>
      <c r="H102" s="244"/>
      <c r="I102" s="26" t="s">
        <v>135</v>
      </c>
      <c r="J102" s="56">
        <v>26</v>
      </c>
      <c r="K102" s="56">
        <v>140500000</v>
      </c>
      <c r="L102" s="56">
        <f>173074000-10800000</f>
        <v>162274000</v>
      </c>
      <c r="M102" s="56">
        <f>164359000-10800000</f>
        <v>153559000</v>
      </c>
      <c r="N102" s="56">
        <v>0</v>
      </c>
      <c r="O102" s="56">
        <v>0</v>
      </c>
      <c r="P102" s="14">
        <f t="shared" si="50"/>
        <v>153559000</v>
      </c>
      <c r="Q102" s="56">
        <v>24624000</v>
      </c>
      <c r="R102" s="45">
        <f t="shared" si="39"/>
        <v>0.15174334767122274</v>
      </c>
      <c r="S102" s="72"/>
      <c r="T102" s="26">
        <f t="shared" si="45"/>
        <v>130257443.27495471</v>
      </c>
      <c r="U102" s="46">
        <f>(T102/K102)*100</f>
        <v>92.709924039113673</v>
      </c>
      <c r="V102" s="12">
        <f>U102*109000/95</f>
        <v>106372.43916066726</v>
      </c>
      <c r="W102" s="21">
        <f t="shared" si="46"/>
        <v>2765683.4181773486</v>
      </c>
      <c r="X102" s="244"/>
      <c r="Y102" s="101"/>
    </row>
    <row r="103" spans="1:25" ht="13">
      <c r="A103" s="251"/>
      <c r="B103" s="266"/>
      <c r="C103" s="182"/>
      <c r="D103" s="244"/>
      <c r="E103" s="244"/>
      <c r="F103" s="244"/>
      <c r="G103" s="244"/>
      <c r="H103" s="244"/>
      <c r="I103" s="26" t="s">
        <v>136</v>
      </c>
      <c r="J103" s="56">
        <v>18</v>
      </c>
      <c r="K103" s="56">
        <v>74900000</v>
      </c>
      <c r="L103" s="56">
        <v>91446000</v>
      </c>
      <c r="M103" s="56">
        <v>82508999</v>
      </c>
      <c r="N103" s="56">
        <v>0</v>
      </c>
      <c r="O103" s="56">
        <v>3141600</v>
      </c>
      <c r="P103" s="14">
        <f t="shared" si="50"/>
        <v>85650599</v>
      </c>
      <c r="Q103" s="72">
        <v>16146000</v>
      </c>
      <c r="R103" s="45">
        <f t="shared" si="39"/>
        <v>0.17656321763663801</v>
      </c>
      <c r="S103" s="72"/>
      <c r="T103" s="26">
        <f t="shared" si="45"/>
        <v>70527853.648054585</v>
      </c>
      <c r="U103" s="46">
        <f>(T103/K103)*100</f>
        <v>94.162688448671005</v>
      </c>
      <c r="V103" s="12">
        <f>U103*109000/95</f>
        <v>108039.29516742253</v>
      </c>
      <c r="W103" s="21">
        <f t="shared" si="46"/>
        <v>1944707.3130136055</v>
      </c>
      <c r="X103" s="244"/>
      <c r="Y103" s="101"/>
    </row>
    <row r="104" spans="1:25" ht="13">
      <c r="A104" s="251"/>
      <c r="B104" s="266"/>
      <c r="C104" s="182"/>
      <c r="D104" s="244"/>
      <c r="E104" s="244"/>
      <c r="F104" s="244"/>
      <c r="G104" s="244"/>
      <c r="H104" s="244"/>
      <c r="I104" s="30" t="s">
        <v>137</v>
      </c>
      <c r="J104" s="77">
        <v>27</v>
      </c>
      <c r="K104" s="77">
        <v>121000000</v>
      </c>
      <c r="L104" s="77">
        <v>118239000</v>
      </c>
      <c r="M104" s="77">
        <v>88212600</v>
      </c>
      <c r="N104" s="77">
        <v>6908400</v>
      </c>
      <c r="O104" s="77">
        <v>4010999.9999999995</v>
      </c>
      <c r="P104" s="23">
        <f t="shared" si="50"/>
        <v>99132000</v>
      </c>
      <c r="Q104" s="115">
        <v>20501000</v>
      </c>
      <c r="R104" s="33">
        <f t="shared" si="39"/>
        <v>0.1733861077986113</v>
      </c>
      <c r="S104" s="115">
        <v>4500000</v>
      </c>
      <c r="T104" s="30">
        <f t="shared" si="45"/>
        <v>86443888.36170806</v>
      </c>
      <c r="U104" s="34">
        <f>(T104/K104)*100</f>
        <v>71.441230050998399</v>
      </c>
      <c r="V104" s="13">
        <f>U104*60000/70</f>
        <v>61235.340043712909</v>
      </c>
      <c r="W104" s="15">
        <f t="shared" si="46"/>
        <v>1653354.1811802485</v>
      </c>
      <c r="X104" s="244"/>
      <c r="Y104" s="101"/>
    </row>
    <row r="105" spans="1:25" ht="12.5">
      <c r="A105" s="251"/>
      <c r="B105" s="266"/>
      <c r="C105" s="260"/>
      <c r="D105" s="244"/>
      <c r="E105" s="244"/>
      <c r="F105" s="244"/>
      <c r="G105" s="244"/>
      <c r="H105" s="244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16"/>
      <c r="Y105" s="101"/>
    </row>
    <row r="106" spans="1:25" ht="13">
      <c r="A106" s="179"/>
      <c r="B106" s="180"/>
      <c r="C106" s="261"/>
      <c r="D106" s="245"/>
      <c r="E106" s="245"/>
      <c r="F106" s="245"/>
      <c r="G106" s="245"/>
      <c r="H106" s="245"/>
      <c r="I106" s="59"/>
      <c r="J106" s="52">
        <f t="shared" ref="J106:Q106" si="51">SUM(J93:J104)</f>
        <v>171</v>
      </c>
      <c r="K106" s="52">
        <f t="shared" si="51"/>
        <v>731300000</v>
      </c>
      <c r="L106" s="52">
        <f t="shared" si="51"/>
        <v>827069329</v>
      </c>
      <c r="M106" s="52">
        <f t="shared" si="51"/>
        <v>736817799</v>
      </c>
      <c r="N106" s="52">
        <f t="shared" si="51"/>
        <v>19818900</v>
      </c>
      <c r="O106" s="52">
        <f t="shared" si="51"/>
        <v>7852600</v>
      </c>
      <c r="P106" s="52">
        <f t="shared" si="51"/>
        <v>764489299</v>
      </c>
      <c r="Q106" s="52">
        <f t="shared" si="51"/>
        <v>143157200</v>
      </c>
      <c r="R106" s="61"/>
      <c r="S106" s="52">
        <f>SUM(S93:S104)</f>
        <v>4500000</v>
      </c>
      <c r="T106" s="52">
        <f>SUM(T93:T104)</f>
        <v>637044798.70024657</v>
      </c>
      <c r="U106" s="55">
        <f>(T106/K106)*100</f>
        <v>87.111281102180584</v>
      </c>
      <c r="V106" s="74"/>
      <c r="W106" s="52">
        <f>SUM(W93:W104)</f>
        <v>15784019.377149602</v>
      </c>
      <c r="X106" s="24"/>
      <c r="Y106" s="101"/>
    </row>
    <row r="107" spans="1:25" ht="13" customHeight="1">
      <c r="A107" s="222" t="s">
        <v>138</v>
      </c>
      <c r="B107" s="247" t="s">
        <v>139</v>
      </c>
      <c r="C107" s="223" t="s">
        <v>35</v>
      </c>
      <c r="D107" s="226"/>
      <c r="E107" s="227">
        <v>500000</v>
      </c>
      <c r="F107" s="243">
        <v>500000</v>
      </c>
      <c r="G107" s="181"/>
      <c r="H107" s="181"/>
      <c r="I107" s="26" t="s">
        <v>140</v>
      </c>
      <c r="J107" s="26">
        <v>9</v>
      </c>
      <c r="K107" s="26">
        <v>29000000</v>
      </c>
      <c r="L107" s="103">
        <v>33148000</v>
      </c>
      <c r="M107" s="103">
        <v>32722000</v>
      </c>
      <c r="N107" s="103">
        <v>383400</v>
      </c>
      <c r="O107" s="103">
        <v>0</v>
      </c>
      <c r="P107" s="26">
        <f>SUM(M107:O107)</f>
        <v>33105400</v>
      </c>
      <c r="Q107" s="103">
        <v>4948000</v>
      </c>
      <c r="R107" s="45">
        <f>Q107/L107</f>
        <v>0.14926994087124412</v>
      </c>
      <c r="S107" s="103"/>
      <c r="T107" s="26">
        <f>P107-(P107*R107)+S107</f>
        <v>28163758.899481114</v>
      </c>
      <c r="U107" s="46">
        <f t="shared" ref="U107:U116" si="52">(T107/K107)*100</f>
        <v>97.116409998210742</v>
      </c>
      <c r="V107" s="12">
        <f>U107*110000/95</f>
        <v>112450.57999792823</v>
      </c>
      <c r="W107" s="58">
        <f>V107*J107</f>
        <v>1012055.2199813541</v>
      </c>
      <c r="X107" s="181">
        <f>D107+F107+G107+H107+W117+E107</f>
        <v>12981701.836454006</v>
      </c>
      <c r="Y107" s="101"/>
    </row>
    <row r="108" spans="1:25" ht="13" customHeight="1">
      <c r="A108" s="222"/>
      <c r="B108" s="247"/>
      <c r="C108" s="224"/>
      <c r="D108" s="227"/>
      <c r="E108" s="227"/>
      <c r="F108" s="243"/>
      <c r="G108" s="244"/>
      <c r="H108" s="244"/>
      <c r="I108" s="26" t="s">
        <v>141</v>
      </c>
      <c r="J108" s="26">
        <v>8</v>
      </c>
      <c r="K108" s="26">
        <v>30600000</v>
      </c>
      <c r="L108" s="103">
        <v>30274000</v>
      </c>
      <c r="M108" s="103">
        <v>30102000</v>
      </c>
      <c r="N108" s="103">
        <v>0</v>
      </c>
      <c r="O108" s="103">
        <v>0</v>
      </c>
      <c r="P108" s="26">
        <f t="shared" ref="P108:P116" si="53">SUM(M108:O108)</f>
        <v>30102000</v>
      </c>
      <c r="Q108" s="103">
        <v>4874000</v>
      </c>
      <c r="R108" s="45">
        <f t="shared" ref="R108:R116" si="54">Q108/L108</f>
        <v>0.16099623439254807</v>
      </c>
      <c r="S108" s="103"/>
      <c r="T108" s="26">
        <f t="shared" ref="T108:T116" si="55">P108-(P108*R108)+S108</f>
        <v>25255691.352315519</v>
      </c>
      <c r="U108" s="46">
        <f t="shared" si="52"/>
        <v>82.534939059854636</v>
      </c>
      <c r="V108" s="12">
        <f>U108*89000/85</f>
        <v>86418.936192083085</v>
      </c>
      <c r="W108" s="58">
        <f t="shared" ref="W108:W116" si="56">V108*J108</f>
        <v>691351.48953666468</v>
      </c>
      <c r="X108" s="244"/>
      <c r="Y108" s="101"/>
    </row>
    <row r="109" spans="1:25" ht="13" customHeight="1">
      <c r="A109" s="222"/>
      <c r="B109" s="247"/>
      <c r="C109" s="224"/>
      <c r="D109" s="227"/>
      <c r="E109" s="227"/>
      <c r="F109" s="243"/>
      <c r="G109" s="244"/>
      <c r="H109" s="244"/>
      <c r="I109" s="66" t="s">
        <v>142</v>
      </c>
      <c r="J109" s="66">
        <v>11</v>
      </c>
      <c r="K109" s="44">
        <v>37400000</v>
      </c>
      <c r="L109" s="103">
        <v>44181000</v>
      </c>
      <c r="M109" s="103">
        <v>42391000</v>
      </c>
      <c r="N109" s="103">
        <v>1609200</v>
      </c>
      <c r="O109" s="103">
        <v>0</v>
      </c>
      <c r="P109" s="26">
        <f t="shared" si="53"/>
        <v>44000200</v>
      </c>
      <c r="Q109" s="103">
        <v>9881000</v>
      </c>
      <c r="R109" s="45">
        <f t="shared" si="54"/>
        <v>0.22364817455467281</v>
      </c>
      <c r="S109" s="103"/>
      <c r="T109" s="26">
        <f t="shared" si="55"/>
        <v>34159635.589959487</v>
      </c>
      <c r="U109" s="46">
        <f t="shared" si="52"/>
        <v>91.33592403732483</v>
      </c>
      <c r="V109" s="12">
        <f>U109*100000/90</f>
        <v>101484.36004147203</v>
      </c>
      <c r="W109" s="58">
        <f t="shared" si="56"/>
        <v>1116327.9604561923</v>
      </c>
      <c r="X109" s="244"/>
      <c r="Y109" s="101"/>
    </row>
    <row r="110" spans="1:25" ht="13" customHeight="1">
      <c r="A110" s="222"/>
      <c r="B110" s="247"/>
      <c r="C110" s="224"/>
      <c r="D110" s="227"/>
      <c r="E110" s="227"/>
      <c r="F110" s="243"/>
      <c r="G110" s="244"/>
      <c r="H110" s="244"/>
      <c r="I110" s="26" t="s">
        <v>143</v>
      </c>
      <c r="J110" s="26">
        <v>15</v>
      </c>
      <c r="K110" s="26">
        <v>56600000</v>
      </c>
      <c r="L110" s="103">
        <f>64742000+5000000</f>
        <v>69742000</v>
      </c>
      <c r="M110" s="103">
        <f>58926000+5000000</f>
        <v>63926000</v>
      </c>
      <c r="N110" s="103">
        <v>0</v>
      </c>
      <c r="O110" s="103">
        <v>1491000</v>
      </c>
      <c r="P110" s="26">
        <f t="shared" si="53"/>
        <v>65417000</v>
      </c>
      <c r="Q110" s="103">
        <v>14442000</v>
      </c>
      <c r="R110" s="45">
        <f t="shared" si="54"/>
        <v>0.20707751426686932</v>
      </c>
      <c r="S110" s="103"/>
      <c r="T110" s="26">
        <f t="shared" si="55"/>
        <v>51870610.249204211</v>
      </c>
      <c r="U110" s="46">
        <f t="shared" si="52"/>
        <v>91.644187719442073</v>
      </c>
      <c r="V110" s="12">
        <f>U110*100000/90</f>
        <v>101826.87524382453</v>
      </c>
      <c r="W110" s="58">
        <f t="shared" si="56"/>
        <v>1527403.128657368</v>
      </c>
      <c r="X110" s="244"/>
      <c r="Y110" s="101"/>
    </row>
    <row r="111" spans="1:25" ht="13" customHeight="1">
      <c r="A111" s="222"/>
      <c r="B111" s="247"/>
      <c r="C111" s="224"/>
      <c r="D111" s="227"/>
      <c r="E111" s="227"/>
      <c r="F111" s="243"/>
      <c r="G111" s="244"/>
      <c r="H111" s="244"/>
      <c r="I111" s="26" t="s">
        <v>144</v>
      </c>
      <c r="J111" s="26">
        <v>17</v>
      </c>
      <c r="K111" s="26">
        <v>61600000</v>
      </c>
      <c r="L111" s="103">
        <v>74023000</v>
      </c>
      <c r="M111" s="103">
        <v>71458000</v>
      </c>
      <c r="N111" s="103">
        <v>0</v>
      </c>
      <c r="O111" s="103">
        <v>1781500</v>
      </c>
      <c r="P111" s="26">
        <f t="shared" si="53"/>
        <v>73239500</v>
      </c>
      <c r="Q111" s="103">
        <v>15623000</v>
      </c>
      <c r="R111" s="45">
        <f t="shared" si="54"/>
        <v>0.21105602312794672</v>
      </c>
      <c r="S111" s="103"/>
      <c r="T111" s="26">
        <f t="shared" si="55"/>
        <v>57781862.394120745</v>
      </c>
      <c r="U111" s="46">
        <f t="shared" si="52"/>
        <v>93.801724665780426</v>
      </c>
      <c r="V111" s="12">
        <f>U111*109000/95</f>
        <v>107625.13672179017</v>
      </c>
      <c r="W111" s="58">
        <f t="shared" si="56"/>
        <v>1829627.3242704328</v>
      </c>
      <c r="X111" s="244"/>
      <c r="Y111" s="101"/>
    </row>
    <row r="112" spans="1:25" ht="13" customHeight="1">
      <c r="A112" s="222"/>
      <c r="B112" s="247"/>
      <c r="C112" s="224"/>
      <c r="D112" s="227"/>
      <c r="E112" s="227"/>
      <c r="F112" s="243"/>
      <c r="G112" s="244"/>
      <c r="H112" s="244"/>
      <c r="I112" s="26" t="s">
        <v>145</v>
      </c>
      <c r="J112" s="26">
        <v>18</v>
      </c>
      <c r="K112" s="44">
        <v>78800000</v>
      </c>
      <c r="L112" s="103">
        <v>85738903</v>
      </c>
      <c r="M112" s="103">
        <v>85682000</v>
      </c>
      <c r="N112" s="103">
        <v>0</v>
      </c>
      <c r="O112" s="103">
        <v>0</v>
      </c>
      <c r="P112" s="26">
        <f t="shared" si="53"/>
        <v>85682000</v>
      </c>
      <c r="Q112" s="103">
        <v>17784000</v>
      </c>
      <c r="R112" s="45">
        <f t="shared" si="54"/>
        <v>0.207420428507232</v>
      </c>
      <c r="S112" s="103"/>
      <c r="T112" s="26">
        <f t="shared" si="55"/>
        <v>67909802.844643354</v>
      </c>
      <c r="U112" s="46">
        <f t="shared" si="52"/>
        <v>86.179952848532167</v>
      </c>
      <c r="V112" s="12">
        <f>U112*90000/85</f>
        <v>91249.361839622288</v>
      </c>
      <c r="W112" s="58">
        <f t="shared" si="56"/>
        <v>1642488.5131132011</v>
      </c>
      <c r="X112" s="244"/>
      <c r="Y112" s="101"/>
    </row>
    <row r="113" spans="1:25" ht="13" customHeight="1">
      <c r="A113" s="222"/>
      <c r="B113" s="247"/>
      <c r="C113" s="224"/>
      <c r="D113" s="227"/>
      <c r="E113" s="227"/>
      <c r="F113" s="243"/>
      <c r="G113" s="244"/>
      <c r="H113" s="244"/>
      <c r="I113" s="26" t="s">
        <v>146</v>
      </c>
      <c r="J113" s="26">
        <v>13</v>
      </c>
      <c r="K113" s="44">
        <v>56700000</v>
      </c>
      <c r="L113" s="103">
        <v>63254000</v>
      </c>
      <c r="M113" s="103">
        <v>59912000</v>
      </c>
      <c r="N113" s="103">
        <v>0</v>
      </c>
      <c r="O113" s="103">
        <v>2317000</v>
      </c>
      <c r="P113" s="26">
        <f t="shared" si="53"/>
        <v>62229000</v>
      </c>
      <c r="Q113" s="103">
        <v>17154000</v>
      </c>
      <c r="R113" s="45">
        <f t="shared" si="54"/>
        <v>0.27119233566256679</v>
      </c>
      <c r="S113" s="103"/>
      <c r="T113" s="26">
        <f t="shared" si="55"/>
        <v>45352972.14405413</v>
      </c>
      <c r="U113" s="46">
        <f t="shared" si="52"/>
        <v>79.987605192335323</v>
      </c>
      <c r="V113" s="12">
        <f>U113*79000/80</f>
        <v>78987.760127431131</v>
      </c>
      <c r="W113" s="58">
        <f t="shared" si="56"/>
        <v>1026840.8816566047</v>
      </c>
      <c r="X113" s="244"/>
      <c r="Y113" s="101"/>
    </row>
    <row r="114" spans="1:25" ht="13" customHeight="1">
      <c r="A114" s="222"/>
      <c r="B114" s="247"/>
      <c r="C114" s="224"/>
      <c r="D114" s="227"/>
      <c r="E114" s="227"/>
      <c r="F114" s="243"/>
      <c r="G114" s="244"/>
      <c r="H114" s="244"/>
      <c r="I114" s="26" t="s">
        <v>147</v>
      </c>
      <c r="J114" s="26">
        <v>8</v>
      </c>
      <c r="K114" s="26">
        <v>34000000</v>
      </c>
      <c r="L114" s="103">
        <v>39732800</v>
      </c>
      <c r="M114" s="103">
        <v>31428200</v>
      </c>
      <c r="N114" s="103">
        <v>2901600</v>
      </c>
      <c r="O114" s="103">
        <v>0</v>
      </c>
      <c r="P114" s="26">
        <f t="shared" si="53"/>
        <v>34329800</v>
      </c>
      <c r="Q114" s="103">
        <v>7332800</v>
      </c>
      <c r="R114" s="45">
        <f>Q114/L114</f>
        <v>0.18455281278943342</v>
      </c>
      <c r="S114" s="103"/>
      <c r="T114" s="26">
        <f t="shared" si="55"/>
        <v>27994138.847501308</v>
      </c>
      <c r="U114" s="46">
        <f t="shared" si="52"/>
        <v>82.33570249265091</v>
      </c>
      <c r="V114" s="12">
        <f>U114*80000/80</f>
        <v>82335.702492650918</v>
      </c>
      <c r="W114" s="58">
        <f t="shared" si="56"/>
        <v>658685.61994120735</v>
      </c>
      <c r="X114" s="244"/>
      <c r="Y114" s="101"/>
    </row>
    <row r="115" spans="1:25" ht="13" customHeight="1">
      <c r="A115" s="222"/>
      <c r="B115" s="247"/>
      <c r="C115" s="224"/>
      <c r="D115" s="227"/>
      <c r="E115" s="227"/>
      <c r="F115" s="243"/>
      <c r="G115" s="244"/>
      <c r="H115" s="244"/>
      <c r="I115" s="36" t="s">
        <v>148</v>
      </c>
      <c r="J115" s="37">
        <v>9</v>
      </c>
      <c r="K115" s="26">
        <v>30900000</v>
      </c>
      <c r="L115" s="56">
        <v>39508500</v>
      </c>
      <c r="M115" s="72">
        <v>39509000</v>
      </c>
      <c r="N115" s="72">
        <v>0</v>
      </c>
      <c r="O115" s="72">
        <v>0</v>
      </c>
      <c r="P115" s="26">
        <f t="shared" si="53"/>
        <v>39509000</v>
      </c>
      <c r="Q115" s="72">
        <v>8108500</v>
      </c>
      <c r="R115" s="45">
        <f t="shared" si="54"/>
        <v>0.20523431666603389</v>
      </c>
      <c r="S115" s="56"/>
      <c r="T115" s="26">
        <f t="shared" si="55"/>
        <v>31400397.382841669</v>
      </c>
      <c r="U115" s="46">
        <f t="shared" si="52"/>
        <v>101.61940900596009</v>
      </c>
      <c r="V115" s="12">
        <f>U115*120000/100</f>
        <v>121943.29080715211</v>
      </c>
      <c r="W115" s="58">
        <f t="shared" si="56"/>
        <v>1097489.617264369</v>
      </c>
      <c r="X115" s="245"/>
      <c r="Y115" s="101"/>
    </row>
    <row r="116" spans="1:25" ht="13" customHeight="1">
      <c r="A116" s="264"/>
      <c r="B116" s="265"/>
      <c r="C116" s="258"/>
      <c r="D116" s="227"/>
      <c r="E116" s="227"/>
      <c r="F116" s="243"/>
      <c r="G116" s="244"/>
      <c r="H116" s="244"/>
      <c r="I116" s="36" t="s">
        <v>189</v>
      </c>
      <c r="J116" s="37">
        <v>15</v>
      </c>
      <c r="K116" s="26">
        <v>61200000</v>
      </c>
      <c r="L116" s="56">
        <f>72872000-4100000</f>
        <v>68772000</v>
      </c>
      <c r="M116" s="72">
        <f>55790000-4100000</f>
        <v>51690000</v>
      </c>
      <c r="N116" s="72">
        <v>11773800</v>
      </c>
      <c r="O116" s="72">
        <v>0</v>
      </c>
      <c r="P116" s="26">
        <f t="shared" si="53"/>
        <v>63463800</v>
      </c>
      <c r="Q116" s="72">
        <v>11172000</v>
      </c>
      <c r="R116" s="45">
        <f t="shared" si="54"/>
        <v>0.16244983423486303</v>
      </c>
      <c r="S116" s="56"/>
      <c r="T116" s="26">
        <f t="shared" si="55"/>
        <v>53154116.210085496</v>
      </c>
      <c r="U116" s="46">
        <f t="shared" si="52"/>
        <v>86.853131062231199</v>
      </c>
      <c r="V116" s="12">
        <f>U116*90000/85</f>
        <v>91962.138771774218</v>
      </c>
      <c r="W116" s="58">
        <f t="shared" si="56"/>
        <v>1379432.0815766132</v>
      </c>
      <c r="X116" s="68"/>
      <c r="Y116" s="101"/>
    </row>
    <row r="117" spans="1:25" ht="13" customHeight="1">
      <c r="A117" s="179"/>
      <c r="B117" s="180"/>
      <c r="C117" s="225"/>
      <c r="D117" s="228"/>
      <c r="E117" s="227"/>
      <c r="F117" s="243"/>
      <c r="G117" s="245"/>
      <c r="H117" s="245"/>
      <c r="I117" s="51"/>
      <c r="J117" s="52">
        <f>SUM(J107:J116)</f>
        <v>123</v>
      </c>
      <c r="K117" s="52">
        <f t="shared" ref="K117:M117" si="57">SUM(K107:K116)</f>
        <v>476800000</v>
      </c>
      <c r="L117" s="52">
        <f t="shared" si="57"/>
        <v>548374203</v>
      </c>
      <c r="M117" s="52">
        <f t="shared" si="57"/>
        <v>508820200</v>
      </c>
      <c r="N117" s="52">
        <f>SUM(N107:N116)</f>
        <v>16668000</v>
      </c>
      <c r="O117" s="52">
        <f>SUM(O107:O116)</f>
        <v>5589500</v>
      </c>
      <c r="P117" s="52">
        <f>SUM(P107:P116)</f>
        <v>531077700</v>
      </c>
      <c r="Q117" s="52">
        <f>SUM(Q107:Q116)</f>
        <v>111319300</v>
      </c>
      <c r="R117" s="61"/>
      <c r="S117" s="52">
        <f>SUM(S107:S116)</f>
        <v>0</v>
      </c>
      <c r="T117" s="52">
        <f>SUM(T107:T116)</f>
        <v>423042985.91420704</v>
      </c>
      <c r="U117" s="55">
        <f>(T117/K117)*100</f>
        <v>88.725458455160876</v>
      </c>
      <c r="V117" s="59"/>
      <c r="W117" s="104">
        <f>SUM(W107:W116)</f>
        <v>11981701.836454006</v>
      </c>
      <c r="X117" s="63"/>
      <c r="Y117" s="101"/>
    </row>
    <row r="118" spans="1:25" ht="13" customHeight="1">
      <c r="A118" s="50" t="s">
        <v>149</v>
      </c>
      <c r="B118" s="272" t="s">
        <v>150</v>
      </c>
      <c r="C118" s="223" t="s">
        <v>35</v>
      </c>
      <c r="D118" s="242"/>
      <c r="E118" s="181">
        <v>500000</v>
      </c>
      <c r="F118" s="181">
        <v>500000</v>
      </c>
      <c r="G118" s="181"/>
      <c r="H118" s="181"/>
      <c r="I118" s="36" t="s">
        <v>129</v>
      </c>
      <c r="J118" s="14">
        <v>12</v>
      </c>
      <c r="K118" s="14">
        <v>48900000</v>
      </c>
      <c r="L118" s="56">
        <v>49410000</v>
      </c>
      <c r="M118" s="56">
        <v>45466000</v>
      </c>
      <c r="N118" s="56">
        <v>3549600</v>
      </c>
      <c r="O118" s="56">
        <v>0</v>
      </c>
      <c r="P118" s="26">
        <f>SUM(M118:O118)</f>
        <v>49015600</v>
      </c>
      <c r="Q118" s="56">
        <v>8110000</v>
      </c>
      <c r="R118" s="45">
        <f>Q118/L118</f>
        <v>0.16413681441003847</v>
      </c>
      <c r="S118" s="56"/>
      <c r="T118" s="26">
        <f>P118-(P118*R118)+S118</f>
        <v>40970335.559603319</v>
      </c>
      <c r="U118" s="46">
        <f>(T118/K118)*100</f>
        <v>83.783917299802297</v>
      </c>
      <c r="V118" s="12">
        <f>U118*89000/85</f>
        <v>87726.689878616526</v>
      </c>
      <c r="W118" s="58">
        <f>V118*J118</f>
        <v>1052720.2785433982</v>
      </c>
      <c r="X118" s="181">
        <f>D118+E118+F118+G118+H118+W120</f>
        <v>2184720.2785433982</v>
      </c>
      <c r="Y118" s="101"/>
    </row>
    <row r="119" spans="1:25" ht="13" customHeight="1">
      <c r="A119" s="50" t="s">
        <v>151</v>
      </c>
      <c r="B119" s="247"/>
      <c r="C119" s="224"/>
      <c r="D119" s="243"/>
      <c r="E119" s="244"/>
      <c r="F119" s="244"/>
      <c r="G119" s="244"/>
      <c r="H119" s="244"/>
      <c r="I119" s="36" t="s">
        <v>116</v>
      </c>
      <c r="J119" s="14">
        <v>11</v>
      </c>
      <c r="K119" s="14">
        <v>43800000</v>
      </c>
      <c r="L119" s="14">
        <v>37407000</v>
      </c>
      <c r="M119" s="14">
        <v>37271000</v>
      </c>
      <c r="N119" s="14">
        <v>0</v>
      </c>
      <c r="O119" s="14">
        <v>0</v>
      </c>
      <c r="P119" s="14">
        <f t="shared" ref="P119" si="58">SUM(M119:O119)</f>
        <v>37271000</v>
      </c>
      <c r="Q119" s="14">
        <v>8107000</v>
      </c>
      <c r="R119" s="45">
        <f>Q119/L119</f>
        <v>0.21672414254016628</v>
      </c>
      <c r="S119" s="56"/>
      <c r="T119" s="26">
        <f>P119-(P119*R119)+S119</f>
        <v>29193474.483385462</v>
      </c>
      <c r="U119" s="46">
        <f>(T119/K119)*100</f>
        <v>66.65176822690745</v>
      </c>
      <c r="V119" s="12"/>
      <c r="W119" s="105">
        <f>(120000*J119)*10%</f>
        <v>132000</v>
      </c>
      <c r="X119" s="244"/>
      <c r="Y119" s="101"/>
    </row>
    <row r="120" spans="1:25" ht="13" customHeight="1">
      <c r="A120" s="50" t="s">
        <v>154</v>
      </c>
      <c r="B120" s="273"/>
      <c r="C120" s="241"/>
      <c r="D120" s="248"/>
      <c r="E120" s="245"/>
      <c r="F120" s="245"/>
      <c r="G120" s="245"/>
      <c r="H120" s="245"/>
      <c r="I120" s="59"/>
      <c r="J120" s="52">
        <f>SUM(J118:J119)</f>
        <v>23</v>
      </c>
      <c r="K120" s="52">
        <f>SUM(K118:K119)</f>
        <v>92700000</v>
      </c>
      <c r="L120" s="52">
        <f>SUM(L118:L119)</f>
        <v>86817000</v>
      </c>
      <c r="M120" s="52">
        <f>SUM(M118:M119)</f>
        <v>82737000</v>
      </c>
      <c r="N120" s="52">
        <f t="shared" ref="N120:O120" si="59">SUM(N118:N119)</f>
        <v>3549600</v>
      </c>
      <c r="O120" s="52">
        <f t="shared" si="59"/>
        <v>0</v>
      </c>
      <c r="P120" s="52">
        <f>SUM(P118:P119)</f>
        <v>86286600</v>
      </c>
      <c r="Q120" s="52">
        <f>SUM(Q118:Q119)</f>
        <v>16217000</v>
      </c>
      <c r="R120" s="52"/>
      <c r="S120" s="52"/>
      <c r="T120" s="52">
        <f>SUM(T118:T119)</f>
        <v>70163810.042988777</v>
      </c>
      <c r="U120" s="55">
        <f>(T120/K120)*100</f>
        <v>75.689115472479813</v>
      </c>
      <c r="V120" s="59"/>
      <c r="W120" s="104">
        <f>SUM(W118:W119)</f>
        <v>1184720.2785433982</v>
      </c>
      <c r="X120" s="245"/>
      <c r="Y120" s="101"/>
    </row>
    <row r="121" spans="1:25" ht="12.5" customHeight="1">
      <c r="A121" s="50" t="s">
        <v>157</v>
      </c>
      <c r="B121" s="106" t="s">
        <v>152</v>
      </c>
      <c r="C121" s="38" t="s">
        <v>153</v>
      </c>
      <c r="D121" s="21">
        <v>10000000</v>
      </c>
      <c r="E121" s="16">
        <v>500000</v>
      </c>
      <c r="F121" s="16">
        <v>500000</v>
      </c>
      <c r="G121" s="58"/>
      <c r="H121" s="1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16"/>
      <c r="W121" s="16">
        <f>D121+E121+F121</f>
        <v>11000000</v>
      </c>
      <c r="X121" s="187">
        <f>SUM(W121:W133)</f>
        <v>27423077</v>
      </c>
      <c r="Y121" s="17"/>
    </row>
    <row r="122" spans="1:25" ht="12.5" customHeight="1">
      <c r="A122" s="50" t="s">
        <v>160</v>
      </c>
      <c r="B122" s="106" t="s">
        <v>155</v>
      </c>
      <c r="C122" s="38" t="s">
        <v>156</v>
      </c>
      <c r="D122" s="21">
        <v>8000000</v>
      </c>
      <c r="E122" s="16">
        <v>500000</v>
      </c>
      <c r="F122" s="16">
        <v>500000</v>
      </c>
      <c r="G122" s="58"/>
      <c r="H122" s="1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16"/>
      <c r="W122" s="16">
        <f>D122+E122+F122</f>
        <v>9000000</v>
      </c>
      <c r="X122" s="187"/>
      <c r="Y122" s="17"/>
    </row>
    <row r="123" spans="1:25" ht="12.5" customHeight="1">
      <c r="A123" s="50" t="s">
        <v>162</v>
      </c>
      <c r="B123" s="106" t="s">
        <v>158</v>
      </c>
      <c r="C123" s="38" t="s">
        <v>159</v>
      </c>
      <c r="D123" s="21">
        <v>0</v>
      </c>
      <c r="E123" s="16">
        <v>0</v>
      </c>
      <c r="F123" s="16"/>
      <c r="G123" s="58"/>
      <c r="H123" s="1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16"/>
      <c r="W123" s="16">
        <f t="shared" ref="W123:W134" si="60">D123+E123+F123</f>
        <v>0</v>
      </c>
      <c r="X123" s="187"/>
      <c r="Y123" s="17"/>
    </row>
    <row r="124" spans="1:25" ht="12.5" customHeight="1">
      <c r="A124" s="50" t="s">
        <v>163</v>
      </c>
      <c r="B124" s="106" t="s">
        <v>161</v>
      </c>
      <c r="C124" s="38" t="s">
        <v>159</v>
      </c>
      <c r="D124" s="21">
        <v>3000000</v>
      </c>
      <c r="E124" s="16">
        <v>500000</v>
      </c>
      <c r="F124" s="16">
        <v>500000</v>
      </c>
      <c r="G124" s="58"/>
      <c r="H124" s="1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16"/>
      <c r="W124" s="16">
        <f t="shared" si="60"/>
        <v>4000000</v>
      </c>
      <c r="X124" s="187"/>
      <c r="Y124" s="17"/>
    </row>
    <row r="125" spans="1:25" ht="12.5" customHeight="1">
      <c r="A125" s="50" t="s">
        <v>165</v>
      </c>
      <c r="B125" s="106" t="s">
        <v>194</v>
      </c>
      <c r="C125" s="38" t="s">
        <v>159</v>
      </c>
      <c r="D125" s="21">
        <f>2115385-500000</f>
        <v>1615385</v>
      </c>
      <c r="E125" s="16">
        <v>500000</v>
      </c>
      <c r="F125" s="16"/>
      <c r="G125" s="58"/>
      <c r="H125" s="1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16"/>
      <c r="W125" s="16">
        <f>D125+E125+F125</f>
        <v>2115385</v>
      </c>
      <c r="X125" s="187"/>
      <c r="Y125" s="17"/>
    </row>
    <row r="126" spans="1:25" ht="13">
      <c r="A126" s="50" t="s">
        <v>167</v>
      </c>
      <c r="B126" s="107" t="s">
        <v>164</v>
      </c>
      <c r="C126" s="38" t="s">
        <v>159</v>
      </c>
      <c r="D126" s="21">
        <v>0</v>
      </c>
      <c r="E126" s="16">
        <v>0</v>
      </c>
      <c r="F126" s="16"/>
      <c r="G126" s="16"/>
      <c r="H126" s="1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16"/>
      <c r="W126" s="16">
        <f t="shared" si="60"/>
        <v>0</v>
      </c>
      <c r="X126" s="187"/>
      <c r="Y126" s="108">
        <f>SUM(D121:D133)</f>
        <v>23423077</v>
      </c>
    </row>
    <row r="127" spans="1:25" ht="12.5" customHeight="1">
      <c r="A127" s="50" t="s">
        <v>169</v>
      </c>
      <c r="B127" s="107" t="s">
        <v>166</v>
      </c>
      <c r="C127" s="38" t="s">
        <v>159</v>
      </c>
      <c r="D127" s="21">
        <f>1307692-500000</f>
        <v>807692</v>
      </c>
      <c r="E127" s="16">
        <v>500000</v>
      </c>
      <c r="F127" s="16"/>
      <c r="G127" s="16"/>
      <c r="H127" s="1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16"/>
      <c r="W127" s="16">
        <f t="shared" si="60"/>
        <v>1307692</v>
      </c>
      <c r="X127" s="187"/>
      <c r="Y127" s="17"/>
    </row>
    <row r="128" spans="1:25" ht="12.5" customHeight="1">
      <c r="A128" s="50" t="s">
        <v>171</v>
      </c>
      <c r="B128" s="107" t="s">
        <v>168</v>
      </c>
      <c r="C128" s="38" t="s">
        <v>159</v>
      </c>
      <c r="D128" s="21">
        <v>0</v>
      </c>
      <c r="E128" s="16">
        <v>0</v>
      </c>
      <c r="F128" s="16"/>
      <c r="G128" s="16"/>
      <c r="H128" s="5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16"/>
      <c r="W128" s="16">
        <f t="shared" si="60"/>
        <v>0</v>
      </c>
      <c r="X128" s="187"/>
      <c r="Y128" s="17"/>
    </row>
    <row r="129" spans="1:25" ht="12.5" customHeight="1">
      <c r="A129" s="50" t="s">
        <v>173</v>
      </c>
      <c r="B129" s="107" t="s">
        <v>170</v>
      </c>
      <c r="C129" s="38" t="s">
        <v>159</v>
      </c>
      <c r="D129" s="21">
        <v>0</v>
      </c>
      <c r="E129" s="16">
        <v>0</v>
      </c>
      <c r="F129" s="16"/>
      <c r="G129" s="16"/>
      <c r="H129" s="5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16"/>
      <c r="W129" s="16">
        <f t="shared" si="60"/>
        <v>0</v>
      </c>
      <c r="X129" s="187"/>
      <c r="Y129" s="17"/>
    </row>
    <row r="130" spans="1:25" ht="12.5" customHeight="1">
      <c r="A130" s="50" t="s">
        <v>175</v>
      </c>
      <c r="B130" s="107" t="s">
        <v>172</v>
      </c>
      <c r="C130" s="38" t="s">
        <v>159</v>
      </c>
      <c r="D130" s="21">
        <v>0</v>
      </c>
      <c r="E130" s="16">
        <v>0</v>
      </c>
      <c r="F130" s="16"/>
      <c r="G130" s="16"/>
      <c r="H130" s="5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16"/>
      <c r="W130" s="16">
        <f t="shared" si="60"/>
        <v>0</v>
      </c>
      <c r="X130" s="187"/>
      <c r="Y130" s="17"/>
    </row>
    <row r="131" spans="1:25" ht="12.5" customHeight="1">
      <c r="A131" s="50" t="s">
        <v>178</v>
      </c>
      <c r="B131" s="107" t="s">
        <v>174</v>
      </c>
      <c r="C131" s="38" t="s">
        <v>159</v>
      </c>
      <c r="D131" s="21">
        <v>0</v>
      </c>
      <c r="E131" s="16">
        <v>0</v>
      </c>
      <c r="F131" s="16"/>
      <c r="G131" s="16"/>
      <c r="H131" s="5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16"/>
      <c r="W131" s="16">
        <f>D131+E131+F131</f>
        <v>0</v>
      </c>
      <c r="X131" s="187"/>
      <c r="Y131" s="17"/>
    </row>
    <row r="132" spans="1:25" ht="13" customHeight="1">
      <c r="A132" s="50" t="s">
        <v>181</v>
      </c>
      <c r="B132" s="107" t="s">
        <v>193</v>
      </c>
      <c r="C132" s="38" t="s">
        <v>159</v>
      </c>
      <c r="D132" s="21">
        <v>0</v>
      </c>
      <c r="E132" s="16">
        <v>0</v>
      </c>
      <c r="F132" s="16"/>
      <c r="G132" s="16"/>
      <c r="H132" s="58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15"/>
      <c r="W132" s="16">
        <f>D132+E132+F132</f>
        <v>0</v>
      </c>
      <c r="X132" s="187"/>
      <c r="Y132" s="17"/>
    </row>
    <row r="133" spans="1:25" ht="13" customHeight="1">
      <c r="A133" s="50" t="s">
        <v>184</v>
      </c>
      <c r="B133" s="107" t="s">
        <v>196</v>
      </c>
      <c r="C133" s="38" t="s">
        <v>159</v>
      </c>
      <c r="D133" s="21">
        <v>0</v>
      </c>
      <c r="E133" s="16">
        <v>0</v>
      </c>
      <c r="F133" s="16"/>
      <c r="G133" s="16"/>
      <c r="H133" s="58"/>
      <c r="I133" s="2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15"/>
      <c r="W133" s="16">
        <f>D133+E133+F133</f>
        <v>0</v>
      </c>
      <c r="X133" s="187"/>
      <c r="Y133" s="17"/>
    </row>
    <row r="134" spans="1:25" ht="12.5">
      <c r="A134" s="50" t="s">
        <v>190</v>
      </c>
      <c r="B134" s="11" t="s">
        <v>176</v>
      </c>
      <c r="C134" s="11" t="s">
        <v>177</v>
      </c>
      <c r="D134" s="21">
        <v>12000000</v>
      </c>
      <c r="E134" s="16"/>
      <c r="F134" s="16"/>
      <c r="G134" s="16"/>
      <c r="H134" s="58"/>
      <c r="I134" s="2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2"/>
      <c r="W134" s="16">
        <f t="shared" si="60"/>
        <v>12000000</v>
      </c>
      <c r="X134" s="21">
        <f>D134+F134+G134+H134</f>
        <v>12000000</v>
      </c>
      <c r="Y134" s="17"/>
    </row>
    <row r="135" spans="1:25" ht="12.5">
      <c r="A135" s="50" t="s">
        <v>191</v>
      </c>
      <c r="B135" s="11" t="s">
        <v>179</v>
      </c>
      <c r="C135" s="11" t="s">
        <v>180</v>
      </c>
      <c r="D135" s="21"/>
      <c r="E135" s="16">
        <v>500000</v>
      </c>
      <c r="F135" s="16"/>
      <c r="G135" s="16"/>
      <c r="H135" s="16"/>
      <c r="I135" s="2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2"/>
      <c r="W135" s="12"/>
      <c r="X135" s="21">
        <f>D135+F135+G135+H135</f>
        <v>0</v>
      </c>
      <c r="Y135" s="17"/>
    </row>
    <row r="136" spans="1:25" ht="12.5">
      <c r="A136" s="50" t="s">
        <v>195</v>
      </c>
      <c r="B136" s="11" t="s">
        <v>182</v>
      </c>
      <c r="C136" s="11" t="s">
        <v>183</v>
      </c>
      <c r="D136" s="21"/>
      <c r="E136" s="16">
        <v>700000</v>
      </c>
      <c r="F136" s="16"/>
      <c r="G136" s="63"/>
      <c r="H136" s="63"/>
      <c r="I136" s="23"/>
      <c r="J136" s="23"/>
      <c r="K136" s="23"/>
      <c r="L136" s="23"/>
      <c r="M136" s="14"/>
      <c r="N136" s="14"/>
      <c r="O136" s="14"/>
      <c r="P136" s="14"/>
      <c r="Q136" s="14"/>
      <c r="R136" s="14"/>
      <c r="S136" s="14"/>
      <c r="T136" s="14"/>
      <c r="U136" s="14"/>
      <c r="V136" s="12"/>
      <c r="W136" s="12"/>
      <c r="X136" s="21"/>
      <c r="Y136" s="17"/>
    </row>
    <row r="137" spans="1:25" ht="12.5">
      <c r="A137" s="50" t="s">
        <v>191</v>
      </c>
      <c r="B137" s="11" t="s">
        <v>185</v>
      </c>
      <c r="C137" s="11" t="s">
        <v>183</v>
      </c>
      <c r="D137" s="21"/>
      <c r="E137" s="16">
        <v>700000</v>
      </c>
      <c r="F137" s="16"/>
      <c r="G137" s="16"/>
      <c r="H137" s="16"/>
      <c r="I137" s="26"/>
      <c r="J137" s="26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2"/>
      <c r="W137" s="12"/>
      <c r="X137" s="21"/>
      <c r="Y137" s="17"/>
    </row>
    <row r="138" spans="1:25" ht="13">
      <c r="A138" s="109"/>
      <c r="B138" s="270"/>
      <c r="C138" s="268"/>
      <c r="D138" s="110"/>
      <c r="E138" s="110"/>
      <c r="F138" s="110"/>
      <c r="G138" s="110"/>
      <c r="H138" s="110"/>
      <c r="I138" s="111"/>
      <c r="J138" s="3"/>
      <c r="K138" s="269"/>
      <c r="L138" s="268"/>
      <c r="T138" s="3"/>
      <c r="U138" s="271" t="s">
        <v>186</v>
      </c>
      <c r="V138" s="268"/>
      <c r="X138" s="110"/>
      <c r="Y138" s="3"/>
    </row>
    <row r="139" spans="1:25" ht="13">
      <c r="A139" s="109"/>
      <c r="B139" s="267"/>
      <c r="C139" s="268"/>
      <c r="D139" s="110"/>
      <c r="E139" s="110"/>
      <c r="F139" s="110"/>
      <c r="G139" s="110"/>
      <c r="H139" s="110"/>
      <c r="I139" s="111"/>
      <c r="J139" s="3"/>
      <c r="K139" s="267"/>
      <c r="L139" s="268"/>
      <c r="T139" s="3"/>
      <c r="U139" s="267" t="s">
        <v>187</v>
      </c>
      <c r="V139" s="268"/>
      <c r="X139" s="110"/>
      <c r="Y139" s="3"/>
    </row>
    <row r="140" spans="1:25" ht="13">
      <c r="A140" s="109"/>
      <c r="B140" s="269"/>
      <c r="C140" s="268"/>
      <c r="D140" s="110"/>
      <c r="E140" s="110"/>
      <c r="F140" s="110"/>
      <c r="G140" s="110"/>
      <c r="H140" s="110"/>
      <c r="I140" s="111"/>
      <c r="J140" s="3"/>
      <c r="K140" s="269"/>
      <c r="L140" s="268"/>
      <c r="T140" s="3"/>
      <c r="U140" s="269" t="s">
        <v>188</v>
      </c>
      <c r="V140" s="268"/>
      <c r="X140" s="110"/>
      <c r="Y140" s="3"/>
    </row>
    <row r="141" spans="1:25" ht="12.5">
      <c r="A141" s="109"/>
      <c r="B141" s="3"/>
      <c r="C141" s="3"/>
      <c r="D141" s="110"/>
      <c r="E141" s="110"/>
      <c r="F141" s="110"/>
      <c r="G141" s="110"/>
      <c r="H141" s="110"/>
      <c r="I141" s="111"/>
      <c r="J141" s="3"/>
      <c r="K141" s="3"/>
      <c r="L141" s="3">
        <v>1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110"/>
      <c r="Y141" s="3"/>
    </row>
    <row r="142" spans="1:25" ht="12.5">
      <c r="A142" s="109"/>
      <c r="B142" s="3"/>
      <c r="C142" s="3"/>
      <c r="D142" s="110"/>
      <c r="E142" s="110"/>
      <c r="F142" s="110"/>
      <c r="G142" s="110"/>
      <c r="H142" s="110"/>
      <c r="I142" s="11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110"/>
      <c r="Y142" s="3"/>
    </row>
    <row r="143" spans="1:25" ht="12.5">
      <c r="A143" s="109"/>
      <c r="B143" s="3"/>
      <c r="C143" s="3"/>
      <c r="D143" s="110"/>
      <c r="E143" s="110"/>
      <c r="F143" s="110"/>
      <c r="G143" s="110"/>
      <c r="H143" s="110"/>
      <c r="I143" s="11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17"/>
      <c r="V143" s="3"/>
      <c r="W143" s="3"/>
      <c r="X143" s="110"/>
      <c r="Y143" s="3"/>
    </row>
    <row r="144" spans="1:25" ht="12.5">
      <c r="A144" s="109"/>
      <c r="B144" s="3"/>
      <c r="C144" s="3"/>
      <c r="D144" s="110"/>
      <c r="E144" s="110"/>
      <c r="F144" s="110"/>
      <c r="G144" s="110"/>
      <c r="H144" s="110"/>
      <c r="I144" s="11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112"/>
      <c r="V144" s="3"/>
      <c r="W144" s="3"/>
      <c r="X144" s="110"/>
      <c r="Y144" s="3"/>
    </row>
    <row r="145" spans="1:25" ht="12.5">
      <c r="A145" s="109"/>
      <c r="B145" s="3"/>
      <c r="C145" s="3"/>
      <c r="D145" s="110"/>
      <c r="E145" s="110"/>
      <c r="F145" s="110"/>
      <c r="G145" s="110"/>
      <c r="H145" s="110"/>
      <c r="I145" s="11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110"/>
      <c r="Y145" s="3"/>
    </row>
    <row r="146" spans="1:25" ht="12.5">
      <c r="A146" s="109"/>
      <c r="B146" s="3"/>
      <c r="C146" s="3"/>
      <c r="D146" s="110"/>
      <c r="E146" s="110"/>
      <c r="F146" s="110"/>
      <c r="G146" s="110"/>
      <c r="H146" s="110"/>
      <c r="I146" s="11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110"/>
      <c r="Y146" s="3"/>
    </row>
    <row r="147" spans="1:25" ht="12.5">
      <c r="A147" s="109"/>
      <c r="B147" s="3"/>
      <c r="C147" s="3"/>
      <c r="D147" s="110"/>
      <c r="E147" s="110"/>
      <c r="F147" s="110"/>
      <c r="G147" s="110"/>
      <c r="H147" s="110"/>
      <c r="I147" s="11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110"/>
      <c r="Y147" s="3"/>
    </row>
    <row r="148" spans="1:25" ht="12.5">
      <c r="A148" s="109"/>
      <c r="B148" s="3"/>
      <c r="C148" s="3"/>
      <c r="D148" s="110"/>
      <c r="E148" s="110"/>
      <c r="F148" s="110"/>
      <c r="G148" s="110"/>
      <c r="H148" s="110"/>
      <c r="I148" s="11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110"/>
      <c r="Y148" s="3"/>
    </row>
    <row r="149" spans="1:25" ht="12.5">
      <c r="A149" s="109"/>
      <c r="B149" s="3"/>
      <c r="C149" s="3"/>
      <c r="D149" s="110"/>
      <c r="E149" s="110"/>
      <c r="F149" s="110"/>
      <c r="G149" s="110"/>
      <c r="H149" s="110"/>
      <c r="I149" s="11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110"/>
      <c r="Y149" s="3"/>
    </row>
    <row r="150" spans="1:25" ht="12.5">
      <c r="A150" s="109"/>
      <c r="B150" s="3"/>
      <c r="C150" s="3"/>
      <c r="D150" s="110"/>
      <c r="E150" s="110"/>
      <c r="F150" s="110"/>
      <c r="G150" s="110"/>
      <c r="H150" s="110"/>
      <c r="I150" s="11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110"/>
      <c r="Y150" s="3"/>
    </row>
    <row r="151" spans="1:25" ht="12.5">
      <c r="A151" s="109"/>
      <c r="B151" s="3"/>
      <c r="C151" s="3"/>
      <c r="D151" s="110"/>
      <c r="E151" s="110"/>
      <c r="F151" s="110"/>
      <c r="G151" s="110"/>
      <c r="H151" s="110"/>
      <c r="I151" s="11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110"/>
      <c r="Y151" s="3"/>
    </row>
    <row r="152" spans="1:25" ht="12.5">
      <c r="A152" s="109"/>
      <c r="B152" s="3"/>
      <c r="C152" s="3"/>
      <c r="D152" s="110"/>
      <c r="E152" s="110"/>
      <c r="F152" s="110"/>
      <c r="G152" s="110"/>
      <c r="H152" s="110"/>
      <c r="I152" s="11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110"/>
      <c r="Y152" s="3"/>
    </row>
    <row r="153" spans="1:25" ht="12.5">
      <c r="A153" s="109"/>
      <c r="B153" s="3"/>
      <c r="C153" s="3"/>
      <c r="D153" s="110"/>
      <c r="E153" s="110"/>
      <c r="F153" s="110"/>
      <c r="G153" s="110"/>
      <c r="H153" s="110"/>
      <c r="I153" s="11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10"/>
      <c r="Y153" s="3"/>
    </row>
    <row r="154" spans="1:25" ht="12.5">
      <c r="A154" s="109"/>
      <c r="B154" s="3"/>
      <c r="C154" s="3"/>
      <c r="D154" s="110"/>
      <c r="E154" s="110"/>
      <c r="F154" s="110"/>
      <c r="G154" s="110"/>
      <c r="H154" s="110"/>
      <c r="I154" s="11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10"/>
      <c r="Y154" s="3"/>
    </row>
    <row r="155" spans="1:25" ht="12.5">
      <c r="A155" s="109"/>
      <c r="B155" s="3"/>
      <c r="C155" s="3"/>
      <c r="D155" s="110"/>
      <c r="E155" s="110"/>
      <c r="F155" s="110"/>
      <c r="G155" s="110"/>
      <c r="H155" s="110"/>
      <c r="I155" s="1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10"/>
      <c r="Y155" s="3"/>
    </row>
    <row r="156" spans="1:25" ht="12.5">
      <c r="A156" s="109"/>
      <c r="B156" s="3"/>
      <c r="C156" s="3"/>
      <c r="D156" s="110"/>
      <c r="E156" s="110"/>
      <c r="F156" s="110"/>
      <c r="G156" s="110"/>
      <c r="H156" s="110"/>
      <c r="I156" s="1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110"/>
      <c r="Y156" s="3"/>
    </row>
    <row r="157" spans="1:25" ht="12.5">
      <c r="A157" s="109"/>
      <c r="B157" s="3"/>
      <c r="C157" s="3"/>
      <c r="D157" s="110"/>
      <c r="E157" s="110"/>
      <c r="F157" s="110"/>
      <c r="G157" s="110"/>
      <c r="H157" s="110"/>
      <c r="I157" s="1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10"/>
      <c r="Y157" s="3"/>
    </row>
    <row r="158" spans="1:25" ht="12.5">
      <c r="A158" s="109"/>
      <c r="B158" s="3"/>
      <c r="C158" s="3"/>
      <c r="D158" s="110"/>
      <c r="E158" s="110"/>
      <c r="F158" s="110"/>
      <c r="G158" s="110"/>
      <c r="H158" s="110"/>
      <c r="I158" s="1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10"/>
      <c r="Y158" s="3"/>
    </row>
    <row r="159" spans="1:25" ht="12.5">
      <c r="A159" s="109"/>
      <c r="B159" s="3"/>
      <c r="C159" s="3"/>
      <c r="D159" s="110"/>
      <c r="E159" s="110"/>
      <c r="F159" s="110"/>
      <c r="G159" s="110"/>
      <c r="H159" s="110"/>
      <c r="I159" s="11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0"/>
      <c r="Y159" s="3"/>
    </row>
    <row r="160" spans="1:25" ht="12.5">
      <c r="A160" s="109"/>
      <c r="B160" s="3"/>
      <c r="C160" s="3"/>
      <c r="D160" s="110"/>
      <c r="E160" s="110"/>
      <c r="F160" s="110"/>
      <c r="G160" s="110"/>
      <c r="H160" s="110"/>
      <c r="I160" s="1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3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3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3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3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3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3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3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3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3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3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3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3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3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3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3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3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3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3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3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3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</sheetData>
  <mergeCells count="145">
    <mergeCell ref="U140:V140"/>
    <mergeCell ref="X118:X120"/>
    <mergeCell ref="X121:X133"/>
    <mergeCell ref="B138:C138"/>
    <mergeCell ref="K138:L138"/>
    <mergeCell ref="U138:V138"/>
    <mergeCell ref="B139:C139"/>
    <mergeCell ref="K139:L139"/>
    <mergeCell ref="U139:V139"/>
    <mergeCell ref="B118:B120"/>
    <mergeCell ref="C118:C120"/>
    <mergeCell ref="D118:D120"/>
    <mergeCell ref="E118:E120"/>
    <mergeCell ref="F118:F120"/>
    <mergeCell ref="G118:G120"/>
    <mergeCell ref="H118:H120"/>
    <mergeCell ref="B140:C140"/>
    <mergeCell ref="K140:L140"/>
    <mergeCell ref="A107:A117"/>
    <mergeCell ref="B107:B117"/>
    <mergeCell ref="C107:C117"/>
    <mergeCell ref="D107:D117"/>
    <mergeCell ref="E107:E117"/>
    <mergeCell ref="F107:F117"/>
    <mergeCell ref="Y78:Y92"/>
    <mergeCell ref="A93:A106"/>
    <mergeCell ref="B93:B106"/>
    <mergeCell ref="C93:C106"/>
    <mergeCell ref="D93:D106"/>
    <mergeCell ref="E93:E106"/>
    <mergeCell ref="F93:F106"/>
    <mergeCell ref="G93:G106"/>
    <mergeCell ref="H93:H106"/>
    <mergeCell ref="X93:X104"/>
    <mergeCell ref="G107:G117"/>
    <mergeCell ref="H107:H117"/>
    <mergeCell ref="X107:X115"/>
    <mergeCell ref="Y71:Y77"/>
    <mergeCell ref="A78:A92"/>
    <mergeCell ref="B78:B92"/>
    <mergeCell ref="C78:C92"/>
    <mergeCell ref="D78:D92"/>
    <mergeCell ref="E78:E92"/>
    <mergeCell ref="F78:F92"/>
    <mergeCell ref="G78:G92"/>
    <mergeCell ref="H78:H92"/>
    <mergeCell ref="X78:X92"/>
    <mergeCell ref="A71:A77"/>
    <mergeCell ref="B71:B77"/>
    <mergeCell ref="C71:C77"/>
    <mergeCell ref="D71:D77"/>
    <mergeCell ref="E71:E77"/>
    <mergeCell ref="F71:F77"/>
    <mergeCell ref="G71:G77"/>
    <mergeCell ref="H71:H77"/>
    <mergeCell ref="X71:X77"/>
    <mergeCell ref="Y53:Y64"/>
    <mergeCell ref="A65:A70"/>
    <mergeCell ref="B65:B70"/>
    <mergeCell ref="C65:C70"/>
    <mergeCell ref="D65:D70"/>
    <mergeCell ref="E65:E70"/>
    <mergeCell ref="F65:F70"/>
    <mergeCell ref="G65:G70"/>
    <mergeCell ref="H65:H70"/>
    <mergeCell ref="X65:X70"/>
    <mergeCell ref="Y65:Y70"/>
    <mergeCell ref="A53:A64"/>
    <mergeCell ref="B53:B64"/>
    <mergeCell ref="C53:C64"/>
    <mergeCell ref="D53:D64"/>
    <mergeCell ref="E53:E64"/>
    <mergeCell ref="F53:F64"/>
    <mergeCell ref="G53:G64"/>
    <mergeCell ref="H53:H64"/>
    <mergeCell ref="X53:X64"/>
    <mergeCell ref="X40:X46"/>
    <mergeCell ref="Y43:Y52"/>
    <mergeCell ref="A47:A52"/>
    <mergeCell ref="B47:B52"/>
    <mergeCell ref="C47:C52"/>
    <mergeCell ref="D47:D52"/>
    <mergeCell ref="E47:E52"/>
    <mergeCell ref="F47:F52"/>
    <mergeCell ref="G47:G52"/>
    <mergeCell ref="H47:H52"/>
    <mergeCell ref="A40:A46"/>
    <mergeCell ref="B40:B46"/>
    <mergeCell ref="C40:C46"/>
    <mergeCell ref="D40:D46"/>
    <mergeCell ref="E40:E46"/>
    <mergeCell ref="F40:F46"/>
    <mergeCell ref="G40:G46"/>
    <mergeCell ref="H40:H46"/>
    <mergeCell ref="X47:X52"/>
    <mergeCell ref="X30:X39"/>
    <mergeCell ref="Y30:Y39"/>
    <mergeCell ref="X19:X28"/>
    <mergeCell ref="Y19:Y28"/>
    <mergeCell ref="A29:A39"/>
    <mergeCell ref="B29:B39"/>
    <mergeCell ref="C29:C39"/>
    <mergeCell ref="D29:D39"/>
    <mergeCell ref="E29:E39"/>
    <mergeCell ref="F29:F39"/>
    <mergeCell ref="G29:G39"/>
    <mergeCell ref="H29:H39"/>
    <mergeCell ref="X11:X18"/>
    <mergeCell ref="Y11:Y18"/>
    <mergeCell ref="A19:A28"/>
    <mergeCell ref="B19:B28"/>
    <mergeCell ref="C19:C28"/>
    <mergeCell ref="D19:D28"/>
    <mergeCell ref="E19:E28"/>
    <mergeCell ref="F19:F28"/>
    <mergeCell ref="G19:G28"/>
    <mergeCell ref="H19:H28"/>
    <mergeCell ref="A11:A18"/>
    <mergeCell ref="B11:B18"/>
    <mergeCell ref="C11:C18"/>
    <mergeCell ref="D11:D18"/>
    <mergeCell ref="E11:E18"/>
    <mergeCell ref="F11:F18"/>
    <mergeCell ref="G11:G18"/>
    <mergeCell ref="H11:H18"/>
    <mergeCell ref="A1:J1"/>
    <mergeCell ref="A2:J2"/>
    <mergeCell ref="A3:J3"/>
    <mergeCell ref="A4:J4"/>
    <mergeCell ref="A5:T6"/>
    <mergeCell ref="U5:X6"/>
    <mergeCell ref="W7:W8"/>
    <mergeCell ref="X7:X8"/>
    <mergeCell ref="G7:G8"/>
    <mergeCell ref="H7:H8"/>
    <mergeCell ref="I7:I8"/>
    <mergeCell ref="J7:T7"/>
    <mergeCell ref="U7:U8"/>
    <mergeCell ref="V7:V8"/>
    <mergeCell ref="A7:A8"/>
    <mergeCell ref="B7:B8"/>
    <mergeCell ref="C7:C8"/>
    <mergeCell ref="D7:D8"/>
    <mergeCell ref="E7:E8"/>
    <mergeCell ref="F7:F8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08B0-C202-496D-A3A8-FDE92F1810E4}">
  <sheetPr codeName="Sheet3">
    <outlinePr summaryBelow="0" summaryRight="0"/>
    <pageSetUpPr fitToPage="1"/>
  </sheetPr>
  <dimension ref="A1:Y1103"/>
  <sheetViews>
    <sheetView topLeftCell="A4" zoomScale="90" zoomScaleNormal="90" workbookViewId="0">
      <pane xSplit="9" ySplit="6" topLeftCell="T10" activePane="bottomRight" state="frozen"/>
      <selection activeCell="W118" sqref="W118"/>
      <selection pane="topRight" activeCell="W118" sqref="W118"/>
      <selection pane="bottomLeft" activeCell="W118" sqref="W118"/>
      <selection pane="bottomRight" activeCell="W118" sqref="W118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7" width="12.6328125" style="4" customWidth="1"/>
    <col min="18" max="18" width="16.54296875" style="4" customWidth="1"/>
    <col min="19" max="19" width="21.08984375" style="4" customWidth="1"/>
    <col min="20" max="20" width="14.08984375" style="4" customWidth="1"/>
    <col min="21" max="23" width="12.6328125" style="4"/>
    <col min="24" max="24" width="13.7265625" style="113" customWidth="1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>
      <c r="A5" s="204" t="s">
        <v>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6"/>
      <c r="U5" s="211" t="s">
        <v>202</v>
      </c>
      <c r="V5" s="212"/>
      <c r="W5" s="212"/>
      <c r="X5" s="213"/>
      <c r="Y5" s="3"/>
    </row>
    <row r="6" spans="1:25" ht="12.5">
      <c r="A6" s="207"/>
      <c r="B6" s="208"/>
      <c r="C6" s="208"/>
      <c r="D6" s="208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10"/>
      <c r="U6" s="214"/>
      <c r="V6" s="215"/>
      <c r="W6" s="215"/>
      <c r="X6" s="216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201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131"/>
      <c r="B9" s="132"/>
      <c r="C9" s="132"/>
      <c r="D9" s="133">
        <f>SUM(D10:D139)</f>
        <v>70465385</v>
      </c>
      <c r="E9" s="133">
        <f>SUM(E10:E139)</f>
        <v>13900000</v>
      </c>
      <c r="F9" s="133">
        <f>SUM(F10:F139)</f>
        <v>8200000</v>
      </c>
      <c r="G9" s="133">
        <f>SUM(G10:G139)</f>
        <v>15384000</v>
      </c>
      <c r="H9" s="133"/>
      <c r="I9" s="133">
        <f>SUM(I18,I28,I42,I54,I66,I72,I79,I93,I107,I119)</f>
        <v>92</v>
      </c>
      <c r="J9" s="133">
        <f>SUM(J18,J28,J42,J54,J66,J72,J79,J93,J107,J119)</f>
        <v>1255</v>
      </c>
      <c r="K9" s="133">
        <f t="shared" ref="K9:T9" si="0">SUM(K18,K28,K42,K54,K66,K72,K79,K93,K107,K119)</f>
        <v>4762550000</v>
      </c>
      <c r="L9" s="133">
        <f t="shared" si="0"/>
        <v>5223984016</v>
      </c>
      <c r="M9" s="133">
        <f t="shared" si="0"/>
        <v>4938372440</v>
      </c>
      <c r="N9" s="133">
        <f t="shared" si="0"/>
        <v>104649300</v>
      </c>
      <c r="O9" s="133">
        <f t="shared" si="0"/>
        <v>18447800</v>
      </c>
      <c r="P9" s="133">
        <f t="shared" si="0"/>
        <v>5061469540</v>
      </c>
      <c r="Q9" s="133">
        <f t="shared" si="0"/>
        <v>1020021371</v>
      </c>
      <c r="R9" s="133">
        <f t="shared" si="0"/>
        <v>0</v>
      </c>
      <c r="S9" s="133">
        <f t="shared" si="0"/>
        <v>100793548.51612903</v>
      </c>
      <c r="T9" s="133">
        <f t="shared" si="0"/>
        <v>4173371099.664094</v>
      </c>
      <c r="U9" s="133">
        <f>(T9/K9)*100</f>
        <v>87.628919374370753</v>
      </c>
      <c r="V9" s="133">
        <f>U9*109000/90</f>
        <v>106128.35790896014</v>
      </c>
      <c r="W9" s="134">
        <f>SUM(W18,W28,W42,W54,W66,W72,W79,W93,W107,W119)</f>
        <v>121109323.59835935</v>
      </c>
      <c r="X9" s="135">
        <f>SUM(X10,X11,X19,X29,X43,X55,X67,X73,X80,X94)</f>
        <v>153492939.26163745</v>
      </c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1282*7000</f>
        <v>8974000</v>
      </c>
      <c r="H10" s="13"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1"/>
      <c r="W10" s="16"/>
      <c r="X10" s="16">
        <f>D10+F10+E10+G10</f>
        <v>20174000</v>
      </c>
      <c r="Y10" s="17" t="s">
        <v>192</v>
      </c>
    </row>
    <row r="11" spans="1:25" ht="14">
      <c r="A11" s="222" t="s">
        <v>41</v>
      </c>
      <c r="B11" s="224" t="s">
        <v>42</v>
      </c>
      <c r="C11" s="224" t="s">
        <v>43</v>
      </c>
      <c r="D11" s="227">
        <v>8000000</v>
      </c>
      <c r="E11" s="226">
        <v>500000</v>
      </c>
      <c r="F11" s="230">
        <v>500000</v>
      </c>
      <c r="G11" s="177">
        <f>1282*5000</f>
        <v>6410000</v>
      </c>
      <c r="H11" s="177"/>
      <c r="I11" s="25" t="s">
        <v>44</v>
      </c>
      <c r="J11" s="44">
        <v>50</v>
      </c>
      <c r="K11" s="26">
        <v>170000000</v>
      </c>
      <c r="L11" s="18">
        <f>184640000-3000000</f>
        <v>181640000</v>
      </c>
      <c r="M11" s="14">
        <f>181098000-3000000</f>
        <v>178098000</v>
      </c>
      <c r="N11" s="14">
        <v>3396600</v>
      </c>
      <c r="O11" s="14">
        <v>0</v>
      </c>
      <c r="P11" s="14">
        <f>SUM(M11:O11)</f>
        <v>181494600</v>
      </c>
      <c r="Q11" s="44">
        <v>36540000</v>
      </c>
      <c r="R11" s="45">
        <f>Q11/L11</f>
        <v>0.2011671438009249</v>
      </c>
      <c r="S11" s="14">
        <f>1645161.29032258+500000</f>
        <v>2145161.2903225799</v>
      </c>
      <c r="T11" s="26">
        <f t="shared" ref="T11:T17" si="1">P11-(P11*R11)+S11</f>
        <v>147129010.99303123</v>
      </c>
      <c r="U11" s="46">
        <f t="shared" ref="U11:U91" si="2">(T11/K11)*100</f>
        <v>86.546477054724264</v>
      </c>
      <c r="V11" s="12">
        <f>U11*100000/85</f>
        <v>101819.38477026384</v>
      </c>
      <c r="W11" s="21">
        <f t="shared" ref="W11:W17" si="3">V11*J11</f>
        <v>5090969.2385131922</v>
      </c>
      <c r="X11" s="177">
        <f>W18+D11+F11+G11+H11+E11</f>
        <v>22125873.183039736</v>
      </c>
      <c r="Y11" s="239"/>
    </row>
    <row r="12" spans="1:25" ht="14">
      <c r="A12" s="222"/>
      <c r="B12" s="224" t="str">
        <f>B11</f>
        <v>Trần Quang Huy</v>
      </c>
      <c r="C12" s="224"/>
      <c r="D12" s="227"/>
      <c r="E12" s="227"/>
      <c r="F12" s="230"/>
      <c r="G12" s="177"/>
      <c r="H12" s="177"/>
      <c r="I12" s="26" t="s">
        <v>45</v>
      </c>
      <c r="J12" s="47">
        <v>14</v>
      </c>
      <c r="K12" s="26">
        <v>46300000</v>
      </c>
      <c r="L12" s="31">
        <v>53958000</v>
      </c>
      <c r="M12" s="14">
        <v>53958000</v>
      </c>
      <c r="N12" s="14">
        <v>0</v>
      </c>
      <c r="O12" s="14">
        <v>0</v>
      </c>
      <c r="P12" s="14">
        <f>SUM(M12:O12)</f>
        <v>53958000</v>
      </c>
      <c r="Q12" s="44">
        <v>11058000</v>
      </c>
      <c r="R12" s="45">
        <f t="shared" ref="R12:R78" si="4">Q12/L12</f>
        <v>0.2049371733570555</v>
      </c>
      <c r="S12" s="14"/>
      <c r="T12" s="26">
        <f t="shared" si="1"/>
        <v>42900000</v>
      </c>
      <c r="U12" s="46">
        <f t="shared" si="2"/>
        <v>92.656587473002162</v>
      </c>
      <c r="V12" s="12">
        <f>U12*119000/95</f>
        <v>116064.56746618166</v>
      </c>
      <c r="W12" s="21">
        <f t="shared" si="3"/>
        <v>1624903.9445265431</v>
      </c>
      <c r="X12" s="178"/>
      <c r="Y12" s="239"/>
    </row>
    <row r="13" spans="1:25" ht="12.5">
      <c r="A13" s="222"/>
      <c r="B13" s="224" t="str">
        <f>B12</f>
        <v>Trần Quang Huy</v>
      </c>
      <c r="C13" s="224"/>
      <c r="D13" s="227"/>
      <c r="E13" s="227"/>
      <c r="F13" s="230"/>
      <c r="G13" s="177"/>
      <c r="H13" s="177"/>
      <c r="J13" s="49"/>
      <c r="K13" s="37"/>
      <c r="L13" s="14"/>
      <c r="M13" s="14"/>
      <c r="N13" s="14"/>
      <c r="O13" s="14"/>
      <c r="P13" s="14">
        <f t="shared" ref="P13:P17" si="5">SUM(M13:O13)</f>
        <v>0</v>
      </c>
      <c r="Q13" s="44"/>
      <c r="R13" s="45"/>
      <c r="S13" s="14"/>
      <c r="T13" s="26">
        <f t="shared" si="1"/>
        <v>0</v>
      </c>
      <c r="U13" s="46">
        <f>(T13/K112)*100</f>
        <v>0</v>
      </c>
      <c r="V13" s="12">
        <f>U13*100000/85</f>
        <v>0</v>
      </c>
      <c r="W13" s="21">
        <f t="shared" si="3"/>
        <v>0</v>
      </c>
      <c r="X13" s="178"/>
      <c r="Y13" s="239"/>
    </row>
    <row r="14" spans="1:25" ht="12.5">
      <c r="A14" s="222"/>
      <c r="B14" s="224" t="str">
        <f>B13</f>
        <v>Trần Quang Huy</v>
      </c>
      <c r="C14" s="224"/>
      <c r="D14" s="227"/>
      <c r="E14" s="227"/>
      <c r="F14" s="230"/>
      <c r="G14" s="177"/>
      <c r="H14" s="177"/>
      <c r="I14" s="36"/>
      <c r="J14" s="37"/>
      <c r="K14" s="37"/>
      <c r="L14" s="14"/>
      <c r="M14" s="14"/>
      <c r="N14" s="14"/>
      <c r="O14" s="14"/>
      <c r="P14" s="14">
        <f t="shared" si="5"/>
        <v>0</v>
      </c>
      <c r="Q14" s="44"/>
      <c r="R14" s="45"/>
      <c r="S14" s="14"/>
      <c r="T14" s="26">
        <f t="shared" si="1"/>
        <v>0</v>
      </c>
      <c r="U14" s="46">
        <f>(T14/K90)*100</f>
        <v>0</v>
      </c>
      <c r="V14" s="12">
        <f>U14*109000/90</f>
        <v>0</v>
      </c>
      <c r="W14" s="21">
        <f t="shared" si="3"/>
        <v>0</v>
      </c>
      <c r="X14" s="178"/>
      <c r="Y14" s="239"/>
    </row>
    <row r="15" spans="1:25" ht="12.5">
      <c r="A15" s="222"/>
      <c r="B15" s="224" t="str">
        <f>B14</f>
        <v>Trần Quang Huy</v>
      </c>
      <c r="C15" s="224"/>
      <c r="D15" s="227"/>
      <c r="E15" s="227"/>
      <c r="F15" s="230"/>
      <c r="G15" s="177"/>
      <c r="H15" s="177"/>
      <c r="I15" s="36"/>
      <c r="J15" s="37"/>
      <c r="K15" s="37"/>
      <c r="L15" s="14"/>
      <c r="M15" s="14"/>
      <c r="N15" s="14"/>
      <c r="O15" s="14"/>
      <c r="P15" s="14">
        <f>SUM(M15:O15)</f>
        <v>0</v>
      </c>
      <c r="Q15" s="44"/>
      <c r="R15" s="45"/>
      <c r="S15" s="14"/>
      <c r="T15" s="26">
        <f t="shared" si="1"/>
        <v>0</v>
      </c>
      <c r="U15" s="46">
        <f>(T15/K12)*100</f>
        <v>0</v>
      </c>
      <c r="V15" s="12">
        <f>U15*100000/85</f>
        <v>0</v>
      </c>
      <c r="W15" s="21">
        <f t="shared" si="3"/>
        <v>0</v>
      </c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23"/>
      <c r="M16" s="23"/>
      <c r="N16" s="23"/>
      <c r="O16" s="23"/>
      <c r="P16" s="14">
        <f t="shared" si="5"/>
        <v>0</v>
      </c>
      <c r="Q16" s="44"/>
      <c r="R16" s="45"/>
      <c r="S16" s="14"/>
      <c r="T16" s="26">
        <f t="shared" si="1"/>
        <v>0</v>
      </c>
      <c r="U16" s="46">
        <f>(T16/K90)*100</f>
        <v>0</v>
      </c>
      <c r="V16" s="12">
        <f>U16*109000/95</f>
        <v>0</v>
      </c>
      <c r="W16" s="21">
        <f t="shared" si="3"/>
        <v>0</v>
      </c>
      <c r="X16" s="178"/>
      <c r="Y16" s="239"/>
    </row>
    <row r="17" spans="1:25" ht="12.5">
      <c r="A17" s="222"/>
      <c r="B17" s="224"/>
      <c r="C17" s="224"/>
      <c r="D17" s="227"/>
      <c r="E17" s="227"/>
      <c r="F17" s="230"/>
      <c r="G17" s="177"/>
      <c r="H17" s="177"/>
      <c r="I17" s="36"/>
      <c r="J17" s="37"/>
      <c r="K17" s="37"/>
      <c r="L17" s="25"/>
      <c r="M17" s="26"/>
      <c r="N17" s="26"/>
      <c r="O17" s="26"/>
      <c r="P17" s="14">
        <f t="shared" si="5"/>
        <v>0</v>
      </c>
      <c r="Q17" s="32"/>
      <c r="R17" s="45"/>
      <c r="S17" s="32"/>
      <c r="T17" s="26">
        <f t="shared" si="1"/>
        <v>0</v>
      </c>
      <c r="U17" s="46">
        <f>(T17/K12)*100</f>
        <v>0</v>
      </c>
      <c r="V17" s="12">
        <f>U17*109000/95</f>
        <v>0</v>
      </c>
      <c r="W17" s="21">
        <f t="shared" si="3"/>
        <v>0</v>
      </c>
      <c r="X17" s="178"/>
      <c r="Y17" s="239"/>
    </row>
    <row r="18" spans="1:25" ht="13">
      <c r="A18" s="240"/>
      <c r="B18" s="241" t="str">
        <f>B15</f>
        <v>Trần Quang Huy</v>
      </c>
      <c r="C18" s="241"/>
      <c r="D18" s="228"/>
      <c r="E18" s="228"/>
      <c r="F18" s="231"/>
      <c r="G18" s="177"/>
      <c r="H18" s="177"/>
      <c r="I18" s="51">
        <v>2</v>
      </c>
      <c r="J18" s="52">
        <f>SUM(J11:J17)</f>
        <v>64</v>
      </c>
      <c r="K18" s="52">
        <f>SUM(K11:K17)</f>
        <v>216300000</v>
      </c>
      <c r="L18" s="52">
        <f>SUM(L11:L17)</f>
        <v>235598000</v>
      </c>
      <c r="M18" s="52">
        <f t="shared" ref="M18:N18" si="6">SUM(M11:M17)</f>
        <v>232056000</v>
      </c>
      <c r="N18" s="52">
        <f t="shared" si="6"/>
        <v>3396600</v>
      </c>
      <c r="O18" s="52">
        <f>SUM(O11:O17)</f>
        <v>0</v>
      </c>
      <c r="P18" s="52">
        <f>SUM(P11:P17)</f>
        <v>235452600</v>
      </c>
      <c r="Q18" s="52">
        <f>SUM(Q11:Q17)</f>
        <v>47598000</v>
      </c>
      <c r="R18" s="53"/>
      <c r="S18" s="52">
        <f>SUM(S11:S17)</f>
        <v>2145161.2903225799</v>
      </c>
      <c r="T18" s="54">
        <f>SUM(T11:T17)</f>
        <v>190029010.99303123</v>
      </c>
      <c r="U18" s="55">
        <f>(T18/K18)*100</f>
        <v>87.854374014346376</v>
      </c>
      <c r="V18" s="52"/>
      <c r="W18" s="52">
        <f>SUM(W11:W17)</f>
        <v>6715873.1830397351</v>
      </c>
      <c r="X18" s="178"/>
      <c r="Y18" s="239"/>
    </row>
    <row r="19" spans="1:25" ht="13" customHeight="1">
      <c r="A19" s="221" t="s">
        <v>46</v>
      </c>
      <c r="B19" s="249" t="s">
        <v>47</v>
      </c>
      <c r="C19" s="223" t="s">
        <v>35</v>
      </c>
      <c r="D19" s="226"/>
      <c r="E19" s="226">
        <v>500000</v>
      </c>
      <c r="F19" s="229">
        <v>500000</v>
      </c>
      <c r="G19" s="177">
        <v>0</v>
      </c>
      <c r="H19" s="177">
        <v>2000000</v>
      </c>
      <c r="I19" s="14" t="s">
        <v>48</v>
      </c>
      <c r="J19" s="56">
        <v>22</v>
      </c>
      <c r="K19" s="56">
        <v>103000000</v>
      </c>
      <c r="L19" s="14">
        <v>121516000</v>
      </c>
      <c r="M19" s="14">
        <v>115482000</v>
      </c>
      <c r="N19" s="14">
        <v>1170000</v>
      </c>
      <c r="O19" s="14">
        <v>0</v>
      </c>
      <c r="P19" s="14">
        <f>SUM(M19:O19)</f>
        <v>116652000</v>
      </c>
      <c r="Q19" s="14">
        <v>25516000</v>
      </c>
      <c r="R19" s="45">
        <f t="shared" si="4"/>
        <v>0.20998057868922612</v>
      </c>
      <c r="S19" s="14"/>
      <c r="T19" s="26">
        <f>P19-(P19*R19)+S19</f>
        <v>92157345.534744397</v>
      </c>
      <c r="U19" s="46">
        <f>(T19/K19)*100</f>
        <v>89.473151004606208</v>
      </c>
      <c r="V19" s="12">
        <f>U19*109000/90</f>
        <v>108361.92732780085</v>
      </c>
      <c r="W19" s="15">
        <f>V19*J19</f>
        <v>2383962.4012116184</v>
      </c>
      <c r="X19" s="177">
        <f>W28+D19+F19+G19+H19+E19</f>
        <v>14601675.858061649</v>
      </c>
      <c r="Y19" s="246"/>
    </row>
    <row r="20" spans="1:25" ht="13" customHeight="1">
      <c r="A20" s="222"/>
      <c r="B20" s="247"/>
      <c r="C20" s="224"/>
      <c r="D20" s="227"/>
      <c r="E20" s="227"/>
      <c r="F20" s="230"/>
      <c r="G20" s="177"/>
      <c r="H20" s="177"/>
      <c r="I20" s="32" t="s">
        <v>49</v>
      </c>
      <c r="J20" s="26">
        <v>8</v>
      </c>
      <c r="K20" s="26">
        <v>32800000</v>
      </c>
      <c r="L20" s="14">
        <v>38390000</v>
      </c>
      <c r="M20" s="14">
        <v>38390000</v>
      </c>
      <c r="N20" s="14">
        <v>0</v>
      </c>
      <c r="O20" s="14">
        <v>0</v>
      </c>
      <c r="P20" s="14">
        <f t="shared" ref="P20:P27" si="7">SUM(M20:O20)</f>
        <v>38390000</v>
      </c>
      <c r="Q20" s="14">
        <v>7790000</v>
      </c>
      <c r="R20" s="45">
        <f t="shared" si="4"/>
        <v>0.20291742641312843</v>
      </c>
      <c r="S20" s="14"/>
      <c r="T20" s="26">
        <f t="shared" ref="T20:T27" si="8">P20-(P20*R20)+S20</f>
        <v>30600000</v>
      </c>
      <c r="U20" s="46">
        <f t="shared" ref="U20:U26" si="9">(T20/K20)*100</f>
        <v>93.292682926829272</v>
      </c>
      <c r="V20" s="21">
        <f t="shared" ref="V20" si="10">U20*119000/95</f>
        <v>116861.36071887036</v>
      </c>
      <c r="W20" s="16">
        <f t="shared" ref="W20:W27" si="11">V20*J20</f>
        <v>934890.88575096289</v>
      </c>
      <c r="X20" s="177"/>
      <c r="Y20" s="246"/>
    </row>
    <row r="21" spans="1:25" ht="13" customHeight="1">
      <c r="A21" s="222"/>
      <c r="B21" s="247"/>
      <c r="C21" s="224"/>
      <c r="D21" s="227"/>
      <c r="E21" s="227"/>
      <c r="F21" s="230"/>
      <c r="G21" s="177"/>
      <c r="H21" s="177"/>
      <c r="I21" s="47" t="s">
        <v>50</v>
      </c>
      <c r="J21" s="26">
        <v>9</v>
      </c>
      <c r="K21" s="26">
        <v>37800000</v>
      </c>
      <c r="L21" s="14">
        <v>34980000</v>
      </c>
      <c r="M21" s="14">
        <v>34980000</v>
      </c>
      <c r="N21" s="14">
        <v>0</v>
      </c>
      <c r="O21" s="14">
        <v>0</v>
      </c>
      <c r="P21" s="14">
        <f t="shared" si="7"/>
        <v>34980000</v>
      </c>
      <c r="Q21" s="14">
        <v>7280000</v>
      </c>
      <c r="R21" s="45">
        <f t="shared" si="4"/>
        <v>0.20811892510005717</v>
      </c>
      <c r="S21" s="14"/>
      <c r="T21" s="26">
        <f t="shared" si="8"/>
        <v>27700000</v>
      </c>
      <c r="U21" s="46">
        <f t="shared" si="9"/>
        <v>73.280423280423278</v>
      </c>
      <c r="V21" s="21">
        <f>U21*74000/75</f>
        <v>72303.350970017636</v>
      </c>
      <c r="W21" s="16">
        <f t="shared" si="11"/>
        <v>650730.1587301587</v>
      </c>
      <c r="X21" s="177"/>
      <c r="Y21" s="246"/>
    </row>
    <row r="22" spans="1:25" ht="13" customHeight="1">
      <c r="A22" s="222"/>
      <c r="B22" s="247"/>
      <c r="C22" s="224"/>
      <c r="D22" s="227"/>
      <c r="E22" s="227"/>
      <c r="F22" s="230"/>
      <c r="G22" s="177"/>
      <c r="H22" s="177"/>
      <c r="I22" s="26" t="s">
        <v>51</v>
      </c>
      <c r="J22" s="14">
        <v>17</v>
      </c>
      <c r="K22" s="14">
        <v>42000000</v>
      </c>
      <c r="L22" s="14">
        <v>52628000</v>
      </c>
      <c r="M22" s="14">
        <v>52627067</v>
      </c>
      <c r="N22" s="14">
        <v>0</v>
      </c>
      <c r="O22" s="14">
        <v>0</v>
      </c>
      <c r="P22" s="14">
        <f t="shared" si="7"/>
        <v>52627067</v>
      </c>
      <c r="Q22" s="14">
        <v>11228000</v>
      </c>
      <c r="R22" s="45">
        <f t="shared" si="4"/>
        <v>0.21334650756251425</v>
      </c>
      <c r="S22" s="14"/>
      <c r="T22" s="26">
        <f t="shared" si="8"/>
        <v>41399266.052291557</v>
      </c>
      <c r="U22" s="46">
        <f t="shared" si="9"/>
        <v>98.569681076884663</v>
      </c>
      <c r="V22" s="21">
        <f>U22*130000/100</f>
        <v>128140.58539995005</v>
      </c>
      <c r="W22" s="16">
        <f t="shared" si="11"/>
        <v>2178389.951799151</v>
      </c>
      <c r="X22" s="177"/>
      <c r="Y22" s="246"/>
    </row>
    <row r="23" spans="1:25" ht="13" customHeight="1">
      <c r="A23" s="222"/>
      <c r="B23" s="247" t="str">
        <f>B19</f>
        <v>Nguyễn Thị Thương Huyền</v>
      </c>
      <c r="C23" s="224"/>
      <c r="D23" s="227"/>
      <c r="E23" s="227"/>
      <c r="F23" s="230"/>
      <c r="G23" s="177"/>
      <c r="H23" s="177"/>
      <c r="I23" s="23" t="s">
        <v>52</v>
      </c>
      <c r="J23" s="23">
        <v>9</v>
      </c>
      <c r="K23" s="23">
        <v>31500000</v>
      </c>
      <c r="L23" s="14">
        <v>39012000</v>
      </c>
      <c r="M23" s="14">
        <v>39012000</v>
      </c>
      <c r="N23" s="14">
        <v>0</v>
      </c>
      <c r="O23" s="14">
        <v>0</v>
      </c>
      <c r="P23" s="14">
        <f t="shared" si="7"/>
        <v>39012000</v>
      </c>
      <c r="Q23" s="14">
        <v>7512000</v>
      </c>
      <c r="R23" s="45">
        <f t="shared" si="4"/>
        <v>0.19255613657336204</v>
      </c>
      <c r="S23" s="14"/>
      <c r="T23" s="26">
        <f t="shared" si="8"/>
        <v>31500000</v>
      </c>
      <c r="U23" s="46">
        <f t="shared" si="9"/>
        <v>100</v>
      </c>
      <c r="V23" s="21">
        <f>U23*130000/100</f>
        <v>130000</v>
      </c>
      <c r="W23" s="16">
        <f t="shared" si="11"/>
        <v>1170000</v>
      </c>
      <c r="X23" s="178"/>
      <c r="Y23" s="246"/>
    </row>
    <row r="24" spans="1:25" ht="13" customHeight="1">
      <c r="A24" s="222"/>
      <c r="B24" s="247" t="str">
        <f>B23</f>
        <v>Nguyễn Thị Thương Huyền</v>
      </c>
      <c r="C24" s="224"/>
      <c r="D24" s="227"/>
      <c r="E24" s="227"/>
      <c r="F24" s="230"/>
      <c r="G24" s="177"/>
      <c r="H24" s="177"/>
      <c r="I24" s="26" t="s">
        <v>53</v>
      </c>
      <c r="J24" s="26">
        <v>10</v>
      </c>
      <c r="K24" s="26">
        <v>36200000</v>
      </c>
      <c r="L24" s="23">
        <v>45664000</v>
      </c>
      <c r="M24" s="23">
        <v>41704000</v>
      </c>
      <c r="N24" s="23">
        <v>3042000</v>
      </c>
      <c r="O24" s="23">
        <v>0</v>
      </c>
      <c r="P24" s="14">
        <f t="shared" si="7"/>
        <v>44746000</v>
      </c>
      <c r="Q24" s="23">
        <v>9964000</v>
      </c>
      <c r="R24" s="45">
        <f t="shared" si="4"/>
        <v>0.21820252277505256</v>
      </c>
      <c r="S24" s="23"/>
      <c r="T24" s="26">
        <f t="shared" si="8"/>
        <v>34982309.915907502</v>
      </c>
      <c r="U24" s="46">
        <f t="shared" si="9"/>
        <v>96.636215237313536</v>
      </c>
      <c r="V24" s="12">
        <f>U24*120000/95</f>
        <v>122066.79819450132</v>
      </c>
      <c r="W24" s="21">
        <f t="shared" si="11"/>
        <v>1220667.9819450132</v>
      </c>
      <c r="X24" s="178"/>
      <c r="Y24" s="246"/>
    </row>
    <row r="25" spans="1:25" ht="13" customHeight="1">
      <c r="A25" s="222"/>
      <c r="B25" s="247"/>
      <c r="C25" s="224"/>
      <c r="D25" s="227"/>
      <c r="E25" s="227"/>
      <c r="F25" s="230"/>
      <c r="G25" s="245"/>
      <c r="H25" s="245"/>
      <c r="I25" s="26" t="s">
        <v>54</v>
      </c>
      <c r="J25" s="26">
        <v>15</v>
      </c>
      <c r="K25" s="26">
        <v>61200000</v>
      </c>
      <c r="L25" s="25">
        <v>59739400</v>
      </c>
      <c r="M25" s="26">
        <v>47658177</v>
      </c>
      <c r="N25" s="26">
        <v>608400</v>
      </c>
      <c r="O25" s="26">
        <v>0</v>
      </c>
      <c r="P25" s="14">
        <f t="shared" si="7"/>
        <v>48266577</v>
      </c>
      <c r="Q25" s="26">
        <v>9389400</v>
      </c>
      <c r="R25" s="45">
        <f t="shared" si="4"/>
        <v>0.15717265322383553</v>
      </c>
      <c r="S25" s="26"/>
      <c r="T25" s="26">
        <f>P25-(P25*R25)+S25</f>
        <v>40680391.030877441</v>
      </c>
      <c r="U25" s="46">
        <f t="shared" si="9"/>
        <v>66.47122717463634</v>
      </c>
      <c r="V25" s="13"/>
      <c r="W25" s="15">
        <f>(130000*15)*10%</f>
        <v>195000</v>
      </c>
      <c r="X25" s="178"/>
      <c r="Y25" s="246"/>
    </row>
    <row r="26" spans="1:25" ht="13" customHeight="1">
      <c r="A26" s="222"/>
      <c r="B26" s="247"/>
      <c r="C26" s="224"/>
      <c r="D26" s="227"/>
      <c r="E26" s="227"/>
      <c r="F26" s="230"/>
      <c r="G26" s="245"/>
      <c r="H26" s="245"/>
      <c r="I26" s="26" t="s">
        <v>55</v>
      </c>
      <c r="J26" s="26">
        <v>16</v>
      </c>
      <c r="K26" s="26">
        <v>68800000</v>
      </c>
      <c r="L26" s="25">
        <f>70618000-3800000</f>
        <v>66818000</v>
      </c>
      <c r="M26" s="26">
        <f>61988000-3800000</f>
        <v>58188000</v>
      </c>
      <c r="N26" s="26">
        <v>356400</v>
      </c>
      <c r="O26" s="26">
        <v>0</v>
      </c>
      <c r="P26" s="23">
        <f t="shared" si="7"/>
        <v>58544400</v>
      </c>
      <c r="Q26" s="26">
        <v>11518000</v>
      </c>
      <c r="R26" s="45">
        <f t="shared" si="4"/>
        <v>0.17237870035020503</v>
      </c>
      <c r="S26" s="26">
        <v>2451612.9032258065</v>
      </c>
      <c r="T26" s="26">
        <f t="shared" si="8"/>
        <v>50904205.318443269</v>
      </c>
      <c r="U26" s="46">
        <f t="shared" si="9"/>
        <v>73.988670520993125</v>
      </c>
      <c r="V26" s="16">
        <f>U26*74000/75</f>
        <v>73002.15491404655</v>
      </c>
      <c r="W26" s="16">
        <f t="shared" si="11"/>
        <v>1168034.4786247448</v>
      </c>
      <c r="X26" s="178"/>
      <c r="Y26" s="246"/>
    </row>
    <row r="27" spans="1:25" ht="13" customHeight="1">
      <c r="A27" s="264"/>
      <c r="B27" s="265"/>
      <c r="C27" s="258"/>
      <c r="D27" s="227"/>
      <c r="E27" s="227"/>
      <c r="F27" s="230"/>
      <c r="G27" s="245"/>
      <c r="H27" s="245"/>
      <c r="I27" s="26" t="s">
        <v>197</v>
      </c>
      <c r="J27" s="26">
        <v>17</v>
      </c>
      <c r="K27" s="26"/>
      <c r="L27" s="25"/>
      <c r="M27" s="30"/>
      <c r="N27" s="84"/>
      <c r="O27" s="26">
        <v>0</v>
      </c>
      <c r="P27" s="26">
        <f t="shared" si="7"/>
        <v>0</v>
      </c>
      <c r="Q27" s="26">
        <v>0</v>
      </c>
      <c r="R27" s="45"/>
      <c r="S27" s="26"/>
      <c r="T27" s="26">
        <f t="shared" si="8"/>
        <v>0</v>
      </c>
      <c r="U27" s="46"/>
      <c r="V27" s="16">
        <v>100000</v>
      </c>
      <c r="W27" s="16">
        <f t="shared" si="11"/>
        <v>1700000</v>
      </c>
      <c r="X27" s="178"/>
      <c r="Y27" s="246"/>
    </row>
    <row r="28" spans="1:25" ht="13" customHeight="1">
      <c r="A28" s="179"/>
      <c r="B28" s="180" t="e">
        <f>#REF!</f>
        <v>#REF!</v>
      </c>
      <c r="C28" s="225"/>
      <c r="D28" s="228"/>
      <c r="E28" s="228"/>
      <c r="F28" s="231"/>
      <c r="G28" s="245"/>
      <c r="H28" s="245"/>
      <c r="I28" s="127">
        <v>9</v>
      </c>
      <c r="J28" s="128">
        <f>SUM(J19:J27)</f>
        <v>123</v>
      </c>
      <c r="K28" s="128">
        <f t="shared" ref="K28:Q28" si="12">SUM(K19:K27)</f>
        <v>413300000</v>
      </c>
      <c r="L28" s="128">
        <f t="shared" si="12"/>
        <v>458747400</v>
      </c>
      <c r="M28" s="128">
        <f t="shared" si="12"/>
        <v>428041244</v>
      </c>
      <c r="N28" s="128">
        <f t="shared" si="12"/>
        <v>5176800</v>
      </c>
      <c r="O28" s="128">
        <f t="shared" si="12"/>
        <v>0</v>
      </c>
      <c r="P28" s="128">
        <f t="shared" si="12"/>
        <v>433218044</v>
      </c>
      <c r="Q28" s="60">
        <f t="shared" si="12"/>
        <v>90197400</v>
      </c>
      <c r="R28" s="61"/>
      <c r="S28" s="60">
        <f>SUM(S19:S26)</f>
        <v>2451612.9032258065</v>
      </c>
      <c r="T28" s="129">
        <f>SUM(T19:T27)</f>
        <v>349923517.85226417</v>
      </c>
      <c r="U28" s="55">
        <f>(T28/K28)*100</f>
        <v>84.665743491958423</v>
      </c>
      <c r="V28" s="62"/>
      <c r="W28" s="62">
        <f>SUM(W19:W27)</f>
        <v>11601675.858061649</v>
      </c>
      <c r="X28" s="178"/>
      <c r="Y28" s="246"/>
    </row>
    <row r="29" spans="1:25" ht="13" customHeight="1">
      <c r="A29" s="222" t="s">
        <v>56</v>
      </c>
      <c r="B29" s="247" t="s">
        <v>57</v>
      </c>
      <c r="C29" s="223" t="s">
        <v>35</v>
      </c>
      <c r="D29" s="226">
        <v>0</v>
      </c>
      <c r="E29" s="226">
        <v>500000</v>
      </c>
      <c r="F29" s="242">
        <f>500000</f>
        <v>500000</v>
      </c>
      <c r="G29" s="181">
        <v>0</v>
      </c>
      <c r="H29" s="181"/>
      <c r="I29" s="36" t="s">
        <v>129</v>
      </c>
      <c r="J29" s="26">
        <v>12</v>
      </c>
      <c r="K29" s="26">
        <v>48900000</v>
      </c>
      <c r="L29" s="56">
        <f>51382000-3300000</f>
        <v>48082000</v>
      </c>
      <c r="M29" s="56">
        <f>51362000-3300000</f>
        <v>48062000</v>
      </c>
      <c r="N29" s="37">
        <v>0</v>
      </c>
      <c r="O29" s="37">
        <v>0</v>
      </c>
      <c r="P29" s="26">
        <f t="shared" ref="P29:P30" si="13">SUM(M29:O29)</f>
        <v>48062000</v>
      </c>
      <c r="Q29" s="56">
        <v>7082000</v>
      </c>
      <c r="R29" s="65">
        <f t="shared" ref="R29:R30" si="14">Q29/L29</f>
        <v>0.14729004617112432</v>
      </c>
      <c r="S29" s="37"/>
      <c r="T29" s="26">
        <f t="shared" ref="T29:T30" si="15">P29-(P29*R29)+S29</f>
        <v>40982945.800923422</v>
      </c>
      <c r="U29" s="67">
        <f t="shared" ref="U29:U30" si="16">(T29/K29)*100</f>
        <v>83.809705114362828</v>
      </c>
      <c r="V29" s="12">
        <f t="shared" ref="V29" si="17">U29*94000/85</f>
        <v>92683.673891177721</v>
      </c>
      <c r="W29" s="21">
        <f t="shared" ref="W29:W30" si="18">V29*J29</f>
        <v>1112204.0866941325</v>
      </c>
      <c r="X29" s="181">
        <f>W42+D29+F29+H32+G29+E29</f>
        <v>19182284.535040423</v>
      </c>
      <c r="Y29" s="57"/>
    </row>
    <row r="30" spans="1:25" ht="13" customHeight="1">
      <c r="A30" s="222"/>
      <c r="B30" s="247"/>
      <c r="C30" s="224"/>
      <c r="D30" s="227"/>
      <c r="E30" s="227"/>
      <c r="F30" s="243"/>
      <c r="G30" s="244"/>
      <c r="H30" s="244"/>
      <c r="I30" s="130" t="s">
        <v>116</v>
      </c>
      <c r="J30" s="14">
        <v>11</v>
      </c>
      <c r="K30" s="14">
        <v>43800000</v>
      </c>
      <c r="L30" s="56">
        <v>37162000</v>
      </c>
      <c r="M30" s="56">
        <v>37146000</v>
      </c>
      <c r="N30" s="37">
        <v>0</v>
      </c>
      <c r="O30" s="37">
        <v>0</v>
      </c>
      <c r="P30" s="44">
        <f t="shared" si="13"/>
        <v>37146000</v>
      </c>
      <c r="Q30" s="56">
        <v>7862000</v>
      </c>
      <c r="R30" s="65">
        <f t="shared" si="14"/>
        <v>0.21156019589903666</v>
      </c>
      <c r="S30" s="66">
        <v>2554838.7096774192</v>
      </c>
      <c r="T30" s="66">
        <f t="shared" si="15"/>
        <v>31842223.672811806</v>
      </c>
      <c r="U30" s="67">
        <f t="shared" si="16"/>
        <v>72.699140805506403</v>
      </c>
      <c r="V30" s="12">
        <f>U30*74000/75</f>
        <v>71729.818928099645</v>
      </c>
      <c r="W30" s="21">
        <f t="shared" si="18"/>
        <v>789028.00820909603</v>
      </c>
      <c r="X30" s="244"/>
      <c r="Y30" s="57"/>
    </row>
    <row r="31" spans="1:25" ht="13" customHeight="1">
      <c r="A31" s="222"/>
      <c r="B31" s="247"/>
      <c r="C31" s="224"/>
      <c r="D31" s="227"/>
      <c r="E31" s="227"/>
      <c r="F31" s="243"/>
      <c r="G31" s="244"/>
      <c r="H31" s="244"/>
      <c r="I31" s="14" t="s">
        <v>58</v>
      </c>
      <c r="J31" s="14">
        <v>18</v>
      </c>
      <c r="K31" s="14">
        <v>88300000</v>
      </c>
      <c r="L31" s="14">
        <f>101739000-4500000</f>
        <v>97239000</v>
      </c>
      <c r="M31" s="123">
        <f>90569000-4500000</f>
        <v>86069000</v>
      </c>
      <c r="N31" s="66">
        <v>5472000</v>
      </c>
      <c r="O31" s="66">
        <v>0</v>
      </c>
      <c r="P31" s="44">
        <f>SUM(M31:O31)</f>
        <v>91541000</v>
      </c>
      <c r="Q31" s="66">
        <v>19839000</v>
      </c>
      <c r="R31" s="65">
        <f>Q31/L31</f>
        <v>0.20402307716039861</v>
      </c>
      <c r="S31" s="66"/>
      <c r="T31" s="66">
        <f>P31-(P31*R31)+S31</f>
        <v>72864523.493659943</v>
      </c>
      <c r="U31" s="67">
        <f>(T31/K31)*100</f>
        <v>82.519279154767773</v>
      </c>
      <c r="V31" s="12">
        <f>U31*94000/85</f>
        <v>91256.614594684361</v>
      </c>
      <c r="W31" s="21">
        <f>V31*J31</f>
        <v>1642619.0627043184</v>
      </c>
      <c r="X31" s="244"/>
      <c r="Y31" s="57"/>
    </row>
    <row r="32" spans="1:25" ht="13" customHeight="1">
      <c r="A32" s="222"/>
      <c r="B32" s="247"/>
      <c r="C32" s="224"/>
      <c r="D32" s="227"/>
      <c r="E32" s="227"/>
      <c r="F32" s="243"/>
      <c r="G32" s="244"/>
      <c r="H32" s="244"/>
      <c r="I32" s="66" t="s">
        <v>59</v>
      </c>
      <c r="J32" s="14">
        <f>7+1</f>
        <v>8</v>
      </c>
      <c r="K32" s="14">
        <f>27000000+8500000</f>
        <v>35500000</v>
      </c>
      <c r="L32" s="14">
        <v>28522000</v>
      </c>
      <c r="M32" s="64">
        <v>24288000</v>
      </c>
      <c r="N32" s="14">
        <v>0</v>
      </c>
      <c r="O32" s="14">
        <v>2970800</v>
      </c>
      <c r="P32" s="14">
        <f>SUM(M32:O32)</f>
        <v>27258800</v>
      </c>
      <c r="Q32" s="14">
        <v>4322000</v>
      </c>
      <c r="R32" s="65">
        <f>Q32/L32</f>
        <v>0.1515321506205736</v>
      </c>
      <c r="S32" s="14">
        <v>5145161.2903225804</v>
      </c>
      <c r="T32" s="66">
        <f>P32-(P32*R32)+S32</f>
        <v>28273376.702986486</v>
      </c>
      <c r="U32" s="67">
        <f>(T32/K32)*100</f>
        <v>79.643314656299964</v>
      </c>
      <c r="V32" s="12">
        <f>U32*84000/80</f>
        <v>83625.480389114964</v>
      </c>
      <c r="W32" s="21">
        <f>V32*J32</f>
        <v>669003.84311291971</v>
      </c>
      <c r="X32" s="244"/>
      <c r="Y32" s="246"/>
    </row>
    <row r="33" spans="1:25" ht="13" customHeight="1">
      <c r="A33" s="222"/>
      <c r="B33" s="247"/>
      <c r="C33" s="224"/>
      <c r="D33" s="227"/>
      <c r="E33" s="227"/>
      <c r="F33" s="243"/>
      <c r="G33" s="244"/>
      <c r="H33" s="244"/>
      <c r="I33" s="14" t="s">
        <v>60</v>
      </c>
      <c r="J33" s="14">
        <v>14</v>
      </c>
      <c r="K33" s="14">
        <v>54800000</v>
      </c>
      <c r="L33" s="14">
        <v>64350000</v>
      </c>
      <c r="M33" s="64">
        <v>59674000</v>
      </c>
      <c r="N33" s="14">
        <v>4208400</v>
      </c>
      <c r="O33" s="14">
        <v>0</v>
      </c>
      <c r="P33" s="14">
        <f t="shared" ref="P33:P40" si="19">SUM(M33:O33)</f>
        <v>63882400</v>
      </c>
      <c r="Q33" s="14">
        <v>11450000</v>
      </c>
      <c r="R33" s="45">
        <f t="shared" si="4"/>
        <v>0.17793317793317792</v>
      </c>
      <c r="S33" s="14"/>
      <c r="T33" s="26">
        <f t="shared" ref="T33:T91" si="20">P33-(P33*R33)+S33</f>
        <v>52515601.554001555</v>
      </c>
      <c r="U33" s="67">
        <f t="shared" ref="U33:U40" si="21">(T33/K33)*100</f>
        <v>95.831389697083125</v>
      </c>
      <c r="V33" s="12">
        <f>U33*120000/95</f>
        <v>121050.17645947343</v>
      </c>
      <c r="W33" s="21">
        <f t="shared" ref="W33:W40" si="22">V33*J33</f>
        <v>1694702.4704326279</v>
      </c>
      <c r="X33" s="244"/>
      <c r="Y33" s="246"/>
    </row>
    <row r="34" spans="1:25" ht="13" customHeight="1">
      <c r="A34" s="222"/>
      <c r="B34" s="247"/>
      <c r="C34" s="224"/>
      <c r="D34" s="227"/>
      <c r="E34" s="227"/>
      <c r="F34" s="243"/>
      <c r="G34" s="244"/>
      <c r="H34" s="244"/>
      <c r="I34" s="14" t="s">
        <v>61</v>
      </c>
      <c r="J34" s="14">
        <v>11</v>
      </c>
      <c r="K34" s="14">
        <v>42400000</v>
      </c>
      <c r="L34" s="14">
        <v>49590000</v>
      </c>
      <c r="M34" s="64">
        <v>49590000</v>
      </c>
      <c r="N34" s="14">
        <v>0</v>
      </c>
      <c r="O34" s="14">
        <v>0</v>
      </c>
      <c r="P34" s="14">
        <f t="shared" si="19"/>
        <v>49590000</v>
      </c>
      <c r="Q34" s="14">
        <v>9290000</v>
      </c>
      <c r="R34" s="45">
        <f t="shared" si="4"/>
        <v>0.18733615648316193</v>
      </c>
      <c r="S34" s="14">
        <f>3500000+3600000</f>
        <v>7100000</v>
      </c>
      <c r="T34" s="26">
        <f t="shared" si="20"/>
        <v>47400000</v>
      </c>
      <c r="U34" s="67">
        <f t="shared" si="21"/>
        <v>111.79245283018868</v>
      </c>
      <c r="V34" s="12">
        <f>U34*130000/100</f>
        <v>145330.18867924527</v>
      </c>
      <c r="W34" s="21">
        <f t="shared" si="22"/>
        <v>1598632.0754716981</v>
      </c>
      <c r="X34" s="244"/>
      <c r="Y34" s="246"/>
    </row>
    <row r="35" spans="1:25" ht="13" customHeight="1">
      <c r="A35" s="222"/>
      <c r="B35" s="247"/>
      <c r="C35" s="224"/>
      <c r="D35" s="227"/>
      <c r="E35" s="227"/>
      <c r="F35" s="243"/>
      <c r="G35" s="244"/>
      <c r="H35" s="244"/>
      <c r="I35" s="14" t="s">
        <v>62</v>
      </c>
      <c r="J35" s="14">
        <v>13</v>
      </c>
      <c r="K35" s="14">
        <v>46800000</v>
      </c>
      <c r="L35" s="14">
        <f>58602000-2600000</f>
        <v>56002000</v>
      </c>
      <c r="M35" s="64">
        <f>58602000-2600000</f>
        <v>56002000</v>
      </c>
      <c r="N35" s="14">
        <v>0</v>
      </c>
      <c r="O35" s="14">
        <v>0</v>
      </c>
      <c r="P35" s="14">
        <f t="shared" si="19"/>
        <v>56002000</v>
      </c>
      <c r="Q35" s="14">
        <v>11302000</v>
      </c>
      <c r="R35" s="45">
        <f t="shared" si="4"/>
        <v>0.20181422092068141</v>
      </c>
      <c r="S35" s="14"/>
      <c r="T35" s="26">
        <f t="shared" si="20"/>
        <v>44700000</v>
      </c>
      <c r="U35" s="67">
        <f t="shared" si="21"/>
        <v>95.512820512820511</v>
      </c>
      <c r="V35" s="12">
        <f>U35*120000/95</f>
        <v>120647.77327935223</v>
      </c>
      <c r="W35" s="21">
        <f t="shared" si="22"/>
        <v>1568421.0526315789</v>
      </c>
      <c r="X35" s="244"/>
      <c r="Y35" s="246"/>
    </row>
    <row r="36" spans="1:25" ht="13" customHeight="1">
      <c r="A36" s="222"/>
      <c r="B36" s="247"/>
      <c r="C36" s="224"/>
      <c r="D36" s="227"/>
      <c r="E36" s="227"/>
      <c r="F36" s="243"/>
      <c r="G36" s="244"/>
      <c r="H36" s="244"/>
      <c r="I36" s="14" t="s">
        <v>63</v>
      </c>
      <c r="J36" s="14">
        <v>10</v>
      </c>
      <c r="K36" s="14">
        <v>30000000</v>
      </c>
      <c r="L36" s="14">
        <f>35442000-200000</f>
        <v>35242000</v>
      </c>
      <c r="M36" s="64">
        <f>35826000-200000</f>
        <v>35626000</v>
      </c>
      <c r="N36" s="14">
        <v>0</v>
      </c>
      <c r="O36" s="14">
        <v>0</v>
      </c>
      <c r="P36" s="23">
        <f t="shared" si="19"/>
        <v>35626000</v>
      </c>
      <c r="Q36" s="14">
        <v>7242000</v>
      </c>
      <c r="R36" s="45">
        <f t="shared" si="4"/>
        <v>0.2054934453209239</v>
      </c>
      <c r="S36" s="14"/>
      <c r="T36" s="26">
        <f>P36-(P36*R36)+S36</f>
        <v>28305090.516996764</v>
      </c>
      <c r="U36" s="67">
        <f t="shared" si="21"/>
        <v>94.350301723322545</v>
      </c>
      <c r="V36" s="12">
        <f>U36*119000/95</f>
        <v>118186.16742184613</v>
      </c>
      <c r="W36" s="21">
        <f t="shared" si="22"/>
        <v>1181861.6742184614</v>
      </c>
      <c r="X36" s="244"/>
      <c r="Y36" s="246"/>
    </row>
    <row r="37" spans="1:25" ht="13" customHeight="1">
      <c r="A37" s="222"/>
      <c r="B37" s="247"/>
      <c r="C37" s="224"/>
      <c r="D37" s="227"/>
      <c r="E37" s="227"/>
      <c r="F37" s="243"/>
      <c r="G37" s="244"/>
      <c r="H37" s="244"/>
      <c r="I37" s="23" t="s">
        <v>64</v>
      </c>
      <c r="J37" s="23">
        <f>18+1</f>
        <v>19</v>
      </c>
      <c r="K37" s="23">
        <v>87300000</v>
      </c>
      <c r="L37" s="14">
        <f>101368000+4400000</f>
        <v>105768000</v>
      </c>
      <c r="M37" s="64">
        <f>99450000+4400000</f>
        <v>103850000</v>
      </c>
      <c r="N37" s="14">
        <v>1726200</v>
      </c>
      <c r="O37" s="44">
        <v>0</v>
      </c>
      <c r="P37" s="26">
        <f>SUM(M37:O37)</f>
        <v>105576200</v>
      </c>
      <c r="Q37" s="14">
        <v>18468000</v>
      </c>
      <c r="R37" s="45">
        <f t="shared" si="4"/>
        <v>0.17460857726344453</v>
      </c>
      <c r="S37" s="14"/>
      <c r="T37" s="26">
        <f t="shared" si="20"/>
        <v>87141689.925119132</v>
      </c>
      <c r="U37" s="67">
        <f t="shared" si="21"/>
        <v>99.818659708040244</v>
      </c>
      <c r="V37" s="13">
        <f>U37*130000/100</f>
        <v>129764.25762045232</v>
      </c>
      <c r="W37" s="15">
        <f t="shared" si="22"/>
        <v>2465520.894788594</v>
      </c>
      <c r="X37" s="244"/>
      <c r="Y37" s="246"/>
    </row>
    <row r="38" spans="1:25" ht="14">
      <c r="A38" s="222"/>
      <c r="B38" s="247"/>
      <c r="C38" s="224"/>
      <c r="D38" s="227"/>
      <c r="E38" s="227"/>
      <c r="F38" s="243"/>
      <c r="G38" s="244"/>
      <c r="H38" s="244"/>
      <c r="I38" s="26" t="s">
        <v>65</v>
      </c>
      <c r="J38" s="26">
        <v>15</v>
      </c>
      <c r="K38" s="26">
        <v>59400000</v>
      </c>
      <c r="L38" s="23">
        <v>63392600</v>
      </c>
      <c r="M38" s="64">
        <v>58755600</v>
      </c>
      <c r="N38" s="23">
        <v>0</v>
      </c>
      <c r="O38" s="32">
        <v>0</v>
      </c>
      <c r="P38" s="26">
        <f t="shared" si="19"/>
        <v>58755600</v>
      </c>
      <c r="Q38" s="23">
        <v>12442600</v>
      </c>
      <c r="R38" s="45">
        <f t="shared" si="4"/>
        <v>0.1962784299744765</v>
      </c>
      <c r="S38" s="23"/>
      <c r="T38" s="26">
        <f t="shared" si="20"/>
        <v>47223143.07979165</v>
      </c>
      <c r="U38" s="67">
        <f t="shared" si="21"/>
        <v>79.500240875070119</v>
      </c>
      <c r="V38" s="16">
        <f>U38*84000/80</f>
        <v>83475.252918823622</v>
      </c>
      <c r="W38" s="16">
        <f t="shared" si="22"/>
        <v>1252128.7937823543</v>
      </c>
      <c r="X38" s="244"/>
      <c r="Y38" s="246"/>
    </row>
    <row r="39" spans="1:25" ht="14">
      <c r="A39" s="222"/>
      <c r="B39" s="247"/>
      <c r="C39" s="224"/>
      <c r="D39" s="227"/>
      <c r="E39" s="227"/>
      <c r="F39" s="243"/>
      <c r="G39" s="244"/>
      <c r="H39" s="244"/>
      <c r="I39" s="66" t="s">
        <v>66</v>
      </c>
      <c r="J39" s="26">
        <v>9</v>
      </c>
      <c r="K39" s="26">
        <v>27100000</v>
      </c>
      <c r="L39" s="26">
        <v>31064000</v>
      </c>
      <c r="M39" s="64">
        <v>31064000</v>
      </c>
      <c r="N39" s="26">
        <v>0</v>
      </c>
      <c r="O39" s="47">
        <v>0</v>
      </c>
      <c r="P39" s="26">
        <f t="shared" si="19"/>
        <v>31064000</v>
      </c>
      <c r="Q39" s="26">
        <v>5164000</v>
      </c>
      <c r="R39" s="45">
        <f>Q39/L39</f>
        <v>0.16623744527427248</v>
      </c>
      <c r="S39" s="26"/>
      <c r="T39" s="26">
        <f t="shared" si="20"/>
        <v>25900000</v>
      </c>
      <c r="U39" s="67">
        <f t="shared" si="21"/>
        <v>95.571955719557195</v>
      </c>
      <c r="V39" s="16">
        <f>U39*120000/95</f>
        <v>120722.47038259858</v>
      </c>
      <c r="W39" s="16">
        <f t="shared" si="22"/>
        <v>1086502.2334433873</v>
      </c>
      <c r="X39" s="244"/>
      <c r="Y39" s="246"/>
    </row>
    <row r="40" spans="1:25" ht="14">
      <c r="A40" s="222"/>
      <c r="B40" s="247"/>
      <c r="C40" s="224"/>
      <c r="D40" s="227"/>
      <c r="E40" s="227"/>
      <c r="F40" s="243"/>
      <c r="G40" s="244"/>
      <c r="H40" s="244"/>
      <c r="I40" s="66" t="s">
        <v>67</v>
      </c>
      <c r="J40" s="26">
        <v>18</v>
      </c>
      <c r="K40" s="26">
        <f>4500000*18</f>
        <v>81000000</v>
      </c>
      <c r="L40" s="26">
        <v>95345000</v>
      </c>
      <c r="M40" s="64">
        <v>95295000</v>
      </c>
      <c r="N40" s="26">
        <v>0</v>
      </c>
      <c r="O40" s="26">
        <v>0</v>
      </c>
      <c r="P40" s="23">
        <f t="shared" si="19"/>
        <v>95295000</v>
      </c>
      <c r="Q40" s="26">
        <v>21445000</v>
      </c>
      <c r="R40" s="45">
        <f t="shared" si="4"/>
        <v>0.22492002726939012</v>
      </c>
      <c r="S40" s="26">
        <v>2358064.5161290322</v>
      </c>
      <c r="T40" s="26">
        <f t="shared" si="20"/>
        <v>76219310.517492503</v>
      </c>
      <c r="U40" s="67">
        <f t="shared" si="21"/>
        <v>94.097914219126551</v>
      </c>
      <c r="V40" s="16">
        <f>U40*119000/95</f>
        <v>117870.01886395851</v>
      </c>
      <c r="W40" s="16">
        <f t="shared" si="22"/>
        <v>2121660.3395512532</v>
      </c>
      <c r="X40" s="244"/>
      <c r="Y40" s="246"/>
    </row>
    <row r="41" spans="1:25" ht="14">
      <c r="A41" s="264"/>
      <c r="B41" s="265"/>
      <c r="C41" s="258"/>
      <c r="D41" s="227"/>
      <c r="E41" s="227"/>
      <c r="F41" s="243"/>
      <c r="G41" s="244"/>
      <c r="H41" s="244"/>
      <c r="I41" s="66" t="s">
        <v>199</v>
      </c>
      <c r="J41" s="26">
        <v>17</v>
      </c>
      <c r="K41" s="26"/>
      <c r="L41" s="26">
        <v>0</v>
      </c>
      <c r="M41" s="126">
        <v>0</v>
      </c>
      <c r="N41" s="26">
        <v>0</v>
      </c>
      <c r="O41" s="26">
        <v>0</v>
      </c>
      <c r="P41" s="26"/>
      <c r="Q41" s="26">
        <v>0</v>
      </c>
      <c r="R41" s="45"/>
      <c r="S41" s="26"/>
      <c r="T41" s="26"/>
      <c r="U41" s="67"/>
      <c r="V41" s="58"/>
      <c r="W41" s="15">
        <v>1000000</v>
      </c>
      <c r="X41" s="244"/>
      <c r="Y41" s="246"/>
    </row>
    <row r="42" spans="1:25" ht="13" customHeight="1">
      <c r="A42" s="179"/>
      <c r="B42" s="274"/>
      <c r="C42" s="258"/>
      <c r="D42" s="227"/>
      <c r="E42" s="227"/>
      <c r="F42" s="248"/>
      <c r="G42" s="245"/>
      <c r="H42" s="245"/>
      <c r="I42" s="69">
        <v>13</v>
      </c>
      <c r="J42" s="52">
        <f>SUM(J29:J41)</f>
        <v>175</v>
      </c>
      <c r="K42" s="52">
        <f>SUM(K29:K41)</f>
        <v>645300000</v>
      </c>
      <c r="L42" s="52">
        <f>SUM(L29:L41)</f>
        <v>711758600</v>
      </c>
      <c r="M42" s="52">
        <f>SUM(M29:M41)</f>
        <v>685421600</v>
      </c>
      <c r="N42" s="52">
        <f>SUM(N29:N41)</f>
        <v>11406600</v>
      </c>
      <c r="O42" s="52">
        <f>SUM(O29:O40)</f>
        <v>2970800</v>
      </c>
      <c r="P42" s="52">
        <f>SUM(P29:P41)</f>
        <v>699799000</v>
      </c>
      <c r="Q42" s="52">
        <f>SUM(Q29:Q41)</f>
        <v>135908600</v>
      </c>
      <c r="R42" s="61"/>
      <c r="S42" s="52">
        <f>SUM(S29:S41)</f>
        <v>17158064.516129032</v>
      </c>
      <c r="T42" s="52">
        <f>SUM(T29:T41)</f>
        <v>583367905.26378334</v>
      </c>
      <c r="U42" s="55">
        <f>(T42/K42)*100</f>
        <v>90.402588759303171</v>
      </c>
      <c r="V42" s="70"/>
      <c r="W42" s="62">
        <f>SUM(W29:W41)</f>
        <v>18182284.535040423</v>
      </c>
      <c r="X42" s="245"/>
      <c r="Y42" s="246"/>
    </row>
    <row r="43" spans="1:25" ht="13" customHeight="1">
      <c r="A43" s="250" t="s">
        <v>72</v>
      </c>
      <c r="B43" s="180" t="s">
        <v>73</v>
      </c>
      <c r="C43" s="178" t="s">
        <v>35</v>
      </c>
      <c r="D43" s="177">
        <v>0</v>
      </c>
      <c r="E43" s="177">
        <v>500000</v>
      </c>
      <c r="F43" s="275">
        <v>500000</v>
      </c>
      <c r="G43" s="181">
        <v>0</v>
      </c>
      <c r="H43" s="181"/>
      <c r="I43" s="26" t="s">
        <v>36</v>
      </c>
      <c r="J43" s="116">
        <v>19</v>
      </c>
      <c r="K43" s="116">
        <v>71100000</v>
      </c>
      <c r="L43" s="72">
        <v>86942000</v>
      </c>
      <c r="M43" s="72">
        <v>81918000</v>
      </c>
      <c r="N43" s="72">
        <v>4516200</v>
      </c>
      <c r="O43" s="72">
        <v>0</v>
      </c>
      <c r="P43" s="26">
        <f>SUM(M43:O43)</f>
        <v>86434200</v>
      </c>
      <c r="Q43" s="121">
        <v>21442000</v>
      </c>
      <c r="R43" s="45">
        <f>Q43/L43</f>
        <v>0.24662418623910193</v>
      </c>
      <c r="S43" s="79"/>
      <c r="T43" s="26">
        <f>P43-(P43*R43)+S43</f>
        <v>65117435.761772215</v>
      </c>
      <c r="U43" s="46">
        <f>(T43/K43)*100</f>
        <v>91.58570430629004</v>
      </c>
      <c r="V43" s="16">
        <f>U43*100000/90</f>
        <v>101761.89367365559</v>
      </c>
      <c r="W43" s="16">
        <f t="shared" ref="W43:W53" si="23">V43*J43</f>
        <v>1933475.9797994562</v>
      </c>
      <c r="X43" s="181">
        <f>W54+D43+F43+G43+H46+E43</f>
        <v>16103913.391437694</v>
      </c>
      <c r="Y43" s="57"/>
    </row>
    <row r="44" spans="1:25" ht="13" customHeight="1">
      <c r="A44" s="251"/>
      <c r="B44" s="180"/>
      <c r="C44" s="178"/>
      <c r="D44" s="177"/>
      <c r="E44" s="177"/>
      <c r="F44" s="276"/>
      <c r="G44" s="244"/>
      <c r="H44" s="244"/>
      <c r="I44" s="26" t="s">
        <v>37</v>
      </c>
      <c r="J44" s="116">
        <v>19</v>
      </c>
      <c r="K44" s="116">
        <v>80600000</v>
      </c>
      <c r="L44" s="72">
        <v>80372000</v>
      </c>
      <c r="M44" s="72">
        <v>80372000</v>
      </c>
      <c r="N44" s="72">
        <v>0</v>
      </c>
      <c r="O44" s="72">
        <v>0</v>
      </c>
      <c r="P44" s="26">
        <f>SUM(M44:O44)</f>
        <v>80372000</v>
      </c>
      <c r="Q44" s="121">
        <v>15972000</v>
      </c>
      <c r="R44" s="45">
        <f t="shared" ref="R44:R52" si="24">Q44/L44</f>
        <v>0.19872592445130144</v>
      </c>
      <c r="S44" s="79">
        <v>4100000</v>
      </c>
      <c r="T44" s="26">
        <f>P44-(P44*R44)+S44</f>
        <v>68500000</v>
      </c>
      <c r="U44" s="46">
        <f>(T44/K44)*100</f>
        <v>84.987593052109176</v>
      </c>
      <c r="V44" s="16">
        <f>U44*89000/85</f>
        <v>88987.009195737846</v>
      </c>
      <c r="W44" s="16">
        <f t="shared" si="23"/>
        <v>1690753.1747190191</v>
      </c>
      <c r="X44" s="244"/>
      <c r="Y44" s="57"/>
    </row>
    <row r="45" spans="1:25" ht="13" customHeight="1">
      <c r="A45" s="251"/>
      <c r="B45" s="180"/>
      <c r="C45" s="178"/>
      <c r="D45" s="177"/>
      <c r="E45" s="177"/>
      <c r="F45" s="276"/>
      <c r="G45" s="244"/>
      <c r="H45" s="244"/>
      <c r="I45" s="26" t="s">
        <v>74</v>
      </c>
      <c r="J45" s="116">
        <v>19</v>
      </c>
      <c r="K45" s="116">
        <v>61300000</v>
      </c>
      <c r="L45" s="72">
        <v>71370000</v>
      </c>
      <c r="M45" s="72">
        <v>59922000</v>
      </c>
      <c r="N45" s="72">
        <v>3484800</v>
      </c>
      <c r="O45" s="72">
        <v>0</v>
      </c>
      <c r="P45" s="26">
        <f t="shared" ref="P45" si="25">SUM(M45:O45)</f>
        <v>63406800</v>
      </c>
      <c r="Q45" s="122">
        <v>15170000</v>
      </c>
      <c r="R45" s="45">
        <f t="shared" si="24"/>
        <v>0.21255429452150765</v>
      </c>
      <c r="S45" s="82">
        <f>2800000+1645161</f>
        <v>4445161</v>
      </c>
      <c r="T45" s="26">
        <f t="shared" ref="T45:T51" si="26">P45-(P45*R45)+S45</f>
        <v>54374573.358133666</v>
      </c>
      <c r="U45" s="46">
        <f t="shared" si="2"/>
        <v>88.702403520609579</v>
      </c>
      <c r="V45" s="16">
        <f>U45*99000/90</f>
        <v>97572.643872670538</v>
      </c>
      <c r="W45" s="16">
        <f t="shared" si="23"/>
        <v>1853880.2335807402</v>
      </c>
      <c r="X45" s="244"/>
      <c r="Y45" s="57"/>
    </row>
    <row r="46" spans="1:25" ht="12.5">
      <c r="A46" s="251"/>
      <c r="B46" s="180"/>
      <c r="C46" s="178"/>
      <c r="D46" s="177"/>
      <c r="E46" s="177"/>
      <c r="F46" s="276"/>
      <c r="G46" s="244"/>
      <c r="H46" s="244"/>
      <c r="I46" s="26" t="s">
        <v>75</v>
      </c>
      <c r="J46" s="26">
        <v>22</v>
      </c>
      <c r="K46" s="26">
        <v>69800000</v>
      </c>
      <c r="L46" s="26">
        <v>76830000</v>
      </c>
      <c r="M46" s="26">
        <v>68922000</v>
      </c>
      <c r="N46" s="26">
        <v>3751200</v>
      </c>
      <c r="O46" s="26">
        <v>140000</v>
      </c>
      <c r="P46" s="26">
        <f>SUM(M46:O46)</f>
        <v>72813200</v>
      </c>
      <c r="Q46" s="26">
        <v>16830000</v>
      </c>
      <c r="R46" s="45">
        <f t="shared" si="24"/>
        <v>0.21905505661850838</v>
      </c>
      <c r="S46" s="26"/>
      <c r="T46" s="30">
        <f t="shared" si="26"/>
        <v>56863100.351425223</v>
      </c>
      <c r="U46" s="34">
        <f t="shared" si="2"/>
        <v>81.465759815795451</v>
      </c>
      <c r="V46" s="63">
        <f>U46*80000/80</f>
        <v>81465.759815795449</v>
      </c>
      <c r="W46" s="63">
        <f t="shared" si="23"/>
        <v>1792246.7159475</v>
      </c>
      <c r="X46" s="244"/>
      <c r="Y46" s="246"/>
    </row>
    <row r="47" spans="1:25" ht="12.5">
      <c r="A47" s="251"/>
      <c r="B47" s="180"/>
      <c r="C47" s="178"/>
      <c r="D47" s="177"/>
      <c r="E47" s="177"/>
      <c r="F47" s="276"/>
      <c r="G47" s="244"/>
      <c r="H47" s="244"/>
      <c r="I47" s="26" t="s">
        <v>79</v>
      </c>
      <c r="J47" s="26">
        <v>8</v>
      </c>
      <c r="K47" s="26">
        <v>18800000</v>
      </c>
      <c r="L47" s="26">
        <v>16796000</v>
      </c>
      <c r="M47" s="26">
        <v>14358000</v>
      </c>
      <c r="N47" s="26">
        <v>2100600</v>
      </c>
      <c r="O47" s="26">
        <v>70000</v>
      </c>
      <c r="P47" s="26">
        <f t="shared" ref="P47:P53" si="27">SUM(M47:O47)</f>
        <v>16528600</v>
      </c>
      <c r="Q47" s="26">
        <v>4096000</v>
      </c>
      <c r="R47" s="45">
        <f t="shared" si="24"/>
        <v>0.24386758752083829</v>
      </c>
      <c r="S47" s="26">
        <f>1761290.32258065+1532258</f>
        <v>3293548.32258065</v>
      </c>
      <c r="T47" s="30">
        <f t="shared" si="26"/>
        <v>15791358.515483722</v>
      </c>
      <c r="U47" s="34">
        <f t="shared" si="2"/>
        <v>83.996587848317674</v>
      </c>
      <c r="V47" s="63">
        <f>U47*89000/85</f>
        <v>87949.368452944385</v>
      </c>
      <c r="W47" s="63">
        <f t="shared" si="23"/>
        <v>703594.94762355508</v>
      </c>
      <c r="X47" s="244"/>
      <c r="Y47" s="246"/>
    </row>
    <row r="48" spans="1:25" ht="12.5">
      <c r="A48" s="251"/>
      <c r="B48" s="180"/>
      <c r="C48" s="178"/>
      <c r="D48" s="177"/>
      <c r="E48" s="177"/>
      <c r="F48" s="276"/>
      <c r="G48" s="244"/>
      <c r="H48" s="244"/>
      <c r="I48" s="26" t="s">
        <v>80</v>
      </c>
      <c r="J48" s="26">
        <v>17</v>
      </c>
      <c r="K48" s="26">
        <v>78900000</v>
      </c>
      <c r="L48" s="26">
        <f>97988500-4600000</f>
        <v>93388500</v>
      </c>
      <c r="M48" s="26">
        <f>93307500-4600000</f>
        <v>88707500</v>
      </c>
      <c r="N48" s="26">
        <v>0</v>
      </c>
      <c r="O48" s="26">
        <v>0</v>
      </c>
      <c r="P48" s="26">
        <f t="shared" si="27"/>
        <v>88707500</v>
      </c>
      <c r="Q48" s="26">
        <v>19138500</v>
      </c>
      <c r="R48" s="45">
        <f t="shared" si="24"/>
        <v>0.20493422637690936</v>
      </c>
      <c r="S48" s="26">
        <v>3122580.6451612902</v>
      </c>
      <c r="T48" s="30">
        <f t="shared" si="26"/>
        <v>73650877.758831605</v>
      </c>
      <c r="U48" s="34">
        <f t="shared" si="2"/>
        <v>93.347120099913312</v>
      </c>
      <c r="V48" s="63">
        <f t="shared" ref="V48" si="28">U48*109000/95</f>
        <v>107103.5377988479</v>
      </c>
      <c r="W48" s="63">
        <f t="shared" si="23"/>
        <v>1820760.1425804144</v>
      </c>
      <c r="X48" s="244"/>
      <c r="Y48" s="246"/>
    </row>
    <row r="49" spans="1:25" ht="12.5">
      <c r="A49" s="251"/>
      <c r="B49" s="180"/>
      <c r="C49" s="178"/>
      <c r="D49" s="177"/>
      <c r="E49" s="177"/>
      <c r="F49" s="276"/>
      <c r="G49" s="244"/>
      <c r="H49" s="244"/>
      <c r="I49" s="26" t="s">
        <v>81</v>
      </c>
      <c r="J49" s="37">
        <v>7</v>
      </c>
      <c r="K49" s="26">
        <v>19050000</v>
      </c>
      <c r="L49" s="26">
        <f>27540000-2700000</f>
        <v>24840000</v>
      </c>
      <c r="M49" s="26">
        <f>24640000-2700000</f>
        <v>21940000</v>
      </c>
      <c r="N49" s="26">
        <v>0</v>
      </c>
      <c r="O49" s="26">
        <v>0</v>
      </c>
      <c r="P49" s="26">
        <f t="shared" si="27"/>
        <v>21940000</v>
      </c>
      <c r="Q49" s="26">
        <v>5640000</v>
      </c>
      <c r="R49" s="45">
        <f t="shared" si="24"/>
        <v>0.22705314009661837</v>
      </c>
      <c r="S49" s="26">
        <f>2032258.06451613+500000</f>
        <v>2532258.0645161299</v>
      </c>
      <c r="T49" s="30">
        <f t="shared" si="26"/>
        <v>19490712.170796324</v>
      </c>
      <c r="U49" s="34">
        <f t="shared" si="2"/>
        <v>102.31344971546628</v>
      </c>
      <c r="V49" s="63">
        <f>U49*120000/100</f>
        <v>122776.13965855952</v>
      </c>
      <c r="W49" s="63">
        <f t="shared" si="23"/>
        <v>859432.97760991659</v>
      </c>
      <c r="X49" s="244"/>
      <c r="Y49" s="246"/>
    </row>
    <row r="50" spans="1:25" ht="12.5">
      <c r="A50" s="251"/>
      <c r="B50" s="180"/>
      <c r="C50" s="178"/>
      <c r="D50" s="177"/>
      <c r="E50" s="177"/>
      <c r="F50" s="276"/>
      <c r="G50" s="244"/>
      <c r="H50" s="244"/>
      <c r="I50" s="26" t="s">
        <v>82</v>
      </c>
      <c r="J50" s="37">
        <v>15</v>
      </c>
      <c r="K50" s="26">
        <v>69400000</v>
      </c>
      <c r="L50" s="26">
        <v>83328000</v>
      </c>
      <c r="M50" s="26">
        <v>78958000</v>
      </c>
      <c r="N50" s="26">
        <v>0</v>
      </c>
      <c r="O50" s="26">
        <v>0</v>
      </c>
      <c r="P50" s="26">
        <f>SUM(M50:O50)</f>
        <v>78958000</v>
      </c>
      <c r="Q50" s="26">
        <v>14828000</v>
      </c>
      <c r="R50" s="45">
        <f t="shared" si="24"/>
        <v>0.17794738863287252</v>
      </c>
      <c r="S50" s="26">
        <v>1803225.8064516131</v>
      </c>
      <c r="T50" s="30">
        <f t="shared" si="26"/>
        <v>66710855.894777261</v>
      </c>
      <c r="U50" s="34">
        <f t="shared" si="2"/>
        <v>96.125152586134377</v>
      </c>
      <c r="V50" s="63">
        <f>U50*110000/95</f>
        <v>111302.80825762927</v>
      </c>
      <c r="W50" s="63">
        <f t="shared" si="23"/>
        <v>1669542.1238644391</v>
      </c>
      <c r="X50" s="244"/>
      <c r="Y50" s="246"/>
    </row>
    <row r="51" spans="1:25" ht="12.5">
      <c r="A51" s="251"/>
      <c r="B51" s="180"/>
      <c r="C51" s="178"/>
      <c r="D51" s="177"/>
      <c r="E51" s="177"/>
      <c r="F51" s="276"/>
      <c r="G51" s="244"/>
      <c r="H51" s="244"/>
      <c r="I51" s="26" t="s">
        <v>83</v>
      </c>
      <c r="J51" s="37">
        <v>9</v>
      </c>
      <c r="K51" s="26">
        <v>35000000</v>
      </c>
      <c r="L51" s="26">
        <f>48995000-7600000</f>
        <v>41395000</v>
      </c>
      <c r="M51" s="26">
        <f>40024000-7600000</f>
        <v>32424000</v>
      </c>
      <c r="N51" s="26">
        <v>8074800</v>
      </c>
      <c r="O51" s="26">
        <v>0</v>
      </c>
      <c r="P51" s="26">
        <f t="shared" si="27"/>
        <v>40498800</v>
      </c>
      <c r="Q51" s="26">
        <v>6895000</v>
      </c>
      <c r="R51" s="45">
        <f t="shared" si="24"/>
        <v>0.16656601038772798</v>
      </c>
      <c r="S51" s="26"/>
      <c r="T51" s="30">
        <f t="shared" si="26"/>
        <v>33753076.458509482</v>
      </c>
      <c r="U51" s="34">
        <f t="shared" si="2"/>
        <v>96.437361310027086</v>
      </c>
      <c r="V51" s="63">
        <f>U51*110000/95</f>
        <v>111664.31309582083</v>
      </c>
      <c r="W51" s="63">
        <f t="shared" si="23"/>
        <v>1004978.8178623875</v>
      </c>
      <c r="X51" s="244"/>
      <c r="Y51" s="246"/>
    </row>
    <row r="52" spans="1:25" ht="12.5">
      <c r="A52" s="251"/>
      <c r="B52" s="180"/>
      <c r="C52" s="178"/>
      <c r="D52" s="177"/>
      <c r="E52" s="177"/>
      <c r="F52" s="276"/>
      <c r="G52" s="244"/>
      <c r="H52" s="244"/>
      <c r="I52" s="26" t="s">
        <v>76</v>
      </c>
      <c r="J52" s="26">
        <v>10</v>
      </c>
      <c r="K52" s="26">
        <v>54100000</v>
      </c>
      <c r="L52" s="26">
        <f>67832000-5800000</f>
        <v>62032000</v>
      </c>
      <c r="M52" s="26">
        <f>62772000-5800000</f>
        <v>56972000</v>
      </c>
      <c r="N52" s="26">
        <v>4554000</v>
      </c>
      <c r="O52" s="26">
        <v>0</v>
      </c>
      <c r="P52" s="26">
        <f t="shared" si="27"/>
        <v>61526000</v>
      </c>
      <c r="Q52" s="26">
        <v>9932000</v>
      </c>
      <c r="R52" s="45">
        <f t="shared" si="24"/>
        <v>0.1601109104978076</v>
      </c>
      <c r="S52" s="26"/>
      <c r="T52" s="30">
        <f>P52-(P52*R52)+S52</f>
        <v>51675016.120711893</v>
      </c>
      <c r="U52" s="34">
        <f t="shared" si="2"/>
        <v>95.517589871925864</v>
      </c>
      <c r="V52" s="16">
        <f>U52*110000/95</f>
        <v>110599.31458854573</v>
      </c>
      <c r="W52" s="16">
        <f t="shared" si="23"/>
        <v>1105993.1458854573</v>
      </c>
      <c r="X52" s="244"/>
      <c r="Y52" s="246"/>
    </row>
    <row r="53" spans="1:25" ht="12.5">
      <c r="A53" s="251"/>
      <c r="B53" s="180"/>
      <c r="C53" s="178"/>
      <c r="D53" s="177"/>
      <c r="E53" s="177"/>
      <c r="F53" s="276"/>
      <c r="G53" s="244"/>
      <c r="H53" s="244"/>
      <c r="I53" s="26" t="s">
        <v>198</v>
      </c>
      <c r="J53" s="26">
        <v>5</v>
      </c>
      <c r="K53" s="26">
        <v>27500000</v>
      </c>
      <c r="L53" s="26">
        <f>34696000-5300000</f>
        <v>29396000</v>
      </c>
      <c r="M53" s="26">
        <f>34696000-5300000</f>
        <v>29396000</v>
      </c>
      <c r="N53" s="26">
        <v>0</v>
      </c>
      <c r="O53" s="26">
        <v>0</v>
      </c>
      <c r="P53" s="26">
        <f t="shared" si="27"/>
        <v>29396000</v>
      </c>
      <c r="Q53" s="26">
        <v>2996000</v>
      </c>
      <c r="R53" s="45">
        <f>Q53/L53</f>
        <v>0.10191862838481426</v>
      </c>
      <c r="S53" s="26">
        <v>4274193.5483870972</v>
      </c>
      <c r="T53" s="30">
        <f>P53-(P53*R53)+S53</f>
        <v>30674193.548387095</v>
      </c>
      <c r="U53" s="46">
        <f>(T53/K53)*100</f>
        <v>111.5425219941349</v>
      </c>
      <c r="V53" s="16">
        <f>U53*120000/100</f>
        <v>133851.02639296188</v>
      </c>
      <c r="W53" s="16">
        <f t="shared" si="23"/>
        <v>669255.13196480938</v>
      </c>
      <c r="X53" s="244"/>
      <c r="Y53" s="246"/>
    </row>
    <row r="54" spans="1:25" ht="13">
      <c r="A54" s="252"/>
      <c r="B54" s="180"/>
      <c r="C54" s="178"/>
      <c r="D54" s="177"/>
      <c r="E54" s="177"/>
      <c r="F54" s="277"/>
      <c r="G54" s="245"/>
      <c r="H54" s="245"/>
      <c r="I54" s="59">
        <v>11</v>
      </c>
      <c r="J54" s="54">
        <f>SUM(J43:J53)</f>
        <v>150</v>
      </c>
      <c r="K54" s="54">
        <f t="shared" ref="K54:Q54" si="29">SUM(K43:K53)</f>
        <v>585550000</v>
      </c>
      <c r="L54" s="54">
        <f t="shared" si="29"/>
        <v>666689500</v>
      </c>
      <c r="M54" s="54">
        <f t="shared" si="29"/>
        <v>613889500</v>
      </c>
      <c r="N54" s="54">
        <f t="shared" si="29"/>
        <v>26481600</v>
      </c>
      <c r="O54" s="54">
        <f t="shared" si="29"/>
        <v>210000</v>
      </c>
      <c r="P54" s="54">
        <f t="shared" si="29"/>
        <v>640581100</v>
      </c>
      <c r="Q54" s="54">
        <f t="shared" si="29"/>
        <v>132939500</v>
      </c>
      <c r="R54" s="54"/>
      <c r="S54" s="54">
        <f>SUM(S43:S53)</f>
        <v>23570967.387096778</v>
      </c>
      <c r="T54" s="54">
        <f>SUM(T43:T53)</f>
        <v>536601199.93882853</v>
      </c>
      <c r="U54" s="55">
        <f>(T54/K54)*100</f>
        <v>91.640543068709519</v>
      </c>
      <c r="V54" s="54"/>
      <c r="W54" s="54">
        <f>SUM(W43:W53)</f>
        <v>15103913.391437694</v>
      </c>
      <c r="X54" s="125"/>
      <c r="Y54" s="246"/>
    </row>
    <row r="55" spans="1:25" ht="13" customHeight="1">
      <c r="A55" s="222" t="s">
        <v>84</v>
      </c>
      <c r="B55" s="247" t="s">
        <v>85</v>
      </c>
      <c r="C55" s="224" t="s">
        <v>35</v>
      </c>
      <c r="D55" s="227"/>
      <c r="E55" s="227">
        <v>500000</v>
      </c>
      <c r="F55" s="242">
        <v>500000</v>
      </c>
      <c r="G55" s="181"/>
      <c r="H55" s="181"/>
      <c r="I55" s="14" t="s">
        <v>86</v>
      </c>
      <c r="J55" s="14">
        <v>8</v>
      </c>
      <c r="K55" s="14">
        <v>31200000</v>
      </c>
      <c r="L55" s="14">
        <f>36988000-4500000</f>
        <v>32488000</v>
      </c>
      <c r="M55" s="14">
        <f>36988000-4500000</f>
        <v>32488000</v>
      </c>
      <c r="N55" s="14">
        <v>0</v>
      </c>
      <c r="O55" s="14">
        <v>0</v>
      </c>
      <c r="P55" s="14">
        <f>SUM(M55:O55)</f>
        <v>32488000</v>
      </c>
      <c r="Q55" s="14">
        <v>7188000</v>
      </c>
      <c r="R55" s="65">
        <f t="shared" si="4"/>
        <v>0.22125092341787736</v>
      </c>
      <c r="S55" s="14">
        <v>1919354.8387096773</v>
      </c>
      <c r="T55" s="66">
        <f t="shared" si="20"/>
        <v>27219354.838709679</v>
      </c>
      <c r="U55" s="67">
        <f t="shared" si="2"/>
        <v>87.241521918941274</v>
      </c>
      <c r="V55" s="12">
        <f>U55*109000/90</f>
        <v>105659.17654627332</v>
      </c>
      <c r="W55" s="21">
        <f>V55*J55</f>
        <v>845273.41237018653</v>
      </c>
      <c r="X55" s="177">
        <f>W66+D55+F55+G55+H55+E55</f>
        <v>11468810.731803669</v>
      </c>
      <c r="Y55" s="246"/>
    </row>
    <row r="56" spans="1:25" ht="13" customHeight="1">
      <c r="A56" s="222"/>
      <c r="B56" s="247" t="str">
        <f>B55</f>
        <v>Bùi Trường Giang</v>
      </c>
      <c r="C56" s="224"/>
      <c r="D56" s="227"/>
      <c r="E56" s="227"/>
      <c r="F56" s="243"/>
      <c r="G56" s="244"/>
      <c r="H56" s="244"/>
      <c r="I56" s="14" t="s">
        <v>87</v>
      </c>
      <c r="J56" s="14">
        <v>9</v>
      </c>
      <c r="K56" s="14">
        <v>21200000</v>
      </c>
      <c r="L56" s="14">
        <v>23342000</v>
      </c>
      <c r="M56" s="14">
        <v>23342000</v>
      </c>
      <c r="N56" s="14">
        <v>0</v>
      </c>
      <c r="O56" s="14">
        <v>0</v>
      </c>
      <c r="P56" s="14">
        <f>SUM(M56:O56)</f>
        <v>23342000</v>
      </c>
      <c r="Q56" s="14">
        <v>5442000</v>
      </c>
      <c r="R56" s="45">
        <f t="shared" si="4"/>
        <v>0.23314197583754606</v>
      </c>
      <c r="S56" s="14"/>
      <c r="T56" s="26">
        <f>P56-(P56*R56)+S56</f>
        <v>17900000</v>
      </c>
      <c r="U56" s="46">
        <f t="shared" si="2"/>
        <v>84.433962264150935</v>
      </c>
      <c r="V56" s="12">
        <f>U56*94000/85</f>
        <v>93374.028856825738</v>
      </c>
      <c r="W56" s="21">
        <f t="shared" ref="W56:W65" si="30">V56*J56</f>
        <v>840366.25971143169</v>
      </c>
      <c r="X56" s="178"/>
      <c r="Y56" s="246"/>
    </row>
    <row r="57" spans="1:25" ht="13" customHeight="1">
      <c r="A57" s="222"/>
      <c r="B57" s="247" t="str">
        <f>B56</f>
        <v>Bùi Trường Giang</v>
      </c>
      <c r="C57" s="224"/>
      <c r="D57" s="227"/>
      <c r="E57" s="227"/>
      <c r="F57" s="243"/>
      <c r="G57" s="244"/>
      <c r="H57" s="244"/>
      <c r="I57" s="14" t="s">
        <v>88</v>
      </c>
      <c r="J57" s="14">
        <v>10</v>
      </c>
      <c r="K57" s="14">
        <v>43200000</v>
      </c>
      <c r="L57" s="14">
        <f>48324000-3600000</f>
        <v>44724000</v>
      </c>
      <c r="M57" s="14">
        <f>38078000-3600000</f>
        <v>34478000</v>
      </c>
      <c r="N57" s="14">
        <v>0</v>
      </c>
      <c r="O57" s="14">
        <v>3742199.9999999995</v>
      </c>
      <c r="P57" s="14">
        <f t="shared" ref="P57:P62" si="31">SUM(M57:O57)</f>
        <v>38220200</v>
      </c>
      <c r="Q57" s="14">
        <v>8024000</v>
      </c>
      <c r="R57" s="45">
        <f t="shared" si="4"/>
        <v>0.1794115016545926</v>
      </c>
      <c r="S57" s="14">
        <v>1219354.8387096776</v>
      </c>
      <c r="T57" s="26">
        <f t="shared" si="20"/>
        <v>32582411.363170817</v>
      </c>
      <c r="U57" s="46">
        <f t="shared" si="2"/>
        <v>75.422248525858365</v>
      </c>
      <c r="V57" s="12">
        <f>U57*75000/75</f>
        <v>75422.248525858362</v>
      </c>
      <c r="W57" s="21">
        <f t="shared" si="30"/>
        <v>754222.48525858368</v>
      </c>
      <c r="X57" s="178"/>
      <c r="Y57" s="246"/>
    </row>
    <row r="58" spans="1:25" ht="13" customHeight="1">
      <c r="A58" s="222"/>
      <c r="B58" s="247" t="str">
        <f>B57</f>
        <v>Bùi Trường Giang</v>
      </c>
      <c r="C58" s="224"/>
      <c r="D58" s="227"/>
      <c r="E58" s="227"/>
      <c r="F58" s="243"/>
      <c r="G58" s="244"/>
      <c r="H58" s="244"/>
      <c r="I58" s="14" t="s">
        <v>89</v>
      </c>
      <c r="J58" s="14">
        <v>11</v>
      </c>
      <c r="K58" s="14">
        <v>47100000</v>
      </c>
      <c r="L58" s="14">
        <f>36036000+3500000</f>
        <v>39536000</v>
      </c>
      <c r="M58" s="14">
        <f>34861000+3500000</f>
        <v>38361000</v>
      </c>
      <c r="N58" s="14">
        <v>1053000</v>
      </c>
      <c r="O58" s="14">
        <v>0</v>
      </c>
      <c r="P58" s="14">
        <f t="shared" si="31"/>
        <v>39414000</v>
      </c>
      <c r="Q58" s="14">
        <v>8036000</v>
      </c>
      <c r="R58" s="45">
        <f t="shared" si="4"/>
        <v>0.20325779036827196</v>
      </c>
      <c r="S58" s="14">
        <f>3064516.12903226+1432258+970968</f>
        <v>5467742.1290322598</v>
      </c>
      <c r="T58" s="26">
        <f t="shared" si="20"/>
        <v>36870539.579457186</v>
      </c>
      <c r="U58" s="46">
        <f t="shared" si="2"/>
        <v>78.281400381013128</v>
      </c>
      <c r="V58" s="12">
        <f>U58*84000/80</f>
        <v>82195.470400063787</v>
      </c>
      <c r="W58" s="21">
        <f>V58*J58</f>
        <v>904150.17440070165</v>
      </c>
      <c r="X58" s="178"/>
      <c r="Y58" s="246"/>
    </row>
    <row r="59" spans="1:25" ht="13" customHeight="1">
      <c r="A59" s="222"/>
      <c r="B59" s="247" t="str">
        <f>B58</f>
        <v>Bùi Trường Giang</v>
      </c>
      <c r="C59" s="224"/>
      <c r="D59" s="227"/>
      <c r="E59" s="227"/>
      <c r="F59" s="243"/>
      <c r="G59" s="244"/>
      <c r="H59" s="244"/>
      <c r="I59" s="14" t="s">
        <v>90</v>
      </c>
      <c r="J59" s="14">
        <v>8</v>
      </c>
      <c r="K59" s="14">
        <v>31700000</v>
      </c>
      <c r="L59" s="14">
        <f>36543000-4000000</f>
        <v>32543000</v>
      </c>
      <c r="M59" s="14">
        <f>36543000-4000000</f>
        <v>32543000</v>
      </c>
      <c r="N59" s="14">
        <v>0</v>
      </c>
      <c r="O59" s="14">
        <v>0</v>
      </c>
      <c r="P59" s="14">
        <f t="shared" si="31"/>
        <v>32543000</v>
      </c>
      <c r="Q59" s="14">
        <v>5443000</v>
      </c>
      <c r="R59" s="45">
        <f>Q59/L59</f>
        <v>0.16725563101127738</v>
      </c>
      <c r="S59" s="14"/>
      <c r="T59" s="26">
        <f>P59-(P59*R59)+S59</f>
        <v>27100000</v>
      </c>
      <c r="U59" s="46">
        <f t="shared" si="2"/>
        <v>85.488958990536275</v>
      </c>
      <c r="V59" s="12">
        <f>U59*100000/86</f>
        <v>99405.766268065432</v>
      </c>
      <c r="W59" s="21">
        <f>V59*J59</f>
        <v>795246.13014452346</v>
      </c>
      <c r="X59" s="178"/>
      <c r="Y59" s="246"/>
    </row>
    <row r="60" spans="1:25" ht="13" customHeight="1">
      <c r="A60" s="222"/>
      <c r="B60" s="247"/>
      <c r="C60" s="224"/>
      <c r="D60" s="227"/>
      <c r="E60" s="227"/>
      <c r="F60" s="243"/>
      <c r="G60" s="244"/>
      <c r="H60" s="244"/>
      <c r="I60" s="14" t="s">
        <v>91</v>
      </c>
      <c r="J60" s="14">
        <v>11</v>
      </c>
      <c r="K60" s="14">
        <v>50000000</v>
      </c>
      <c r="L60" s="14">
        <v>45327600</v>
      </c>
      <c r="M60" s="14">
        <v>45328000</v>
      </c>
      <c r="N60" s="14">
        <v>0</v>
      </c>
      <c r="O60" s="14">
        <v>0</v>
      </c>
      <c r="P60" s="14">
        <f t="shared" si="31"/>
        <v>45328000</v>
      </c>
      <c r="Q60" s="14">
        <v>10927600</v>
      </c>
      <c r="R60" s="45">
        <f t="shared" si="4"/>
        <v>0.24108048959133066</v>
      </c>
      <c r="S60" s="14"/>
      <c r="T60" s="26">
        <f t="shared" si="20"/>
        <v>34400303.567804165</v>
      </c>
      <c r="U60" s="46">
        <f t="shared" si="2"/>
        <v>68.800607135608331</v>
      </c>
      <c r="V60" s="12"/>
      <c r="W60" s="21">
        <f>(130000*11)*10%</f>
        <v>143000</v>
      </c>
      <c r="X60" s="178"/>
      <c r="Y60" s="246"/>
    </row>
    <row r="61" spans="1:25" ht="13" customHeight="1">
      <c r="A61" s="222"/>
      <c r="B61" s="247"/>
      <c r="C61" s="224"/>
      <c r="D61" s="227"/>
      <c r="E61" s="227"/>
      <c r="F61" s="243"/>
      <c r="G61" s="244"/>
      <c r="H61" s="244"/>
      <c r="I61" s="14" t="s">
        <v>92</v>
      </c>
      <c r="J61" s="14">
        <v>7</v>
      </c>
      <c r="K61" s="14">
        <v>17500000</v>
      </c>
      <c r="L61" s="14">
        <f>22716000-2300000</f>
        <v>20416000</v>
      </c>
      <c r="M61" s="14">
        <f>19740000-2300000</f>
        <v>17440000</v>
      </c>
      <c r="N61" s="14">
        <v>176400</v>
      </c>
      <c r="O61" s="14">
        <v>0</v>
      </c>
      <c r="P61" s="23">
        <f t="shared" si="31"/>
        <v>17616400</v>
      </c>
      <c r="Q61" s="14">
        <v>3816000</v>
      </c>
      <c r="R61" s="45">
        <f t="shared" si="4"/>
        <v>0.18691222570532914</v>
      </c>
      <c r="S61" s="14"/>
      <c r="T61" s="26">
        <f t="shared" si="20"/>
        <v>14323679.467084639</v>
      </c>
      <c r="U61" s="46">
        <f t="shared" si="2"/>
        <v>81.849596954769368</v>
      </c>
      <c r="V61" s="12">
        <f>U61*85000/80</f>
        <v>86965.196764442459</v>
      </c>
      <c r="W61" s="21">
        <f t="shared" si="30"/>
        <v>608756.37735109718</v>
      </c>
      <c r="X61" s="178"/>
      <c r="Y61" s="246"/>
    </row>
    <row r="62" spans="1:25" ht="13" customHeight="1">
      <c r="A62" s="222"/>
      <c r="B62" s="247" t="str">
        <f>B59</f>
        <v>Bùi Trường Giang</v>
      </c>
      <c r="C62" s="224"/>
      <c r="D62" s="227"/>
      <c r="E62" s="227"/>
      <c r="F62" s="243"/>
      <c r="G62" s="244"/>
      <c r="H62" s="244"/>
      <c r="I62" s="14" t="s">
        <v>93</v>
      </c>
      <c r="J62" s="14">
        <v>10</v>
      </c>
      <c r="K62" s="14">
        <v>47000000</v>
      </c>
      <c r="L62" s="14">
        <v>57277000</v>
      </c>
      <c r="M62" s="14">
        <v>57277000</v>
      </c>
      <c r="N62" s="14">
        <v>0</v>
      </c>
      <c r="O62" s="32">
        <v>0</v>
      </c>
      <c r="P62" s="26">
        <f t="shared" si="31"/>
        <v>57277000</v>
      </c>
      <c r="Q62" s="14">
        <v>10677000</v>
      </c>
      <c r="R62" s="45">
        <f t="shared" si="4"/>
        <v>0.18640990275328667</v>
      </c>
      <c r="S62" s="14"/>
      <c r="T62" s="26">
        <f t="shared" si="20"/>
        <v>46600000</v>
      </c>
      <c r="U62" s="46">
        <f t="shared" si="2"/>
        <v>99.148936170212764</v>
      </c>
      <c r="V62" s="12">
        <f>U62*130000/100</f>
        <v>128893.6170212766</v>
      </c>
      <c r="W62" s="21">
        <f t="shared" si="30"/>
        <v>1288936.1702127659</v>
      </c>
      <c r="X62" s="178"/>
      <c r="Y62" s="246"/>
    </row>
    <row r="63" spans="1:25" ht="12.5">
      <c r="A63" s="222"/>
      <c r="B63" s="247"/>
      <c r="C63" s="224"/>
      <c r="D63" s="227"/>
      <c r="E63" s="227"/>
      <c r="F63" s="243"/>
      <c r="G63" s="244"/>
      <c r="H63" s="244"/>
      <c r="I63" s="23" t="s">
        <v>94</v>
      </c>
      <c r="J63" s="23">
        <v>11</v>
      </c>
      <c r="K63" s="23">
        <v>45300000</v>
      </c>
      <c r="L63" s="23">
        <v>43904000</v>
      </c>
      <c r="M63" s="23">
        <v>43904000</v>
      </c>
      <c r="N63" s="32">
        <v>0</v>
      </c>
      <c r="O63" s="47">
        <v>0</v>
      </c>
      <c r="P63" s="26">
        <f>SUM(M63:O63)</f>
        <v>43904000</v>
      </c>
      <c r="Q63" s="23">
        <v>9104000</v>
      </c>
      <c r="R63" s="33">
        <f t="shared" si="4"/>
        <v>0.20736151603498543</v>
      </c>
      <c r="S63" s="23"/>
      <c r="T63" s="30">
        <f>P63-(P63*R63)+S63</f>
        <v>34800000</v>
      </c>
      <c r="U63" s="46">
        <f t="shared" si="2"/>
        <v>76.821192052980138</v>
      </c>
      <c r="V63" s="13">
        <f>U63*75000/75</f>
        <v>76821.192052980143</v>
      </c>
      <c r="W63" s="15">
        <f t="shared" si="30"/>
        <v>845033.11258278158</v>
      </c>
      <c r="X63" s="178"/>
      <c r="Y63" s="246"/>
    </row>
    <row r="64" spans="1:25" ht="12.5">
      <c r="A64" s="222"/>
      <c r="B64" s="247"/>
      <c r="C64" s="224"/>
      <c r="D64" s="227"/>
      <c r="E64" s="227"/>
      <c r="F64" s="243"/>
      <c r="G64" s="244"/>
      <c r="H64" s="244"/>
      <c r="I64" s="26" t="s">
        <v>95</v>
      </c>
      <c r="J64" s="26">
        <v>22</v>
      </c>
      <c r="K64" s="26">
        <v>102700000</v>
      </c>
      <c r="L64" s="26">
        <f>116317287-9000000</f>
        <v>107317287</v>
      </c>
      <c r="M64" s="26">
        <f>116496900-9000000</f>
        <v>107496900</v>
      </c>
      <c r="N64" s="47"/>
      <c r="O64" s="47"/>
      <c r="P64" s="26">
        <f>SUM(M64:O64)</f>
        <v>107496900</v>
      </c>
      <c r="Q64" s="25">
        <v>20902771</v>
      </c>
      <c r="R64" s="45">
        <f t="shared" si="4"/>
        <v>0.19477543259176874</v>
      </c>
      <c r="S64" s="26">
        <v>4700000</v>
      </c>
      <c r="T64" s="26">
        <f>P64-(P64*R64)+S64</f>
        <v>91259144.800225899</v>
      </c>
      <c r="U64" s="46">
        <f>(T64/K64)*100</f>
        <v>88.859926777240403</v>
      </c>
      <c r="V64" s="16">
        <f>U64*109000/90</f>
        <v>107619.24465243559</v>
      </c>
      <c r="W64" s="16">
        <f t="shared" si="30"/>
        <v>2367623.3823535829</v>
      </c>
      <c r="X64" s="178"/>
      <c r="Y64" s="246"/>
    </row>
    <row r="65" spans="1:25" ht="12.5">
      <c r="A65" s="222"/>
      <c r="B65" s="247"/>
      <c r="C65" s="224"/>
      <c r="D65" s="227"/>
      <c r="E65" s="227"/>
      <c r="F65" s="243"/>
      <c r="G65" s="244"/>
      <c r="H65" s="244"/>
      <c r="I65" s="66" t="s">
        <v>96</v>
      </c>
      <c r="J65" s="66">
        <v>10</v>
      </c>
      <c r="K65" s="66">
        <v>41300000</v>
      </c>
      <c r="L65" s="66">
        <v>45627600</v>
      </c>
      <c r="M65" s="66">
        <v>45627000</v>
      </c>
      <c r="N65" s="85"/>
      <c r="O65" s="85"/>
      <c r="P65" s="26">
        <f>SUM(M65:O65)</f>
        <v>45627000</v>
      </c>
      <c r="Q65" s="86">
        <v>8927600</v>
      </c>
      <c r="R65" s="45">
        <f t="shared" si="4"/>
        <v>0.19566227458818786</v>
      </c>
      <c r="S65" s="66"/>
      <c r="T65" s="26">
        <f>P65-(P65*R65)+S65</f>
        <v>36699517.397364751</v>
      </c>
      <c r="U65" s="46">
        <f>(T65/K65)*100</f>
        <v>88.860816942771791</v>
      </c>
      <c r="V65" s="16">
        <f>U65*109000/90</f>
        <v>107620.3227418014</v>
      </c>
      <c r="W65" s="16">
        <f t="shared" si="30"/>
        <v>1076203.2274180141</v>
      </c>
      <c r="X65" s="178"/>
      <c r="Y65" s="246"/>
    </row>
    <row r="66" spans="1:25" ht="13" customHeight="1">
      <c r="A66" s="179"/>
      <c r="B66" s="180" t="str">
        <f>B62</f>
        <v>Bùi Trường Giang</v>
      </c>
      <c r="C66" s="225"/>
      <c r="D66" s="228"/>
      <c r="E66" s="228"/>
      <c r="F66" s="248"/>
      <c r="G66" s="245"/>
      <c r="H66" s="245"/>
      <c r="I66" s="69">
        <v>11</v>
      </c>
      <c r="J66" s="70">
        <f>SUM(J55:J65)</f>
        <v>117</v>
      </c>
      <c r="K66" s="70">
        <f t="shared" ref="K66:L66" si="32">SUM(K55:K65)</f>
        <v>478200000</v>
      </c>
      <c r="L66" s="70">
        <f t="shared" si="32"/>
        <v>492502487</v>
      </c>
      <c r="M66" s="70">
        <f>SUM(M55:M65)</f>
        <v>478284900</v>
      </c>
      <c r="N66" s="70">
        <f>SUM(N55:N65)</f>
        <v>1229400</v>
      </c>
      <c r="O66" s="70">
        <f>SUM(O55:O65)</f>
        <v>3742199.9999999995</v>
      </c>
      <c r="P66" s="70">
        <f>SUM(P55:P65)</f>
        <v>483256500</v>
      </c>
      <c r="Q66" s="70">
        <f>SUM(Q55:Q65)</f>
        <v>98487971</v>
      </c>
      <c r="R66" s="87"/>
      <c r="S66" s="70">
        <f>SUM(S55:S65)</f>
        <v>13306451.806451615</v>
      </c>
      <c r="T66" s="70">
        <f>SUM(T55:T65)</f>
        <v>399754951.01381713</v>
      </c>
      <c r="U66" s="88">
        <f>(T66/K66)*100</f>
        <v>83.595765582144949</v>
      </c>
      <c r="V66" s="62"/>
      <c r="W66" s="62">
        <f>SUM(W55:W65)</f>
        <v>10468810.731803669</v>
      </c>
      <c r="X66" s="178"/>
      <c r="Y66" s="246"/>
    </row>
    <row r="67" spans="1:25" ht="13" customHeight="1">
      <c r="A67" s="222" t="s">
        <v>97</v>
      </c>
      <c r="B67" s="247" t="s">
        <v>98</v>
      </c>
      <c r="C67" s="224" t="s">
        <v>35</v>
      </c>
      <c r="D67" s="227"/>
      <c r="E67" s="227">
        <v>500000</v>
      </c>
      <c r="F67" s="243">
        <v>500000</v>
      </c>
      <c r="G67" s="244"/>
      <c r="H67" s="244"/>
      <c r="I67" s="14" t="s">
        <v>99</v>
      </c>
      <c r="J67" s="14">
        <v>8</v>
      </c>
      <c r="K67" s="14">
        <v>35000000</v>
      </c>
      <c r="L67" s="14">
        <v>39295000</v>
      </c>
      <c r="M67" s="14">
        <v>34950000</v>
      </c>
      <c r="N67" s="14">
        <v>0</v>
      </c>
      <c r="O67" s="14">
        <v>0</v>
      </c>
      <c r="P67" s="14">
        <f t="shared" ref="P67:P71" si="33">SUM(M67:O67)</f>
        <v>34950000</v>
      </c>
      <c r="Q67" s="14">
        <v>6895000</v>
      </c>
      <c r="R67" s="45">
        <f t="shared" si="4"/>
        <v>0.17546761674513298</v>
      </c>
      <c r="S67" s="14"/>
      <c r="T67" s="26">
        <f t="shared" si="20"/>
        <v>28817406.794757605</v>
      </c>
      <c r="U67" s="46">
        <f t="shared" si="2"/>
        <v>82.33544798502173</v>
      </c>
      <c r="V67" s="12">
        <f>U67*85000/80</f>
        <v>87481.413484085584</v>
      </c>
      <c r="W67" s="21">
        <f>V67*J67</f>
        <v>699851.30787268467</v>
      </c>
      <c r="X67" s="177">
        <f>D67+E67+F67+G67+H67+W72</f>
        <v>6034492.3438854292</v>
      </c>
      <c r="Y67" s="246"/>
    </row>
    <row r="68" spans="1:25" ht="13" customHeight="1">
      <c r="A68" s="222"/>
      <c r="B68" s="247" t="str">
        <f>B67</f>
        <v>Đỗ Công Trường</v>
      </c>
      <c r="C68" s="224"/>
      <c r="D68" s="227"/>
      <c r="E68" s="227"/>
      <c r="F68" s="243"/>
      <c r="G68" s="244"/>
      <c r="H68" s="244"/>
      <c r="I68" s="14" t="s">
        <v>100</v>
      </c>
      <c r="J68" s="14">
        <v>8</v>
      </c>
      <c r="K68" s="14">
        <v>35000000</v>
      </c>
      <c r="L68" s="14">
        <v>42420000</v>
      </c>
      <c r="M68" s="14">
        <v>37494000</v>
      </c>
      <c r="N68" s="14">
        <v>4433400</v>
      </c>
      <c r="O68" s="14">
        <v>0</v>
      </c>
      <c r="P68" s="14">
        <f t="shared" si="33"/>
        <v>41927400</v>
      </c>
      <c r="Q68" s="14">
        <v>8920000</v>
      </c>
      <c r="R68" s="45">
        <f t="shared" si="4"/>
        <v>0.21027817067421029</v>
      </c>
      <c r="S68" s="14"/>
      <c r="T68" s="26">
        <f t="shared" si="20"/>
        <v>33110983.026874118</v>
      </c>
      <c r="U68" s="46">
        <f t="shared" si="2"/>
        <v>94.602808648211763</v>
      </c>
      <c r="V68" s="12">
        <f>U68*119000/95</f>
        <v>118502.46556986525</v>
      </c>
      <c r="W68" s="21">
        <f>V68*J68</f>
        <v>948019.724558922</v>
      </c>
      <c r="X68" s="178"/>
      <c r="Y68" s="246"/>
    </row>
    <row r="69" spans="1:25" ht="13" customHeight="1">
      <c r="A69" s="222"/>
      <c r="B69" s="247" t="str">
        <f>B68</f>
        <v>Đỗ Công Trường</v>
      </c>
      <c r="C69" s="224"/>
      <c r="D69" s="227"/>
      <c r="E69" s="227"/>
      <c r="F69" s="243"/>
      <c r="G69" s="244"/>
      <c r="H69" s="244"/>
      <c r="I69" s="23" t="s">
        <v>101</v>
      </c>
      <c r="J69" s="23">
        <v>7</v>
      </c>
      <c r="K69" s="23">
        <v>24800000</v>
      </c>
      <c r="L69" s="23">
        <v>25282000</v>
      </c>
      <c r="M69" s="23">
        <v>23742000</v>
      </c>
      <c r="N69" s="23">
        <v>1386000</v>
      </c>
      <c r="O69" s="23">
        <v>0</v>
      </c>
      <c r="P69" s="23">
        <f>SUM(M69:O69)</f>
        <v>25128000</v>
      </c>
      <c r="Q69" s="23">
        <v>5282000</v>
      </c>
      <c r="R69" s="33">
        <f t="shared" si="4"/>
        <v>0.20892334467209872</v>
      </c>
      <c r="S69" s="23"/>
      <c r="T69" s="30">
        <f t="shared" si="20"/>
        <v>19878174.195079505</v>
      </c>
      <c r="U69" s="34">
        <f t="shared" si="2"/>
        <v>80.153928205965755</v>
      </c>
      <c r="V69" s="12">
        <f>U69*85000/80</f>
        <v>85163.548718838618</v>
      </c>
      <c r="W69" s="15">
        <f>V69*J69</f>
        <v>596144.84103187034</v>
      </c>
      <c r="X69" s="178"/>
      <c r="Y69" s="246"/>
    </row>
    <row r="70" spans="1:25" s="37" customFormat="1" ht="12.5">
      <c r="A70" s="222"/>
      <c r="B70" s="247"/>
      <c r="C70" s="224"/>
      <c r="D70" s="227"/>
      <c r="E70" s="227"/>
      <c r="F70" s="243"/>
      <c r="G70" s="244"/>
      <c r="H70" s="244"/>
      <c r="I70" s="26" t="s">
        <v>102</v>
      </c>
      <c r="J70" s="26">
        <v>14</v>
      </c>
      <c r="K70" s="26">
        <v>49800000</v>
      </c>
      <c r="L70" s="26">
        <f>61772700+3500000-3400000</f>
        <v>61872700</v>
      </c>
      <c r="M70" s="26">
        <f>61772500+3500000-3400000</f>
        <v>61872500</v>
      </c>
      <c r="N70" s="26">
        <v>0</v>
      </c>
      <c r="O70" s="26">
        <v>0</v>
      </c>
      <c r="P70" s="26">
        <f t="shared" si="33"/>
        <v>61872500</v>
      </c>
      <c r="Q70" s="26">
        <v>13472700</v>
      </c>
      <c r="R70" s="45">
        <f t="shared" si="4"/>
        <v>0.21774870015370268</v>
      </c>
      <c r="S70" s="26"/>
      <c r="T70" s="26">
        <f t="shared" si="20"/>
        <v>48399843.549740031</v>
      </c>
      <c r="U70" s="46">
        <f t="shared" si="2"/>
        <v>97.188440862931785</v>
      </c>
      <c r="V70" s="16">
        <f>U70*120000/95</f>
        <v>122764.346353177</v>
      </c>
      <c r="W70" s="16">
        <f t="shared" ref="W70:W71" si="34">V70*J70</f>
        <v>1718700.848944478</v>
      </c>
      <c r="X70" s="178"/>
      <c r="Y70" s="246"/>
    </row>
    <row r="71" spans="1:25" s="37" customFormat="1" ht="12.5">
      <c r="A71" s="222"/>
      <c r="B71" s="247"/>
      <c r="C71" s="224"/>
      <c r="D71" s="227"/>
      <c r="E71" s="227"/>
      <c r="F71" s="243"/>
      <c r="G71" s="244"/>
      <c r="H71" s="244"/>
      <c r="I71" s="26" t="s">
        <v>103</v>
      </c>
      <c r="J71" s="26">
        <v>10</v>
      </c>
      <c r="K71" s="26">
        <v>45000000</v>
      </c>
      <c r="L71" s="26">
        <v>49053000</v>
      </c>
      <c r="M71" s="26">
        <v>47603000</v>
      </c>
      <c r="N71" s="26">
        <v>0</v>
      </c>
      <c r="O71" s="26">
        <v>1014999.9999999999</v>
      </c>
      <c r="P71" s="26">
        <f t="shared" si="33"/>
        <v>48618000</v>
      </c>
      <c r="Q71" s="26">
        <v>11253000</v>
      </c>
      <c r="R71" s="45">
        <f t="shared" si="4"/>
        <v>0.22940492936211854</v>
      </c>
      <c r="S71" s="26">
        <v>2358064.5161290322</v>
      </c>
      <c r="T71" s="26">
        <f t="shared" si="20"/>
        <v>39822855.660401553</v>
      </c>
      <c r="U71" s="46">
        <f>(T71/K71)*100</f>
        <v>88.495234800892348</v>
      </c>
      <c r="V71" s="16">
        <f>U71*109000/90</f>
        <v>107177.56214774739</v>
      </c>
      <c r="W71" s="16">
        <f t="shared" si="34"/>
        <v>1071775.621477474</v>
      </c>
      <c r="X71" s="178"/>
      <c r="Y71" s="246"/>
    </row>
    <row r="72" spans="1:25" ht="13" customHeight="1">
      <c r="A72" s="179"/>
      <c r="B72" s="180" t="str">
        <f>B69</f>
        <v>Đỗ Công Trường</v>
      </c>
      <c r="C72" s="225"/>
      <c r="D72" s="228"/>
      <c r="E72" s="228"/>
      <c r="F72" s="248"/>
      <c r="G72" s="245"/>
      <c r="H72" s="245"/>
      <c r="I72" s="69">
        <v>5</v>
      </c>
      <c r="J72" s="70">
        <f>SUM(J67:J71)</f>
        <v>47</v>
      </c>
      <c r="K72" s="70">
        <f t="shared" ref="K72:Q72" si="35">SUM(K67:K71)</f>
        <v>189600000</v>
      </c>
      <c r="L72" s="70">
        <f t="shared" si="35"/>
        <v>217922700</v>
      </c>
      <c r="M72" s="70">
        <f t="shared" si="35"/>
        <v>205661500</v>
      </c>
      <c r="N72" s="70">
        <f t="shared" si="35"/>
        <v>5819400</v>
      </c>
      <c r="O72" s="70">
        <f t="shared" si="35"/>
        <v>1014999.9999999999</v>
      </c>
      <c r="P72" s="70">
        <f>SUM(P67:P71)</f>
        <v>212495900</v>
      </c>
      <c r="Q72" s="70">
        <f t="shared" si="35"/>
        <v>45822700</v>
      </c>
      <c r="R72" s="87"/>
      <c r="S72" s="89">
        <f>SUM(S67:S71)</f>
        <v>2358064.5161290322</v>
      </c>
      <c r="T72" s="89">
        <f>SUM(T67:T71)</f>
        <v>170029263.22685283</v>
      </c>
      <c r="U72" s="55">
        <f>(T72/K72)*100</f>
        <v>89.677881448762037</v>
      </c>
      <c r="V72" s="90"/>
      <c r="W72" s="90">
        <f>SUM(W67:W71)</f>
        <v>5034492.3438854292</v>
      </c>
      <c r="X72" s="178"/>
      <c r="Y72" s="246"/>
    </row>
    <row r="73" spans="1:25" ht="13" customHeight="1">
      <c r="A73" s="222" t="s">
        <v>104</v>
      </c>
      <c r="B73" s="247" t="s">
        <v>105</v>
      </c>
      <c r="C73" s="223" t="s">
        <v>35</v>
      </c>
      <c r="D73" s="226"/>
      <c r="E73" s="226">
        <v>500000</v>
      </c>
      <c r="F73" s="242">
        <v>500000</v>
      </c>
      <c r="G73" s="181"/>
      <c r="H73" s="181"/>
      <c r="I73" s="47" t="s">
        <v>106</v>
      </c>
      <c r="J73" s="26">
        <v>10</v>
      </c>
      <c r="K73" s="26">
        <v>42100000</v>
      </c>
      <c r="L73" s="14">
        <v>37004000</v>
      </c>
      <c r="M73" s="14">
        <v>36996000</v>
      </c>
      <c r="N73" s="14">
        <v>0</v>
      </c>
      <c r="O73" s="14">
        <v>0</v>
      </c>
      <c r="P73" s="14">
        <f t="shared" ref="P73:P78" si="36">SUM(M73:O73)</f>
        <v>36996000</v>
      </c>
      <c r="Q73" s="91">
        <v>7004000</v>
      </c>
      <c r="R73" s="45">
        <f t="shared" si="4"/>
        <v>0.18927683493676359</v>
      </c>
      <c r="S73" s="14"/>
      <c r="T73" s="26">
        <f t="shared" si="20"/>
        <v>29993514.214679495</v>
      </c>
      <c r="U73" s="46">
        <f t="shared" si="2"/>
        <v>71.243501697575994</v>
      </c>
      <c r="V73" s="12">
        <f>U73*65000/70</f>
        <v>66154.680147749139</v>
      </c>
      <c r="W73" s="21">
        <f>V73*J73</f>
        <v>661546.80147749139</v>
      </c>
      <c r="X73" s="177">
        <f>W79+D73+F73+G73+H73+E73</f>
        <v>7880916.2926935749</v>
      </c>
      <c r="Y73" s="246"/>
    </row>
    <row r="74" spans="1:25" ht="13" customHeight="1">
      <c r="A74" s="222"/>
      <c r="B74" s="247"/>
      <c r="C74" s="224"/>
      <c r="D74" s="227"/>
      <c r="E74" s="227"/>
      <c r="F74" s="243"/>
      <c r="G74" s="244"/>
      <c r="H74" s="244"/>
      <c r="I74" s="44" t="s">
        <v>107</v>
      </c>
      <c r="J74" s="26">
        <v>16</v>
      </c>
      <c r="K74" s="26">
        <v>66000000</v>
      </c>
      <c r="L74" s="14">
        <v>57968000</v>
      </c>
      <c r="M74" s="14">
        <v>48481000</v>
      </c>
      <c r="N74" s="14">
        <v>0</v>
      </c>
      <c r="O74" s="14">
        <v>0</v>
      </c>
      <c r="P74" s="14">
        <f t="shared" si="36"/>
        <v>48481000</v>
      </c>
      <c r="Q74" s="91">
        <v>13168000</v>
      </c>
      <c r="R74" s="45">
        <f t="shared" si="4"/>
        <v>0.22715981231024013</v>
      </c>
      <c r="S74" s="23"/>
      <c r="T74" s="26">
        <f t="shared" si="20"/>
        <v>37468065.13938725</v>
      </c>
      <c r="U74" s="46">
        <f t="shared" si="2"/>
        <v>56.769795665738258</v>
      </c>
      <c r="V74" s="12"/>
      <c r="W74" s="21">
        <f>(130000*J74)*10%</f>
        <v>208000</v>
      </c>
      <c r="X74" s="177"/>
      <c r="Y74" s="246"/>
    </row>
    <row r="75" spans="1:25" ht="13" customHeight="1">
      <c r="A75" s="222"/>
      <c r="B75" s="247" t="str">
        <f>B73</f>
        <v>Đặng Minh Hiếu</v>
      </c>
      <c r="C75" s="224"/>
      <c r="D75" s="227"/>
      <c r="E75" s="227"/>
      <c r="F75" s="243"/>
      <c r="G75" s="244"/>
      <c r="H75" s="244"/>
      <c r="I75" s="26" t="s">
        <v>108</v>
      </c>
      <c r="J75" s="26">
        <v>20</v>
      </c>
      <c r="K75" s="26">
        <v>84300000</v>
      </c>
      <c r="L75" s="14">
        <v>83382900</v>
      </c>
      <c r="M75" s="14">
        <v>78648900</v>
      </c>
      <c r="N75" s="14">
        <v>900000</v>
      </c>
      <c r="O75" s="14">
        <v>0</v>
      </c>
      <c r="P75" s="14">
        <f t="shared" si="36"/>
        <v>79548900</v>
      </c>
      <c r="Q75" s="91">
        <v>17682900</v>
      </c>
      <c r="R75" s="45">
        <f t="shared" si="4"/>
        <v>0.21206866156010404</v>
      </c>
      <c r="S75" s="37"/>
      <c r="T75" s="26">
        <f>P75-(P75*R75)+S76</f>
        <v>62679071.248421438</v>
      </c>
      <c r="U75" s="46">
        <f t="shared" si="2"/>
        <v>74.352397684960195</v>
      </c>
      <c r="V75" s="12">
        <f>U75*74000/75</f>
        <v>73361.032382494057</v>
      </c>
      <c r="W75" s="21">
        <f t="shared" ref="W75:W78" si="37">V75*J75</f>
        <v>1467220.6476498812</v>
      </c>
      <c r="X75" s="178"/>
      <c r="Y75" s="246"/>
    </row>
    <row r="76" spans="1:25" ht="14">
      <c r="A76" s="222"/>
      <c r="B76" s="247"/>
      <c r="C76" s="224"/>
      <c r="D76" s="227"/>
      <c r="E76" s="227"/>
      <c r="F76" s="243"/>
      <c r="G76" s="244"/>
      <c r="H76" s="244"/>
      <c r="I76" s="84" t="s">
        <v>109</v>
      </c>
      <c r="J76" s="23">
        <v>21</v>
      </c>
      <c r="K76" s="23">
        <v>74800000</v>
      </c>
      <c r="L76" s="23">
        <v>80830000</v>
      </c>
      <c r="M76" s="23">
        <v>72494000</v>
      </c>
      <c r="N76" s="23">
        <v>4028400</v>
      </c>
      <c r="O76" s="14">
        <v>140000</v>
      </c>
      <c r="P76" s="23">
        <f t="shared" si="36"/>
        <v>76662400</v>
      </c>
      <c r="Q76" s="91">
        <v>14980000</v>
      </c>
      <c r="R76" s="45">
        <f t="shared" si="4"/>
        <v>0.18532722998886553</v>
      </c>
      <c r="S76" s="26"/>
      <c r="T76" s="26">
        <f>P76-(P76*R76)+S77</f>
        <v>62454769.763701595</v>
      </c>
      <c r="U76" s="46">
        <f>(T76/K76)*100</f>
        <v>83.495681502274863</v>
      </c>
      <c r="V76" s="12">
        <f>U76*94000/85</f>
        <v>92336.400720162783</v>
      </c>
      <c r="W76" s="15">
        <f t="shared" si="37"/>
        <v>1939064.4151234184</v>
      </c>
      <c r="X76" s="178"/>
      <c r="Y76" s="246"/>
    </row>
    <row r="77" spans="1:25" ht="14">
      <c r="A77" s="222"/>
      <c r="B77" s="247"/>
      <c r="C77" s="224"/>
      <c r="D77" s="227"/>
      <c r="E77" s="227"/>
      <c r="F77" s="243"/>
      <c r="G77" s="244"/>
      <c r="H77" s="244"/>
      <c r="I77" s="30" t="s">
        <v>110</v>
      </c>
      <c r="J77" s="30">
        <v>11</v>
      </c>
      <c r="K77" s="30">
        <v>50300000</v>
      </c>
      <c r="L77" s="30">
        <v>57086000</v>
      </c>
      <c r="M77" s="30">
        <v>51110000</v>
      </c>
      <c r="N77" s="30">
        <v>5378400</v>
      </c>
      <c r="O77" s="32">
        <v>0</v>
      </c>
      <c r="P77" s="26">
        <f t="shared" si="36"/>
        <v>56488400</v>
      </c>
      <c r="Q77" s="92">
        <v>9086000</v>
      </c>
      <c r="R77" s="33">
        <f t="shared" si="4"/>
        <v>0.15916336755071295</v>
      </c>
      <c r="S77" s="32"/>
      <c r="T77" s="30">
        <f t="shared" si="20"/>
        <v>47497516.028448306</v>
      </c>
      <c r="U77" s="46">
        <f t="shared" si="2"/>
        <v>94.428461289161646</v>
      </c>
      <c r="V77" s="15">
        <f>U77*119000/95</f>
        <v>118284.07256221301</v>
      </c>
      <c r="W77" s="16">
        <f t="shared" si="37"/>
        <v>1301124.7981843431</v>
      </c>
      <c r="X77" s="178"/>
      <c r="Y77" s="246"/>
    </row>
    <row r="78" spans="1:25" ht="14">
      <c r="A78" s="222"/>
      <c r="B78" s="247"/>
      <c r="C78" s="224"/>
      <c r="D78" s="227"/>
      <c r="E78" s="227"/>
      <c r="F78" s="243"/>
      <c r="G78" s="244"/>
      <c r="H78" s="244"/>
      <c r="I78" s="26" t="s">
        <v>111</v>
      </c>
      <c r="J78" s="26">
        <v>11</v>
      </c>
      <c r="K78" s="26">
        <v>30600000</v>
      </c>
      <c r="L78" s="26">
        <v>34448000</v>
      </c>
      <c r="M78" s="26">
        <v>34448000</v>
      </c>
      <c r="N78" s="26">
        <v>0</v>
      </c>
      <c r="O78" s="47">
        <v>0</v>
      </c>
      <c r="P78" s="26">
        <f t="shared" si="36"/>
        <v>34448000</v>
      </c>
      <c r="Q78" s="93">
        <v>7548000</v>
      </c>
      <c r="R78" s="33">
        <f t="shared" si="4"/>
        <v>0.21911286576869485</v>
      </c>
      <c r="S78" s="26">
        <v>2058064.5161290322</v>
      </c>
      <c r="T78" s="26">
        <f t="shared" si="20"/>
        <v>28958064.516129032</v>
      </c>
      <c r="U78" s="46">
        <f t="shared" si="2"/>
        <v>94.634197765127553</v>
      </c>
      <c r="V78" s="16">
        <f>U78*119000/95</f>
        <v>118541.78456894925</v>
      </c>
      <c r="W78" s="16">
        <f t="shared" si="37"/>
        <v>1303959.6302584419</v>
      </c>
      <c r="X78" s="178"/>
      <c r="Y78" s="246"/>
    </row>
    <row r="79" spans="1:25" ht="13" customHeight="1">
      <c r="A79" s="179"/>
      <c r="B79" s="180" t="str">
        <f>B75</f>
        <v>Đặng Minh Hiếu</v>
      </c>
      <c r="C79" s="225"/>
      <c r="D79" s="228"/>
      <c r="E79" s="228"/>
      <c r="F79" s="248"/>
      <c r="G79" s="245"/>
      <c r="H79" s="245"/>
      <c r="I79" s="94">
        <v>6</v>
      </c>
      <c r="J79" s="70">
        <f>SUM(J73:J78)</f>
        <v>89</v>
      </c>
      <c r="K79" s="70">
        <f t="shared" ref="K79:Q79" si="38">SUM(K73:K78)</f>
        <v>348100000</v>
      </c>
      <c r="L79" s="70">
        <f t="shared" si="38"/>
        <v>350718900</v>
      </c>
      <c r="M79" s="70">
        <f t="shared" si="38"/>
        <v>322177900</v>
      </c>
      <c r="N79" s="70">
        <f t="shared" si="38"/>
        <v>10306800</v>
      </c>
      <c r="O79" s="70">
        <f t="shared" si="38"/>
        <v>140000</v>
      </c>
      <c r="P79" s="70">
        <f t="shared" si="38"/>
        <v>332624700</v>
      </c>
      <c r="Q79" s="70">
        <f t="shared" si="38"/>
        <v>69468900</v>
      </c>
      <c r="R79" s="61"/>
      <c r="S79" s="70">
        <f>SUM(S73:S78)</f>
        <v>2058064.5161290322</v>
      </c>
      <c r="T79" s="70">
        <f>SUM(T73:T78)</f>
        <v>269051000.91076714</v>
      </c>
      <c r="U79" s="55">
        <f>(T79/K79)*100</f>
        <v>77.291295866350794</v>
      </c>
      <c r="V79" s="71"/>
      <c r="W79" s="62">
        <f>SUM(W73:W78)</f>
        <v>6880916.2926935749</v>
      </c>
      <c r="X79" s="178"/>
      <c r="Y79" s="246"/>
    </row>
    <row r="80" spans="1:25" ht="13" customHeight="1">
      <c r="A80" s="222" t="s">
        <v>112</v>
      </c>
      <c r="B80" s="247" t="s">
        <v>113</v>
      </c>
      <c r="C80" s="223" t="s">
        <v>35</v>
      </c>
      <c r="D80" s="226"/>
      <c r="E80" s="226">
        <v>500000</v>
      </c>
      <c r="F80" s="242">
        <v>500000</v>
      </c>
      <c r="G80" s="181"/>
      <c r="H80" s="181"/>
      <c r="I80" s="30" t="s">
        <v>114</v>
      </c>
      <c r="J80" s="23">
        <v>9</v>
      </c>
      <c r="K80" s="14">
        <v>48500000</v>
      </c>
      <c r="L80" s="14">
        <f>45589000+9000000</f>
        <v>54589000</v>
      </c>
      <c r="M80" s="14">
        <f>45553000+9000000</f>
        <v>54553000</v>
      </c>
      <c r="N80" s="14">
        <v>0</v>
      </c>
      <c r="O80" s="14">
        <v>0</v>
      </c>
      <c r="P80" s="14">
        <f t="shared" ref="P80:P91" si="39">SUM(M80:O80)</f>
        <v>54553000</v>
      </c>
      <c r="Q80" s="14">
        <v>11689000</v>
      </c>
      <c r="R80" s="45">
        <f t="shared" ref="R80:R91" si="40">Q80/L80</f>
        <v>0.21412738830167249</v>
      </c>
      <c r="S80" s="95"/>
      <c r="T80" s="26">
        <f t="shared" si="20"/>
        <v>42871708.585978858</v>
      </c>
      <c r="U80" s="46">
        <f t="shared" si="2"/>
        <v>88.39527543500796</v>
      </c>
      <c r="V80" s="12">
        <f>U80*109000/90</f>
        <v>107056.5002490652</v>
      </c>
      <c r="W80" s="21">
        <f t="shared" ref="W80:W91" si="41">V80*J80</f>
        <v>963508.5022415868</v>
      </c>
      <c r="X80" s="177">
        <f>W93+D80+F80+G80+H80+E80</f>
        <v>20533396.286126893</v>
      </c>
      <c r="Y80" s="246"/>
    </row>
    <row r="81" spans="1:25" ht="13" customHeight="1">
      <c r="A81" s="222"/>
      <c r="B81" s="247"/>
      <c r="C81" s="224"/>
      <c r="D81" s="227"/>
      <c r="E81" s="227"/>
      <c r="F81" s="243"/>
      <c r="G81" s="244"/>
      <c r="H81" s="244"/>
      <c r="I81" s="26" t="s">
        <v>115</v>
      </c>
      <c r="J81" s="26">
        <v>9</v>
      </c>
      <c r="K81" s="14">
        <v>39200000</v>
      </c>
      <c r="L81" s="14">
        <v>43236000</v>
      </c>
      <c r="M81" s="14">
        <v>37996000</v>
      </c>
      <c r="N81" s="14">
        <v>0</v>
      </c>
      <c r="O81" s="14">
        <v>2800000</v>
      </c>
      <c r="P81" s="14">
        <f t="shared" si="39"/>
        <v>40796000</v>
      </c>
      <c r="Q81" s="14">
        <v>7536000</v>
      </c>
      <c r="R81" s="45">
        <f t="shared" si="40"/>
        <v>0.1742991951151818</v>
      </c>
      <c r="S81" s="95"/>
      <c r="T81" s="26">
        <f t="shared" si="20"/>
        <v>33685290.036081046</v>
      </c>
      <c r="U81" s="46">
        <f t="shared" si="2"/>
        <v>85.93186233694145</v>
      </c>
      <c r="V81" s="12">
        <f>U81*100000/85</f>
        <v>101096.30863169584</v>
      </c>
      <c r="W81" s="21">
        <f t="shared" si="41"/>
        <v>909866.7776852625</v>
      </c>
      <c r="X81" s="177"/>
      <c r="Y81" s="246"/>
    </row>
    <row r="82" spans="1:25" ht="13" customHeight="1">
      <c r="A82" s="222"/>
      <c r="B82" s="247"/>
      <c r="C82" s="224"/>
      <c r="D82" s="227"/>
      <c r="E82" s="227"/>
      <c r="F82" s="243"/>
      <c r="G82" s="244"/>
      <c r="H82" s="244"/>
      <c r="I82" s="26" t="s">
        <v>70</v>
      </c>
      <c r="J82" s="26">
        <v>38</v>
      </c>
      <c r="K82" s="14">
        <v>143100000</v>
      </c>
      <c r="L82" s="14">
        <f>172932000-8200000</f>
        <v>164732000</v>
      </c>
      <c r="M82" s="14">
        <f>165312000-8200000</f>
        <v>157112000</v>
      </c>
      <c r="N82" s="14">
        <v>2952000</v>
      </c>
      <c r="O82" s="14">
        <v>0</v>
      </c>
      <c r="P82" s="14">
        <f t="shared" si="39"/>
        <v>160064000</v>
      </c>
      <c r="Q82" s="14">
        <v>34290000</v>
      </c>
      <c r="R82" s="45">
        <f t="shared" si="40"/>
        <v>0.20815627807590512</v>
      </c>
      <c r="S82" s="95">
        <v>2554838.7096774192</v>
      </c>
      <c r="T82" s="26">
        <f t="shared" si="20"/>
        <v>129300512.21573573</v>
      </c>
      <c r="U82" s="46">
        <f t="shared" si="2"/>
        <v>90.356752072491773</v>
      </c>
      <c r="V82" s="12">
        <f>U82*110000/90</f>
        <v>110436.03031082328</v>
      </c>
      <c r="W82" s="21">
        <f t="shared" si="41"/>
        <v>4196569.1518112849</v>
      </c>
      <c r="X82" s="177"/>
      <c r="Y82" s="246"/>
    </row>
    <row r="83" spans="1:25" ht="12.5">
      <c r="A83" s="222"/>
      <c r="B83" s="247"/>
      <c r="C83" s="224"/>
      <c r="D83" s="227"/>
      <c r="E83" s="227"/>
      <c r="F83" s="243"/>
      <c r="G83" s="244"/>
      <c r="H83" s="244"/>
      <c r="I83" s="26" t="s">
        <v>117</v>
      </c>
      <c r="J83" s="26">
        <v>24</v>
      </c>
      <c r="K83" s="14">
        <v>79200000</v>
      </c>
      <c r="L83" s="14">
        <f>93412000-2900000</f>
        <v>90512000</v>
      </c>
      <c r="M83" s="14">
        <f>88096000-2900000</f>
        <v>85196000</v>
      </c>
      <c r="N83" s="14">
        <v>4782600</v>
      </c>
      <c r="O83" s="14">
        <v>0</v>
      </c>
      <c r="P83" s="14">
        <f t="shared" si="39"/>
        <v>89978600</v>
      </c>
      <c r="Q83" s="14">
        <v>16512000</v>
      </c>
      <c r="R83" s="45">
        <f t="shared" si="40"/>
        <v>0.18242884921336397</v>
      </c>
      <c r="S83" s="95"/>
      <c r="T83" s="26">
        <f t="shared" si="20"/>
        <v>73563907.548170403</v>
      </c>
      <c r="U83" s="46">
        <f t="shared" si="2"/>
        <v>92.883721651730312</v>
      </c>
      <c r="V83" s="12">
        <f>U83*119000/95</f>
        <v>116349.08291111481</v>
      </c>
      <c r="W83" s="21">
        <f t="shared" si="41"/>
        <v>2792377.9898667554</v>
      </c>
      <c r="X83" s="178"/>
      <c r="Y83" s="246"/>
    </row>
    <row r="84" spans="1:25" ht="12.5">
      <c r="A84" s="222"/>
      <c r="B84" s="247"/>
      <c r="C84" s="224"/>
      <c r="D84" s="227"/>
      <c r="E84" s="227"/>
      <c r="F84" s="243"/>
      <c r="G84" s="244"/>
      <c r="H84" s="244"/>
      <c r="I84" s="14" t="s">
        <v>118</v>
      </c>
      <c r="J84" s="14">
        <v>13</v>
      </c>
      <c r="K84" s="14">
        <v>60800000</v>
      </c>
      <c r="L84" s="14">
        <f>53688000+16000000</f>
        <v>69688000</v>
      </c>
      <c r="M84" s="14">
        <f>49736000+16000000</f>
        <v>65736000</v>
      </c>
      <c r="N84" s="14">
        <v>3529800</v>
      </c>
      <c r="O84" s="14">
        <v>0</v>
      </c>
      <c r="P84" s="14">
        <f t="shared" si="39"/>
        <v>69265800</v>
      </c>
      <c r="Q84" s="14">
        <v>12588000</v>
      </c>
      <c r="R84" s="45">
        <f t="shared" si="40"/>
        <v>0.18063368155206061</v>
      </c>
      <c r="S84" s="95"/>
      <c r="T84" s="26">
        <f t="shared" si="20"/>
        <v>56754063.540351279</v>
      </c>
      <c r="U84" s="46">
        <f t="shared" si="2"/>
        <v>93.345499243998816</v>
      </c>
      <c r="V84" s="12">
        <f>U84*119000/95</f>
        <v>116927.52010564062</v>
      </c>
      <c r="W84" s="21">
        <f t="shared" si="41"/>
        <v>1520057.761373328</v>
      </c>
      <c r="X84" s="178"/>
      <c r="Y84" s="246"/>
    </row>
    <row r="85" spans="1:25" ht="12.5">
      <c r="A85" s="222"/>
      <c r="B85" s="247"/>
      <c r="C85" s="224"/>
      <c r="D85" s="227"/>
      <c r="E85" s="227"/>
      <c r="F85" s="243"/>
      <c r="G85" s="244"/>
      <c r="H85" s="244"/>
      <c r="I85" s="14" t="s">
        <v>119</v>
      </c>
      <c r="J85" s="14">
        <v>7</v>
      </c>
      <c r="K85" s="14">
        <v>23200000</v>
      </c>
      <c r="L85" s="14">
        <v>27953000</v>
      </c>
      <c r="M85" s="14">
        <v>25177000</v>
      </c>
      <c r="N85" s="14">
        <v>0</v>
      </c>
      <c r="O85" s="14">
        <v>0</v>
      </c>
      <c r="P85" s="14">
        <f t="shared" si="39"/>
        <v>25177000</v>
      </c>
      <c r="Q85" s="14">
        <v>5353000</v>
      </c>
      <c r="R85" s="45">
        <f t="shared" si="40"/>
        <v>0.19150001788716775</v>
      </c>
      <c r="S85" s="95">
        <v>1632258.064516129</v>
      </c>
      <c r="T85" s="26">
        <f t="shared" si="20"/>
        <v>21987862.114170909</v>
      </c>
      <c r="U85" s="46">
        <f t="shared" si="2"/>
        <v>94.775267733495298</v>
      </c>
      <c r="V85" s="12">
        <f>U85*119000/95</f>
        <v>118718.49326616779</v>
      </c>
      <c r="W85" s="21">
        <f t="shared" si="41"/>
        <v>831029.45286317449</v>
      </c>
      <c r="X85" s="178"/>
      <c r="Y85" s="246"/>
    </row>
    <row r="86" spans="1:25" ht="14">
      <c r="A86" s="222"/>
      <c r="B86" s="247"/>
      <c r="C86" s="224"/>
      <c r="D86" s="227"/>
      <c r="E86" s="227"/>
      <c r="F86" s="243"/>
      <c r="G86" s="244"/>
      <c r="H86" s="244"/>
      <c r="I86" s="14" t="s">
        <v>120</v>
      </c>
      <c r="J86" s="14">
        <v>18</v>
      </c>
      <c r="K86" s="14">
        <v>61400000</v>
      </c>
      <c r="L86" s="14">
        <f>74289000-6400000</f>
        <v>67889000</v>
      </c>
      <c r="M86" s="14">
        <f>74189000-6400000</f>
        <v>67789000</v>
      </c>
      <c r="N86" s="14">
        <v>0</v>
      </c>
      <c r="O86" s="14">
        <v>0</v>
      </c>
      <c r="P86" s="23">
        <f t="shared" si="39"/>
        <v>67789000</v>
      </c>
      <c r="Q86" s="23">
        <v>12489000</v>
      </c>
      <c r="R86" s="45">
        <f t="shared" si="40"/>
        <v>0.18396205570858312</v>
      </c>
      <c r="S86" s="18"/>
      <c r="T86" s="26">
        <f t="shared" si="20"/>
        <v>55318396.205570862</v>
      </c>
      <c r="U86" s="46">
        <f t="shared" si="2"/>
        <v>90.095107826662641</v>
      </c>
      <c r="V86" s="13">
        <f>U86*110000/90</f>
        <v>110116.24289925434</v>
      </c>
      <c r="W86" s="21">
        <f t="shared" si="41"/>
        <v>1982092.3721865781</v>
      </c>
      <c r="X86" s="178"/>
      <c r="Y86" s="246"/>
    </row>
    <row r="87" spans="1:25" ht="12.5">
      <c r="A87" s="222"/>
      <c r="B87" s="247"/>
      <c r="C87" s="224"/>
      <c r="D87" s="227"/>
      <c r="E87" s="227"/>
      <c r="F87" s="243"/>
      <c r="G87" s="244"/>
      <c r="H87" s="244"/>
      <c r="I87" s="23" t="s">
        <v>121</v>
      </c>
      <c r="J87" s="23">
        <v>9</v>
      </c>
      <c r="K87" s="23">
        <v>39000000</v>
      </c>
      <c r="L87" s="23">
        <v>45262000</v>
      </c>
      <c r="M87" s="23">
        <v>36022000</v>
      </c>
      <c r="N87" s="23">
        <v>0</v>
      </c>
      <c r="O87" s="44">
        <v>0</v>
      </c>
      <c r="P87" s="26">
        <f t="shared" si="39"/>
        <v>36022000</v>
      </c>
      <c r="Q87" s="26">
        <v>7662000</v>
      </c>
      <c r="R87" s="33">
        <f t="shared" si="40"/>
        <v>0.16928107463214176</v>
      </c>
      <c r="S87" s="96">
        <v>1741935.4838709678</v>
      </c>
      <c r="T87" s="26">
        <f t="shared" si="20"/>
        <v>31666092.613471959</v>
      </c>
      <c r="U87" s="46">
        <f t="shared" si="2"/>
        <v>81.195109265312709</v>
      </c>
      <c r="V87" s="16">
        <f>U87*85000/80</f>
        <v>86269.803594394747</v>
      </c>
      <c r="W87" s="21">
        <f t="shared" si="41"/>
        <v>776428.23234955268</v>
      </c>
      <c r="X87" s="178"/>
      <c r="Y87" s="246"/>
    </row>
    <row r="88" spans="1:25" ht="12.5">
      <c r="A88" s="222"/>
      <c r="B88" s="247"/>
      <c r="C88" s="224"/>
      <c r="D88" s="227"/>
      <c r="E88" s="227"/>
      <c r="F88" s="243"/>
      <c r="G88" s="244"/>
      <c r="H88" s="244"/>
      <c r="I88" s="26" t="s">
        <v>122</v>
      </c>
      <c r="J88" s="26">
        <v>15</v>
      </c>
      <c r="K88" s="26">
        <v>56900000</v>
      </c>
      <c r="L88" s="26">
        <v>67166000</v>
      </c>
      <c r="M88" s="26">
        <v>67166000</v>
      </c>
      <c r="N88" s="26">
        <v>0</v>
      </c>
      <c r="O88" s="44">
        <v>0</v>
      </c>
      <c r="P88" s="26">
        <f t="shared" si="39"/>
        <v>67166000</v>
      </c>
      <c r="Q88" s="26">
        <v>13366000</v>
      </c>
      <c r="R88" s="33">
        <f t="shared" si="40"/>
        <v>0.19899949379150164</v>
      </c>
      <c r="S88" s="97"/>
      <c r="T88" s="26">
        <f t="shared" si="20"/>
        <v>53800000</v>
      </c>
      <c r="U88" s="46">
        <f t="shared" si="2"/>
        <v>94.5518453427065</v>
      </c>
      <c r="V88" s="16">
        <f>U88*119000/95</f>
        <v>118438.62732402183</v>
      </c>
      <c r="W88" s="15">
        <f t="shared" si="41"/>
        <v>1776579.4098603274</v>
      </c>
      <c r="X88" s="178"/>
      <c r="Y88" s="246"/>
    </row>
    <row r="89" spans="1:25" s="37" customFormat="1" ht="12.5">
      <c r="A89" s="222"/>
      <c r="B89" s="247"/>
      <c r="C89" s="224"/>
      <c r="D89" s="227"/>
      <c r="E89" s="227"/>
      <c r="F89" s="243"/>
      <c r="G89" s="244"/>
      <c r="H89" s="244"/>
      <c r="I89" s="26" t="s">
        <v>123</v>
      </c>
      <c r="J89" s="26">
        <v>7</v>
      </c>
      <c r="K89" s="26">
        <v>19000000</v>
      </c>
      <c r="L89" s="30">
        <v>22858000</v>
      </c>
      <c r="M89" s="30">
        <v>19973667</v>
      </c>
      <c r="N89" s="30">
        <v>810000</v>
      </c>
      <c r="O89" s="32">
        <v>0</v>
      </c>
      <c r="P89" s="30">
        <f t="shared" si="39"/>
        <v>20783667</v>
      </c>
      <c r="Q89" s="30">
        <v>4058000</v>
      </c>
      <c r="R89" s="33">
        <f t="shared" si="40"/>
        <v>0.17753084259340274</v>
      </c>
      <c r="S89" s="98">
        <v>1261290.3225806451</v>
      </c>
      <c r="T89" s="30">
        <f t="shared" si="20"/>
        <v>18355215.407889947</v>
      </c>
      <c r="U89" s="34">
        <f t="shared" si="2"/>
        <v>96.606396883631305</v>
      </c>
      <c r="V89" s="16">
        <f>U89*120000/95</f>
        <v>122029.13290563955</v>
      </c>
      <c r="W89" s="16">
        <f t="shared" si="41"/>
        <v>854203.93033947679</v>
      </c>
      <c r="X89" s="263"/>
      <c r="Y89" s="246"/>
    </row>
    <row r="90" spans="1:25" s="37" customFormat="1" ht="15.5">
      <c r="A90" s="222"/>
      <c r="B90" s="247"/>
      <c r="C90" s="224"/>
      <c r="D90" s="227"/>
      <c r="E90" s="227"/>
      <c r="F90" s="243"/>
      <c r="G90" s="244"/>
      <c r="H90" s="244"/>
      <c r="I90" s="26" t="s">
        <v>124</v>
      </c>
      <c r="J90" s="26">
        <v>9</v>
      </c>
      <c r="K90" s="32">
        <v>40500000</v>
      </c>
      <c r="L90" s="26">
        <f>48212100-4200000</f>
        <v>44012100</v>
      </c>
      <c r="M90" s="26">
        <f>48212000-4200000</f>
        <v>44012000</v>
      </c>
      <c r="N90" s="26">
        <v>0</v>
      </c>
      <c r="O90" s="26">
        <v>0</v>
      </c>
      <c r="P90" s="30">
        <f t="shared" si="39"/>
        <v>44012000</v>
      </c>
      <c r="Q90" s="26">
        <v>8112100</v>
      </c>
      <c r="R90" s="33">
        <f t="shared" si="40"/>
        <v>0.18431522240474779</v>
      </c>
      <c r="S90" s="99"/>
      <c r="T90" s="30">
        <f t="shared" si="20"/>
        <v>35899918.431522243</v>
      </c>
      <c r="U90" s="34">
        <f t="shared" si="2"/>
        <v>88.641773904993187</v>
      </c>
      <c r="V90" s="63">
        <f>U90*109000/90</f>
        <v>107355.0372849362</v>
      </c>
      <c r="W90" s="16">
        <f t="shared" si="41"/>
        <v>966195.3355644258</v>
      </c>
      <c r="X90" s="263"/>
      <c r="Y90" s="246"/>
    </row>
    <row r="91" spans="1:25" ht="12.5">
      <c r="A91" s="222"/>
      <c r="B91" s="247"/>
      <c r="C91" s="224"/>
      <c r="D91" s="227"/>
      <c r="E91" s="227"/>
      <c r="F91" s="243"/>
      <c r="G91" s="244"/>
      <c r="H91" s="244"/>
      <c r="I91" s="26" t="s">
        <v>126</v>
      </c>
      <c r="J91" s="37">
        <v>15</v>
      </c>
      <c r="K91" s="25">
        <v>67300000</v>
      </c>
      <c r="L91" s="66">
        <v>86769000</v>
      </c>
      <c r="M91" s="66">
        <v>86769000</v>
      </c>
      <c r="N91" s="66">
        <v>0</v>
      </c>
      <c r="O91" s="66">
        <v>0</v>
      </c>
      <c r="P91" s="26">
        <f t="shared" si="39"/>
        <v>86769000</v>
      </c>
      <c r="Q91" s="66">
        <v>18969000</v>
      </c>
      <c r="R91" s="45">
        <f t="shared" si="40"/>
        <v>0.21861494312484875</v>
      </c>
      <c r="S91" s="97"/>
      <c r="T91" s="26">
        <f t="shared" si="20"/>
        <v>67800000</v>
      </c>
      <c r="U91" s="46">
        <f t="shared" si="2"/>
        <v>100.74294205052006</v>
      </c>
      <c r="V91" s="16">
        <f>U91*130000/100</f>
        <v>130965.82466567607</v>
      </c>
      <c r="W91" s="16">
        <f t="shared" si="41"/>
        <v>1964487.3699851411</v>
      </c>
      <c r="X91" s="263"/>
      <c r="Y91" s="246"/>
    </row>
    <row r="92" spans="1:25" ht="12.5">
      <c r="A92" s="222"/>
      <c r="B92" s="247"/>
      <c r="C92" s="224"/>
      <c r="D92" s="227"/>
      <c r="E92" s="227"/>
      <c r="F92" s="243"/>
      <c r="G92" s="244"/>
      <c r="H92" s="244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263"/>
      <c r="Y92" s="246"/>
    </row>
    <row r="93" spans="1:25" ht="13">
      <c r="A93" s="179"/>
      <c r="B93" s="180"/>
      <c r="C93" s="258"/>
      <c r="D93" s="227"/>
      <c r="E93" s="262"/>
      <c r="F93" s="243"/>
      <c r="G93" s="244"/>
      <c r="H93" s="244"/>
      <c r="I93" s="59">
        <v>12</v>
      </c>
      <c r="J93" s="52">
        <f t="shared" ref="J93:Q93" si="42">SUM(J80:J92)</f>
        <v>173</v>
      </c>
      <c r="K93" s="52">
        <f t="shared" si="42"/>
        <v>678100000</v>
      </c>
      <c r="L93" s="52">
        <f t="shared" si="42"/>
        <v>784666100</v>
      </c>
      <c r="M93" s="52">
        <f t="shared" si="42"/>
        <v>747501667</v>
      </c>
      <c r="N93" s="52">
        <f t="shared" si="42"/>
        <v>12074400</v>
      </c>
      <c r="O93" s="52">
        <f t="shared" si="42"/>
        <v>2800000</v>
      </c>
      <c r="P93" s="52">
        <f t="shared" si="42"/>
        <v>762376067</v>
      </c>
      <c r="Q93" s="52">
        <f t="shared" si="42"/>
        <v>152624100</v>
      </c>
      <c r="R93" s="61"/>
      <c r="S93" s="52">
        <f>SUM(S80:S91)</f>
        <v>7190322.5806451607</v>
      </c>
      <c r="T93" s="52">
        <f>SUM(T80:T92)</f>
        <v>621002966.69894326</v>
      </c>
      <c r="U93" s="55">
        <f>(T93/K93)*100</f>
        <v>91.579850567607025</v>
      </c>
      <c r="V93" s="74"/>
      <c r="W93" s="52">
        <f>SUM(W80:W91)</f>
        <v>19533396.286126893</v>
      </c>
      <c r="X93" s="263"/>
      <c r="Y93" s="246"/>
    </row>
    <row r="94" spans="1:25" ht="12.5">
      <c r="A94" s="251" t="s">
        <v>127</v>
      </c>
      <c r="B94" s="266" t="s">
        <v>128</v>
      </c>
      <c r="C94" s="263" t="s">
        <v>35</v>
      </c>
      <c r="D94" s="181"/>
      <c r="E94" s="181">
        <v>500000</v>
      </c>
      <c r="F94" s="181">
        <v>500000</v>
      </c>
      <c r="G94" s="181"/>
      <c r="H94" s="181"/>
      <c r="I94" s="26" t="s">
        <v>130</v>
      </c>
      <c r="J94" s="26">
        <v>8</v>
      </c>
      <c r="K94" s="26">
        <v>31100000</v>
      </c>
      <c r="L94" s="56">
        <v>22290000</v>
      </c>
      <c r="M94" s="56">
        <v>22278000</v>
      </c>
      <c r="N94" s="56">
        <v>0</v>
      </c>
      <c r="O94" s="56">
        <v>0</v>
      </c>
      <c r="P94" s="14">
        <f>SUM(M94:O94)</f>
        <v>22278000</v>
      </c>
      <c r="Q94" s="56">
        <v>4190000</v>
      </c>
      <c r="R94" s="45">
        <f t="shared" ref="R94:R105" si="43">Q94/L94</f>
        <v>0.18797667115298339</v>
      </c>
      <c r="S94" s="56">
        <v>2625806.4516129033</v>
      </c>
      <c r="T94" s="26">
        <f>P94-(P94*R94)+S94</f>
        <v>20716062.171666741</v>
      </c>
      <c r="U94" s="46">
        <f>(T94/K94)*100</f>
        <v>66.611132384780518</v>
      </c>
      <c r="V94" s="12"/>
      <c r="W94" s="21">
        <f>(120000*J94)*10%</f>
        <v>96000</v>
      </c>
      <c r="X94" s="181">
        <f>W107+D94+G94+F94+H94+E94</f>
        <v>15387576.639548393</v>
      </c>
      <c r="Y94" s="101"/>
    </row>
    <row r="95" spans="1:25" ht="12.5">
      <c r="A95" s="251"/>
      <c r="B95" s="266"/>
      <c r="C95" s="182"/>
      <c r="D95" s="244"/>
      <c r="E95" s="244"/>
      <c r="F95" s="244"/>
      <c r="G95" s="244"/>
      <c r="H95" s="244"/>
      <c r="I95" s="26" t="s">
        <v>38</v>
      </c>
      <c r="J95" s="26">
        <v>6</v>
      </c>
      <c r="K95" s="26">
        <v>26100000</v>
      </c>
      <c r="L95" s="56">
        <v>28580929</v>
      </c>
      <c r="M95" s="56">
        <v>28425129</v>
      </c>
      <c r="N95" s="56">
        <v>0</v>
      </c>
      <c r="O95" s="56">
        <v>0</v>
      </c>
      <c r="P95" s="14">
        <f t="shared" ref="P95:P96" si="44">SUM(M95:O95)</f>
        <v>28425129</v>
      </c>
      <c r="Q95" s="56">
        <v>3964800</v>
      </c>
      <c r="R95" s="45">
        <f t="shared" si="43"/>
        <v>0.13872187289643384</v>
      </c>
      <c r="S95" s="56"/>
      <c r="T95" s="26">
        <f t="shared" ref="T95:T105" si="45">P95-(P95*R95)+S95</f>
        <v>24481941.867797263</v>
      </c>
      <c r="U95" s="46">
        <f t="shared" ref="U95:U96" si="46">(T95/K95)*100</f>
        <v>93.800543554778784</v>
      </c>
      <c r="V95" s="12">
        <f>U95*109000/95</f>
        <v>107623.78155232513</v>
      </c>
      <c r="W95" s="21">
        <f t="shared" ref="W95:W104" si="47">V95*J95</f>
        <v>645742.68931395083</v>
      </c>
      <c r="X95" s="244"/>
      <c r="Y95" s="101"/>
    </row>
    <row r="96" spans="1:25" ht="12.5">
      <c r="A96" s="251"/>
      <c r="B96" s="266"/>
      <c r="C96" s="182"/>
      <c r="D96" s="244"/>
      <c r="E96" s="244"/>
      <c r="F96" s="244"/>
      <c r="G96" s="244"/>
      <c r="H96" s="244"/>
      <c r="I96" s="26" t="s">
        <v>39</v>
      </c>
      <c r="J96" s="26">
        <v>13</v>
      </c>
      <c r="K96" s="26">
        <v>48000000</v>
      </c>
      <c r="L96" s="56">
        <v>55840000</v>
      </c>
      <c r="M96" s="56">
        <v>55830000</v>
      </c>
      <c r="N96" s="56">
        <v>0</v>
      </c>
      <c r="O96" s="56">
        <v>0</v>
      </c>
      <c r="P96" s="14">
        <f t="shared" si="44"/>
        <v>55830000</v>
      </c>
      <c r="Q96" s="56">
        <v>9440000</v>
      </c>
      <c r="R96" s="45">
        <f t="shared" si="43"/>
        <v>0.16905444126074498</v>
      </c>
      <c r="S96" s="56"/>
      <c r="T96" s="26">
        <f t="shared" si="45"/>
        <v>46391690.544412605</v>
      </c>
      <c r="U96" s="46">
        <f t="shared" si="46"/>
        <v>96.649355300859597</v>
      </c>
      <c r="V96" s="12">
        <f t="shared" ref="V96" si="48">U96*110000/95</f>
        <v>111909.77982204796</v>
      </c>
      <c r="W96" s="21">
        <f t="shared" si="47"/>
        <v>1454827.1376866235</v>
      </c>
      <c r="X96" s="244"/>
      <c r="Y96" s="101"/>
    </row>
    <row r="97" spans="1:25" ht="12.5">
      <c r="A97" s="251"/>
      <c r="B97" s="266"/>
      <c r="C97" s="182"/>
      <c r="D97" s="244"/>
      <c r="E97" s="244"/>
      <c r="F97" s="244"/>
      <c r="G97" s="244"/>
      <c r="H97" s="244"/>
      <c r="I97" s="26" t="s">
        <v>131</v>
      </c>
      <c r="J97" s="26">
        <v>6</v>
      </c>
      <c r="K97" s="26">
        <v>37500000</v>
      </c>
      <c r="L97" s="56">
        <v>43115000</v>
      </c>
      <c r="M97" s="56">
        <v>43115000</v>
      </c>
      <c r="N97" s="56">
        <v>0</v>
      </c>
      <c r="O97" s="56">
        <v>0</v>
      </c>
      <c r="P97" s="14">
        <f>SUM(M97:O97)</f>
        <v>43115000</v>
      </c>
      <c r="Q97" s="56">
        <v>7415000</v>
      </c>
      <c r="R97" s="45">
        <f t="shared" si="43"/>
        <v>0.17198190884842862</v>
      </c>
      <c r="S97" s="56"/>
      <c r="T97" s="26">
        <f t="shared" si="45"/>
        <v>35700000</v>
      </c>
      <c r="U97" s="46">
        <f>(T97/K97)*100</f>
        <v>95.199999999999989</v>
      </c>
      <c r="V97" s="12">
        <f>U97*110000/95</f>
        <v>110231.5789473684</v>
      </c>
      <c r="W97" s="21">
        <f t="shared" si="47"/>
        <v>661389.47368421033</v>
      </c>
      <c r="X97" s="244"/>
      <c r="Y97" s="101"/>
    </row>
    <row r="98" spans="1:25" ht="12.5">
      <c r="A98" s="251"/>
      <c r="B98" s="266"/>
      <c r="C98" s="182"/>
      <c r="D98" s="244"/>
      <c r="E98" s="244"/>
      <c r="F98" s="244"/>
      <c r="G98" s="244"/>
      <c r="H98" s="244"/>
      <c r="I98" s="30" t="s">
        <v>132</v>
      </c>
      <c r="J98" s="30">
        <v>17</v>
      </c>
      <c r="K98" s="32">
        <v>55200000</v>
      </c>
      <c r="L98" s="56">
        <f>70486000-3100000</f>
        <v>67386000</v>
      </c>
      <c r="M98" s="56">
        <f>68758000-3100000</f>
        <v>65658000</v>
      </c>
      <c r="N98" s="56">
        <v>0</v>
      </c>
      <c r="O98" s="56">
        <v>0</v>
      </c>
      <c r="P98" s="14">
        <f>SUM(M98:O98)</f>
        <v>65658000</v>
      </c>
      <c r="Q98" s="56">
        <v>11546000</v>
      </c>
      <c r="R98" s="45">
        <f t="shared" si="43"/>
        <v>0.17134122814828007</v>
      </c>
      <c r="S98" s="56"/>
      <c r="T98" s="26">
        <f t="shared" si="45"/>
        <v>54408077.642240226</v>
      </c>
      <c r="U98" s="46">
        <f>(T98/K98)*100</f>
        <v>98.565358047536648</v>
      </c>
      <c r="V98" s="12">
        <f>U98*120000/100</f>
        <v>118278.42965704398</v>
      </c>
      <c r="W98" s="21">
        <f>V98*J98</f>
        <v>2010733.3041697475</v>
      </c>
      <c r="X98" s="244"/>
      <c r="Y98" s="101"/>
    </row>
    <row r="99" spans="1:25" ht="12.5">
      <c r="A99" s="251"/>
      <c r="B99" s="266"/>
      <c r="C99" s="182"/>
      <c r="D99" s="244"/>
      <c r="E99" s="244"/>
      <c r="F99" s="244"/>
      <c r="G99" s="244"/>
      <c r="H99" s="244"/>
      <c r="I99" s="26" t="s">
        <v>40</v>
      </c>
      <c r="J99" s="26">
        <v>10</v>
      </c>
      <c r="K99" s="26">
        <v>40000000</v>
      </c>
      <c r="L99" s="56">
        <v>49582000</v>
      </c>
      <c r="M99" s="56">
        <v>49582000</v>
      </c>
      <c r="N99" s="56">
        <v>0</v>
      </c>
      <c r="O99" s="56">
        <v>0</v>
      </c>
      <c r="P99" s="14">
        <f t="shared" ref="P99:P100" si="49">SUM(M99:O99)</f>
        <v>49582000</v>
      </c>
      <c r="Q99" s="56">
        <v>9982000</v>
      </c>
      <c r="R99" s="45">
        <f t="shared" si="43"/>
        <v>0.20132306078818926</v>
      </c>
      <c r="S99" s="56"/>
      <c r="T99" s="26">
        <f t="shared" si="45"/>
        <v>39600000</v>
      </c>
      <c r="U99" s="46">
        <f t="shared" ref="U99:U101" si="50">(T99/K99)*100</f>
        <v>99</v>
      </c>
      <c r="V99" s="12">
        <f>U99*120000/100</f>
        <v>118800</v>
      </c>
      <c r="W99" s="21">
        <f t="shared" ref="W99:W100" si="51">V99*J99</f>
        <v>1188000</v>
      </c>
      <c r="X99" s="244"/>
      <c r="Y99" s="101"/>
    </row>
    <row r="100" spans="1:25" ht="12.5">
      <c r="A100" s="251"/>
      <c r="B100" s="266"/>
      <c r="C100" s="182"/>
      <c r="D100" s="244"/>
      <c r="E100" s="244"/>
      <c r="F100" s="244"/>
      <c r="G100" s="244"/>
      <c r="H100" s="244"/>
      <c r="I100" s="26" t="s">
        <v>71</v>
      </c>
      <c r="J100" s="26">
        <v>12</v>
      </c>
      <c r="K100" s="26">
        <v>57600000</v>
      </c>
      <c r="L100" s="56">
        <v>50364000</v>
      </c>
      <c r="M100" s="56">
        <v>50364000</v>
      </c>
      <c r="N100" s="56">
        <v>0</v>
      </c>
      <c r="O100" s="56">
        <v>0</v>
      </c>
      <c r="P100" s="14">
        <f t="shared" si="49"/>
        <v>50364000</v>
      </c>
      <c r="Q100" s="56">
        <v>10414000</v>
      </c>
      <c r="R100" s="45">
        <f t="shared" si="43"/>
        <v>0.20677468032721785</v>
      </c>
      <c r="S100" s="56">
        <f>4700000+2903226</f>
        <v>7603226</v>
      </c>
      <c r="T100" s="26">
        <f t="shared" si="45"/>
        <v>47553226</v>
      </c>
      <c r="U100" s="46">
        <f t="shared" si="50"/>
        <v>82.557684027777782</v>
      </c>
      <c r="V100" s="12">
        <f>U100*80000/80</f>
        <v>82557.684027777781</v>
      </c>
      <c r="W100" s="21">
        <f t="shared" si="51"/>
        <v>990692.20833333337</v>
      </c>
      <c r="X100" s="244"/>
      <c r="Y100" s="101"/>
    </row>
    <row r="101" spans="1:25" ht="12.5">
      <c r="A101" s="251"/>
      <c r="B101" s="266"/>
      <c r="C101" s="182"/>
      <c r="D101" s="244"/>
      <c r="E101" s="244"/>
      <c r="F101" s="244"/>
      <c r="G101" s="244"/>
      <c r="H101" s="244"/>
      <c r="I101" s="26" t="s">
        <v>133</v>
      </c>
      <c r="J101" s="83">
        <v>18</v>
      </c>
      <c r="K101" s="56">
        <v>64200000</v>
      </c>
      <c r="L101" s="56">
        <v>71773400</v>
      </c>
      <c r="M101" s="56">
        <v>67621000</v>
      </c>
      <c r="N101" s="56">
        <v>0</v>
      </c>
      <c r="O101" s="56">
        <v>0</v>
      </c>
      <c r="P101" s="14">
        <f>SUM(M101:O101)</f>
        <v>67621000</v>
      </c>
      <c r="Q101" s="56">
        <v>14123400</v>
      </c>
      <c r="R101" s="45">
        <f t="shared" si="43"/>
        <v>0.19677763628307982</v>
      </c>
      <c r="S101" s="56"/>
      <c r="T101" s="26">
        <f t="shared" si="45"/>
        <v>54314699.456901863</v>
      </c>
      <c r="U101" s="46">
        <f t="shared" si="50"/>
        <v>84.602335602650882</v>
      </c>
      <c r="V101" s="12">
        <f>U101*89000/85</f>
        <v>88583.621983952093</v>
      </c>
      <c r="W101" s="21">
        <f t="shared" si="47"/>
        <v>1594505.1957111377</v>
      </c>
      <c r="X101" s="244"/>
      <c r="Y101" s="101"/>
    </row>
    <row r="102" spans="1:25" ht="12.5">
      <c r="A102" s="251"/>
      <c r="B102" s="266"/>
      <c r="C102" s="182"/>
      <c r="D102" s="244"/>
      <c r="E102" s="244"/>
      <c r="F102" s="244"/>
      <c r="G102" s="244"/>
      <c r="H102" s="244"/>
      <c r="I102" s="26" t="s">
        <v>134</v>
      </c>
      <c r="J102" s="83">
        <v>10</v>
      </c>
      <c r="K102" s="56">
        <v>35200000</v>
      </c>
      <c r="L102" s="56">
        <v>41895000</v>
      </c>
      <c r="M102" s="102">
        <v>37547000</v>
      </c>
      <c r="N102" s="56">
        <v>0</v>
      </c>
      <c r="O102" s="56">
        <v>3043600</v>
      </c>
      <c r="P102" s="14">
        <f t="shared" ref="P102:P105" si="52">SUM(M102:O102)</f>
        <v>40590600</v>
      </c>
      <c r="Q102" s="56">
        <v>6795000</v>
      </c>
      <c r="R102" s="45">
        <f t="shared" si="43"/>
        <v>0.16219119226638024</v>
      </c>
      <c r="S102" s="56"/>
      <c r="T102" s="26">
        <f t="shared" si="45"/>
        <v>34007162.191192269</v>
      </c>
      <c r="U102" s="46">
        <f>(T102/K102)*100</f>
        <v>96.611256224978035</v>
      </c>
      <c r="V102" s="12">
        <f>U102*110000/95</f>
        <v>111865.66510260614</v>
      </c>
      <c r="W102" s="21">
        <f t="shared" si="47"/>
        <v>1118656.6510260615</v>
      </c>
      <c r="X102" s="244"/>
      <c r="Y102" s="101"/>
    </row>
    <row r="103" spans="1:25" ht="13">
      <c r="A103" s="251"/>
      <c r="B103" s="266"/>
      <c r="C103" s="182"/>
      <c r="D103" s="244"/>
      <c r="E103" s="244"/>
      <c r="F103" s="244"/>
      <c r="G103" s="244"/>
      <c r="H103" s="244"/>
      <c r="I103" s="26" t="s">
        <v>135</v>
      </c>
      <c r="J103" s="56">
        <v>26</v>
      </c>
      <c r="K103" s="56">
        <v>140500000</v>
      </c>
      <c r="L103" s="56">
        <f>157970000+5400000-6700000</f>
        <v>156670000</v>
      </c>
      <c r="M103" s="56">
        <f>150460000+5400000-6700000</f>
        <v>149160000</v>
      </c>
      <c r="N103" s="56">
        <v>0</v>
      </c>
      <c r="O103" s="56">
        <v>0</v>
      </c>
      <c r="P103" s="14">
        <f t="shared" si="52"/>
        <v>149160000</v>
      </c>
      <c r="Q103" s="56">
        <v>24420000</v>
      </c>
      <c r="R103" s="45">
        <f t="shared" si="43"/>
        <v>0.15586902406331779</v>
      </c>
      <c r="S103" s="72"/>
      <c r="T103" s="26">
        <f t="shared" si="45"/>
        <v>125910576.37071551</v>
      </c>
      <c r="U103" s="46">
        <f>(T103/K103)*100</f>
        <v>89.616068591256592</v>
      </c>
      <c r="V103" s="12">
        <f>U103*99000/90</f>
        <v>98577.675450382259</v>
      </c>
      <c r="W103" s="21">
        <f t="shared" si="47"/>
        <v>2563019.5617099386</v>
      </c>
      <c r="X103" s="244"/>
      <c r="Y103" s="101"/>
    </row>
    <row r="104" spans="1:25" ht="13">
      <c r="A104" s="251"/>
      <c r="B104" s="266"/>
      <c r="C104" s="182"/>
      <c r="D104" s="244"/>
      <c r="E104" s="244"/>
      <c r="F104" s="244"/>
      <c r="G104" s="244"/>
      <c r="H104" s="244"/>
      <c r="I104" s="26" t="s">
        <v>136</v>
      </c>
      <c r="J104" s="56">
        <v>18</v>
      </c>
      <c r="K104" s="56">
        <v>74900000</v>
      </c>
      <c r="L104" s="56">
        <v>80136000</v>
      </c>
      <c r="M104" s="56">
        <v>70515000</v>
      </c>
      <c r="N104" s="56">
        <v>0</v>
      </c>
      <c r="O104" s="56">
        <v>3136000</v>
      </c>
      <c r="P104" s="14">
        <f t="shared" si="52"/>
        <v>73651000</v>
      </c>
      <c r="Q104" s="72">
        <v>13236000</v>
      </c>
      <c r="R104" s="45">
        <f t="shared" si="43"/>
        <v>0.16516921233902365</v>
      </c>
      <c r="S104" s="56">
        <v>4335483.8709677421</v>
      </c>
      <c r="T104" s="26">
        <f t="shared" si="45"/>
        <v>65821606.212986305</v>
      </c>
      <c r="U104" s="46">
        <f>(T104/K104)*100</f>
        <v>87.879314036029783</v>
      </c>
      <c r="V104" s="12">
        <f>U104*99000/90</f>
        <v>96667.245439632752</v>
      </c>
      <c r="W104" s="21">
        <f t="shared" si="47"/>
        <v>1740010.4179133896</v>
      </c>
      <c r="X104" s="244"/>
      <c r="Y104" s="101"/>
    </row>
    <row r="105" spans="1:25" ht="13">
      <c r="A105" s="251"/>
      <c r="B105" s="266"/>
      <c r="C105" s="182"/>
      <c r="D105" s="244"/>
      <c r="E105" s="244"/>
      <c r="F105" s="244"/>
      <c r="G105" s="244"/>
      <c r="H105" s="244"/>
      <c r="I105" s="30" t="s">
        <v>137</v>
      </c>
      <c r="J105" s="77">
        <v>27</v>
      </c>
      <c r="K105" s="77">
        <v>121000000</v>
      </c>
      <c r="L105" s="77">
        <f>98147000-200000</f>
        <v>97947000</v>
      </c>
      <c r="M105" s="77">
        <f>86315000-200000</f>
        <v>86115000</v>
      </c>
      <c r="N105" s="77">
        <v>1134000</v>
      </c>
      <c r="O105" s="77">
        <v>1390200</v>
      </c>
      <c r="P105" s="23">
        <f t="shared" si="52"/>
        <v>88639200</v>
      </c>
      <c r="Q105" s="115">
        <v>17247000</v>
      </c>
      <c r="R105" s="33">
        <f t="shared" si="43"/>
        <v>0.1760850255750559</v>
      </c>
      <c r="S105" s="77">
        <v>7038709.6774193551</v>
      </c>
      <c r="T105" s="30">
        <f t="shared" si="45"/>
        <v>80069873.878466859</v>
      </c>
      <c r="U105" s="34">
        <f>(T105/K105)*100</f>
        <v>66.173449486336239</v>
      </c>
      <c r="V105" s="13"/>
      <c r="W105" s="15">
        <f>(120000*J105)*10%</f>
        <v>324000</v>
      </c>
      <c r="X105" s="244"/>
      <c r="Y105" s="101"/>
    </row>
    <row r="106" spans="1:25" ht="12.5">
      <c r="A106" s="251"/>
      <c r="B106" s="266"/>
      <c r="C106" s="260"/>
      <c r="D106" s="244"/>
      <c r="E106" s="244"/>
      <c r="F106" s="244"/>
      <c r="G106" s="244"/>
      <c r="H106" s="244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16"/>
      <c r="Y106" s="101"/>
    </row>
    <row r="107" spans="1:25" ht="13">
      <c r="A107" s="179"/>
      <c r="B107" s="180"/>
      <c r="C107" s="261"/>
      <c r="D107" s="245"/>
      <c r="E107" s="245"/>
      <c r="F107" s="245"/>
      <c r="G107" s="245"/>
      <c r="H107" s="245"/>
      <c r="I107" s="59">
        <v>12</v>
      </c>
      <c r="J107" s="52">
        <f>SUM(J94:J105)</f>
        <v>171</v>
      </c>
      <c r="K107" s="52">
        <f t="shared" ref="K107:Q107" si="53">SUM(K94:K105)</f>
        <v>731300000</v>
      </c>
      <c r="L107" s="52">
        <f t="shared" si="53"/>
        <v>765579329</v>
      </c>
      <c r="M107" s="52">
        <f t="shared" si="53"/>
        <v>726210129</v>
      </c>
      <c r="N107" s="52">
        <f t="shared" si="53"/>
        <v>1134000</v>
      </c>
      <c r="O107" s="52">
        <f t="shared" si="53"/>
        <v>7569800</v>
      </c>
      <c r="P107" s="52">
        <f t="shared" si="53"/>
        <v>734913929</v>
      </c>
      <c r="Q107" s="52">
        <f t="shared" si="53"/>
        <v>132773200</v>
      </c>
      <c r="R107" s="61"/>
      <c r="S107" s="52">
        <f>SUM(S94:S105)</f>
        <v>21603226</v>
      </c>
      <c r="T107" s="52">
        <f>SUM(T94:T105)</f>
        <v>628974916.33637965</v>
      </c>
      <c r="U107" s="55">
        <f>(T107/K107)*100</f>
        <v>86.007782898452021</v>
      </c>
      <c r="V107" s="74"/>
      <c r="W107" s="52">
        <f>SUM(W94:W105)</f>
        <v>14387576.639548393</v>
      </c>
      <c r="X107" s="24"/>
      <c r="Y107" s="101"/>
    </row>
    <row r="108" spans="1:25" ht="13" customHeight="1">
      <c r="A108" s="222" t="s">
        <v>138</v>
      </c>
      <c r="B108" s="247" t="s">
        <v>139</v>
      </c>
      <c r="C108" s="223" t="s">
        <v>35</v>
      </c>
      <c r="D108" s="226"/>
      <c r="E108" s="227">
        <v>500000</v>
      </c>
      <c r="F108" s="243">
        <v>500000</v>
      </c>
      <c r="G108" s="181"/>
      <c r="H108" s="181"/>
      <c r="I108" s="26" t="s">
        <v>140</v>
      </c>
      <c r="J108" s="26">
        <v>9</v>
      </c>
      <c r="K108" s="26">
        <v>29000000</v>
      </c>
      <c r="L108" s="103">
        <v>34320000</v>
      </c>
      <c r="M108" s="103">
        <v>29888000</v>
      </c>
      <c r="N108" s="103">
        <v>3988800</v>
      </c>
      <c r="O108" s="103">
        <v>0</v>
      </c>
      <c r="P108" s="26">
        <f>SUM(M108:O108)</f>
        <v>33876800</v>
      </c>
      <c r="Q108" s="103">
        <v>6120000</v>
      </c>
      <c r="R108" s="45">
        <f>Q108/L108</f>
        <v>0.17832167832167833</v>
      </c>
      <c r="S108" s="103"/>
      <c r="T108" s="26">
        <f>P108-(P108*R108)+S108</f>
        <v>27835832.167832166</v>
      </c>
      <c r="U108" s="46">
        <f t="shared" ref="U108:U117" si="54">(T108/K108)*100</f>
        <v>95.985628164938504</v>
      </c>
      <c r="V108" s="12">
        <f>U108*110000/95</f>
        <v>111141.25366466564</v>
      </c>
      <c r="W108" s="58">
        <f>V108*J108</f>
        <v>1000271.2829819907</v>
      </c>
      <c r="X108" s="181">
        <f>D108+F108+G108+H108+W119+E108</f>
        <v>14200384.336721875</v>
      </c>
      <c r="Y108" s="101"/>
    </row>
    <row r="109" spans="1:25" ht="13" customHeight="1">
      <c r="A109" s="222"/>
      <c r="B109" s="247"/>
      <c r="C109" s="224"/>
      <c r="D109" s="227"/>
      <c r="E109" s="227"/>
      <c r="F109" s="243"/>
      <c r="G109" s="244"/>
      <c r="H109" s="244"/>
      <c r="I109" s="26" t="s">
        <v>141</v>
      </c>
      <c r="J109" s="26">
        <v>8</v>
      </c>
      <c r="K109" s="26">
        <v>30600000</v>
      </c>
      <c r="L109" s="103">
        <v>30450000</v>
      </c>
      <c r="M109" s="103">
        <v>30450000</v>
      </c>
      <c r="N109" s="103">
        <v>0</v>
      </c>
      <c r="O109" s="103">
        <v>0</v>
      </c>
      <c r="P109" s="26">
        <f t="shared" ref="P109:P117" si="55">SUM(M109:O109)</f>
        <v>30450000</v>
      </c>
      <c r="Q109" s="103">
        <v>5050000</v>
      </c>
      <c r="R109" s="45">
        <f t="shared" ref="R109:R117" si="56">Q109/L109</f>
        <v>0.16584564860426929</v>
      </c>
      <c r="S109" s="103"/>
      <c r="T109" s="26">
        <f t="shared" ref="T109:T117" si="57">P109-(P109*R109)+S109</f>
        <v>25400000</v>
      </c>
      <c r="U109" s="46">
        <f t="shared" si="54"/>
        <v>83.006535947712422</v>
      </c>
      <c r="V109" s="12">
        <f>U109*89000/85</f>
        <v>86912.725874663593</v>
      </c>
      <c r="W109" s="58">
        <f t="shared" ref="W109:W117" si="58">V109*J109</f>
        <v>695301.80699730874</v>
      </c>
      <c r="X109" s="244"/>
      <c r="Y109" s="101"/>
    </row>
    <row r="110" spans="1:25" ht="13" customHeight="1">
      <c r="A110" s="222"/>
      <c r="B110" s="247"/>
      <c r="C110" s="224"/>
      <c r="D110" s="227"/>
      <c r="E110" s="227"/>
      <c r="F110" s="243"/>
      <c r="G110" s="244"/>
      <c r="H110" s="244"/>
      <c r="I110" s="66" t="s">
        <v>142</v>
      </c>
      <c r="J110" s="66">
        <v>11</v>
      </c>
      <c r="K110" s="44">
        <v>37400000</v>
      </c>
      <c r="L110" s="103">
        <v>43903000</v>
      </c>
      <c r="M110" s="103">
        <v>39801000</v>
      </c>
      <c r="N110" s="103">
        <v>1891800</v>
      </c>
      <c r="O110" s="103">
        <v>0</v>
      </c>
      <c r="P110" s="26">
        <f t="shared" si="55"/>
        <v>41692800</v>
      </c>
      <c r="Q110" s="103">
        <v>9603000</v>
      </c>
      <c r="R110" s="45">
        <f t="shared" si="56"/>
        <v>0.21873220508849053</v>
      </c>
      <c r="S110" s="103"/>
      <c r="T110" s="26">
        <f t="shared" si="57"/>
        <v>32573241.919686582</v>
      </c>
      <c r="U110" s="46">
        <f t="shared" si="54"/>
        <v>87.094229731782306</v>
      </c>
      <c r="V110" s="12">
        <f>U110*99000/90</f>
        <v>95803.652704960536</v>
      </c>
      <c r="W110" s="58">
        <f t="shared" si="58"/>
        <v>1053840.1797545659</v>
      </c>
      <c r="X110" s="244"/>
      <c r="Y110" s="101"/>
    </row>
    <row r="111" spans="1:25" ht="13" customHeight="1">
      <c r="A111" s="222"/>
      <c r="B111" s="247"/>
      <c r="C111" s="224"/>
      <c r="D111" s="227"/>
      <c r="E111" s="227"/>
      <c r="F111" s="243"/>
      <c r="G111" s="244"/>
      <c r="H111" s="244"/>
      <c r="I111" s="26" t="s">
        <v>143</v>
      </c>
      <c r="J111" s="26">
        <v>15</v>
      </c>
      <c r="K111" s="26">
        <v>56600000</v>
      </c>
      <c r="L111" s="103">
        <f>83318000-10000000-3400000</f>
        <v>69918000</v>
      </c>
      <c r="M111" s="103">
        <f>83318000-10000000-3400000</f>
        <v>69918000</v>
      </c>
      <c r="N111" s="103">
        <v>0</v>
      </c>
      <c r="O111" s="103">
        <v>0</v>
      </c>
      <c r="P111" s="26">
        <f t="shared" si="55"/>
        <v>69918000</v>
      </c>
      <c r="Q111" s="103">
        <v>14618000</v>
      </c>
      <c r="R111" s="45">
        <f t="shared" si="56"/>
        <v>0.20907348608369805</v>
      </c>
      <c r="S111" s="103"/>
      <c r="T111" s="26">
        <f t="shared" si="57"/>
        <v>55300000</v>
      </c>
      <c r="U111" s="46">
        <f t="shared" si="54"/>
        <v>97.703180212014132</v>
      </c>
      <c r="V111" s="12">
        <f>U111*120000/100</f>
        <v>117243.81625441696</v>
      </c>
      <c r="W111" s="58">
        <f t="shared" si="58"/>
        <v>1758657.2438162544</v>
      </c>
      <c r="X111" s="244"/>
      <c r="Y111" s="101"/>
    </row>
    <row r="112" spans="1:25" ht="13" customHeight="1">
      <c r="A112" s="222"/>
      <c r="B112" s="247"/>
      <c r="C112" s="224"/>
      <c r="D112" s="227"/>
      <c r="E112" s="227"/>
      <c r="F112" s="243"/>
      <c r="G112" s="244"/>
      <c r="H112" s="244"/>
      <c r="I112" s="26" t="s">
        <v>144</v>
      </c>
      <c r="J112" s="26">
        <v>17</v>
      </c>
      <c r="K112" s="26">
        <v>61600000</v>
      </c>
      <c r="L112" s="103">
        <v>69905000</v>
      </c>
      <c r="M112" s="103">
        <v>63734000</v>
      </c>
      <c r="N112" s="103">
        <v>2403900</v>
      </c>
      <c r="O112" s="103">
        <v>0</v>
      </c>
      <c r="P112" s="26">
        <f t="shared" si="55"/>
        <v>66137900</v>
      </c>
      <c r="Q112" s="103">
        <v>15105000</v>
      </c>
      <c r="R112" s="45">
        <f t="shared" si="56"/>
        <v>0.21607896430870466</v>
      </c>
      <c r="S112" s="103">
        <v>3600000</v>
      </c>
      <c r="T112" s="26">
        <f t="shared" si="57"/>
        <v>55446891.066447318</v>
      </c>
      <c r="U112" s="46">
        <f t="shared" si="54"/>
        <v>90.011186796180709</v>
      </c>
      <c r="V112" s="12">
        <f>U112*100000/90</f>
        <v>100012.42977353412</v>
      </c>
      <c r="W112" s="58">
        <f t="shared" si="58"/>
        <v>1700211.3061500802</v>
      </c>
      <c r="X112" s="244"/>
      <c r="Y112" s="101"/>
    </row>
    <row r="113" spans="1:25" ht="13" customHeight="1">
      <c r="A113" s="222"/>
      <c r="B113" s="247"/>
      <c r="C113" s="224"/>
      <c r="D113" s="227"/>
      <c r="E113" s="227"/>
      <c r="F113" s="243"/>
      <c r="G113" s="244"/>
      <c r="H113" s="244"/>
      <c r="I113" s="26" t="s">
        <v>145</v>
      </c>
      <c r="J113" s="26">
        <v>18</v>
      </c>
      <c r="K113" s="44">
        <v>78800000</v>
      </c>
      <c r="L113" s="103">
        <v>85552000</v>
      </c>
      <c r="M113" s="103">
        <v>79702000</v>
      </c>
      <c r="N113" s="103">
        <v>5265000</v>
      </c>
      <c r="O113" s="103">
        <v>0</v>
      </c>
      <c r="P113" s="26">
        <f t="shared" si="55"/>
        <v>84967000</v>
      </c>
      <c r="Q113" s="103">
        <v>17652000</v>
      </c>
      <c r="R113" s="45">
        <f t="shared" si="56"/>
        <v>0.20633065270244996</v>
      </c>
      <c r="S113" s="103"/>
      <c r="T113" s="26">
        <f t="shared" si="57"/>
        <v>67435703.431830943</v>
      </c>
      <c r="U113" s="46">
        <f t="shared" si="54"/>
        <v>85.578303847501189</v>
      </c>
      <c r="V113" s="12">
        <f>U113*90000/85</f>
        <v>90612.321720883614</v>
      </c>
      <c r="W113" s="58">
        <f t="shared" si="58"/>
        <v>1631021.790975905</v>
      </c>
      <c r="X113" s="244"/>
      <c r="Y113" s="101"/>
    </row>
    <row r="114" spans="1:25" ht="13" customHeight="1">
      <c r="A114" s="222"/>
      <c r="B114" s="247"/>
      <c r="C114" s="224"/>
      <c r="D114" s="227"/>
      <c r="E114" s="227"/>
      <c r="F114" s="243"/>
      <c r="G114" s="244"/>
      <c r="H114" s="244"/>
      <c r="I114" s="26" t="s">
        <v>146</v>
      </c>
      <c r="J114" s="26">
        <v>13</v>
      </c>
      <c r="K114" s="44">
        <v>56700000</v>
      </c>
      <c r="L114" s="103">
        <v>60484000</v>
      </c>
      <c r="M114" s="103">
        <v>56004000</v>
      </c>
      <c r="N114" s="103">
        <v>0</v>
      </c>
      <c r="O114" s="103">
        <v>0</v>
      </c>
      <c r="P114" s="26">
        <f t="shared" si="55"/>
        <v>56004000</v>
      </c>
      <c r="Q114" s="103">
        <v>18284000</v>
      </c>
      <c r="R114" s="45">
        <f t="shared" si="56"/>
        <v>0.30229482177104688</v>
      </c>
      <c r="S114" s="103">
        <v>5351613</v>
      </c>
      <c r="T114" s="26">
        <f t="shared" si="57"/>
        <v>44425893.801534295</v>
      </c>
      <c r="U114" s="46">
        <f t="shared" si="54"/>
        <v>78.352546387185711</v>
      </c>
      <c r="V114" s="12">
        <f>U114*79000/80</f>
        <v>77373.139557345887</v>
      </c>
      <c r="W114" s="58">
        <f t="shared" si="58"/>
        <v>1005850.8142454965</v>
      </c>
      <c r="X114" s="244"/>
      <c r="Y114" s="101"/>
    </row>
    <row r="115" spans="1:25" ht="13" customHeight="1">
      <c r="A115" s="222"/>
      <c r="B115" s="247"/>
      <c r="C115" s="224"/>
      <c r="D115" s="227"/>
      <c r="E115" s="227"/>
      <c r="F115" s="243"/>
      <c r="G115" s="244"/>
      <c r="H115" s="244"/>
      <c r="I115" s="26" t="s">
        <v>147</v>
      </c>
      <c r="J115" s="26">
        <v>8</v>
      </c>
      <c r="K115" s="26">
        <v>34000000</v>
      </c>
      <c r="L115" s="103">
        <f>35276000-700000</f>
        <v>34576000</v>
      </c>
      <c r="M115" s="103">
        <f>25166000-700000</f>
        <v>24466000</v>
      </c>
      <c r="N115" s="103">
        <v>9099000</v>
      </c>
      <c r="O115" s="103">
        <v>0</v>
      </c>
      <c r="P115" s="26">
        <f t="shared" si="55"/>
        <v>33565000</v>
      </c>
      <c r="Q115" s="103">
        <v>5976000</v>
      </c>
      <c r="R115" s="45">
        <f>Q115/L115</f>
        <v>0.17283664969921333</v>
      </c>
      <c r="S115" s="103"/>
      <c r="T115" s="26">
        <f t="shared" si="57"/>
        <v>27763737.852845903</v>
      </c>
      <c r="U115" s="46">
        <f t="shared" si="54"/>
        <v>81.658052508370304</v>
      </c>
      <c r="V115" s="12">
        <f>U115*80000/80</f>
        <v>81658.052508370296</v>
      </c>
      <c r="W115" s="58">
        <f t="shared" si="58"/>
        <v>653264.42006696237</v>
      </c>
      <c r="X115" s="244"/>
      <c r="Y115" s="101"/>
    </row>
    <row r="116" spans="1:25" ht="13" customHeight="1">
      <c r="A116" s="222"/>
      <c r="B116" s="247"/>
      <c r="C116" s="224"/>
      <c r="D116" s="227"/>
      <c r="E116" s="227"/>
      <c r="F116" s="243"/>
      <c r="G116" s="244"/>
      <c r="H116" s="244"/>
      <c r="I116" s="36" t="s">
        <v>148</v>
      </c>
      <c r="J116" s="37">
        <v>9</v>
      </c>
      <c r="K116" s="26">
        <v>30900000</v>
      </c>
      <c r="L116" s="56">
        <v>39253000</v>
      </c>
      <c r="M116" s="72">
        <v>39253000</v>
      </c>
      <c r="N116" s="72">
        <v>0</v>
      </c>
      <c r="O116" s="72">
        <v>0</v>
      </c>
      <c r="P116" s="26">
        <f t="shared" si="55"/>
        <v>39253000</v>
      </c>
      <c r="Q116" s="72">
        <v>7853000</v>
      </c>
      <c r="R116" s="45">
        <f t="shared" si="56"/>
        <v>0.20006114182355489</v>
      </c>
      <c r="S116" s="56"/>
      <c r="T116" s="26">
        <f t="shared" si="57"/>
        <v>31400000</v>
      </c>
      <c r="U116" s="46">
        <f t="shared" si="54"/>
        <v>101.61812297734627</v>
      </c>
      <c r="V116" s="12">
        <f>U116*120000/100</f>
        <v>121941.74757281553</v>
      </c>
      <c r="W116" s="58">
        <f t="shared" si="58"/>
        <v>1097475.7281553398</v>
      </c>
      <c r="X116" s="244"/>
      <c r="Y116" s="101"/>
    </row>
    <row r="117" spans="1:25" ht="13" customHeight="1">
      <c r="A117" s="264"/>
      <c r="B117" s="265"/>
      <c r="C117" s="258"/>
      <c r="D117" s="227"/>
      <c r="E117" s="227"/>
      <c r="F117" s="243"/>
      <c r="G117" s="244"/>
      <c r="H117" s="244"/>
      <c r="I117" s="36" t="s">
        <v>189</v>
      </c>
      <c r="J117" s="37">
        <v>15</v>
      </c>
      <c r="K117" s="26">
        <v>61200000</v>
      </c>
      <c r="L117" s="56">
        <f>74940000-3500000</f>
        <v>71440000</v>
      </c>
      <c r="M117" s="72">
        <f>69412000-3500000</f>
        <v>65912000</v>
      </c>
      <c r="N117" s="72">
        <v>4975200</v>
      </c>
      <c r="O117" s="72">
        <v>0</v>
      </c>
      <c r="P117" s="26">
        <f t="shared" si="55"/>
        <v>70887200</v>
      </c>
      <c r="Q117" s="72">
        <v>13940000</v>
      </c>
      <c r="R117" s="45">
        <f t="shared" si="56"/>
        <v>0.19512877939529674</v>
      </c>
      <c r="S117" s="56"/>
      <c r="T117" s="26">
        <f t="shared" si="57"/>
        <v>57055067.189249724</v>
      </c>
      <c r="U117" s="46">
        <f t="shared" si="54"/>
        <v>93.227233969362302</v>
      </c>
      <c r="V117" s="12">
        <f>U117*109000/95</f>
        <v>106965.98423853148</v>
      </c>
      <c r="W117" s="58">
        <f t="shared" si="58"/>
        <v>1604489.7635779723</v>
      </c>
      <c r="X117" s="244"/>
      <c r="Y117" s="101"/>
    </row>
    <row r="118" spans="1:25" ht="13" customHeight="1">
      <c r="A118" s="264"/>
      <c r="B118" s="265"/>
      <c r="C118" s="258"/>
      <c r="D118" s="227"/>
      <c r="E118" s="227"/>
      <c r="F118" s="243"/>
      <c r="G118" s="244"/>
      <c r="H118" s="244"/>
      <c r="I118" s="36" t="s">
        <v>200</v>
      </c>
      <c r="J118" s="37">
        <v>23</v>
      </c>
      <c r="K118" s="26"/>
      <c r="L118" s="56"/>
      <c r="M118" s="72"/>
      <c r="N118" s="72"/>
      <c r="O118" s="72"/>
      <c r="P118" s="26"/>
      <c r="Q118" s="72"/>
      <c r="R118" s="45"/>
      <c r="S118" s="56"/>
      <c r="T118" s="26"/>
      <c r="U118" s="46"/>
      <c r="V118" s="15"/>
      <c r="W118" s="58">
        <v>1000000</v>
      </c>
      <c r="X118" s="245"/>
      <c r="Y118" s="101"/>
    </row>
    <row r="119" spans="1:25" ht="13" customHeight="1">
      <c r="A119" s="179"/>
      <c r="B119" s="180"/>
      <c r="C119" s="225"/>
      <c r="D119" s="228"/>
      <c r="E119" s="227"/>
      <c r="F119" s="243"/>
      <c r="G119" s="245"/>
      <c r="H119" s="245"/>
      <c r="I119" s="51">
        <v>11</v>
      </c>
      <c r="J119" s="52">
        <f>SUM(J108:J118)</f>
        <v>146</v>
      </c>
      <c r="K119" s="52">
        <f t="shared" ref="K119:M119" si="59">SUM(K108:K117)</f>
        <v>476800000</v>
      </c>
      <c r="L119" s="52">
        <f t="shared" si="59"/>
        <v>539801000</v>
      </c>
      <c r="M119" s="52">
        <f t="shared" si="59"/>
        <v>499128000</v>
      </c>
      <c r="N119" s="52">
        <f>SUM(N108:N117)</f>
        <v>27623700</v>
      </c>
      <c r="O119" s="52">
        <f>SUM(O108:O117)</f>
        <v>0</v>
      </c>
      <c r="P119" s="52">
        <f>SUM(P108:P117)</f>
        <v>526751700</v>
      </c>
      <c r="Q119" s="52">
        <f>SUM(Q108:Q117)</f>
        <v>114201000</v>
      </c>
      <c r="R119" s="61"/>
      <c r="S119" s="52">
        <f>SUM(S108:S117)</f>
        <v>8951613</v>
      </c>
      <c r="T119" s="52">
        <f>SUM(T108:T117)</f>
        <v>424636367.42942691</v>
      </c>
      <c r="U119" s="55">
        <f>(T119/K119)*100</f>
        <v>89.059640819930138</v>
      </c>
      <c r="V119" s="59"/>
      <c r="W119" s="104">
        <f>SUM(W108:W118)</f>
        <v>13200384.336721875</v>
      </c>
      <c r="X119" s="63"/>
      <c r="Y119" s="101"/>
    </row>
    <row r="120" spans="1:25" ht="12.5" customHeight="1">
      <c r="A120" s="50" t="s">
        <v>157</v>
      </c>
      <c r="B120" s="106" t="s">
        <v>152</v>
      </c>
      <c r="C120" s="38" t="s">
        <v>153</v>
      </c>
      <c r="D120" s="21">
        <v>10000000</v>
      </c>
      <c r="E120" s="16">
        <v>500000</v>
      </c>
      <c r="F120" s="16">
        <v>500000</v>
      </c>
      <c r="G120" s="58"/>
      <c r="H120" s="1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16"/>
      <c r="W120" s="16">
        <f>D120+E120+F120</f>
        <v>11000000</v>
      </c>
      <c r="X120" s="187">
        <f>SUM(W120:W133)</f>
        <v>41465385</v>
      </c>
      <c r="Y120" s="17"/>
    </row>
    <row r="121" spans="1:25" ht="12.5" customHeight="1">
      <c r="A121" s="50" t="s">
        <v>160</v>
      </c>
      <c r="B121" s="106" t="s">
        <v>155</v>
      </c>
      <c r="C121" s="38" t="s">
        <v>156</v>
      </c>
      <c r="D121" s="21">
        <v>8000000</v>
      </c>
      <c r="E121" s="16">
        <v>500000</v>
      </c>
      <c r="F121" s="16">
        <v>500000</v>
      </c>
      <c r="G121" s="58"/>
      <c r="H121" s="1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16"/>
      <c r="W121" s="16">
        <f>D121+E121+F121</f>
        <v>9000000</v>
      </c>
      <c r="X121" s="187"/>
      <c r="Y121" s="17"/>
    </row>
    <row r="122" spans="1:25" ht="12.5" customHeight="1">
      <c r="A122" s="50" t="s">
        <v>162</v>
      </c>
      <c r="B122" s="106" t="s">
        <v>158</v>
      </c>
      <c r="C122" s="38" t="s">
        <v>159</v>
      </c>
      <c r="D122" s="21">
        <v>1000000</v>
      </c>
      <c r="E122" s="16">
        <v>500000</v>
      </c>
      <c r="F122" s="16"/>
      <c r="G122" s="58"/>
      <c r="H122" s="1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16"/>
      <c r="W122" s="16">
        <f t="shared" ref="W122:W139" si="60">D122+E122+F122</f>
        <v>1500000</v>
      </c>
      <c r="X122" s="187"/>
      <c r="Y122" s="17"/>
    </row>
    <row r="123" spans="1:25" ht="12.5" customHeight="1">
      <c r="A123" s="50" t="s">
        <v>163</v>
      </c>
      <c r="B123" s="106" t="s">
        <v>161</v>
      </c>
      <c r="C123" s="38" t="s">
        <v>159</v>
      </c>
      <c r="D123" s="21">
        <v>3000000</v>
      </c>
      <c r="E123" s="16">
        <v>500000</v>
      </c>
      <c r="F123" s="16">
        <v>500000</v>
      </c>
      <c r="G123" s="58"/>
      <c r="H123" s="1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16"/>
      <c r="W123" s="16">
        <f t="shared" si="60"/>
        <v>4000000</v>
      </c>
      <c r="X123" s="187"/>
      <c r="Y123" s="17"/>
    </row>
    <row r="124" spans="1:25" ht="12.5" customHeight="1">
      <c r="A124" s="50" t="s">
        <v>165</v>
      </c>
      <c r="B124" s="106" t="s">
        <v>194</v>
      </c>
      <c r="C124" s="38" t="s">
        <v>159</v>
      </c>
      <c r="D124" s="21">
        <v>1415385</v>
      </c>
      <c r="E124" s="16">
        <v>500000</v>
      </c>
      <c r="F124" s="16"/>
      <c r="G124" s="58"/>
      <c r="H124" s="1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16"/>
      <c r="W124" s="16">
        <f>D124+E124+F124</f>
        <v>1915385</v>
      </c>
      <c r="X124" s="187"/>
      <c r="Y124" s="17"/>
    </row>
    <row r="125" spans="1:25" ht="13">
      <c r="A125" s="50" t="s">
        <v>167</v>
      </c>
      <c r="B125" s="107" t="s">
        <v>203</v>
      </c>
      <c r="C125" s="38" t="s">
        <v>159</v>
      </c>
      <c r="D125" s="21">
        <v>865385</v>
      </c>
      <c r="E125" s="16"/>
      <c r="F125" s="16"/>
      <c r="G125" s="16"/>
      <c r="H125" s="1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16"/>
      <c r="W125" s="16">
        <f t="shared" si="60"/>
        <v>865385</v>
      </c>
      <c r="X125" s="187"/>
      <c r="Y125" s="108">
        <f>SUM(D120:D133)</f>
        <v>34465385</v>
      </c>
    </row>
    <row r="126" spans="1:25" ht="12.5" customHeight="1">
      <c r="A126" s="50" t="s">
        <v>169</v>
      </c>
      <c r="B126" s="107" t="s">
        <v>166</v>
      </c>
      <c r="C126" s="38" t="s">
        <v>159</v>
      </c>
      <c r="D126" s="21">
        <v>2000000</v>
      </c>
      <c r="E126" s="16">
        <v>500000</v>
      </c>
      <c r="F126" s="16"/>
      <c r="G126" s="16"/>
      <c r="H126" s="1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16"/>
      <c r="W126" s="16">
        <f t="shared" si="60"/>
        <v>2500000</v>
      </c>
      <c r="X126" s="187"/>
      <c r="Y126" s="17"/>
    </row>
    <row r="127" spans="1:25" ht="12.5" customHeight="1">
      <c r="A127" s="50" t="s">
        <v>171</v>
      </c>
      <c r="B127" s="107" t="s">
        <v>168</v>
      </c>
      <c r="C127" s="38" t="s">
        <v>159</v>
      </c>
      <c r="D127" s="21">
        <v>1153846</v>
      </c>
      <c r="E127" s="16">
        <v>500000</v>
      </c>
      <c r="F127" s="16"/>
      <c r="G127" s="16"/>
      <c r="H127" s="58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16"/>
      <c r="W127" s="16">
        <f t="shared" si="60"/>
        <v>1653846</v>
      </c>
      <c r="X127" s="187"/>
      <c r="Y127" s="17"/>
    </row>
    <row r="128" spans="1:25" ht="12.5" customHeight="1">
      <c r="A128" s="50" t="s">
        <v>173</v>
      </c>
      <c r="B128" s="107" t="s">
        <v>170</v>
      </c>
      <c r="C128" s="38" t="s">
        <v>159</v>
      </c>
      <c r="D128" s="21">
        <f>2346154-500000</f>
        <v>1846154</v>
      </c>
      <c r="E128" s="16">
        <v>500000</v>
      </c>
      <c r="F128" s="16"/>
      <c r="G128" s="16"/>
      <c r="H128" s="5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16"/>
      <c r="W128" s="16">
        <f t="shared" si="60"/>
        <v>2346154</v>
      </c>
      <c r="X128" s="187"/>
      <c r="Y128" s="17"/>
    </row>
    <row r="129" spans="1:25" ht="12.5" customHeight="1">
      <c r="A129" s="50" t="s">
        <v>175</v>
      </c>
      <c r="B129" s="107" t="s">
        <v>172</v>
      </c>
      <c r="C129" s="38" t="s">
        <v>159</v>
      </c>
      <c r="D129" s="21">
        <v>0</v>
      </c>
      <c r="E129" s="16">
        <v>0</v>
      </c>
      <c r="F129" s="16"/>
      <c r="G129" s="16"/>
      <c r="H129" s="5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16"/>
      <c r="W129" s="16">
        <f t="shared" si="60"/>
        <v>0</v>
      </c>
      <c r="X129" s="187"/>
      <c r="Y129" s="17"/>
    </row>
    <row r="130" spans="1:25" ht="12.5" customHeight="1">
      <c r="A130" s="50" t="s">
        <v>178</v>
      </c>
      <c r="B130" s="107" t="s">
        <v>174</v>
      </c>
      <c r="C130" s="38" t="s">
        <v>159</v>
      </c>
      <c r="D130" s="21">
        <v>1600000</v>
      </c>
      <c r="E130" s="16">
        <v>500000</v>
      </c>
      <c r="F130" s="16"/>
      <c r="G130" s="16"/>
      <c r="H130" s="5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16"/>
      <c r="W130" s="16">
        <f>D130+E130+F130</f>
        <v>2100000</v>
      </c>
      <c r="X130" s="187"/>
      <c r="Y130" s="17"/>
    </row>
    <row r="131" spans="1:25" ht="13" customHeight="1">
      <c r="A131" s="50" t="s">
        <v>181</v>
      </c>
      <c r="B131" s="107" t="s">
        <v>193</v>
      </c>
      <c r="C131" s="38" t="s">
        <v>159</v>
      </c>
      <c r="D131" s="21">
        <v>0</v>
      </c>
      <c r="E131" s="16">
        <v>0</v>
      </c>
      <c r="F131" s="16"/>
      <c r="G131" s="16"/>
      <c r="H131" s="58"/>
      <c r="I131" s="32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16"/>
      <c r="W131" s="16">
        <f>D131+E131+F131</f>
        <v>0</v>
      </c>
      <c r="X131" s="187"/>
      <c r="Y131" s="17"/>
    </row>
    <row r="132" spans="1:25" ht="13" customHeight="1">
      <c r="A132" s="50"/>
      <c r="B132" s="107" t="s">
        <v>204</v>
      </c>
      <c r="C132" s="38" t="s">
        <v>159</v>
      </c>
      <c r="D132" s="21">
        <v>1461538</v>
      </c>
      <c r="E132" s="16">
        <v>500000</v>
      </c>
      <c r="F132" s="16"/>
      <c r="G132" s="16"/>
      <c r="H132" s="58"/>
      <c r="I132" s="32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16"/>
      <c r="W132" s="16">
        <f>D132+E132+F132</f>
        <v>1961538</v>
      </c>
      <c r="X132" s="187"/>
      <c r="Y132" s="17"/>
    </row>
    <row r="133" spans="1:25" ht="13" customHeight="1">
      <c r="A133" s="50" t="s">
        <v>184</v>
      </c>
      <c r="B133" s="107" t="s">
        <v>196</v>
      </c>
      <c r="C133" s="38" t="s">
        <v>159</v>
      </c>
      <c r="D133" s="21">
        <v>2123077</v>
      </c>
      <c r="E133" s="16">
        <v>500000</v>
      </c>
      <c r="F133" s="16"/>
      <c r="G133" s="16"/>
      <c r="H133" s="58"/>
      <c r="I133" s="47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16"/>
      <c r="W133" s="16">
        <f>D133+E133+F133</f>
        <v>2623077</v>
      </c>
      <c r="X133" s="187"/>
      <c r="Y133" s="17"/>
    </row>
    <row r="134" spans="1:25" ht="12.5">
      <c r="A134" s="50" t="s">
        <v>190</v>
      </c>
      <c r="B134" s="11" t="s">
        <v>176</v>
      </c>
      <c r="C134" s="11" t="s">
        <v>177</v>
      </c>
      <c r="D134" s="21">
        <v>12000000</v>
      </c>
      <c r="E134" s="16"/>
      <c r="F134" s="16"/>
      <c r="G134" s="16"/>
      <c r="H134" s="58"/>
      <c r="I134" s="47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16"/>
      <c r="W134" s="16">
        <f t="shared" si="60"/>
        <v>12000000</v>
      </c>
      <c r="X134" s="21">
        <f>D134+F134+G134+H134</f>
        <v>12000000</v>
      </c>
      <c r="Y134" s="17"/>
    </row>
    <row r="135" spans="1:25" ht="12.5">
      <c r="A135" s="50" t="s">
        <v>191</v>
      </c>
      <c r="B135" s="11" t="s">
        <v>179</v>
      </c>
      <c r="C135" s="11" t="s">
        <v>180</v>
      </c>
      <c r="D135" s="21"/>
      <c r="E135" s="16">
        <v>500000</v>
      </c>
      <c r="F135" s="16"/>
      <c r="G135" s="16"/>
      <c r="H135" s="16"/>
      <c r="I135" s="2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2"/>
      <c r="W135" s="16">
        <f t="shared" si="60"/>
        <v>500000</v>
      </c>
      <c r="X135" s="21">
        <f>D135+F135+G135+H135</f>
        <v>0</v>
      </c>
      <c r="Y135" s="17"/>
    </row>
    <row r="136" spans="1:25" ht="12.5">
      <c r="A136" s="50"/>
      <c r="B136" s="11" t="s">
        <v>69</v>
      </c>
      <c r="C136" s="11" t="s">
        <v>205</v>
      </c>
      <c r="D136" s="21">
        <v>3000000</v>
      </c>
      <c r="E136" s="16">
        <v>500000</v>
      </c>
      <c r="F136" s="16">
        <v>500000</v>
      </c>
      <c r="G136" s="63"/>
      <c r="H136" s="63"/>
      <c r="I136" s="32"/>
      <c r="J136" s="23"/>
      <c r="K136" s="23"/>
      <c r="L136" s="23"/>
      <c r="M136" s="14"/>
      <c r="N136" s="14"/>
      <c r="O136" s="14"/>
      <c r="P136" s="14"/>
      <c r="Q136" s="14"/>
      <c r="R136" s="14"/>
      <c r="S136" s="14"/>
      <c r="T136" s="14"/>
      <c r="U136" s="14"/>
      <c r="V136" s="12"/>
      <c r="W136" s="16">
        <f t="shared" si="60"/>
        <v>4000000</v>
      </c>
      <c r="X136" s="21"/>
      <c r="Y136" s="17"/>
    </row>
    <row r="137" spans="1:25" ht="12.5">
      <c r="A137" s="50"/>
      <c r="B137" s="11" t="s">
        <v>206</v>
      </c>
      <c r="C137" s="11" t="s">
        <v>205</v>
      </c>
      <c r="D137" s="21">
        <v>3000000</v>
      </c>
      <c r="E137" s="16">
        <v>500000</v>
      </c>
      <c r="F137" s="16">
        <v>500000</v>
      </c>
      <c r="G137" s="63"/>
      <c r="H137" s="63"/>
      <c r="I137" s="32"/>
      <c r="J137" s="23"/>
      <c r="K137" s="23"/>
      <c r="L137" s="23"/>
      <c r="M137" s="14"/>
      <c r="N137" s="14"/>
      <c r="O137" s="14"/>
      <c r="P137" s="14"/>
      <c r="Q137" s="14"/>
      <c r="R137" s="14"/>
      <c r="S137" s="14"/>
      <c r="T137" s="14"/>
      <c r="U137" s="14"/>
      <c r="V137" s="12"/>
      <c r="W137" s="16">
        <f t="shared" si="60"/>
        <v>4000000</v>
      </c>
      <c r="X137" s="21"/>
      <c r="Y137" s="17"/>
    </row>
    <row r="138" spans="1:25" ht="12.5">
      <c r="A138" s="50" t="s">
        <v>195</v>
      </c>
      <c r="B138" s="11" t="s">
        <v>182</v>
      </c>
      <c r="C138" s="11" t="s">
        <v>183</v>
      </c>
      <c r="D138" s="21"/>
      <c r="E138" s="16">
        <v>700000</v>
      </c>
      <c r="F138" s="16"/>
      <c r="G138" s="63"/>
      <c r="H138" s="63"/>
      <c r="I138" s="23"/>
      <c r="J138" s="23"/>
      <c r="K138" s="23"/>
      <c r="L138" s="23"/>
      <c r="M138" s="14"/>
      <c r="N138" s="14"/>
      <c r="O138" s="14"/>
      <c r="P138" s="14"/>
      <c r="Q138" s="14"/>
      <c r="R138" s="14"/>
      <c r="S138" s="14"/>
      <c r="T138" s="14"/>
      <c r="U138" s="14"/>
      <c r="V138" s="12"/>
      <c r="W138" s="16">
        <f t="shared" si="60"/>
        <v>700000</v>
      </c>
      <c r="X138" s="21"/>
      <c r="Y138" s="17"/>
    </row>
    <row r="139" spans="1:25" ht="12.5">
      <c r="A139" s="50" t="s">
        <v>191</v>
      </c>
      <c r="B139" s="11" t="s">
        <v>185</v>
      </c>
      <c r="C139" s="11" t="s">
        <v>183</v>
      </c>
      <c r="D139" s="21"/>
      <c r="E139" s="16">
        <v>700000</v>
      </c>
      <c r="F139" s="16"/>
      <c r="G139" s="16"/>
      <c r="H139" s="16"/>
      <c r="I139" s="26"/>
      <c r="J139" s="26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2"/>
      <c r="W139" s="16">
        <f t="shared" si="60"/>
        <v>700000</v>
      </c>
      <c r="X139" s="21"/>
      <c r="Y139" s="17"/>
    </row>
    <row r="140" spans="1:25" ht="13">
      <c r="A140" s="109"/>
      <c r="B140" s="270"/>
      <c r="C140" s="268"/>
      <c r="D140" s="110"/>
      <c r="E140" s="110"/>
      <c r="F140" s="110"/>
      <c r="G140" s="110"/>
      <c r="H140" s="110"/>
      <c r="I140" s="111"/>
      <c r="J140" s="3"/>
      <c r="K140" s="269"/>
      <c r="L140" s="268"/>
      <c r="T140" s="3"/>
      <c r="U140" s="271" t="s">
        <v>186</v>
      </c>
      <c r="V140" s="268"/>
      <c r="X140" s="110"/>
      <c r="Y140" s="3"/>
    </row>
    <row r="141" spans="1:25" ht="13">
      <c r="A141" s="109"/>
      <c r="B141" s="267"/>
      <c r="C141" s="268"/>
      <c r="D141" s="110"/>
      <c r="E141" s="110"/>
      <c r="F141" s="110"/>
      <c r="G141" s="110"/>
      <c r="H141" s="110"/>
      <c r="I141" s="111"/>
      <c r="J141" s="3"/>
      <c r="K141" s="267"/>
      <c r="L141" s="268"/>
      <c r="T141" s="3"/>
      <c r="U141" s="267" t="s">
        <v>187</v>
      </c>
      <c r="V141" s="268"/>
      <c r="X141" s="110"/>
      <c r="Y141" s="3"/>
    </row>
    <row r="142" spans="1:25" ht="13">
      <c r="A142" s="109"/>
      <c r="B142" s="269"/>
      <c r="C142" s="268"/>
      <c r="D142" s="110"/>
      <c r="E142" s="110"/>
      <c r="F142" s="110"/>
      <c r="G142" s="110"/>
      <c r="H142" s="110"/>
      <c r="I142" s="111"/>
      <c r="J142" s="3"/>
      <c r="K142" s="269"/>
      <c r="L142" s="268"/>
      <c r="T142" s="3"/>
      <c r="U142" s="269" t="s">
        <v>188</v>
      </c>
      <c r="V142" s="268"/>
      <c r="X142" s="110"/>
      <c r="Y142" s="3"/>
    </row>
    <row r="143" spans="1:25" ht="12.5">
      <c r="A143" s="109"/>
      <c r="B143" s="3"/>
      <c r="C143" s="3"/>
      <c r="D143" s="110"/>
      <c r="E143" s="110"/>
      <c r="F143" s="110"/>
      <c r="G143" s="110"/>
      <c r="H143" s="110"/>
      <c r="I143" s="111"/>
      <c r="J143" s="3"/>
      <c r="K143" s="3"/>
      <c r="L143" s="3">
        <v>1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110"/>
      <c r="Y143" s="3"/>
    </row>
    <row r="144" spans="1:25" ht="12.5">
      <c r="A144" s="109"/>
      <c r="B144" s="3"/>
      <c r="C144" s="3"/>
      <c r="D144" s="110"/>
      <c r="E144" s="110"/>
      <c r="F144" s="110"/>
      <c r="G144" s="110"/>
      <c r="H144" s="110"/>
      <c r="I144" s="11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110"/>
      <c r="Y144" s="3"/>
    </row>
    <row r="145" spans="1:25" ht="12.5">
      <c r="A145" s="109"/>
      <c r="B145" s="3"/>
      <c r="C145" s="3"/>
      <c r="D145" s="110"/>
      <c r="E145" s="110"/>
      <c r="F145" s="110"/>
      <c r="G145" s="110"/>
      <c r="H145" s="110"/>
      <c r="I145" s="11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17"/>
      <c r="V145" s="3"/>
      <c r="W145" s="3"/>
      <c r="X145" s="110"/>
      <c r="Y145" s="3"/>
    </row>
    <row r="146" spans="1:25" ht="12.5">
      <c r="A146" s="109"/>
      <c r="B146" s="3"/>
      <c r="C146" s="3"/>
      <c r="D146" s="110"/>
      <c r="E146" s="110"/>
      <c r="F146" s="110"/>
      <c r="G146" s="110"/>
      <c r="H146" s="110"/>
      <c r="I146" s="11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112"/>
      <c r="V146" s="3"/>
      <c r="W146" s="3"/>
      <c r="X146" s="110"/>
      <c r="Y146" s="3"/>
    </row>
    <row r="147" spans="1:25" ht="12.5">
      <c r="A147" s="109"/>
      <c r="B147" s="3"/>
      <c r="C147" s="3"/>
      <c r="D147" s="110"/>
      <c r="E147" s="110"/>
      <c r="F147" s="110"/>
      <c r="G147" s="110"/>
      <c r="H147" s="110"/>
      <c r="I147" s="11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110"/>
      <c r="Y147" s="3"/>
    </row>
    <row r="148" spans="1:25" ht="12.5">
      <c r="A148" s="109"/>
      <c r="B148" s="3"/>
      <c r="C148" s="3"/>
      <c r="D148" s="110"/>
      <c r="E148" s="110"/>
      <c r="F148" s="110"/>
      <c r="G148" s="110"/>
      <c r="H148" s="110"/>
      <c r="I148" s="11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110"/>
      <c r="Y148" s="3"/>
    </row>
    <row r="149" spans="1:25" ht="12.5">
      <c r="A149" s="109"/>
      <c r="B149" s="3"/>
      <c r="C149" s="3"/>
      <c r="D149" s="110"/>
      <c r="E149" s="110"/>
      <c r="F149" s="110"/>
      <c r="G149" s="110"/>
      <c r="H149" s="110"/>
      <c r="I149" s="11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110"/>
      <c r="Y149" s="3"/>
    </row>
    <row r="150" spans="1:25" ht="12.5">
      <c r="A150" s="109"/>
      <c r="B150" s="3"/>
      <c r="C150" s="3"/>
      <c r="D150" s="110"/>
      <c r="E150" s="110"/>
      <c r="F150" s="110"/>
      <c r="G150" s="110"/>
      <c r="H150" s="110"/>
      <c r="I150" s="11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110"/>
      <c r="Y150" s="3"/>
    </row>
    <row r="151" spans="1:25" ht="12.5">
      <c r="A151" s="109"/>
      <c r="B151" s="3"/>
      <c r="C151" s="3"/>
      <c r="D151" s="110"/>
      <c r="E151" s="110"/>
      <c r="F151" s="110"/>
      <c r="G151" s="110"/>
      <c r="H151" s="110"/>
      <c r="I151" s="11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110"/>
      <c r="Y151" s="3"/>
    </row>
    <row r="152" spans="1:25" ht="12.5">
      <c r="A152" s="109"/>
      <c r="B152" s="3"/>
      <c r="C152" s="3"/>
      <c r="D152" s="110"/>
      <c r="E152" s="110"/>
      <c r="F152" s="110"/>
      <c r="G152" s="110"/>
      <c r="H152" s="110"/>
      <c r="I152" s="11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110"/>
      <c r="Y152" s="3"/>
    </row>
    <row r="153" spans="1:25" ht="12.5">
      <c r="A153" s="109"/>
      <c r="B153" s="3"/>
      <c r="C153" s="3"/>
      <c r="D153" s="110"/>
      <c r="E153" s="110"/>
      <c r="F153" s="110"/>
      <c r="G153" s="110"/>
      <c r="H153" s="110"/>
      <c r="I153" s="11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10"/>
      <c r="Y153" s="3"/>
    </row>
    <row r="154" spans="1:25" ht="12.5">
      <c r="A154" s="109"/>
      <c r="B154" s="3"/>
      <c r="C154" s="3"/>
      <c r="D154" s="110"/>
      <c r="E154" s="110"/>
      <c r="F154" s="110"/>
      <c r="G154" s="110"/>
      <c r="H154" s="110"/>
      <c r="I154" s="11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10"/>
      <c r="Y154" s="3"/>
    </row>
    <row r="155" spans="1:25" ht="12.5">
      <c r="A155" s="109"/>
      <c r="B155" s="3"/>
      <c r="C155" s="3"/>
      <c r="D155" s="110"/>
      <c r="E155" s="110"/>
      <c r="F155" s="110"/>
      <c r="G155" s="110"/>
      <c r="H155" s="110"/>
      <c r="I155" s="1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10"/>
      <c r="Y155" s="3"/>
    </row>
    <row r="156" spans="1:25" ht="12.5">
      <c r="A156" s="109"/>
      <c r="B156" s="3"/>
      <c r="C156" s="3"/>
      <c r="D156" s="110"/>
      <c r="E156" s="110"/>
      <c r="F156" s="110"/>
      <c r="G156" s="110"/>
      <c r="H156" s="110"/>
      <c r="I156" s="1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110"/>
      <c r="Y156" s="3"/>
    </row>
    <row r="157" spans="1:25" ht="12.5">
      <c r="A157" s="109"/>
      <c r="B157" s="3"/>
      <c r="C157" s="3"/>
      <c r="D157" s="110"/>
      <c r="E157" s="110"/>
      <c r="F157" s="110"/>
      <c r="G157" s="110"/>
      <c r="H157" s="110"/>
      <c r="I157" s="1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10"/>
      <c r="Y157" s="3"/>
    </row>
    <row r="158" spans="1:25" ht="12.5">
      <c r="A158" s="109"/>
      <c r="B158" s="3"/>
      <c r="C158" s="3"/>
      <c r="D158" s="110"/>
      <c r="E158" s="110"/>
      <c r="F158" s="110"/>
      <c r="G158" s="110"/>
      <c r="H158" s="110"/>
      <c r="I158" s="1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10"/>
      <c r="Y158" s="3"/>
    </row>
    <row r="159" spans="1:25" ht="12.5">
      <c r="A159" s="109"/>
      <c r="B159" s="3"/>
      <c r="C159" s="3"/>
      <c r="D159" s="110"/>
      <c r="E159" s="110"/>
      <c r="F159" s="110"/>
      <c r="G159" s="110"/>
      <c r="H159" s="110"/>
      <c r="I159" s="11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0"/>
      <c r="Y159" s="3"/>
    </row>
    <row r="160" spans="1:25" ht="12.5">
      <c r="A160" s="109"/>
      <c r="B160" s="3"/>
      <c r="C160" s="3"/>
      <c r="D160" s="110"/>
      <c r="E160" s="110"/>
      <c r="F160" s="110"/>
      <c r="G160" s="110"/>
      <c r="H160" s="110"/>
      <c r="I160" s="1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109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109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3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3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3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3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3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3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3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3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3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3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3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3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3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3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3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3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3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3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  <row r="1102" spans="1:25" ht="12.5">
      <c r="A1102" s="3"/>
      <c r="B1102" s="3"/>
      <c r="C1102" s="3"/>
      <c r="D1102" s="110"/>
      <c r="E1102" s="110"/>
      <c r="F1102" s="110"/>
      <c r="G1102" s="110"/>
      <c r="H1102" s="110"/>
      <c r="I1102" s="1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110"/>
      <c r="Y1102" s="3"/>
    </row>
    <row r="1103" spans="1:25" ht="12.5">
      <c r="A1103" s="3"/>
      <c r="B1103" s="3"/>
      <c r="C1103" s="3"/>
      <c r="D1103" s="110"/>
      <c r="E1103" s="110"/>
      <c r="F1103" s="110"/>
      <c r="G1103" s="110"/>
      <c r="H1103" s="110"/>
      <c r="I1103" s="1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110"/>
      <c r="Y1103" s="3"/>
    </row>
  </sheetData>
  <mergeCells count="128">
    <mergeCell ref="X120:X133"/>
    <mergeCell ref="B140:C140"/>
    <mergeCell ref="K140:L140"/>
    <mergeCell ref="U140:V140"/>
    <mergeCell ref="B141:C141"/>
    <mergeCell ref="K141:L141"/>
    <mergeCell ref="U141:V141"/>
    <mergeCell ref="G108:G119"/>
    <mergeCell ref="H108:H119"/>
    <mergeCell ref="B108:B119"/>
    <mergeCell ref="X108:X118"/>
    <mergeCell ref="B142:C142"/>
    <mergeCell ref="K142:L142"/>
    <mergeCell ref="U142:V142"/>
    <mergeCell ref="A43:A54"/>
    <mergeCell ref="B43:B54"/>
    <mergeCell ref="C43:C54"/>
    <mergeCell ref="D43:D54"/>
    <mergeCell ref="E43:E54"/>
    <mergeCell ref="F43:F54"/>
    <mergeCell ref="G43:G54"/>
    <mergeCell ref="A108:A119"/>
    <mergeCell ref="C108:C119"/>
    <mergeCell ref="D108:D119"/>
    <mergeCell ref="E108:E119"/>
    <mergeCell ref="F108:F119"/>
    <mergeCell ref="A94:A107"/>
    <mergeCell ref="B94:B107"/>
    <mergeCell ref="C94:C107"/>
    <mergeCell ref="D94:D107"/>
    <mergeCell ref="E94:E107"/>
    <mergeCell ref="F94:F107"/>
    <mergeCell ref="G94:G107"/>
    <mergeCell ref="H94:H107"/>
    <mergeCell ref="X94:X105"/>
    <mergeCell ref="Y73:Y79"/>
    <mergeCell ref="A80:A93"/>
    <mergeCell ref="B80:B93"/>
    <mergeCell ref="C80:C93"/>
    <mergeCell ref="D80:D93"/>
    <mergeCell ref="E80:E93"/>
    <mergeCell ref="F80:F93"/>
    <mergeCell ref="G80:G93"/>
    <mergeCell ref="H80:H93"/>
    <mergeCell ref="X80:X93"/>
    <mergeCell ref="A73:A79"/>
    <mergeCell ref="B73:B79"/>
    <mergeCell ref="C73:C79"/>
    <mergeCell ref="D73:D79"/>
    <mergeCell ref="E73:E79"/>
    <mergeCell ref="F73:F79"/>
    <mergeCell ref="G73:G79"/>
    <mergeCell ref="H73:H79"/>
    <mergeCell ref="X73:X79"/>
    <mergeCell ref="Y80:Y93"/>
    <mergeCell ref="Y55:Y66"/>
    <mergeCell ref="A67:A72"/>
    <mergeCell ref="B67:B72"/>
    <mergeCell ref="C67:C72"/>
    <mergeCell ref="D67:D72"/>
    <mergeCell ref="E67:E72"/>
    <mergeCell ref="F67:F72"/>
    <mergeCell ref="G67:G72"/>
    <mergeCell ref="H67:H72"/>
    <mergeCell ref="X67:X72"/>
    <mergeCell ref="A55:A66"/>
    <mergeCell ref="B55:B66"/>
    <mergeCell ref="C55:C66"/>
    <mergeCell ref="D55:D66"/>
    <mergeCell ref="E55:E66"/>
    <mergeCell ref="F55:F66"/>
    <mergeCell ref="G55:G66"/>
    <mergeCell ref="H55:H66"/>
    <mergeCell ref="X55:X66"/>
    <mergeCell ref="Y67:Y72"/>
    <mergeCell ref="X43:X53"/>
    <mergeCell ref="Y46:Y54"/>
    <mergeCell ref="Y32:Y42"/>
    <mergeCell ref="X19:X28"/>
    <mergeCell ref="Y19:Y28"/>
    <mergeCell ref="A29:A42"/>
    <mergeCell ref="B29:B42"/>
    <mergeCell ref="C29:C42"/>
    <mergeCell ref="D29:D42"/>
    <mergeCell ref="E29:E42"/>
    <mergeCell ref="F29:F42"/>
    <mergeCell ref="G29:G42"/>
    <mergeCell ref="H29:H42"/>
    <mergeCell ref="H43:H54"/>
    <mergeCell ref="X29:X42"/>
    <mergeCell ref="C7:C8"/>
    <mergeCell ref="D7:D8"/>
    <mergeCell ref="E7:E8"/>
    <mergeCell ref="F7:F8"/>
    <mergeCell ref="X11:X18"/>
    <mergeCell ref="Y11:Y18"/>
    <mergeCell ref="A19:A28"/>
    <mergeCell ref="B19:B28"/>
    <mergeCell ref="C19:C28"/>
    <mergeCell ref="D19:D28"/>
    <mergeCell ref="E19:E28"/>
    <mergeCell ref="F19:F28"/>
    <mergeCell ref="G19:G28"/>
    <mergeCell ref="H19:H28"/>
    <mergeCell ref="A1:J1"/>
    <mergeCell ref="A2:J2"/>
    <mergeCell ref="A3:J3"/>
    <mergeCell ref="A4:J4"/>
    <mergeCell ref="A5:T6"/>
    <mergeCell ref="U5:X6"/>
    <mergeCell ref="W7:W8"/>
    <mergeCell ref="X7:X8"/>
    <mergeCell ref="A11:A18"/>
    <mergeCell ref="B11:B18"/>
    <mergeCell ref="C11:C18"/>
    <mergeCell ref="D11:D18"/>
    <mergeCell ref="E11:E18"/>
    <mergeCell ref="F11:F18"/>
    <mergeCell ref="G11:G18"/>
    <mergeCell ref="H11:H18"/>
    <mergeCell ref="G7:G8"/>
    <mergeCell ref="H7:H8"/>
    <mergeCell ref="I7:I8"/>
    <mergeCell ref="J7:T7"/>
    <mergeCell ref="U7:U8"/>
    <mergeCell ref="V7:V8"/>
    <mergeCell ref="A7:A8"/>
    <mergeCell ref="B7:B8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8490-7235-4D63-807D-79B01DCC674B}">
  <sheetPr codeName="Sheet4">
    <outlinePr summaryBelow="0" summaryRight="0"/>
    <pageSetUpPr fitToPage="1"/>
  </sheetPr>
  <dimension ref="A1:Y1107"/>
  <sheetViews>
    <sheetView topLeftCell="A4" zoomScale="90" zoomScaleNormal="90" workbookViewId="0">
      <pane xSplit="9" ySplit="6" topLeftCell="U52" activePane="bottomRight" state="frozen"/>
      <selection activeCell="W118" sqref="W118"/>
      <selection pane="topRight" activeCell="W118" sqref="W118"/>
      <selection pane="bottomLeft" activeCell="W118" sqref="W118"/>
      <selection pane="bottomRight" activeCell="W118" sqref="W118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0" width="12.6328125" style="4" customWidth="1"/>
    <col min="11" max="17" width="12.6328125" style="4" hidden="1" customWidth="1"/>
    <col min="18" max="18" width="16.54296875" style="4" hidden="1" customWidth="1"/>
    <col min="19" max="19" width="21.08984375" style="4" hidden="1" customWidth="1"/>
    <col min="20" max="20" width="14.08984375" style="4" hidden="1" customWidth="1"/>
    <col min="21" max="23" width="12.6328125" style="4"/>
    <col min="24" max="24" width="13.7265625" style="113" customWidth="1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>
      <c r="A5" s="204" t="s">
        <v>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6"/>
      <c r="U5" s="211" t="s">
        <v>202</v>
      </c>
      <c r="V5" s="212"/>
      <c r="W5" s="212"/>
      <c r="X5" s="213"/>
      <c r="Y5" s="3"/>
    </row>
    <row r="6" spans="1:25" ht="12.5">
      <c r="A6" s="207"/>
      <c r="B6" s="208"/>
      <c r="C6" s="208"/>
      <c r="D6" s="208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10"/>
      <c r="U6" s="214"/>
      <c r="V6" s="215"/>
      <c r="W6" s="215"/>
      <c r="X6" s="216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201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131"/>
      <c r="B9" s="132"/>
      <c r="C9" s="132"/>
      <c r="D9" s="133">
        <f>SUM(D10:D143)</f>
        <v>75238461</v>
      </c>
      <c r="E9" s="133">
        <f>SUM(E10:E143)</f>
        <v>12400000</v>
      </c>
      <c r="F9" s="133">
        <f>SUM(F10:F143)</f>
        <v>7200000</v>
      </c>
      <c r="G9" s="133">
        <f>SUM(G10:G143)</f>
        <v>15516000</v>
      </c>
      <c r="H9" s="133"/>
      <c r="I9" s="133"/>
      <c r="J9" s="133">
        <f>J18+J30+J45+J61+J74+J80+J94+J108+J120</f>
        <v>1296</v>
      </c>
      <c r="K9" s="133">
        <f t="shared" ref="K9:Q9" si="0">K18+K30+K45+K61+K74+K80+K94+K108+K120</f>
        <v>4923950000</v>
      </c>
      <c r="L9" s="133">
        <f t="shared" si="0"/>
        <v>5425867538.7096767</v>
      </c>
      <c r="M9" s="133">
        <f t="shared" si="0"/>
        <v>5014426696</v>
      </c>
      <c r="N9" s="133">
        <f t="shared" si="0"/>
        <v>170946000</v>
      </c>
      <c r="O9" s="133">
        <f t="shared" si="0"/>
        <v>27734700</v>
      </c>
      <c r="P9" s="133">
        <f t="shared" si="0"/>
        <v>5213107396</v>
      </c>
      <c r="Q9" s="133">
        <f t="shared" si="0"/>
        <v>1036205400</v>
      </c>
      <c r="R9" s="137">
        <f>Q9/L9</f>
        <v>0.19097506391510979</v>
      </c>
      <c r="S9" s="133">
        <f>S18+S30+S45+S61+S74+S80+S94+S108+S120</f>
        <v>97033333.666666657</v>
      </c>
      <c r="T9" s="133">
        <f>T18+T30+T45+T61+T74+T80+T94+T108+T120</f>
        <v>4314723294.5602188</v>
      </c>
      <c r="U9" s="133">
        <f>(T9/K9)*100</f>
        <v>87.627276770889608</v>
      </c>
      <c r="V9" s="133">
        <f>U9*109000/90</f>
        <v>106126.36853363297</v>
      </c>
      <c r="W9" s="134">
        <f>W18+W30+W45+W61+W74+W80+W94+W108+W120</f>
        <v>126939040.24498115</v>
      </c>
      <c r="X9" s="135">
        <f>X10+X11+X19+X31+X46+X62+X75+X81+X95+X109</f>
        <v>172655040.24498117</v>
      </c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1293*7000</f>
        <v>9051000</v>
      </c>
      <c r="H10" s="13"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1"/>
      <c r="W10" s="16"/>
      <c r="X10" s="16">
        <f>D10+F10+E10+G10</f>
        <v>20251000</v>
      </c>
      <c r="Y10" s="17"/>
    </row>
    <row r="11" spans="1:25" ht="14">
      <c r="A11" s="222" t="s">
        <v>41</v>
      </c>
      <c r="B11" s="224" t="s">
        <v>42</v>
      </c>
      <c r="C11" s="224" t="s">
        <v>43</v>
      </c>
      <c r="D11" s="227">
        <v>8000000</v>
      </c>
      <c r="E11" s="226">
        <v>500000</v>
      </c>
      <c r="F11" s="230">
        <v>500000</v>
      </c>
      <c r="G11" s="177">
        <f>1293*5000</f>
        <v>6465000</v>
      </c>
      <c r="H11" s="177"/>
      <c r="I11" s="25" t="s">
        <v>44</v>
      </c>
      <c r="J11" s="44">
        <v>50</v>
      </c>
      <c r="K11" s="26">
        <v>170000000</v>
      </c>
      <c r="L11" s="18">
        <v>187116000</v>
      </c>
      <c r="M11" s="14">
        <v>164212000</v>
      </c>
      <c r="N11" s="14">
        <v>3339000</v>
      </c>
      <c r="O11" s="14">
        <v>1157800</v>
      </c>
      <c r="P11" s="14">
        <f>SUM(M11:O11)</f>
        <v>168708800</v>
      </c>
      <c r="Q11" s="44">
        <v>39216000</v>
      </c>
      <c r="R11" s="45">
        <f>Q11/L11</f>
        <v>0.20958122234335919</v>
      </c>
      <c r="S11" s="14">
        <v>1000000</v>
      </c>
      <c r="T11" s="26">
        <f t="shared" ref="T11:T17" si="1">P11-(P11*R11)+S11</f>
        <v>134350603.47591868</v>
      </c>
      <c r="U11" s="46">
        <f t="shared" ref="U11:U92" si="2">(T11/K11)*100</f>
        <v>79.029766750540404</v>
      </c>
      <c r="V11" s="12">
        <f>U11*84000/80</f>
        <v>82981.255088067424</v>
      </c>
      <c r="W11" s="21">
        <f t="shared" ref="W11:W17" si="3">V11*J11</f>
        <v>4149062.7544033714</v>
      </c>
      <c r="X11" s="177">
        <f>W18+D11+F11+G11+H11+E11</f>
        <v>21040565.104803577</v>
      </c>
      <c r="Y11" s="239"/>
    </row>
    <row r="12" spans="1:25" ht="14">
      <c r="A12" s="222"/>
      <c r="B12" s="224" t="str">
        <f>B11</f>
        <v>Trần Quang Huy</v>
      </c>
      <c r="C12" s="224"/>
      <c r="D12" s="227"/>
      <c r="E12" s="227"/>
      <c r="F12" s="230"/>
      <c r="G12" s="177"/>
      <c r="H12" s="177"/>
      <c r="I12" s="26" t="s">
        <v>45</v>
      </c>
      <c r="J12" s="47">
        <v>14</v>
      </c>
      <c r="K12" s="26">
        <v>46300000</v>
      </c>
      <c r="L12" s="31">
        <v>51246000</v>
      </c>
      <c r="M12" s="14">
        <v>51246000</v>
      </c>
      <c r="N12" s="14">
        <v>0</v>
      </c>
      <c r="O12" s="14">
        <v>0</v>
      </c>
      <c r="P12" s="14">
        <f>SUM(M12:O12)</f>
        <v>51246000</v>
      </c>
      <c r="Q12" s="44">
        <v>11146000</v>
      </c>
      <c r="R12" s="45">
        <f t="shared" ref="R12:R79" si="4">Q12/L12</f>
        <v>0.21749990243140929</v>
      </c>
      <c r="S12" s="14"/>
      <c r="T12" s="26">
        <f t="shared" si="1"/>
        <v>40100000</v>
      </c>
      <c r="U12" s="46">
        <f t="shared" si="2"/>
        <v>86.60907127429806</v>
      </c>
      <c r="V12" s="12">
        <f>U12*100000/85</f>
        <v>101893.02502858595</v>
      </c>
      <c r="W12" s="21">
        <f>V12*J12</f>
        <v>1426502.3504002034</v>
      </c>
      <c r="X12" s="178"/>
      <c r="Y12" s="239"/>
    </row>
    <row r="13" spans="1:25" ht="12.5">
      <c r="A13" s="222"/>
      <c r="B13" s="224" t="str">
        <f>B12</f>
        <v>Trần Quang Huy</v>
      </c>
      <c r="C13" s="224"/>
      <c r="D13" s="227"/>
      <c r="E13" s="227"/>
      <c r="F13" s="230"/>
      <c r="G13" s="177"/>
      <c r="H13" s="177"/>
      <c r="J13" s="49"/>
      <c r="K13" s="37"/>
      <c r="L13" s="14"/>
      <c r="M13" s="14"/>
      <c r="N13" s="14"/>
      <c r="O13" s="14"/>
      <c r="P13" s="14">
        <f t="shared" ref="P13:P17" si="5">SUM(M13:O13)</f>
        <v>0</v>
      </c>
      <c r="Q13" s="44"/>
      <c r="R13" s="45"/>
      <c r="S13" s="14"/>
      <c r="T13" s="26">
        <f t="shared" si="1"/>
        <v>0</v>
      </c>
      <c r="U13" s="46">
        <f>(T13/K113)*100</f>
        <v>0</v>
      </c>
      <c r="V13" s="12">
        <f>U13*100000/85</f>
        <v>0</v>
      </c>
      <c r="W13" s="21">
        <f t="shared" si="3"/>
        <v>0</v>
      </c>
      <c r="X13" s="178"/>
      <c r="Y13" s="239"/>
    </row>
    <row r="14" spans="1:25" ht="12.5">
      <c r="A14" s="222"/>
      <c r="B14" s="224" t="str">
        <f>B13</f>
        <v>Trần Quang Huy</v>
      </c>
      <c r="C14" s="224"/>
      <c r="D14" s="227"/>
      <c r="E14" s="227"/>
      <c r="F14" s="230"/>
      <c r="G14" s="177"/>
      <c r="H14" s="177"/>
      <c r="I14" s="36"/>
      <c r="J14" s="37"/>
      <c r="K14" s="37"/>
      <c r="L14" s="14"/>
      <c r="M14" s="14"/>
      <c r="N14" s="14"/>
      <c r="O14" s="14"/>
      <c r="P14" s="14">
        <f t="shared" si="5"/>
        <v>0</v>
      </c>
      <c r="Q14" s="44"/>
      <c r="R14" s="45"/>
      <c r="S14" s="14"/>
      <c r="T14" s="26">
        <f t="shared" si="1"/>
        <v>0</v>
      </c>
      <c r="U14" s="46">
        <f>(T14/K91)*100</f>
        <v>0</v>
      </c>
      <c r="V14" s="12">
        <f>U14*109000/90</f>
        <v>0</v>
      </c>
      <c r="W14" s="21">
        <f t="shared" si="3"/>
        <v>0</v>
      </c>
      <c r="X14" s="178"/>
      <c r="Y14" s="239"/>
    </row>
    <row r="15" spans="1:25" ht="12.5">
      <c r="A15" s="222"/>
      <c r="B15" s="224" t="str">
        <f>B14</f>
        <v>Trần Quang Huy</v>
      </c>
      <c r="C15" s="224"/>
      <c r="D15" s="227"/>
      <c r="E15" s="227"/>
      <c r="F15" s="230"/>
      <c r="G15" s="177"/>
      <c r="H15" s="177"/>
      <c r="I15" s="36"/>
      <c r="J15" s="37"/>
      <c r="K15" s="37"/>
      <c r="L15" s="14"/>
      <c r="M15" s="14"/>
      <c r="N15" s="14"/>
      <c r="O15" s="14"/>
      <c r="P15" s="14">
        <f>SUM(M15:O15)</f>
        <v>0</v>
      </c>
      <c r="Q15" s="44"/>
      <c r="R15" s="45"/>
      <c r="S15" s="14"/>
      <c r="T15" s="26">
        <f t="shared" si="1"/>
        <v>0</v>
      </c>
      <c r="U15" s="46">
        <f>(T15/K12)*100</f>
        <v>0</v>
      </c>
      <c r="V15" s="12">
        <f>U15*100000/85</f>
        <v>0</v>
      </c>
      <c r="W15" s="21">
        <f t="shared" si="3"/>
        <v>0</v>
      </c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23"/>
      <c r="M16" s="23"/>
      <c r="N16" s="23"/>
      <c r="O16" s="23"/>
      <c r="P16" s="14">
        <f t="shared" si="5"/>
        <v>0</v>
      </c>
      <c r="Q16" s="44"/>
      <c r="R16" s="45"/>
      <c r="S16" s="14"/>
      <c r="T16" s="26">
        <f t="shared" si="1"/>
        <v>0</v>
      </c>
      <c r="U16" s="46">
        <f>(T16/K91)*100</f>
        <v>0</v>
      </c>
      <c r="V16" s="12">
        <f>U16*109000/95</f>
        <v>0</v>
      </c>
      <c r="W16" s="21">
        <f t="shared" si="3"/>
        <v>0</v>
      </c>
      <c r="X16" s="178"/>
      <c r="Y16" s="239"/>
    </row>
    <row r="17" spans="1:25" ht="12.5">
      <c r="A17" s="222"/>
      <c r="B17" s="224"/>
      <c r="C17" s="224"/>
      <c r="D17" s="227"/>
      <c r="E17" s="227"/>
      <c r="F17" s="230"/>
      <c r="G17" s="177"/>
      <c r="H17" s="177"/>
      <c r="I17" s="36"/>
      <c r="J17" s="37"/>
      <c r="K17" s="37"/>
      <c r="L17" s="25"/>
      <c r="M17" s="26"/>
      <c r="N17" s="26"/>
      <c r="O17" s="26"/>
      <c r="P17" s="14">
        <f t="shared" si="5"/>
        <v>0</v>
      </c>
      <c r="Q17" s="32"/>
      <c r="R17" s="45"/>
      <c r="S17" s="32"/>
      <c r="T17" s="26">
        <f t="shared" si="1"/>
        <v>0</v>
      </c>
      <c r="U17" s="46">
        <f>(T17/K12)*100</f>
        <v>0</v>
      </c>
      <c r="V17" s="12">
        <f>U17*109000/95</f>
        <v>0</v>
      </c>
      <c r="W17" s="21">
        <f t="shared" si="3"/>
        <v>0</v>
      </c>
      <c r="X17" s="178"/>
      <c r="Y17" s="239"/>
    </row>
    <row r="18" spans="1:25" ht="13">
      <c r="A18" s="240"/>
      <c r="B18" s="241" t="str">
        <f>B15</f>
        <v>Trần Quang Huy</v>
      </c>
      <c r="C18" s="241"/>
      <c r="D18" s="228"/>
      <c r="E18" s="228"/>
      <c r="F18" s="231"/>
      <c r="G18" s="177"/>
      <c r="H18" s="177"/>
      <c r="I18" s="51">
        <v>2</v>
      </c>
      <c r="J18" s="52">
        <f>SUM(J11:J17)</f>
        <v>64</v>
      </c>
      <c r="K18" s="52">
        <f>SUM(K11:K17)</f>
        <v>216300000</v>
      </c>
      <c r="L18" s="52">
        <f>SUM(L11:L17)</f>
        <v>238362000</v>
      </c>
      <c r="M18" s="52">
        <f t="shared" ref="M18:N18" si="6">SUM(M11:M17)</f>
        <v>215458000</v>
      </c>
      <c r="N18" s="52">
        <f t="shared" si="6"/>
        <v>3339000</v>
      </c>
      <c r="O18" s="52">
        <f>SUM(O11:O17)</f>
        <v>1157800</v>
      </c>
      <c r="P18" s="52">
        <f>SUM(P11:P17)</f>
        <v>219954800</v>
      </c>
      <c r="Q18" s="52">
        <f>SUM(Q11:Q17)</f>
        <v>50362000</v>
      </c>
      <c r="R18" s="53"/>
      <c r="S18" s="52">
        <f>SUM(S11:S17)</f>
        <v>1000000</v>
      </c>
      <c r="T18" s="54">
        <f>SUM(T11:T17)</f>
        <v>174450603.47591868</v>
      </c>
      <c r="U18" s="55">
        <f>(T18/K18)*100</f>
        <v>80.652151398945293</v>
      </c>
      <c r="V18" s="52"/>
      <c r="W18" s="52">
        <f>SUM(W11:W17)</f>
        <v>5575565.1048035752</v>
      </c>
      <c r="X18" s="178"/>
      <c r="Y18" s="239"/>
    </row>
    <row r="19" spans="1:25" ht="13" customHeight="1">
      <c r="A19" s="221" t="s">
        <v>46</v>
      </c>
      <c r="B19" s="249" t="s">
        <v>47</v>
      </c>
      <c r="C19" s="223" t="s">
        <v>35</v>
      </c>
      <c r="D19" s="226"/>
      <c r="E19" s="226">
        <v>500000</v>
      </c>
      <c r="F19" s="229">
        <v>500000</v>
      </c>
      <c r="G19" s="177">
        <v>0</v>
      </c>
      <c r="H19" s="177">
        <v>2000000</v>
      </c>
      <c r="I19" s="14" t="s">
        <v>48</v>
      </c>
      <c r="J19" s="56">
        <v>22</v>
      </c>
      <c r="K19" s="56">
        <v>103000000</v>
      </c>
      <c r="L19" s="14">
        <f>125509000-4500000</f>
        <v>121009000</v>
      </c>
      <c r="M19" s="14">
        <f>117374220-4500000</f>
        <v>112874220</v>
      </c>
      <c r="N19" s="14">
        <v>4881600</v>
      </c>
      <c r="O19" s="14">
        <v>1976799.9999999998</v>
      </c>
      <c r="P19" s="14">
        <f>SUM(M19:O19)</f>
        <v>119732620</v>
      </c>
      <c r="Q19" s="14">
        <v>24809000</v>
      </c>
      <c r="R19" s="45">
        <f t="shared" si="4"/>
        <v>0.20501780859274929</v>
      </c>
      <c r="S19" s="14"/>
      <c r="T19" s="26">
        <f>P19-(P19*R19)+S19</f>
        <v>95185300.630531609</v>
      </c>
      <c r="U19" s="46">
        <f>(T19/K19)*100</f>
        <v>92.412913233525828</v>
      </c>
      <c r="V19" s="12">
        <f>U19*110000/90</f>
        <v>112949.11617430935</v>
      </c>
      <c r="W19" s="15">
        <f>V19*J19</f>
        <v>2484880.5558348056</v>
      </c>
      <c r="X19" s="177">
        <f>W30+D19+F19+G19+H19+E19</f>
        <v>20377213.340054177</v>
      </c>
      <c r="Y19" s="246"/>
    </row>
    <row r="20" spans="1:25" ht="13" customHeight="1">
      <c r="A20" s="222"/>
      <c r="B20" s="247"/>
      <c r="C20" s="224"/>
      <c r="D20" s="227"/>
      <c r="E20" s="227"/>
      <c r="F20" s="230"/>
      <c r="G20" s="177"/>
      <c r="H20" s="177"/>
      <c r="I20" s="32" t="s">
        <v>49</v>
      </c>
      <c r="J20" s="26">
        <v>8</v>
      </c>
      <c r="K20" s="26">
        <v>32800000</v>
      </c>
      <c r="L20" s="14">
        <v>38918000</v>
      </c>
      <c r="M20" s="14">
        <v>38918000</v>
      </c>
      <c r="N20" s="14">
        <v>0</v>
      </c>
      <c r="O20" s="14">
        <v>0</v>
      </c>
      <c r="P20" s="14">
        <f t="shared" ref="P20:P28" si="7">SUM(M20:O20)</f>
        <v>38918000</v>
      </c>
      <c r="Q20" s="14">
        <v>8318000</v>
      </c>
      <c r="R20" s="45">
        <f t="shared" si="4"/>
        <v>0.2137314353255563</v>
      </c>
      <c r="S20" s="14"/>
      <c r="T20" s="26">
        <f t="shared" ref="T20:T28" si="8">P20-(P20*R20)+S20</f>
        <v>30600000</v>
      </c>
      <c r="U20" s="46">
        <f t="shared" ref="U20:U28" si="9">(T20/K20)*100</f>
        <v>93.292682926829272</v>
      </c>
      <c r="V20" s="21">
        <f t="shared" ref="V20" si="10">U20*119000/95</f>
        <v>116861.36071887036</v>
      </c>
      <c r="W20" s="16">
        <f t="shared" ref="W20:W29" si="11">V20*J20</f>
        <v>934890.88575096289</v>
      </c>
      <c r="X20" s="177"/>
      <c r="Y20" s="246"/>
    </row>
    <row r="21" spans="1:25" ht="13" customHeight="1">
      <c r="A21" s="222"/>
      <c r="B21" s="247"/>
      <c r="C21" s="224"/>
      <c r="D21" s="227"/>
      <c r="E21" s="227"/>
      <c r="F21" s="230"/>
      <c r="G21" s="177"/>
      <c r="H21" s="177"/>
      <c r="I21" s="47" t="s">
        <v>50</v>
      </c>
      <c r="J21" s="26">
        <v>9</v>
      </c>
      <c r="K21" s="26">
        <v>37800000</v>
      </c>
      <c r="L21" s="14">
        <v>34328000</v>
      </c>
      <c r="M21" s="14">
        <v>34328000</v>
      </c>
      <c r="N21" s="14">
        <v>0</v>
      </c>
      <c r="O21" s="14">
        <v>0</v>
      </c>
      <c r="P21" s="14">
        <f t="shared" si="7"/>
        <v>34328000</v>
      </c>
      <c r="Q21" s="14">
        <v>6628000</v>
      </c>
      <c r="R21" s="45">
        <f t="shared" si="4"/>
        <v>0.19307853647168491</v>
      </c>
      <c r="S21" s="14">
        <f>1900000+2406667</f>
        <v>4306667</v>
      </c>
      <c r="T21" s="26">
        <f t="shared" si="8"/>
        <v>32006667</v>
      </c>
      <c r="U21" s="46">
        <f t="shared" si="9"/>
        <v>84.673722222222224</v>
      </c>
      <c r="V21" s="21">
        <f>U21*94000/85</f>
        <v>93639.175163398701</v>
      </c>
      <c r="W21" s="16">
        <f t="shared" si="11"/>
        <v>842752.57647058833</v>
      </c>
      <c r="X21" s="177"/>
      <c r="Y21" s="246"/>
    </row>
    <row r="22" spans="1:25" ht="13" customHeight="1">
      <c r="A22" s="222"/>
      <c r="B22" s="247"/>
      <c r="C22" s="224"/>
      <c r="D22" s="227"/>
      <c r="E22" s="227"/>
      <c r="F22" s="230"/>
      <c r="G22" s="177"/>
      <c r="H22" s="177"/>
      <c r="I22" s="26" t="s">
        <v>51</v>
      </c>
      <c r="J22" s="14">
        <v>17</v>
      </c>
      <c r="K22" s="14">
        <v>42000000</v>
      </c>
      <c r="L22" s="14">
        <v>52550000</v>
      </c>
      <c r="M22" s="14">
        <v>49112667</v>
      </c>
      <c r="N22" s="14">
        <v>0</v>
      </c>
      <c r="O22" s="14">
        <v>0</v>
      </c>
      <c r="P22" s="14">
        <f t="shared" si="7"/>
        <v>49112667</v>
      </c>
      <c r="Q22" s="14">
        <v>11150000</v>
      </c>
      <c r="R22" s="45">
        <f t="shared" si="4"/>
        <v>0.21217887725975262</v>
      </c>
      <c r="S22" s="14">
        <v>1750000</v>
      </c>
      <c r="T22" s="26">
        <f t="shared" si="8"/>
        <v>40441996.456707895</v>
      </c>
      <c r="U22" s="46">
        <f t="shared" si="9"/>
        <v>96.290467754066412</v>
      </c>
      <c r="V22" s="21">
        <f>U22*120000/95</f>
        <v>121630.06453145231</v>
      </c>
      <c r="W22" s="16">
        <f t="shared" si="11"/>
        <v>2067711.0970346893</v>
      </c>
      <c r="X22" s="177"/>
      <c r="Y22" s="246"/>
    </row>
    <row r="23" spans="1:25" ht="13" customHeight="1">
      <c r="A23" s="222"/>
      <c r="B23" s="247" t="str">
        <f>B19</f>
        <v>Nguyễn Thị Thương Huyền</v>
      </c>
      <c r="C23" s="224"/>
      <c r="D23" s="227"/>
      <c r="E23" s="227"/>
      <c r="F23" s="230"/>
      <c r="G23" s="177"/>
      <c r="H23" s="177"/>
      <c r="I23" s="23" t="s">
        <v>52</v>
      </c>
      <c r="J23" s="23">
        <v>9</v>
      </c>
      <c r="K23" s="23">
        <v>31500000</v>
      </c>
      <c r="L23" s="14">
        <v>38732000</v>
      </c>
      <c r="M23" s="14">
        <v>38732000</v>
      </c>
      <c r="N23" s="14">
        <v>0</v>
      </c>
      <c r="O23" s="14">
        <v>0</v>
      </c>
      <c r="P23" s="14">
        <f t="shared" si="7"/>
        <v>38732000</v>
      </c>
      <c r="Q23" s="14">
        <v>7232000</v>
      </c>
      <c r="R23" s="45">
        <f t="shared" si="4"/>
        <v>0.18671899204791903</v>
      </c>
      <c r="S23" s="14"/>
      <c r="T23" s="26">
        <f t="shared" si="8"/>
        <v>31500000</v>
      </c>
      <c r="U23" s="46">
        <f t="shared" si="9"/>
        <v>100</v>
      </c>
      <c r="V23" s="21">
        <f>U23*130000/100</f>
        <v>130000</v>
      </c>
      <c r="W23" s="16">
        <f t="shared" si="11"/>
        <v>1170000</v>
      </c>
      <c r="X23" s="178"/>
      <c r="Y23" s="246"/>
    </row>
    <row r="24" spans="1:25" ht="13" customHeight="1">
      <c r="A24" s="222"/>
      <c r="B24" s="247" t="str">
        <f>B23</f>
        <v>Nguyễn Thị Thương Huyền</v>
      </c>
      <c r="C24" s="224"/>
      <c r="D24" s="227"/>
      <c r="E24" s="227"/>
      <c r="F24" s="230"/>
      <c r="G24" s="177"/>
      <c r="H24" s="177"/>
      <c r="I24" s="26" t="s">
        <v>53</v>
      </c>
      <c r="J24" s="26">
        <v>10</v>
      </c>
      <c r="K24" s="26">
        <v>36200000</v>
      </c>
      <c r="L24" s="23">
        <v>45255000</v>
      </c>
      <c r="M24" s="23">
        <v>42255000</v>
      </c>
      <c r="N24" s="23">
        <v>2700000</v>
      </c>
      <c r="O24" s="23">
        <v>0</v>
      </c>
      <c r="P24" s="14">
        <f t="shared" si="7"/>
        <v>44955000</v>
      </c>
      <c r="Q24" s="23">
        <v>9555000</v>
      </c>
      <c r="R24" s="45">
        <f t="shared" si="4"/>
        <v>0.21113689095127611</v>
      </c>
      <c r="S24" s="23"/>
      <c r="T24" s="26">
        <f t="shared" si="8"/>
        <v>35463341.067285381</v>
      </c>
      <c r="U24" s="46">
        <f t="shared" si="9"/>
        <v>97.965030572611553</v>
      </c>
      <c r="V24" s="12">
        <f>U24*130000/100</f>
        <v>127354.53974439502</v>
      </c>
      <c r="W24" s="21">
        <f t="shared" si="11"/>
        <v>1273545.3974439502</v>
      </c>
      <c r="X24" s="178"/>
      <c r="Y24" s="246"/>
    </row>
    <row r="25" spans="1:25" ht="13" customHeight="1">
      <c r="A25" s="222"/>
      <c r="B25" s="247"/>
      <c r="C25" s="224"/>
      <c r="D25" s="227"/>
      <c r="E25" s="227"/>
      <c r="F25" s="230"/>
      <c r="G25" s="245"/>
      <c r="H25" s="245"/>
      <c r="I25" s="26" t="s">
        <v>54</v>
      </c>
      <c r="J25" s="26">
        <v>15</v>
      </c>
      <c r="K25" s="26">
        <v>61200000</v>
      </c>
      <c r="L25" s="25">
        <f>79226200-11300000-7400000</f>
        <v>60526200</v>
      </c>
      <c r="M25" s="26">
        <f>74532000-11300000-7400000</f>
        <v>55832000</v>
      </c>
      <c r="N25" s="26">
        <v>4484700</v>
      </c>
      <c r="O25" s="26">
        <v>0</v>
      </c>
      <c r="P25" s="14">
        <f t="shared" si="7"/>
        <v>60316700</v>
      </c>
      <c r="Q25" s="26">
        <v>10270200</v>
      </c>
      <c r="R25" s="45">
        <f t="shared" si="4"/>
        <v>0.16968188982622401</v>
      </c>
      <c r="S25" s="26">
        <v>3293333.3333333335</v>
      </c>
      <c r="T25" s="26">
        <f t="shared" si="8"/>
        <v>53375381.68925193</v>
      </c>
      <c r="U25" s="46">
        <f t="shared" si="9"/>
        <v>87.214675962829944</v>
      </c>
      <c r="V25" s="12">
        <f>U25*109000/90</f>
        <v>105626.66311053849</v>
      </c>
      <c r="W25" s="21">
        <f t="shared" si="11"/>
        <v>1584399.9466580774</v>
      </c>
      <c r="X25" s="178"/>
      <c r="Y25" s="246"/>
    </row>
    <row r="26" spans="1:25" ht="13" customHeight="1">
      <c r="A26" s="222"/>
      <c r="B26" s="247"/>
      <c r="C26" s="224"/>
      <c r="D26" s="227"/>
      <c r="E26" s="227"/>
      <c r="F26" s="230"/>
      <c r="G26" s="245"/>
      <c r="H26" s="245"/>
      <c r="I26" s="26" t="s">
        <v>55</v>
      </c>
      <c r="J26" s="26">
        <v>16</v>
      </c>
      <c r="K26" s="26">
        <v>68800000</v>
      </c>
      <c r="L26" s="25">
        <f>70572000-3800000</f>
        <v>66772000</v>
      </c>
      <c r="M26" s="26">
        <f>63096000-3800000</f>
        <v>59296000</v>
      </c>
      <c r="N26" s="26">
        <v>0</v>
      </c>
      <c r="O26" s="26">
        <v>0</v>
      </c>
      <c r="P26" s="23">
        <f t="shared" si="7"/>
        <v>59296000</v>
      </c>
      <c r="Q26" s="26">
        <v>11372000</v>
      </c>
      <c r="R26" s="45">
        <f t="shared" si="4"/>
        <v>0.17031090876415264</v>
      </c>
      <c r="S26" s="26"/>
      <c r="T26" s="26">
        <f t="shared" si="8"/>
        <v>49197244.353920802</v>
      </c>
      <c r="U26" s="46">
        <f t="shared" si="9"/>
        <v>71.507622607443025</v>
      </c>
      <c r="V26" s="12">
        <f>U26*65000/70</f>
        <v>66399.935278339952</v>
      </c>
      <c r="W26" s="16">
        <f t="shared" si="11"/>
        <v>1062398.9644534392</v>
      </c>
      <c r="X26" s="178"/>
      <c r="Y26" s="246"/>
    </row>
    <row r="27" spans="1:25" ht="13" customHeight="1">
      <c r="A27" s="264"/>
      <c r="B27" s="265"/>
      <c r="C27" s="258"/>
      <c r="D27" s="227"/>
      <c r="E27" s="227"/>
      <c r="F27" s="230"/>
      <c r="G27" s="245"/>
      <c r="H27" s="245"/>
      <c r="I27" s="26" t="s">
        <v>93</v>
      </c>
      <c r="J27" s="14">
        <v>10</v>
      </c>
      <c r="K27" s="14">
        <v>47000000</v>
      </c>
      <c r="L27" s="25">
        <v>56493000</v>
      </c>
      <c r="M27" s="30">
        <v>56493000</v>
      </c>
      <c r="N27" s="26">
        <v>0</v>
      </c>
      <c r="O27" s="26">
        <v>0</v>
      </c>
      <c r="P27" s="23">
        <f t="shared" si="7"/>
        <v>56493000</v>
      </c>
      <c r="Q27" s="26">
        <v>10093000</v>
      </c>
      <c r="R27" s="45">
        <f t="shared" si="4"/>
        <v>0.17865930292248597</v>
      </c>
      <c r="S27" s="26"/>
      <c r="T27" s="26">
        <f t="shared" si="8"/>
        <v>46400000</v>
      </c>
      <c r="U27" s="46">
        <f t="shared" si="9"/>
        <v>98.723404255319153</v>
      </c>
      <c r="V27" s="12">
        <f t="shared" ref="V27" si="12">U27*130000/100</f>
        <v>128340.42553191491</v>
      </c>
      <c r="W27" s="16">
        <f t="shared" si="11"/>
        <v>1283404.255319149</v>
      </c>
      <c r="X27" s="178"/>
      <c r="Y27" s="246"/>
    </row>
    <row r="28" spans="1:25" ht="13" customHeight="1">
      <c r="A28" s="264"/>
      <c r="B28" s="265"/>
      <c r="C28" s="258"/>
      <c r="D28" s="227"/>
      <c r="E28" s="227"/>
      <c r="F28" s="230"/>
      <c r="G28" s="245"/>
      <c r="H28" s="245"/>
      <c r="I28" s="26" t="s">
        <v>197</v>
      </c>
      <c r="J28" s="26">
        <v>17</v>
      </c>
      <c r="K28" s="26">
        <v>76700000</v>
      </c>
      <c r="L28" s="25">
        <f>82129000+4500000</f>
        <v>86629000</v>
      </c>
      <c r="M28" s="30">
        <f>72869000+4500000</f>
        <v>77369000</v>
      </c>
      <c r="N28" s="26">
        <v>0</v>
      </c>
      <c r="O28" s="26">
        <v>0</v>
      </c>
      <c r="P28" s="26">
        <f t="shared" si="7"/>
        <v>77369000</v>
      </c>
      <c r="Q28" s="26">
        <v>12429000</v>
      </c>
      <c r="R28" s="45">
        <f t="shared" si="4"/>
        <v>0.14347389442334554</v>
      </c>
      <c r="S28" s="26">
        <v>7783333.333333334</v>
      </c>
      <c r="T28" s="26">
        <f t="shared" si="8"/>
        <v>74051901.595693514</v>
      </c>
      <c r="U28" s="46">
        <f t="shared" si="9"/>
        <v>96.547459707553472</v>
      </c>
      <c r="V28" s="12">
        <f>U28*120000/95</f>
        <v>121954.68594638332</v>
      </c>
      <c r="W28" s="16">
        <f t="shared" si="11"/>
        <v>2073229.6610885165</v>
      </c>
      <c r="X28" s="178"/>
      <c r="Y28" s="246"/>
    </row>
    <row r="29" spans="1:25" ht="13" customHeight="1">
      <c r="A29" s="264"/>
      <c r="B29" s="265"/>
      <c r="C29" s="258"/>
      <c r="D29" s="227"/>
      <c r="E29" s="227"/>
      <c r="F29" s="230"/>
      <c r="G29" s="245"/>
      <c r="H29" s="245"/>
      <c r="I29" s="30" t="s">
        <v>209</v>
      </c>
      <c r="J29" s="30">
        <v>26</v>
      </c>
      <c r="K29" s="30"/>
      <c r="L29" s="29"/>
      <c r="M29" s="30"/>
      <c r="N29" s="30"/>
      <c r="O29" s="30"/>
      <c r="P29" s="30"/>
      <c r="Q29" s="84"/>
      <c r="R29" s="45"/>
      <c r="S29" s="84"/>
      <c r="T29" s="30"/>
      <c r="U29" s="46"/>
      <c r="V29" s="15">
        <v>100000</v>
      </c>
      <c r="W29" s="16">
        <f t="shared" si="11"/>
        <v>2600000</v>
      </c>
      <c r="X29" s="178"/>
      <c r="Y29" s="246"/>
    </row>
    <row r="30" spans="1:25" ht="13" customHeight="1">
      <c r="A30" s="179"/>
      <c r="B30" s="180" t="e">
        <f>#REF!</f>
        <v>#REF!</v>
      </c>
      <c r="C30" s="225"/>
      <c r="D30" s="228"/>
      <c r="E30" s="228"/>
      <c r="F30" s="231"/>
      <c r="G30" s="245"/>
      <c r="H30" s="245"/>
      <c r="I30" s="127">
        <v>11</v>
      </c>
      <c r="J30" s="128">
        <f>SUM(J19:J29)</f>
        <v>159</v>
      </c>
      <c r="K30" s="128">
        <f>SUM(K19:K29)</f>
        <v>537000000</v>
      </c>
      <c r="L30" s="128">
        <f t="shared" ref="L30:Q30" si="13">SUM(L19:L28)</f>
        <v>601212200</v>
      </c>
      <c r="M30" s="128">
        <f t="shared" si="13"/>
        <v>565209887</v>
      </c>
      <c r="N30" s="128">
        <f t="shared" si="13"/>
        <v>12066300</v>
      </c>
      <c r="O30" s="128">
        <f t="shared" si="13"/>
        <v>1976799.9999999998</v>
      </c>
      <c r="P30" s="128">
        <f t="shared" si="13"/>
        <v>579252987</v>
      </c>
      <c r="Q30" s="60">
        <f t="shared" si="13"/>
        <v>111856200</v>
      </c>
      <c r="R30" s="61"/>
      <c r="S30" s="60">
        <f>SUM(S19:S28)</f>
        <v>17133333.666666668</v>
      </c>
      <c r="T30" s="129">
        <f>SUM(T19:T28)</f>
        <v>488221832.79339117</v>
      </c>
      <c r="U30" s="55">
        <f>(T30/K30)*100</f>
        <v>90.916542419625912</v>
      </c>
      <c r="V30" s="62"/>
      <c r="W30" s="62">
        <f>SUM(W19:W29)</f>
        <v>17377213.340054177</v>
      </c>
      <c r="X30" s="178"/>
      <c r="Y30" s="246"/>
    </row>
    <row r="31" spans="1:25" ht="13" customHeight="1">
      <c r="A31" s="222" t="s">
        <v>56</v>
      </c>
      <c r="B31" s="247" t="s">
        <v>57</v>
      </c>
      <c r="C31" s="223" t="s">
        <v>35</v>
      </c>
      <c r="D31" s="226">
        <v>0</v>
      </c>
      <c r="E31" s="226">
        <v>500000</v>
      </c>
      <c r="F31" s="242">
        <f>500000</f>
        <v>500000</v>
      </c>
      <c r="G31" s="181">
        <v>0</v>
      </c>
      <c r="H31" s="181"/>
      <c r="I31" s="36" t="s">
        <v>129</v>
      </c>
      <c r="J31" s="26">
        <v>12</v>
      </c>
      <c r="K31" s="26">
        <v>48900000</v>
      </c>
      <c r="L31" s="56">
        <v>47604000</v>
      </c>
      <c r="M31" s="56">
        <v>47604999</v>
      </c>
      <c r="N31" s="37">
        <v>0</v>
      </c>
      <c r="O31" s="37">
        <v>0</v>
      </c>
      <c r="P31" s="26">
        <f t="shared" ref="P31:P32" si="14">SUM(M31:O31)</f>
        <v>47604999</v>
      </c>
      <c r="Q31" s="56">
        <v>6604000</v>
      </c>
      <c r="R31" s="65">
        <f t="shared" ref="R31:R32" si="15">Q31/L31</f>
        <v>0.13872783799680699</v>
      </c>
      <c r="S31" s="37"/>
      <c r="T31" s="26">
        <f t="shared" ref="T31:T32" si="16">P31-(P31*R31)+S31</f>
        <v>41000860.410889842</v>
      </c>
      <c r="U31" s="67">
        <f t="shared" ref="U31:U32" si="17">(T31/K31)*100</f>
        <v>83.846340308568173</v>
      </c>
      <c r="V31" s="12">
        <f t="shared" ref="V31" si="18">U31*94000/85</f>
        <v>92724.188105945985</v>
      </c>
      <c r="W31" s="21">
        <f t="shared" ref="W31:W32" si="19">V31*J31</f>
        <v>1112690.2572713518</v>
      </c>
      <c r="X31" s="181">
        <f>W45+D31+F31+H34+G31+E31</f>
        <v>21646848.045482904</v>
      </c>
      <c r="Y31" s="57"/>
    </row>
    <row r="32" spans="1:25" ht="13" customHeight="1">
      <c r="A32" s="222"/>
      <c r="B32" s="247"/>
      <c r="C32" s="224"/>
      <c r="D32" s="227"/>
      <c r="E32" s="227"/>
      <c r="F32" s="243"/>
      <c r="G32" s="244"/>
      <c r="H32" s="244"/>
      <c r="I32" s="130" t="s">
        <v>116</v>
      </c>
      <c r="J32" s="14">
        <v>11</v>
      </c>
      <c r="K32" s="14">
        <v>43800000</v>
      </c>
      <c r="L32" s="56">
        <f>45851000-3600000</f>
        <v>42251000</v>
      </c>
      <c r="M32" s="56">
        <f>45851000-3600000</f>
        <v>42251000</v>
      </c>
      <c r="N32" s="37">
        <v>0</v>
      </c>
      <c r="O32" s="37">
        <v>0</v>
      </c>
      <c r="P32" s="44">
        <f t="shared" si="14"/>
        <v>42251000</v>
      </c>
      <c r="Q32" s="56">
        <v>9251000</v>
      </c>
      <c r="R32" s="65">
        <f t="shared" si="15"/>
        <v>0.21895339755272064</v>
      </c>
      <c r="S32" s="66">
        <v>1393333.3333333335</v>
      </c>
      <c r="T32" s="66">
        <f t="shared" si="16"/>
        <v>34393333.333333336</v>
      </c>
      <c r="U32" s="67">
        <f t="shared" si="17"/>
        <v>78.523592085235933</v>
      </c>
      <c r="V32" s="12">
        <f>U32*84000/80</f>
        <v>82449.77168949772</v>
      </c>
      <c r="W32" s="21">
        <f t="shared" si="19"/>
        <v>906947.48858447489</v>
      </c>
      <c r="X32" s="244"/>
      <c r="Y32" s="57"/>
    </row>
    <row r="33" spans="1:25" ht="13" customHeight="1">
      <c r="A33" s="222"/>
      <c r="B33" s="247"/>
      <c r="C33" s="224"/>
      <c r="D33" s="227"/>
      <c r="E33" s="227"/>
      <c r="F33" s="243"/>
      <c r="G33" s="244"/>
      <c r="H33" s="244"/>
      <c r="I33" s="14" t="s">
        <v>58</v>
      </c>
      <c r="J33" s="14">
        <v>18</v>
      </c>
      <c r="K33" s="14">
        <v>88300000</v>
      </c>
      <c r="L33" s="14">
        <f>103456000-4500000</f>
        <v>98956000</v>
      </c>
      <c r="M33" s="123">
        <f>93889000-4500000</f>
        <v>89389000</v>
      </c>
      <c r="N33" s="66">
        <v>8574300</v>
      </c>
      <c r="O33" s="66">
        <v>28000</v>
      </c>
      <c r="P33" s="44">
        <f>SUM(M33:O33)</f>
        <v>97991300</v>
      </c>
      <c r="Q33" s="66">
        <v>21356000</v>
      </c>
      <c r="R33" s="65">
        <f>Q33/L33</f>
        <v>0.21581308864545859</v>
      </c>
      <c r="S33" s="66">
        <v>2000000</v>
      </c>
      <c r="T33" s="66">
        <f>P33-(P33*R33)+S33</f>
        <v>78843494.886616275</v>
      </c>
      <c r="U33" s="67">
        <f>(T33/K33)*100</f>
        <v>89.290481185295889</v>
      </c>
      <c r="V33" s="12">
        <f>U33*109000/90</f>
        <v>108140.69387996946</v>
      </c>
      <c r="W33" s="21">
        <f>V33*J33</f>
        <v>1946532.4898394502</v>
      </c>
      <c r="X33" s="244"/>
      <c r="Y33" s="57"/>
    </row>
    <row r="34" spans="1:25" ht="13" customHeight="1">
      <c r="A34" s="222"/>
      <c r="B34" s="247"/>
      <c r="C34" s="224"/>
      <c r="D34" s="227"/>
      <c r="E34" s="227"/>
      <c r="F34" s="243"/>
      <c r="G34" s="244"/>
      <c r="H34" s="244"/>
      <c r="I34" s="66" t="s">
        <v>59</v>
      </c>
      <c r="J34" s="14">
        <f>7+1</f>
        <v>8</v>
      </c>
      <c r="K34" s="14">
        <f>27000000+8500000</f>
        <v>35500000</v>
      </c>
      <c r="L34" s="14">
        <v>34418000</v>
      </c>
      <c r="M34" s="64">
        <v>24060000</v>
      </c>
      <c r="N34" s="14">
        <v>5619600</v>
      </c>
      <c r="O34" s="14">
        <v>2872800</v>
      </c>
      <c r="P34" s="14">
        <f>SUM(M34:O34)</f>
        <v>32552400</v>
      </c>
      <c r="Q34" s="14">
        <v>4718000</v>
      </c>
      <c r="R34" s="65">
        <f>Q34/L34</f>
        <v>0.13707943517926666</v>
      </c>
      <c r="S34" s="14"/>
      <c r="T34" s="66">
        <f>P34-(P34*R34)+S34</f>
        <v>28090135.394270439</v>
      </c>
      <c r="U34" s="67">
        <f>(T34/K34)*100</f>
        <v>79.127141955691371</v>
      </c>
      <c r="V34" s="12">
        <f>U34*84000/80</f>
        <v>83083.499053475942</v>
      </c>
      <c r="W34" s="21">
        <f>V34*J34</f>
        <v>664667.99242780753</v>
      </c>
      <c r="X34" s="244"/>
      <c r="Y34" s="246"/>
    </row>
    <row r="35" spans="1:25" ht="13" customHeight="1">
      <c r="A35" s="222"/>
      <c r="B35" s="247"/>
      <c r="C35" s="224"/>
      <c r="D35" s="227"/>
      <c r="E35" s="227"/>
      <c r="F35" s="243"/>
      <c r="G35" s="244"/>
      <c r="H35" s="244"/>
      <c r="I35" s="14" t="s">
        <v>60</v>
      </c>
      <c r="J35" s="14">
        <v>14</v>
      </c>
      <c r="K35" s="14">
        <v>54800000</v>
      </c>
      <c r="L35" s="14">
        <v>54866000</v>
      </c>
      <c r="M35" s="64">
        <v>50346000</v>
      </c>
      <c r="N35" s="14">
        <v>4068000</v>
      </c>
      <c r="O35" s="14">
        <v>0</v>
      </c>
      <c r="P35" s="14">
        <f t="shared" ref="P35:P44" si="20">SUM(M35:O35)</f>
        <v>54414000</v>
      </c>
      <c r="Q35" s="14">
        <v>9866000</v>
      </c>
      <c r="R35" s="45">
        <f t="shared" si="4"/>
        <v>0.17981992490795756</v>
      </c>
      <c r="S35" s="14"/>
      <c r="T35" s="26">
        <f t="shared" ref="T35:T92" si="21">P35-(P35*R35)+S35</f>
        <v>44629278.606058396</v>
      </c>
      <c r="U35" s="67">
        <f t="shared" ref="U35:U43" si="22">(T35/K35)*100</f>
        <v>81.440289427113868</v>
      </c>
      <c r="V35" s="12">
        <f>U35*85000/80</f>
        <v>86530.307516308487</v>
      </c>
      <c r="W35" s="21">
        <f t="shared" ref="W35:W44" si="23">V35*J35</f>
        <v>1211424.3052283188</v>
      </c>
      <c r="X35" s="244"/>
      <c r="Y35" s="246"/>
    </row>
    <row r="36" spans="1:25" ht="13" customHeight="1">
      <c r="A36" s="222"/>
      <c r="B36" s="247"/>
      <c r="C36" s="224"/>
      <c r="D36" s="227"/>
      <c r="E36" s="227"/>
      <c r="F36" s="243"/>
      <c r="G36" s="244"/>
      <c r="H36" s="244"/>
      <c r="I36" s="14" t="s">
        <v>61</v>
      </c>
      <c r="J36" s="14">
        <v>13</v>
      </c>
      <c r="K36" s="14">
        <v>49600000</v>
      </c>
      <c r="L36" s="14">
        <v>58909000</v>
      </c>
      <c r="M36" s="64">
        <v>54477000</v>
      </c>
      <c r="N36" s="14">
        <v>0</v>
      </c>
      <c r="O36" s="14">
        <v>0</v>
      </c>
      <c r="P36" s="14">
        <f t="shared" si="20"/>
        <v>54477000</v>
      </c>
      <c r="Q36" s="14">
        <v>11269000</v>
      </c>
      <c r="R36" s="45">
        <f t="shared" si="4"/>
        <v>0.1912950482948276</v>
      </c>
      <c r="S36" s="14"/>
      <c r="T36" s="26">
        <f t="shared" si="21"/>
        <v>44055819.654042676</v>
      </c>
      <c r="U36" s="67">
        <f t="shared" si="22"/>
        <v>88.822217044440876</v>
      </c>
      <c r="V36" s="12">
        <f>U36*109000/90</f>
        <v>107573.57397604507</v>
      </c>
      <c r="W36" s="21">
        <f t="shared" si="23"/>
        <v>1398456.4616885858</v>
      </c>
      <c r="X36" s="244"/>
      <c r="Y36" s="246"/>
    </row>
    <row r="37" spans="1:25" ht="13" customHeight="1">
      <c r="A37" s="222"/>
      <c r="B37" s="247"/>
      <c r="C37" s="224"/>
      <c r="D37" s="227"/>
      <c r="E37" s="227"/>
      <c r="F37" s="243"/>
      <c r="G37" s="244"/>
      <c r="H37" s="244"/>
      <c r="I37" s="14" t="s">
        <v>62</v>
      </c>
      <c r="J37" s="14">
        <v>13</v>
      </c>
      <c r="K37" s="14">
        <v>46800000</v>
      </c>
      <c r="L37" s="14">
        <v>55787000</v>
      </c>
      <c r="M37" s="64">
        <v>49083000</v>
      </c>
      <c r="N37" s="14">
        <v>0</v>
      </c>
      <c r="O37" s="14">
        <v>2324000</v>
      </c>
      <c r="P37" s="14">
        <f t="shared" si="20"/>
        <v>51407000</v>
      </c>
      <c r="Q37" s="14">
        <v>11787000</v>
      </c>
      <c r="R37" s="45">
        <f t="shared" si="4"/>
        <v>0.21128578342624627</v>
      </c>
      <c r="S37" s="14">
        <v>2340000</v>
      </c>
      <c r="T37" s="26">
        <f t="shared" si="21"/>
        <v>42885431.731406957</v>
      </c>
      <c r="U37" s="67">
        <f t="shared" si="22"/>
        <v>91.635537887621695</v>
      </c>
      <c r="V37" s="12">
        <f>U37*110000/90</f>
        <v>111998.99075153763</v>
      </c>
      <c r="W37" s="21">
        <f t="shared" si="23"/>
        <v>1455986.8797699891</v>
      </c>
      <c r="X37" s="244"/>
      <c r="Y37" s="246"/>
    </row>
    <row r="38" spans="1:25" ht="13" customHeight="1">
      <c r="A38" s="222"/>
      <c r="B38" s="247"/>
      <c r="C38" s="224"/>
      <c r="D38" s="227"/>
      <c r="E38" s="227"/>
      <c r="F38" s="243"/>
      <c r="G38" s="244"/>
      <c r="H38" s="244"/>
      <c r="I38" s="14" t="s">
        <v>63</v>
      </c>
      <c r="J38" s="14">
        <v>10</v>
      </c>
      <c r="K38" s="14">
        <v>30000000</v>
      </c>
      <c r="L38" s="14">
        <v>35620000</v>
      </c>
      <c r="M38" s="64">
        <v>28224000</v>
      </c>
      <c r="N38" s="14">
        <v>6656400</v>
      </c>
      <c r="O38" s="14">
        <v>0</v>
      </c>
      <c r="P38" s="23">
        <f t="shared" si="20"/>
        <v>34880400</v>
      </c>
      <c r="Q38" s="14">
        <v>7320000</v>
      </c>
      <c r="R38" s="45">
        <f t="shared" si="4"/>
        <v>0.20550252667040989</v>
      </c>
      <c r="S38" s="14"/>
      <c r="T38" s="26">
        <f>P38-(P38*R38)+S38</f>
        <v>27712389.668725435</v>
      </c>
      <c r="U38" s="67">
        <f t="shared" si="22"/>
        <v>92.374632229084781</v>
      </c>
      <c r="V38" s="12">
        <f>U38*110000/90</f>
        <v>112902.32827999251</v>
      </c>
      <c r="W38" s="21">
        <f t="shared" si="23"/>
        <v>1129023.2827999252</v>
      </c>
      <c r="X38" s="244"/>
      <c r="Y38" s="246"/>
    </row>
    <row r="39" spans="1:25" ht="13" customHeight="1">
      <c r="A39" s="222"/>
      <c r="B39" s="247"/>
      <c r="C39" s="224"/>
      <c r="D39" s="227"/>
      <c r="E39" s="227"/>
      <c r="F39" s="243"/>
      <c r="G39" s="244"/>
      <c r="H39" s="244"/>
      <c r="I39" s="23" t="s">
        <v>64</v>
      </c>
      <c r="J39" s="23">
        <f>18+1</f>
        <v>19</v>
      </c>
      <c r="K39" s="23">
        <v>87300000</v>
      </c>
      <c r="L39" s="14">
        <f>116242000-8800000</f>
        <v>107442000</v>
      </c>
      <c r="M39" s="64">
        <f>102050000-8800000</f>
        <v>93250000</v>
      </c>
      <c r="N39" s="14">
        <v>12727800</v>
      </c>
      <c r="O39" s="44">
        <v>0</v>
      </c>
      <c r="P39" s="26">
        <f>SUM(M39:O39)</f>
        <v>105977800</v>
      </c>
      <c r="Q39" s="14">
        <v>20142000</v>
      </c>
      <c r="R39" s="45">
        <f t="shared" si="4"/>
        <v>0.18746858770313285</v>
      </c>
      <c r="S39" s="14"/>
      <c r="T39" s="26">
        <f t="shared" si="21"/>
        <v>86110291.50611493</v>
      </c>
      <c r="U39" s="67">
        <f t="shared" si="22"/>
        <v>98.63721822006292</v>
      </c>
      <c r="V39" s="13">
        <f>U39*130000/100</f>
        <v>128228.3836860818</v>
      </c>
      <c r="W39" s="15">
        <f t="shared" si="23"/>
        <v>2436339.2900355542</v>
      </c>
      <c r="X39" s="244"/>
      <c r="Y39" s="246"/>
    </row>
    <row r="40" spans="1:25" ht="14">
      <c r="A40" s="222"/>
      <c r="B40" s="247"/>
      <c r="C40" s="224"/>
      <c r="D40" s="227"/>
      <c r="E40" s="227"/>
      <c r="F40" s="243"/>
      <c r="G40" s="244"/>
      <c r="H40" s="244"/>
      <c r="I40" s="26" t="s">
        <v>65</v>
      </c>
      <c r="J40" s="26">
        <v>15</v>
      </c>
      <c r="K40" s="26">
        <v>59400000</v>
      </c>
      <c r="L40" s="23">
        <v>58675400</v>
      </c>
      <c r="M40" s="64">
        <v>51752400</v>
      </c>
      <c r="N40" s="23">
        <v>1998000</v>
      </c>
      <c r="O40" s="32">
        <v>0</v>
      </c>
      <c r="P40" s="26">
        <f t="shared" si="20"/>
        <v>53750400</v>
      </c>
      <c r="Q40" s="23">
        <v>11525400</v>
      </c>
      <c r="R40" s="45">
        <f t="shared" si="4"/>
        <v>0.19642644106388707</v>
      </c>
      <c r="S40" s="23"/>
      <c r="T40" s="26">
        <f t="shared" si="21"/>
        <v>43192400.222239643</v>
      </c>
      <c r="U40" s="67">
        <f t="shared" si="22"/>
        <v>72.714478488618923</v>
      </c>
      <c r="V40" s="16">
        <f>U40*74000/75</f>
        <v>71744.952108770667</v>
      </c>
      <c r="W40" s="16">
        <f t="shared" si="23"/>
        <v>1076174.2816315601</v>
      </c>
      <c r="X40" s="244"/>
      <c r="Y40" s="246"/>
    </row>
    <row r="41" spans="1:25" ht="14">
      <c r="A41" s="222"/>
      <c r="B41" s="247"/>
      <c r="C41" s="224"/>
      <c r="D41" s="227"/>
      <c r="E41" s="227"/>
      <c r="F41" s="243"/>
      <c r="G41" s="244"/>
      <c r="H41" s="244"/>
      <c r="I41" s="66" t="s">
        <v>66</v>
      </c>
      <c r="J41" s="26">
        <v>9</v>
      </c>
      <c r="K41" s="26">
        <v>27100000</v>
      </c>
      <c r="L41" s="26">
        <v>31568000</v>
      </c>
      <c r="M41" s="64">
        <v>31568000</v>
      </c>
      <c r="N41" s="26">
        <v>0</v>
      </c>
      <c r="O41" s="47">
        <v>0</v>
      </c>
      <c r="P41" s="26">
        <f t="shared" si="20"/>
        <v>31568000</v>
      </c>
      <c r="Q41" s="26">
        <v>5668000</v>
      </c>
      <c r="R41" s="45">
        <f>Q41/L41</f>
        <v>0.17954891028890016</v>
      </c>
      <c r="S41" s="26"/>
      <c r="T41" s="26">
        <f t="shared" si="21"/>
        <v>25900000</v>
      </c>
      <c r="U41" s="67">
        <f t="shared" si="22"/>
        <v>95.571955719557195</v>
      </c>
      <c r="V41" s="16">
        <f>U41*120000/95</f>
        <v>120722.47038259858</v>
      </c>
      <c r="W41" s="16">
        <f t="shared" si="23"/>
        <v>1086502.2334433873</v>
      </c>
      <c r="X41" s="244"/>
      <c r="Y41" s="246"/>
    </row>
    <row r="42" spans="1:25" ht="14">
      <c r="A42" s="222"/>
      <c r="B42" s="247"/>
      <c r="C42" s="224"/>
      <c r="D42" s="227"/>
      <c r="E42" s="227"/>
      <c r="F42" s="243"/>
      <c r="G42" s="244"/>
      <c r="H42" s="244"/>
      <c r="I42" s="66" t="s">
        <v>67</v>
      </c>
      <c r="J42" s="26">
        <v>18</v>
      </c>
      <c r="K42" s="26">
        <f>4500000*18</f>
        <v>81000000</v>
      </c>
      <c r="L42" s="26">
        <v>93583000</v>
      </c>
      <c r="M42" s="64">
        <v>92029500</v>
      </c>
      <c r="N42" s="26">
        <v>525600</v>
      </c>
      <c r="O42" s="26">
        <v>538300</v>
      </c>
      <c r="P42" s="26">
        <f t="shared" si="20"/>
        <v>93093400</v>
      </c>
      <c r="Q42" s="26">
        <v>19433000</v>
      </c>
      <c r="R42" s="45">
        <f t="shared" si="4"/>
        <v>0.20765523652800189</v>
      </c>
      <c r="S42" s="26">
        <v>2000000</v>
      </c>
      <c r="T42" s="26">
        <f t="shared" si="21"/>
        <v>75762068.003804117</v>
      </c>
      <c r="U42" s="67">
        <f t="shared" si="22"/>
        <v>93.533417288647058</v>
      </c>
      <c r="V42" s="16">
        <f>U42*119000/95</f>
        <v>117162.91218262105</v>
      </c>
      <c r="W42" s="16">
        <f t="shared" si="23"/>
        <v>2108932.4192871787</v>
      </c>
      <c r="X42" s="244"/>
      <c r="Y42" s="246"/>
    </row>
    <row r="43" spans="1:25" ht="14">
      <c r="A43" s="264"/>
      <c r="B43" s="265"/>
      <c r="C43" s="258"/>
      <c r="D43" s="227"/>
      <c r="E43" s="227"/>
      <c r="F43" s="243"/>
      <c r="G43" s="244"/>
      <c r="H43" s="244"/>
      <c r="I43" s="66" t="s">
        <v>95</v>
      </c>
      <c r="J43" s="26">
        <v>22</v>
      </c>
      <c r="K43" s="26">
        <v>102700000</v>
      </c>
      <c r="L43" s="26">
        <v>98963000</v>
      </c>
      <c r="M43" s="126">
        <v>88766000</v>
      </c>
      <c r="N43" s="26">
        <v>0</v>
      </c>
      <c r="O43" s="26">
        <v>0</v>
      </c>
      <c r="P43" s="26">
        <f t="shared" si="20"/>
        <v>88766000</v>
      </c>
      <c r="Q43" s="26">
        <v>20113000</v>
      </c>
      <c r="R43" s="45">
        <f t="shared" si="4"/>
        <v>0.20323757363863262</v>
      </c>
      <c r="S43" s="26">
        <f>3150000+3150000+2400000+2080000</f>
        <v>10780000</v>
      </c>
      <c r="T43" s="26">
        <f t="shared" si="21"/>
        <v>81505413.53839314</v>
      </c>
      <c r="U43" s="67">
        <f t="shared" si="22"/>
        <v>79.362622724822913</v>
      </c>
      <c r="V43" s="16">
        <f>U43*84000/80</f>
        <v>83330.753861064062</v>
      </c>
      <c r="W43" s="16">
        <f t="shared" si="23"/>
        <v>1833276.5849434093</v>
      </c>
      <c r="X43" s="244"/>
      <c r="Y43" s="246"/>
    </row>
    <row r="44" spans="1:25" ht="14">
      <c r="A44" s="264"/>
      <c r="B44" s="265"/>
      <c r="C44" s="258"/>
      <c r="D44" s="227"/>
      <c r="E44" s="227"/>
      <c r="F44" s="243"/>
      <c r="G44" s="244"/>
      <c r="H44" s="244"/>
      <c r="I44" s="66" t="s">
        <v>199</v>
      </c>
      <c r="J44" s="26">
        <v>17</v>
      </c>
      <c r="K44" s="26">
        <v>77500000</v>
      </c>
      <c r="L44" s="26">
        <f>107092838.709677-13000000</f>
        <v>94092838.709676996</v>
      </c>
      <c r="M44" s="136">
        <f>106620000-13000000</f>
        <v>93620000</v>
      </c>
      <c r="N44" s="26">
        <v>0</v>
      </c>
      <c r="O44" s="26">
        <v>0</v>
      </c>
      <c r="P44" s="26">
        <f t="shared" si="20"/>
        <v>93620000</v>
      </c>
      <c r="Q44" s="26">
        <v>13738000</v>
      </c>
      <c r="R44" s="45">
        <f>Q44/L44</f>
        <v>0.14600473519975876</v>
      </c>
      <c r="S44" s="26"/>
      <c r="T44" s="26">
        <f>P44-(P44*R44)+S44</f>
        <v>79951036.690598577</v>
      </c>
      <c r="U44" s="67">
        <f>(T44/K44)*100</f>
        <v>103.16262798786913</v>
      </c>
      <c r="V44" s="16">
        <f>U44*130000/100</f>
        <v>134111.41638422987</v>
      </c>
      <c r="W44" s="16">
        <f t="shared" si="23"/>
        <v>2279894.0785319079</v>
      </c>
      <c r="X44" s="244"/>
      <c r="Y44" s="246"/>
    </row>
    <row r="45" spans="1:25" ht="13" customHeight="1">
      <c r="A45" s="179"/>
      <c r="B45" s="274"/>
      <c r="C45" s="258"/>
      <c r="D45" s="227"/>
      <c r="E45" s="227"/>
      <c r="F45" s="248"/>
      <c r="G45" s="245"/>
      <c r="H45" s="245"/>
      <c r="I45" s="69">
        <v>14</v>
      </c>
      <c r="J45" s="52">
        <f t="shared" ref="J45:Q45" si="24">SUM(J31:J44)</f>
        <v>199</v>
      </c>
      <c r="K45" s="52">
        <f t="shared" si="24"/>
        <v>832700000</v>
      </c>
      <c r="L45" s="52">
        <f t="shared" si="24"/>
        <v>912735238.70967698</v>
      </c>
      <c r="M45" s="52">
        <f t="shared" si="24"/>
        <v>836420899</v>
      </c>
      <c r="N45" s="52">
        <f t="shared" si="24"/>
        <v>40169700</v>
      </c>
      <c r="O45" s="52">
        <f t="shared" si="24"/>
        <v>5763100</v>
      </c>
      <c r="P45" s="52">
        <f t="shared" si="24"/>
        <v>882353699</v>
      </c>
      <c r="Q45" s="52">
        <f t="shared" si="24"/>
        <v>172790400</v>
      </c>
      <c r="R45" s="61"/>
      <c r="S45" s="52">
        <f>SUM(S31:S44)</f>
        <v>18513333.333333336</v>
      </c>
      <c r="T45" s="52">
        <f>SUM(T31:T44)</f>
        <v>734031953.64649367</v>
      </c>
      <c r="U45" s="55">
        <f>(T45/K45)*100</f>
        <v>88.150829067670671</v>
      </c>
      <c r="V45" s="70"/>
      <c r="W45" s="62">
        <f>SUM(W31:W44)</f>
        <v>20646848.045482904</v>
      </c>
      <c r="X45" s="245"/>
      <c r="Y45" s="246"/>
    </row>
    <row r="46" spans="1:25" ht="13" customHeight="1">
      <c r="A46" s="250" t="s">
        <v>72</v>
      </c>
      <c r="B46" s="180" t="s">
        <v>73</v>
      </c>
      <c r="C46" s="178" t="s">
        <v>35</v>
      </c>
      <c r="D46" s="177">
        <v>0</v>
      </c>
      <c r="E46" s="177">
        <v>500000</v>
      </c>
      <c r="F46" s="275">
        <v>500000</v>
      </c>
      <c r="G46" s="181">
        <v>0</v>
      </c>
      <c r="H46" s="181"/>
      <c r="I46" s="26" t="s">
        <v>36</v>
      </c>
      <c r="J46" s="116">
        <v>19</v>
      </c>
      <c r="K46" s="116">
        <v>71100000</v>
      </c>
      <c r="L46" s="72">
        <v>79914000</v>
      </c>
      <c r="M46" s="72">
        <v>68861000</v>
      </c>
      <c r="N46" s="72">
        <v>3448800</v>
      </c>
      <c r="O46" s="72">
        <v>2494800</v>
      </c>
      <c r="P46" s="26">
        <f>SUM(M46:O46)</f>
        <v>74804600</v>
      </c>
      <c r="Q46" s="121">
        <v>18614000</v>
      </c>
      <c r="R46" s="45">
        <f>Q46/L46</f>
        <v>0.23292539479940935</v>
      </c>
      <c r="S46" s="79">
        <v>1320000</v>
      </c>
      <c r="T46" s="26">
        <f>P46-(P46*R46)+S46</f>
        <v>58700709.012188107</v>
      </c>
      <c r="U46" s="46">
        <f>(T46/K46)*100</f>
        <v>82.560772169040945</v>
      </c>
      <c r="V46" s="16">
        <f>U46*89000/85</f>
        <v>86445.984976995809</v>
      </c>
      <c r="W46" s="16">
        <f t="shared" ref="W46:W60" si="25">V46*J46</f>
        <v>1642473.7145629204</v>
      </c>
      <c r="X46" s="181">
        <f>W61+D46+F46+G46+H49+E46</f>
        <v>17314812.886463512</v>
      </c>
      <c r="Y46" s="57"/>
    </row>
    <row r="47" spans="1:25" ht="13" customHeight="1">
      <c r="A47" s="251"/>
      <c r="B47" s="180"/>
      <c r="C47" s="178"/>
      <c r="D47" s="177"/>
      <c r="E47" s="177"/>
      <c r="F47" s="276"/>
      <c r="G47" s="244"/>
      <c r="H47" s="244"/>
      <c r="I47" s="26" t="s">
        <v>37</v>
      </c>
      <c r="J47" s="116">
        <v>19</v>
      </c>
      <c r="K47" s="116">
        <v>80600000</v>
      </c>
      <c r="L47" s="72">
        <v>87222000</v>
      </c>
      <c r="M47" s="72">
        <v>82514000</v>
      </c>
      <c r="N47" s="72">
        <v>4237200</v>
      </c>
      <c r="O47" s="72">
        <v>0</v>
      </c>
      <c r="P47" s="26">
        <f t="shared" ref="P47:P53" si="26">SUM(M47:O47)</f>
        <v>86751200</v>
      </c>
      <c r="Q47" s="121">
        <v>18722000</v>
      </c>
      <c r="R47" s="45">
        <f t="shared" ref="R47:R59" si="27">Q47/L47</f>
        <v>0.21464768063103346</v>
      </c>
      <c r="S47" s="79">
        <v>2280000</v>
      </c>
      <c r="T47" s="26">
        <f>P47-(P47*R47)+S47</f>
        <v>70410256.128041089</v>
      </c>
      <c r="U47" s="46">
        <f>(T47/K47)*100</f>
        <v>87.357637875981496</v>
      </c>
      <c r="V47" s="16">
        <f>U47*90000/85</f>
        <v>92496.322456921582</v>
      </c>
      <c r="W47" s="16">
        <f t="shared" si="25"/>
        <v>1757430.1266815101</v>
      </c>
      <c r="X47" s="244"/>
      <c r="Y47" s="57"/>
    </row>
    <row r="48" spans="1:25" ht="13" customHeight="1">
      <c r="A48" s="251"/>
      <c r="B48" s="180"/>
      <c r="C48" s="178"/>
      <c r="D48" s="177"/>
      <c r="E48" s="177"/>
      <c r="F48" s="276"/>
      <c r="G48" s="244"/>
      <c r="H48" s="244"/>
      <c r="I48" s="26" t="s">
        <v>74</v>
      </c>
      <c r="J48" s="116">
        <v>19</v>
      </c>
      <c r="K48" s="116">
        <v>61300000</v>
      </c>
      <c r="L48" s="72">
        <f>79718000-6100000</f>
        <v>73618000</v>
      </c>
      <c r="M48" s="72">
        <f>74247999-6100000</f>
        <v>68147999</v>
      </c>
      <c r="N48" s="72">
        <v>4932000</v>
      </c>
      <c r="O48" s="72">
        <v>0</v>
      </c>
      <c r="P48" s="26">
        <f t="shared" si="26"/>
        <v>73079999</v>
      </c>
      <c r="Q48" s="122">
        <v>14618000</v>
      </c>
      <c r="R48" s="45">
        <f t="shared" si="27"/>
        <v>0.19856556820342852</v>
      </c>
      <c r="S48" s="82"/>
      <c r="T48" s="26">
        <f t="shared" ref="T48:T58" si="28">P48-(P48*R48)+S48</f>
        <v>58568827.474259011</v>
      </c>
      <c r="U48" s="46">
        <f t="shared" si="2"/>
        <v>95.544579892755323</v>
      </c>
      <c r="V48" s="16">
        <f>U48*110000/95</f>
        <v>110630.56619161142</v>
      </c>
      <c r="W48" s="16">
        <f t="shared" si="25"/>
        <v>2101980.757640617</v>
      </c>
      <c r="X48" s="244"/>
      <c r="Y48" s="57"/>
    </row>
    <row r="49" spans="1:25" ht="12.5">
      <c r="A49" s="251"/>
      <c r="B49" s="180"/>
      <c r="C49" s="178"/>
      <c r="D49" s="177"/>
      <c r="E49" s="177"/>
      <c r="F49" s="276"/>
      <c r="G49" s="244"/>
      <c r="H49" s="244"/>
      <c r="I49" s="26" t="s">
        <v>75</v>
      </c>
      <c r="J49" s="26">
        <v>22</v>
      </c>
      <c r="K49" s="26">
        <v>69800000</v>
      </c>
      <c r="L49" s="26">
        <v>65290000</v>
      </c>
      <c r="M49" s="26">
        <v>61020000</v>
      </c>
      <c r="N49" s="26">
        <v>3848400</v>
      </c>
      <c r="O49" s="26">
        <v>0</v>
      </c>
      <c r="P49" s="26">
        <f t="shared" si="26"/>
        <v>64868400</v>
      </c>
      <c r="Q49" s="26">
        <v>14290000</v>
      </c>
      <c r="R49" s="45">
        <f t="shared" si="27"/>
        <v>0.21886965844692907</v>
      </c>
      <c r="S49" s="26">
        <v>1600000</v>
      </c>
      <c r="T49" s="30">
        <f t="shared" si="28"/>
        <v>52270675.448001228</v>
      </c>
      <c r="U49" s="34">
        <f t="shared" si="2"/>
        <v>74.886354510030415</v>
      </c>
      <c r="V49" s="63">
        <f>U49*69000/75</f>
        <v>68895.446149227981</v>
      </c>
      <c r="W49" s="63">
        <f t="shared" si="25"/>
        <v>1515699.8152830156</v>
      </c>
      <c r="X49" s="244"/>
      <c r="Y49" s="246"/>
    </row>
    <row r="50" spans="1:25" ht="12.5">
      <c r="A50" s="251"/>
      <c r="B50" s="180"/>
      <c r="C50" s="178"/>
      <c r="D50" s="177"/>
      <c r="E50" s="177"/>
      <c r="F50" s="276"/>
      <c r="G50" s="244"/>
      <c r="H50" s="244"/>
      <c r="I50" s="26" t="s">
        <v>87</v>
      </c>
      <c r="J50" s="26">
        <v>9</v>
      </c>
      <c r="K50" s="26">
        <v>21200000</v>
      </c>
      <c r="L50" s="26">
        <v>23266000</v>
      </c>
      <c r="M50" s="26">
        <v>23266000</v>
      </c>
      <c r="N50" s="26">
        <v>0</v>
      </c>
      <c r="O50" s="26">
        <v>0</v>
      </c>
      <c r="P50" s="26">
        <f t="shared" si="26"/>
        <v>23266000</v>
      </c>
      <c r="Q50" s="26">
        <v>5366000</v>
      </c>
      <c r="R50" s="45">
        <f t="shared" si="27"/>
        <v>0.230636981002321</v>
      </c>
      <c r="S50" s="26"/>
      <c r="T50" s="30">
        <f t="shared" si="28"/>
        <v>17900000</v>
      </c>
      <c r="U50" s="34">
        <f t="shared" si="2"/>
        <v>84.433962264150935</v>
      </c>
      <c r="V50" s="63">
        <f>U50*89000/85</f>
        <v>88407.32519422863</v>
      </c>
      <c r="W50" s="63">
        <f t="shared" si="25"/>
        <v>795665.92674805771</v>
      </c>
      <c r="X50" s="244"/>
      <c r="Y50" s="246"/>
    </row>
    <row r="51" spans="1:25" ht="12.5">
      <c r="A51" s="251"/>
      <c r="B51" s="180"/>
      <c r="C51" s="178"/>
      <c r="D51" s="177"/>
      <c r="E51" s="177"/>
      <c r="F51" s="276"/>
      <c r="G51" s="244"/>
      <c r="H51" s="244"/>
      <c r="I51" s="26" t="s">
        <v>91</v>
      </c>
      <c r="J51" s="26">
        <v>11</v>
      </c>
      <c r="K51" s="26">
        <v>50000000</v>
      </c>
      <c r="L51" s="26">
        <v>39263000</v>
      </c>
      <c r="M51" s="26">
        <v>39264000</v>
      </c>
      <c r="N51" s="26">
        <v>0</v>
      </c>
      <c r="O51" s="26">
        <v>0</v>
      </c>
      <c r="P51" s="26">
        <f t="shared" si="26"/>
        <v>39264000</v>
      </c>
      <c r="Q51" s="26">
        <v>9163000</v>
      </c>
      <c r="R51" s="45">
        <f t="shared" si="27"/>
        <v>0.23337493314316277</v>
      </c>
      <c r="S51" s="26">
        <v>2800000</v>
      </c>
      <c r="T51" s="30">
        <f t="shared" si="28"/>
        <v>32900766.625066858</v>
      </c>
      <c r="U51" s="34">
        <f t="shared" si="2"/>
        <v>65.801533250133716</v>
      </c>
      <c r="V51" s="63"/>
      <c r="W51" s="63">
        <f>(120000*J51)*10%</f>
        <v>132000</v>
      </c>
      <c r="X51" s="244"/>
      <c r="Y51" s="246"/>
    </row>
    <row r="52" spans="1:25" ht="12.5">
      <c r="A52" s="251"/>
      <c r="B52" s="180"/>
      <c r="C52" s="178"/>
      <c r="D52" s="177"/>
      <c r="E52" s="177"/>
      <c r="F52" s="276"/>
      <c r="G52" s="244"/>
      <c r="H52" s="244"/>
      <c r="I52" s="26" t="s">
        <v>92</v>
      </c>
      <c r="J52" s="26">
        <v>7</v>
      </c>
      <c r="K52" s="26">
        <v>17500000</v>
      </c>
      <c r="L52" s="26">
        <f>22504000-2300000</f>
        <v>20204000</v>
      </c>
      <c r="M52" s="26">
        <f>19668000-2300000</f>
        <v>17368000</v>
      </c>
      <c r="N52" s="26">
        <v>0</v>
      </c>
      <c r="O52" s="26">
        <v>0</v>
      </c>
      <c r="P52" s="26">
        <f t="shared" si="26"/>
        <v>17368000</v>
      </c>
      <c r="Q52" s="26">
        <v>3604000</v>
      </c>
      <c r="R52" s="45">
        <f t="shared" si="27"/>
        <v>0.17838051870916649</v>
      </c>
      <c r="S52" s="26">
        <v>1610000</v>
      </c>
      <c r="T52" s="30">
        <f t="shared" si="28"/>
        <v>15879887.151059195</v>
      </c>
      <c r="U52" s="34">
        <f t="shared" si="2"/>
        <v>90.742212291766833</v>
      </c>
      <c r="V52" s="63">
        <f>U52*100000/90</f>
        <v>100824.68032418538</v>
      </c>
      <c r="W52" s="63">
        <f t="shared" si="25"/>
        <v>705772.76226929761</v>
      </c>
      <c r="X52" s="244"/>
      <c r="Y52" s="246"/>
    </row>
    <row r="53" spans="1:25" ht="12.5">
      <c r="A53" s="251"/>
      <c r="B53" s="180"/>
      <c r="C53" s="178"/>
      <c r="D53" s="177"/>
      <c r="E53" s="177"/>
      <c r="F53" s="276"/>
      <c r="G53" s="244"/>
      <c r="H53" s="244"/>
      <c r="I53" s="26" t="s">
        <v>94</v>
      </c>
      <c r="J53" s="26">
        <v>11</v>
      </c>
      <c r="K53" s="26">
        <v>45300000</v>
      </c>
      <c r="L53" s="26">
        <v>43765000</v>
      </c>
      <c r="M53" s="26">
        <v>39009000</v>
      </c>
      <c r="N53" s="26">
        <v>0</v>
      </c>
      <c r="O53" s="26">
        <v>0</v>
      </c>
      <c r="P53" s="26">
        <f t="shared" si="26"/>
        <v>39009000</v>
      </c>
      <c r="Q53" s="26">
        <v>8965000</v>
      </c>
      <c r="R53" s="45">
        <f t="shared" si="27"/>
        <v>0.2048440534673826</v>
      </c>
      <c r="S53" s="26"/>
      <c r="T53" s="30">
        <f t="shared" si="28"/>
        <v>31018238.318290874</v>
      </c>
      <c r="U53" s="34">
        <f t="shared" si="2"/>
        <v>68.472932269957781</v>
      </c>
      <c r="V53" s="63"/>
      <c r="W53" s="63">
        <f>(120000*J53)*10%</f>
        <v>132000</v>
      </c>
      <c r="X53" s="244"/>
      <c r="Y53" s="246"/>
    </row>
    <row r="54" spans="1:25" ht="12.5">
      <c r="A54" s="251"/>
      <c r="B54" s="180"/>
      <c r="C54" s="178"/>
      <c r="D54" s="177"/>
      <c r="E54" s="177"/>
      <c r="F54" s="276"/>
      <c r="G54" s="244"/>
      <c r="H54" s="244"/>
      <c r="I54" s="26" t="s">
        <v>79</v>
      </c>
      <c r="J54" s="26">
        <v>8</v>
      </c>
      <c r="K54" s="26">
        <v>18800000</v>
      </c>
      <c r="L54" s="26">
        <v>21876000.000000004</v>
      </c>
      <c r="M54" s="26">
        <v>18693664</v>
      </c>
      <c r="N54" s="26">
        <v>2863800</v>
      </c>
      <c r="O54" s="26">
        <v>0</v>
      </c>
      <c r="P54" s="26">
        <f t="shared" ref="P54:P60" si="29">SUM(M54:O54)</f>
        <v>21557464</v>
      </c>
      <c r="Q54" s="26">
        <v>5176000.0000000009</v>
      </c>
      <c r="R54" s="45">
        <f t="shared" si="27"/>
        <v>0.23660632656792832</v>
      </c>
      <c r="S54" s="26"/>
      <c r="T54" s="30">
        <f t="shared" si="28"/>
        <v>16456831.632839642</v>
      </c>
      <c r="U54" s="34">
        <f t="shared" si="2"/>
        <v>87.536338472551293</v>
      </c>
      <c r="V54" s="63">
        <f>U54*99000/90</f>
        <v>96289.972319806431</v>
      </c>
      <c r="W54" s="63">
        <f t="shared" si="25"/>
        <v>770319.77855845145</v>
      </c>
      <c r="X54" s="244"/>
      <c r="Y54" s="246"/>
    </row>
    <row r="55" spans="1:25" ht="12.5">
      <c r="A55" s="251"/>
      <c r="B55" s="180"/>
      <c r="C55" s="178"/>
      <c r="D55" s="177"/>
      <c r="E55" s="177"/>
      <c r="F55" s="276"/>
      <c r="G55" s="244"/>
      <c r="H55" s="244"/>
      <c r="I55" s="26" t="s">
        <v>80</v>
      </c>
      <c r="J55" s="26">
        <v>17</v>
      </c>
      <c r="K55" s="26">
        <v>78900000</v>
      </c>
      <c r="L55" s="26">
        <v>92277500</v>
      </c>
      <c r="M55" s="26">
        <v>87311500</v>
      </c>
      <c r="N55" s="26">
        <v>0</v>
      </c>
      <c r="O55" s="26">
        <v>0</v>
      </c>
      <c r="P55" s="26">
        <f t="shared" si="29"/>
        <v>87311500</v>
      </c>
      <c r="Q55" s="26">
        <v>17927500</v>
      </c>
      <c r="R55" s="45">
        <f t="shared" si="27"/>
        <v>0.19427812847118744</v>
      </c>
      <c r="S55" s="26"/>
      <c r="T55" s="30">
        <f t="shared" si="28"/>
        <v>70348785.18598792</v>
      </c>
      <c r="U55" s="34">
        <f t="shared" si="2"/>
        <v>89.161958410631087</v>
      </c>
      <c r="V55" s="63">
        <f>U55*99000/90</f>
        <v>98078.154251694199</v>
      </c>
      <c r="W55" s="63">
        <f t="shared" si="25"/>
        <v>1667328.6222788014</v>
      </c>
      <c r="X55" s="244"/>
      <c r="Y55" s="246"/>
    </row>
    <row r="56" spans="1:25" ht="12.5">
      <c r="A56" s="251"/>
      <c r="B56" s="180"/>
      <c r="C56" s="178"/>
      <c r="D56" s="177"/>
      <c r="E56" s="177"/>
      <c r="F56" s="276"/>
      <c r="G56" s="244"/>
      <c r="H56" s="244"/>
      <c r="I56" s="26" t="s">
        <v>81</v>
      </c>
      <c r="J56" s="37">
        <v>7</v>
      </c>
      <c r="K56" s="26">
        <v>19050000</v>
      </c>
      <c r="L56" s="26">
        <v>24619000</v>
      </c>
      <c r="M56" s="26">
        <v>24619000</v>
      </c>
      <c r="N56" s="26">
        <v>0</v>
      </c>
      <c r="O56" s="26">
        <v>0</v>
      </c>
      <c r="P56" s="26">
        <f t="shared" si="29"/>
        <v>24619000</v>
      </c>
      <c r="Q56" s="26">
        <v>5319000</v>
      </c>
      <c r="R56" s="45">
        <f t="shared" si="27"/>
        <v>0.21605264226816687</v>
      </c>
      <c r="S56" s="26"/>
      <c r="T56" s="30">
        <f t="shared" si="28"/>
        <v>19300000</v>
      </c>
      <c r="U56" s="34">
        <f t="shared" si="2"/>
        <v>101.31233595800524</v>
      </c>
      <c r="V56" s="63">
        <f>U56*120000/100</f>
        <v>121574.80314960629</v>
      </c>
      <c r="W56" s="63">
        <f t="shared" si="25"/>
        <v>851023.62204724399</v>
      </c>
      <c r="X56" s="244"/>
      <c r="Y56" s="246"/>
    </row>
    <row r="57" spans="1:25" ht="12.5">
      <c r="A57" s="251"/>
      <c r="B57" s="180"/>
      <c r="C57" s="178"/>
      <c r="D57" s="177"/>
      <c r="E57" s="177"/>
      <c r="F57" s="276"/>
      <c r="G57" s="244"/>
      <c r="H57" s="244"/>
      <c r="I57" s="26" t="s">
        <v>82</v>
      </c>
      <c r="J57" s="37">
        <v>15</v>
      </c>
      <c r="K57" s="26">
        <v>69400000</v>
      </c>
      <c r="L57" s="26">
        <f>87482000-4300000</f>
        <v>83182000</v>
      </c>
      <c r="M57" s="26">
        <f>82529000-4300000</f>
        <v>78229000</v>
      </c>
      <c r="N57" s="26">
        <v>0</v>
      </c>
      <c r="O57" s="26">
        <v>0</v>
      </c>
      <c r="P57" s="26">
        <f>SUM(M57:O57)</f>
        <v>78229000</v>
      </c>
      <c r="Q57" s="26">
        <v>14382000</v>
      </c>
      <c r="R57" s="45">
        <f t="shared" si="27"/>
        <v>0.17289798273664975</v>
      </c>
      <c r="S57" s="26"/>
      <c r="T57" s="30">
        <f t="shared" si="28"/>
        <v>64703363.708494626</v>
      </c>
      <c r="U57" s="34">
        <f t="shared" si="2"/>
        <v>93.232512548263145</v>
      </c>
      <c r="V57" s="63">
        <f>U57*109000/95</f>
        <v>106972.04071327034</v>
      </c>
      <c r="W57" s="63">
        <f t="shared" si="25"/>
        <v>1604580.610699055</v>
      </c>
      <c r="X57" s="244"/>
      <c r="Y57" s="246"/>
    </row>
    <row r="58" spans="1:25" ht="12.5">
      <c r="A58" s="251"/>
      <c r="B58" s="180"/>
      <c r="C58" s="178"/>
      <c r="D58" s="177"/>
      <c r="E58" s="177"/>
      <c r="F58" s="276"/>
      <c r="G58" s="244"/>
      <c r="H58" s="244"/>
      <c r="I58" s="26" t="s">
        <v>83</v>
      </c>
      <c r="J58" s="37">
        <v>9</v>
      </c>
      <c r="K58" s="26">
        <v>35000000</v>
      </c>
      <c r="L58" s="26">
        <v>42450000</v>
      </c>
      <c r="M58" s="26">
        <v>42450000</v>
      </c>
      <c r="N58" s="26">
        <v>0</v>
      </c>
      <c r="O58" s="26">
        <v>0</v>
      </c>
      <c r="P58" s="26">
        <f t="shared" si="29"/>
        <v>42450000</v>
      </c>
      <c r="Q58" s="26">
        <v>7950000</v>
      </c>
      <c r="R58" s="45">
        <f t="shared" si="27"/>
        <v>0.1872791519434629</v>
      </c>
      <c r="S58" s="26"/>
      <c r="T58" s="30">
        <f t="shared" si="28"/>
        <v>34500000</v>
      </c>
      <c r="U58" s="34">
        <f t="shared" si="2"/>
        <v>98.571428571428584</v>
      </c>
      <c r="V58" s="63">
        <f>U58*120000/100</f>
        <v>118285.71428571429</v>
      </c>
      <c r="W58" s="63">
        <f t="shared" si="25"/>
        <v>1064571.4285714286</v>
      </c>
      <c r="X58" s="244"/>
      <c r="Y58" s="246"/>
    </row>
    <row r="59" spans="1:25" ht="12.5">
      <c r="A59" s="251"/>
      <c r="B59" s="180"/>
      <c r="C59" s="178"/>
      <c r="D59" s="177"/>
      <c r="E59" s="177"/>
      <c r="F59" s="276"/>
      <c r="G59" s="244"/>
      <c r="H59" s="244"/>
      <c r="I59" s="26" t="s">
        <v>76</v>
      </c>
      <c r="J59" s="26">
        <v>10</v>
      </c>
      <c r="K59" s="26">
        <v>54100000</v>
      </c>
      <c r="L59" s="26">
        <f>66292000-5800000</f>
        <v>60492000</v>
      </c>
      <c r="M59" s="26">
        <f>49741000-5800000</f>
        <v>43941000</v>
      </c>
      <c r="N59" s="26">
        <v>10149300</v>
      </c>
      <c r="O59" s="26">
        <v>3691799.9999999995</v>
      </c>
      <c r="P59" s="26">
        <f t="shared" si="29"/>
        <v>57782100</v>
      </c>
      <c r="Q59" s="26">
        <v>8592000</v>
      </c>
      <c r="R59" s="45">
        <f t="shared" si="27"/>
        <v>0.14203531045427495</v>
      </c>
      <c r="S59" s="26"/>
      <c r="T59" s="30">
        <f>P59-(P59*R59)+S59</f>
        <v>49575001.487800039</v>
      </c>
      <c r="U59" s="34">
        <f t="shared" si="2"/>
        <v>91.635862269501004</v>
      </c>
      <c r="V59" s="16">
        <f>U59*100000/90</f>
        <v>101817.62474389</v>
      </c>
      <c r="W59" s="16">
        <f t="shared" si="25"/>
        <v>1018176.2474389001</v>
      </c>
      <c r="X59" s="244"/>
      <c r="Y59" s="246"/>
    </row>
    <row r="60" spans="1:25" ht="12.5">
      <c r="A60" s="251"/>
      <c r="B60" s="180"/>
      <c r="C60" s="178"/>
      <c r="D60" s="177"/>
      <c r="E60" s="177"/>
      <c r="F60" s="276"/>
      <c r="G60" s="244"/>
      <c r="H60" s="244"/>
      <c r="I60" s="26" t="s">
        <v>198</v>
      </c>
      <c r="J60" s="26">
        <v>5</v>
      </c>
      <c r="K60" s="26">
        <v>27500000</v>
      </c>
      <c r="L60" s="26">
        <f>25714000+5300000</f>
        <v>31014000</v>
      </c>
      <c r="M60" s="26">
        <f>25714000+5300000</f>
        <v>31014000</v>
      </c>
      <c r="N60" s="26">
        <v>0</v>
      </c>
      <c r="O60" s="26">
        <v>0</v>
      </c>
      <c r="P60" s="26">
        <f t="shared" si="29"/>
        <v>31014000</v>
      </c>
      <c r="Q60" s="26">
        <v>4614000</v>
      </c>
      <c r="R60" s="45">
        <f>Q60/L60</f>
        <v>0.14877152253820855</v>
      </c>
      <c r="S60" s="26"/>
      <c r="T60" s="30">
        <f>P60-(P60*R60)+S60</f>
        <v>26400000</v>
      </c>
      <c r="U60" s="46">
        <f>(T60/K60)*100</f>
        <v>96</v>
      </c>
      <c r="V60" s="16">
        <f>U60*110000/95</f>
        <v>111157.89473684211</v>
      </c>
      <c r="W60" s="16">
        <f t="shared" si="25"/>
        <v>555789.47368421056</v>
      </c>
      <c r="X60" s="244"/>
      <c r="Y60" s="246"/>
    </row>
    <row r="61" spans="1:25" ht="13">
      <c r="A61" s="252"/>
      <c r="B61" s="180"/>
      <c r="C61" s="178"/>
      <c r="D61" s="177"/>
      <c r="E61" s="177"/>
      <c r="F61" s="277"/>
      <c r="G61" s="245"/>
      <c r="H61" s="245"/>
      <c r="I61" s="59">
        <v>15</v>
      </c>
      <c r="J61" s="54">
        <f>SUM(J46:J60)</f>
        <v>188</v>
      </c>
      <c r="K61" s="54">
        <f>SUM(K46:K60)</f>
        <v>719550000</v>
      </c>
      <c r="L61" s="54">
        <f t="shared" ref="L61:Q61" si="30">SUM(L46:L60)</f>
        <v>788452500</v>
      </c>
      <c r="M61" s="54">
        <f t="shared" si="30"/>
        <v>725708163</v>
      </c>
      <c r="N61" s="54">
        <f t="shared" si="30"/>
        <v>29479500</v>
      </c>
      <c r="O61" s="54">
        <f>SUM(O46:O60)</f>
        <v>6186600</v>
      </c>
      <c r="P61" s="54">
        <f>SUM(P46:P60)</f>
        <v>761374263</v>
      </c>
      <c r="Q61" s="54">
        <f t="shared" si="30"/>
        <v>157302500</v>
      </c>
      <c r="R61" s="54"/>
      <c r="S61" s="54">
        <f>SUM(S46:S60)</f>
        <v>9610000</v>
      </c>
      <c r="T61" s="54">
        <f>SUM(T46:T60)</f>
        <v>618933342.17202866</v>
      </c>
      <c r="U61" s="55">
        <f>(T61/K61)*100</f>
        <v>86.0167246434617</v>
      </c>
      <c r="V61" s="54"/>
      <c r="W61" s="54">
        <f>SUM(W46:W60)</f>
        <v>16314812.886463512</v>
      </c>
      <c r="X61" s="125"/>
      <c r="Y61" s="246"/>
    </row>
    <row r="62" spans="1:25" ht="13" customHeight="1">
      <c r="A62" s="222" t="s">
        <v>84</v>
      </c>
      <c r="B62" s="247" t="s">
        <v>207</v>
      </c>
      <c r="C62" s="224" t="s">
        <v>35</v>
      </c>
      <c r="D62" s="227"/>
      <c r="E62" s="227">
        <v>500000</v>
      </c>
      <c r="F62" s="242">
        <v>500000</v>
      </c>
      <c r="G62" s="181"/>
      <c r="H62" s="181"/>
      <c r="I62" s="47" t="s">
        <v>106</v>
      </c>
      <c r="J62" s="26">
        <v>10</v>
      </c>
      <c r="K62" s="26">
        <v>42100000</v>
      </c>
      <c r="L62" s="14">
        <f>51485000-7400000</f>
        <v>44085000</v>
      </c>
      <c r="M62" s="14">
        <f>39431000-7400000</f>
        <v>32031000</v>
      </c>
      <c r="N62" s="14">
        <v>5817600</v>
      </c>
      <c r="O62" s="14">
        <v>1190000</v>
      </c>
      <c r="P62" s="14">
        <f>SUM(M62:O62)</f>
        <v>39038600</v>
      </c>
      <c r="Q62" s="14">
        <v>6685000</v>
      </c>
      <c r="R62" s="65">
        <f t="shared" si="4"/>
        <v>0.15163887943745039</v>
      </c>
      <c r="S62" s="14"/>
      <c r="T62" s="66">
        <f t="shared" si="21"/>
        <v>33118830.441193148</v>
      </c>
      <c r="U62" s="67">
        <f>(T62/K62)*100</f>
        <v>78.667055679793705</v>
      </c>
      <c r="V62" s="12">
        <f>U62*79000/80</f>
        <v>77683.717483796281</v>
      </c>
      <c r="W62" s="21">
        <f>V62*J62</f>
        <v>776837.17483796284</v>
      </c>
      <c r="X62" s="177">
        <f>W74+D62+F62+G62+H62+E62</f>
        <v>12815531.633906456</v>
      </c>
      <c r="Y62" s="246"/>
    </row>
    <row r="63" spans="1:25" ht="13" customHeight="1">
      <c r="A63" s="222"/>
      <c r="B63" s="247" t="e">
        <f>#REF!</f>
        <v>#REF!</v>
      </c>
      <c r="C63" s="224"/>
      <c r="D63" s="227"/>
      <c r="E63" s="227"/>
      <c r="F63" s="243"/>
      <c r="G63" s="244"/>
      <c r="H63" s="244"/>
      <c r="I63" s="26" t="s">
        <v>107</v>
      </c>
      <c r="J63" s="26">
        <v>16</v>
      </c>
      <c r="K63" s="25">
        <v>66000000</v>
      </c>
      <c r="L63" s="14">
        <f>56467000-3600000</f>
        <v>52867000</v>
      </c>
      <c r="M63" s="14">
        <f>56177000-3600000</f>
        <v>52577000</v>
      </c>
      <c r="N63" s="14">
        <v>108000</v>
      </c>
      <c r="O63" s="14">
        <v>0</v>
      </c>
      <c r="P63" s="14">
        <f t="shared" ref="P63:P70" si="31">SUM(M63:O63)</f>
        <v>52685000</v>
      </c>
      <c r="Q63" s="14">
        <v>11867000</v>
      </c>
      <c r="R63" s="45">
        <f t="shared" si="4"/>
        <v>0.22446895038492823</v>
      </c>
      <c r="S63" s="14">
        <v>206666.66666666666</v>
      </c>
      <c r="T63" s="26">
        <f t="shared" si="21"/>
        <v>41065520.01563672</v>
      </c>
      <c r="U63" s="46">
        <f>(T63/K63)*100</f>
        <v>62.220484872176854</v>
      </c>
      <c r="V63" s="12"/>
      <c r="W63" s="21">
        <f>(120000*J63)*10%</f>
        <v>192000</v>
      </c>
      <c r="X63" s="178"/>
      <c r="Y63" s="246"/>
    </row>
    <row r="64" spans="1:25" ht="13" customHeight="1">
      <c r="A64" s="222"/>
      <c r="B64" s="247" t="e">
        <f>B63</f>
        <v>#REF!</v>
      </c>
      <c r="C64" s="224"/>
      <c r="D64" s="227"/>
      <c r="E64" s="227"/>
      <c r="F64" s="243"/>
      <c r="G64" s="244"/>
      <c r="H64" s="244"/>
      <c r="I64" s="26" t="s">
        <v>108</v>
      </c>
      <c r="J64" s="26">
        <v>20</v>
      </c>
      <c r="K64" s="25">
        <v>84300000</v>
      </c>
      <c r="L64" s="14">
        <v>78217600</v>
      </c>
      <c r="M64" s="14">
        <v>75731600</v>
      </c>
      <c r="N64" s="14">
        <v>1080000</v>
      </c>
      <c r="O64" s="14">
        <v>1050000</v>
      </c>
      <c r="P64" s="14">
        <f t="shared" si="31"/>
        <v>77861600</v>
      </c>
      <c r="Q64" s="14">
        <v>16317600</v>
      </c>
      <c r="R64" s="45">
        <f t="shared" si="4"/>
        <v>0.20861800924600091</v>
      </c>
      <c r="S64" s="14"/>
      <c r="T64" s="26">
        <f t="shared" si="21"/>
        <v>61618268.011291578</v>
      </c>
      <c r="U64" s="46">
        <f>(T64/K64)*100</f>
        <v>73.094030855624652</v>
      </c>
      <c r="V64" s="12">
        <f>U64*69000/75</f>
        <v>67246.508387174676</v>
      </c>
      <c r="W64" s="21">
        <f>V64*J64</f>
        <v>1344930.1677434936</v>
      </c>
      <c r="X64" s="178"/>
      <c r="Y64" s="246"/>
    </row>
    <row r="65" spans="1:25" ht="13" customHeight="1">
      <c r="A65" s="222"/>
      <c r="B65" s="247"/>
      <c r="C65" s="224"/>
      <c r="D65" s="227"/>
      <c r="E65" s="227"/>
      <c r="F65" s="243"/>
      <c r="G65" s="244"/>
      <c r="H65" s="244"/>
      <c r="I65" s="26" t="s">
        <v>86</v>
      </c>
      <c r="J65" s="26">
        <v>8</v>
      </c>
      <c r="K65" s="26">
        <v>31200000</v>
      </c>
      <c r="L65" s="14">
        <f>31459000+4500000</f>
        <v>35959000</v>
      </c>
      <c r="M65" s="14">
        <f>31459080+4500000</f>
        <v>35959080</v>
      </c>
      <c r="N65" s="14">
        <v>0</v>
      </c>
      <c r="O65" s="14">
        <v>0</v>
      </c>
      <c r="P65" s="14">
        <f t="shared" si="31"/>
        <v>35959080</v>
      </c>
      <c r="Q65" s="14">
        <v>7159000</v>
      </c>
      <c r="R65" s="45">
        <f t="shared" si="4"/>
        <v>0.19908785005144747</v>
      </c>
      <c r="S65" s="14"/>
      <c r="T65" s="26">
        <f t="shared" si="21"/>
        <v>28800064.072971996</v>
      </c>
      <c r="U65" s="46">
        <f t="shared" ref="U65:U67" si="32">(T65/K65)*100</f>
        <v>92.307897669782037</v>
      </c>
      <c r="V65" s="12">
        <f>U65*100000/90</f>
        <v>102564.33074420226</v>
      </c>
      <c r="W65" s="21">
        <f t="shared" ref="W65:W68" si="33">V65*J65</f>
        <v>820514.64595361811</v>
      </c>
      <c r="X65" s="178"/>
      <c r="Y65" s="246"/>
    </row>
    <row r="66" spans="1:25" ht="13" customHeight="1">
      <c r="A66" s="222"/>
      <c r="B66" s="247"/>
      <c r="C66" s="224"/>
      <c r="D66" s="227"/>
      <c r="E66" s="227"/>
      <c r="F66" s="243"/>
      <c r="G66" s="244"/>
      <c r="H66" s="244"/>
      <c r="I66" s="26" t="s">
        <v>109</v>
      </c>
      <c r="J66" s="26">
        <v>21</v>
      </c>
      <c r="K66" s="26">
        <v>74800000</v>
      </c>
      <c r="L66" s="14">
        <f>76463000-3400000</f>
        <v>73063000</v>
      </c>
      <c r="M66" s="14">
        <f>66495000-3400000</f>
        <v>63095000</v>
      </c>
      <c r="N66" s="14">
        <v>5482800</v>
      </c>
      <c r="O66" s="14">
        <v>0</v>
      </c>
      <c r="P66" s="14">
        <f t="shared" si="31"/>
        <v>68577800</v>
      </c>
      <c r="Q66" s="14">
        <v>14022000</v>
      </c>
      <c r="R66" s="45">
        <f t="shared" si="4"/>
        <v>0.19191656515609817</v>
      </c>
      <c r="S66" s="14">
        <v>2533333.3333333335</v>
      </c>
      <c r="T66" s="26">
        <f t="shared" si="21"/>
        <v>57949917.511371471</v>
      </c>
      <c r="U66" s="46">
        <f t="shared" si="32"/>
        <v>77.473151753170413</v>
      </c>
      <c r="V66" s="12">
        <f>U66*70000/75</f>
        <v>72308.274969625723</v>
      </c>
      <c r="W66" s="21">
        <f t="shared" si="33"/>
        <v>1518473.7743621401</v>
      </c>
      <c r="X66" s="178"/>
      <c r="Y66" s="246"/>
    </row>
    <row r="67" spans="1:25" ht="13" customHeight="1">
      <c r="A67" s="222"/>
      <c r="B67" s="247"/>
      <c r="C67" s="224"/>
      <c r="D67" s="227"/>
      <c r="E67" s="227"/>
      <c r="F67" s="243"/>
      <c r="G67" s="244"/>
      <c r="H67" s="244"/>
      <c r="I67" s="26" t="s">
        <v>88</v>
      </c>
      <c r="J67" s="26">
        <v>10</v>
      </c>
      <c r="K67" s="26">
        <v>43200000</v>
      </c>
      <c r="L67" s="14">
        <v>45018000</v>
      </c>
      <c r="M67" s="14">
        <v>39669000</v>
      </c>
      <c r="N67" s="14">
        <v>1800000</v>
      </c>
      <c r="O67" s="14">
        <v>0</v>
      </c>
      <c r="P67" s="14">
        <f t="shared" si="31"/>
        <v>41469000</v>
      </c>
      <c r="Q67" s="14">
        <v>7918000</v>
      </c>
      <c r="R67" s="45">
        <f t="shared" si="4"/>
        <v>0.17588520147496556</v>
      </c>
      <c r="S67" s="14">
        <v>720000</v>
      </c>
      <c r="T67" s="26">
        <f t="shared" si="21"/>
        <v>34895216.580034651</v>
      </c>
      <c r="U67" s="46">
        <f t="shared" si="32"/>
        <v>80.775964305635767</v>
      </c>
      <c r="V67" s="12">
        <f>U67*80000/80</f>
        <v>80775.96430563576</v>
      </c>
      <c r="W67" s="21">
        <f t="shared" si="33"/>
        <v>807759.64305635763</v>
      </c>
      <c r="X67" s="178"/>
      <c r="Y67" s="246"/>
    </row>
    <row r="68" spans="1:25" ht="13" customHeight="1">
      <c r="A68" s="222"/>
      <c r="B68" s="247"/>
      <c r="C68" s="224"/>
      <c r="D68" s="227"/>
      <c r="E68" s="227"/>
      <c r="F68" s="243"/>
      <c r="G68" s="244"/>
      <c r="H68" s="244"/>
      <c r="I68" s="26" t="s">
        <v>89</v>
      </c>
      <c r="J68" s="26">
        <v>11</v>
      </c>
      <c r="K68" s="14">
        <v>47100000</v>
      </c>
      <c r="L68" s="14">
        <f>53934000-4000000+3500000</f>
        <v>53434000</v>
      </c>
      <c r="M68" s="14">
        <f>42336000-4000000+3500000</f>
        <v>41836000</v>
      </c>
      <c r="N68" s="14">
        <v>8058600</v>
      </c>
      <c r="O68" s="14">
        <v>0</v>
      </c>
      <c r="P68" s="14">
        <f t="shared" si="31"/>
        <v>49894600</v>
      </c>
      <c r="Q68" s="14">
        <v>10434000</v>
      </c>
      <c r="R68" s="45">
        <f t="shared" si="4"/>
        <v>0.19526892989482353</v>
      </c>
      <c r="S68" s="14"/>
      <c r="T68" s="26">
        <f t="shared" si="21"/>
        <v>40151734.850469738</v>
      </c>
      <c r="U68" s="46">
        <f>(T68/K68)*100</f>
        <v>85.247844693141701</v>
      </c>
      <c r="V68" s="12">
        <f>U68*90000/85</f>
        <v>90262.423792738264</v>
      </c>
      <c r="W68" s="21">
        <f t="shared" si="33"/>
        <v>992886.66172012093</v>
      </c>
      <c r="X68" s="178"/>
      <c r="Y68" s="246"/>
    </row>
    <row r="69" spans="1:25" ht="13" customHeight="1">
      <c r="A69" s="222"/>
      <c r="B69" s="247"/>
      <c r="C69" s="224"/>
      <c r="D69" s="227"/>
      <c r="E69" s="227"/>
      <c r="F69" s="243"/>
      <c r="G69" s="244"/>
      <c r="H69" s="244"/>
      <c r="I69" s="26" t="s">
        <v>90</v>
      </c>
      <c r="J69" s="26">
        <v>8</v>
      </c>
      <c r="K69" s="23">
        <v>31700000</v>
      </c>
      <c r="L69" s="23">
        <v>33543000</v>
      </c>
      <c r="M69" s="23">
        <v>33443000</v>
      </c>
      <c r="N69" s="14">
        <v>90000</v>
      </c>
      <c r="O69" s="14">
        <v>0</v>
      </c>
      <c r="P69" s="23">
        <f t="shared" si="31"/>
        <v>33533000</v>
      </c>
      <c r="Q69" s="14">
        <v>6443000</v>
      </c>
      <c r="R69" s="45">
        <f t="shared" si="4"/>
        <v>0.19208180544375875</v>
      </c>
      <c r="S69" s="14"/>
      <c r="T69" s="26">
        <f t="shared" si="21"/>
        <v>27091920.818054438</v>
      </c>
      <c r="U69" s="46">
        <f>(T69/K69)*100</f>
        <v>85.463472612159109</v>
      </c>
      <c r="V69" s="12">
        <f>U69*90000/85</f>
        <v>90490.735706991996</v>
      </c>
      <c r="W69" s="21">
        <f>V69*J69</f>
        <v>723925.88565593597</v>
      </c>
      <c r="X69" s="178"/>
      <c r="Y69" s="246"/>
    </row>
    <row r="70" spans="1:25" ht="13" customHeight="1">
      <c r="A70" s="222"/>
      <c r="B70" s="247" t="e">
        <f>#REF!</f>
        <v>#REF!</v>
      </c>
      <c r="C70" s="224"/>
      <c r="D70" s="227"/>
      <c r="E70" s="227"/>
      <c r="F70" s="243"/>
      <c r="G70" s="244"/>
      <c r="H70" s="244"/>
      <c r="I70" s="26" t="s">
        <v>110</v>
      </c>
      <c r="J70" s="26">
        <v>11</v>
      </c>
      <c r="K70" s="26">
        <v>50300000</v>
      </c>
      <c r="L70" s="26">
        <v>56240000</v>
      </c>
      <c r="M70" s="26">
        <v>50528000</v>
      </c>
      <c r="N70" s="23">
        <v>5180400</v>
      </c>
      <c r="O70" s="32">
        <v>0</v>
      </c>
      <c r="P70" s="26">
        <f t="shared" si="31"/>
        <v>55708400</v>
      </c>
      <c r="Q70" s="14">
        <v>8240000</v>
      </c>
      <c r="R70" s="45">
        <f t="shared" si="4"/>
        <v>0.1465149359886202</v>
      </c>
      <c r="S70" s="23"/>
      <c r="T70" s="26">
        <f t="shared" si="21"/>
        <v>47546287.33997155</v>
      </c>
      <c r="U70" s="46">
        <f t="shared" si="2"/>
        <v>94.525422147060738</v>
      </c>
      <c r="V70" s="12">
        <f>U70*109000/95</f>
        <v>108455.48435820652</v>
      </c>
      <c r="W70" s="21">
        <f t="shared" ref="W70:W73" si="34">V70*J70</f>
        <v>1193010.3279402717</v>
      </c>
      <c r="X70" s="178"/>
      <c r="Y70" s="246"/>
    </row>
    <row r="71" spans="1:25" ht="12.5">
      <c r="A71" s="222"/>
      <c r="B71" s="247"/>
      <c r="C71" s="224"/>
      <c r="D71" s="227"/>
      <c r="E71" s="227"/>
      <c r="F71" s="243"/>
      <c r="G71" s="244"/>
      <c r="H71" s="244"/>
      <c r="I71" s="26" t="s">
        <v>111</v>
      </c>
      <c r="J71" s="26">
        <v>11</v>
      </c>
      <c r="K71" s="26">
        <v>30600000</v>
      </c>
      <c r="L71" s="26">
        <v>32994000</v>
      </c>
      <c r="M71" s="26">
        <v>32154000</v>
      </c>
      <c r="N71" s="25">
        <v>720000</v>
      </c>
      <c r="O71" s="47">
        <v>0</v>
      </c>
      <c r="P71" s="26">
        <f>SUM(M71:O71)</f>
        <v>32874000</v>
      </c>
      <c r="Q71" s="23">
        <v>6394000</v>
      </c>
      <c r="R71" s="33">
        <f t="shared" si="4"/>
        <v>0.19379281081408742</v>
      </c>
      <c r="S71" s="26">
        <v>1960000</v>
      </c>
      <c r="T71" s="30">
        <f>P71-(P71*R71)+S71</f>
        <v>28463255.13729769</v>
      </c>
      <c r="U71" s="46">
        <f t="shared" si="2"/>
        <v>93.017173651299643</v>
      </c>
      <c r="V71" s="13">
        <f>U71*109000/95</f>
        <v>106724.96766307011</v>
      </c>
      <c r="W71" s="15">
        <f t="shared" si="34"/>
        <v>1173974.6442937714</v>
      </c>
      <c r="X71" s="178"/>
      <c r="Y71" s="246"/>
    </row>
    <row r="72" spans="1:25" ht="12.5">
      <c r="A72" s="222"/>
      <c r="B72" s="247"/>
      <c r="C72" s="224"/>
      <c r="D72" s="227"/>
      <c r="E72" s="227"/>
      <c r="F72" s="243"/>
      <c r="G72" s="244"/>
      <c r="H72" s="244"/>
      <c r="I72" s="66" t="s">
        <v>96</v>
      </c>
      <c r="J72" s="66">
        <v>10</v>
      </c>
      <c r="K72" s="26">
        <v>41300000</v>
      </c>
      <c r="L72" s="26">
        <v>45572200</v>
      </c>
      <c r="M72" s="26">
        <v>42652200</v>
      </c>
      <c r="N72" s="25">
        <v>2628000</v>
      </c>
      <c r="O72" s="85">
        <v>0</v>
      </c>
      <c r="P72" s="26">
        <f>SUM(M72:O72)</f>
        <v>45280200</v>
      </c>
      <c r="Q72" s="86">
        <v>8872200</v>
      </c>
      <c r="R72" s="45">
        <f t="shared" si="4"/>
        <v>0.19468447869534497</v>
      </c>
      <c r="S72" s="66"/>
      <c r="T72" s="26">
        <f>P72-(P72*R72)+S72</f>
        <v>36464847.867779039</v>
      </c>
      <c r="U72" s="46">
        <f>(T72/K72)*100</f>
        <v>88.292609849343918</v>
      </c>
      <c r="V72" s="16">
        <f>U72*99000/90</f>
        <v>97121.870834278321</v>
      </c>
      <c r="W72" s="16">
        <f t="shared" si="34"/>
        <v>971218.70834278315</v>
      </c>
      <c r="X72" s="178"/>
      <c r="Y72" s="246"/>
    </row>
    <row r="73" spans="1:25" ht="12.5">
      <c r="A73" s="264"/>
      <c r="B73" s="265"/>
      <c r="C73" s="258"/>
      <c r="D73" s="227"/>
      <c r="E73" s="227"/>
      <c r="F73" s="243"/>
      <c r="G73" s="244"/>
      <c r="H73" s="244"/>
      <c r="I73" s="66" t="s">
        <v>208</v>
      </c>
      <c r="J73" s="66">
        <v>13</v>
      </c>
      <c r="K73" s="66"/>
      <c r="L73" s="66"/>
      <c r="M73" s="66"/>
      <c r="N73" s="85"/>
      <c r="O73" s="85"/>
      <c r="P73" s="66"/>
      <c r="Q73" s="86"/>
      <c r="R73" s="65"/>
      <c r="S73" s="66"/>
      <c r="T73" s="66"/>
      <c r="U73" s="67"/>
      <c r="V73" s="16">
        <v>100000</v>
      </c>
      <c r="W73" s="16">
        <f t="shared" si="34"/>
        <v>1300000</v>
      </c>
      <c r="X73" s="178"/>
      <c r="Y73" s="246"/>
    </row>
    <row r="74" spans="1:25" ht="13" customHeight="1">
      <c r="A74" s="179"/>
      <c r="B74" s="180" t="e">
        <f>B70</f>
        <v>#REF!</v>
      </c>
      <c r="C74" s="225"/>
      <c r="D74" s="228"/>
      <c r="E74" s="228"/>
      <c r="F74" s="248"/>
      <c r="G74" s="245"/>
      <c r="H74" s="245"/>
      <c r="I74" s="69">
        <v>12</v>
      </c>
      <c r="J74" s="70">
        <f t="shared" ref="J74:Q74" si="35">SUM(J62:J73)</f>
        <v>149</v>
      </c>
      <c r="K74" s="70">
        <f t="shared" si="35"/>
        <v>542600000</v>
      </c>
      <c r="L74" s="70">
        <f t="shared" si="35"/>
        <v>550992800</v>
      </c>
      <c r="M74" s="70">
        <f t="shared" si="35"/>
        <v>499675880</v>
      </c>
      <c r="N74" s="70">
        <f t="shared" si="35"/>
        <v>30965400</v>
      </c>
      <c r="O74" s="70">
        <f t="shared" si="35"/>
        <v>2240000</v>
      </c>
      <c r="P74" s="70">
        <f t="shared" si="35"/>
        <v>532881280</v>
      </c>
      <c r="Q74" s="70">
        <f t="shared" si="35"/>
        <v>104351800</v>
      </c>
      <c r="R74" s="87"/>
      <c r="S74" s="70">
        <f>SUM(S62:S73)</f>
        <v>5420000</v>
      </c>
      <c r="T74" s="70">
        <f>SUM(T62:T73)</f>
        <v>437165862.64607197</v>
      </c>
      <c r="U74" s="88">
        <f>(T74/K74)*100</f>
        <v>80.568717774801328</v>
      </c>
      <c r="V74" s="62"/>
      <c r="W74" s="62">
        <f>SUM(W62:W73)</f>
        <v>11815531.633906456</v>
      </c>
      <c r="X74" s="178"/>
      <c r="Y74" s="246"/>
    </row>
    <row r="75" spans="1:25" ht="13" customHeight="1">
      <c r="A75" s="222" t="s">
        <v>97</v>
      </c>
      <c r="B75" s="247" t="s">
        <v>98</v>
      </c>
      <c r="C75" s="224" t="s">
        <v>35</v>
      </c>
      <c r="D75" s="227"/>
      <c r="E75" s="227">
        <v>500000</v>
      </c>
      <c r="F75" s="243">
        <v>500000</v>
      </c>
      <c r="G75" s="244"/>
      <c r="H75" s="244"/>
      <c r="I75" s="14" t="s">
        <v>99</v>
      </c>
      <c r="J75" s="14">
        <v>8</v>
      </c>
      <c r="K75" s="14">
        <v>35000000</v>
      </c>
      <c r="L75" s="14">
        <v>34478000</v>
      </c>
      <c r="M75" s="14">
        <v>34478000</v>
      </c>
      <c r="N75" s="14">
        <v>0</v>
      </c>
      <c r="O75" s="14">
        <v>0</v>
      </c>
      <c r="P75" s="14">
        <f t="shared" ref="P75:P79" si="36">SUM(M75:O75)</f>
        <v>34478000</v>
      </c>
      <c r="Q75" s="14">
        <v>5778000</v>
      </c>
      <c r="R75" s="45">
        <f t="shared" si="4"/>
        <v>0.16758512674749115</v>
      </c>
      <c r="S75" s="14"/>
      <c r="T75" s="26">
        <f t="shared" si="21"/>
        <v>28700000</v>
      </c>
      <c r="U75" s="46">
        <f t="shared" si="2"/>
        <v>82</v>
      </c>
      <c r="V75" s="12">
        <f>U75*85000/80</f>
        <v>87125</v>
      </c>
      <c r="W75" s="21">
        <f>V75*J75</f>
        <v>697000</v>
      </c>
      <c r="X75" s="177">
        <f>D75+E75+F75+G75+H75+W80</f>
        <v>6002559.3293833388</v>
      </c>
      <c r="Y75" s="246"/>
    </row>
    <row r="76" spans="1:25" ht="13" customHeight="1">
      <c r="A76" s="222"/>
      <c r="B76" s="247" t="str">
        <f>B75</f>
        <v>Đỗ Công Trường</v>
      </c>
      <c r="C76" s="224"/>
      <c r="D76" s="227"/>
      <c r="E76" s="227"/>
      <c r="F76" s="243"/>
      <c r="G76" s="244"/>
      <c r="H76" s="244"/>
      <c r="I76" s="14" t="s">
        <v>100</v>
      </c>
      <c r="J76" s="14">
        <v>8</v>
      </c>
      <c r="K76" s="14">
        <v>35000000</v>
      </c>
      <c r="L76" s="14">
        <v>43946000</v>
      </c>
      <c r="M76" s="14">
        <v>43946000</v>
      </c>
      <c r="N76" s="14">
        <v>0</v>
      </c>
      <c r="O76" s="14">
        <v>0</v>
      </c>
      <c r="P76" s="14">
        <f t="shared" si="36"/>
        <v>43946000</v>
      </c>
      <c r="Q76" s="14">
        <v>10446000</v>
      </c>
      <c r="R76" s="45">
        <f t="shared" si="4"/>
        <v>0.23770081463614437</v>
      </c>
      <c r="S76" s="14"/>
      <c r="T76" s="26">
        <f t="shared" si="21"/>
        <v>33500000</v>
      </c>
      <c r="U76" s="46">
        <f t="shared" si="2"/>
        <v>95.714285714285722</v>
      </c>
      <c r="V76" s="12">
        <f>U76*120000/95</f>
        <v>120902.25563909776</v>
      </c>
      <c r="W76" s="21">
        <f>V76*J76</f>
        <v>967218.04511278204</v>
      </c>
      <c r="X76" s="178"/>
      <c r="Y76" s="246"/>
    </row>
    <row r="77" spans="1:25" ht="13" customHeight="1">
      <c r="A77" s="222"/>
      <c r="B77" s="247" t="str">
        <f>B76</f>
        <v>Đỗ Công Trường</v>
      </c>
      <c r="C77" s="224"/>
      <c r="D77" s="227"/>
      <c r="E77" s="227"/>
      <c r="F77" s="243"/>
      <c r="G77" s="244"/>
      <c r="H77" s="244"/>
      <c r="I77" s="23" t="s">
        <v>101</v>
      </c>
      <c r="J77" s="23">
        <v>7</v>
      </c>
      <c r="K77" s="23">
        <v>24800000</v>
      </c>
      <c r="L77" s="23">
        <f>33650000-3200000</f>
        <v>30450000</v>
      </c>
      <c r="M77" s="23">
        <f>24850000-3200000</f>
        <v>21650000</v>
      </c>
      <c r="N77" s="23">
        <v>3492000</v>
      </c>
      <c r="O77" s="23">
        <v>0</v>
      </c>
      <c r="P77" s="23">
        <f>SUM(M77:O77)</f>
        <v>25142000</v>
      </c>
      <c r="Q77" s="23">
        <v>7250000</v>
      </c>
      <c r="R77" s="33">
        <f t="shared" si="4"/>
        <v>0.23809523809523808</v>
      </c>
      <c r="S77" s="23"/>
      <c r="T77" s="30">
        <f t="shared" si="21"/>
        <v>19155809.523809522</v>
      </c>
      <c r="U77" s="34">
        <f t="shared" si="2"/>
        <v>77.24116743471582</v>
      </c>
      <c r="V77" s="12">
        <f>U77*75000/75</f>
        <v>77241.167434715811</v>
      </c>
      <c r="W77" s="15">
        <f>V77*J77</f>
        <v>540688.17204301071</v>
      </c>
      <c r="X77" s="178"/>
      <c r="Y77" s="246"/>
    </row>
    <row r="78" spans="1:25" s="37" customFormat="1" ht="12.5">
      <c r="A78" s="222"/>
      <c r="B78" s="247"/>
      <c r="C78" s="224"/>
      <c r="D78" s="227"/>
      <c r="E78" s="227"/>
      <c r="F78" s="243"/>
      <c r="G78" s="244"/>
      <c r="H78" s="244"/>
      <c r="I78" s="26" t="s">
        <v>102</v>
      </c>
      <c r="J78" s="26">
        <v>14</v>
      </c>
      <c r="K78" s="26">
        <v>49800000</v>
      </c>
      <c r="L78" s="26">
        <v>57824600</v>
      </c>
      <c r="M78" s="26">
        <v>58694000</v>
      </c>
      <c r="N78" s="26"/>
      <c r="O78" s="26">
        <v>0</v>
      </c>
      <c r="P78" s="26">
        <f t="shared" si="36"/>
        <v>58694000</v>
      </c>
      <c r="Q78" s="26">
        <v>12924600</v>
      </c>
      <c r="R78" s="45">
        <f t="shared" si="4"/>
        <v>0.2235138678002096</v>
      </c>
      <c r="S78" s="26">
        <v>660000</v>
      </c>
      <c r="T78" s="26">
        <f t="shared" si="21"/>
        <v>46235077.043334499</v>
      </c>
      <c r="U78" s="46">
        <f t="shared" si="2"/>
        <v>92.841520167338359</v>
      </c>
      <c r="V78" s="16">
        <f>U78*119000/95</f>
        <v>116296.219999087</v>
      </c>
      <c r="W78" s="16">
        <f t="shared" ref="W78:W79" si="37">V78*J78</f>
        <v>1628147.0799872179</v>
      </c>
      <c r="X78" s="178"/>
      <c r="Y78" s="246"/>
    </row>
    <row r="79" spans="1:25" s="37" customFormat="1" ht="12.5">
      <c r="A79" s="222"/>
      <c r="B79" s="247"/>
      <c r="C79" s="224"/>
      <c r="D79" s="227"/>
      <c r="E79" s="227"/>
      <c r="F79" s="243"/>
      <c r="G79" s="244"/>
      <c r="H79" s="244"/>
      <c r="I79" s="26" t="s">
        <v>103</v>
      </c>
      <c r="J79" s="26">
        <v>10</v>
      </c>
      <c r="K79" s="26">
        <v>45000000</v>
      </c>
      <c r="L79" s="26">
        <f>56291000-4100000</f>
        <v>52191000</v>
      </c>
      <c r="M79" s="26">
        <f>56220000-4100000</f>
        <v>52120000</v>
      </c>
      <c r="N79" s="26">
        <v>0</v>
      </c>
      <c r="O79" s="26">
        <v>0</v>
      </c>
      <c r="P79" s="26">
        <f t="shared" si="36"/>
        <v>52120000</v>
      </c>
      <c r="Q79" s="26">
        <v>10120000</v>
      </c>
      <c r="R79" s="45">
        <f t="shared" si="4"/>
        <v>0.19390316338065949</v>
      </c>
      <c r="S79" s="26"/>
      <c r="T79" s="26">
        <f t="shared" si="21"/>
        <v>42013767.124600023</v>
      </c>
      <c r="U79" s="46">
        <f>(T79/K79)*100</f>
        <v>93.363926943555612</v>
      </c>
      <c r="V79" s="16">
        <f>U79*119000/95</f>
        <v>116950.60322403282</v>
      </c>
      <c r="W79" s="16">
        <f t="shared" si="37"/>
        <v>1169506.0322403281</v>
      </c>
      <c r="X79" s="178"/>
      <c r="Y79" s="246"/>
    </row>
    <row r="80" spans="1:25" ht="13" customHeight="1">
      <c r="A80" s="179"/>
      <c r="B80" s="180" t="str">
        <f>B77</f>
        <v>Đỗ Công Trường</v>
      </c>
      <c r="C80" s="225"/>
      <c r="D80" s="228"/>
      <c r="E80" s="228"/>
      <c r="F80" s="248"/>
      <c r="G80" s="245"/>
      <c r="H80" s="245"/>
      <c r="I80" s="69">
        <v>5</v>
      </c>
      <c r="J80" s="70">
        <f>SUM(J75:J79)</f>
        <v>47</v>
      </c>
      <c r="K80" s="70">
        <f t="shared" ref="K80:O80" si="38">SUM(K75:K79)</f>
        <v>189600000</v>
      </c>
      <c r="L80" s="70">
        <f t="shared" si="38"/>
        <v>218889600</v>
      </c>
      <c r="M80" s="70">
        <f t="shared" si="38"/>
        <v>210888000</v>
      </c>
      <c r="N80" s="70">
        <f t="shared" si="38"/>
        <v>3492000</v>
      </c>
      <c r="O80" s="70">
        <f t="shared" si="38"/>
        <v>0</v>
      </c>
      <c r="P80" s="70">
        <f>SUM(P75:P79)</f>
        <v>214380000</v>
      </c>
      <c r="Q80" s="70">
        <f>SUM(Q75:Q79)</f>
        <v>46518600</v>
      </c>
      <c r="R80" s="87"/>
      <c r="S80" s="89">
        <f>SUM(S75:S79)</f>
        <v>660000</v>
      </c>
      <c r="T80" s="89">
        <f>SUM(T75:T79)</f>
        <v>169604653.69174403</v>
      </c>
      <c r="U80" s="55">
        <f>(T80/K80)*100</f>
        <v>89.453931272016902</v>
      </c>
      <c r="V80" s="90"/>
      <c r="W80" s="90">
        <f>SUM(W75:W79)</f>
        <v>5002559.3293833388</v>
      </c>
      <c r="X80" s="178"/>
      <c r="Y80" s="246"/>
    </row>
    <row r="81" spans="1:25" ht="13" customHeight="1">
      <c r="A81" s="222" t="s">
        <v>112</v>
      </c>
      <c r="B81" s="247" t="s">
        <v>113</v>
      </c>
      <c r="C81" s="223" t="s">
        <v>35</v>
      </c>
      <c r="D81" s="226"/>
      <c r="E81" s="226">
        <v>500000</v>
      </c>
      <c r="F81" s="242">
        <v>500000</v>
      </c>
      <c r="G81" s="181"/>
      <c r="H81" s="181"/>
      <c r="I81" s="30" t="s">
        <v>114</v>
      </c>
      <c r="J81" s="23">
        <v>9</v>
      </c>
      <c r="K81" s="14">
        <v>48500000</v>
      </c>
      <c r="L81" s="14">
        <f>45321200+9000000</f>
        <v>54321200</v>
      </c>
      <c r="M81" s="14">
        <f>45321000+9000000</f>
        <v>54321000</v>
      </c>
      <c r="N81" s="14">
        <v>0</v>
      </c>
      <c r="O81" s="14">
        <v>0</v>
      </c>
      <c r="P81" s="14">
        <f t="shared" ref="P81:P92" si="39">SUM(M81:O81)</f>
        <v>54321000</v>
      </c>
      <c r="Q81" s="14">
        <v>11385200</v>
      </c>
      <c r="R81" s="45">
        <f t="shared" ref="R81:R92" si="40">Q81/L81</f>
        <v>0.20959036251040108</v>
      </c>
      <c r="S81" s="95"/>
      <c r="T81" s="26">
        <f t="shared" si="21"/>
        <v>42935841.918072507</v>
      </c>
      <c r="U81" s="46">
        <f t="shared" si="2"/>
        <v>88.527509109427854</v>
      </c>
      <c r="V81" s="12">
        <f>U81*109000/90</f>
        <v>107216.64992141818</v>
      </c>
      <c r="W81" s="21">
        <f t="shared" ref="W81:W92" si="41">V81*J81</f>
        <v>964949.84929276363</v>
      </c>
      <c r="X81" s="177">
        <f>W94+D81+F81+G81+H81+E81</f>
        <v>20727242.509878941</v>
      </c>
      <c r="Y81" s="246"/>
    </row>
    <row r="82" spans="1:25" ht="13" customHeight="1">
      <c r="A82" s="222"/>
      <c r="B82" s="247"/>
      <c r="C82" s="224"/>
      <c r="D82" s="227"/>
      <c r="E82" s="227"/>
      <c r="F82" s="243"/>
      <c r="G82" s="244"/>
      <c r="H82" s="244"/>
      <c r="I82" s="26" t="s">
        <v>115</v>
      </c>
      <c r="J82" s="26">
        <v>9</v>
      </c>
      <c r="K82" s="14">
        <v>39200000</v>
      </c>
      <c r="L82" s="14">
        <v>42715000</v>
      </c>
      <c r="M82" s="14">
        <v>37639000</v>
      </c>
      <c r="N82" s="14">
        <v>0</v>
      </c>
      <c r="O82" s="14">
        <v>0</v>
      </c>
      <c r="P82" s="14">
        <f t="shared" si="39"/>
        <v>37639000</v>
      </c>
      <c r="Q82" s="14">
        <v>7015000</v>
      </c>
      <c r="R82" s="45">
        <f t="shared" si="40"/>
        <v>0.16422802294276015</v>
      </c>
      <c r="S82" s="95">
        <f>1820000+2000000</f>
        <v>3820000</v>
      </c>
      <c r="T82" s="26">
        <f t="shared" si="21"/>
        <v>35277621.444457449</v>
      </c>
      <c r="U82" s="46">
        <f t="shared" si="2"/>
        <v>89.993932256269005</v>
      </c>
      <c r="V82" s="12">
        <f>U82*109000/90</f>
        <v>108992.65128814802</v>
      </c>
      <c r="W82" s="21">
        <f t="shared" si="41"/>
        <v>980933.86159333214</v>
      </c>
      <c r="X82" s="177"/>
      <c r="Y82" s="246"/>
    </row>
    <row r="83" spans="1:25" ht="13" customHeight="1">
      <c r="A83" s="222"/>
      <c r="B83" s="247"/>
      <c r="C83" s="224"/>
      <c r="D83" s="227"/>
      <c r="E83" s="227"/>
      <c r="F83" s="243"/>
      <c r="G83" s="244"/>
      <c r="H83" s="244"/>
      <c r="I83" s="26" t="s">
        <v>70</v>
      </c>
      <c r="J83" s="26">
        <v>38</v>
      </c>
      <c r="K83" s="14">
        <v>143100000</v>
      </c>
      <c r="L83" s="14">
        <f>170696000-7000000</f>
        <v>163696000</v>
      </c>
      <c r="M83" s="14">
        <f>167356000-7000000</f>
        <v>160356000</v>
      </c>
      <c r="N83" s="14">
        <v>2934000</v>
      </c>
      <c r="O83" s="14">
        <v>0</v>
      </c>
      <c r="P83" s="14">
        <f t="shared" si="39"/>
        <v>163290000</v>
      </c>
      <c r="Q83" s="14">
        <v>34022000</v>
      </c>
      <c r="R83" s="45">
        <f t="shared" si="40"/>
        <v>0.20783647737269084</v>
      </c>
      <c r="S83" s="95">
        <v>1433333.3333333335</v>
      </c>
      <c r="T83" s="26">
        <f t="shared" si="21"/>
        <v>130785714.94314663</v>
      </c>
      <c r="U83" s="46">
        <f t="shared" si="2"/>
        <v>91.394629589899807</v>
      </c>
      <c r="V83" s="12">
        <f>U83*110000/90</f>
        <v>111704.54727654422</v>
      </c>
      <c r="W83" s="21">
        <f t="shared" si="41"/>
        <v>4244772.7965086801</v>
      </c>
      <c r="X83" s="177"/>
      <c r="Y83" s="246"/>
    </row>
    <row r="84" spans="1:25" ht="12.5">
      <c r="A84" s="222"/>
      <c r="B84" s="247"/>
      <c r="C84" s="224"/>
      <c r="D84" s="227"/>
      <c r="E84" s="227"/>
      <c r="F84" s="243"/>
      <c r="G84" s="244"/>
      <c r="H84" s="244"/>
      <c r="I84" s="26" t="s">
        <v>117</v>
      </c>
      <c r="J84" s="26">
        <v>24</v>
      </c>
      <c r="K84" s="14">
        <v>79200000</v>
      </c>
      <c r="L84" s="14">
        <v>91346000</v>
      </c>
      <c r="M84" s="14">
        <v>85696000</v>
      </c>
      <c r="N84" s="14">
        <v>4995000</v>
      </c>
      <c r="O84" s="14">
        <v>0</v>
      </c>
      <c r="P84" s="14">
        <f t="shared" si="39"/>
        <v>90691000</v>
      </c>
      <c r="Q84" s="14">
        <v>17346000</v>
      </c>
      <c r="R84" s="45">
        <f t="shared" si="40"/>
        <v>0.1898933724519957</v>
      </c>
      <c r="S84" s="95"/>
      <c r="T84" s="26">
        <f t="shared" si="21"/>
        <v>73469380.158956051</v>
      </c>
      <c r="U84" s="46">
        <f t="shared" si="2"/>
        <v>92.764368887570768</v>
      </c>
      <c r="V84" s="12">
        <f>U84*119000/95</f>
        <v>116199.57786969391</v>
      </c>
      <c r="W84" s="21">
        <f t="shared" si="41"/>
        <v>2788789.8688726537</v>
      </c>
      <c r="X84" s="178"/>
      <c r="Y84" s="246"/>
    </row>
    <row r="85" spans="1:25" ht="12.5">
      <c r="A85" s="222"/>
      <c r="B85" s="247"/>
      <c r="C85" s="224"/>
      <c r="D85" s="227"/>
      <c r="E85" s="227"/>
      <c r="F85" s="243"/>
      <c r="G85" s="244"/>
      <c r="H85" s="244"/>
      <c r="I85" s="14" t="s">
        <v>118</v>
      </c>
      <c r="J85" s="14">
        <v>13</v>
      </c>
      <c r="K85" s="14">
        <v>60800000</v>
      </c>
      <c r="L85" s="14">
        <f>52880000+16000000</f>
        <v>68880000</v>
      </c>
      <c r="M85" s="14">
        <f>46808000+16000000</f>
        <v>62808000</v>
      </c>
      <c r="N85" s="14">
        <v>5464800</v>
      </c>
      <c r="O85" s="14">
        <v>0</v>
      </c>
      <c r="P85" s="14">
        <f t="shared" si="39"/>
        <v>68272800</v>
      </c>
      <c r="Q85" s="14">
        <v>11630000</v>
      </c>
      <c r="R85" s="45">
        <f t="shared" si="40"/>
        <v>0.16884436701509872</v>
      </c>
      <c r="S85" s="95"/>
      <c r="T85" s="26">
        <f t="shared" si="21"/>
        <v>56745322.299651571</v>
      </c>
      <c r="U85" s="46">
        <f t="shared" si="2"/>
        <v>93.331122203374292</v>
      </c>
      <c r="V85" s="12">
        <f>U85*119000/95</f>
        <v>116909.51097054254</v>
      </c>
      <c r="W85" s="21">
        <f t="shared" si="41"/>
        <v>1519823.6426170531</v>
      </c>
      <c r="X85" s="178"/>
      <c r="Y85" s="246"/>
    </row>
    <row r="86" spans="1:25" ht="12.5">
      <c r="A86" s="222"/>
      <c r="B86" s="247"/>
      <c r="C86" s="224"/>
      <c r="D86" s="227"/>
      <c r="E86" s="227"/>
      <c r="F86" s="243"/>
      <c r="G86" s="244"/>
      <c r="H86" s="244"/>
      <c r="I86" s="14" t="s">
        <v>119</v>
      </c>
      <c r="J86" s="14">
        <v>7</v>
      </c>
      <c r="K86" s="14">
        <v>23200000</v>
      </c>
      <c r="L86" s="14">
        <v>27629000</v>
      </c>
      <c r="M86" s="14">
        <v>24737000</v>
      </c>
      <c r="N86" s="14">
        <v>0</v>
      </c>
      <c r="O86" s="14">
        <v>0</v>
      </c>
      <c r="P86" s="14">
        <f t="shared" si="39"/>
        <v>24737000</v>
      </c>
      <c r="Q86" s="14">
        <v>5229000</v>
      </c>
      <c r="R86" s="45">
        <f t="shared" si="40"/>
        <v>0.18925766404864455</v>
      </c>
      <c r="S86" s="95"/>
      <c r="T86" s="26">
        <f t="shared" si="21"/>
        <v>20055333.164428681</v>
      </c>
      <c r="U86" s="46">
        <f t="shared" si="2"/>
        <v>86.445401570813289</v>
      </c>
      <c r="V86" s="12">
        <f>U86*100000/85</f>
        <v>101700.47243625092</v>
      </c>
      <c r="W86" s="21">
        <f t="shared" si="41"/>
        <v>711903.30705375643</v>
      </c>
      <c r="X86" s="178"/>
      <c r="Y86" s="246"/>
    </row>
    <row r="87" spans="1:25" ht="14">
      <c r="A87" s="222"/>
      <c r="B87" s="247"/>
      <c r="C87" s="224"/>
      <c r="D87" s="227"/>
      <c r="E87" s="227"/>
      <c r="F87" s="243"/>
      <c r="G87" s="244"/>
      <c r="H87" s="244"/>
      <c r="I87" s="14" t="s">
        <v>120</v>
      </c>
      <c r="J87" s="14">
        <v>18</v>
      </c>
      <c r="K87" s="14">
        <v>61400000</v>
      </c>
      <c r="L87" s="14">
        <f>65416000+3200000</f>
        <v>68616000</v>
      </c>
      <c r="M87" s="14">
        <f>58456000+3200000</f>
        <v>61656000</v>
      </c>
      <c r="N87" s="14">
        <v>3294000</v>
      </c>
      <c r="O87" s="14">
        <v>0</v>
      </c>
      <c r="P87" s="23">
        <f t="shared" si="39"/>
        <v>64950000</v>
      </c>
      <c r="Q87" s="23">
        <v>13216000</v>
      </c>
      <c r="R87" s="45">
        <f t="shared" si="40"/>
        <v>0.19260813804360499</v>
      </c>
      <c r="S87" s="18"/>
      <c r="T87" s="26">
        <f t="shared" si="21"/>
        <v>52440101.43406786</v>
      </c>
      <c r="U87" s="46">
        <f t="shared" si="2"/>
        <v>85.407331325843415</v>
      </c>
      <c r="V87" s="13">
        <f>U87*100000/85</f>
        <v>100479.21332452165</v>
      </c>
      <c r="W87" s="21">
        <f t="shared" si="41"/>
        <v>1808625.8398413898</v>
      </c>
      <c r="X87" s="178"/>
      <c r="Y87" s="246"/>
    </row>
    <row r="88" spans="1:25" ht="12.5">
      <c r="A88" s="222"/>
      <c r="B88" s="247"/>
      <c r="C88" s="224"/>
      <c r="D88" s="227"/>
      <c r="E88" s="227"/>
      <c r="F88" s="243"/>
      <c r="G88" s="244"/>
      <c r="H88" s="244"/>
      <c r="I88" s="23" t="s">
        <v>121</v>
      </c>
      <c r="J88" s="23">
        <v>9</v>
      </c>
      <c r="K88" s="23">
        <v>39000000</v>
      </c>
      <c r="L88" s="23">
        <f>49384000-4000000</f>
        <v>45384000</v>
      </c>
      <c r="M88" s="23">
        <f>49384000-4000000</f>
        <v>45384000</v>
      </c>
      <c r="N88" s="23">
        <v>0</v>
      </c>
      <c r="O88" s="44">
        <v>0</v>
      </c>
      <c r="P88" s="26">
        <f t="shared" si="39"/>
        <v>45384000</v>
      </c>
      <c r="Q88" s="26">
        <v>7384000</v>
      </c>
      <c r="R88" s="33">
        <f t="shared" si="40"/>
        <v>0.16270051119337212</v>
      </c>
      <c r="S88" s="96"/>
      <c r="T88" s="26">
        <f t="shared" si="21"/>
        <v>38000000</v>
      </c>
      <c r="U88" s="46">
        <f t="shared" si="2"/>
        <v>97.435897435897431</v>
      </c>
      <c r="V88" s="16">
        <f>U88*130000/100</f>
        <v>126666.66666666666</v>
      </c>
      <c r="W88" s="21">
        <f t="shared" si="41"/>
        <v>1140000</v>
      </c>
      <c r="X88" s="178"/>
      <c r="Y88" s="246"/>
    </row>
    <row r="89" spans="1:25" ht="12.5">
      <c r="A89" s="222"/>
      <c r="B89" s="247"/>
      <c r="C89" s="224"/>
      <c r="D89" s="227"/>
      <c r="E89" s="227"/>
      <c r="F89" s="243"/>
      <c r="G89" s="244"/>
      <c r="H89" s="244"/>
      <c r="I89" s="26" t="s">
        <v>122</v>
      </c>
      <c r="J89" s="26">
        <v>15</v>
      </c>
      <c r="K89" s="26">
        <v>56900000</v>
      </c>
      <c r="L89" s="26">
        <v>66650000</v>
      </c>
      <c r="M89" s="26">
        <v>62610000</v>
      </c>
      <c r="N89" s="26">
        <v>3636000</v>
      </c>
      <c r="O89" s="44">
        <v>0</v>
      </c>
      <c r="P89" s="26">
        <f t="shared" si="39"/>
        <v>66246000</v>
      </c>
      <c r="Q89" s="26">
        <v>12850000</v>
      </c>
      <c r="R89" s="33">
        <f t="shared" si="40"/>
        <v>0.19279819954988747</v>
      </c>
      <c r="S89" s="97"/>
      <c r="T89" s="26">
        <f t="shared" si="21"/>
        <v>53473890.472618155</v>
      </c>
      <c r="U89" s="46">
        <f t="shared" si="2"/>
        <v>93.978717878063549</v>
      </c>
      <c r="V89" s="16">
        <f>U89*119000/95</f>
        <v>117720.70976304803</v>
      </c>
      <c r="W89" s="15">
        <f t="shared" si="41"/>
        <v>1765810.6464457205</v>
      </c>
      <c r="X89" s="178"/>
      <c r="Y89" s="246"/>
    </row>
    <row r="90" spans="1:25" s="37" customFormat="1" ht="12.5">
      <c r="A90" s="222"/>
      <c r="B90" s="247"/>
      <c r="C90" s="224"/>
      <c r="D90" s="227"/>
      <c r="E90" s="227"/>
      <c r="F90" s="243"/>
      <c r="G90" s="244"/>
      <c r="H90" s="244"/>
      <c r="I90" s="26" t="s">
        <v>123</v>
      </c>
      <c r="J90" s="26">
        <v>7</v>
      </c>
      <c r="K90" s="26">
        <v>19000000</v>
      </c>
      <c r="L90" s="30">
        <f>25234000-3000000</f>
        <v>22234000</v>
      </c>
      <c r="M90" s="30">
        <f>25197667-3000000</f>
        <v>22197667</v>
      </c>
      <c r="N90" s="30">
        <v>0</v>
      </c>
      <c r="O90" s="32">
        <v>0</v>
      </c>
      <c r="P90" s="30">
        <f t="shared" si="39"/>
        <v>22197667</v>
      </c>
      <c r="Q90" s="30">
        <v>3634000</v>
      </c>
      <c r="R90" s="33">
        <f t="shared" si="40"/>
        <v>0.16344337501124404</v>
      </c>
      <c r="S90" s="98"/>
      <c r="T90" s="30">
        <f t="shared" si="21"/>
        <v>18569605.388144284</v>
      </c>
      <c r="U90" s="34">
        <f t="shared" si="2"/>
        <v>97.734765200759384</v>
      </c>
      <c r="V90" s="16">
        <f>U90*130000/100</f>
        <v>127055.1947609872</v>
      </c>
      <c r="W90" s="16">
        <f t="shared" si="41"/>
        <v>889386.36332691042</v>
      </c>
      <c r="X90" s="263"/>
      <c r="Y90" s="246"/>
    </row>
    <row r="91" spans="1:25" s="37" customFormat="1" ht="15.5">
      <c r="A91" s="222"/>
      <c r="B91" s="247"/>
      <c r="C91" s="224"/>
      <c r="D91" s="227"/>
      <c r="E91" s="227"/>
      <c r="F91" s="243"/>
      <c r="G91" s="244"/>
      <c r="H91" s="244"/>
      <c r="I91" s="26" t="s">
        <v>124</v>
      </c>
      <c r="J91" s="26">
        <v>9</v>
      </c>
      <c r="K91" s="32">
        <v>40500000</v>
      </c>
      <c r="L91" s="26">
        <f>47092100-4000000</f>
        <v>43092100</v>
      </c>
      <c r="M91" s="26">
        <f>47092000-4000000</f>
        <v>43092000</v>
      </c>
      <c r="N91" s="26">
        <v>0</v>
      </c>
      <c r="O91" s="26">
        <v>0</v>
      </c>
      <c r="P91" s="30">
        <f t="shared" si="39"/>
        <v>43092000</v>
      </c>
      <c r="Q91" s="26">
        <v>7392100</v>
      </c>
      <c r="R91" s="33">
        <f t="shared" si="40"/>
        <v>0.17154188354710029</v>
      </c>
      <c r="S91" s="99"/>
      <c r="T91" s="30">
        <f t="shared" si="21"/>
        <v>35699917.154188357</v>
      </c>
      <c r="U91" s="34">
        <f t="shared" si="2"/>
        <v>88.14794359058854</v>
      </c>
      <c r="V91" s="63">
        <f>U91*109000/90</f>
        <v>106756.95390415724</v>
      </c>
      <c r="W91" s="16">
        <f t="shared" si="41"/>
        <v>960812.58513741521</v>
      </c>
      <c r="X91" s="263"/>
      <c r="Y91" s="246"/>
    </row>
    <row r="92" spans="1:25" ht="12.5">
      <c r="A92" s="222"/>
      <c r="B92" s="247"/>
      <c r="C92" s="224"/>
      <c r="D92" s="227"/>
      <c r="E92" s="227"/>
      <c r="F92" s="243"/>
      <c r="G92" s="244"/>
      <c r="H92" s="244"/>
      <c r="I92" s="26" t="s">
        <v>126</v>
      </c>
      <c r="J92" s="37">
        <v>15</v>
      </c>
      <c r="K92" s="25">
        <v>67300000</v>
      </c>
      <c r="L92" s="66">
        <v>85661000</v>
      </c>
      <c r="M92" s="66">
        <v>79969000</v>
      </c>
      <c r="N92" s="66">
        <v>5122800</v>
      </c>
      <c r="O92" s="66">
        <v>0</v>
      </c>
      <c r="P92" s="26">
        <f t="shared" si="39"/>
        <v>85091800</v>
      </c>
      <c r="Q92" s="66">
        <v>17861000</v>
      </c>
      <c r="R92" s="45">
        <f t="shared" si="40"/>
        <v>0.20850795577917605</v>
      </c>
      <c r="S92" s="97"/>
      <c r="T92" s="26">
        <f t="shared" si="21"/>
        <v>67349482.728429511</v>
      </c>
      <c r="U92" s="46">
        <f t="shared" si="2"/>
        <v>100.07352559944948</v>
      </c>
      <c r="V92" s="16">
        <f>U92*130000/100</f>
        <v>130095.58327928433</v>
      </c>
      <c r="W92" s="16">
        <f t="shared" si="41"/>
        <v>1951433.7491892648</v>
      </c>
      <c r="X92" s="263"/>
      <c r="Y92" s="246"/>
    </row>
    <row r="93" spans="1:25" ht="12.5">
      <c r="A93" s="222"/>
      <c r="B93" s="247"/>
      <c r="C93" s="224"/>
      <c r="D93" s="227"/>
      <c r="E93" s="227"/>
      <c r="F93" s="243"/>
      <c r="G93" s="244"/>
      <c r="H93" s="244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263"/>
      <c r="Y93" s="246"/>
    </row>
    <row r="94" spans="1:25" ht="13">
      <c r="A94" s="179"/>
      <c r="B94" s="180"/>
      <c r="C94" s="258"/>
      <c r="D94" s="227"/>
      <c r="E94" s="262"/>
      <c r="F94" s="243"/>
      <c r="G94" s="244"/>
      <c r="H94" s="244"/>
      <c r="I94" s="59">
        <v>12</v>
      </c>
      <c r="J94" s="52">
        <f t="shared" ref="J94:Q94" si="42">SUM(J81:J93)</f>
        <v>173</v>
      </c>
      <c r="K94" s="52">
        <f t="shared" si="42"/>
        <v>678100000</v>
      </c>
      <c r="L94" s="52">
        <f t="shared" si="42"/>
        <v>780224300</v>
      </c>
      <c r="M94" s="52">
        <f t="shared" si="42"/>
        <v>740465667</v>
      </c>
      <c r="N94" s="52">
        <f t="shared" si="42"/>
        <v>25446600</v>
      </c>
      <c r="O94" s="52">
        <f t="shared" si="42"/>
        <v>0</v>
      </c>
      <c r="P94" s="52">
        <f t="shared" si="42"/>
        <v>765912267</v>
      </c>
      <c r="Q94" s="52">
        <f t="shared" si="42"/>
        <v>148964300</v>
      </c>
      <c r="R94" s="61"/>
      <c r="S94" s="52">
        <f>SUM(S81:S92)</f>
        <v>5253333.333333334</v>
      </c>
      <c r="T94" s="52">
        <f>SUM(T81:T93)</f>
        <v>624802211.10616112</v>
      </c>
      <c r="U94" s="55">
        <f>(T94/K94)*100</f>
        <v>92.140128462787359</v>
      </c>
      <c r="V94" s="74"/>
      <c r="W94" s="52">
        <f>SUM(W81:W92)</f>
        <v>19727242.509878941</v>
      </c>
      <c r="X94" s="263"/>
      <c r="Y94" s="246"/>
    </row>
    <row r="95" spans="1:25" ht="12.5">
      <c r="A95" s="251" t="s">
        <v>127</v>
      </c>
      <c r="B95" s="266" t="s">
        <v>128</v>
      </c>
      <c r="C95" s="263" t="s">
        <v>35</v>
      </c>
      <c r="D95" s="181"/>
      <c r="E95" s="181">
        <v>500000</v>
      </c>
      <c r="F95" s="181">
        <v>500000</v>
      </c>
      <c r="G95" s="181"/>
      <c r="H95" s="181"/>
      <c r="I95" s="26" t="s">
        <v>130</v>
      </c>
      <c r="J95" s="26">
        <v>8</v>
      </c>
      <c r="K95" s="26">
        <v>31100000</v>
      </c>
      <c r="L95" s="56">
        <f>40446000-6800000</f>
        <v>33646000</v>
      </c>
      <c r="M95" s="56">
        <f>28158000-6800000</f>
        <v>21358000</v>
      </c>
      <c r="N95" s="56">
        <v>0</v>
      </c>
      <c r="O95" s="56">
        <v>0</v>
      </c>
      <c r="P95" s="14">
        <f>SUM(M95:O95)</f>
        <v>21358000</v>
      </c>
      <c r="Q95" s="56">
        <v>5046000</v>
      </c>
      <c r="R95" s="45">
        <f t="shared" ref="R95:R106" si="43">Q95/L95</f>
        <v>0.14997325090649705</v>
      </c>
      <c r="S95" s="56"/>
      <c r="T95" s="26">
        <f>P95-(P95*R95)+S95</f>
        <v>18154871.307139035</v>
      </c>
      <c r="U95" s="46">
        <f>(T95/K95)*100</f>
        <v>58.375791984369883</v>
      </c>
      <c r="V95" s="12"/>
      <c r="W95" s="21">
        <f>(120000*J95)*10%</f>
        <v>96000</v>
      </c>
      <c r="X95" s="181">
        <f>W108+D95+G95+F95+H95+E95</f>
        <v>17955114.499585316</v>
      </c>
      <c r="Y95" s="101"/>
    </row>
    <row r="96" spans="1:25" ht="12.5">
      <c r="A96" s="251"/>
      <c r="B96" s="266"/>
      <c r="C96" s="182"/>
      <c r="D96" s="244"/>
      <c r="E96" s="244"/>
      <c r="F96" s="244"/>
      <c r="G96" s="244"/>
      <c r="H96" s="244"/>
      <c r="I96" s="26" t="s">
        <v>38</v>
      </c>
      <c r="J96" s="26">
        <v>6</v>
      </c>
      <c r="K96" s="26">
        <v>26100000</v>
      </c>
      <c r="L96" s="56">
        <v>27722200</v>
      </c>
      <c r="M96" s="56">
        <v>27601400</v>
      </c>
      <c r="N96" s="56">
        <v>94500</v>
      </c>
      <c r="O96" s="56">
        <v>0</v>
      </c>
      <c r="P96" s="14">
        <f t="shared" ref="P96:P97" si="44">SUM(M96:O96)</f>
        <v>27695900</v>
      </c>
      <c r="Q96" s="56">
        <v>4266400</v>
      </c>
      <c r="R96" s="45">
        <f t="shared" si="43"/>
        <v>0.15389831975817214</v>
      </c>
      <c r="S96" s="56"/>
      <c r="T96" s="26">
        <f t="shared" ref="T96:T106" si="45">P96-(P96*R96)+S96</f>
        <v>23433547.525809638</v>
      </c>
      <c r="U96" s="46">
        <f t="shared" ref="U96:U97" si="46">(T96/K96)*100</f>
        <v>89.783706995439232</v>
      </c>
      <c r="V96" s="12">
        <f>U96*99000/90</f>
        <v>98762.077694983163</v>
      </c>
      <c r="W96" s="21">
        <f t="shared" ref="W96:W106" si="47">V96*J96</f>
        <v>592572.46616989898</v>
      </c>
      <c r="X96" s="244"/>
      <c r="Y96" s="101"/>
    </row>
    <row r="97" spans="1:25" ht="12.5">
      <c r="A97" s="251"/>
      <c r="B97" s="266"/>
      <c r="C97" s="182"/>
      <c r="D97" s="244"/>
      <c r="E97" s="244"/>
      <c r="F97" s="244"/>
      <c r="G97" s="244"/>
      <c r="H97" s="244"/>
      <c r="I97" s="26" t="s">
        <v>39</v>
      </c>
      <c r="J97" s="26">
        <v>13</v>
      </c>
      <c r="K97" s="26">
        <v>48000000</v>
      </c>
      <c r="L97" s="56">
        <v>55283000</v>
      </c>
      <c r="M97" s="56">
        <v>55283000</v>
      </c>
      <c r="N97" s="56">
        <v>0</v>
      </c>
      <c r="O97" s="56">
        <v>0</v>
      </c>
      <c r="P97" s="14">
        <f t="shared" si="44"/>
        <v>55283000</v>
      </c>
      <c r="Q97" s="56">
        <v>8883000</v>
      </c>
      <c r="R97" s="45">
        <f t="shared" si="43"/>
        <v>0.16068230740010492</v>
      </c>
      <c r="S97" s="56"/>
      <c r="T97" s="26">
        <f t="shared" si="45"/>
        <v>46400000</v>
      </c>
      <c r="U97" s="46">
        <f t="shared" si="46"/>
        <v>96.666666666666671</v>
      </c>
      <c r="V97" s="12">
        <f t="shared" ref="V97" si="48">U97*110000/95</f>
        <v>111929.82456140351</v>
      </c>
      <c r="W97" s="21">
        <f t="shared" si="47"/>
        <v>1455087.7192982456</v>
      </c>
      <c r="X97" s="244"/>
      <c r="Y97" s="101"/>
    </row>
    <row r="98" spans="1:25" ht="12.5">
      <c r="A98" s="251"/>
      <c r="B98" s="266"/>
      <c r="C98" s="182"/>
      <c r="D98" s="244"/>
      <c r="E98" s="244"/>
      <c r="F98" s="244"/>
      <c r="G98" s="244"/>
      <c r="H98" s="244"/>
      <c r="I98" s="26" t="s">
        <v>131</v>
      </c>
      <c r="J98" s="26">
        <v>6</v>
      </c>
      <c r="K98" s="26">
        <v>37500000</v>
      </c>
      <c r="L98" s="56">
        <v>42359000</v>
      </c>
      <c r="M98" s="56">
        <v>36669000</v>
      </c>
      <c r="N98" s="56">
        <v>0</v>
      </c>
      <c r="O98" s="56">
        <v>0</v>
      </c>
      <c r="P98" s="14">
        <f>SUM(M98:O98)</f>
        <v>36669000</v>
      </c>
      <c r="Q98" s="56">
        <v>6659000</v>
      </c>
      <c r="R98" s="45">
        <f t="shared" si="43"/>
        <v>0.15720389999763923</v>
      </c>
      <c r="S98" s="56">
        <v>1833333.3333333335</v>
      </c>
      <c r="T98" s="26">
        <f t="shared" si="45"/>
        <v>32737823.524319898</v>
      </c>
      <c r="U98" s="46">
        <f>(T98/K98)*100</f>
        <v>87.300862731519729</v>
      </c>
      <c r="V98" s="12">
        <f>U98*99000/90</f>
        <v>96030.949004671696</v>
      </c>
      <c r="W98" s="21">
        <f t="shared" si="47"/>
        <v>576185.69402803015</v>
      </c>
      <c r="X98" s="244"/>
      <c r="Y98" s="101"/>
    </row>
    <row r="99" spans="1:25" ht="12.5">
      <c r="A99" s="251"/>
      <c r="B99" s="266"/>
      <c r="C99" s="182"/>
      <c r="D99" s="244"/>
      <c r="E99" s="244"/>
      <c r="F99" s="244"/>
      <c r="G99" s="244"/>
      <c r="H99" s="244"/>
      <c r="I99" s="30" t="s">
        <v>132</v>
      </c>
      <c r="J99" s="30">
        <v>17</v>
      </c>
      <c r="K99" s="32">
        <v>55200000</v>
      </c>
      <c r="L99" s="56">
        <v>64181000</v>
      </c>
      <c r="M99" s="56">
        <v>55841000</v>
      </c>
      <c r="N99" s="56">
        <v>0</v>
      </c>
      <c r="O99" s="56">
        <v>0</v>
      </c>
      <c r="P99" s="14">
        <f>SUM(M99:O99)</f>
        <v>55841000</v>
      </c>
      <c r="Q99" s="56">
        <v>12781000</v>
      </c>
      <c r="R99" s="45">
        <f t="shared" si="43"/>
        <v>0.19913993237874136</v>
      </c>
      <c r="S99" s="56">
        <v>2216666.666666667</v>
      </c>
      <c r="T99" s="26">
        <f t="shared" si="45"/>
        <v>46937493.702705368</v>
      </c>
      <c r="U99" s="46">
        <f>(T99/K99)*100</f>
        <v>85.031691490408278</v>
      </c>
      <c r="V99" s="12">
        <f>U99*90000/85</f>
        <v>90033.55569572642</v>
      </c>
      <c r="W99" s="21">
        <f>V99*J99</f>
        <v>1530570.4468273493</v>
      </c>
      <c r="X99" s="244"/>
      <c r="Y99" s="101"/>
    </row>
    <row r="100" spans="1:25" ht="12.5">
      <c r="A100" s="251"/>
      <c r="B100" s="266"/>
      <c r="C100" s="182"/>
      <c r="D100" s="244"/>
      <c r="E100" s="244"/>
      <c r="F100" s="244"/>
      <c r="G100" s="244"/>
      <c r="H100" s="244"/>
      <c r="I100" s="26" t="s">
        <v>40</v>
      </c>
      <c r="J100" s="26">
        <v>10</v>
      </c>
      <c r="K100" s="26">
        <v>40000000</v>
      </c>
      <c r="L100" s="56">
        <v>50232000</v>
      </c>
      <c r="M100" s="56">
        <v>50267000</v>
      </c>
      <c r="N100" s="56">
        <v>0</v>
      </c>
      <c r="O100" s="56">
        <v>0</v>
      </c>
      <c r="P100" s="14">
        <f t="shared" ref="P100:P101" si="49">SUM(M100:O100)</f>
        <v>50267000</v>
      </c>
      <c r="Q100" s="56">
        <v>10632000</v>
      </c>
      <c r="R100" s="45">
        <f t="shared" si="43"/>
        <v>0.21165790731008122</v>
      </c>
      <c r="S100" s="56"/>
      <c r="T100" s="26">
        <f t="shared" si="45"/>
        <v>39627591.973244146</v>
      </c>
      <c r="U100" s="46">
        <f t="shared" ref="U100:U102" si="50">(T100/K100)*100</f>
        <v>99.06897993311037</v>
      </c>
      <c r="V100" s="12">
        <f>U100*120000/100</f>
        <v>118882.77591973245</v>
      </c>
      <c r="W100" s="21">
        <f t="shared" ref="W100:W101" si="51">V100*J100</f>
        <v>1188827.7591973245</v>
      </c>
      <c r="X100" s="244"/>
      <c r="Y100" s="101"/>
    </row>
    <row r="101" spans="1:25" ht="12.5">
      <c r="A101" s="251"/>
      <c r="B101" s="266"/>
      <c r="C101" s="182"/>
      <c r="D101" s="244"/>
      <c r="E101" s="244"/>
      <c r="F101" s="244"/>
      <c r="G101" s="244"/>
      <c r="H101" s="244"/>
      <c r="I101" s="26" t="s">
        <v>71</v>
      </c>
      <c r="J101" s="26">
        <v>12</v>
      </c>
      <c r="K101" s="26">
        <v>57600000</v>
      </c>
      <c r="L101" s="56">
        <f>64091000-4300000</f>
        <v>59791000</v>
      </c>
      <c r="M101" s="56">
        <f>64095000-4300000</f>
        <v>59795000</v>
      </c>
      <c r="N101" s="56">
        <v>0</v>
      </c>
      <c r="O101" s="56">
        <v>0</v>
      </c>
      <c r="P101" s="14">
        <f t="shared" si="49"/>
        <v>59795000</v>
      </c>
      <c r="Q101" s="56">
        <v>10627000</v>
      </c>
      <c r="R101" s="45">
        <f t="shared" si="43"/>
        <v>0.17773577963238615</v>
      </c>
      <c r="S101" s="56">
        <v>1666666.6666666665</v>
      </c>
      <c r="T101" s="26">
        <f t="shared" si="45"/>
        <v>50833955.723548137</v>
      </c>
      <c r="U101" s="46">
        <f t="shared" si="50"/>
        <v>88.253395353382174</v>
      </c>
      <c r="V101" s="12">
        <f>U101*99000/90</f>
        <v>97078.734888720384</v>
      </c>
      <c r="W101" s="21">
        <f t="shared" si="51"/>
        <v>1164944.8186646446</v>
      </c>
      <c r="X101" s="244"/>
      <c r="Y101" s="101"/>
    </row>
    <row r="102" spans="1:25" ht="12.5">
      <c r="A102" s="251"/>
      <c r="B102" s="266"/>
      <c r="C102" s="182"/>
      <c r="D102" s="244"/>
      <c r="E102" s="244"/>
      <c r="F102" s="244"/>
      <c r="G102" s="244"/>
      <c r="H102" s="244"/>
      <c r="I102" s="26" t="s">
        <v>133</v>
      </c>
      <c r="J102" s="83">
        <v>18</v>
      </c>
      <c r="K102" s="56">
        <v>64200000</v>
      </c>
      <c r="L102" s="56">
        <f>70256800-3600000</f>
        <v>66656800</v>
      </c>
      <c r="M102" s="56">
        <f>59910000-3600000</f>
        <v>56310000</v>
      </c>
      <c r="N102" s="56">
        <v>8591400</v>
      </c>
      <c r="O102" s="56">
        <v>0</v>
      </c>
      <c r="P102" s="14">
        <f>SUM(M102:O102)</f>
        <v>64901400</v>
      </c>
      <c r="Q102" s="56">
        <v>12146800</v>
      </c>
      <c r="R102" s="45">
        <f t="shared" si="43"/>
        <v>0.18222896988754336</v>
      </c>
      <c r="S102" s="56">
        <v>2453333.3333333335</v>
      </c>
      <c r="T102" s="26">
        <f t="shared" si="45"/>
        <v>55527818.067073926</v>
      </c>
      <c r="U102" s="46">
        <f t="shared" si="50"/>
        <v>86.49192845338618</v>
      </c>
      <c r="V102" s="12">
        <f>U102*90000/85</f>
        <v>91579.688950644195</v>
      </c>
      <c r="W102" s="21">
        <f t="shared" si="47"/>
        <v>1648434.4011115956</v>
      </c>
      <c r="X102" s="244"/>
      <c r="Y102" s="101"/>
    </row>
    <row r="103" spans="1:25" ht="12.5">
      <c r="A103" s="251"/>
      <c r="B103" s="266"/>
      <c r="C103" s="182"/>
      <c r="D103" s="244"/>
      <c r="E103" s="244"/>
      <c r="F103" s="244"/>
      <c r="G103" s="244"/>
      <c r="H103" s="244"/>
      <c r="I103" s="26" t="s">
        <v>134</v>
      </c>
      <c r="J103" s="83">
        <v>10</v>
      </c>
      <c r="K103" s="56">
        <v>35200000</v>
      </c>
      <c r="L103" s="56">
        <f>40716000-3400000</f>
        <v>37316000</v>
      </c>
      <c r="M103" s="102">
        <f>40716000-3400000</f>
        <v>37316000</v>
      </c>
      <c r="N103" s="56">
        <v>0</v>
      </c>
      <c r="O103" s="56">
        <v>0</v>
      </c>
      <c r="P103" s="14">
        <f t="shared" ref="P103:P106" si="52">SUM(M103:O103)</f>
        <v>37316000</v>
      </c>
      <c r="Q103" s="56">
        <v>5716000</v>
      </c>
      <c r="R103" s="45">
        <f t="shared" si="43"/>
        <v>0.1531782613356201</v>
      </c>
      <c r="S103" s="56">
        <f>1283333.33333333+2000000</f>
        <v>3283333.3333333302</v>
      </c>
      <c r="T103" s="26">
        <f t="shared" si="45"/>
        <v>34883333.333333328</v>
      </c>
      <c r="U103" s="46">
        <f>(T103/K103)*100</f>
        <v>99.100378787878768</v>
      </c>
      <c r="V103" s="12">
        <f>U103*120000/100</f>
        <v>118920.45454545452</v>
      </c>
      <c r="W103" s="21">
        <f t="shared" si="47"/>
        <v>1189204.5454545452</v>
      </c>
      <c r="X103" s="244"/>
      <c r="Y103" s="101"/>
    </row>
    <row r="104" spans="1:25" ht="13">
      <c r="A104" s="251"/>
      <c r="B104" s="266"/>
      <c r="C104" s="182"/>
      <c r="D104" s="244"/>
      <c r="E104" s="244"/>
      <c r="F104" s="244"/>
      <c r="G104" s="244"/>
      <c r="H104" s="244"/>
      <c r="I104" s="26" t="s">
        <v>135</v>
      </c>
      <c r="J104" s="56">
        <v>26</v>
      </c>
      <c r="K104" s="56">
        <v>140500000</v>
      </c>
      <c r="L104" s="56">
        <f>161450000+5400000-15000000</f>
        <v>151850000</v>
      </c>
      <c r="M104" s="56">
        <f>149087000+5400000-15000000</f>
        <v>139487000</v>
      </c>
      <c r="N104" s="56">
        <v>5440500</v>
      </c>
      <c r="O104" s="56">
        <v>0</v>
      </c>
      <c r="P104" s="14">
        <f t="shared" si="52"/>
        <v>144927500</v>
      </c>
      <c r="Q104" s="56">
        <v>22243000</v>
      </c>
      <c r="R104" s="45">
        <f t="shared" si="43"/>
        <v>0.14648007902535395</v>
      </c>
      <c r="S104" s="72">
        <f>3360000+3360000</f>
        <v>6720000</v>
      </c>
      <c r="T104" s="26">
        <f t="shared" si="45"/>
        <v>130418508.34705302</v>
      </c>
      <c r="U104" s="46">
        <f>(T104/K104)*100</f>
        <v>92.824561101105346</v>
      </c>
      <c r="V104" s="12">
        <f>U104*109000/95</f>
        <v>106503.97010547876</v>
      </c>
      <c r="W104" s="21">
        <f t="shared" si="47"/>
        <v>2769103.2227424476</v>
      </c>
      <c r="X104" s="244"/>
      <c r="Y104" s="101"/>
    </row>
    <row r="105" spans="1:25" ht="13">
      <c r="A105" s="251"/>
      <c r="B105" s="266"/>
      <c r="C105" s="182"/>
      <c r="D105" s="244"/>
      <c r="E105" s="244"/>
      <c r="F105" s="244"/>
      <c r="G105" s="244"/>
      <c r="H105" s="244"/>
      <c r="I105" s="26" t="s">
        <v>136</v>
      </c>
      <c r="J105" s="56">
        <v>18</v>
      </c>
      <c r="K105" s="56">
        <v>74900000</v>
      </c>
      <c r="L105" s="56">
        <v>84505000</v>
      </c>
      <c r="M105" s="56">
        <v>79981000</v>
      </c>
      <c r="N105" s="56">
        <v>0</v>
      </c>
      <c r="O105" s="56">
        <v>0</v>
      </c>
      <c r="P105" s="14">
        <f t="shared" si="52"/>
        <v>79981000</v>
      </c>
      <c r="Q105" s="72">
        <v>13938000</v>
      </c>
      <c r="R105" s="45">
        <f t="shared" si="43"/>
        <v>0.16493698597716111</v>
      </c>
      <c r="S105" s="56">
        <f>2800000+3800000</f>
        <v>6600000</v>
      </c>
      <c r="T105" s="26">
        <f t="shared" si="45"/>
        <v>73389174.924560681</v>
      </c>
      <c r="U105" s="46">
        <f>(T105/K105)*100</f>
        <v>97.982877068839358</v>
      </c>
      <c r="V105" s="12">
        <f>U105*120000/100</f>
        <v>117579.45248260723</v>
      </c>
      <c r="W105" s="21">
        <f t="shared" si="47"/>
        <v>2116430.1446869303</v>
      </c>
      <c r="X105" s="244"/>
      <c r="Y105" s="101"/>
    </row>
    <row r="106" spans="1:25" ht="13">
      <c r="A106" s="251"/>
      <c r="B106" s="266"/>
      <c r="C106" s="182"/>
      <c r="D106" s="244"/>
      <c r="E106" s="244"/>
      <c r="F106" s="244"/>
      <c r="G106" s="244"/>
      <c r="H106" s="244"/>
      <c r="I106" s="30" t="s">
        <v>137</v>
      </c>
      <c r="J106" s="77">
        <v>27</v>
      </c>
      <c r="K106" s="77">
        <v>121000000</v>
      </c>
      <c r="L106" s="77">
        <f>147266000-17100000</f>
        <v>130166000</v>
      </c>
      <c r="M106" s="77">
        <f>123991000-17100000</f>
        <v>106891000</v>
      </c>
      <c r="N106" s="77">
        <v>7716600</v>
      </c>
      <c r="O106" s="77">
        <v>10410400</v>
      </c>
      <c r="P106" s="23">
        <f t="shared" si="52"/>
        <v>125018000</v>
      </c>
      <c r="Q106" s="115">
        <v>18701000</v>
      </c>
      <c r="R106" s="33">
        <f t="shared" si="43"/>
        <v>0.14367039011723493</v>
      </c>
      <c r="S106" s="77"/>
      <c r="T106" s="30">
        <f t="shared" si="45"/>
        <v>107056615.16832352</v>
      </c>
      <c r="U106" s="34">
        <f>(T106/K106)*100</f>
        <v>88.476541461424389</v>
      </c>
      <c r="V106" s="12">
        <f>U106*99000/90</f>
        <v>97324.195607566828</v>
      </c>
      <c r="W106" s="21">
        <f t="shared" si="47"/>
        <v>2627753.2814043043</v>
      </c>
      <c r="X106" s="244"/>
      <c r="Y106" s="101"/>
    </row>
    <row r="107" spans="1:25" ht="12.5">
      <c r="A107" s="251"/>
      <c r="B107" s="266"/>
      <c r="C107" s="260"/>
      <c r="D107" s="244"/>
      <c r="E107" s="244"/>
      <c r="F107" s="244"/>
      <c r="G107" s="244"/>
      <c r="H107" s="244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16"/>
      <c r="Y107" s="101"/>
    </row>
    <row r="108" spans="1:25" ht="13">
      <c r="A108" s="179"/>
      <c r="B108" s="180"/>
      <c r="C108" s="261"/>
      <c r="D108" s="245"/>
      <c r="E108" s="245"/>
      <c r="F108" s="245"/>
      <c r="G108" s="245"/>
      <c r="H108" s="245"/>
      <c r="I108" s="59">
        <v>12</v>
      </c>
      <c r="J108" s="52">
        <f>SUM(J95:J106)</f>
        <v>171</v>
      </c>
      <c r="K108" s="52">
        <f t="shared" ref="K108:Q108" si="53">SUM(K95:K106)</f>
        <v>731300000</v>
      </c>
      <c r="L108" s="52">
        <f t="shared" si="53"/>
        <v>803708000</v>
      </c>
      <c r="M108" s="52">
        <f>SUM(M95:M106)</f>
        <v>726799400</v>
      </c>
      <c r="N108" s="52">
        <f t="shared" si="53"/>
        <v>21843000</v>
      </c>
      <c r="O108" s="52">
        <f t="shared" si="53"/>
        <v>10410400</v>
      </c>
      <c r="P108" s="52">
        <f t="shared" si="53"/>
        <v>759052800</v>
      </c>
      <c r="Q108" s="52">
        <f t="shared" si="53"/>
        <v>131639200</v>
      </c>
      <c r="R108" s="61"/>
      <c r="S108" s="52">
        <f>SUM(S95:S106)</f>
        <v>24773333.333333328</v>
      </c>
      <c r="T108" s="52">
        <f>SUM(T95:T106)</f>
        <v>659400733.59711063</v>
      </c>
      <c r="U108" s="55">
        <f>(T108/K108)*100</f>
        <v>90.168293941899449</v>
      </c>
      <c r="V108" s="74"/>
      <c r="W108" s="52">
        <f>SUM(W95:W106)</f>
        <v>16955114.499585316</v>
      </c>
      <c r="X108" s="24"/>
      <c r="Y108" s="101"/>
    </row>
    <row r="109" spans="1:25" ht="13" customHeight="1">
      <c r="A109" s="222" t="s">
        <v>138</v>
      </c>
      <c r="B109" s="247" t="s">
        <v>139</v>
      </c>
      <c r="C109" s="223" t="s">
        <v>35</v>
      </c>
      <c r="D109" s="226"/>
      <c r="E109" s="227">
        <v>500000</v>
      </c>
      <c r="F109" s="243">
        <v>500000</v>
      </c>
      <c r="G109" s="181"/>
      <c r="H109" s="181"/>
      <c r="I109" s="26" t="s">
        <v>140</v>
      </c>
      <c r="J109" s="26">
        <v>9</v>
      </c>
      <c r="K109" s="26">
        <v>29000000</v>
      </c>
      <c r="L109" s="103">
        <v>33612000</v>
      </c>
      <c r="M109" s="103">
        <v>30272000</v>
      </c>
      <c r="N109" s="103">
        <v>0</v>
      </c>
      <c r="O109" s="103">
        <v>0</v>
      </c>
      <c r="P109" s="26">
        <f>SUM(M109:O109)</f>
        <v>30272000</v>
      </c>
      <c r="Q109" s="103">
        <v>5412000</v>
      </c>
      <c r="R109" s="45">
        <f>Q109/L109</f>
        <v>0.16101392359871475</v>
      </c>
      <c r="S109" s="103">
        <v>2583333.333333333</v>
      </c>
      <c r="T109" s="26">
        <f>P109-(P109*R109)+S109</f>
        <v>27981119.838153038</v>
      </c>
      <c r="U109" s="46">
        <f t="shared" ref="U109:U118" si="54">(T109/K109)*100</f>
        <v>96.486620131562191</v>
      </c>
      <c r="V109" s="12">
        <f>U109*110000/95</f>
        <v>111721.34962601938</v>
      </c>
      <c r="W109" s="58">
        <f>V109*J109</f>
        <v>1005492.1466341744</v>
      </c>
      <c r="X109" s="181">
        <f>D109+F109+G109+H109+W120+E109</f>
        <v>14524152.895422941</v>
      </c>
      <c r="Y109" s="101"/>
    </row>
    <row r="110" spans="1:25" ht="13" customHeight="1">
      <c r="A110" s="222"/>
      <c r="B110" s="247"/>
      <c r="C110" s="224"/>
      <c r="D110" s="227"/>
      <c r="E110" s="227"/>
      <c r="F110" s="243"/>
      <c r="G110" s="244"/>
      <c r="H110" s="244"/>
      <c r="I110" s="26" t="s">
        <v>141</v>
      </c>
      <c r="J110" s="26">
        <v>8</v>
      </c>
      <c r="K110" s="26">
        <v>30600000</v>
      </c>
      <c r="L110" s="103">
        <v>26058000</v>
      </c>
      <c r="M110" s="103">
        <v>26058000</v>
      </c>
      <c r="N110" s="103">
        <v>0</v>
      </c>
      <c r="O110" s="103">
        <v>0</v>
      </c>
      <c r="P110" s="26">
        <f t="shared" ref="P110:P119" si="55">SUM(M110:O110)</f>
        <v>26058000</v>
      </c>
      <c r="Q110" s="103">
        <v>4258000</v>
      </c>
      <c r="R110" s="45">
        <f t="shared" ref="R110:R118" si="56">Q110/L110</f>
        <v>0.16340471256427969</v>
      </c>
      <c r="S110" s="103">
        <v>3816666.666666667</v>
      </c>
      <c r="T110" s="26">
        <f t="shared" ref="T110:T119" si="57">P110-(P110*R110)+S110</f>
        <v>25616666.666666668</v>
      </c>
      <c r="U110" s="46">
        <f t="shared" si="54"/>
        <v>83.714596949891074</v>
      </c>
      <c r="V110" s="12">
        <f>U110*89000/85</f>
        <v>87654.107394591832</v>
      </c>
      <c r="W110" s="58">
        <f t="shared" ref="W110:W119" si="58">V110*J110</f>
        <v>701232.85915673466</v>
      </c>
      <c r="X110" s="244"/>
      <c r="Y110" s="101"/>
    </row>
    <row r="111" spans="1:25" ht="13" customHeight="1">
      <c r="A111" s="222"/>
      <c r="B111" s="247"/>
      <c r="C111" s="224"/>
      <c r="D111" s="227"/>
      <c r="E111" s="227"/>
      <c r="F111" s="243"/>
      <c r="G111" s="244"/>
      <c r="H111" s="244"/>
      <c r="I111" s="66" t="s">
        <v>142</v>
      </c>
      <c r="J111" s="66">
        <v>11</v>
      </c>
      <c r="K111" s="44">
        <v>37400000</v>
      </c>
      <c r="L111" s="103">
        <v>36382000</v>
      </c>
      <c r="M111" s="103">
        <v>36382000</v>
      </c>
      <c r="N111" s="103">
        <v>0</v>
      </c>
      <c r="O111" s="103">
        <v>0</v>
      </c>
      <c r="P111" s="26">
        <f t="shared" si="55"/>
        <v>36382000</v>
      </c>
      <c r="Q111" s="103">
        <v>7982000</v>
      </c>
      <c r="R111" s="45">
        <f t="shared" si="56"/>
        <v>0.21939420592600736</v>
      </c>
      <c r="S111" s="103"/>
      <c r="T111" s="26">
        <f t="shared" si="57"/>
        <v>28400000</v>
      </c>
      <c r="U111" s="46">
        <f t="shared" si="54"/>
        <v>75.935828877005349</v>
      </c>
      <c r="V111" s="12">
        <f>U111*70000/75</f>
        <v>70873.440285204997</v>
      </c>
      <c r="W111" s="58">
        <f t="shared" si="58"/>
        <v>779607.84313725494</v>
      </c>
      <c r="X111" s="244"/>
      <c r="Y111" s="101"/>
    </row>
    <row r="112" spans="1:25" ht="13" customHeight="1">
      <c r="A112" s="222"/>
      <c r="B112" s="247"/>
      <c r="C112" s="224"/>
      <c r="D112" s="227"/>
      <c r="E112" s="227"/>
      <c r="F112" s="243"/>
      <c r="G112" s="244"/>
      <c r="H112" s="244"/>
      <c r="I112" s="26" t="s">
        <v>143</v>
      </c>
      <c r="J112" s="26">
        <v>15</v>
      </c>
      <c r="K112" s="26">
        <v>56600000</v>
      </c>
      <c r="L112" s="103">
        <f>66960000+5000000-3600000</f>
        <v>68360000</v>
      </c>
      <c r="M112" s="103">
        <f>58262000+5000000-3600000</f>
        <v>59662000</v>
      </c>
      <c r="N112" s="103">
        <v>0</v>
      </c>
      <c r="O112" s="103">
        <v>0</v>
      </c>
      <c r="P112" s="26">
        <f t="shared" si="55"/>
        <v>59662000</v>
      </c>
      <c r="Q112" s="103">
        <v>13160000</v>
      </c>
      <c r="R112" s="45">
        <f t="shared" si="56"/>
        <v>0.192510239906378</v>
      </c>
      <c r="S112" s="103">
        <v>2333333.3333333335</v>
      </c>
      <c r="T112" s="26">
        <f t="shared" si="57"/>
        <v>50509787.40003901</v>
      </c>
      <c r="U112" s="46">
        <f t="shared" si="54"/>
        <v>89.23990706720673</v>
      </c>
      <c r="V112" s="12">
        <f>U112*99000/90</f>
        <v>98163.897773927412</v>
      </c>
      <c r="W112" s="58">
        <f t="shared" si="58"/>
        <v>1472458.4666089113</v>
      </c>
      <c r="X112" s="244"/>
      <c r="Y112" s="101"/>
    </row>
    <row r="113" spans="1:25" ht="13" customHeight="1">
      <c r="A113" s="222"/>
      <c r="B113" s="247"/>
      <c r="C113" s="224"/>
      <c r="D113" s="227"/>
      <c r="E113" s="227"/>
      <c r="F113" s="243"/>
      <c r="G113" s="244"/>
      <c r="H113" s="244"/>
      <c r="I113" s="26" t="s">
        <v>144</v>
      </c>
      <c r="J113" s="26">
        <v>17</v>
      </c>
      <c r="K113" s="26">
        <v>61600000</v>
      </c>
      <c r="L113" s="103">
        <f>64233000-200000</f>
        <v>64033000</v>
      </c>
      <c r="M113" s="103">
        <f>63893400-200000</f>
        <v>63693400</v>
      </c>
      <c r="N113" s="103">
        <v>306000</v>
      </c>
      <c r="O113" s="103">
        <v>0</v>
      </c>
      <c r="P113" s="26">
        <f t="shared" si="55"/>
        <v>63999400</v>
      </c>
      <c r="Q113" s="103">
        <v>12533000</v>
      </c>
      <c r="R113" s="45">
        <f t="shared" si="56"/>
        <v>0.19572720316087017</v>
      </c>
      <c r="S113" s="103"/>
      <c r="T113" s="26">
        <f t="shared" si="57"/>
        <v>51472976.434026204</v>
      </c>
      <c r="U113" s="46">
        <f t="shared" si="54"/>
        <v>83.560026678613966</v>
      </c>
      <c r="V113" s="12">
        <f>U113*89000/85</f>
        <v>87492.263228195792</v>
      </c>
      <c r="W113" s="58">
        <f t="shared" si="58"/>
        <v>1487368.4748793284</v>
      </c>
      <c r="X113" s="244"/>
      <c r="Y113" s="101"/>
    </row>
    <row r="114" spans="1:25" ht="13" customHeight="1">
      <c r="A114" s="222"/>
      <c r="B114" s="247"/>
      <c r="C114" s="224"/>
      <c r="D114" s="227"/>
      <c r="E114" s="227"/>
      <c r="F114" s="243"/>
      <c r="G114" s="244"/>
      <c r="H114" s="244"/>
      <c r="I114" s="26" t="s">
        <v>145</v>
      </c>
      <c r="J114" s="26">
        <v>18</v>
      </c>
      <c r="K114" s="44">
        <v>78800000</v>
      </c>
      <c r="L114" s="103">
        <f>90506000-4300000</f>
        <v>86206000</v>
      </c>
      <c r="M114" s="103">
        <f>90506000-4300000</f>
        <v>86206000</v>
      </c>
      <c r="N114" s="103">
        <v>0</v>
      </c>
      <c r="O114" s="103">
        <v>0</v>
      </c>
      <c r="P114" s="26">
        <f t="shared" si="55"/>
        <v>86206000</v>
      </c>
      <c r="Q114" s="103">
        <v>18006000</v>
      </c>
      <c r="R114" s="45">
        <f t="shared" si="56"/>
        <v>0.20887177226643158</v>
      </c>
      <c r="S114" s="103"/>
      <c r="T114" s="26">
        <f t="shared" si="57"/>
        <v>68200000</v>
      </c>
      <c r="U114" s="46">
        <f t="shared" si="54"/>
        <v>86.548223350253807</v>
      </c>
      <c r="V114" s="12">
        <f>U114*90000/85</f>
        <v>91639.295312033442</v>
      </c>
      <c r="W114" s="58">
        <f t="shared" si="58"/>
        <v>1649507.3156166021</v>
      </c>
      <c r="X114" s="244"/>
      <c r="Y114" s="101"/>
    </row>
    <row r="115" spans="1:25" ht="13" customHeight="1">
      <c r="A115" s="222"/>
      <c r="B115" s="247"/>
      <c r="C115" s="224"/>
      <c r="D115" s="227"/>
      <c r="E115" s="227"/>
      <c r="F115" s="243"/>
      <c r="G115" s="244"/>
      <c r="H115" s="244"/>
      <c r="I115" s="26" t="s">
        <v>146</v>
      </c>
      <c r="J115" s="26">
        <v>13</v>
      </c>
      <c r="K115" s="44">
        <v>56700000</v>
      </c>
      <c r="L115" s="103">
        <v>69412500</v>
      </c>
      <c r="M115" s="103">
        <v>53099000</v>
      </c>
      <c r="N115" s="103">
        <v>0</v>
      </c>
      <c r="O115" s="103">
        <v>0</v>
      </c>
      <c r="P115" s="26">
        <f t="shared" si="55"/>
        <v>53099000</v>
      </c>
      <c r="Q115" s="103">
        <v>19112500</v>
      </c>
      <c r="R115" s="45">
        <f t="shared" si="56"/>
        <v>0.27534665946335313</v>
      </c>
      <c r="S115" s="103">
        <v>1690000</v>
      </c>
      <c r="T115" s="26">
        <f t="shared" si="57"/>
        <v>40168367.729155414</v>
      </c>
      <c r="U115" s="46">
        <f t="shared" si="54"/>
        <v>70.843682062002486</v>
      </c>
      <c r="V115" s="12">
        <f>U115*60000/70</f>
        <v>60723.156053144987</v>
      </c>
      <c r="W115" s="58">
        <f t="shared" si="58"/>
        <v>789401.02869088482</v>
      </c>
      <c r="X115" s="244"/>
      <c r="Y115" s="101"/>
    </row>
    <row r="116" spans="1:25" ht="13" customHeight="1">
      <c r="A116" s="222"/>
      <c r="B116" s="247"/>
      <c r="C116" s="224"/>
      <c r="D116" s="227"/>
      <c r="E116" s="227"/>
      <c r="F116" s="243"/>
      <c r="G116" s="244"/>
      <c r="H116" s="244"/>
      <c r="I116" s="26" t="s">
        <v>147</v>
      </c>
      <c r="J116" s="26">
        <v>8</v>
      </c>
      <c r="K116" s="26">
        <v>34000000</v>
      </c>
      <c r="L116" s="103">
        <v>34469400</v>
      </c>
      <c r="M116" s="103">
        <v>30249400</v>
      </c>
      <c r="N116" s="103">
        <v>3798000</v>
      </c>
      <c r="O116" s="103">
        <v>0</v>
      </c>
      <c r="P116" s="26">
        <f t="shared" si="55"/>
        <v>34047400</v>
      </c>
      <c r="Q116" s="103">
        <v>5869400</v>
      </c>
      <c r="R116" s="45">
        <f>Q116/L116</f>
        <v>0.17027856591643603</v>
      </c>
      <c r="S116" s="103">
        <v>2220000</v>
      </c>
      <c r="T116" s="26">
        <f t="shared" si="57"/>
        <v>30469857.554816738</v>
      </c>
      <c r="U116" s="46">
        <f t="shared" si="54"/>
        <v>89.617228102402166</v>
      </c>
      <c r="V116" s="12">
        <f>U116*99000/90</f>
        <v>98578.95091264238</v>
      </c>
      <c r="W116" s="58">
        <f t="shared" si="58"/>
        <v>788631.60730113904</v>
      </c>
      <c r="X116" s="244"/>
      <c r="Y116" s="101"/>
    </row>
    <row r="117" spans="1:25" ht="13" customHeight="1">
      <c r="A117" s="222"/>
      <c r="B117" s="247"/>
      <c r="C117" s="224"/>
      <c r="D117" s="227"/>
      <c r="E117" s="227"/>
      <c r="F117" s="243"/>
      <c r="G117" s="244"/>
      <c r="H117" s="244"/>
      <c r="I117" s="36" t="s">
        <v>148</v>
      </c>
      <c r="J117" s="37">
        <v>9</v>
      </c>
      <c r="K117" s="26">
        <v>30900000</v>
      </c>
      <c r="L117" s="56">
        <v>39058000</v>
      </c>
      <c r="M117" s="72">
        <v>39013000</v>
      </c>
      <c r="N117" s="72">
        <v>40500</v>
      </c>
      <c r="O117" s="72">
        <v>0</v>
      </c>
      <c r="P117" s="26">
        <f t="shared" si="55"/>
        <v>39053500</v>
      </c>
      <c r="Q117" s="72">
        <v>7658000</v>
      </c>
      <c r="R117" s="45">
        <f t="shared" si="56"/>
        <v>0.19606738696297812</v>
      </c>
      <c r="S117" s="56"/>
      <c r="T117" s="26">
        <f t="shared" si="57"/>
        <v>31396382.303241335</v>
      </c>
      <c r="U117" s="46">
        <f t="shared" si="54"/>
        <v>101.60641522084575</v>
      </c>
      <c r="V117" s="12">
        <f>U117*120000/100</f>
        <v>121927.6982650149</v>
      </c>
      <c r="W117" s="58">
        <f t="shared" si="58"/>
        <v>1097349.284385134</v>
      </c>
      <c r="X117" s="244"/>
      <c r="Y117" s="101"/>
    </row>
    <row r="118" spans="1:25" ht="13" customHeight="1">
      <c r="A118" s="264"/>
      <c r="B118" s="265"/>
      <c r="C118" s="258"/>
      <c r="D118" s="227"/>
      <c r="E118" s="227"/>
      <c r="F118" s="243"/>
      <c r="G118" s="244"/>
      <c r="H118" s="244"/>
      <c r="I118" s="36" t="s">
        <v>189</v>
      </c>
      <c r="J118" s="37">
        <v>15</v>
      </c>
      <c r="K118" s="26">
        <v>61200000</v>
      </c>
      <c r="L118" s="56">
        <v>73700000</v>
      </c>
      <c r="M118" s="72">
        <v>69166000</v>
      </c>
      <c r="N118" s="72">
        <v>0</v>
      </c>
      <c r="O118" s="72">
        <v>0</v>
      </c>
      <c r="P118" s="26">
        <f t="shared" si="55"/>
        <v>69166000</v>
      </c>
      <c r="Q118" s="72">
        <v>18429500</v>
      </c>
      <c r="R118" s="45">
        <f t="shared" si="56"/>
        <v>0.25006105834464043</v>
      </c>
      <c r="S118" s="56">
        <v>2026666.6666666667</v>
      </c>
      <c r="T118" s="26">
        <f t="shared" si="57"/>
        <v>53896943.505201265</v>
      </c>
      <c r="U118" s="46">
        <f t="shared" si="54"/>
        <v>88.066901152289645</v>
      </c>
      <c r="V118" s="12">
        <f>U118*99000/90</f>
        <v>96873.591267518612</v>
      </c>
      <c r="W118" s="58">
        <f t="shared" si="58"/>
        <v>1453103.8690127791</v>
      </c>
      <c r="X118" s="244"/>
      <c r="Y118" s="101"/>
    </row>
    <row r="119" spans="1:25" ht="13" customHeight="1">
      <c r="A119" s="264"/>
      <c r="B119" s="265"/>
      <c r="C119" s="258"/>
      <c r="D119" s="227"/>
      <c r="E119" s="227"/>
      <c r="F119" s="243"/>
      <c r="G119" s="244"/>
      <c r="H119" s="244"/>
      <c r="I119" s="36" t="s">
        <v>200</v>
      </c>
      <c r="J119" s="37">
        <v>23</v>
      </c>
      <c r="K119" s="26"/>
      <c r="L119" s="56"/>
      <c r="M119" s="72"/>
      <c r="N119" s="72"/>
      <c r="O119" s="72">
        <v>0</v>
      </c>
      <c r="P119" s="26">
        <f t="shared" si="55"/>
        <v>0</v>
      </c>
      <c r="Q119" s="72"/>
      <c r="R119" s="45"/>
      <c r="S119" s="56"/>
      <c r="T119" s="26">
        <f t="shared" si="57"/>
        <v>0</v>
      </c>
      <c r="U119" s="46"/>
      <c r="V119" s="12">
        <v>100000</v>
      </c>
      <c r="W119" s="58">
        <f t="shared" si="58"/>
        <v>2300000</v>
      </c>
      <c r="X119" s="245"/>
      <c r="Y119" s="101"/>
    </row>
    <row r="120" spans="1:25" ht="13" customHeight="1">
      <c r="A120" s="179"/>
      <c r="B120" s="180"/>
      <c r="C120" s="225"/>
      <c r="D120" s="228"/>
      <c r="E120" s="227"/>
      <c r="F120" s="243"/>
      <c r="G120" s="245"/>
      <c r="H120" s="245"/>
      <c r="I120" s="51">
        <v>11</v>
      </c>
      <c r="J120" s="52">
        <f>SUM(J109:J119)</f>
        <v>146</v>
      </c>
      <c r="K120" s="52">
        <f>SUM(K109:K119)</f>
        <v>476800000</v>
      </c>
      <c r="L120" s="52">
        <f>SUM(L109:L119)</f>
        <v>531290900</v>
      </c>
      <c r="M120" s="52">
        <f t="shared" ref="M120:N120" si="59">SUM(M109:M119)</f>
        <v>493800800</v>
      </c>
      <c r="N120" s="52">
        <f t="shared" si="59"/>
        <v>4144500</v>
      </c>
      <c r="O120" s="52">
        <f>SUM(O109:O119)</f>
        <v>0</v>
      </c>
      <c r="P120" s="52">
        <f>SUM(P109:P119)</f>
        <v>497945300</v>
      </c>
      <c r="Q120" s="52">
        <f>SUM(Q109:Q119)</f>
        <v>112420400</v>
      </c>
      <c r="R120" s="61"/>
      <c r="S120" s="52">
        <f>SUM(S109:S119)</f>
        <v>14670000</v>
      </c>
      <c r="T120" s="52">
        <f>SUM(T109:T119)</f>
        <v>408112101.43129963</v>
      </c>
      <c r="U120" s="55">
        <f>(T120/K120)*100</f>
        <v>85.593981004886672</v>
      </c>
      <c r="V120" s="59"/>
      <c r="W120" s="104">
        <f>SUM(W109:W119)</f>
        <v>13524152.895422941</v>
      </c>
      <c r="X120" s="63"/>
      <c r="Y120" s="101"/>
    </row>
    <row r="121" spans="1:25" ht="12.5" customHeight="1">
      <c r="A121" s="50" t="s">
        <v>157</v>
      </c>
      <c r="B121" s="106" t="s">
        <v>152</v>
      </c>
      <c r="C121" s="38" t="s">
        <v>153</v>
      </c>
      <c r="D121" s="21">
        <v>10000000</v>
      </c>
      <c r="E121" s="16">
        <v>500000</v>
      </c>
      <c r="F121" s="16">
        <v>500000</v>
      </c>
      <c r="G121" s="58"/>
      <c r="H121" s="1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16"/>
      <c r="W121" s="16">
        <f>D121+E121+F121</f>
        <v>11000000</v>
      </c>
      <c r="X121" s="187">
        <f>SUM(W121:W138)</f>
        <v>48738461</v>
      </c>
      <c r="Y121" s="17"/>
    </row>
    <row r="122" spans="1:25" ht="12.5" customHeight="1">
      <c r="A122" s="50" t="s">
        <v>160</v>
      </c>
      <c r="B122" s="106" t="s">
        <v>155</v>
      </c>
      <c r="C122" s="38" t="s">
        <v>156</v>
      </c>
      <c r="D122" s="21">
        <v>8000000</v>
      </c>
      <c r="E122" s="16">
        <v>500000</v>
      </c>
      <c r="F122" s="16">
        <v>500000</v>
      </c>
      <c r="G122" s="58"/>
      <c r="H122" s="1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16"/>
      <c r="W122" s="16">
        <f>D122+E122+F122</f>
        <v>9000000</v>
      </c>
      <c r="X122" s="187"/>
      <c r="Y122" s="17"/>
    </row>
    <row r="123" spans="1:25" ht="12.5" customHeight="1">
      <c r="A123" s="50" t="s">
        <v>162</v>
      </c>
      <c r="B123" s="106" t="s">
        <v>158</v>
      </c>
      <c r="C123" s="38" t="s">
        <v>159</v>
      </c>
      <c r="D123" s="21">
        <v>1000000</v>
      </c>
      <c r="E123" s="16">
        <v>500000</v>
      </c>
      <c r="F123" s="16"/>
      <c r="G123" s="58"/>
      <c r="H123" s="1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16"/>
      <c r="W123" s="16">
        <f t="shared" ref="W123:W143" si="60">D123+E123+F123</f>
        <v>1500000</v>
      </c>
      <c r="X123" s="187"/>
      <c r="Y123" s="17"/>
    </row>
    <row r="124" spans="1:25" ht="12.5" customHeight="1">
      <c r="A124" s="50" t="s">
        <v>163</v>
      </c>
      <c r="B124" s="106" t="s">
        <v>161</v>
      </c>
      <c r="C124" s="38" t="s">
        <v>159</v>
      </c>
      <c r="D124" s="21">
        <v>3000000</v>
      </c>
      <c r="E124" s="16">
        <v>500000</v>
      </c>
      <c r="F124" s="16">
        <v>500000</v>
      </c>
      <c r="G124" s="58"/>
      <c r="H124" s="1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16"/>
      <c r="W124" s="16">
        <f t="shared" si="60"/>
        <v>4000000</v>
      </c>
      <c r="X124" s="187"/>
      <c r="Y124" s="17"/>
    </row>
    <row r="125" spans="1:25" ht="12.5" customHeight="1">
      <c r="A125" s="50" t="s">
        <v>165</v>
      </c>
      <c r="B125" s="106" t="s">
        <v>194</v>
      </c>
      <c r="C125" s="38" t="s">
        <v>159</v>
      </c>
      <c r="D125" s="21">
        <v>2000000</v>
      </c>
      <c r="E125" s="16">
        <v>500000</v>
      </c>
      <c r="F125" s="16"/>
      <c r="G125" s="58"/>
      <c r="H125" s="1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16"/>
      <c r="W125" s="16">
        <f>D125+E125+F125</f>
        <v>2500000</v>
      </c>
      <c r="X125" s="187"/>
      <c r="Y125" s="17"/>
    </row>
    <row r="126" spans="1:25" ht="13">
      <c r="A126" s="50" t="s">
        <v>167</v>
      </c>
      <c r="B126" s="107" t="s">
        <v>203</v>
      </c>
      <c r="C126" s="38" t="s">
        <v>159</v>
      </c>
      <c r="D126" s="21">
        <v>1600000</v>
      </c>
      <c r="E126" s="16">
        <v>500000</v>
      </c>
      <c r="F126" s="16"/>
      <c r="G126" s="16"/>
      <c r="H126" s="1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16"/>
      <c r="W126" s="16">
        <f t="shared" si="60"/>
        <v>2100000</v>
      </c>
      <c r="X126" s="187"/>
      <c r="Y126" s="108">
        <f>SUM(D121:D138)+865385</f>
        <v>43103846</v>
      </c>
    </row>
    <row r="127" spans="1:25" ht="12.5" customHeight="1">
      <c r="A127" s="50" t="s">
        <v>169</v>
      </c>
      <c r="B127" s="107" t="s">
        <v>166</v>
      </c>
      <c r="C127" s="38" t="s">
        <v>159</v>
      </c>
      <c r="D127" s="21">
        <f>2100000-500000</f>
        <v>1600000</v>
      </c>
      <c r="E127" s="16">
        <v>500000</v>
      </c>
      <c r="F127" s="16"/>
      <c r="G127" s="16"/>
      <c r="H127" s="1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16"/>
      <c r="W127" s="16">
        <f t="shared" si="60"/>
        <v>2100000</v>
      </c>
      <c r="X127" s="187"/>
      <c r="Y127" s="17"/>
    </row>
    <row r="128" spans="1:25" ht="12.5" customHeight="1">
      <c r="A128" s="50" t="s">
        <v>171</v>
      </c>
      <c r="B128" s="107" t="s">
        <v>168</v>
      </c>
      <c r="C128" s="38" t="s">
        <v>159</v>
      </c>
      <c r="D128" s="21">
        <f>2269231-500000</f>
        <v>1769231</v>
      </c>
      <c r="E128" s="16">
        <v>500000</v>
      </c>
      <c r="F128" s="16"/>
      <c r="G128" s="16"/>
      <c r="H128" s="5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16"/>
      <c r="W128" s="16">
        <f t="shared" si="60"/>
        <v>2269231</v>
      </c>
      <c r="X128" s="187"/>
      <c r="Y128" s="17"/>
    </row>
    <row r="129" spans="1:25" ht="12.5" customHeight="1">
      <c r="A129" s="50" t="s">
        <v>173</v>
      </c>
      <c r="B129" s="107" t="s">
        <v>170</v>
      </c>
      <c r="C129" s="38" t="s">
        <v>159</v>
      </c>
      <c r="D129" s="21">
        <f>1461538-500000</f>
        <v>961538</v>
      </c>
      <c r="E129" s="16">
        <v>500000</v>
      </c>
      <c r="F129" s="16"/>
      <c r="G129" s="16"/>
      <c r="H129" s="5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16"/>
      <c r="W129" s="16">
        <f t="shared" si="60"/>
        <v>1461538</v>
      </c>
      <c r="X129" s="187"/>
      <c r="Y129" s="17"/>
    </row>
    <row r="130" spans="1:25" ht="12.5" customHeight="1">
      <c r="A130" s="50" t="s">
        <v>175</v>
      </c>
      <c r="B130" s="107" t="s">
        <v>210</v>
      </c>
      <c r="C130" s="38" t="s">
        <v>159</v>
      </c>
      <c r="D130" s="21">
        <v>1500000</v>
      </c>
      <c r="E130" s="16"/>
      <c r="F130" s="16"/>
      <c r="G130" s="16"/>
      <c r="H130" s="5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16"/>
      <c r="W130" s="16">
        <f t="shared" si="60"/>
        <v>1500000</v>
      </c>
      <c r="X130" s="187"/>
      <c r="Y130" s="17"/>
    </row>
    <row r="131" spans="1:25" ht="12.5" customHeight="1">
      <c r="A131" s="50" t="s">
        <v>178</v>
      </c>
      <c r="B131" s="107" t="s">
        <v>174</v>
      </c>
      <c r="C131" s="38" t="s">
        <v>159</v>
      </c>
      <c r="D131" s="21"/>
      <c r="E131" s="16"/>
      <c r="F131" s="16"/>
      <c r="G131" s="16"/>
      <c r="H131" s="5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16"/>
      <c r="W131" s="16">
        <f t="shared" ref="W131:W138" si="61">D131+E131+F131</f>
        <v>0</v>
      </c>
      <c r="X131" s="187"/>
      <c r="Y131" s="17"/>
    </row>
    <row r="132" spans="1:25" ht="13" customHeight="1">
      <c r="A132" s="50" t="s">
        <v>181</v>
      </c>
      <c r="B132" s="107" t="s">
        <v>193</v>
      </c>
      <c r="C132" s="38" t="s">
        <v>159</v>
      </c>
      <c r="D132" s="21">
        <v>0</v>
      </c>
      <c r="E132" s="16"/>
      <c r="F132" s="16"/>
      <c r="G132" s="16"/>
      <c r="H132" s="5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16"/>
      <c r="W132" s="16">
        <f t="shared" si="61"/>
        <v>0</v>
      </c>
      <c r="X132" s="187"/>
      <c r="Y132" s="17"/>
    </row>
    <row r="133" spans="1:25" ht="13" customHeight="1">
      <c r="A133" s="50"/>
      <c r="B133" s="107" t="s">
        <v>204</v>
      </c>
      <c r="C133" s="38" t="s">
        <v>159</v>
      </c>
      <c r="D133" s="21"/>
      <c r="E133" s="16"/>
      <c r="F133" s="16"/>
      <c r="G133" s="16"/>
      <c r="H133" s="5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16"/>
      <c r="W133" s="16">
        <f t="shared" si="61"/>
        <v>0</v>
      </c>
      <c r="X133" s="187"/>
      <c r="Y133" s="17"/>
    </row>
    <row r="134" spans="1:25" ht="13" customHeight="1">
      <c r="A134" s="50"/>
      <c r="B134" s="107" t="s">
        <v>211</v>
      </c>
      <c r="C134" s="38" t="s">
        <v>159</v>
      </c>
      <c r="D134" s="21">
        <v>1096154</v>
      </c>
      <c r="E134" s="16"/>
      <c r="F134" s="16"/>
      <c r="G134" s="16"/>
      <c r="H134" s="5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16"/>
      <c r="W134" s="16">
        <f t="shared" si="61"/>
        <v>1096154</v>
      </c>
      <c r="X134" s="187"/>
      <c r="Y134" s="17"/>
    </row>
    <row r="135" spans="1:25" ht="13" customHeight="1">
      <c r="A135" s="50"/>
      <c r="B135" s="107" t="s">
        <v>212</v>
      </c>
      <c r="C135" s="38" t="s">
        <v>159</v>
      </c>
      <c r="D135" s="21">
        <v>3000000</v>
      </c>
      <c r="E135" s="16"/>
      <c r="F135" s="16"/>
      <c r="G135" s="16"/>
      <c r="H135" s="5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16"/>
      <c r="W135" s="16">
        <f t="shared" si="61"/>
        <v>3000000</v>
      </c>
      <c r="X135" s="187"/>
      <c r="Y135" s="17"/>
    </row>
    <row r="136" spans="1:25" ht="13" customHeight="1">
      <c r="A136" s="50"/>
      <c r="B136" s="107" t="s">
        <v>213</v>
      </c>
      <c r="C136" s="38" t="s">
        <v>159</v>
      </c>
      <c r="D136" s="21">
        <v>1211538</v>
      </c>
      <c r="E136" s="16"/>
      <c r="F136" s="16"/>
      <c r="G136" s="16"/>
      <c r="H136" s="58"/>
      <c r="I136" s="47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16"/>
      <c r="W136" s="16">
        <f t="shared" si="61"/>
        <v>1211538</v>
      </c>
      <c r="X136" s="187"/>
      <c r="Y136" s="17"/>
    </row>
    <row r="137" spans="1:25" ht="13" customHeight="1">
      <c r="A137" s="50"/>
      <c r="B137" s="107" t="s">
        <v>214</v>
      </c>
      <c r="C137" s="38" t="s">
        <v>159</v>
      </c>
      <c r="D137" s="21">
        <v>1500000</v>
      </c>
      <c r="E137" s="16"/>
      <c r="F137" s="16"/>
      <c r="G137" s="16"/>
      <c r="H137" s="58"/>
      <c r="I137" s="47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16"/>
      <c r="W137" s="16">
        <f t="shared" si="61"/>
        <v>1500000</v>
      </c>
      <c r="X137" s="187"/>
      <c r="Y137" s="17"/>
    </row>
    <row r="138" spans="1:25" ht="13" customHeight="1">
      <c r="A138" s="50" t="s">
        <v>184</v>
      </c>
      <c r="B138" s="107" t="s">
        <v>196</v>
      </c>
      <c r="C138" s="38" t="s">
        <v>159</v>
      </c>
      <c r="D138" s="21">
        <v>4000000</v>
      </c>
      <c r="E138" s="16">
        <v>500000</v>
      </c>
      <c r="F138" s="16"/>
      <c r="G138" s="16"/>
      <c r="H138" s="58"/>
      <c r="I138" s="47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16"/>
      <c r="W138" s="16">
        <f t="shared" si="61"/>
        <v>4500000</v>
      </c>
      <c r="X138" s="187"/>
      <c r="Y138" s="17"/>
    </row>
    <row r="139" spans="1:25" ht="12.5">
      <c r="A139" s="50" t="s">
        <v>190</v>
      </c>
      <c r="B139" s="11" t="s">
        <v>176</v>
      </c>
      <c r="C139" s="11" t="s">
        <v>177</v>
      </c>
      <c r="D139" s="21">
        <v>12000000</v>
      </c>
      <c r="E139" s="16"/>
      <c r="F139" s="16"/>
      <c r="G139" s="16"/>
      <c r="H139" s="58"/>
      <c r="I139" s="47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16"/>
      <c r="W139" s="16">
        <f t="shared" si="60"/>
        <v>12000000</v>
      </c>
      <c r="X139" s="21">
        <f>D139+F139+G139+H139</f>
        <v>12000000</v>
      </c>
      <c r="Y139" s="17"/>
    </row>
    <row r="140" spans="1:25" ht="12.5">
      <c r="A140" s="50" t="s">
        <v>191</v>
      </c>
      <c r="B140" s="11" t="s">
        <v>179</v>
      </c>
      <c r="C140" s="11" t="s">
        <v>180</v>
      </c>
      <c r="D140" s="21"/>
      <c r="E140" s="16">
        <v>500000</v>
      </c>
      <c r="F140" s="16"/>
      <c r="G140" s="16"/>
      <c r="H140" s="16"/>
      <c r="I140" s="2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2"/>
      <c r="W140" s="16">
        <f t="shared" si="60"/>
        <v>500000</v>
      </c>
      <c r="X140" s="21">
        <f>D140+F140+G140+H140</f>
        <v>0</v>
      </c>
      <c r="Y140" s="17"/>
    </row>
    <row r="141" spans="1:25" ht="12.5">
      <c r="A141" s="50"/>
      <c r="B141" s="11" t="s">
        <v>69</v>
      </c>
      <c r="C141" s="11" t="s">
        <v>205</v>
      </c>
      <c r="D141" s="21">
        <v>3000000</v>
      </c>
      <c r="E141" s="16">
        <v>500000</v>
      </c>
      <c r="F141" s="16">
        <v>500000</v>
      </c>
      <c r="G141" s="63"/>
      <c r="H141" s="63"/>
      <c r="I141" s="32"/>
      <c r="J141" s="23"/>
      <c r="K141" s="23"/>
      <c r="L141" s="23"/>
      <c r="M141" s="14"/>
      <c r="N141" s="14"/>
      <c r="O141" s="14"/>
      <c r="P141" s="14"/>
      <c r="Q141" s="14"/>
      <c r="R141" s="14"/>
      <c r="S141" s="14"/>
      <c r="T141" s="14"/>
      <c r="U141" s="14"/>
      <c r="V141" s="12"/>
      <c r="W141" s="16">
        <f t="shared" si="60"/>
        <v>4000000</v>
      </c>
      <c r="X141" s="21"/>
      <c r="Y141" s="17"/>
    </row>
    <row r="142" spans="1:25" ht="12.5">
      <c r="A142" s="50" t="s">
        <v>195</v>
      </c>
      <c r="B142" s="11" t="s">
        <v>182</v>
      </c>
      <c r="C142" s="11" t="s">
        <v>183</v>
      </c>
      <c r="D142" s="21"/>
      <c r="E142" s="16">
        <v>700000</v>
      </c>
      <c r="F142" s="16"/>
      <c r="G142" s="63"/>
      <c r="H142" s="63"/>
      <c r="I142" s="23"/>
      <c r="J142" s="23"/>
      <c r="K142" s="23"/>
      <c r="L142" s="23"/>
      <c r="M142" s="14"/>
      <c r="N142" s="14"/>
      <c r="O142" s="14"/>
      <c r="P142" s="14"/>
      <c r="Q142" s="14"/>
      <c r="R142" s="14"/>
      <c r="S142" s="14"/>
      <c r="T142" s="14"/>
      <c r="U142" s="14"/>
      <c r="V142" s="12"/>
      <c r="W142" s="16">
        <f t="shared" si="60"/>
        <v>700000</v>
      </c>
      <c r="X142" s="21"/>
      <c r="Y142" s="17"/>
    </row>
    <row r="143" spans="1:25" ht="12.5">
      <c r="A143" s="50" t="s">
        <v>191</v>
      </c>
      <c r="B143" s="11" t="s">
        <v>185</v>
      </c>
      <c r="C143" s="11" t="s">
        <v>183</v>
      </c>
      <c r="D143" s="21"/>
      <c r="E143" s="16">
        <v>700000</v>
      </c>
      <c r="F143" s="16"/>
      <c r="G143" s="16"/>
      <c r="H143" s="16"/>
      <c r="I143" s="26"/>
      <c r="J143" s="26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2"/>
      <c r="W143" s="16">
        <f t="shared" si="60"/>
        <v>700000</v>
      </c>
      <c r="X143" s="21"/>
      <c r="Y143" s="17"/>
    </row>
    <row r="144" spans="1:25" ht="13">
      <c r="A144" s="109"/>
      <c r="B144" s="270"/>
      <c r="C144" s="268"/>
      <c r="D144" s="110"/>
      <c r="E144" s="110"/>
      <c r="F144" s="110"/>
      <c r="G144" s="110"/>
      <c r="H144" s="110"/>
      <c r="I144" s="111"/>
      <c r="J144" s="3"/>
      <c r="K144" s="269"/>
      <c r="L144" s="268"/>
      <c r="T144" s="3"/>
      <c r="U144" s="271" t="s">
        <v>186</v>
      </c>
      <c r="V144" s="268"/>
      <c r="X144" s="110"/>
      <c r="Y144" s="3"/>
    </row>
    <row r="145" spans="1:25" ht="13">
      <c r="A145" s="109"/>
      <c r="B145" s="267"/>
      <c r="C145" s="268"/>
      <c r="D145" s="110"/>
      <c r="E145" s="110"/>
      <c r="F145" s="110"/>
      <c r="G145" s="110"/>
      <c r="H145" s="110"/>
      <c r="I145" s="111"/>
      <c r="J145" s="3"/>
      <c r="K145" s="267"/>
      <c r="L145" s="268"/>
      <c r="T145" s="3"/>
      <c r="U145" s="267" t="s">
        <v>187</v>
      </c>
      <c r="V145" s="268"/>
      <c r="X145" s="110"/>
      <c r="Y145" s="3"/>
    </row>
    <row r="146" spans="1:25" ht="13">
      <c r="A146" s="109"/>
      <c r="B146" s="269"/>
      <c r="C146" s="268"/>
      <c r="D146" s="110"/>
      <c r="E146" s="110"/>
      <c r="F146" s="110"/>
      <c r="G146" s="110"/>
      <c r="H146" s="110"/>
      <c r="I146" s="111"/>
      <c r="J146" s="3"/>
      <c r="K146" s="269"/>
      <c r="L146" s="268"/>
      <c r="T146" s="3"/>
      <c r="U146" s="269" t="s">
        <v>188</v>
      </c>
      <c r="V146" s="268"/>
      <c r="X146" s="110"/>
      <c r="Y146" s="3"/>
    </row>
    <row r="147" spans="1:25" ht="12.5">
      <c r="A147" s="109"/>
      <c r="B147" s="3"/>
      <c r="C147" s="3"/>
      <c r="D147" s="110"/>
      <c r="E147" s="110"/>
      <c r="F147" s="110"/>
      <c r="G147" s="110"/>
      <c r="H147" s="110"/>
      <c r="I147" s="111"/>
      <c r="J147" s="3"/>
      <c r="K147" s="3"/>
      <c r="L147" s="3">
        <v>1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110"/>
      <c r="Y147" s="3"/>
    </row>
    <row r="148" spans="1:25" ht="12.5">
      <c r="A148" s="109"/>
      <c r="B148" s="3"/>
      <c r="C148" s="3"/>
      <c r="D148" s="110"/>
      <c r="E148" s="110"/>
      <c r="F148" s="110"/>
      <c r="G148" s="110"/>
      <c r="H148" s="110"/>
      <c r="I148" s="11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110"/>
      <c r="Y148" s="3"/>
    </row>
    <row r="149" spans="1:25" ht="12.5">
      <c r="A149" s="109"/>
      <c r="B149" s="3"/>
      <c r="C149" s="3"/>
      <c r="D149" s="110"/>
      <c r="E149" s="110"/>
      <c r="F149" s="110"/>
      <c r="G149" s="110"/>
      <c r="H149" s="110"/>
      <c r="I149" s="11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17"/>
      <c r="V149" s="3"/>
      <c r="W149" s="3"/>
      <c r="X149" s="110"/>
      <c r="Y149" s="3"/>
    </row>
    <row r="150" spans="1:25" ht="12.5">
      <c r="A150" s="109"/>
      <c r="B150" s="3"/>
      <c r="C150" s="3"/>
      <c r="D150" s="110"/>
      <c r="E150" s="110"/>
      <c r="F150" s="110"/>
      <c r="G150" s="110"/>
      <c r="H150" s="110"/>
      <c r="I150" s="11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112"/>
      <c r="V150" s="3"/>
      <c r="W150" s="3"/>
      <c r="X150" s="110"/>
      <c r="Y150" s="3"/>
    </row>
    <row r="151" spans="1:25" ht="12.5">
      <c r="A151" s="109"/>
      <c r="B151" s="3"/>
      <c r="C151" s="3"/>
      <c r="D151" s="110"/>
      <c r="E151" s="110"/>
      <c r="F151" s="110"/>
      <c r="G151" s="110"/>
      <c r="H151" s="110"/>
      <c r="I151" s="11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110"/>
      <c r="Y151" s="3"/>
    </row>
    <row r="152" spans="1:25" ht="12.5">
      <c r="A152" s="109"/>
      <c r="B152" s="3"/>
      <c r="C152" s="3"/>
      <c r="D152" s="110"/>
      <c r="E152" s="110"/>
      <c r="F152" s="110"/>
      <c r="G152" s="110"/>
      <c r="H152" s="110"/>
      <c r="I152" s="11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110"/>
      <c r="Y152" s="3"/>
    </row>
    <row r="153" spans="1:25" ht="12.5">
      <c r="A153" s="109"/>
      <c r="B153" s="3"/>
      <c r="C153" s="3"/>
      <c r="D153" s="110"/>
      <c r="E153" s="110"/>
      <c r="F153" s="110"/>
      <c r="G153" s="110"/>
      <c r="H153" s="110"/>
      <c r="I153" s="11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10"/>
      <c r="Y153" s="3"/>
    </row>
    <row r="154" spans="1:25" ht="12.5">
      <c r="A154" s="109"/>
      <c r="B154" s="3"/>
      <c r="C154" s="3"/>
      <c r="D154" s="110"/>
      <c r="E154" s="110"/>
      <c r="F154" s="110"/>
      <c r="G154" s="110"/>
      <c r="H154" s="110"/>
      <c r="I154" s="11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10"/>
      <c r="Y154" s="3"/>
    </row>
    <row r="155" spans="1:25" ht="12.5">
      <c r="A155" s="109"/>
      <c r="B155" s="3"/>
      <c r="C155" s="3"/>
      <c r="D155" s="110"/>
      <c r="E155" s="110"/>
      <c r="F155" s="110"/>
      <c r="G155" s="110"/>
      <c r="H155" s="110"/>
      <c r="I155" s="1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10"/>
      <c r="Y155" s="3"/>
    </row>
    <row r="156" spans="1:25" ht="12.5">
      <c r="A156" s="109"/>
      <c r="B156" s="3"/>
      <c r="C156" s="3"/>
      <c r="D156" s="110"/>
      <c r="E156" s="110"/>
      <c r="F156" s="110"/>
      <c r="G156" s="110"/>
      <c r="H156" s="110"/>
      <c r="I156" s="1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110"/>
      <c r="Y156" s="3"/>
    </row>
    <row r="157" spans="1:25" ht="12.5">
      <c r="A157" s="109"/>
      <c r="B157" s="3"/>
      <c r="C157" s="3"/>
      <c r="D157" s="110"/>
      <c r="E157" s="110"/>
      <c r="F157" s="110"/>
      <c r="G157" s="110"/>
      <c r="H157" s="110"/>
      <c r="I157" s="1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10"/>
      <c r="Y157" s="3"/>
    </row>
    <row r="158" spans="1:25" ht="12.5">
      <c r="A158" s="109"/>
      <c r="B158" s="3"/>
      <c r="C158" s="3"/>
      <c r="D158" s="110"/>
      <c r="E158" s="110"/>
      <c r="F158" s="110"/>
      <c r="G158" s="110"/>
      <c r="H158" s="110"/>
      <c r="I158" s="1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10"/>
      <c r="Y158" s="3"/>
    </row>
    <row r="159" spans="1:25" ht="12.5">
      <c r="A159" s="109"/>
      <c r="B159" s="3"/>
      <c r="C159" s="3"/>
      <c r="D159" s="110"/>
      <c r="E159" s="110"/>
      <c r="F159" s="110"/>
      <c r="G159" s="110"/>
      <c r="H159" s="110"/>
      <c r="I159" s="11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0"/>
      <c r="Y159" s="3"/>
    </row>
    <row r="160" spans="1:25" ht="12.5">
      <c r="A160" s="109"/>
      <c r="B160" s="3"/>
      <c r="C160" s="3"/>
      <c r="D160" s="110"/>
      <c r="E160" s="110"/>
      <c r="F160" s="110"/>
      <c r="G160" s="110"/>
      <c r="H160" s="110"/>
      <c r="I160" s="1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109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109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109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109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109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109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3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3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3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3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3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3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3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3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3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3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3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3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3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3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  <row r="1102" spans="1:25" ht="12.5">
      <c r="A1102" s="3"/>
      <c r="B1102" s="3"/>
      <c r="C1102" s="3"/>
      <c r="D1102" s="110"/>
      <c r="E1102" s="110"/>
      <c r="F1102" s="110"/>
      <c r="G1102" s="110"/>
      <c r="H1102" s="110"/>
      <c r="I1102" s="1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110"/>
      <c r="Y1102" s="3"/>
    </row>
    <row r="1103" spans="1:25" ht="12.5">
      <c r="A1103" s="3"/>
      <c r="B1103" s="3"/>
      <c r="C1103" s="3"/>
      <c r="D1103" s="110"/>
      <c r="E1103" s="110"/>
      <c r="F1103" s="110"/>
      <c r="G1103" s="110"/>
      <c r="H1103" s="110"/>
      <c r="I1103" s="1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110"/>
      <c r="Y1103" s="3"/>
    </row>
    <row r="1104" spans="1:25" ht="12.5">
      <c r="A1104" s="3"/>
      <c r="B1104" s="3"/>
      <c r="C1104" s="3"/>
      <c r="D1104" s="110"/>
      <c r="E1104" s="110"/>
      <c r="F1104" s="110"/>
      <c r="G1104" s="110"/>
      <c r="H1104" s="110"/>
      <c r="I1104" s="11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110"/>
      <c r="Y1104" s="3"/>
    </row>
    <row r="1105" spans="1:25" ht="12.5">
      <c r="A1105" s="3"/>
      <c r="B1105" s="3"/>
      <c r="C1105" s="3"/>
      <c r="D1105" s="110"/>
      <c r="E1105" s="110"/>
      <c r="F1105" s="110"/>
      <c r="G1105" s="110"/>
      <c r="H1105" s="110"/>
      <c r="I1105" s="11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110"/>
      <c r="Y1105" s="3"/>
    </row>
    <row r="1106" spans="1:25" ht="12.5">
      <c r="A1106" s="3"/>
      <c r="B1106" s="3"/>
      <c r="C1106" s="3"/>
      <c r="D1106" s="110"/>
      <c r="E1106" s="110"/>
      <c r="F1106" s="110"/>
      <c r="G1106" s="110"/>
      <c r="H1106" s="110"/>
      <c r="I1106" s="11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110"/>
      <c r="Y1106" s="3"/>
    </row>
    <row r="1107" spans="1:25" ht="12.5">
      <c r="A1107" s="3"/>
      <c r="B1107" s="3"/>
      <c r="C1107" s="3"/>
      <c r="D1107" s="110"/>
      <c r="E1107" s="110"/>
      <c r="F1107" s="110"/>
      <c r="G1107" s="110"/>
      <c r="H1107" s="110"/>
      <c r="I1107" s="11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110"/>
      <c r="Y1107" s="3"/>
    </row>
  </sheetData>
  <mergeCells count="118">
    <mergeCell ref="B146:C146"/>
    <mergeCell ref="K146:L146"/>
    <mergeCell ref="U146:V146"/>
    <mergeCell ref="X121:X138"/>
    <mergeCell ref="B144:C144"/>
    <mergeCell ref="K144:L144"/>
    <mergeCell ref="U144:V144"/>
    <mergeCell ref="B145:C145"/>
    <mergeCell ref="K145:L145"/>
    <mergeCell ref="U145:V145"/>
    <mergeCell ref="A109:A120"/>
    <mergeCell ref="B109:B120"/>
    <mergeCell ref="C109:C120"/>
    <mergeCell ref="D109:D120"/>
    <mergeCell ref="E109:E120"/>
    <mergeCell ref="F109:F120"/>
    <mergeCell ref="G109:G120"/>
    <mergeCell ref="H109:H120"/>
    <mergeCell ref="X109:X119"/>
    <mergeCell ref="X81:X94"/>
    <mergeCell ref="Y81:Y94"/>
    <mergeCell ref="A95:A108"/>
    <mergeCell ref="B95:B108"/>
    <mergeCell ref="C95:C108"/>
    <mergeCell ref="D95:D108"/>
    <mergeCell ref="E95:E108"/>
    <mergeCell ref="F95:F108"/>
    <mergeCell ref="G95:G108"/>
    <mergeCell ref="H95:H108"/>
    <mergeCell ref="A81:A94"/>
    <mergeCell ref="B81:B94"/>
    <mergeCell ref="C81:C94"/>
    <mergeCell ref="D81:D94"/>
    <mergeCell ref="E81:E94"/>
    <mergeCell ref="F81:F94"/>
    <mergeCell ref="G81:G94"/>
    <mergeCell ref="H81:H94"/>
    <mergeCell ref="X95:X106"/>
    <mergeCell ref="Y75:Y80"/>
    <mergeCell ref="X62:X74"/>
    <mergeCell ref="Y62:Y74"/>
    <mergeCell ref="A75:A80"/>
    <mergeCell ref="B75:B80"/>
    <mergeCell ref="C75:C80"/>
    <mergeCell ref="D75:D80"/>
    <mergeCell ref="E75:E80"/>
    <mergeCell ref="F75:F80"/>
    <mergeCell ref="G75:G80"/>
    <mergeCell ref="H75:H80"/>
    <mergeCell ref="A62:A74"/>
    <mergeCell ref="B62:B74"/>
    <mergeCell ref="C62:C74"/>
    <mergeCell ref="D62:D74"/>
    <mergeCell ref="E62:E74"/>
    <mergeCell ref="F62:F74"/>
    <mergeCell ref="G62:G74"/>
    <mergeCell ref="H62:H74"/>
    <mergeCell ref="X75:X80"/>
    <mergeCell ref="Y34:Y45"/>
    <mergeCell ref="A46:A61"/>
    <mergeCell ref="B46:B61"/>
    <mergeCell ref="C46:C61"/>
    <mergeCell ref="D46:D61"/>
    <mergeCell ref="E46:E61"/>
    <mergeCell ref="F46:F61"/>
    <mergeCell ref="G46:G61"/>
    <mergeCell ref="H46:H61"/>
    <mergeCell ref="X46:X60"/>
    <mergeCell ref="Y49:Y61"/>
    <mergeCell ref="A31:A45"/>
    <mergeCell ref="B31:B45"/>
    <mergeCell ref="C31:C45"/>
    <mergeCell ref="D31:D45"/>
    <mergeCell ref="E31:E45"/>
    <mergeCell ref="F31:F45"/>
    <mergeCell ref="G31:G45"/>
    <mergeCell ref="H31:H45"/>
    <mergeCell ref="X31:X45"/>
    <mergeCell ref="C7:C8"/>
    <mergeCell ref="D7:D8"/>
    <mergeCell ref="E7:E8"/>
    <mergeCell ref="F7:F8"/>
    <mergeCell ref="X11:X18"/>
    <mergeCell ref="Y11:Y18"/>
    <mergeCell ref="A19:A30"/>
    <mergeCell ref="B19:B30"/>
    <mergeCell ref="C19:C30"/>
    <mergeCell ref="D19:D30"/>
    <mergeCell ref="E19:E30"/>
    <mergeCell ref="F19:F30"/>
    <mergeCell ref="G19:G30"/>
    <mergeCell ref="H19:H30"/>
    <mergeCell ref="X19:X30"/>
    <mergeCell ref="Y19:Y30"/>
    <mergeCell ref="A1:J1"/>
    <mergeCell ref="A2:J2"/>
    <mergeCell ref="A3:J3"/>
    <mergeCell ref="A4:J4"/>
    <mergeCell ref="A5:T6"/>
    <mergeCell ref="U5:X6"/>
    <mergeCell ref="W7:W8"/>
    <mergeCell ref="X7:X8"/>
    <mergeCell ref="A11:A18"/>
    <mergeCell ref="B11:B18"/>
    <mergeCell ref="C11:C18"/>
    <mergeCell ref="D11:D18"/>
    <mergeCell ref="E11:E18"/>
    <mergeCell ref="F11:F18"/>
    <mergeCell ref="G11:G18"/>
    <mergeCell ref="H11:H18"/>
    <mergeCell ref="G7:G8"/>
    <mergeCell ref="H7:H8"/>
    <mergeCell ref="I7:I8"/>
    <mergeCell ref="J7:T7"/>
    <mergeCell ref="U7:U8"/>
    <mergeCell ref="V7:V8"/>
    <mergeCell ref="A7:A8"/>
    <mergeCell ref="B7:B8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9A2A-1A0E-429B-8B48-DCD541831513}">
  <sheetPr codeName="Sheet5">
    <outlinePr summaryBelow="0" summaryRight="0"/>
    <pageSetUpPr fitToPage="1"/>
  </sheetPr>
  <dimension ref="A1:Y1109"/>
  <sheetViews>
    <sheetView topLeftCell="A4" zoomScale="90" zoomScaleNormal="90" workbookViewId="0">
      <pane xSplit="9" ySplit="6" topLeftCell="T49" activePane="bottomRight" state="frozen"/>
      <selection activeCell="A4" sqref="A4"/>
      <selection pane="topRight" activeCell="I4" sqref="I4"/>
      <selection pane="bottomLeft" activeCell="A10" sqref="A10"/>
      <selection pane="bottomRight" activeCell="W55" sqref="W55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7" width="12.6328125" style="4" customWidth="1"/>
    <col min="18" max="18" width="16.54296875" style="4" customWidth="1"/>
    <col min="19" max="19" width="21.08984375" style="4" customWidth="1"/>
    <col min="20" max="20" width="14.08984375" style="4" customWidth="1"/>
    <col min="21" max="23" width="12.6328125" style="4"/>
    <col min="24" max="24" width="13.7265625" style="113" customWidth="1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>
      <c r="A5" s="204" t="s">
        <v>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6"/>
      <c r="U5" s="211" t="s">
        <v>215</v>
      </c>
      <c r="V5" s="212"/>
      <c r="W5" s="212"/>
      <c r="X5" s="213"/>
      <c r="Y5" s="3"/>
    </row>
    <row r="6" spans="1:25" ht="12.5">
      <c r="A6" s="207"/>
      <c r="B6" s="208"/>
      <c r="C6" s="208"/>
      <c r="D6" s="208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10"/>
      <c r="U6" s="214"/>
      <c r="V6" s="215"/>
      <c r="W6" s="215"/>
      <c r="X6" s="216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201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131"/>
      <c r="B9" s="132"/>
      <c r="C9" s="132"/>
      <c r="D9" s="133">
        <f>SUM(D10:D145)</f>
        <v>72896154</v>
      </c>
      <c r="E9" s="133">
        <f>SUM(E10:E145)</f>
        <v>13400000</v>
      </c>
      <c r="F9" s="133">
        <f>SUM(F10:F145)</f>
        <v>7200000</v>
      </c>
      <c r="G9" s="133">
        <f>SUM(G10:G145)</f>
        <v>15516000</v>
      </c>
      <c r="H9" s="133"/>
      <c r="I9" s="133"/>
      <c r="J9" s="133">
        <f>J18+J30+J45+J61+J74+J80+J94+J108+J120</f>
        <v>1295</v>
      </c>
      <c r="K9" s="133">
        <f t="shared" ref="K9:Q9" si="0">K18+K30+K45+K61+K74+K80+K94+K108+K120</f>
        <v>5272650000</v>
      </c>
      <c r="L9" s="133">
        <f t="shared" si="0"/>
        <v>6158102451.8172035</v>
      </c>
      <c r="M9" s="133">
        <f t="shared" si="0"/>
        <v>5686962182</v>
      </c>
      <c r="N9" s="133">
        <f t="shared" si="0"/>
        <v>221142150</v>
      </c>
      <c r="O9" s="133">
        <f t="shared" si="0"/>
        <v>28327600</v>
      </c>
      <c r="P9" s="133">
        <f t="shared" si="0"/>
        <v>5936431932</v>
      </c>
      <c r="Q9" s="133">
        <f t="shared" si="0"/>
        <v>1416058630.1075268</v>
      </c>
      <c r="R9" s="137">
        <f>Q9/L9</f>
        <v>0.22995048250450265</v>
      </c>
      <c r="S9" s="133">
        <f>S18+S30+S45+S61+S74+S80+S94+S108+S120</f>
        <v>119048388.12903228</v>
      </c>
      <c r="T9" s="133">
        <f>T18+T30+T45+T61+T74+T80+T94+T108+T120</f>
        <v>4689010638.4517336</v>
      </c>
      <c r="U9" s="133">
        <f>(T9/K9)*100</f>
        <v>88.930815405000018</v>
      </c>
      <c r="V9" s="133">
        <f>U9*109000/90</f>
        <v>107705.09865716669</v>
      </c>
      <c r="W9" s="134">
        <f>W18+W30+W45+W61+W74+W80+W94+W108+W120</f>
        <v>132053923.22696738</v>
      </c>
      <c r="X9" s="135">
        <f>X10+X11+X19+X31+X46+X62+X75+X81+X95+X109</f>
        <v>177769923.22696739</v>
      </c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1293*7000</f>
        <v>9051000</v>
      </c>
      <c r="H10" s="13"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1"/>
      <c r="W10" s="16"/>
      <c r="X10" s="16">
        <f>D10+F10+E10+G10</f>
        <v>20251000</v>
      </c>
      <c r="Y10" s="17"/>
    </row>
    <row r="11" spans="1:25" ht="14">
      <c r="A11" s="222" t="s">
        <v>33</v>
      </c>
      <c r="B11" s="224" t="s">
        <v>42</v>
      </c>
      <c r="C11" s="224" t="s">
        <v>43</v>
      </c>
      <c r="D11" s="227">
        <v>8000000</v>
      </c>
      <c r="E11" s="226">
        <v>500000</v>
      </c>
      <c r="F11" s="230">
        <v>500000</v>
      </c>
      <c r="G11" s="177">
        <f>1293*5000</f>
        <v>6465000</v>
      </c>
      <c r="H11" s="177"/>
      <c r="I11" s="25" t="s">
        <v>44</v>
      </c>
      <c r="J11" s="44">
        <v>50</v>
      </c>
      <c r="K11" s="26">
        <v>170000000</v>
      </c>
      <c r="L11" s="18">
        <v>176356000</v>
      </c>
      <c r="M11" s="14">
        <v>163074000</v>
      </c>
      <c r="N11" s="14">
        <v>8105400</v>
      </c>
      <c r="O11" s="14">
        <v>350000</v>
      </c>
      <c r="P11" s="14">
        <f>SUM(M11:O11)</f>
        <v>171529400</v>
      </c>
      <c r="Q11" s="44">
        <v>46956000</v>
      </c>
      <c r="R11" s="45">
        <f>Q11/L11</f>
        <v>0.26625688947356485</v>
      </c>
      <c r="S11" s="14">
        <v>2258065</v>
      </c>
      <c r="T11" s="26">
        <f t="shared" ref="T11:T17" si="1">P11-(P11*R11)+S11</f>
        <v>128116580.50273311</v>
      </c>
      <c r="U11" s="46">
        <f t="shared" ref="U11:U92" si="2">(T11/K11)*100</f>
        <v>75.362694413372424</v>
      </c>
      <c r="V11" s="12">
        <f>U11*75000/75</f>
        <v>75362.694413372432</v>
      </c>
      <c r="W11" s="21">
        <f>V11*J11</f>
        <v>3768134.7206686214</v>
      </c>
      <c r="X11" s="177">
        <f>W18+D11+F11+G11+H11+E11</f>
        <v>20656079.708599001</v>
      </c>
      <c r="Y11" s="239"/>
    </row>
    <row r="12" spans="1:25" ht="14">
      <c r="A12" s="222"/>
      <c r="B12" s="224" t="str">
        <f>B11</f>
        <v>Trần Quang Huy</v>
      </c>
      <c r="C12" s="224"/>
      <c r="D12" s="227"/>
      <c r="E12" s="227"/>
      <c r="F12" s="230"/>
      <c r="G12" s="177"/>
      <c r="H12" s="177"/>
      <c r="I12" s="26" t="s">
        <v>45</v>
      </c>
      <c r="J12" s="47">
        <v>14</v>
      </c>
      <c r="K12" s="26">
        <v>46300000</v>
      </c>
      <c r="L12" s="31">
        <v>54694000</v>
      </c>
      <c r="M12" s="14">
        <v>54694000</v>
      </c>
      <c r="N12" s="14">
        <v>0</v>
      </c>
      <c r="O12" s="14">
        <v>0</v>
      </c>
      <c r="P12" s="14">
        <f>SUM(M12:O12)</f>
        <v>54694000</v>
      </c>
      <c r="Q12" s="44">
        <v>14694000</v>
      </c>
      <c r="R12" s="45">
        <f t="shared" ref="R12:R79" si="3">Q12/L12</f>
        <v>0.26865835374995428</v>
      </c>
      <c r="S12" s="14"/>
      <c r="T12" s="26">
        <f t="shared" si="1"/>
        <v>40000000</v>
      </c>
      <c r="U12" s="46">
        <f t="shared" si="2"/>
        <v>86.393088552915771</v>
      </c>
      <c r="V12" s="12">
        <f>U12*100000/85</f>
        <v>101638.92770931267</v>
      </c>
      <c r="W12" s="21">
        <f>V12*J12</f>
        <v>1422944.9879303775</v>
      </c>
      <c r="X12" s="178"/>
      <c r="Y12" s="239"/>
    </row>
    <row r="13" spans="1:25" ht="12.5">
      <c r="A13" s="222"/>
      <c r="B13" s="224" t="str">
        <f>B12</f>
        <v>Trần Quang Huy</v>
      </c>
      <c r="C13" s="224"/>
      <c r="D13" s="227"/>
      <c r="E13" s="227"/>
      <c r="F13" s="230"/>
      <c r="G13" s="177"/>
      <c r="H13" s="177"/>
      <c r="J13" s="49"/>
      <c r="K13" s="37"/>
      <c r="L13" s="14"/>
      <c r="M13" s="14"/>
      <c r="N13" s="14"/>
      <c r="O13" s="14"/>
      <c r="P13" s="14">
        <f t="shared" ref="P13:P17" si="4">SUM(M13:O13)</f>
        <v>0</v>
      </c>
      <c r="Q13" s="44"/>
      <c r="R13" s="45"/>
      <c r="S13" s="14"/>
      <c r="T13" s="26">
        <f t="shared" si="1"/>
        <v>0</v>
      </c>
      <c r="U13" s="46">
        <f>(T13/K113)*100</f>
        <v>0</v>
      </c>
      <c r="V13" s="12">
        <f>U13*100000/85</f>
        <v>0</v>
      </c>
      <c r="W13" s="21">
        <f t="shared" ref="W13:W17" si="5">V13*J13</f>
        <v>0</v>
      </c>
      <c r="X13" s="178"/>
      <c r="Y13" s="239"/>
    </row>
    <row r="14" spans="1:25" ht="12.5">
      <c r="A14" s="222"/>
      <c r="B14" s="224" t="str">
        <f>B13</f>
        <v>Trần Quang Huy</v>
      </c>
      <c r="C14" s="224"/>
      <c r="D14" s="227"/>
      <c r="E14" s="227"/>
      <c r="F14" s="230"/>
      <c r="G14" s="177"/>
      <c r="H14" s="177"/>
      <c r="I14" s="36"/>
      <c r="J14" s="37"/>
      <c r="K14" s="37"/>
      <c r="L14" s="14"/>
      <c r="M14" s="14"/>
      <c r="N14" s="14"/>
      <c r="O14" s="14"/>
      <c r="P14" s="14">
        <f t="shared" si="4"/>
        <v>0</v>
      </c>
      <c r="Q14" s="44"/>
      <c r="R14" s="45"/>
      <c r="S14" s="14"/>
      <c r="T14" s="26">
        <f t="shared" si="1"/>
        <v>0</v>
      </c>
      <c r="U14" s="46">
        <f>(T14/K91)*100</f>
        <v>0</v>
      </c>
      <c r="V14" s="12">
        <f>U14*109000/90</f>
        <v>0</v>
      </c>
      <c r="W14" s="21">
        <f t="shared" si="5"/>
        <v>0</v>
      </c>
      <c r="X14" s="178"/>
      <c r="Y14" s="239"/>
    </row>
    <row r="15" spans="1:25" ht="12.5">
      <c r="A15" s="222"/>
      <c r="B15" s="224" t="str">
        <f>B14</f>
        <v>Trần Quang Huy</v>
      </c>
      <c r="C15" s="224"/>
      <c r="D15" s="227"/>
      <c r="E15" s="227"/>
      <c r="F15" s="230"/>
      <c r="G15" s="177"/>
      <c r="H15" s="177"/>
      <c r="I15" s="36"/>
      <c r="J15" s="37"/>
      <c r="K15" s="37"/>
      <c r="L15" s="14"/>
      <c r="M15" s="14"/>
      <c r="N15" s="14"/>
      <c r="O15" s="14"/>
      <c r="P15" s="14">
        <f>SUM(M15:O15)</f>
        <v>0</v>
      </c>
      <c r="Q15" s="44"/>
      <c r="R15" s="45"/>
      <c r="S15" s="14"/>
      <c r="T15" s="26">
        <f t="shared" si="1"/>
        <v>0</v>
      </c>
      <c r="U15" s="46">
        <f>(T15/K12)*100</f>
        <v>0</v>
      </c>
      <c r="V15" s="12">
        <f>U15*100000/85</f>
        <v>0</v>
      </c>
      <c r="W15" s="21">
        <f t="shared" si="5"/>
        <v>0</v>
      </c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23"/>
      <c r="M16" s="23"/>
      <c r="N16" s="23"/>
      <c r="O16" s="23"/>
      <c r="P16" s="14">
        <f t="shared" si="4"/>
        <v>0</v>
      </c>
      <c r="Q16" s="44"/>
      <c r="R16" s="45"/>
      <c r="S16" s="14"/>
      <c r="T16" s="26">
        <f t="shared" si="1"/>
        <v>0</v>
      </c>
      <c r="U16" s="46">
        <f>(T16/K91)*100</f>
        <v>0</v>
      </c>
      <c r="V16" s="12">
        <f>U16*109000/95</f>
        <v>0</v>
      </c>
      <c r="W16" s="21">
        <f t="shared" si="5"/>
        <v>0</v>
      </c>
      <c r="X16" s="178"/>
      <c r="Y16" s="239"/>
    </row>
    <row r="17" spans="1:25" ht="12.5">
      <c r="A17" s="222"/>
      <c r="B17" s="224"/>
      <c r="C17" s="224"/>
      <c r="D17" s="227"/>
      <c r="E17" s="227"/>
      <c r="F17" s="230"/>
      <c r="G17" s="177"/>
      <c r="H17" s="177"/>
      <c r="I17" s="36"/>
      <c r="J17" s="37"/>
      <c r="K17" s="37"/>
      <c r="L17" s="25"/>
      <c r="M17" s="26"/>
      <c r="N17" s="26"/>
      <c r="O17" s="26"/>
      <c r="P17" s="14">
        <f t="shared" si="4"/>
        <v>0</v>
      </c>
      <c r="Q17" s="32"/>
      <c r="R17" s="45"/>
      <c r="S17" s="32"/>
      <c r="T17" s="26">
        <f t="shared" si="1"/>
        <v>0</v>
      </c>
      <c r="U17" s="46">
        <f>(T17/K12)*100</f>
        <v>0</v>
      </c>
      <c r="V17" s="12">
        <f>U17*109000/95</f>
        <v>0</v>
      </c>
      <c r="W17" s="21">
        <f t="shared" si="5"/>
        <v>0</v>
      </c>
      <c r="X17" s="178"/>
      <c r="Y17" s="239"/>
    </row>
    <row r="18" spans="1:25" ht="13">
      <c r="A18" s="240"/>
      <c r="B18" s="241" t="str">
        <f>B15</f>
        <v>Trần Quang Huy</v>
      </c>
      <c r="C18" s="241"/>
      <c r="D18" s="228"/>
      <c r="E18" s="228"/>
      <c r="F18" s="231"/>
      <c r="G18" s="177"/>
      <c r="H18" s="177"/>
      <c r="I18" s="51">
        <v>2</v>
      </c>
      <c r="J18" s="52">
        <f>SUM(J11:J17)</f>
        <v>64</v>
      </c>
      <c r="K18" s="52">
        <f>SUM(K11:K17)</f>
        <v>216300000</v>
      </c>
      <c r="L18" s="52">
        <f>SUM(L11:L17)</f>
        <v>231050000</v>
      </c>
      <c r="M18" s="52">
        <f t="shared" ref="M18:N18" si="6">SUM(M11:M17)</f>
        <v>217768000</v>
      </c>
      <c r="N18" s="52">
        <f t="shared" si="6"/>
        <v>8105400</v>
      </c>
      <c r="O18" s="52">
        <f>SUM(O11:O17)</f>
        <v>350000</v>
      </c>
      <c r="P18" s="52">
        <f>SUM(P11:P17)</f>
        <v>226223400</v>
      </c>
      <c r="Q18" s="52">
        <f>SUM(Q11:Q17)</f>
        <v>61650000</v>
      </c>
      <c r="R18" s="53"/>
      <c r="S18" s="52">
        <f>SUM(S11:S17)</f>
        <v>2258065</v>
      </c>
      <c r="T18" s="54">
        <f>SUM(T11:T17)</f>
        <v>168116580.50273311</v>
      </c>
      <c r="U18" s="55">
        <f>(T18/K18)*100</f>
        <v>77.723800509816513</v>
      </c>
      <c r="V18" s="52"/>
      <c r="W18" s="52">
        <f>SUM(W11:W17)</f>
        <v>5191079.7085989993</v>
      </c>
      <c r="X18" s="178"/>
      <c r="Y18" s="239"/>
    </row>
    <row r="19" spans="1:25" ht="13" customHeight="1">
      <c r="A19" s="221" t="s">
        <v>41</v>
      </c>
      <c r="B19" s="249" t="s">
        <v>47</v>
      </c>
      <c r="C19" s="223" t="s">
        <v>35</v>
      </c>
      <c r="D19" s="226"/>
      <c r="E19" s="226">
        <v>500000</v>
      </c>
      <c r="F19" s="229">
        <v>500000</v>
      </c>
      <c r="G19" s="177">
        <v>0</v>
      </c>
      <c r="H19" s="177">
        <v>2000000</v>
      </c>
      <c r="I19" s="14" t="s">
        <v>48</v>
      </c>
      <c r="J19" s="56">
        <v>22</v>
      </c>
      <c r="K19" s="56">
        <v>103000000</v>
      </c>
      <c r="L19" s="14">
        <v>125719000</v>
      </c>
      <c r="M19" s="14">
        <v>120183000</v>
      </c>
      <c r="N19" s="14">
        <v>0</v>
      </c>
      <c r="O19" s="14">
        <v>0</v>
      </c>
      <c r="P19" s="14">
        <f>SUM(M19:O19)</f>
        <v>120183000</v>
      </c>
      <c r="Q19" s="14">
        <v>34119000</v>
      </c>
      <c r="R19" s="45">
        <f t="shared" si="3"/>
        <v>0.27139095920266626</v>
      </c>
      <c r="S19" s="14">
        <v>2903225.8064516126</v>
      </c>
      <c r="T19" s="26">
        <f>P19-(P19*R19)+S19</f>
        <v>90469646.156597584</v>
      </c>
      <c r="U19" s="46">
        <f>(T19/K19)*100</f>
        <v>87.83460791902678</v>
      </c>
      <c r="V19" s="12">
        <f>U19*109000/90</f>
        <v>106377.46959082132</v>
      </c>
      <c r="W19" s="15">
        <f>V19*J19</f>
        <v>2340304.3309980691</v>
      </c>
      <c r="X19" s="177">
        <f>W30+D19+F19+G19+H19+E19</f>
        <v>19581554.13672189</v>
      </c>
      <c r="Y19" s="246"/>
    </row>
    <row r="20" spans="1:25" ht="13" customHeight="1">
      <c r="A20" s="222"/>
      <c r="B20" s="247"/>
      <c r="C20" s="224"/>
      <c r="D20" s="227"/>
      <c r="E20" s="227"/>
      <c r="F20" s="230"/>
      <c r="G20" s="177"/>
      <c r="H20" s="177"/>
      <c r="I20" s="32" t="s">
        <v>49</v>
      </c>
      <c r="J20" s="26">
        <v>8</v>
      </c>
      <c r="K20" s="26">
        <v>32800000</v>
      </c>
      <c r="L20" s="14">
        <v>41894000</v>
      </c>
      <c r="M20" s="14">
        <v>41894000</v>
      </c>
      <c r="N20" s="14">
        <v>0</v>
      </c>
      <c r="O20" s="14">
        <v>0</v>
      </c>
      <c r="P20" s="14">
        <f t="shared" ref="P20:P29" si="7">SUM(M20:O20)</f>
        <v>41894000</v>
      </c>
      <c r="Q20" s="14">
        <v>11294000</v>
      </c>
      <c r="R20" s="45">
        <f t="shared" si="3"/>
        <v>0.26958514345729701</v>
      </c>
      <c r="S20" s="14"/>
      <c r="T20" s="26">
        <f t="shared" ref="T20:T29" si="8">P20-(P20*R20)+S20</f>
        <v>30600000</v>
      </c>
      <c r="U20" s="46">
        <f t="shared" ref="U20:U29" si="9">(T20/K20)*100</f>
        <v>93.292682926829272</v>
      </c>
      <c r="V20" s="21">
        <f t="shared" ref="V20" si="10">U20*119000/95</f>
        <v>116861.36071887036</v>
      </c>
      <c r="W20" s="16">
        <f t="shared" ref="W20:W28" si="11">V20*J20</f>
        <v>934890.88575096289</v>
      </c>
      <c r="X20" s="177"/>
      <c r="Y20" s="246"/>
    </row>
    <row r="21" spans="1:25" ht="13" customHeight="1">
      <c r="A21" s="222"/>
      <c r="B21" s="247"/>
      <c r="C21" s="224"/>
      <c r="D21" s="227"/>
      <c r="E21" s="227"/>
      <c r="F21" s="230"/>
      <c r="G21" s="177"/>
      <c r="H21" s="177"/>
      <c r="I21" s="47" t="s">
        <v>50</v>
      </c>
      <c r="J21" s="26">
        <v>9</v>
      </c>
      <c r="K21" s="26">
        <v>37800000</v>
      </c>
      <c r="L21" s="14">
        <v>36216000</v>
      </c>
      <c r="M21" s="14">
        <v>36216000</v>
      </c>
      <c r="N21" s="14">
        <v>0</v>
      </c>
      <c r="O21" s="14">
        <v>0</v>
      </c>
      <c r="P21" s="14">
        <f t="shared" si="7"/>
        <v>36216000</v>
      </c>
      <c r="Q21" s="14">
        <v>8516000</v>
      </c>
      <c r="R21" s="45">
        <f t="shared" si="3"/>
        <v>0.23514468743096972</v>
      </c>
      <c r="S21" s="14"/>
      <c r="T21" s="26">
        <f t="shared" si="8"/>
        <v>27700000</v>
      </c>
      <c r="U21" s="46">
        <f t="shared" si="9"/>
        <v>73.280423280423278</v>
      </c>
      <c r="V21" s="21">
        <f>U21*74000/75</f>
        <v>72303.350970017636</v>
      </c>
      <c r="W21" s="16">
        <f>V21*J21</f>
        <v>650730.1587301587</v>
      </c>
      <c r="X21" s="177"/>
      <c r="Y21" s="246"/>
    </row>
    <row r="22" spans="1:25" ht="13" customHeight="1">
      <c r="A22" s="222"/>
      <c r="B22" s="247"/>
      <c r="C22" s="224"/>
      <c r="D22" s="227"/>
      <c r="E22" s="227"/>
      <c r="F22" s="230"/>
      <c r="G22" s="177"/>
      <c r="H22" s="177"/>
      <c r="I22" s="26" t="s">
        <v>51</v>
      </c>
      <c r="J22" s="14">
        <v>17</v>
      </c>
      <c r="K22" s="14">
        <v>42000000</v>
      </c>
      <c r="L22" s="14">
        <v>55861333.333333336</v>
      </c>
      <c r="M22" s="14">
        <v>55951266</v>
      </c>
      <c r="N22" s="14">
        <v>0</v>
      </c>
      <c r="O22" s="14">
        <v>0</v>
      </c>
      <c r="P22" s="14">
        <f t="shared" si="7"/>
        <v>55951266</v>
      </c>
      <c r="Q22" s="14">
        <v>14461333.333333332</v>
      </c>
      <c r="R22" s="45">
        <f t="shared" si="3"/>
        <v>0.25887912927248419</v>
      </c>
      <c r="S22" s="14"/>
      <c r="T22" s="26">
        <f t="shared" si="8"/>
        <v>41466650.976226851</v>
      </c>
      <c r="U22" s="46">
        <f t="shared" si="9"/>
        <v>98.730121371968693</v>
      </c>
      <c r="V22" s="21">
        <f>U22*130000/100</f>
        <v>128349.15778355931</v>
      </c>
      <c r="W22" s="16">
        <f t="shared" si="11"/>
        <v>2181935.6823205082</v>
      </c>
      <c r="X22" s="177"/>
      <c r="Y22" s="246"/>
    </row>
    <row r="23" spans="1:25" ht="13" customHeight="1">
      <c r="A23" s="222"/>
      <c r="B23" s="247" t="str">
        <f>B19</f>
        <v>Nguyễn Thị Thương Huyền</v>
      </c>
      <c r="C23" s="224"/>
      <c r="D23" s="227"/>
      <c r="E23" s="227"/>
      <c r="F23" s="230"/>
      <c r="G23" s="177"/>
      <c r="H23" s="177"/>
      <c r="I23" s="23" t="s">
        <v>52</v>
      </c>
      <c r="J23" s="23">
        <v>9</v>
      </c>
      <c r="K23" s="23">
        <v>31500000</v>
      </c>
      <c r="L23" s="14">
        <v>41896000</v>
      </c>
      <c r="M23" s="14">
        <v>41896000</v>
      </c>
      <c r="N23" s="14">
        <v>0</v>
      </c>
      <c r="O23" s="14">
        <v>0</v>
      </c>
      <c r="P23" s="14">
        <f t="shared" si="7"/>
        <v>41896000</v>
      </c>
      <c r="Q23" s="14">
        <v>10396000</v>
      </c>
      <c r="R23" s="45">
        <f t="shared" si="3"/>
        <v>0.24813824708802751</v>
      </c>
      <c r="S23" s="14"/>
      <c r="T23" s="26">
        <f t="shared" si="8"/>
        <v>31500000</v>
      </c>
      <c r="U23" s="46">
        <f t="shared" si="9"/>
        <v>100</v>
      </c>
      <c r="V23" s="21">
        <f>U23*130000/100</f>
        <v>130000</v>
      </c>
      <c r="W23" s="16">
        <f t="shared" si="11"/>
        <v>1170000</v>
      </c>
      <c r="X23" s="178"/>
      <c r="Y23" s="246"/>
    </row>
    <row r="24" spans="1:25" ht="13" customHeight="1">
      <c r="A24" s="222"/>
      <c r="B24" s="247" t="str">
        <f>B23</f>
        <v>Nguyễn Thị Thương Huyền</v>
      </c>
      <c r="C24" s="224"/>
      <c r="D24" s="227"/>
      <c r="E24" s="227"/>
      <c r="F24" s="230"/>
      <c r="G24" s="177"/>
      <c r="H24" s="177"/>
      <c r="I24" s="26" t="s">
        <v>53</v>
      </c>
      <c r="J24" s="26">
        <v>10</v>
      </c>
      <c r="K24" s="26">
        <v>36200000</v>
      </c>
      <c r="L24" s="23">
        <v>48734000</v>
      </c>
      <c r="M24" s="23">
        <v>45734000</v>
      </c>
      <c r="N24" s="23">
        <v>2700000</v>
      </c>
      <c r="O24" s="23">
        <v>0</v>
      </c>
      <c r="P24" s="14">
        <f t="shared" si="7"/>
        <v>48434000</v>
      </c>
      <c r="Q24" s="23">
        <v>13034000</v>
      </c>
      <c r="R24" s="45">
        <f t="shared" si="3"/>
        <v>0.26745188164320599</v>
      </c>
      <c r="S24" s="23"/>
      <c r="T24" s="26">
        <f t="shared" si="8"/>
        <v>35480235.564492963</v>
      </c>
      <c r="U24" s="46">
        <f t="shared" si="9"/>
        <v>98.011700454400454</v>
      </c>
      <c r="V24" s="12">
        <f>U24*130000/100</f>
        <v>127415.21059072058</v>
      </c>
      <c r="W24" s="21">
        <f t="shared" si="11"/>
        <v>1274152.105907206</v>
      </c>
      <c r="X24" s="178"/>
      <c r="Y24" s="246"/>
    </row>
    <row r="25" spans="1:25" ht="13" customHeight="1">
      <c r="A25" s="222"/>
      <c r="B25" s="247"/>
      <c r="C25" s="224"/>
      <c r="D25" s="227"/>
      <c r="E25" s="227"/>
      <c r="F25" s="230"/>
      <c r="G25" s="245"/>
      <c r="H25" s="245"/>
      <c r="I25" s="26" t="s">
        <v>54</v>
      </c>
      <c r="J25" s="26">
        <v>15</v>
      </c>
      <c r="K25" s="26">
        <v>61200000</v>
      </c>
      <c r="L25" s="25">
        <f>63130800+3700000</f>
        <v>66830800</v>
      </c>
      <c r="M25" s="26">
        <f>56329800+3700000</f>
        <v>60029800</v>
      </c>
      <c r="N25" s="26">
        <v>2043900</v>
      </c>
      <c r="O25" s="26">
        <v>0</v>
      </c>
      <c r="P25" s="14">
        <f t="shared" si="7"/>
        <v>62073700</v>
      </c>
      <c r="Q25" s="26">
        <v>12830800</v>
      </c>
      <c r="R25" s="45">
        <f t="shared" si="3"/>
        <v>0.19198932228852564</v>
      </c>
      <c r="S25" s="26"/>
      <c r="T25" s="26">
        <f t="shared" si="8"/>
        <v>50156212.405058742</v>
      </c>
      <c r="U25" s="46">
        <f t="shared" si="9"/>
        <v>81.954595433102511</v>
      </c>
      <c r="V25" s="12">
        <f>U25*85000/80</f>
        <v>87076.757647671417</v>
      </c>
      <c r="W25" s="21">
        <f t="shared" si="11"/>
        <v>1306151.3647150712</v>
      </c>
      <c r="X25" s="178"/>
      <c r="Y25" s="246"/>
    </row>
    <row r="26" spans="1:25" ht="13" customHeight="1">
      <c r="A26" s="222"/>
      <c r="B26" s="247"/>
      <c r="C26" s="224"/>
      <c r="D26" s="227"/>
      <c r="E26" s="227"/>
      <c r="F26" s="230"/>
      <c r="G26" s="245"/>
      <c r="H26" s="245"/>
      <c r="I26" s="26" t="s">
        <v>55</v>
      </c>
      <c r="J26" s="26">
        <v>16</v>
      </c>
      <c r="K26" s="26">
        <v>68800000</v>
      </c>
      <c r="L26" s="25">
        <f>72298000-7500000</f>
        <v>64798000</v>
      </c>
      <c r="M26" s="26">
        <f>61286000-7500000</f>
        <v>53786000</v>
      </c>
      <c r="N26" s="26">
        <v>1139400</v>
      </c>
      <c r="O26" s="26">
        <v>0</v>
      </c>
      <c r="P26" s="23">
        <f t="shared" si="7"/>
        <v>54925400</v>
      </c>
      <c r="Q26" s="26">
        <v>13498000</v>
      </c>
      <c r="R26" s="45">
        <f t="shared" si="3"/>
        <v>0.20830889842279082</v>
      </c>
      <c r="S26" s="26">
        <f>4645161+3400000</f>
        <v>8045161</v>
      </c>
      <c r="T26" s="26">
        <f t="shared" si="8"/>
        <v>51529111.430568844</v>
      </c>
      <c r="U26" s="46">
        <f t="shared" si="9"/>
        <v>74.896964288617511</v>
      </c>
      <c r="V26" s="12">
        <f>U26*74000/75</f>
        <v>73898.338098102613</v>
      </c>
      <c r="W26" s="16">
        <f t="shared" si="11"/>
        <v>1182373.4095696418</v>
      </c>
      <c r="X26" s="178"/>
      <c r="Y26" s="246"/>
    </row>
    <row r="27" spans="1:25" ht="13" customHeight="1">
      <c r="A27" s="264"/>
      <c r="B27" s="265"/>
      <c r="C27" s="258"/>
      <c r="D27" s="227"/>
      <c r="E27" s="227"/>
      <c r="F27" s="230"/>
      <c r="G27" s="245"/>
      <c r="H27" s="245"/>
      <c r="I27" s="26" t="s">
        <v>93</v>
      </c>
      <c r="J27" s="14">
        <v>10</v>
      </c>
      <c r="K27" s="14">
        <v>47000000</v>
      </c>
      <c r="L27" s="25">
        <v>59694000</v>
      </c>
      <c r="M27" s="30">
        <v>53301000</v>
      </c>
      <c r="N27" s="26">
        <v>0</v>
      </c>
      <c r="O27" s="26">
        <v>4475100</v>
      </c>
      <c r="P27" s="23">
        <f t="shared" si="7"/>
        <v>57776100</v>
      </c>
      <c r="Q27" s="26">
        <v>13294000</v>
      </c>
      <c r="R27" s="45">
        <f t="shared" si="3"/>
        <v>0.22270244915736925</v>
      </c>
      <c r="S27" s="26"/>
      <c r="T27" s="26">
        <f t="shared" si="8"/>
        <v>44909221.02723892</v>
      </c>
      <c r="U27" s="46">
        <f t="shared" si="9"/>
        <v>95.551534100508334</v>
      </c>
      <c r="V27" s="12">
        <f>U27*120000/95</f>
        <v>120696.67465327369</v>
      </c>
      <c r="W27" s="16">
        <f t="shared" si="11"/>
        <v>1206966.7465327368</v>
      </c>
      <c r="X27" s="178"/>
      <c r="Y27" s="246"/>
    </row>
    <row r="28" spans="1:25" ht="13" customHeight="1">
      <c r="A28" s="264"/>
      <c r="B28" s="265"/>
      <c r="C28" s="258"/>
      <c r="D28" s="227"/>
      <c r="E28" s="227"/>
      <c r="F28" s="230"/>
      <c r="G28" s="245"/>
      <c r="H28" s="245"/>
      <c r="I28" s="26" t="s">
        <v>197</v>
      </c>
      <c r="J28" s="26">
        <v>17</v>
      </c>
      <c r="K28" s="26">
        <v>76700000</v>
      </c>
      <c r="L28" s="25">
        <f>86707000+4500000</f>
        <v>91207000</v>
      </c>
      <c r="M28" s="30">
        <f>81666000+4500000</f>
        <v>86166000</v>
      </c>
      <c r="N28" s="26">
        <v>0</v>
      </c>
      <c r="O28" s="26">
        <v>0</v>
      </c>
      <c r="P28" s="26">
        <f t="shared" si="7"/>
        <v>86166000</v>
      </c>
      <c r="Q28" s="26">
        <v>16907000</v>
      </c>
      <c r="R28" s="45">
        <f t="shared" si="3"/>
        <v>0.18536954400429792</v>
      </c>
      <c r="S28" s="26">
        <v>3606451.6129032262</v>
      </c>
      <c r="T28" s="26">
        <f t="shared" si="8"/>
        <v>73799899.484228894</v>
      </c>
      <c r="U28" s="46">
        <f t="shared" si="9"/>
        <v>96.218904151537018</v>
      </c>
      <c r="V28" s="12">
        <f>U28*120000/95</f>
        <v>121539.6684019415</v>
      </c>
      <c r="W28" s="16">
        <f t="shared" si="11"/>
        <v>2066174.3628330054</v>
      </c>
      <c r="X28" s="178"/>
      <c r="Y28" s="246"/>
    </row>
    <row r="29" spans="1:25" ht="13" customHeight="1">
      <c r="A29" s="264"/>
      <c r="B29" s="265"/>
      <c r="C29" s="258"/>
      <c r="D29" s="227"/>
      <c r="E29" s="227"/>
      <c r="F29" s="230"/>
      <c r="G29" s="245"/>
      <c r="H29" s="245"/>
      <c r="I29" s="30" t="s">
        <v>209</v>
      </c>
      <c r="J29" s="30">
        <v>26</v>
      </c>
      <c r="K29" s="30">
        <v>104700000</v>
      </c>
      <c r="L29" s="29">
        <f>116400129.032258-10500000</f>
        <v>105900129.032258</v>
      </c>
      <c r="M29" s="30">
        <f>102120000-10500000</f>
        <v>91620000</v>
      </c>
      <c r="N29" s="30">
        <v>8020800</v>
      </c>
      <c r="O29" s="30">
        <v>588700</v>
      </c>
      <c r="P29" s="26">
        <f t="shared" si="7"/>
        <v>100229500</v>
      </c>
      <c r="Q29" s="84">
        <v>20185935.483870968</v>
      </c>
      <c r="R29" s="45">
        <f t="shared" si="3"/>
        <v>0.19061294512419502</v>
      </c>
      <c r="S29" s="26">
        <v>4829032.2580645159</v>
      </c>
      <c r="T29" s="26">
        <f t="shared" si="8"/>
        <v>85953492.074739009</v>
      </c>
      <c r="U29" s="46">
        <f t="shared" si="9"/>
        <v>82.095025859349576</v>
      </c>
      <c r="V29" s="12">
        <f>U29*85000/80</f>
        <v>87225.96497555892</v>
      </c>
      <c r="W29" s="16">
        <f>V29*J29</f>
        <v>2267875.0893645319</v>
      </c>
      <c r="X29" s="178"/>
      <c r="Y29" s="246"/>
    </row>
    <row r="30" spans="1:25" ht="13" customHeight="1">
      <c r="A30" s="179"/>
      <c r="B30" s="180" t="e">
        <f>#REF!</f>
        <v>#REF!</v>
      </c>
      <c r="C30" s="225"/>
      <c r="D30" s="228"/>
      <c r="E30" s="228"/>
      <c r="F30" s="231"/>
      <c r="G30" s="245"/>
      <c r="H30" s="245"/>
      <c r="I30" s="127">
        <v>11</v>
      </c>
      <c r="J30" s="128">
        <f>SUM(J19:J29)</f>
        <v>159</v>
      </c>
      <c r="K30" s="128">
        <f>SUM(K19:K29)</f>
        <v>641700000</v>
      </c>
      <c r="L30" s="128">
        <f>SUM(L19:L29)</f>
        <v>738750262.36559141</v>
      </c>
      <c r="M30" s="128">
        <f>SUM(M19:M29)</f>
        <v>686777066</v>
      </c>
      <c r="N30" s="128">
        <f t="shared" ref="N30" si="12">SUM(N19:N29)</f>
        <v>13904100</v>
      </c>
      <c r="O30" s="128">
        <f>SUM(O19:O29)</f>
        <v>5063800</v>
      </c>
      <c r="P30" s="128">
        <f>SUM(P19:P29)</f>
        <v>705744966</v>
      </c>
      <c r="Q30" s="60">
        <f>SUM(Q19:Q29)</f>
        <v>168536068.8172043</v>
      </c>
      <c r="R30" s="61"/>
      <c r="S30" s="60">
        <f>SUM(S19:S29)</f>
        <v>19383870.677419357</v>
      </c>
      <c r="T30" s="129">
        <f>SUM(T19:T29)</f>
        <v>563564469.11915171</v>
      </c>
      <c r="U30" s="55">
        <f>(T30/K30)*100</f>
        <v>87.823666685234798</v>
      </c>
      <c r="V30" s="62"/>
      <c r="W30" s="62">
        <f>SUM(W19:W29)</f>
        <v>16581554.13672189</v>
      </c>
      <c r="X30" s="178"/>
      <c r="Y30" s="246"/>
    </row>
    <row r="31" spans="1:25" ht="13" customHeight="1">
      <c r="A31" s="222" t="s">
        <v>46</v>
      </c>
      <c r="B31" s="247" t="s">
        <v>57</v>
      </c>
      <c r="C31" s="223" t="s">
        <v>35</v>
      </c>
      <c r="D31" s="226">
        <v>0</v>
      </c>
      <c r="E31" s="226">
        <v>500000</v>
      </c>
      <c r="F31" s="242">
        <f>500000</f>
        <v>500000</v>
      </c>
      <c r="G31" s="181">
        <v>0</v>
      </c>
      <c r="H31" s="181"/>
      <c r="I31" s="36" t="s">
        <v>129</v>
      </c>
      <c r="J31" s="26">
        <v>12</v>
      </c>
      <c r="K31" s="26">
        <v>48900000</v>
      </c>
      <c r="L31" s="56">
        <v>42068000</v>
      </c>
      <c r="M31" s="56">
        <v>42068000</v>
      </c>
      <c r="N31" s="37">
        <v>0</v>
      </c>
      <c r="O31" s="37">
        <v>0</v>
      </c>
      <c r="P31" s="26">
        <f t="shared" ref="P31:P32" si="13">SUM(M31:O31)</f>
        <v>42068000</v>
      </c>
      <c r="Q31" s="56">
        <v>7868000</v>
      </c>
      <c r="R31" s="65">
        <f t="shared" ref="R31:R32" si="14">Q31/L31</f>
        <v>0.18703052201198062</v>
      </c>
      <c r="S31" s="56">
        <v>3429032.2580645164</v>
      </c>
      <c r="T31" s="26">
        <f t="shared" ref="T31:T32" si="15">P31-(P31*R31)+S31</f>
        <v>37629032.258064516</v>
      </c>
      <c r="U31" s="67">
        <f t="shared" ref="U31:U32" si="16">(T31/K31)*100</f>
        <v>76.950986212810875</v>
      </c>
      <c r="V31" s="12">
        <f>U31*75000/75</f>
        <v>76950.98621281088</v>
      </c>
      <c r="W31" s="21">
        <f t="shared" ref="W31:W32" si="17">V31*J31</f>
        <v>923411.83455373056</v>
      </c>
      <c r="X31" s="181">
        <f>W45+D31+F31+H34+G31+E31</f>
        <v>21301433.614566687</v>
      </c>
      <c r="Y31" s="57"/>
    </row>
    <row r="32" spans="1:25" ht="13" customHeight="1">
      <c r="A32" s="222"/>
      <c r="B32" s="247"/>
      <c r="C32" s="224"/>
      <c r="D32" s="227"/>
      <c r="E32" s="227"/>
      <c r="F32" s="243"/>
      <c r="G32" s="244"/>
      <c r="H32" s="244"/>
      <c r="I32" s="130" t="s">
        <v>116</v>
      </c>
      <c r="J32" s="14">
        <v>11</v>
      </c>
      <c r="K32" s="14">
        <v>43800000</v>
      </c>
      <c r="L32" s="56">
        <v>49951000</v>
      </c>
      <c r="M32" s="56">
        <v>49787000</v>
      </c>
      <c r="N32" s="37">
        <v>0</v>
      </c>
      <c r="O32" s="37">
        <v>0</v>
      </c>
      <c r="P32" s="44">
        <f t="shared" si="13"/>
        <v>49787000</v>
      </c>
      <c r="Q32" s="56">
        <v>13151000</v>
      </c>
      <c r="R32" s="65">
        <f t="shared" si="14"/>
        <v>0.26327801245220317</v>
      </c>
      <c r="S32" s="66"/>
      <c r="T32" s="66">
        <f t="shared" si="15"/>
        <v>36679177.59404216</v>
      </c>
      <c r="U32" s="67">
        <f t="shared" si="16"/>
        <v>83.742414598269761</v>
      </c>
      <c r="V32" s="12">
        <f>U32*94000/85</f>
        <v>92609.258496910086</v>
      </c>
      <c r="W32" s="21">
        <f t="shared" si="17"/>
        <v>1018701.843466011</v>
      </c>
      <c r="X32" s="244"/>
      <c r="Y32" s="57"/>
    </row>
    <row r="33" spans="1:25" ht="13" customHeight="1">
      <c r="A33" s="222"/>
      <c r="B33" s="247"/>
      <c r="C33" s="224"/>
      <c r="D33" s="227"/>
      <c r="E33" s="227"/>
      <c r="F33" s="243"/>
      <c r="G33" s="244"/>
      <c r="H33" s="244"/>
      <c r="I33" s="14" t="s">
        <v>58</v>
      </c>
      <c r="J33" s="14">
        <v>18</v>
      </c>
      <c r="K33" s="14">
        <v>88300000</v>
      </c>
      <c r="L33" s="14">
        <v>106896000</v>
      </c>
      <c r="M33" s="123">
        <v>100499000</v>
      </c>
      <c r="N33" s="66">
        <v>5749200</v>
      </c>
      <c r="O33" s="66">
        <v>0</v>
      </c>
      <c r="P33" s="44">
        <f>SUM(M33:O33)</f>
        <v>106248200</v>
      </c>
      <c r="Q33" s="66">
        <v>29296000</v>
      </c>
      <c r="R33" s="65">
        <f>Q33/L33</f>
        <v>0.27406076934590629</v>
      </c>
      <c r="S33" s="66"/>
      <c r="T33" s="66">
        <f>P33-(P33*R33)+S33</f>
        <v>77129736.566382289</v>
      </c>
      <c r="U33" s="67">
        <f>(T33/K33)*100</f>
        <v>87.349645035540533</v>
      </c>
      <c r="V33" s="12">
        <f>U33*100000/85</f>
        <v>102764.28827710652</v>
      </c>
      <c r="W33" s="21">
        <f>V33*J33</f>
        <v>1849757.1889879173</v>
      </c>
      <c r="X33" s="244"/>
      <c r="Y33" s="57"/>
    </row>
    <row r="34" spans="1:25" ht="13" customHeight="1">
      <c r="A34" s="222"/>
      <c r="B34" s="247"/>
      <c r="C34" s="224"/>
      <c r="D34" s="227"/>
      <c r="E34" s="227"/>
      <c r="F34" s="243"/>
      <c r="G34" s="244"/>
      <c r="H34" s="244"/>
      <c r="I34" s="66" t="s">
        <v>59</v>
      </c>
      <c r="J34" s="14">
        <f>7+1</f>
        <v>8</v>
      </c>
      <c r="K34" s="14">
        <f>27000000+8500000</f>
        <v>35500000</v>
      </c>
      <c r="L34" s="14">
        <v>42352000</v>
      </c>
      <c r="M34" s="64">
        <v>29846000</v>
      </c>
      <c r="N34" s="14">
        <v>7497000</v>
      </c>
      <c r="O34" s="14">
        <v>2923200</v>
      </c>
      <c r="P34" s="14">
        <f>SUM(M34:O34)</f>
        <v>40266200</v>
      </c>
      <c r="Q34" s="14">
        <v>7186000</v>
      </c>
      <c r="R34" s="65">
        <f>Q34/L34</f>
        <v>0.16967321496033244</v>
      </c>
      <c r="S34" s="14"/>
      <c r="T34" s="66">
        <f>P34-(P34*R34)+S34</f>
        <v>33434104.391764261</v>
      </c>
      <c r="U34" s="67">
        <f>(T34/K34)*100</f>
        <v>94.180575751448629</v>
      </c>
      <c r="V34" s="12">
        <f>U34*119000/95</f>
        <v>117973.56330970934</v>
      </c>
      <c r="W34" s="21">
        <f>V34*J34</f>
        <v>943788.5064776747</v>
      </c>
      <c r="X34" s="244"/>
      <c r="Y34" s="246"/>
    </row>
    <row r="35" spans="1:25" ht="13" customHeight="1">
      <c r="A35" s="222"/>
      <c r="B35" s="247"/>
      <c r="C35" s="224"/>
      <c r="D35" s="227"/>
      <c r="E35" s="227"/>
      <c r="F35" s="243"/>
      <c r="G35" s="244"/>
      <c r="H35" s="244"/>
      <c r="I35" s="14" t="s">
        <v>60</v>
      </c>
      <c r="J35" s="14">
        <v>14</v>
      </c>
      <c r="K35" s="14">
        <v>54800000</v>
      </c>
      <c r="L35" s="14">
        <v>58866000</v>
      </c>
      <c r="M35" s="64">
        <v>49770000</v>
      </c>
      <c r="N35" s="14">
        <v>4640400</v>
      </c>
      <c r="O35" s="14">
        <v>0</v>
      </c>
      <c r="P35" s="14">
        <f t="shared" ref="P35:P44" si="18">SUM(M35:O35)</f>
        <v>54410400</v>
      </c>
      <c r="Q35" s="14">
        <v>13866000</v>
      </c>
      <c r="R35" s="45">
        <f t="shared" si="3"/>
        <v>0.23555193150545306</v>
      </c>
      <c r="S35" s="14"/>
      <c r="T35" s="26">
        <f t="shared" ref="T35:T92" si="19">P35-(P35*R35)+S35</f>
        <v>41593925.186015695</v>
      </c>
      <c r="U35" s="67">
        <f t="shared" ref="U35:U43" si="20">(T35/K35)*100</f>
        <v>75.901323332145438</v>
      </c>
      <c r="V35" s="12">
        <f>U35*75000/75</f>
        <v>75901.323332145432</v>
      </c>
      <c r="W35" s="21">
        <f t="shared" ref="W35:W44" si="21">V35*J35</f>
        <v>1062618.526650036</v>
      </c>
      <c r="X35" s="244"/>
      <c r="Y35" s="246"/>
    </row>
    <row r="36" spans="1:25" ht="13" customHeight="1">
      <c r="A36" s="222"/>
      <c r="B36" s="247"/>
      <c r="C36" s="224"/>
      <c r="D36" s="227"/>
      <c r="E36" s="227"/>
      <c r="F36" s="243"/>
      <c r="G36" s="244"/>
      <c r="H36" s="244"/>
      <c r="I36" s="14" t="s">
        <v>61</v>
      </c>
      <c r="J36" s="14">
        <v>13</v>
      </c>
      <c r="K36" s="14">
        <v>49600000</v>
      </c>
      <c r="L36" s="14">
        <v>56793000</v>
      </c>
      <c r="M36" s="64">
        <v>56793000</v>
      </c>
      <c r="N36" s="14">
        <v>360000</v>
      </c>
      <c r="O36" s="14">
        <v>0</v>
      </c>
      <c r="P36" s="14">
        <f t="shared" si="18"/>
        <v>57153000</v>
      </c>
      <c r="Q36" s="14">
        <v>12993000</v>
      </c>
      <c r="R36" s="45">
        <f t="shared" si="3"/>
        <v>0.22877819449580053</v>
      </c>
      <c r="S36" s="14">
        <v>1551612.9032258065</v>
      </c>
      <c r="T36" s="26">
        <f t="shared" si="19"/>
        <v>45629252.753207326</v>
      </c>
      <c r="U36" s="67">
        <f t="shared" si="20"/>
        <v>91.99446119598251</v>
      </c>
      <c r="V36" s="12">
        <f>U36*110000/90</f>
        <v>112437.67479508973</v>
      </c>
      <c r="W36" s="21">
        <f t="shared" si="21"/>
        <v>1461689.7723361664</v>
      </c>
      <c r="X36" s="244"/>
      <c r="Y36" s="246"/>
    </row>
    <row r="37" spans="1:25" ht="13" customHeight="1">
      <c r="A37" s="222"/>
      <c r="B37" s="247"/>
      <c r="C37" s="224"/>
      <c r="D37" s="227"/>
      <c r="E37" s="227"/>
      <c r="F37" s="243"/>
      <c r="G37" s="244"/>
      <c r="H37" s="244"/>
      <c r="I37" s="14" t="s">
        <v>62</v>
      </c>
      <c r="J37" s="14">
        <v>13</v>
      </c>
      <c r="K37" s="14">
        <v>46800000</v>
      </c>
      <c r="L37" s="14">
        <v>60385000</v>
      </c>
      <c r="M37" s="64">
        <v>60385000</v>
      </c>
      <c r="N37" s="14">
        <v>0</v>
      </c>
      <c r="O37" s="14">
        <v>0</v>
      </c>
      <c r="P37" s="14">
        <f t="shared" si="18"/>
        <v>60385000</v>
      </c>
      <c r="Q37" s="14">
        <v>15585000</v>
      </c>
      <c r="R37" s="45">
        <f t="shared" si="3"/>
        <v>0.25809389749109879</v>
      </c>
      <c r="S37" s="14"/>
      <c r="T37" s="26">
        <f t="shared" si="19"/>
        <v>44800000</v>
      </c>
      <c r="U37" s="67">
        <f t="shared" si="20"/>
        <v>95.726495726495727</v>
      </c>
      <c r="V37" s="12">
        <f>U37*120000/95</f>
        <v>120917.67881241566</v>
      </c>
      <c r="W37" s="21">
        <f t="shared" si="21"/>
        <v>1571929.8245614036</v>
      </c>
      <c r="X37" s="244"/>
      <c r="Y37" s="246"/>
    </row>
    <row r="38" spans="1:25" ht="13" customHeight="1">
      <c r="A38" s="222"/>
      <c r="B38" s="247"/>
      <c r="C38" s="224"/>
      <c r="D38" s="227"/>
      <c r="E38" s="227"/>
      <c r="F38" s="243"/>
      <c r="G38" s="244"/>
      <c r="H38" s="244"/>
      <c r="I38" s="14" t="s">
        <v>63</v>
      </c>
      <c r="J38" s="14">
        <v>10</v>
      </c>
      <c r="K38" s="14">
        <v>30000000</v>
      </c>
      <c r="L38" s="14">
        <v>36315000</v>
      </c>
      <c r="M38" s="64">
        <v>36135000</v>
      </c>
      <c r="N38" s="14">
        <v>162000</v>
      </c>
      <c r="O38" s="14">
        <v>0</v>
      </c>
      <c r="P38" s="23">
        <f t="shared" si="18"/>
        <v>36297000</v>
      </c>
      <c r="Q38" s="14">
        <v>8015000</v>
      </c>
      <c r="R38" s="45">
        <f t="shared" si="3"/>
        <v>0.22070769654412778</v>
      </c>
      <c r="S38" s="14"/>
      <c r="T38" s="26">
        <f>P38-(P38*R38)+S38</f>
        <v>28285972.738537796</v>
      </c>
      <c r="U38" s="67">
        <f t="shared" si="20"/>
        <v>94.286575795125984</v>
      </c>
      <c r="V38" s="12">
        <f>U38*119000/95</f>
        <v>118106.34231178938</v>
      </c>
      <c r="W38" s="21">
        <f t="shared" si="21"/>
        <v>1181063.4231178937</v>
      </c>
      <c r="X38" s="244"/>
      <c r="Y38" s="246"/>
    </row>
    <row r="39" spans="1:25" ht="13" customHeight="1">
      <c r="A39" s="222"/>
      <c r="B39" s="247"/>
      <c r="C39" s="224"/>
      <c r="D39" s="227"/>
      <c r="E39" s="227"/>
      <c r="F39" s="243"/>
      <c r="G39" s="244"/>
      <c r="H39" s="244"/>
      <c r="I39" s="23" t="s">
        <v>64</v>
      </c>
      <c r="J39" s="23">
        <f>18+1</f>
        <v>19</v>
      </c>
      <c r="K39" s="23">
        <v>87300000</v>
      </c>
      <c r="L39" s="14">
        <f>110418000+4400000</f>
        <v>114818000</v>
      </c>
      <c r="M39" s="64">
        <f>110362000+4400000</f>
        <v>114762000</v>
      </c>
      <c r="N39" s="14">
        <v>0</v>
      </c>
      <c r="O39" s="44">
        <v>0</v>
      </c>
      <c r="P39" s="26">
        <f>SUM(M39:O39)</f>
        <v>114762000</v>
      </c>
      <c r="Q39" s="14">
        <v>27518000</v>
      </c>
      <c r="R39" s="45">
        <f t="shared" si="3"/>
        <v>0.23966625442003867</v>
      </c>
      <c r="S39" s="14"/>
      <c r="T39" s="26">
        <f t="shared" si="19"/>
        <v>87257421.310247526</v>
      </c>
      <c r="U39" s="67">
        <f t="shared" si="20"/>
        <v>99.951227159504612</v>
      </c>
      <c r="V39" s="13">
        <f>U39*130000/100</f>
        <v>129936.59530735599</v>
      </c>
      <c r="W39" s="15">
        <f t="shared" si="21"/>
        <v>2468795.3108397638</v>
      </c>
      <c r="X39" s="244"/>
      <c r="Y39" s="246"/>
    </row>
    <row r="40" spans="1:25" ht="14">
      <c r="A40" s="222"/>
      <c r="B40" s="247"/>
      <c r="C40" s="224"/>
      <c r="D40" s="227"/>
      <c r="E40" s="227"/>
      <c r="F40" s="243"/>
      <c r="G40" s="244"/>
      <c r="H40" s="244"/>
      <c r="I40" s="26" t="s">
        <v>65</v>
      </c>
      <c r="J40" s="26">
        <v>15</v>
      </c>
      <c r="K40" s="26">
        <v>59400000</v>
      </c>
      <c r="L40" s="23">
        <v>58117800</v>
      </c>
      <c r="M40" s="64">
        <v>46284400</v>
      </c>
      <c r="N40" s="23">
        <v>2534400</v>
      </c>
      <c r="O40" s="32">
        <v>0</v>
      </c>
      <c r="P40" s="26">
        <f t="shared" si="18"/>
        <v>48818800</v>
      </c>
      <c r="Q40" s="23">
        <v>14383800</v>
      </c>
      <c r="R40" s="45">
        <f t="shared" si="3"/>
        <v>0.24749388311326306</v>
      </c>
      <c r="S40" s="23">
        <v>1096774.1935483871</v>
      </c>
      <c r="T40" s="26">
        <f t="shared" si="19"/>
        <v>37833219.812618621</v>
      </c>
      <c r="U40" s="67">
        <f t="shared" si="20"/>
        <v>63.692289246832686</v>
      </c>
      <c r="V40" s="16"/>
      <c r="W40" s="16">
        <f>(130000*J40)*10%</f>
        <v>195000</v>
      </c>
      <c r="X40" s="244"/>
      <c r="Y40" s="246"/>
    </row>
    <row r="41" spans="1:25" ht="14">
      <c r="A41" s="222"/>
      <c r="B41" s="247"/>
      <c r="C41" s="224"/>
      <c r="D41" s="227"/>
      <c r="E41" s="227"/>
      <c r="F41" s="243"/>
      <c r="G41" s="244"/>
      <c r="H41" s="244"/>
      <c r="I41" s="66" t="s">
        <v>66</v>
      </c>
      <c r="J41" s="26">
        <v>9</v>
      </c>
      <c r="K41" s="26">
        <v>27100000</v>
      </c>
      <c r="L41" s="26">
        <v>34232000</v>
      </c>
      <c r="M41" s="64">
        <v>27276000</v>
      </c>
      <c r="N41" s="26">
        <v>3567600</v>
      </c>
      <c r="O41" s="47">
        <v>0</v>
      </c>
      <c r="P41" s="26">
        <f t="shared" si="18"/>
        <v>30843600</v>
      </c>
      <c r="Q41" s="26">
        <v>8332000</v>
      </c>
      <c r="R41" s="45">
        <f>Q41/L41</f>
        <v>0.24339799018462258</v>
      </c>
      <c r="S41" s="26"/>
      <c r="T41" s="26">
        <f t="shared" si="19"/>
        <v>23336329.749941576</v>
      </c>
      <c r="U41" s="67">
        <f t="shared" si="20"/>
        <v>86.111917896463382</v>
      </c>
      <c r="V41" s="16">
        <f>U41*100000/85</f>
        <v>101308.13870172163</v>
      </c>
      <c r="W41" s="16">
        <f t="shared" si="21"/>
        <v>911773.24831549474</v>
      </c>
      <c r="X41" s="244"/>
      <c r="Y41" s="246"/>
    </row>
    <row r="42" spans="1:25" ht="14">
      <c r="A42" s="222"/>
      <c r="B42" s="247"/>
      <c r="C42" s="224"/>
      <c r="D42" s="227"/>
      <c r="E42" s="227"/>
      <c r="F42" s="243"/>
      <c r="G42" s="244"/>
      <c r="H42" s="244"/>
      <c r="I42" s="66" t="s">
        <v>67</v>
      </c>
      <c r="J42" s="26">
        <v>18</v>
      </c>
      <c r="K42" s="26">
        <f>4500000*18</f>
        <v>81000000</v>
      </c>
      <c r="L42" s="26">
        <v>98953000</v>
      </c>
      <c r="M42" s="64">
        <v>92528000</v>
      </c>
      <c r="N42" s="26">
        <v>5881500</v>
      </c>
      <c r="O42" s="26">
        <v>0</v>
      </c>
      <c r="P42" s="26">
        <f t="shared" si="18"/>
        <v>98409500</v>
      </c>
      <c r="Q42" s="26">
        <v>25053000</v>
      </c>
      <c r="R42" s="45">
        <f t="shared" si="3"/>
        <v>0.25318080300748841</v>
      </c>
      <c r="S42" s="26">
        <v>2577419.3548387098</v>
      </c>
      <c r="T42" s="26">
        <f t="shared" si="19"/>
        <v>76071523.121273279</v>
      </c>
      <c r="U42" s="67">
        <f t="shared" si="20"/>
        <v>93.915460643547249</v>
      </c>
      <c r="V42" s="16">
        <f>U42*119000/95</f>
        <v>117641.47175349604</v>
      </c>
      <c r="W42" s="16">
        <f t="shared" si="21"/>
        <v>2117546.4915629285</v>
      </c>
      <c r="X42" s="244"/>
      <c r="Y42" s="246"/>
    </row>
    <row r="43" spans="1:25" ht="14">
      <c r="A43" s="264"/>
      <c r="B43" s="265"/>
      <c r="C43" s="258"/>
      <c r="D43" s="227"/>
      <c r="E43" s="227"/>
      <c r="F43" s="243"/>
      <c r="G43" s="244"/>
      <c r="H43" s="244"/>
      <c r="I43" s="66" t="s">
        <v>95</v>
      </c>
      <c r="J43" s="26">
        <v>22</v>
      </c>
      <c r="K43" s="26">
        <v>102700000</v>
      </c>
      <c r="L43" s="26">
        <f>122423500-8500000</f>
        <v>113923500</v>
      </c>
      <c r="M43" s="126">
        <f>114006500-8500000</f>
        <v>105506500</v>
      </c>
      <c r="N43" s="26">
        <v>7578000</v>
      </c>
      <c r="O43" s="26"/>
      <c r="P43" s="26">
        <f t="shared" si="18"/>
        <v>113084500</v>
      </c>
      <c r="Q43" s="26">
        <v>21107500</v>
      </c>
      <c r="R43" s="45">
        <f t="shared" si="3"/>
        <v>0.18527783995400421</v>
      </c>
      <c r="S43" s="26"/>
      <c r="T43" s="26">
        <f t="shared" si="19"/>
        <v>92132448.107721418</v>
      </c>
      <c r="U43" s="67">
        <f t="shared" si="20"/>
        <v>89.710270796223384</v>
      </c>
      <c r="V43" s="16">
        <f>U43*109000/90</f>
        <v>108649.10574209277</v>
      </c>
      <c r="W43" s="16">
        <f t="shared" si="21"/>
        <v>2390280.326326041</v>
      </c>
      <c r="X43" s="244"/>
      <c r="Y43" s="246"/>
    </row>
    <row r="44" spans="1:25" ht="14">
      <c r="A44" s="264"/>
      <c r="B44" s="265"/>
      <c r="C44" s="258"/>
      <c r="D44" s="227"/>
      <c r="E44" s="227"/>
      <c r="F44" s="243"/>
      <c r="G44" s="244"/>
      <c r="H44" s="244"/>
      <c r="I44" s="66" t="s">
        <v>199</v>
      </c>
      <c r="J44" s="26">
        <v>17</v>
      </c>
      <c r="K44" s="26">
        <v>77500000</v>
      </c>
      <c r="L44" s="26">
        <v>97140516</v>
      </c>
      <c r="M44" s="136">
        <v>91580516</v>
      </c>
      <c r="N44" s="26">
        <v>5004000</v>
      </c>
      <c r="O44" s="26"/>
      <c r="P44" s="26">
        <f t="shared" si="18"/>
        <v>96584516</v>
      </c>
      <c r="Q44" s="26">
        <v>19368000</v>
      </c>
      <c r="R44" s="45">
        <f>Q44/L44</f>
        <v>0.19938127567697911</v>
      </c>
      <c r="S44" s="26"/>
      <c r="T44" s="26">
        <f>P44-(P44*R44)+S44</f>
        <v>77327371.989276409</v>
      </c>
      <c r="U44" s="67">
        <f>(T44/K44)*100</f>
        <v>99.777254179711491</v>
      </c>
      <c r="V44" s="16">
        <f>U44*130000/100</f>
        <v>129710.43043362495</v>
      </c>
      <c r="W44" s="16">
        <f t="shared" si="21"/>
        <v>2205077.3173716241</v>
      </c>
      <c r="X44" s="244"/>
      <c r="Y44" s="246"/>
    </row>
    <row r="45" spans="1:25" ht="13" customHeight="1">
      <c r="A45" s="179"/>
      <c r="B45" s="274"/>
      <c r="C45" s="258"/>
      <c r="D45" s="227"/>
      <c r="E45" s="227"/>
      <c r="F45" s="248"/>
      <c r="G45" s="245"/>
      <c r="H45" s="245"/>
      <c r="I45" s="69">
        <v>14</v>
      </c>
      <c r="J45" s="52">
        <f>SUM(J31:J44)</f>
        <v>199</v>
      </c>
      <c r="K45" s="52">
        <f t="shared" ref="K45:Q45" si="22">SUM(K31:K44)</f>
        <v>832700000</v>
      </c>
      <c r="L45" s="52">
        <f>SUM(L31:L44)</f>
        <v>970810816</v>
      </c>
      <c r="M45" s="52">
        <f t="shared" si="22"/>
        <v>903220416</v>
      </c>
      <c r="N45" s="52">
        <f>SUM(N31:N44)</f>
        <v>42974100</v>
      </c>
      <c r="O45" s="52">
        <f t="shared" si="22"/>
        <v>2923200</v>
      </c>
      <c r="P45" s="52">
        <f t="shared" si="22"/>
        <v>949117716</v>
      </c>
      <c r="Q45" s="52">
        <f t="shared" si="22"/>
        <v>223722300</v>
      </c>
      <c r="R45" s="61"/>
      <c r="S45" s="52">
        <f>SUM(S31:S44)</f>
        <v>8654838.7096774206</v>
      </c>
      <c r="T45" s="52">
        <f>SUM(T31:T44)</f>
        <v>739139515.57909286</v>
      </c>
      <c r="U45" s="55">
        <f>(T45/K45)*100</f>
        <v>88.76420266351542</v>
      </c>
      <c r="V45" s="70"/>
      <c r="W45" s="62">
        <f>SUM(W31:W44)</f>
        <v>20301433.614566687</v>
      </c>
      <c r="X45" s="245"/>
      <c r="Y45" s="246"/>
    </row>
    <row r="46" spans="1:25" ht="13" customHeight="1">
      <c r="A46" s="250" t="s">
        <v>56</v>
      </c>
      <c r="B46" s="180" t="s">
        <v>73</v>
      </c>
      <c r="C46" s="178" t="s">
        <v>35</v>
      </c>
      <c r="D46" s="177">
        <v>0</v>
      </c>
      <c r="E46" s="177">
        <v>500000</v>
      </c>
      <c r="F46" s="275">
        <v>500000</v>
      </c>
      <c r="G46" s="181">
        <v>0</v>
      </c>
      <c r="H46" s="181"/>
      <c r="I46" s="26" t="s">
        <v>36</v>
      </c>
      <c r="J46" s="116">
        <v>19</v>
      </c>
      <c r="K46" s="116">
        <v>71100000</v>
      </c>
      <c r="L46" s="72">
        <v>84679000</v>
      </c>
      <c r="M46" s="72">
        <v>77073000</v>
      </c>
      <c r="N46" s="72">
        <v>3578400</v>
      </c>
      <c r="O46" s="72">
        <v>0</v>
      </c>
      <c r="P46" s="26">
        <f>SUM(M46:O46)</f>
        <v>80651400</v>
      </c>
      <c r="Q46" s="121">
        <v>23052000</v>
      </c>
      <c r="R46" s="45">
        <f>Q46/L46</f>
        <v>0.27222806126666588</v>
      </c>
      <c r="S46" s="79"/>
      <c r="T46" s="26">
        <f>P46-(P46*R46)+S46</f>
        <v>58695825.739557624</v>
      </c>
      <c r="U46" s="46">
        <f>(T46/K46)*100</f>
        <v>82.553903993751931</v>
      </c>
      <c r="V46" s="16">
        <f>U46*89000/85</f>
        <v>86438.7935934579</v>
      </c>
      <c r="W46" s="16">
        <f t="shared" ref="W46:W60" si="23">V46*J46</f>
        <v>1642337.0782757001</v>
      </c>
      <c r="X46" s="181">
        <f>W61+D46+F46+G46+H49+E46</f>
        <v>17919303.611536071</v>
      </c>
      <c r="Y46" s="57"/>
    </row>
    <row r="47" spans="1:25" ht="13" customHeight="1">
      <c r="A47" s="251"/>
      <c r="B47" s="180"/>
      <c r="C47" s="178"/>
      <c r="D47" s="177"/>
      <c r="E47" s="177"/>
      <c r="F47" s="276"/>
      <c r="G47" s="244"/>
      <c r="H47" s="244"/>
      <c r="I47" s="26" t="s">
        <v>37</v>
      </c>
      <c r="J47" s="116">
        <v>19</v>
      </c>
      <c r="K47" s="116">
        <v>80600000</v>
      </c>
      <c r="L47" s="72">
        <v>98157000</v>
      </c>
      <c r="M47" s="72">
        <v>93051000</v>
      </c>
      <c r="N47" s="72">
        <v>3060000</v>
      </c>
      <c r="O47" s="72">
        <v>1194200</v>
      </c>
      <c r="P47" s="26">
        <f t="shared" ref="P47:P60" si="24">SUM(M47:O47)</f>
        <v>97305200</v>
      </c>
      <c r="Q47" s="121">
        <v>26057000</v>
      </c>
      <c r="R47" s="45">
        <f t="shared" ref="R47:R59" si="25">Q47/L47</f>
        <v>0.26546247338447587</v>
      </c>
      <c r="S47" s="79"/>
      <c r="T47" s="26">
        <f>P47-(P47*R47)+S47</f>
        <v>71474320.934828907</v>
      </c>
      <c r="U47" s="46">
        <f>(T47/K47)*100</f>
        <v>88.677817537008579</v>
      </c>
      <c r="V47" s="16">
        <f>U47*99000/90</f>
        <v>97545.599290709448</v>
      </c>
      <c r="W47" s="16">
        <f t="shared" si="23"/>
        <v>1853366.3865234796</v>
      </c>
      <c r="X47" s="244"/>
      <c r="Y47" s="57"/>
    </row>
    <row r="48" spans="1:25" ht="13" customHeight="1">
      <c r="A48" s="251"/>
      <c r="B48" s="180"/>
      <c r="C48" s="178"/>
      <c r="D48" s="177"/>
      <c r="E48" s="177"/>
      <c r="F48" s="276"/>
      <c r="G48" s="244"/>
      <c r="H48" s="244"/>
      <c r="I48" s="26" t="s">
        <v>74</v>
      </c>
      <c r="J48" s="116">
        <v>19</v>
      </c>
      <c r="K48" s="116">
        <v>61300000</v>
      </c>
      <c r="L48" s="72">
        <v>79332000</v>
      </c>
      <c r="M48" s="72">
        <v>77019000</v>
      </c>
      <c r="N48" s="72">
        <v>0</v>
      </c>
      <c r="O48" s="72">
        <v>1612800</v>
      </c>
      <c r="P48" s="26">
        <f t="shared" si="24"/>
        <v>78631800</v>
      </c>
      <c r="Q48" s="122">
        <v>20332000</v>
      </c>
      <c r="R48" s="45">
        <f t="shared" si="25"/>
        <v>0.25629002168103665</v>
      </c>
      <c r="S48" s="82"/>
      <c r="T48" s="26">
        <f t="shared" ref="T48:T58" si="26">P48-(P48*R48)+S48</f>
        <v>58479254.273181066</v>
      </c>
      <c r="U48" s="46">
        <f t="shared" si="2"/>
        <v>95.39845721562979</v>
      </c>
      <c r="V48" s="16">
        <f>U48*110000/95</f>
        <v>110461.37151283449</v>
      </c>
      <c r="W48" s="16">
        <f t="shared" si="23"/>
        <v>2098766.0587438555</v>
      </c>
      <c r="X48" s="244"/>
      <c r="Y48" s="57"/>
    </row>
    <row r="49" spans="1:25" ht="12.5">
      <c r="A49" s="251"/>
      <c r="B49" s="180"/>
      <c r="C49" s="178"/>
      <c r="D49" s="177"/>
      <c r="E49" s="177"/>
      <c r="F49" s="276"/>
      <c r="G49" s="244"/>
      <c r="H49" s="244"/>
      <c r="I49" s="26" t="s">
        <v>75</v>
      </c>
      <c r="J49" s="26">
        <v>22</v>
      </c>
      <c r="K49" s="26">
        <v>69800000</v>
      </c>
      <c r="L49" s="26">
        <f>80390000-2800000</f>
        <v>77590000</v>
      </c>
      <c r="M49" s="26">
        <f>70875000-2800000</f>
        <v>68075000</v>
      </c>
      <c r="N49" s="26">
        <v>2340000</v>
      </c>
      <c r="O49" s="26">
        <v>3245200</v>
      </c>
      <c r="P49" s="26">
        <f t="shared" si="24"/>
        <v>73660200</v>
      </c>
      <c r="Q49" s="26">
        <v>20790000</v>
      </c>
      <c r="R49" s="45">
        <f t="shared" si="25"/>
        <v>0.26794690037375951</v>
      </c>
      <c r="S49" s="26">
        <f>1741935.48387097+180645</f>
        <v>1922580.4838709701</v>
      </c>
      <c r="T49" s="30">
        <f t="shared" si="26"/>
        <v>55845758.212959766</v>
      </c>
      <c r="U49" s="34">
        <f t="shared" si="2"/>
        <v>80.008249588767583</v>
      </c>
      <c r="V49" s="63">
        <f>U49*80000/80</f>
        <v>80008.249588767576</v>
      </c>
      <c r="W49" s="63">
        <f t="shared" si="23"/>
        <v>1760181.4909528866</v>
      </c>
      <c r="X49" s="244"/>
      <c r="Y49" s="246"/>
    </row>
    <row r="50" spans="1:25" ht="12.5">
      <c r="A50" s="251"/>
      <c r="B50" s="180"/>
      <c r="C50" s="178"/>
      <c r="D50" s="177"/>
      <c r="E50" s="177"/>
      <c r="F50" s="276"/>
      <c r="G50" s="244"/>
      <c r="H50" s="244"/>
      <c r="I50" s="26" t="s">
        <v>87</v>
      </c>
      <c r="J50" s="26">
        <v>9</v>
      </c>
      <c r="K50" s="26">
        <v>21200000</v>
      </c>
      <c r="L50" s="26">
        <v>24478000</v>
      </c>
      <c r="M50" s="26">
        <v>24462000</v>
      </c>
      <c r="N50" s="26">
        <v>0</v>
      </c>
      <c r="O50" s="26">
        <v>0</v>
      </c>
      <c r="P50" s="26">
        <f t="shared" si="24"/>
        <v>24462000</v>
      </c>
      <c r="Q50" s="26">
        <v>6578000</v>
      </c>
      <c r="R50" s="45">
        <f t="shared" si="25"/>
        <v>0.26873110548247403</v>
      </c>
      <c r="S50" s="26">
        <v>1335483.8709677418</v>
      </c>
      <c r="T50" s="30">
        <f t="shared" si="26"/>
        <v>19223783.568655461</v>
      </c>
      <c r="U50" s="34">
        <f t="shared" si="2"/>
        <v>90.678224380450288</v>
      </c>
      <c r="V50" s="63">
        <f>U50*100000/90</f>
        <v>100753.58264494476</v>
      </c>
      <c r="W50" s="63">
        <f t="shared" si="23"/>
        <v>906782.24380450288</v>
      </c>
      <c r="X50" s="244"/>
      <c r="Y50" s="246"/>
    </row>
    <row r="51" spans="1:25" ht="12.5">
      <c r="A51" s="251"/>
      <c r="B51" s="180"/>
      <c r="C51" s="178"/>
      <c r="D51" s="177"/>
      <c r="E51" s="177"/>
      <c r="F51" s="276"/>
      <c r="G51" s="244"/>
      <c r="H51" s="244"/>
      <c r="I51" s="26" t="s">
        <v>91</v>
      </c>
      <c r="J51" s="26">
        <v>11</v>
      </c>
      <c r="K51" s="26">
        <v>50000000</v>
      </c>
      <c r="L51" s="26">
        <f>55955200-4000000</f>
        <v>51955200</v>
      </c>
      <c r="M51" s="26">
        <f>39213000-4000000</f>
        <v>35213000</v>
      </c>
      <c r="N51" s="26">
        <v>6561000</v>
      </c>
      <c r="O51" s="26">
        <v>0</v>
      </c>
      <c r="P51" s="26">
        <f t="shared" si="24"/>
        <v>41774000</v>
      </c>
      <c r="Q51" s="26">
        <v>13855200</v>
      </c>
      <c r="R51" s="45">
        <f t="shared" si="25"/>
        <v>0.26667590539541758</v>
      </c>
      <c r="S51" s="26">
        <f>1000000+858065</f>
        <v>1858065</v>
      </c>
      <c r="T51" s="30">
        <f t="shared" si="26"/>
        <v>32491945.728011824</v>
      </c>
      <c r="U51" s="34">
        <f t="shared" si="2"/>
        <v>64.983891456023642</v>
      </c>
      <c r="V51" s="63"/>
      <c r="W51" s="63">
        <f>(120000*J51)*10%</f>
        <v>132000</v>
      </c>
      <c r="X51" s="244"/>
      <c r="Y51" s="246"/>
    </row>
    <row r="52" spans="1:25" ht="12.5">
      <c r="A52" s="251"/>
      <c r="B52" s="180"/>
      <c r="C52" s="178"/>
      <c r="D52" s="177"/>
      <c r="E52" s="177"/>
      <c r="F52" s="276"/>
      <c r="G52" s="244"/>
      <c r="H52" s="244"/>
      <c r="I52" s="26" t="s">
        <v>92</v>
      </c>
      <c r="J52" s="26">
        <v>7</v>
      </c>
      <c r="K52" s="26">
        <v>17500000</v>
      </c>
      <c r="L52" s="26">
        <v>21728000</v>
      </c>
      <c r="M52" s="26">
        <v>18064000</v>
      </c>
      <c r="N52" s="26">
        <v>3297600</v>
      </c>
      <c r="O52" s="26">
        <v>0</v>
      </c>
      <c r="P52" s="26">
        <f t="shared" si="24"/>
        <v>21361600</v>
      </c>
      <c r="Q52" s="26">
        <v>5328000</v>
      </c>
      <c r="R52" s="45">
        <f t="shared" si="25"/>
        <v>0.24521354933726067</v>
      </c>
      <c r="S52" s="26"/>
      <c r="T52" s="30">
        <f t="shared" si="26"/>
        <v>16123446.244477171</v>
      </c>
      <c r="U52" s="34">
        <f t="shared" si="2"/>
        <v>92.13397853986956</v>
      </c>
      <c r="V52" s="63">
        <f>U52*100000/90</f>
        <v>102371.08726652173</v>
      </c>
      <c r="W52" s="63">
        <f t="shared" si="23"/>
        <v>716597.6108656521</v>
      </c>
      <c r="X52" s="244"/>
      <c r="Y52" s="246"/>
    </row>
    <row r="53" spans="1:25" ht="12.5">
      <c r="A53" s="251"/>
      <c r="B53" s="180"/>
      <c r="C53" s="178"/>
      <c r="D53" s="177"/>
      <c r="E53" s="177"/>
      <c r="F53" s="276"/>
      <c r="G53" s="244"/>
      <c r="H53" s="244"/>
      <c r="I53" s="26" t="s">
        <v>94</v>
      </c>
      <c r="J53" s="26">
        <v>11</v>
      </c>
      <c r="K53" s="26">
        <v>45300000</v>
      </c>
      <c r="L53" s="26">
        <v>40982000</v>
      </c>
      <c r="M53" s="26">
        <v>40982000</v>
      </c>
      <c r="N53" s="26">
        <v>0</v>
      </c>
      <c r="O53" s="26">
        <v>0</v>
      </c>
      <c r="P53" s="26">
        <f t="shared" si="24"/>
        <v>40982000</v>
      </c>
      <c r="Q53" s="26">
        <v>9982000</v>
      </c>
      <c r="R53" s="45">
        <f t="shared" si="25"/>
        <v>0.24357034795763993</v>
      </c>
      <c r="S53" s="26">
        <f>2000000+1919355</f>
        <v>3919355</v>
      </c>
      <c r="T53" s="30">
        <f t="shared" si="26"/>
        <v>34919355</v>
      </c>
      <c r="U53" s="34">
        <f t="shared" si="2"/>
        <v>77.084668874172195</v>
      </c>
      <c r="V53" s="63">
        <f>U53*79000/80</f>
        <v>76121.110513245047</v>
      </c>
      <c r="W53" s="63">
        <f t="shared" si="23"/>
        <v>837332.21564569557</v>
      </c>
      <c r="X53" s="244"/>
      <c r="Y53" s="246"/>
    </row>
    <row r="54" spans="1:25" ht="12.5">
      <c r="A54" s="251"/>
      <c r="B54" s="180"/>
      <c r="C54" s="178"/>
      <c r="D54" s="177"/>
      <c r="E54" s="177"/>
      <c r="F54" s="276"/>
      <c r="G54" s="244"/>
      <c r="H54" s="244"/>
      <c r="I54" s="26" t="s">
        <v>79</v>
      </c>
      <c r="J54" s="26">
        <v>8</v>
      </c>
      <c r="K54" s="26">
        <v>18800000</v>
      </c>
      <c r="L54" s="26">
        <v>23288000</v>
      </c>
      <c r="M54" s="26">
        <v>23287333</v>
      </c>
      <c r="N54" s="26">
        <v>0</v>
      </c>
      <c r="O54" s="26">
        <v>0</v>
      </c>
      <c r="P54" s="26">
        <f t="shared" si="24"/>
        <v>23287333</v>
      </c>
      <c r="Q54" s="26">
        <v>6588000</v>
      </c>
      <c r="R54" s="45">
        <f t="shared" si="25"/>
        <v>0.28289247681209206</v>
      </c>
      <c r="S54" s="26"/>
      <c r="T54" s="30">
        <f t="shared" si="26"/>
        <v>16699521.689282034</v>
      </c>
      <c r="U54" s="34">
        <f t="shared" si="2"/>
        <v>88.827243028095921</v>
      </c>
      <c r="V54" s="63">
        <f>U54*99000/90</f>
        <v>97709.967330905507</v>
      </c>
      <c r="W54" s="63">
        <f t="shared" si="23"/>
        <v>781679.73864724406</v>
      </c>
      <c r="X54" s="244"/>
      <c r="Y54" s="246"/>
    </row>
    <row r="55" spans="1:25" ht="12.5">
      <c r="A55" s="251"/>
      <c r="B55" s="180"/>
      <c r="C55" s="178"/>
      <c r="D55" s="177"/>
      <c r="E55" s="177"/>
      <c r="F55" s="276"/>
      <c r="G55" s="244"/>
      <c r="H55" s="244"/>
      <c r="I55" s="26" t="s">
        <v>80</v>
      </c>
      <c r="J55" s="26">
        <v>17</v>
      </c>
      <c r="K55" s="26">
        <v>78900000</v>
      </c>
      <c r="L55" s="26">
        <v>95185500</v>
      </c>
      <c r="M55" s="26">
        <v>90345500</v>
      </c>
      <c r="N55" s="26">
        <v>0</v>
      </c>
      <c r="O55" s="26">
        <v>0</v>
      </c>
      <c r="P55" s="26">
        <f t="shared" si="24"/>
        <v>90345500</v>
      </c>
      <c r="Q55" s="26">
        <v>25235500</v>
      </c>
      <c r="R55" s="45">
        <f t="shared" si="25"/>
        <v>0.26511916205724612</v>
      </c>
      <c r="S55" s="26">
        <v>832258.06451612909</v>
      </c>
      <c r="T55" s="30">
        <f t="shared" si="26"/>
        <v>67225434.808873206</v>
      </c>
      <c r="U55" s="34">
        <f t="shared" si="2"/>
        <v>85.203339428229668</v>
      </c>
      <c r="V55" s="63">
        <f>U55*90000/85</f>
        <v>90215.300571066706</v>
      </c>
      <c r="W55" s="63">
        <f t="shared" si="23"/>
        <v>1533660.1097081341</v>
      </c>
      <c r="X55" s="244"/>
      <c r="Y55" s="246"/>
    </row>
    <row r="56" spans="1:25" ht="12.5">
      <c r="A56" s="251"/>
      <c r="B56" s="180"/>
      <c r="C56" s="178"/>
      <c r="D56" s="177"/>
      <c r="E56" s="177"/>
      <c r="F56" s="276"/>
      <c r="G56" s="244"/>
      <c r="H56" s="244"/>
      <c r="I56" s="26" t="s">
        <v>81</v>
      </c>
      <c r="J56" s="37">
        <v>7</v>
      </c>
      <c r="K56" s="26">
        <v>19050000</v>
      </c>
      <c r="L56" s="26">
        <v>25995000</v>
      </c>
      <c r="M56" s="26">
        <v>25995000</v>
      </c>
      <c r="N56" s="26">
        <v>0</v>
      </c>
      <c r="O56" s="26">
        <v>0</v>
      </c>
      <c r="P56" s="26">
        <f t="shared" si="24"/>
        <v>25995000</v>
      </c>
      <c r="Q56" s="26">
        <v>6695000</v>
      </c>
      <c r="R56" s="45">
        <f t="shared" si="25"/>
        <v>0.25754952875552989</v>
      </c>
      <c r="S56" s="26"/>
      <c r="T56" s="30">
        <f t="shared" si="26"/>
        <v>19300000</v>
      </c>
      <c r="U56" s="34">
        <f t="shared" si="2"/>
        <v>101.31233595800524</v>
      </c>
      <c r="V56" s="63">
        <f>U56*120000/100</f>
        <v>121574.80314960629</v>
      </c>
      <c r="W56" s="63">
        <f t="shared" si="23"/>
        <v>851023.62204724399</v>
      </c>
      <c r="X56" s="244"/>
      <c r="Y56" s="246"/>
    </row>
    <row r="57" spans="1:25" ht="12.5">
      <c r="A57" s="251"/>
      <c r="B57" s="180"/>
      <c r="C57" s="178"/>
      <c r="D57" s="177"/>
      <c r="E57" s="177"/>
      <c r="F57" s="276"/>
      <c r="G57" s="244"/>
      <c r="H57" s="244"/>
      <c r="I57" s="26" t="s">
        <v>82</v>
      </c>
      <c r="J57" s="37">
        <v>15</v>
      </c>
      <c r="K57" s="26">
        <v>69400000</v>
      </c>
      <c r="L57" s="26">
        <f>91007000-4300000</f>
        <v>86707000</v>
      </c>
      <c r="M57" s="26">
        <f>76461000-4300000</f>
        <v>72161000</v>
      </c>
      <c r="N57" s="26">
        <v>8979300</v>
      </c>
      <c r="O57" s="26">
        <v>0</v>
      </c>
      <c r="P57" s="26">
        <f>SUM(M57:O57)</f>
        <v>81140300</v>
      </c>
      <c r="Q57" s="26">
        <v>18107000</v>
      </c>
      <c r="R57" s="45">
        <f t="shared" si="25"/>
        <v>0.20882973693012097</v>
      </c>
      <c r="S57" s="26"/>
      <c r="T57" s="30">
        <f t="shared" si="26"/>
        <v>64195792.496568903</v>
      </c>
      <c r="U57" s="34">
        <f t="shared" si="2"/>
        <v>92.501141925891801</v>
      </c>
      <c r="V57" s="63">
        <f>U57*109000/95</f>
        <v>106132.88915707584</v>
      </c>
      <c r="W57" s="63">
        <f t="shared" si="23"/>
        <v>1591993.3373561376</v>
      </c>
      <c r="X57" s="244"/>
      <c r="Y57" s="246"/>
    </row>
    <row r="58" spans="1:25" ht="12.5">
      <c r="A58" s="251"/>
      <c r="B58" s="180"/>
      <c r="C58" s="178"/>
      <c r="D58" s="177"/>
      <c r="E58" s="177"/>
      <c r="F58" s="276"/>
      <c r="G58" s="244"/>
      <c r="H58" s="244"/>
      <c r="I58" s="26" t="s">
        <v>83</v>
      </c>
      <c r="J58" s="37">
        <v>9</v>
      </c>
      <c r="K58" s="26">
        <v>35000000</v>
      </c>
      <c r="L58" s="26">
        <v>43803000</v>
      </c>
      <c r="M58" s="26">
        <v>34843000</v>
      </c>
      <c r="N58" s="26">
        <v>0</v>
      </c>
      <c r="O58" s="26">
        <v>0</v>
      </c>
      <c r="P58" s="26">
        <f t="shared" si="24"/>
        <v>34843000</v>
      </c>
      <c r="Q58" s="26">
        <v>9303000</v>
      </c>
      <c r="R58" s="45">
        <f t="shared" si="25"/>
        <v>0.2123827135127731</v>
      </c>
      <c r="S58" s="26">
        <v>1716129.0322580645</v>
      </c>
      <c r="T58" s="30">
        <f t="shared" si="26"/>
        <v>29159078.145332512</v>
      </c>
      <c r="U58" s="34">
        <f t="shared" si="2"/>
        <v>83.311651843807184</v>
      </c>
      <c r="V58" s="63">
        <f>U58*89000/85</f>
        <v>87232.200165868693</v>
      </c>
      <c r="W58" s="63">
        <f t="shared" si="23"/>
        <v>785089.80149281828</v>
      </c>
      <c r="X58" s="244"/>
      <c r="Y58" s="246"/>
    </row>
    <row r="59" spans="1:25" ht="12.5">
      <c r="A59" s="251"/>
      <c r="B59" s="180"/>
      <c r="C59" s="178"/>
      <c r="D59" s="177"/>
      <c r="E59" s="177"/>
      <c r="F59" s="276"/>
      <c r="G59" s="244"/>
      <c r="H59" s="244"/>
      <c r="I59" s="26" t="s">
        <v>76</v>
      </c>
      <c r="J59" s="26">
        <v>10</v>
      </c>
      <c r="K59" s="26">
        <v>54100000</v>
      </c>
      <c r="L59" s="26">
        <v>63195000</v>
      </c>
      <c r="M59" s="26">
        <v>46940000</v>
      </c>
      <c r="N59" s="26">
        <v>0</v>
      </c>
      <c r="O59" s="26">
        <v>7964599.9999999991</v>
      </c>
      <c r="P59" s="26">
        <f t="shared" si="24"/>
        <v>54904600</v>
      </c>
      <c r="Q59" s="26">
        <v>11295000</v>
      </c>
      <c r="R59" s="45">
        <f t="shared" si="25"/>
        <v>0.17873249465938762</v>
      </c>
      <c r="S59" s="26"/>
      <c r="T59" s="30">
        <f>P59-(P59*R59)+S59</f>
        <v>45091363.873724185</v>
      </c>
      <c r="U59" s="34">
        <f t="shared" si="2"/>
        <v>83.348177215756351</v>
      </c>
      <c r="V59" s="16">
        <f>U59*89000/85</f>
        <v>87270.444378850763</v>
      </c>
      <c r="W59" s="16">
        <f t="shared" si="23"/>
        <v>872704.4437885076</v>
      </c>
      <c r="X59" s="244"/>
      <c r="Y59" s="246"/>
    </row>
    <row r="60" spans="1:25" ht="12.5">
      <c r="A60" s="251"/>
      <c r="B60" s="180"/>
      <c r="C60" s="178"/>
      <c r="D60" s="177"/>
      <c r="E60" s="177"/>
      <c r="F60" s="276"/>
      <c r="G60" s="244"/>
      <c r="H60" s="244"/>
      <c r="I60" s="26" t="s">
        <v>198</v>
      </c>
      <c r="J60" s="26">
        <v>5</v>
      </c>
      <c r="K60" s="26">
        <v>27500000</v>
      </c>
      <c r="L60" s="26">
        <f>38625000-5300000</f>
        <v>33325000</v>
      </c>
      <c r="M60" s="26">
        <f>38625000-5300000</f>
        <v>33325000</v>
      </c>
      <c r="N60" s="26">
        <v>0</v>
      </c>
      <c r="O60" s="26">
        <v>0</v>
      </c>
      <c r="P60" s="26">
        <f t="shared" si="24"/>
        <v>33325000</v>
      </c>
      <c r="Q60" s="26">
        <v>6925000</v>
      </c>
      <c r="R60" s="45">
        <f>Q60/L60</f>
        <v>0.2078019504876219</v>
      </c>
      <c r="S60" s="26"/>
      <c r="T60" s="30">
        <f>P60-(P60*R60)+S60</f>
        <v>26400000</v>
      </c>
      <c r="U60" s="46">
        <f>(T60/K60)*100</f>
        <v>96</v>
      </c>
      <c r="V60" s="16">
        <f>U60*110000/95</f>
        <v>111157.89473684211</v>
      </c>
      <c r="W60" s="16">
        <f t="shared" si="23"/>
        <v>555789.47368421056</v>
      </c>
      <c r="X60" s="244"/>
      <c r="Y60" s="246"/>
    </row>
    <row r="61" spans="1:25" ht="13">
      <c r="A61" s="252"/>
      <c r="B61" s="180"/>
      <c r="C61" s="178"/>
      <c r="D61" s="177"/>
      <c r="E61" s="177"/>
      <c r="F61" s="277"/>
      <c r="G61" s="245"/>
      <c r="H61" s="245"/>
      <c r="I61" s="59">
        <v>15</v>
      </c>
      <c r="J61" s="54">
        <f>SUM(J46:J60)</f>
        <v>188</v>
      </c>
      <c r="K61" s="54">
        <f>SUM(K46:K60)</f>
        <v>719550000</v>
      </c>
      <c r="L61" s="54">
        <f t="shared" ref="L61:Q61" si="27">SUM(L46:L60)</f>
        <v>850399700</v>
      </c>
      <c r="M61" s="54">
        <f t="shared" si="27"/>
        <v>760835833</v>
      </c>
      <c r="N61" s="54">
        <f t="shared" si="27"/>
        <v>27816300</v>
      </c>
      <c r="O61" s="54">
        <f>SUM(O46:O60)</f>
        <v>14016800</v>
      </c>
      <c r="P61" s="54">
        <f>SUM(P46:P60)</f>
        <v>802668933</v>
      </c>
      <c r="Q61" s="54">
        <f t="shared" si="27"/>
        <v>210122700</v>
      </c>
      <c r="R61" s="54"/>
      <c r="S61" s="54">
        <f>SUM(S46:S60)</f>
        <v>11583871.451612905</v>
      </c>
      <c r="T61" s="54">
        <f>SUM(T46:T60)</f>
        <v>615324880.71545267</v>
      </c>
      <c r="U61" s="55">
        <f>(T61/K61)*100</f>
        <v>85.515236010764042</v>
      </c>
      <c r="V61" s="54"/>
      <c r="W61" s="54">
        <f>SUM(W46:W60)</f>
        <v>16919303.611536071</v>
      </c>
      <c r="X61" s="125"/>
      <c r="Y61" s="246"/>
    </row>
    <row r="62" spans="1:25" ht="13" customHeight="1">
      <c r="A62" s="222" t="s">
        <v>68</v>
      </c>
      <c r="B62" s="247" t="s">
        <v>207</v>
      </c>
      <c r="C62" s="224" t="s">
        <v>35</v>
      </c>
      <c r="D62" s="227"/>
      <c r="E62" s="227">
        <v>500000</v>
      </c>
      <c r="F62" s="242">
        <v>500000</v>
      </c>
      <c r="G62" s="181"/>
      <c r="H62" s="181"/>
      <c r="I62" s="47" t="s">
        <v>106</v>
      </c>
      <c r="J62" s="26">
        <v>10</v>
      </c>
      <c r="K62" s="26">
        <v>42100000</v>
      </c>
      <c r="L62" s="14">
        <f>48157000-7100000</f>
        <v>41057000</v>
      </c>
      <c r="M62" s="14">
        <f>43367000-7100000</f>
        <v>36267000</v>
      </c>
      <c r="N62" s="14">
        <v>0</v>
      </c>
      <c r="O62" s="14">
        <v>0</v>
      </c>
      <c r="P62" s="14">
        <f>SUM(M62:O62)</f>
        <v>36267000</v>
      </c>
      <c r="Q62" s="14">
        <v>7257000</v>
      </c>
      <c r="R62" s="65">
        <f t="shared" si="3"/>
        <v>0.17675426845604891</v>
      </c>
      <c r="S62" s="14">
        <v>8048387.0967741935</v>
      </c>
      <c r="T62" s="66">
        <f t="shared" si="19"/>
        <v>37905040.042678669</v>
      </c>
      <c r="U62" s="67">
        <f>(T62/K62)*100</f>
        <v>90.0357245669327</v>
      </c>
      <c r="V62" s="12">
        <f>U62*100000/90</f>
        <v>100039.69396325854</v>
      </c>
      <c r="W62" s="21">
        <f>V62*J62</f>
        <v>1000396.9396325854</v>
      </c>
      <c r="X62" s="177">
        <f>W74+D62+F62+G62+H62+E62</f>
        <v>15810963.639387293</v>
      </c>
      <c r="Y62" s="246"/>
    </row>
    <row r="63" spans="1:25" ht="13" customHeight="1">
      <c r="A63" s="222"/>
      <c r="B63" s="247" t="e">
        <f>#REF!</f>
        <v>#REF!</v>
      </c>
      <c r="C63" s="224"/>
      <c r="D63" s="227"/>
      <c r="E63" s="227"/>
      <c r="F63" s="243"/>
      <c r="G63" s="244"/>
      <c r="H63" s="244"/>
      <c r="I63" s="26" t="s">
        <v>107</v>
      </c>
      <c r="J63" s="26">
        <v>16</v>
      </c>
      <c r="K63" s="25">
        <v>66000000</v>
      </c>
      <c r="L63" s="14">
        <f>75000000-6300000</f>
        <v>68700000</v>
      </c>
      <c r="M63" s="14">
        <f>75770000-6300000</f>
        <v>69470000</v>
      </c>
      <c r="N63" s="14">
        <v>0</v>
      </c>
      <c r="O63" s="14">
        <v>340200</v>
      </c>
      <c r="P63" s="14">
        <f t="shared" ref="P63:P70" si="28">SUM(M63:O63)</f>
        <v>69810200</v>
      </c>
      <c r="Q63" s="14">
        <v>18300000</v>
      </c>
      <c r="R63" s="45">
        <f t="shared" si="3"/>
        <v>0.26637554585152839</v>
      </c>
      <c r="S63" s="14">
        <f>532258.064516129+2661290</f>
        <v>3193548.064516129</v>
      </c>
      <c r="T63" s="26">
        <f t="shared" si="19"/>
        <v>54408017.933511764</v>
      </c>
      <c r="U63" s="46">
        <f>(T63/K63)*100</f>
        <v>82.436390808351163</v>
      </c>
      <c r="V63" s="12">
        <f>U63*80000/80</f>
        <v>82436.390808351163</v>
      </c>
      <c r="W63" s="21">
        <f t="shared" ref="W63:W73" si="29">V63*J63</f>
        <v>1318982.2529336186</v>
      </c>
      <c r="X63" s="178"/>
      <c r="Y63" s="246"/>
    </row>
    <row r="64" spans="1:25" ht="13" customHeight="1">
      <c r="A64" s="222"/>
      <c r="B64" s="247" t="e">
        <f>B63</f>
        <v>#REF!</v>
      </c>
      <c r="C64" s="224"/>
      <c r="D64" s="227"/>
      <c r="E64" s="227"/>
      <c r="F64" s="243"/>
      <c r="G64" s="244"/>
      <c r="H64" s="244"/>
      <c r="I64" s="26" t="s">
        <v>108</v>
      </c>
      <c r="J64" s="26">
        <v>20</v>
      </c>
      <c r="K64" s="25">
        <v>84300000</v>
      </c>
      <c r="L64" s="14">
        <f>100135300-6800000</f>
        <v>93335300</v>
      </c>
      <c r="M64" s="14">
        <f>100135300-6800000</f>
        <v>93335300</v>
      </c>
      <c r="N64" s="14">
        <v>0</v>
      </c>
      <c r="O64" s="14">
        <v>0</v>
      </c>
      <c r="P64" s="14">
        <f t="shared" si="28"/>
        <v>93335300</v>
      </c>
      <c r="Q64" s="14">
        <v>24635300</v>
      </c>
      <c r="R64" s="45">
        <f t="shared" si="3"/>
        <v>0.26394408117828944</v>
      </c>
      <c r="S64" s="14">
        <v>2980645.1612903224</v>
      </c>
      <c r="T64" s="26">
        <f t="shared" si="19"/>
        <v>71680645.161290318</v>
      </c>
      <c r="U64" s="46">
        <f>(T64/K64)*100</f>
        <v>85.030421306394217</v>
      </c>
      <c r="V64" s="12">
        <f>U64*90000/85</f>
        <v>90032.210795005638</v>
      </c>
      <c r="W64" s="21">
        <f t="shared" si="29"/>
        <v>1800644.2159001129</v>
      </c>
      <c r="X64" s="178"/>
      <c r="Y64" s="246"/>
    </row>
    <row r="65" spans="1:25" ht="13" customHeight="1">
      <c r="A65" s="222"/>
      <c r="B65" s="247"/>
      <c r="C65" s="224"/>
      <c r="D65" s="227"/>
      <c r="E65" s="227"/>
      <c r="F65" s="243"/>
      <c r="G65" s="244"/>
      <c r="H65" s="244"/>
      <c r="I65" s="26" t="s">
        <v>86</v>
      </c>
      <c r="J65" s="26">
        <v>8</v>
      </c>
      <c r="K65" s="26">
        <v>31200000</v>
      </c>
      <c r="L65" s="14">
        <f>43916000-4500000</f>
        <v>39416000</v>
      </c>
      <c r="M65" s="14">
        <f>43916000-4500000</f>
        <v>39416000</v>
      </c>
      <c r="N65" s="14">
        <v>0</v>
      </c>
      <c r="O65" s="14">
        <v>0</v>
      </c>
      <c r="P65" s="14">
        <f t="shared" si="28"/>
        <v>39416000</v>
      </c>
      <c r="Q65" s="14">
        <v>10616000</v>
      </c>
      <c r="R65" s="45">
        <f t="shared" si="3"/>
        <v>0.26933225086259388</v>
      </c>
      <c r="S65" s="14"/>
      <c r="T65" s="26">
        <f t="shared" si="19"/>
        <v>28800000</v>
      </c>
      <c r="U65" s="46">
        <f t="shared" ref="U65:U67" si="30">(T65/K65)*100</f>
        <v>92.307692307692307</v>
      </c>
      <c r="V65" s="12">
        <f>U65*109000/95</f>
        <v>105910.93117408907</v>
      </c>
      <c r="W65" s="21">
        <f t="shared" si="29"/>
        <v>847287.44939271256</v>
      </c>
      <c r="X65" s="178"/>
      <c r="Y65" s="246"/>
    </row>
    <row r="66" spans="1:25" ht="13" customHeight="1">
      <c r="A66" s="222"/>
      <c r="B66" s="247"/>
      <c r="C66" s="224"/>
      <c r="D66" s="227"/>
      <c r="E66" s="227"/>
      <c r="F66" s="243"/>
      <c r="G66" s="244"/>
      <c r="H66" s="244"/>
      <c r="I66" s="26" t="s">
        <v>109</v>
      </c>
      <c r="J66" s="26">
        <v>21</v>
      </c>
      <c r="K66" s="26">
        <v>74800000</v>
      </c>
      <c r="L66" s="14">
        <v>75492000</v>
      </c>
      <c r="M66" s="14">
        <v>71021000</v>
      </c>
      <c r="N66" s="14">
        <v>4023000</v>
      </c>
      <c r="O66" s="14">
        <v>0</v>
      </c>
      <c r="P66" s="14">
        <f t="shared" si="28"/>
        <v>75044000</v>
      </c>
      <c r="Q66" s="14">
        <v>19382000</v>
      </c>
      <c r="R66" s="45">
        <f t="shared" si="3"/>
        <v>0.25674243628463944</v>
      </c>
      <c r="S66" s="14">
        <v>8148387.0967741935</v>
      </c>
      <c r="T66" s="26">
        <f t="shared" si="19"/>
        <v>63925407.708229706</v>
      </c>
      <c r="U66" s="46">
        <f t="shared" si="30"/>
        <v>85.461775011002288</v>
      </c>
      <c r="V66" s="12">
        <f>U66*90000/85</f>
        <v>90488.93824694361</v>
      </c>
      <c r="W66" s="21">
        <f t="shared" si="29"/>
        <v>1900267.7031858158</v>
      </c>
      <c r="X66" s="178"/>
      <c r="Y66" s="246"/>
    </row>
    <row r="67" spans="1:25" ht="13" customHeight="1">
      <c r="A67" s="222"/>
      <c r="B67" s="247"/>
      <c r="C67" s="224"/>
      <c r="D67" s="227"/>
      <c r="E67" s="227"/>
      <c r="F67" s="243"/>
      <c r="G67" s="244"/>
      <c r="H67" s="244"/>
      <c r="I67" s="26" t="s">
        <v>88</v>
      </c>
      <c r="J67" s="26">
        <v>10</v>
      </c>
      <c r="K67" s="26">
        <v>43200000</v>
      </c>
      <c r="L67" s="14">
        <v>52753000</v>
      </c>
      <c r="M67" s="14">
        <v>38194000</v>
      </c>
      <c r="N67" s="14">
        <v>1672200</v>
      </c>
      <c r="O67" s="14">
        <v>0</v>
      </c>
      <c r="P67" s="14">
        <f t="shared" si="28"/>
        <v>39866200</v>
      </c>
      <c r="Q67" s="14">
        <v>11630000</v>
      </c>
      <c r="R67" s="45">
        <f t="shared" si="3"/>
        <v>0.22046139556044206</v>
      </c>
      <c r="S67" s="14">
        <v>5870967.7419354841</v>
      </c>
      <c r="T67" s="26">
        <f t="shared" si="19"/>
        <v>36948209.65424379</v>
      </c>
      <c r="U67" s="46">
        <f t="shared" si="30"/>
        <v>85.528263088527297</v>
      </c>
      <c r="V67" s="12">
        <f>U67*90000/85</f>
        <v>90559.337387852443</v>
      </c>
      <c r="W67" s="21">
        <f t="shared" si="29"/>
        <v>905593.37387852441</v>
      </c>
      <c r="X67" s="178"/>
      <c r="Y67" s="246"/>
    </row>
    <row r="68" spans="1:25" ht="13" customHeight="1">
      <c r="A68" s="222"/>
      <c r="B68" s="247"/>
      <c r="C68" s="224"/>
      <c r="D68" s="227"/>
      <c r="E68" s="227"/>
      <c r="F68" s="243"/>
      <c r="G68" s="244"/>
      <c r="H68" s="244"/>
      <c r="I68" s="26" t="s">
        <v>89</v>
      </c>
      <c r="J68" s="26">
        <v>11</v>
      </c>
      <c r="K68" s="14">
        <v>47100000</v>
      </c>
      <c r="L68" s="14">
        <v>52664000</v>
      </c>
      <c r="M68" s="14">
        <v>45672000</v>
      </c>
      <c r="N68" s="14">
        <v>0</v>
      </c>
      <c r="O68" s="14">
        <v>1050000</v>
      </c>
      <c r="P68" s="14">
        <f t="shared" si="28"/>
        <v>46722000</v>
      </c>
      <c r="Q68" s="14">
        <v>11200000</v>
      </c>
      <c r="R68" s="45">
        <f t="shared" si="3"/>
        <v>0.2126689958985265</v>
      </c>
      <c r="S68" s="14">
        <v>6703225.8064516131</v>
      </c>
      <c r="T68" s="26">
        <f t="shared" si="19"/>
        <v>43488904.980080657</v>
      </c>
      <c r="U68" s="46">
        <f>(T68/K68)*100</f>
        <v>92.333131592527934</v>
      </c>
      <c r="V68" s="12">
        <f>U68*109000/95</f>
        <v>105940.11940616363</v>
      </c>
      <c r="W68" s="21">
        <f t="shared" si="29"/>
        <v>1165341.3134677999</v>
      </c>
      <c r="X68" s="178"/>
      <c r="Y68" s="246"/>
    </row>
    <row r="69" spans="1:25" ht="13" customHeight="1">
      <c r="A69" s="222"/>
      <c r="B69" s="247"/>
      <c r="C69" s="224"/>
      <c r="D69" s="227"/>
      <c r="E69" s="227"/>
      <c r="F69" s="243"/>
      <c r="G69" s="244"/>
      <c r="H69" s="244"/>
      <c r="I69" s="26" t="s">
        <v>90</v>
      </c>
      <c r="J69" s="26">
        <v>8</v>
      </c>
      <c r="K69" s="23">
        <v>31700000</v>
      </c>
      <c r="L69" s="23">
        <f>43639000-3500000</f>
        <v>40139000</v>
      </c>
      <c r="M69" s="23">
        <f>43858000-3500000</f>
        <v>40358000</v>
      </c>
      <c r="N69" s="14">
        <v>0</v>
      </c>
      <c r="O69" s="14">
        <v>0</v>
      </c>
      <c r="P69" s="23">
        <f t="shared" si="28"/>
        <v>40358000</v>
      </c>
      <c r="Q69" s="14">
        <v>9539000</v>
      </c>
      <c r="R69" s="45">
        <f t="shared" si="3"/>
        <v>0.23764916913724807</v>
      </c>
      <c r="S69" s="14"/>
      <c r="T69" s="26">
        <f t="shared" si="19"/>
        <v>30766954.831958942</v>
      </c>
      <c r="U69" s="46">
        <f>(T69/K69)*100</f>
        <v>97.056639848450914</v>
      </c>
      <c r="V69" s="12">
        <f>U69*110000/95</f>
        <v>112381.37245610106</v>
      </c>
      <c r="W69" s="21">
        <f t="shared" si="29"/>
        <v>899050.97964880848</v>
      </c>
      <c r="X69" s="178"/>
      <c r="Y69" s="246"/>
    </row>
    <row r="70" spans="1:25" ht="13" customHeight="1">
      <c r="A70" s="222"/>
      <c r="B70" s="247" t="e">
        <f>#REF!</f>
        <v>#REF!</v>
      </c>
      <c r="C70" s="224"/>
      <c r="D70" s="227"/>
      <c r="E70" s="227"/>
      <c r="F70" s="243"/>
      <c r="G70" s="244"/>
      <c r="H70" s="244"/>
      <c r="I70" s="26" t="s">
        <v>110</v>
      </c>
      <c r="J70" s="26">
        <v>11</v>
      </c>
      <c r="K70" s="26">
        <v>50300000</v>
      </c>
      <c r="L70" s="26">
        <f>67820000-8600000</f>
        <v>59220000</v>
      </c>
      <c r="M70" s="26">
        <f>67820000-8600000</f>
        <v>59220000</v>
      </c>
      <c r="N70" s="23">
        <v>0</v>
      </c>
      <c r="O70" s="32">
        <v>0</v>
      </c>
      <c r="P70" s="26">
        <f t="shared" si="28"/>
        <v>59220000</v>
      </c>
      <c r="Q70" s="14">
        <v>11420000</v>
      </c>
      <c r="R70" s="45">
        <f t="shared" si="3"/>
        <v>0.1928402566700439</v>
      </c>
      <c r="S70" s="23"/>
      <c r="T70" s="26">
        <f t="shared" si="19"/>
        <v>47800000</v>
      </c>
      <c r="U70" s="46">
        <f t="shared" si="2"/>
        <v>95.029821073558651</v>
      </c>
      <c r="V70" s="12">
        <f>U70*110000/95</f>
        <v>110034.52966412055</v>
      </c>
      <c r="W70" s="21">
        <f t="shared" si="29"/>
        <v>1210379.8263053261</v>
      </c>
      <c r="X70" s="178"/>
      <c r="Y70" s="246"/>
    </row>
    <row r="71" spans="1:25" ht="12.5">
      <c r="A71" s="222"/>
      <c r="B71" s="247"/>
      <c r="C71" s="224"/>
      <c r="D71" s="227"/>
      <c r="E71" s="227"/>
      <c r="F71" s="243"/>
      <c r="G71" s="244"/>
      <c r="H71" s="244"/>
      <c r="I71" s="26" t="s">
        <v>111</v>
      </c>
      <c r="J71" s="26">
        <v>10</v>
      </c>
      <c r="K71" s="26">
        <v>30600000</v>
      </c>
      <c r="L71" s="26">
        <v>38954000</v>
      </c>
      <c r="M71" s="26">
        <v>38956000</v>
      </c>
      <c r="N71" s="25">
        <v>0</v>
      </c>
      <c r="O71" s="47">
        <v>0</v>
      </c>
      <c r="P71" s="26">
        <f>SUM(M71:O71)</f>
        <v>38956000</v>
      </c>
      <c r="Q71" s="23">
        <v>8954000</v>
      </c>
      <c r="R71" s="33">
        <f t="shared" si="3"/>
        <v>0.22986086152898291</v>
      </c>
      <c r="S71" s="26"/>
      <c r="T71" s="30">
        <f>P71-(P71*R71)+S71</f>
        <v>30001540.278276943</v>
      </c>
      <c r="U71" s="46">
        <f t="shared" si="2"/>
        <v>98.044249275414842</v>
      </c>
      <c r="V71" s="13">
        <f>U71*120000/100</f>
        <v>117653.09913049782</v>
      </c>
      <c r="W71" s="21">
        <f t="shared" si="29"/>
        <v>1176530.9913049783</v>
      </c>
      <c r="X71" s="178"/>
      <c r="Y71" s="246"/>
    </row>
    <row r="72" spans="1:25" ht="12.5">
      <c r="A72" s="222"/>
      <c r="B72" s="247"/>
      <c r="C72" s="224"/>
      <c r="D72" s="227"/>
      <c r="E72" s="227"/>
      <c r="F72" s="243"/>
      <c r="G72" s="244"/>
      <c r="H72" s="244"/>
      <c r="I72" s="66" t="s">
        <v>96</v>
      </c>
      <c r="J72" s="66">
        <v>10</v>
      </c>
      <c r="K72" s="26">
        <v>41300000</v>
      </c>
      <c r="L72" s="26">
        <v>47962600</v>
      </c>
      <c r="M72" s="26">
        <v>47962600</v>
      </c>
      <c r="N72" s="25">
        <v>0</v>
      </c>
      <c r="O72" s="85">
        <v>0</v>
      </c>
      <c r="P72" s="26">
        <f>SUM(M72:O72)</f>
        <v>47962600</v>
      </c>
      <c r="Q72" s="86">
        <v>11262600</v>
      </c>
      <c r="R72" s="45">
        <f t="shared" si="3"/>
        <v>0.23482046427841693</v>
      </c>
      <c r="S72" s="66"/>
      <c r="T72" s="26">
        <f>P72-(P72*R72)+S72</f>
        <v>36700000</v>
      </c>
      <c r="U72" s="46">
        <f>(T72/K72)*100</f>
        <v>88.861985472154956</v>
      </c>
      <c r="V72" s="16">
        <f>U72*99000/90</f>
        <v>97748.184019370456</v>
      </c>
      <c r="W72" s="21">
        <f t="shared" si="29"/>
        <v>977481.84019370459</v>
      </c>
      <c r="X72" s="178"/>
      <c r="Y72" s="246"/>
    </row>
    <row r="73" spans="1:25" ht="12.5">
      <c r="A73" s="264"/>
      <c r="B73" s="265"/>
      <c r="C73" s="258"/>
      <c r="D73" s="227"/>
      <c r="E73" s="227"/>
      <c r="F73" s="243"/>
      <c r="G73" s="244"/>
      <c r="H73" s="244"/>
      <c r="I73" s="66" t="s">
        <v>208</v>
      </c>
      <c r="J73" s="66">
        <v>13</v>
      </c>
      <c r="K73" s="66">
        <v>67000000</v>
      </c>
      <c r="L73" s="66">
        <v>76195667</v>
      </c>
      <c r="M73" s="66">
        <v>64032667</v>
      </c>
      <c r="N73" s="85">
        <v>10957500</v>
      </c>
      <c r="O73" s="85">
        <v>0</v>
      </c>
      <c r="P73" s="26">
        <f>SUM(M73:O73)</f>
        <v>74990167</v>
      </c>
      <c r="Q73" s="86">
        <v>5980000</v>
      </c>
      <c r="R73" s="45">
        <f t="shared" si="3"/>
        <v>7.8482153059963367E-2</v>
      </c>
      <c r="S73" s="66"/>
      <c r="T73" s="26">
        <f>P73-(P73*R73)+S73</f>
        <v>69104777.235513791</v>
      </c>
      <c r="U73" s="46">
        <f>(T73/K73)*100</f>
        <v>103.14145856046835</v>
      </c>
      <c r="V73" s="16">
        <f>U73*120000/100</f>
        <v>123769.75027256201</v>
      </c>
      <c r="W73" s="21">
        <f t="shared" si="29"/>
        <v>1609006.7535433061</v>
      </c>
      <c r="X73" s="178"/>
      <c r="Y73" s="246"/>
    </row>
    <row r="74" spans="1:25" ht="13" customHeight="1">
      <c r="A74" s="179"/>
      <c r="B74" s="180" t="e">
        <f>B70</f>
        <v>#REF!</v>
      </c>
      <c r="C74" s="225"/>
      <c r="D74" s="228"/>
      <c r="E74" s="228"/>
      <c r="F74" s="248"/>
      <c r="G74" s="245"/>
      <c r="H74" s="245"/>
      <c r="I74" s="69">
        <v>12</v>
      </c>
      <c r="J74" s="70">
        <f t="shared" ref="J74:O74" si="31">SUM(J62:J73)</f>
        <v>148</v>
      </c>
      <c r="K74" s="70">
        <f>SUM(K62:K73)</f>
        <v>609600000</v>
      </c>
      <c r="L74" s="70">
        <f>SUM(L62:L73)</f>
        <v>685888567</v>
      </c>
      <c r="M74" s="70">
        <f>SUM(M62:M73)</f>
        <v>643904567</v>
      </c>
      <c r="N74" s="70">
        <f t="shared" si="31"/>
        <v>16652700</v>
      </c>
      <c r="O74" s="70">
        <f t="shared" si="31"/>
        <v>1390200</v>
      </c>
      <c r="P74" s="70">
        <f>SUM(P62:P73)</f>
        <v>661947467</v>
      </c>
      <c r="Q74" s="70">
        <f>SUM(Q62:Q73)</f>
        <v>150175900</v>
      </c>
      <c r="R74" s="87"/>
      <c r="S74" s="70">
        <f>SUM(S62:S73)</f>
        <v>34945160.967741936</v>
      </c>
      <c r="T74" s="70">
        <f>SUM(T62:T73)</f>
        <v>551529497.82578456</v>
      </c>
      <c r="U74" s="88">
        <f>(T74/K74)*100</f>
        <v>90.473998987169381</v>
      </c>
      <c r="V74" s="62"/>
      <c r="W74" s="62">
        <f>SUM(W62:W73)</f>
        <v>14810963.639387293</v>
      </c>
      <c r="X74" s="178"/>
      <c r="Y74" s="246"/>
    </row>
    <row r="75" spans="1:25" ht="13" customHeight="1">
      <c r="A75" s="222" t="s">
        <v>72</v>
      </c>
      <c r="B75" s="247" t="s">
        <v>98</v>
      </c>
      <c r="C75" s="224" t="s">
        <v>35</v>
      </c>
      <c r="D75" s="227"/>
      <c r="E75" s="227">
        <v>500000</v>
      </c>
      <c r="F75" s="243">
        <v>500000</v>
      </c>
      <c r="G75" s="244"/>
      <c r="H75" s="244"/>
      <c r="I75" s="14" t="s">
        <v>99</v>
      </c>
      <c r="J75" s="14">
        <v>8</v>
      </c>
      <c r="K75" s="14">
        <v>35000000</v>
      </c>
      <c r="L75" s="14">
        <f>44688000-3900000</f>
        <v>40788000</v>
      </c>
      <c r="M75" s="14">
        <f>40868000-3900000</f>
        <v>36968000</v>
      </c>
      <c r="N75" s="14">
        <v>0</v>
      </c>
      <c r="O75" s="14">
        <v>1400000</v>
      </c>
      <c r="P75" s="14">
        <f t="shared" ref="P75:P79" si="32">SUM(M75:O75)</f>
        <v>38368000</v>
      </c>
      <c r="Q75" s="14">
        <v>8188000</v>
      </c>
      <c r="R75" s="45">
        <f t="shared" si="3"/>
        <v>0.20074531725017161</v>
      </c>
      <c r="S75" s="14"/>
      <c r="T75" s="26">
        <f t="shared" si="19"/>
        <v>30665803.667745415</v>
      </c>
      <c r="U75" s="46">
        <f t="shared" si="2"/>
        <v>87.616581907844036</v>
      </c>
      <c r="V75" s="12">
        <f>U75*109000/90</f>
        <v>106113.41586616666</v>
      </c>
      <c r="W75" s="21">
        <f>V75*J75</f>
        <v>848907.32692933327</v>
      </c>
      <c r="X75" s="177">
        <f>D75+E75+F75+G75+H75+W80</f>
        <v>6568392.1520832628</v>
      </c>
      <c r="Y75" s="246"/>
    </row>
    <row r="76" spans="1:25" ht="13" customHeight="1">
      <c r="A76" s="222"/>
      <c r="B76" s="247" t="str">
        <f>B75</f>
        <v>Đỗ Công Trường</v>
      </c>
      <c r="C76" s="224"/>
      <c r="D76" s="227"/>
      <c r="E76" s="227"/>
      <c r="F76" s="243"/>
      <c r="G76" s="244"/>
      <c r="H76" s="244"/>
      <c r="I76" s="14" t="s">
        <v>100</v>
      </c>
      <c r="J76" s="14">
        <v>8</v>
      </c>
      <c r="K76" s="14">
        <v>35000000</v>
      </c>
      <c r="L76" s="14">
        <v>45613000</v>
      </c>
      <c r="M76" s="14">
        <v>40237000</v>
      </c>
      <c r="N76" s="14">
        <v>4838400</v>
      </c>
      <c r="O76" s="14">
        <v>0</v>
      </c>
      <c r="P76" s="14">
        <f t="shared" si="32"/>
        <v>45075400</v>
      </c>
      <c r="Q76" s="14">
        <v>12113000</v>
      </c>
      <c r="R76" s="45">
        <f t="shared" si="3"/>
        <v>0.26556025694429219</v>
      </c>
      <c r="S76" s="14"/>
      <c r="T76" s="26">
        <f t="shared" si="19"/>
        <v>33105165.194133252</v>
      </c>
      <c r="U76" s="46">
        <f t="shared" si="2"/>
        <v>94.586186268952147</v>
      </c>
      <c r="V76" s="12">
        <f>U76*119000/95</f>
        <v>118481.64385268743</v>
      </c>
      <c r="W76" s="21">
        <f>V76*J76</f>
        <v>947853.15082149941</v>
      </c>
      <c r="X76" s="178"/>
      <c r="Y76" s="246"/>
    </row>
    <row r="77" spans="1:25" ht="13" customHeight="1">
      <c r="A77" s="222"/>
      <c r="B77" s="247" t="str">
        <f>B76</f>
        <v>Đỗ Công Trường</v>
      </c>
      <c r="C77" s="224"/>
      <c r="D77" s="227"/>
      <c r="E77" s="227"/>
      <c r="F77" s="243"/>
      <c r="G77" s="244"/>
      <c r="H77" s="244"/>
      <c r="I77" s="23" t="s">
        <v>101</v>
      </c>
      <c r="J77" s="23">
        <v>7</v>
      </c>
      <c r="K77" s="23">
        <v>24800000</v>
      </c>
      <c r="L77" s="23">
        <f>34500000-3200000</f>
        <v>31300000</v>
      </c>
      <c r="M77" s="23">
        <f>34230000-3200000</f>
        <v>31030000</v>
      </c>
      <c r="N77" s="23">
        <v>243000</v>
      </c>
      <c r="O77" s="23">
        <v>0</v>
      </c>
      <c r="P77" s="23">
        <f>SUM(M77:O77)</f>
        <v>31273000</v>
      </c>
      <c r="Q77" s="23">
        <v>8300000</v>
      </c>
      <c r="R77" s="33">
        <f t="shared" si="3"/>
        <v>0.26517571884984026</v>
      </c>
      <c r="S77" s="23"/>
      <c r="T77" s="30">
        <f t="shared" si="19"/>
        <v>22980159.744408946</v>
      </c>
      <c r="U77" s="34">
        <f t="shared" si="2"/>
        <v>92.661934453261878</v>
      </c>
      <c r="V77" s="12">
        <f>U77*119000/95</f>
        <v>116071.26526250697</v>
      </c>
      <c r="W77" s="15">
        <f>V77*J77</f>
        <v>812498.85683754878</v>
      </c>
      <c r="X77" s="178"/>
      <c r="Y77" s="246"/>
    </row>
    <row r="78" spans="1:25" s="37" customFormat="1" ht="12.5">
      <c r="A78" s="222"/>
      <c r="B78" s="247"/>
      <c r="C78" s="224"/>
      <c r="D78" s="227"/>
      <c r="E78" s="227"/>
      <c r="F78" s="243"/>
      <c r="G78" s="244"/>
      <c r="H78" s="244"/>
      <c r="I78" s="26" t="s">
        <v>102</v>
      </c>
      <c r="J78" s="26">
        <v>14</v>
      </c>
      <c r="K78" s="26">
        <v>49800000</v>
      </c>
      <c r="L78" s="26">
        <f>67972000-3300000</f>
        <v>64672000</v>
      </c>
      <c r="M78" s="26">
        <f>67841000-3300000</f>
        <v>64541000</v>
      </c>
      <c r="N78" s="26">
        <v>117000</v>
      </c>
      <c r="O78" s="26">
        <v>0</v>
      </c>
      <c r="P78" s="26">
        <f t="shared" si="32"/>
        <v>64658000</v>
      </c>
      <c r="Q78" s="26">
        <v>15682000</v>
      </c>
      <c r="R78" s="45">
        <f t="shared" si="3"/>
        <v>0.24248515586343394</v>
      </c>
      <c r="S78" s="26"/>
      <c r="T78" s="26">
        <f t="shared" si="19"/>
        <v>48979394.792182088</v>
      </c>
      <c r="U78" s="46">
        <f t="shared" si="2"/>
        <v>98.352198377875681</v>
      </c>
      <c r="V78" s="16">
        <f>U78*130000/100</f>
        <v>127857.85789123838</v>
      </c>
      <c r="W78" s="16">
        <f t="shared" ref="W78:W79" si="33">V78*J78</f>
        <v>1790010.0104773373</v>
      </c>
      <c r="X78" s="178"/>
      <c r="Y78" s="246"/>
    </row>
    <row r="79" spans="1:25" s="37" customFormat="1" ht="12.5">
      <c r="A79" s="222"/>
      <c r="B79" s="247"/>
      <c r="C79" s="224"/>
      <c r="D79" s="227"/>
      <c r="E79" s="227"/>
      <c r="F79" s="243"/>
      <c r="G79" s="244"/>
      <c r="H79" s="244"/>
      <c r="I79" s="26" t="s">
        <v>103</v>
      </c>
      <c r="J79" s="26">
        <v>10</v>
      </c>
      <c r="K79" s="26">
        <v>45000000</v>
      </c>
      <c r="L79" s="26">
        <f>58563000-4100000</f>
        <v>54463000</v>
      </c>
      <c r="M79" s="26">
        <f>58563000-4100000</f>
        <v>54463000</v>
      </c>
      <c r="N79" s="26">
        <v>0</v>
      </c>
      <c r="O79" s="26">
        <v>0</v>
      </c>
      <c r="P79" s="26">
        <f t="shared" si="32"/>
        <v>54463000</v>
      </c>
      <c r="Q79" s="26">
        <v>12463000</v>
      </c>
      <c r="R79" s="45">
        <f t="shared" si="3"/>
        <v>0.22883425444797387</v>
      </c>
      <c r="S79" s="26"/>
      <c r="T79" s="26">
        <f t="shared" si="19"/>
        <v>42000000</v>
      </c>
      <c r="U79" s="46">
        <f>(T79/K79)*100</f>
        <v>93.333333333333329</v>
      </c>
      <c r="V79" s="16">
        <f>U79*119000/95</f>
        <v>116912.28070175438</v>
      </c>
      <c r="W79" s="16">
        <f t="shared" si="33"/>
        <v>1169122.8070175438</v>
      </c>
      <c r="X79" s="178"/>
      <c r="Y79" s="246"/>
    </row>
    <row r="80" spans="1:25" ht="13" customHeight="1">
      <c r="A80" s="179"/>
      <c r="B80" s="180" t="str">
        <f>B77</f>
        <v>Đỗ Công Trường</v>
      </c>
      <c r="C80" s="225"/>
      <c r="D80" s="228"/>
      <c r="E80" s="228"/>
      <c r="F80" s="248"/>
      <c r="G80" s="245"/>
      <c r="H80" s="245"/>
      <c r="I80" s="69">
        <v>5</v>
      </c>
      <c r="J80" s="70">
        <f>SUM(J75:J79)</f>
        <v>47</v>
      </c>
      <c r="K80" s="70">
        <f t="shared" ref="K80:O80" si="34">SUM(K75:K79)</f>
        <v>189600000</v>
      </c>
      <c r="L80" s="70">
        <f t="shared" si="34"/>
        <v>236836000</v>
      </c>
      <c r="M80" s="70">
        <f t="shared" si="34"/>
        <v>227239000</v>
      </c>
      <c r="N80" s="70">
        <f t="shared" si="34"/>
        <v>5198400</v>
      </c>
      <c r="O80" s="70">
        <f t="shared" si="34"/>
        <v>1400000</v>
      </c>
      <c r="P80" s="70">
        <f>SUM(P75:P79)</f>
        <v>233837400</v>
      </c>
      <c r="Q80" s="70">
        <f>SUM(Q75:Q79)</f>
        <v>56746000</v>
      </c>
      <c r="R80" s="87"/>
      <c r="S80" s="89">
        <f>SUM(S75:S79)</f>
        <v>0</v>
      </c>
      <c r="T80" s="89">
        <f>SUM(T75:T79)</f>
        <v>177730523.39846969</v>
      </c>
      <c r="U80" s="55">
        <f>(T80/K80)*100</f>
        <v>93.739727530838451</v>
      </c>
      <c r="V80" s="90"/>
      <c r="W80" s="90">
        <f>SUM(W75:W79)</f>
        <v>5568392.1520832628</v>
      </c>
      <c r="X80" s="178"/>
      <c r="Y80" s="246"/>
    </row>
    <row r="81" spans="1:25" ht="13" customHeight="1">
      <c r="A81" s="222" t="s">
        <v>77</v>
      </c>
      <c r="B81" s="247" t="s">
        <v>113</v>
      </c>
      <c r="C81" s="223" t="s">
        <v>35</v>
      </c>
      <c r="D81" s="226"/>
      <c r="E81" s="226">
        <v>500000</v>
      </c>
      <c r="F81" s="242">
        <v>500000</v>
      </c>
      <c r="G81" s="181"/>
      <c r="H81" s="181"/>
      <c r="I81" s="30" t="s">
        <v>114</v>
      </c>
      <c r="J81" s="23">
        <v>9</v>
      </c>
      <c r="K81" s="14">
        <v>48500000</v>
      </c>
      <c r="L81" s="14">
        <f>75355400-18000000</f>
        <v>57355400</v>
      </c>
      <c r="M81" s="14">
        <f>67423400-18000000</f>
        <v>49423400</v>
      </c>
      <c r="N81" s="14">
        <v>7138800</v>
      </c>
      <c r="O81" s="14">
        <v>0</v>
      </c>
      <c r="P81" s="14">
        <f t="shared" ref="P81:P92" si="35">SUM(M81:O81)</f>
        <v>56562200</v>
      </c>
      <c r="Q81" s="14">
        <v>14455400</v>
      </c>
      <c r="R81" s="45">
        <f t="shared" ref="R81:R92" si="36">Q81/L81</f>
        <v>0.25203206672780593</v>
      </c>
      <c r="S81" s="95"/>
      <c r="T81" s="26">
        <f t="shared" si="19"/>
        <v>42306711.835328497</v>
      </c>
      <c r="U81" s="46">
        <f t="shared" si="2"/>
        <v>87.230333681089689</v>
      </c>
      <c r="V81" s="12">
        <f>U81*100000/85</f>
        <v>102623.92197775257</v>
      </c>
      <c r="W81" s="21">
        <f t="shared" ref="W81:W92" si="37">V81*J81</f>
        <v>923615.29779977317</v>
      </c>
      <c r="X81" s="177">
        <f>W94+D81+F81+G81+H81+E81</f>
        <v>20695888.732562479</v>
      </c>
      <c r="Y81" s="246"/>
    </row>
    <row r="82" spans="1:25" ht="13" customHeight="1">
      <c r="A82" s="222"/>
      <c r="B82" s="247"/>
      <c r="C82" s="224"/>
      <c r="D82" s="227"/>
      <c r="E82" s="227"/>
      <c r="F82" s="243"/>
      <c r="G82" s="244"/>
      <c r="H82" s="244"/>
      <c r="I82" s="26" t="s">
        <v>115</v>
      </c>
      <c r="J82" s="26">
        <v>9</v>
      </c>
      <c r="K82" s="14">
        <v>39200000</v>
      </c>
      <c r="L82" s="14">
        <v>43577000</v>
      </c>
      <c r="M82" s="14">
        <v>34573000</v>
      </c>
      <c r="N82" s="14">
        <v>4014000</v>
      </c>
      <c r="O82" s="14">
        <v>0</v>
      </c>
      <c r="P82" s="14">
        <f t="shared" si="35"/>
        <v>38587000</v>
      </c>
      <c r="Q82" s="14">
        <v>8077000</v>
      </c>
      <c r="R82" s="45">
        <f t="shared" si="36"/>
        <v>0.18535006999105033</v>
      </c>
      <c r="S82" s="95">
        <v>903225.80645161297</v>
      </c>
      <c r="T82" s="26">
        <f t="shared" si="19"/>
        <v>32338122.655706953</v>
      </c>
      <c r="U82" s="46">
        <f t="shared" si="2"/>
        <v>82.495210856395289</v>
      </c>
      <c r="V82" s="12">
        <f>U82*85000/80</f>
        <v>87651.16153492</v>
      </c>
      <c r="W82" s="21">
        <f t="shared" si="37"/>
        <v>788860.45381427999</v>
      </c>
      <c r="X82" s="177"/>
      <c r="Y82" s="246"/>
    </row>
    <row r="83" spans="1:25" ht="13" customHeight="1">
      <c r="A83" s="222"/>
      <c r="B83" s="247"/>
      <c r="C83" s="224"/>
      <c r="D83" s="227"/>
      <c r="E83" s="227"/>
      <c r="F83" s="243"/>
      <c r="G83" s="244"/>
      <c r="H83" s="244"/>
      <c r="I83" s="26" t="s">
        <v>70</v>
      </c>
      <c r="J83" s="26">
        <v>38</v>
      </c>
      <c r="K83" s="14">
        <v>143100000</v>
      </c>
      <c r="L83" s="14">
        <v>175828000</v>
      </c>
      <c r="M83" s="14">
        <v>165048000</v>
      </c>
      <c r="N83" s="14">
        <v>9172800</v>
      </c>
      <c r="O83" s="14">
        <v>0</v>
      </c>
      <c r="P83" s="14">
        <f t="shared" si="35"/>
        <v>174220800</v>
      </c>
      <c r="Q83" s="14">
        <v>41914000</v>
      </c>
      <c r="R83" s="45">
        <f t="shared" si="36"/>
        <v>0.23838069021998773</v>
      </c>
      <c r="S83" s="95">
        <f>2874193.5483871+790323</f>
        <v>3664516.5483871</v>
      </c>
      <c r="T83" s="26">
        <f t="shared" si="19"/>
        <v>136354441.99370867</v>
      </c>
      <c r="U83" s="46">
        <f t="shared" si="2"/>
        <v>95.28612298651899</v>
      </c>
      <c r="V83" s="12">
        <f>U83*120000/95</f>
        <v>120361.41850928715</v>
      </c>
      <c r="W83" s="21">
        <f t="shared" si="37"/>
        <v>4573733.9033529116</v>
      </c>
      <c r="X83" s="177"/>
      <c r="Y83" s="246"/>
    </row>
    <row r="84" spans="1:25" ht="12.5">
      <c r="A84" s="222"/>
      <c r="B84" s="247"/>
      <c r="C84" s="224"/>
      <c r="D84" s="227"/>
      <c r="E84" s="227"/>
      <c r="F84" s="243"/>
      <c r="G84" s="244"/>
      <c r="H84" s="244"/>
      <c r="I84" s="26" t="s">
        <v>117</v>
      </c>
      <c r="J84" s="26">
        <v>24</v>
      </c>
      <c r="K84" s="14">
        <v>79200000</v>
      </c>
      <c r="L84" s="14">
        <v>98086000</v>
      </c>
      <c r="M84" s="14">
        <v>94304000</v>
      </c>
      <c r="N84" s="14">
        <v>3436200</v>
      </c>
      <c r="O84" s="14">
        <v>0</v>
      </c>
      <c r="P84" s="14">
        <f t="shared" si="35"/>
        <v>97740200</v>
      </c>
      <c r="Q84" s="14">
        <v>23986000</v>
      </c>
      <c r="R84" s="45">
        <f t="shared" si="36"/>
        <v>0.24454050527088472</v>
      </c>
      <c r="S84" s="95"/>
      <c r="T84" s="26">
        <f t="shared" si="19"/>
        <v>73838762.106722668</v>
      </c>
      <c r="U84" s="46">
        <f t="shared" si="2"/>
        <v>93.23076023576094</v>
      </c>
      <c r="V84" s="12">
        <f>U84*119000/95</f>
        <v>116783.79440058475</v>
      </c>
      <c r="W84" s="21">
        <f t="shared" si="37"/>
        <v>2802811.065614034</v>
      </c>
      <c r="X84" s="178"/>
      <c r="Y84" s="246"/>
    </row>
    <row r="85" spans="1:25" ht="12.5">
      <c r="A85" s="222"/>
      <c r="B85" s="247"/>
      <c r="C85" s="224"/>
      <c r="D85" s="227"/>
      <c r="E85" s="227"/>
      <c r="F85" s="243"/>
      <c r="G85" s="244"/>
      <c r="H85" s="244"/>
      <c r="I85" s="14" t="s">
        <v>118</v>
      </c>
      <c r="J85" s="14">
        <v>13</v>
      </c>
      <c r="K85" s="14">
        <v>60800000</v>
      </c>
      <c r="L85" s="14">
        <f>99560000-32000000</f>
        <v>67560000</v>
      </c>
      <c r="M85" s="14">
        <f>87030000-33000000</f>
        <v>54030000</v>
      </c>
      <c r="N85" s="14">
        <v>6681600</v>
      </c>
      <c r="O85" s="14">
        <v>851200</v>
      </c>
      <c r="P85" s="14">
        <f t="shared" si="35"/>
        <v>61562800</v>
      </c>
      <c r="Q85" s="14">
        <v>14060000</v>
      </c>
      <c r="R85" s="45">
        <f t="shared" si="36"/>
        <v>0.20811130846654827</v>
      </c>
      <c r="S85" s="95">
        <v>4161290</v>
      </c>
      <c r="T85" s="26">
        <f t="shared" si="19"/>
        <v>52912175.139135584</v>
      </c>
      <c r="U85" s="46">
        <f t="shared" si="2"/>
        <v>87.026603847262479</v>
      </c>
      <c r="V85" s="12">
        <f>U85*109000/90</f>
        <v>105398.88688168455</v>
      </c>
      <c r="W85" s="21">
        <f t="shared" si="37"/>
        <v>1370185.5294618991</v>
      </c>
      <c r="X85" s="178"/>
      <c r="Y85" s="246"/>
    </row>
    <row r="86" spans="1:25" ht="12.5">
      <c r="A86" s="222"/>
      <c r="B86" s="247"/>
      <c r="C86" s="224"/>
      <c r="D86" s="227"/>
      <c r="E86" s="227"/>
      <c r="F86" s="243"/>
      <c r="G86" s="244"/>
      <c r="H86" s="244"/>
      <c r="I86" s="14" t="s">
        <v>119</v>
      </c>
      <c r="J86" s="14">
        <v>7</v>
      </c>
      <c r="K86" s="14">
        <v>23200000</v>
      </c>
      <c r="L86" s="14">
        <f>31611000-2600000</f>
        <v>29011000</v>
      </c>
      <c r="M86" s="14">
        <f>25335000-2600000</f>
        <v>22735000</v>
      </c>
      <c r="N86" s="14">
        <v>0</v>
      </c>
      <c r="O86" s="14">
        <v>1889999.9999999998</v>
      </c>
      <c r="P86" s="14">
        <f t="shared" si="35"/>
        <v>24625000</v>
      </c>
      <c r="Q86" s="14">
        <v>6311000</v>
      </c>
      <c r="R86" s="45">
        <f t="shared" si="36"/>
        <v>0.21753817517493365</v>
      </c>
      <c r="S86" s="95"/>
      <c r="T86" s="26">
        <f t="shared" si="19"/>
        <v>19268122.436317258</v>
      </c>
      <c r="U86" s="46">
        <f t="shared" si="2"/>
        <v>83.052251880677829</v>
      </c>
      <c r="V86" s="12">
        <f>U86*94000/85</f>
        <v>91846.019726867249</v>
      </c>
      <c r="W86" s="21">
        <f t="shared" si="37"/>
        <v>642922.13808807079</v>
      </c>
      <c r="X86" s="178"/>
      <c r="Y86" s="246"/>
    </row>
    <row r="87" spans="1:25" ht="14">
      <c r="A87" s="222"/>
      <c r="B87" s="247"/>
      <c r="C87" s="224"/>
      <c r="D87" s="227"/>
      <c r="E87" s="227"/>
      <c r="F87" s="243"/>
      <c r="G87" s="244"/>
      <c r="H87" s="244"/>
      <c r="I87" s="14" t="s">
        <v>120</v>
      </c>
      <c r="J87" s="14">
        <v>18</v>
      </c>
      <c r="K87" s="14">
        <v>61400000</v>
      </c>
      <c r="L87" s="14">
        <f>68366000-3200000+3200000+3000000</f>
        <v>71366000</v>
      </c>
      <c r="M87" s="14">
        <f>64190000-3200000+3200000+3000000</f>
        <v>67190000</v>
      </c>
      <c r="N87" s="14">
        <v>3744000</v>
      </c>
      <c r="O87" s="14">
        <v>0</v>
      </c>
      <c r="P87" s="23">
        <f t="shared" si="35"/>
        <v>70934000</v>
      </c>
      <c r="Q87" s="23">
        <v>16166000</v>
      </c>
      <c r="R87" s="45">
        <f t="shared" si="36"/>
        <v>0.22652243365187905</v>
      </c>
      <c r="S87" s="18"/>
      <c r="T87" s="26">
        <f t="shared" si="19"/>
        <v>54865857.691337615</v>
      </c>
      <c r="U87" s="46">
        <f t="shared" si="2"/>
        <v>89.358074415859306</v>
      </c>
      <c r="V87" s="13">
        <f>U87*109000/90</f>
        <v>108222.55679254072</v>
      </c>
      <c r="W87" s="21">
        <f t="shared" si="37"/>
        <v>1948006.022265733</v>
      </c>
      <c r="X87" s="178"/>
      <c r="Y87" s="246"/>
    </row>
    <row r="88" spans="1:25" ht="12.5">
      <c r="A88" s="222"/>
      <c r="B88" s="247"/>
      <c r="C88" s="224"/>
      <c r="D88" s="227"/>
      <c r="E88" s="227"/>
      <c r="F88" s="243"/>
      <c r="G88" s="244"/>
      <c r="H88" s="244"/>
      <c r="I88" s="23" t="s">
        <v>121</v>
      </c>
      <c r="J88" s="23">
        <v>9</v>
      </c>
      <c r="K88" s="23">
        <v>39000000</v>
      </c>
      <c r="L88" s="23">
        <v>48438000</v>
      </c>
      <c r="M88" s="23">
        <v>48438000</v>
      </c>
      <c r="N88" s="23">
        <v>0</v>
      </c>
      <c r="O88" s="44">
        <v>0</v>
      </c>
      <c r="P88" s="26">
        <f t="shared" si="35"/>
        <v>48438000</v>
      </c>
      <c r="Q88" s="26">
        <v>10438000</v>
      </c>
      <c r="R88" s="33">
        <f t="shared" si="36"/>
        <v>0.21549196911515753</v>
      </c>
      <c r="S88" s="96"/>
      <c r="T88" s="26">
        <f t="shared" si="19"/>
        <v>38000000</v>
      </c>
      <c r="U88" s="46">
        <f t="shared" si="2"/>
        <v>97.435897435897431</v>
      </c>
      <c r="V88" s="16">
        <f>U88*120000/95</f>
        <v>123076.92307692308</v>
      </c>
      <c r="W88" s="21">
        <f t="shared" si="37"/>
        <v>1107692.3076923077</v>
      </c>
      <c r="X88" s="178"/>
      <c r="Y88" s="246"/>
    </row>
    <row r="89" spans="1:25" ht="12.5">
      <c r="A89" s="222"/>
      <c r="B89" s="247"/>
      <c r="C89" s="224"/>
      <c r="D89" s="227"/>
      <c r="E89" s="227"/>
      <c r="F89" s="243"/>
      <c r="G89" s="244"/>
      <c r="H89" s="244"/>
      <c r="I89" s="26" t="s">
        <v>122</v>
      </c>
      <c r="J89" s="26">
        <v>15</v>
      </c>
      <c r="K89" s="26">
        <v>56900000</v>
      </c>
      <c r="L89" s="26">
        <v>71522000</v>
      </c>
      <c r="M89" s="26">
        <v>71276000</v>
      </c>
      <c r="N89" s="26">
        <v>0</v>
      </c>
      <c r="O89" s="44">
        <v>0</v>
      </c>
      <c r="P89" s="26">
        <f t="shared" si="35"/>
        <v>71276000</v>
      </c>
      <c r="Q89" s="26">
        <v>17722000</v>
      </c>
      <c r="R89" s="33">
        <f t="shared" si="36"/>
        <v>0.247783898660552</v>
      </c>
      <c r="S89" s="97"/>
      <c r="T89" s="26">
        <f t="shared" si="19"/>
        <v>53614954.839070499</v>
      </c>
      <c r="U89" s="46">
        <f t="shared" si="2"/>
        <v>94.226634163568534</v>
      </c>
      <c r="V89" s="16">
        <f>U89*119000/95</f>
        <v>118031.25753120689</v>
      </c>
      <c r="W89" s="15">
        <f t="shared" si="37"/>
        <v>1770468.8629681035</v>
      </c>
      <c r="X89" s="178"/>
      <c r="Y89" s="246"/>
    </row>
    <row r="90" spans="1:25" s="37" customFormat="1" ht="12.5">
      <c r="A90" s="222"/>
      <c r="B90" s="247"/>
      <c r="C90" s="224"/>
      <c r="D90" s="227"/>
      <c r="E90" s="227"/>
      <c r="F90" s="243"/>
      <c r="G90" s="244"/>
      <c r="H90" s="244"/>
      <c r="I90" s="26" t="s">
        <v>123</v>
      </c>
      <c r="J90" s="26">
        <v>7</v>
      </c>
      <c r="K90" s="26">
        <v>19000000</v>
      </c>
      <c r="L90" s="30">
        <v>23666000</v>
      </c>
      <c r="M90" s="30">
        <v>20480000</v>
      </c>
      <c r="N90" s="30">
        <v>0</v>
      </c>
      <c r="O90" s="32">
        <v>0</v>
      </c>
      <c r="P90" s="30">
        <f t="shared" si="35"/>
        <v>20480000</v>
      </c>
      <c r="Q90" s="30">
        <v>5066000</v>
      </c>
      <c r="R90" s="33">
        <f t="shared" si="36"/>
        <v>0.21406236795402686</v>
      </c>
      <c r="S90" s="98">
        <v>2003225.8064516129</v>
      </c>
      <c r="T90" s="30">
        <f t="shared" si="19"/>
        <v>18099228.51075314</v>
      </c>
      <c r="U90" s="34">
        <f t="shared" si="2"/>
        <v>95.25909742501652</v>
      </c>
      <c r="V90" s="16">
        <f>U90*120000/95</f>
        <v>120327.28095791562</v>
      </c>
      <c r="W90" s="16">
        <f t="shared" si="37"/>
        <v>842290.96670540934</v>
      </c>
      <c r="X90" s="263"/>
      <c r="Y90" s="246"/>
    </row>
    <row r="91" spans="1:25" s="37" customFormat="1" ht="15.5">
      <c r="A91" s="222"/>
      <c r="B91" s="247"/>
      <c r="C91" s="224"/>
      <c r="D91" s="227"/>
      <c r="E91" s="227"/>
      <c r="F91" s="243"/>
      <c r="G91" s="244"/>
      <c r="H91" s="244"/>
      <c r="I91" s="26" t="s">
        <v>124</v>
      </c>
      <c r="J91" s="26">
        <v>9</v>
      </c>
      <c r="K91" s="32">
        <v>40500000</v>
      </c>
      <c r="L91" s="26">
        <v>45178500</v>
      </c>
      <c r="M91" s="26">
        <v>45178500</v>
      </c>
      <c r="N91" s="26">
        <v>0</v>
      </c>
      <c r="O91" s="26">
        <v>0</v>
      </c>
      <c r="P91" s="30">
        <f t="shared" si="35"/>
        <v>45178500</v>
      </c>
      <c r="Q91" s="26">
        <v>9478500</v>
      </c>
      <c r="R91" s="33">
        <f t="shared" si="36"/>
        <v>0.20980112221521299</v>
      </c>
      <c r="S91" s="99"/>
      <c r="T91" s="30">
        <f t="shared" si="19"/>
        <v>35700000</v>
      </c>
      <c r="U91" s="34">
        <f t="shared" si="2"/>
        <v>88.148148148148152</v>
      </c>
      <c r="V91" s="63">
        <f>U91*109000/90</f>
        <v>106757.20164609054</v>
      </c>
      <c r="W91" s="16">
        <f t="shared" si="37"/>
        <v>960814.81481481483</v>
      </c>
      <c r="X91" s="263"/>
      <c r="Y91" s="246"/>
    </row>
    <row r="92" spans="1:25" ht="12.5">
      <c r="A92" s="222"/>
      <c r="B92" s="247"/>
      <c r="C92" s="224"/>
      <c r="D92" s="227"/>
      <c r="E92" s="227"/>
      <c r="F92" s="243"/>
      <c r="G92" s="244"/>
      <c r="H92" s="244"/>
      <c r="I92" s="26" t="s">
        <v>126</v>
      </c>
      <c r="J92" s="37">
        <v>15</v>
      </c>
      <c r="K92" s="25">
        <v>67300000</v>
      </c>
      <c r="L92" s="66">
        <v>90116000</v>
      </c>
      <c r="M92" s="66">
        <v>90116000</v>
      </c>
      <c r="N92" s="66">
        <v>0</v>
      </c>
      <c r="O92" s="66">
        <v>0</v>
      </c>
      <c r="P92" s="26">
        <f t="shared" si="35"/>
        <v>90116000</v>
      </c>
      <c r="Q92" s="66">
        <v>22316000</v>
      </c>
      <c r="R92" s="45">
        <f t="shared" si="36"/>
        <v>0.24763637977717609</v>
      </c>
      <c r="S92" s="97"/>
      <c r="T92" s="26">
        <f t="shared" si="19"/>
        <v>67800000</v>
      </c>
      <c r="U92" s="46">
        <f t="shared" si="2"/>
        <v>100.74294205052006</v>
      </c>
      <c r="V92" s="16">
        <f>U92*130000/100</f>
        <v>130965.82466567607</v>
      </c>
      <c r="W92" s="16">
        <f t="shared" si="37"/>
        <v>1964487.3699851411</v>
      </c>
      <c r="X92" s="263"/>
      <c r="Y92" s="246"/>
    </row>
    <row r="93" spans="1:25" ht="12.5">
      <c r="A93" s="222"/>
      <c r="B93" s="247"/>
      <c r="C93" s="224"/>
      <c r="D93" s="227"/>
      <c r="E93" s="227"/>
      <c r="F93" s="243"/>
      <c r="G93" s="244"/>
      <c r="H93" s="244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263"/>
      <c r="Y93" s="246"/>
    </row>
    <row r="94" spans="1:25" ht="13">
      <c r="A94" s="179"/>
      <c r="B94" s="180"/>
      <c r="C94" s="258"/>
      <c r="D94" s="227"/>
      <c r="E94" s="262"/>
      <c r="F94" s="243"/>
      <c r="G94" s="244"/>
      <c r="H94" s="244"/>
      <c r="I94" s="59">
        <v>12</v>
      </c>
      <c r="J94" s="52">
        <f t="shared" ref="J94:Q94" si="38">SUM(J81:J93)</f>
        <v>173</v>
      </c>
      <c r="K94" s="52">
        <f t="shared" si="38"/>
        <v>678100000</v>
      </c>
      <c r="L94" s="52">
        <f t="shared" si="38"/>
        <v>821703900</v>
      </c>
      <c r="M94" s="52">
        <f t="shared" si="38"/>
        <v>762791900</v>
      </c>
      <c r="N94" s="52">
        <f t="shared" si="38"/>
        <v>34187400</v>
      </c>
      <c r="O94" s="52">
        <f t="shared" si="38"/>
        <v>2741200</v>
      </c>
      <c r="P94" s="52">
        <f t="shared" si="38"/>
        <v>799720500</v>
      </c>
      <c r="Q94" s="52">
        <f t="shared" si="38"/>
        <v>189989900</v>
      </c>
      <c r="R94" s="61"/>
      <c r="S94" s="52">
        <f>SUM(S81:S92)</f>
        <v>10732258.161290327</v>
      </c>
      <c r="T94" s="52">
        <f>SUM(T81:T93)</f>
        <v>625098377.20808101</v>
      </c>
      <c r="U94" s="55">
        <f>(T94/K94)*100</f>
        <v>92.183804336835422</v>
      </c>
      <c r="V94" s="74"/>
      <c r="W94" s="52">
        <f>SUM(W81:W92)</f>
        <v>19695888.732562479</v>
      </c>
      <c r="X94" s="263"/>
      <c r="Y94" s="246"/>
    </row>
    <row r="95" spans="1:25" ht="12.5">
      <c r="A95" s="251" t="s">
        <v>84</v>
      </c>
      <c r="B95" s="266" t="s">
        <v>128</v>
      </c>
      <c r="C95" s="263" t="s">
        <v>35</v>
      </c>
      <c r="D95" s="181"/>
      <c r="E95" s="181">
        <v>500000</v>
      </c>
      <c r="F95" s="181">
        <v>500000</v>
      </c>
      <c r="G95" s="181"/>
      <c r="H95" s="181"/>
      <c r="I95" s="26" t="s">
        <v>130</v>
      </c>
      <c r="J95" s="26">
        <v>8</v>
      </c>
      <c r="K95" s="26">
        <v>31100000</v>
      </c>
      <c r="L95" s="56">
        <f>29466000-3350000</f>
        <v>26116000</v>
      </c>
      <c r="M95" s="56">
        <f>24312000-3350000</f>
        <v>20962000</v>
      </c>
      <c r="N95" s="56">
        <v>4640400</v>
      </c>
      <c r="O95" s="56">
        <v>0</v>
      </c>
      <c r="P95" s="14">
        <f>SUM(M95:O95)</f>
        <v>25602400</v>
      </c>
      <c r="Q95" s="56">
        <v>5366000</v>
      </c>
      <c r="R95" s="45">
        <f t="shared" ref="R95:R106" si="39">Q95/L95</f>
        <v>0.2054679123908715</v>
      </c>
      <c r="S95" s="56">
        <v>5564516</v>
      </c>
      <c r="T95" s="26">
        <f>P95-(P95*R95)+S95</f>
        <v>25906444.319803953</v>
      </c>
      <c r="U95" s="46">
        <f>(T95/K95)*100</f>
        <v>83.300464050816572</v>
      </c>
      <c r="V95" s="12">
        <f>U95*94000/85</f>
        <v>92120.513185608914</v>
      </c>
      <c r="W95" s="21">
        <f>V95*J95</f>
        <v>736964.10548487131</v>
      </c>
      <c r="X95" s="181">
        <f>W108+D95+G95+F95+H95+E95</f>
        <v>20937994.020837333</v>
      </c>
      <c r="Y95" s="101"/>
    </row>
    <row r="96" spans="1:25" ht="12.5">
      <c r="A96" s="251"/>
      <c r="B96" s="266"/>
      <c r="C96" s="182"/>
      <c r="D96" s="244"/>
      <c r="E96" s="244"/>
      <c r="F96" s="244"/>
      <c r="G96" s="244"/>
      <c r="H96" s="244"/>
      <c r="I96" s="26" t="s">
        <v>38</v>
      </c>
      <c r="J96" s="26">
        <v>6</v>
      </c>
      <c r="K96" s="26">
        <v>26100000</v>
      </c>
      <c r="L96" s="56">
        <v>28683200</v>
      </c>
      <c r="M96" s="56">
        <v>28683000</v>
      </c>
      <c r="N96" s="56">
        <v>0</v>
      </c>
      <c r="O96" s="56">
        <v>0</v>
      </c>
      <c r="P96" s="14">
        <f t="shared" ref="P96:P97" si="40">SUM(M96:O96)</f>
        <v>28683000</v>
      </c>
      <c r="Q96" s="56">
        <v>5367400</v>
      </c>
      <c r="R96" s="45">
        <f t="shared" si="39"/>
        <v>0.18712695933508117</v>
      </c>
      <c r="S96" s="56"/>
      <c r="T96" s="26">
        <f t="shared" ref="T96:T106" si="41">P96-(P96*R96)+S96</f>
        <v>23315637.425391868</v>
      </c>
      <c r="U96" s="46">
        <f t="shared" ref="U96:U97" si="42">(T96/K96)*100</f>
        <v>89.331944158589522</v>
      </c>
      <c r="V96" s="12">
        <f>U96*109000/90</f>
        <v>108190.91014762508</v>
      </c>
      <c r="W96" s="21">
        <f t="shared" ref="W96:W106" si="43">V96*J96</f>
        <v>649145.46088575048</v>
      </c>
      <c r="X96" s="244"/>
      <c r="Y96" s="101"/>
    </row>
    <row r="97" spans="1:25" ht="12.5">
      <c r="A97" s="251"/>
      <c r="B97" s="266"/>
      <c r="C97" s="182"/>
      <c r="D97" s="244"/>
      <c r="E97" s="244"/>
      <c r="F97" s="244"/>
      <c r="G97" s="244"/>
      <c r="H97" s="244"/>
      <c r="I97" s="26" t="s">
        <v>39</v>
      </c>
      <c r="J97" s="26">
        <v>13</v>
      </c>
      <c r="K97" s="26">
        <v>48000000</v>
      </c>
      <c r="L97" s="56">
        <v>58462000</v>
      </c>
      <c r="M97" s="56">
        <v>58462000</v>
      </c>
      <c r="N97" s="56">
        <v>0</v>
      </c>
      <c r="O97" s="56">
        <v>0</v>
      </c>
      <c r="P97" s="14">
        <f t="shared" si="40"/>
        <v>58462000</v>
      </c>
      <c r="Q97" s="56">
        <v>12062000</v>
      </c>
      <c r="R97" s="45">
        <f t="shared" si="39"/>
        <v>0.20632205535219458</v>
      </c>
      <c r="S97" s="56"/>
      <c r="T97" s="26">
        <f t="shared" si="41"/>
        <v>46400000</v>
      </c>
      <c r="U97" s="46">
        <f t="shared" si="42"/>
        <v>96.666666666666671</v>
      </c>
      <c r="V97" s="12">
        <f>U97*120000/95</f>
        <v>122105.26315789473</v>
      </c>
      <c r="W97" s="21">
        <f t="shared" si="43"/>
        <v>1587368.4210526315</v>
      </c>
      <c r="X97" s="244"/>
      <c r="Y97" s="101"/>
    </row>
    <row r="98" spans="1:25" ht="12.5">
      <c r="A98" s="251"/>
      <c r="B98" s="266"/>
      <c r="C98" s="182"/>
      <c r="D98" s="244"/>
      <c r="E98" s="244"/>
      <c r="F98" s="244"/>
      <c r="G98" s="244"/>
      <c r="H98" s="244"/>
      <c r="I98" s="26" t="s">
        <v>131</v>
      </c>
      <c r="J98" s="26">
        <v>6</v>
      </c>
      <c r="K98" s="26">
        <v>37500000</v>
      </c>
      <c r="L98" s="56">
        <v>41478000</v>
      </c>
      <c r="M98" s="56">
        <v>41478000</v>
      </c>
      <c r="N98" s="56">
        <v>0</v>
      </c>
      <c r="O98" s="56">
        <v>0</v>
      </c>
      <c r="P98" s="14">
        <f>SUM(M98:O98)</f>
        <v>41478000</v>
      </c>
      <c r="Q98" s="56">
        <v>6478000</v>
      </c>
      <c r="R98" s="45">
        <f t="shared" si="39"/>
        <v>0.15617917932397898</v>
      </c>
      <c r="S98" s="56"/>
      <c r="T98" s="26">
        <f t="shared" si="41"/>
        <v>35000000</v>
      </c>
      <c r="U98" s="46">
        <f>(T98/K98)*100</f>
        <v>93.333333333333329</v>
      </c>
      <c r="V98" s="12">
        <f>U98*119000/95</f>
        <v>116912.28070175438</v>
      </c>
      <c r="W98" s="21">
        <f t="shared" si="43"/>
        <v>701473.68421052629</v>
      </c>
      <c r="X98" s="244"/>
      <c r="Y98" s="101"/>
    </row>
    <row r="99" spans="1:25" ht="12.5">
      <c r="A99" s="251"/>
      <c r="B99" s="266"/>
      <c r="C99" s="182"/>
      <c r="D99" s="244"/>
      <c r="E99" s="244"/>
      <c r="F99" s="244"/>
      <c r="G99" s="244"/>
      <c r="H99" s="244"/>
      <c r="I99" s="30" t="s">
        <v>132</v>
      </c>
      <c r="J99" s="30">
        <v>17</v>
      </c>
      <c r="K99" s="32">
        <v>55200000</v>
      </c>
      <c r="L99" s="56">
        <v>63349000</v>
      </c>
      <c r="M99" s="56">
        <v>51343000</v>
      </c>
      <c r="N99" s="56">
        <v>5491800</v>
      </c>
      <c r="O99" s="56">
        <v>442400</v>
      </c>
      <c r="P99" s="14">
        <f>SUM(M99:O99)</f>
        <v>57277200</v>
      </c>
      <c r="Q99" s="56">
        <v>15485000</v>
      </c>
      <c r="R99" s="45">
        <f t="shared" si="39"/>
        <v>0.24443953337858529</v>
      </c>
      <c r="S99" s="56">
        <f>3200000+1500000+1122581+1000000</f>
        <v>6822581</v>
      </c>
      <c r="T99" s="26">
        <f t="shared" si="41"/>
        <v>50098968.958768092</v>
      </c>
      <c r="U99" s="46">
        <f>(T99/K99)*100</f>
        <v>90.759001736898711</v>
      </c>
      <c r="V99" s="12">
        <f>U99*110000/90</f>
        <v>110927.66878954286</v>
      </c>
      <c r="W99" s="21">
        <f t="shared" si="43"/>
        <v>1885770.3694222285</v>
      </c>
      <c r="X99" s="244"/>
      <c r="Y99" s="101"/>
    </row>
    <row r="100" spans="1:25" ht="12.5">
      <c r="A100" s="251"/>
      <c r="B100" s="266"/>
      <c r="C100" s="182"/>
      <c r="D100" s="244"/>
      <c r="E100" s="244"/>
      <c r="F100" s="244"/>
      <c r="G100" s="244"/>
      <c r="H100" s="244"/>
      <c r="I100" s="26" t="s">
        <v>40</v>
      </c>
      <c r="J100" s="26">
        <v>10</v>
      </c>
      <c r="K100" s="26">
        <v>40000000</v>
      </c>
      <c r="L100" s="56">
        <v>52895000</v>
      </c>
      <c r="M100" s="56">
        <v>52895000</v>
      </c>
      <c r="N100" s="56">
        <v>0</v>
      </c>
      <c r="O100" s="56">
        <v>0</v>
      </c>
      <c r="P100" s="14">
        <f t="shared" ref="P100:P101" si="44">SUM(M100:O100)</f>
        <v>52895000</v>
      </c>
      <c r="Q100" s="56">
        <v>13295000</v>
      </c>
      <c r="R100" s="45">
        <f t="shared" si="39"/>
        <v>0.25134700822383971</v>
      </c>
      <c r="S100" s="56"/>
      <c r="T100" s="26">
        <f t="shared" si="41"/>
        <v>39600000</v>
      </c>
      <c r="U100" s="46">
        <f t="shared" ref="U100:U102" si="45">(T100/K100)*100</f>
        <v>99</v>
      </c>
      <c r="V100" s="12">
        <f>U100*130000/100</f>
        <v>128700</v>
      </c>
      <c r="W100" s="21">
        <f t="shared" si="43"/>
        <v>1287000</v>
      </c>
      <c r="X100" s="244"/>
      <c r="Y100" s="101"/>
    </row>
    <row r="101" spans="1:25" ht="12.5">
      <c r="A101" s="251"/>
      <c r="B101" s="266"/>
      <c r="C101" s="182"/>
      <c r="D101" s="244"/>
      <c r="E101" s="244"/>
      <c r="F101" s="244"/>
      <c r="G101" s="244"/>
      <c r="H101" s="244"/>
      <c r="I101" s="26" t="s">
        <v>71</v>
      </c>
      <c r="J101" s="26">
        <v>12</v>
      </c>
      <c r="K101" s="26">
        <v>57600000</v>
      </c>
      <c r="L101" s="56">
        <v>69525800</v>
      </c>
      <c r="M101" s="56">
        <v>69536000</v>
      </c>
      <c r="N101" s="56">
        <v>0</v>
      </c>
      <c r="O101" s="56">
        <v>0</v>
      </c>
      <c r="P101" s="14">
        <f t="shared" si="44"/>
        <v>69536000</v>
      </c>
      <c r="Q101" s="56">
        <v>15525800</v>
      </c>
      <c r="R101" s="45">
        <f t="shared" si="39"/>
        <v>0.22330990797660724</v>
      </c>
      <c r="S101" s="56"/>
      <c r="T101" s="26">
        <f t="shared" si="41"/>
        <v>54007922.238938637</v>
      </c>
      <c r="U101" s="46">
        <f t="shared" si="45"/>
        <v>93.763753887046235</v>
      </c>
      <c r="V101" s="12">
        <f>U101*119000/95</f>
        <v>117451.43907956318</v>
      </c>
      <c r="W101" s="21">
        <f t="shared" si="43"/>
        <v>1409417.2689547581</v>
      </c>
      <c r="X101" s="244"/>
      <c r="Y101" s="101"/>
    </row>
    <row r="102" spans="1:25" ht="12.5">
      <c r="A102" s="251"/>
      <c r="B102" s="266"/>
      <c r="C102" s="182"/>
      <c r="D102" s="244"/>
      <c r="E102" s="244"/>
      <c r="F102" s="244"/>
      <c r="G102" s="244"/>
      <c r="H102" s="244"/>
      <c r="I102" s="26" t="s">
        <v>133</v>
      </c>
      <c r="J102" s="83">
        <v>18</v>
      </c>
      <c r="K102" s="56">
        <v>64200000</v>
      </c>
      <c r="L102" s="56">
        <f>80616600-3100000</f>
        <v>77516600</v>
      </c>
      <c r="M102" s="56">
        <f>80616000-3100000</f>
        <v>77516000</v>
      </c>
      <c r="N102" s="56">
        <v>0</v>
      </c>
      <c r="O102" s="56">
        <v>0</v>
      </c>
      <c r="P102" s="14">
        <f>SUM(M102:O102)</f>
        <v>77516000</v>
      </c>
      <c r="Q102" s="56">
        <v>16766600</v>
      </c>
      <c r="R102" s="45">
        <f t="shared" si="39"/>
        <v>0.21629689640670516</v>
      </c>
      <c r="S102" s="56"/>
      <c r="T102" s="26">
        <f t="shared" si="41"/>
        <v>60749529.77813784</v>
      </c>
      <c r="U102" s="46">
        <f t="shared" si="45"/>
        <v>94.625435791491967</v>
      </c>
      <c r="V102" s="12">
        <f>U102*119000/95</f>
        <v>118530.8090440794</v>
      </c>
      <c r="W102" s="21">
        <f t="shared" si="43"/>
        <v>2133554.5627934295</v>
      </c>
      <c r="X102" s="244"/>
      <c r="Y102" s="101"/>
    </row>
    <row r="103" spans="1:25" ht="12.5">
      <c r="A103" s="251"/>
      <c r="B103" s="266"/>
      <c r="C103" s="182"/>
      <c r="D103" s="244"/>
      <c r="E103" s="244"/>
      <c r="F103" s="244"/>
      <c r="G103" s="244"/>
      <c r="H103" s="244"/>
      <c r="I103" s="26" t="s">
        <v>134</v>
      </c>
      <c r="J103" s="83">
        <v>10</v>
      </c>
      <c r="K103" s="56">
        <v>35200000</v>
      </c>
      <c r="L103" s="56">
        <v>44228000</v>
      </c>
      <c r="M103" s="102">
        <v>39708000</v>
      </c>
      <c r="N103" s="56">
        <v>4050000</v>
      </c>
      <c r="O103" s="56">
        <v>0</v>
      </c>
      <c r="P103" s="14">
        <f t="shared" ref="P103:P106" si="46">SUM(M103:O103)</f>
        <v>43758000</v>
      </c>
      <c r="Q103" s="56">
        <v>9128000</v>
      </c>
      <c r="R103" s="45">
        <f t="shared" si="39"/>
        <v>0.20638509541466943</v>
      </c>
      <c r="S103" s="56"/>
      <c r="T103" s="26">
        <f t="shared" si="41"/>
        <v>34727000.994844899</v>
      </c>
      <c r="U103" s="46">
        <f>(T103/K103)*100</f>
        <v>98.656252826263909</v>
      </c>
      <c r="V103" s="12">
        <f>U103*130000/100</f>
        <v>128253.12867414308</v>
      </c>
      <c r="W103" s="21">
        <f t="shared" si="43"/>
        <v>1282531.2867414309</v>
      </c>
      <c r="X103" s="244"/>
      <c r="Y103" s="101"/>
    </row>
    <row r="104" spans="1:25" ht="13">
      <c r="A104" s="251"/>
      <c r="B104" s="266"/>
      <c r="C104" s="182"/>
      <c r="D104" s="244"/>
      <c r="E104" s="244"/>
      <c r="F104" s="244"/>
      <c r="G104" s="244"/>
      <c r="H104" s="244"/>
      <c r="I104" s="26" t="s">
        <v>135</v>
      </c>
      <c r="J104" s="56">
        <v>26</v>
      </c>
      <c r="K104" s="56">
        <v>140500000</v>
      </c>
      <c r="L104" s="56">
        <v>166209000</v>
      </c>
      <c r="M104" s="56">
        <v>166211000</v>
      </c>
      <c r="N104" s="56">
        <v>0</v>
      </c>
      <c r="O104" s="56">
        <v>0</v>
      </c>
      <c r="P104" s="14">
        <f t="shared" si="46"/>
        <v>166211000</v>
      </c>
      <c r="Q104" s="56">
        <v>29809000</v>
      </c>
      <c r="R104" s="45">
        <f t="shared" si="39"/>
        <v>0.17934648544904308</v>
      </c>
      <c r="S104" s="72"/>
      <c r="T104" s="26">
        <f t="shared" si="41"/>
        <v>136401641.3070291</v>
      </c>
      <c r="U104" s="46">
        <f>(T104/K104)*100</f>
        <v>97.083018723864129</v>
      </c>
      <c r="V104" s="12">
        <f>U104*120000/95</f>
        <v>122631.18154593364</v>
      </c>
      <c r="W104" s="21">
        <f t="shared" si="43"/>
        <v>3188410.7201942746</v>
      </c>
      <c r="X104" s="244"/>
      <c r="Y104" s="101"/>
    </row>
    <row r="105" spans="1:25" ht="13">
      <c r="A105" s="251"/>
      <c r="B105" s="266"/>
      <c r="C105" s="182"/>
      <c r="D105" s="244"/>
      <c r="E105" s="244"/>
      <c r="F105" s="244"/>
      <c r="G105" s="244"/>
      <c r="H105" s="244"/>
      <c r="I105" s="26" t="s">
        <v>136</v>
      </c>
      <c r="J105" s="56">
        <v>18</v>
      </c>
      <c r="K105" s="56">
        <v>74900000</v>
      </c>
      <c r="L105" s="56">
        <f>96577000-4000000</f>
        <v>92577000</v>
      </c>
      <c r="M105" s="56">
        <f>93077000-4000000</f>
        <v>89077000</v>
      </c>
      <c r="N105" s="56">
        <v>0</v>
      </c>
      <c r="O105" s="56">
        <v>0</v>
      </c>
      <c r="P105" s="14">
        <f t="shared" si="46"/>
        <v>89077000</v>
      </c>
      <c r="Q105" s="72">
        <v>18877000</v>
      </c>
      <c r="R105" s="45">
        <f t="shared" si="39"/>
        <v>0.20390593775991878</v>
      </c>
      <c r="S105" s="56">
        <v>1083870.9677419355</v>
      </c>
      <c r="T105" s="26">
        <f t="shared" si="41"/>
        <v>71997541.749901652</v>
      </c>
      <c r="U105" s="46">
        <f>(T105/K105)*100</f>
        <v>96.124888851671102</v>
      </c>
      <c r="V105" s="12">
        <f>U105*120000/95</f>
        <v>121420.91223368981</v>
      </c>
      <c r="W105" s="21">
        <f t="shared" si="43"/>
        <v>2185576.4202064169</v>
      </c>
      <c r="X105" s="244"/>
      <c r="Y105" s="101"/>
    </row>
    <row r="106" spans="1:25" ht="13">
      <c r="A106" s="251"/>
      <c r="B106" s="266"/>
      <c r="C106" s="182"/>
      <c r="D106" s="244"/>
      <c r="E106" s="244"/>
      <c r="F106" s="244"/>
      <c r="G106" s="244"/>
      <c r="H106" s="244"/>
      <c r="I106" s="30" t="s">
        <v>137</v>
      </c>
      <c r="J106" s="77">
        <v>27</v>
      </c>
      <c r="K106" s="77">
        <v>121000000</v>
      </c>
      <c r="L106" s="77">
        <f>139419000-2000000</f>
        <v>137419000</v>
      </c>
      <c r="M106" s="77">
        <f>104865000-2000000</f>
        <v>102865000</v>
      </c>
      <c r="N106" s="77">
        <v>25048800</v>
      </c>
      <c r="O106" s="77">
        <v>0</v>
      </c>
      <c r="P106" s="23">
        <f t="shared" si="46"/>
        <v>127913800</v>
      </c>
      <c r="Q106" s="115">
        <v>30494000</v>
      </c>
      <c r="R106" s="33">
        <f t="shared" si="39"/>
        <v>0.22190526783050379</v>
      </c>
      <c r="S106" s="77">
        <f>2116129.03225806+1322581+4000000</f>
        <v>7438710.0322580598</v>
      </c>
      <c r="T106" s="30">
        <f t="shared" si="41"/>
        <v>106967763.98404056</v>
      </c>
      <c r="U106" s="34">
        <f>(T106/K106)*100</f>
        <v>88.403110730612028</v>
      </c>
      <c r="V106" s="12">
        <f>U106*109000/90</f>
        <v>107065.98966263013</v>
      </c>
      <c r="W106" s="21">
        <f t="shared" si="43"/>
        <v>2890781.7208910137</v>
      </c>
      <c r="X106" s="244"/>
      <c r="Y106" s="101"/>
    </row>
    <row r="107" spans="1:25" ht="12.5">
      <c r="A107" s="251"/>
      <c r="B107" s="266"/>
      <c r="C107" s="260"/>
      <c r="D107" s="244"/>
      <c r="E107" s="244"/>
      <c r="F107" s="244"/>
      <c r="G107" s="244"/>
      <c r="H107" s="244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16"/>
      <c r="Y107" s="101"/>
    </row>
    <row r="108" spans="1:25" ht="13">
      <c r="A108" s="179"/>
      <c r="B108" s="180"/>
      <c r="C108" s="261"/>
      <c r="D108" s="245"/>
      <c r="E108" s="245"/>
      <c r="F108" s="245"/>
      <c r="G108" s="245"/>
      <c r="H108" s="245"/>
      <c r="I108" s="59">
        <v>12</v>
      </c>
      <c r="J108" s="52">
        <f>SUM(J95:J106)</f>
        <v>171</v>
      </c>
      <c r="K108" s="52">
        <f t="shared" ref="K108:Q108" si="47">SUM(K95:K106)</f>
        <v>731300000</v>
      </c>
      <c r="L108" s="52">
        <f t="shared" si="47"/>
        <v>858458600</v>
      </c>
      <c r="M108" s="52">
        <f>SUM(M95:M106)</f>
        <v>798736000</v>
      </c>
      <c r="N108" s="52">
        <f t="shared" si="47"/>
        <v>39231000</v>
      </c>
      <c r="O108" s="52">
        <f t="shared" si="47"/>
        <v>442400</v>
      </c>
      <c r="P108" s="52">
        <f t="shared" si="47"/>
        <v>838409400</v>
      </c>
      <c r="Q108" s="52">
        <f t="shared" si="47"/>
        <v>178653800</v>
      </c>
      <c r="R108" s="61"/>
      <c r="S108" s="52">
        <f>SUM(S95:S106)</f>
        <v>20909677.999999996</v>
      </c>
      <c r="T108" s="52">
        <f>SUM(T95:T106)</f>
        <v>685172450.75685668</v>
      </c>
      <c r="U108" s="55">
        <f>(T108/K108)*100</f>
        <v>93.692390367408279</v>
      </c>
      <c r="V108" s="74"/>
      <c r="W108" s="52">
        <f>SUM(W95:W106)</f>
        <v>19937994.020837333</v>
      </c>
      <c r="X108" s="24"/>
      <c r="Y108" s="101"/>
    </row>
    <row r="109" spans="1:25" ht="13" customHeight="1">
      <c r="A109" s="222" t="s">
        <v>97</v>
      </c>
      <c r="B109" s="247" t="s">
        <v>139</v>
      </c>
      <c r="C109" s="223" t="s">
        <v>35</v>
      </c>
      <c r="D109" s="226"/>
      <c r="E109" s="227">
        <v>500000</v>
      </c>
      <c r="F109" s="243">
        <v>500000</v>
      </c>
      <c r="G109" s="181"/>
      <c r="H109" s="181"/>
      <c r="I109" s="26" t="s">
        <v>140</v>
      </c>
      <c r="J109" s="26">
        <v>9</v>
      </c>
      <c r="K109" s="26">
        <v>29000000</v>
      </c>
      <c r="L109" s="103">
        <v>35734000</v>
      </c>
      <c r="M109" s="103">
        <v>35734000</v>
      </c>
      <c r="N109" s="103">
        <v>0</v>
      </c>
      <c r="O109" s="103">
        <v>0</v>
      </c>
      <c r="P109" s="26">
        <f>SUM(M109:O109)</f>
        <v>35734000</v>
      </c>
      <c r="Q109" s="103">
        <v>7434000</v>
      </c>
      <c r="R109" s="45">
        <f>Q109/L109</f>
        <v>0.20803716348575585</v>
      </c>
      <c r="S109" s="103"/>
      <c r="T109" s="26">
        <f>P109-(P109*R109)+S109</f>
        <v>28300000</v>
      </c>
      <c r="U109" s="46">
        <f t="shared" ref="U109:U119" si="48">(T109/K109)*100</f>
        <v>97.586206896551715</v>
      </c>
      <c r="V109" s="12">
        <f>U109*120000/100</f>
        <v>117103.44827586206</v>
      </c>
      <c r="W109" s="58">
        <f>V109*J109</f>
        <v>1053931.0344827585</v>
      </c>
      <c r="X109" s="181">
        <f>D109+F109+G109+H109+W120+E109</f>
        <v>14047313.610673359</v>
      </c>
      <c r="Y109" s="101"/>
    </row>
    <row r="110" spans="1:25" ht="13" customHeight="1">
      <c r="A110" s="222"/>
      <c r="B110" s="247"/>
      <c r="C110" s="224"/>
      <c r="D110" s="227"/>
      <c r="E110" s="227"/>
      <c r="F110" s="243"/>
      <c r="G110" s="244"/>
      <c r="H110" s="244"/>
      <c r="I110" s="26" t="s">
        <v>141</v>
      </c>
      <c r="J110" s="26">
        <v>8</v>
      </c>
      <c r="K110" s="26">
        <v>30600000</v>
      </c>
      <c r="L110" s="103">
        <v>36674000</v>
      </c>
      <c r="M110" s="103">
        <v>32822000</v>
      </c>
      <c r="N110" s="103">
        <v>3466800</v>
      </c>
      <c r="O110" s="103">
        <v>0</v>
      </c>
      <c r="P110" s="26">
        <f t="shared" ref="P110:P119" si="49">SUM(M110:O110)</f>
        <v>36288800</v>
      </c>
      <c r="Q110" s="103">
        <v>7374000</v>
      </c>
      <c r="R110" s="45">
        <f t="shared" ref="R110:R119" si="50">Q110/L110</f>
        <v>0.20106887713366417</v>
      </c>
      <c r="S110" s="103"/>
      <c r="T110" s="26">
        <f t="shared" ref="T110:T119" si="51">P110-(P110*R110)+S110</f>
        <v>28992251.731471889</v>
      </c>
      <c r="U110" s="46">
        <f t="shared" si="48"/>
        <v>94.745920691084606</v>
      </c>
      <c r="V110" s="12">
        <f>U110*109000/95</f>
        <v>108708.47742450761</v>
      </c>
      <c r="W110" s="58">
        <f t="shared" ref="W110:W119" si="52">V110*J110</f>
        <v>869667.81939606089</v>
      </c>
      <c r="X110" s="244"/>
      <c r="Y110" s="101"/>
    </row>
    <row r="111" spans="1:25" ht="13" customHeight="1">
      <c r="A111" s="222"/>
      <c r="B111" s="247"/>
      <c r="C111" s="224"/>
      <c r="D111" s="227"/>
      <c r="E111" s="227"/>
      <c r="F111" s="243"/>
      <c r="G111" s="244"/>
      <c r="H111" s="244"/>
      <c r="I111" s="66" t="s">
        <v>142</v>
      </c>
      <c r="J111" s="66">
        <v>11</v>
      </c>
      <c r="K111" s="44">
        <v>37400000</v>
      </c>
      <c r="L111" s="103">
        <v>39926000</v>
      </c>
      <c r="M111" s="103">
        <v>32606000</v>
      </c>
      <c r="N111" s="103">
        <v>0</v>
      </c>
      <c r="O111" s="103">
        <v>0</v>
      </c>
      <c r="P111" s="26">
        <f t="shared" si="49"/>
        <v>32606000</v>
      </c>
      <c r="Q111" s="103">
        <v>11526000</v>
      </c>
      <c r="R111" s="45">
        <f t="shared" si="50"/>
        <v>0.28868406552121423</v>
      </c>
      <c r="S111" s="103">
        <v>1645161.2903225806</v>
      </c>
      <c r="T111" s="26">
        <f t="shared" si="51"/>
        <v>24838328.649937868</v>
      </c>
      <c r="U111" s="46">
        <f t="shared" si="48"/>
        <v>66.412643449031734</v>
      </c>
      <c r="V111" s="12"/>
      <c r="W111" s="58">
        <f>(120000*J111)*10%</f>
        <v>132000</v>
      </c>
      <c r="X111" s="244"/>
      <c r="Y111" s="101"/>
    </row>
    <row r="112" spans="1:25" ht="13" customHeight="1">
      <c r="A112" s="222"/>
      <c r="B112" s="247"/>
      <c r="C112" s="224"/>
      <c r="D112" s="227"/>
      <c r="E112" s="227"/>
      <c r="F112" s="243"/>
      <c r="G112" s="244"/>
      <c r="H112" s="244"/>
      <c r="I112" s="26" t="s">
        <v>143</v>
      </c>
      <c r="J112" s="26">
        <v>15</v>
      </c>
      <c r="K112" s="26">
        <v>56600000</v>
      </c>
      <c r="L112" s="103">
        <f>68982000+5000000</f>
        <v>73982000</v>
      </c>
      <c r="M112" s="103">
        <f>63726000+5000000</f>
        <v>68726000</v>
      </c>
      <c r="N112" s="103">
        <v>0</v>
      </c>
      <c r="O112" s="103">
        <v>0</v>
      </c>
      <c r="P112" s="26">
        <f t="shared" si="49"/>
        <v>68726000</v>
      </c>
      <c r="Q112" s="103">
        <v>18882000</v>
      </c>
      <c r="R112" s="45">
        <f t="shared" si="50"/>
        <v>0.25522424373496255</v>
      </c>
      <c r="S112" s="103"/>
      <c r="T112" s="26">
        <f t="shared" si="51"/>
        <v>51185458.625070959</v>
      </c>
      <c r="U112" s="46">
        <f t="shared" si="48"/>
        <v>90.433672482457524</v>
      </c>
      <c r="V112" s="12">
        <f>U112*100000/90</f>
        <v>100481.8583138417</v>
      </c>
      <c r="W112" s="58">
        <f t="shared" si="52"/>
        <v>1507227.8747076255</v>
      </c>
      <c r="X112" s="244"/>
      <c r="Y112" s="101"/>
    </row>
    <row r="113" spans="1:25" ht="13" customHeight="1">
      <c r="A113" s="222"/>
      <c r="B113" s="247"/>
      <c r="C113" s="224"/>
      <c r="D113" s="227"/>
      <c r="E113" s="227"/>
      <c r="F113" s="243"/>
      <c r="G113" s="244"/>
      <c r="H113" s="244"/>
      <c r="I113" s="26" t="s">
        <v>144</v>
      </c>
      <c r="J113" s="26">
        <v>17</v>
      </c>
      <c r="K113" s="26">
        <v>61600000</v>
      </c>
      <c r="L113" s="103">
        <v>68351500</v>
      </c>
      <c r="M113" s="103">
        <v>63383000</v>
      </c>
      <c r="N113" s="103">
        <v>0</v>
      </c>
      <c r="O113" s="103">
        <v>0</v>
      </c>
      <c r="P113" s="26">
        <f t="shared" si="49"/>
        <v>63383000</v>
      </c>
      <c r="Q113" s="103">
        <v>16851500</v>
      </c>
      <c r="R113" s="45">
        <f t="shared" si="50"/>
        <v>0.24654177304082572</v>
      </c>
      <c r="S113" s="103">
        <v>3800000</v>
      </c>
      <c r="T113" s="26">
        <f t="shared" si="51"/>
        <v>51556442.799353346</v>
      </c>
      <c r="U113" s="46">
        <f t="shared" si="48"/>
        <v>83.695524024924268</v>
      </c>
      <c r="V113" s="12">
        <f>U113*89000/85</f>
        <v>87634.13692021482</v>
      </c>
      <c r="W113" s="58">
        <f t="shared" si="52"/>
        <v>1489780.327643652</v>
      </c>
      <c r="X113" s="244"/>
      <c r="Y113" s="101"/>
    </row>
    <row r="114" spans="1:25" ht="13" customHeight="1">
      <c r="A114" s="222"/>
      <c r="B114" s="247"/>
      <c r="C114" s="224"/>
      <c r="D114" s="227"/>
      <c r="E114" s="227"/>
      <c r="F114" s="243"/>
      <c r="G114" s="244"/>
      <c r="H114" s="244"/>
      <c r="I114" s="26" t="s">
        <v>145</v>
      </c>
      <c r="J114" s="26">
        <v>18</v>
      </c>
      <c r="K114" s="44">
        <v>78800000</v>
      </c>
      <c r="L114" s="103">
        <f>91573000-4000000</f>
        <v>87573000</v>
      </c>
      <c r="M114" s="103">
        <f>82583000-4000000</f>
        <v>78583000</v>
      </c>
      <c r="N114" s="103">
        <v>0</v>
      </c>
      <c r="O114" s="103">
        <v>0</v>
      </c>
      <c r="P114" s="26">
        <f t="shared" si="49"/>
        <v>78583000</v>
      </c>
      <c r="Q114" s="103">
        <v>23373000</v>
      </c>
      <c r="R114" s="45">
        <f t="shared" si="50"/>
        <v>0.26689733136925764</v>
      </c>
      <c r="S114" s="103">
        <v>1974193.5483870967</v>
      </c>
      <c r="T114" s="26">
        <f t="shared" si="51"/>
        <v>59583600.557396725</v>
      </c>
      <c r="U114" s="46">
        <f t="shared" si="48"/>
        <v>75.613706291112592</v>
      </c>
      <c r="V114" s="12">
        <f>U114*70000/75</f>
        <v>70572.792538371752</v>
      </c>
      <c r="W114" s="58">
        <f t="shared" si="52"/>
        <v>1270310.2656906915</v>
      </c>
      <c r="X114" s="244"/>
      <c r="Y114" s="101"/>
    </row>
    <row r="115" spans="1:25" ht="13" customHeight="1">
      <c r="A115" s="222"/>
      <c r="B115" s="247"/>
      <c r="C115" s="224"/>
      <c r="D115" s="227"/>
      <c r="E115" s="227"/>
      <c r="F115" s="243"/>
      <c r="G115" s="244"/>
      <c r="H115" s="244"/>
      <c r="I115" s="26" t="s">
        <v>146</v>
      </c>
      <c r="J115" s="26">
        <v>13</v>
      </c>
      <c r="K115" s="44">
        <v>56700000</v>
      </c>
      <c r="L115" s="103">
        <f>69232000-4000000</f>
        <v>65232000</v>
      </c>
      <c r="M115" s="103">
        <f>65220000-4000000</f>
        <v>61220000</v>
      </c>
      <c r="N115" s="103">
        <v>3843000</v>
      </c>
      <c r="O115" s="103">
        <v>0</v>
      </c>
      <c r="P115" s="26">
        <f t="shared" si="49"/>
        <v>65063000</v>
      </c>
      <c r="Q115" s="103">
        <v>15732000</v>
      </c>
      <c r="R115" s="45">
        <f t="shared" si="50"/>
        <v>0.24116997792494482</v>
      </c>
      <c r="S115" s="103"/>
      <c r="T115" s="26">
        <f t="shared" si="51"/>
        <v>49371757.726269312</v>
      </c>
      <c r="U115" s="46">
        <f t="shared" si="48"/>
        <v>87.075410451974093</v>
      </c>
      <c r="V115" s="12">
        <f>U115*90000/86</f>
        <v>91125.429542763581</v>
      </c>
      <c r="W115" s="58">
        <f t="shared" si="52"/>
        <v>1184630.5840559267</v>
      </c>
      <c r="X115" s="244"/>
      <c r="Y115" s="101"/>
    </row>
    <row r="116" spans="1:25" ht="13" customHeight="1">
      <c r="A116" s="222"/>
      <c r="B116" s="247"/>
      <c r="C116" s="224"/>
      <c r="D116" s="227"/>
      <c r="E116" s="227"/>
      <c r="F116" s="243"/>
      <c r="G116" s="244"/>
      <c r="H116" s="244"/>
      <c r="I116" s="26" t="s">
        <v>147</v>
      </c>
      <c r="J116" s="26">
        <v>8</v>
      </c>
      <c r="K116" s="26">
        <v>34000000</v>
      </c>
      <c r="L116" s="103">
        <v>41352800</v>
      </c>
      <c r="M116" s="103">
        <v>41352400</v>
      </c>
      <c r="N116" s="103">
        <v>0</v>
      </c>
      <c r="O116" s="103">
        <v>0</v>
      </c>
      <c r="P116" s="26">
        <f t="shared" si="49"/>
        <v>41352400</v>
      </c>
      <c r="Q116" s="103">
        <v>9052800</v>
      </c>
      <c r="R116" s="45">
        <f>Q116/L116</f>
        <v>0.21891625234566947</v>
      </c>
      <c r="S116" s="103"/>
      <c r="T116" s="26">
        <f t="shared" si="51"/>
        <v>32299687.566500939</v>
      </c>
      <c r="U116" s="46">
        <f t="shared" si="48"/>
        <v>94.999081077943941</v>
      </c>
      <c r="V116" s="12">
        <f>U116*110000/95</f>
        <v>109998.93598498772</v>
      </c>
      <c r="W116" s="58">
        <f t="shared" si="52"/>
        <v>879991.48787990178</v>
      </c>
      <c r="X116" s="244"/>
      <c r="Y116" s="101"/>
    </row>
    <row r="117" spans="1:25" ht="13" customHeight="1">
      <c r="A117" s="222"/>
      <c r="B117" s="247"/>
      <c r="C117" s="224"/>
      <c r="D117" s="227"/>
      <c r="E117" s="227"/>
      <c r="F117" s="243"/>
      <c r="G117" s="244"/>
      <c r="H117" s="244"/>
      <c r="I117" s="36" t="s">
        <v>148</v>
      </c>
      <c r="J117" s="37">
        <v>9</v>
      </c>
      <c r="K117" s="26">
        <v>30900000</v>
      </c>
      <c r="L117" s="56">
        <v>40871500</v>
      </c>
      <c r="M117" s="72">
        <v>37604000</v>
      </c>
      <c r="N117" s="72">
        <v>2940750</v>
      </c>
      <c r="O117" s="72">
        <v>0</v>
      </c>
      <c r="P117" s="26">
        <f t="shared" si="49"/>
        <v>40544750</v>
      </c>
      <c r="Q117" s="72">
        <v>9471500</v>
      </c>
      <c r="R117" s="45">
        <f t="shared" si="50"/>
        <v>0.23173849748602326</v>
      </c>
      <c r="S117" s="56"/>
      <c r="T117" s="26">
        <f t="shared" si="51"/>
        <v>31148970.55405356</v>
      </c>
      <c r="U117" s="46">
        <f t="shared" si="48"/>
        <v>100.80572994839341</v>
      </c>
      <c r="V117" s="12">
        <f>U117*120000/100</f>
        <v>120966.87593807209</v>
      </c>
      <c r="W117" s="58">
        <f t="shared" si="52"/>
        <v>1088701.8834426487</v>
      </c>
      <c r="X117" s="244"/>
      <c r="Y117" s="101"/>
    </row>
    <row r="118" spans="1:25" ht="13" customHeight="1">
      <c r="A118" s="264"/>
      <c r="B118" s="265"/>
      <c r="C118" s="258"/>
      <c r="D118" s="227"/>
      <c r="E118" s="227"/>
      <c r="F118" s="243"/>
      <c r="G118" s="244"/>
      <c r="H118" s="244"/>
      <c r="I118" s="36" t="s">
        <v>189</v>
      </c>
      <c r="J118" s="37">
        <v>15</v>
      </c>
      <c r="K118" s="26">
        <v>61200000</v>
      </c>
      <c r="L118" s="56">
        <v>78322000</v>
      </c>
      <c r="M118" s="72">
        <v>78402000</v>
      </c>
      <c r="N118" s="72">
        <v>0</v>
      </c>
      <c r="O118" s="72">
        <v>0</v>
      </c>
      <c r="P118" s="26">
        <f t="shared" si="49"/>
        <v>78402000</v>
      </c>
      <c r="Q118" s="72">
        <v>22060000</v>
      </c>
      <c r="R118" s="45">
        <f t="shared" si="50"/>
        <v>0.28165777176272311</v>
      </c>
      <c r="S118" s="56"/>
      <c r="T118" s="26">
        <f t="shared" si="51"/>
        <v>56319467.378258988</v>
      </c>
      <c r="U118" s="46">
        <f t="shared" si="48"/>
        <v>92.025273493887241</v>
      </c>
      <c r="V118" s="12">
        <f>U118*100000/90</f>
        <v>102250.30388209694</v>
      </c>
      <c r="W118" s="58">
        <f t="shared" si="52"/>
        <v>1533754.5582314541</v>
      </c>
      <c r="X118" s="244"/>
      <c r="Y118" s="101"/>
    </row>
    <row r="119" spans="1:25" ht="13" customHeight="1">
      <c r="A119" s="264"/>
      <c r="B119" s="265"/>
      <c r="C119" s="258"/>
      <c r="D119" s="227"/>
      <c r="E119" s="227"/>
      <c r="F119" s="243"/>
      <c r="G119" s="244"/>
      <c r="H119" s="244"/>
      <c r="I119" s="36" t="s">
        <v>200</v>
      </c>
      <c r="J119" s="37">
        <v>23</v>
      </c>
      <c r="K119" s="26">
        <v>177000000</v>
      </c>
      <c r="L119" s="56">
        <f>188185806.451613+14500000-6500000</f>
        <v>196185806.45161301</v>
      </c>
      <c r="M119" s="72">
        <f>147257000+14500000-6500000</f>
        <v>155257000</v>
      </c>
      <c r="N119" s="72">
        <v>22822200</v>
      </c>
      <c r="O119" s="72">
        <v>0</v>
      </c>
      <c r="P119" s="26">
        <f t="shared" si="49"/>
        <v>178079200</v>
      </c>
      <c r="Q119" s="72">
        <v>34705161.290322579</v>
      </c>
      <c r="R119" s="45">
        <f t="shared" si="50"/>
        <v>0.17689945015916436</v>
      </c>
      <c r="S119" s="56">
        <f>3861290.32258065-700000</f>
        <v>3161290.32258065</v>
      </c>
      <c r="T119" s="26">
        <f t="shared" si="51"/>
        <v>149738377.75779676</v>
      </c>
      <c r="U119" s="46">
        <f t="shared" si="48"/>
        <v>84.597953535478396</v>
      </c>
      <c r="V119" s="12">
        <f>U119*89000/85</f>
        <v>88579.033701853856</v>
      </c>
      <c r="W119" s="58">
        <f t="shared" si="52"/>
        <v>2037317.7751426387</v>
      </c>
      <c r="X119" s="245"/>
      <c r="Y119" s="101"/>
    </row>
    <row r="120" spans="1:25" ht="13" customHeight="1">
      <c r="A120" s="179"/>
      <c r="B120" s="180"/>
      <c r="C120" s="225"/>
      <c r="D120" s="228"/>
      <c r="E120" s="227"/>
      <c r="F120" s="243"/>
      <c r="G120" s="245"/>
      <c r="H120" s="245"/>
      <c r="I120" s="51">
        <v>11</v>
      </c>
      <c r="J120" s="52">
        <f>SUM(J109:J119)</f>
        <v>146</v>
      </c>
      <c r="K120" s="52">
        <f>SUM(K109:K119)</f>
        <v>653800000</v>
      </c>
      <c r="L120" s="52">
        <f>SUM(L109:L119)</f>
        <v>764204606.45161295</v>
      </c>
      <c r="M120" s="52">
        <f t="shared" ref="M120:N120" si="53">SUM(M109:M119)</f>
        <v>685689400</v>
      </c>
      <c r="N120" s="52">
        <f t="shared" si="53"/>
        <v>33072750</v>
      </c>
      <c r="O120" s="52">
        <f>SUM(O109:O119)</f>
        <v>0</v>
      </c>
      <c r="P120" s="52">
        <f>SUM(P109:P119)</f>
        <v>718762150</v>
      </c>
      <c r="Q120" s="52">
        <f>SUM(Q109:Q119)</f>
        <v>176461961.29032257</v>
      </c>
      <c r="R120" s="61"/>
      <c r="S120" s="52">
        <f>SUM(S109:S119)</f>
        <v>10580645.161290327</v>
      </c>
      <c r="T120" s="52">
        <f>SUM(T109:T119)</f>
        <v>563334343.34611034</v>
      </c>
      <c r="U120" s="55">
        <f>(T120/K120)*100</f>
        <v>86.163099318768786</v>
      </c>
      <c r="V120" s="59"/>
      <c r="W120" s="104">
        <f>SUM(W109:W119)</f>
        <v>13047313.610673359</v>
      </c>
      <c r="X120" s="63"/>
      <c r="Y120" s="101"/>
    </row>
    <row r="121" spans="1:25" ht="12.5" customHeight="1">
      <c r="A121" s="50" t="s">
        <v>104</v>
      </c>
      <c r="B121" s="106" t="s">
        <v>152</v>
      </c>
      <c r="C121" s="38" t="s">
        <v>153</v>
      </c>
      <c r="D121" s="21">
        <v>10000000</v>
      </c>
      <c r="E121" s="16">
        <v>500000</v>
      </c>
      <c r="F121" s="16">
        <v>500000</v>
      </c>
      <c r="G121" s="58"/>
      <c r="H121" s="1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16"/>
      <c r="W121" s="16">
        <f>D121+E121+F121</f>
        <v>11000000</v>
      </c>
      <c r="X121" s="187">
        <f>SUM(W121:W140)</f>
        <v>47396154</v>
      </c>
      <c r="Y121" s="17"/>
    </row>
    <row r="122" spans="1:25" ht="12.5" customHeight="1">
      <c r="A122" s="50" t="s">
        <v>112</v>
      </c>
      <c r="B122" s="106" t="s">
        <v>155</v>
      </c>
      <c r="C122" s="38" t="s">
        <v>156</v>
      </c>
      <c r="D122" s="21">
        <v>4000000</v>
      </c>
      <c r="E122" s="16">
        <v>500000</v>
      </c>
      <c r="F122" s="16">
        <v>500000</v>
      </c>
      <c r="G122" s="58"/>
      <c r="H122" s="1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16"/>
      <c r="W122" s="16">
        <f>D122+E122+F122</f>
        <v>5000000</v>
      </c>
      <c r="X122" s="187"/>
      <c r="Y122" s="17"/>
    </row>
    <row r="123" spans="1:25" ht="12.5" customHeight="1">
      <c r="A123" s="50" t="s">
        <v>127</v>
      </c>
      <c r="B123" s="106" t="s">
        <v>158</v>
      </c>
      <c r="C123" s="38" t="s">
        <v>159</v>
      </c>
      <c r="D123" s="21"/>
      <c r="E123" s="16"/>
      <c r="F123" s="16"/>
      <c r="G123" s="58"/>
      <c r="H123" s="1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16"/>
      <c r="W123" s="16">
        <f t="shared" ref="W123:W145" si="54">D123+E123+F123</f>
        <v>0</v>
      </c>
      <c r="X123" s="187"/>
      <c r="Y123" s="17"/>
    </row>
    <row r="124" spans="1:25" ht="12.5" customHeight="1">
      <c r="A124" s="50" t="s">
        <v>138</v>
      </c>
      <c r="B124" s="106" t="s">
        <v>161</v>
      </c>
      <c r="C124" s="38" t="s">
        <v>159</v>
      </c>
      <c r="D124" s="21">
        <v>3000000</v>
      </c>
      <c r="E124" s="16">
        <v>500000</v>
      </c>
      <c r="F124" s="16">
        <v>500000</v>
      </c>
      <c r="G124" s="58"/>
      <c r="H124" s="1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16"/>
      <c r="W124" s="16">
        <f t="shared" si="54"/>
        <v>4000000</v>
      </c>
      <c r="X124" s="187"/>
      <c r="Y124" s="17"/>
    </row>
    <row r="125" spans="1:25" ht="12.5" customHeight="1">
      <c r="A125" s="50" t="s">
        <v>149</v>
      </c>
      <c r="B125" s="106" t="s">
        <v>194</v>
      </c>
      <c r="C125" s="38" t="s">
        <v>159</v>
      </c>
      <c r="D125" s="21">
        <f>2346154-500000</f>
        <v>1846154</v>
      </c>
      <c r="E125" s="16">
        <v>500000</v>
      </c>
      <c r="F125" s="16"/>
      <c r="G125" s="58"/>
      <c r="H125" s="1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16"/>
      <c r="W125" s="16">
        <f>D125+E125+F125</f>
        <v>2346154</v>
      </c>
      <c r="X125" s="187"/>
      <c r="Y125" s="17"/>
    </row>
    <row r="126" spans="1:25" ht="13">
      <c r="A126" s="50" t="s">
        <v>151</v>
      </c>
      <c r="B126" s="107" t="s">
        <v>203</v>
      </c>
      <c r="C126" s="38" t="s">
        <v>159</v>
      </c>
      <c r="D126" s="21">
        <v>2000000</v>
      </c>
      <c r="E126" s="16">
        <v>500000</v>
      </c>
      <c r="F126" s="16"/>
      <c r="G126" s="16"/>
      <c r="H126" s="1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16"/>
      <c r="W126" s="16">
        <f t="shared" si="54"/>
        <v>2500000</v>
      </c>
      <c r="X126" s="187"/>
      <c r="Y126" s="108">
        <f>SUM(D121:D140)+865385</f>
        <v>40761539</v>
      </c>
    </row>
    <row r="127" spans="1:25" ht="12.5" customHeight="1">
      <c r="A127" s="50" t="s">
        <v>154</v>
      </c>
      <c r="B127" s="107" t="s">
        <v>166</v>
      </c>
      <c r="C127" s="38" t="s">
        <v>159</v>
      </c>
      <c r="D127" s="21">
        <f>2423077-500000</f>
        <v>1923077</v>
      </c>
      <c r="E127" s="16">
        <v>500000</v>
      </c>
      <c r="F127" s="16"/>
      <c r="G127" s="16"/>
      <c r="H127" s="1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16"/>
      <c r="W127" s="16">
        <f t="shared" si="54"/>
        <v>2423077</v>
      </c>
      <c r="X127" s="187"/>
      <c r="Y127" s="17"/>
    </row>
    <row r="128" spans="1:25" ht="12.5" customHeight="1">
      <c r="A128" s="50" t="s">
        <v>157</v>
      </c>
      <c r="B128" s="107" t="s">
        <v>168</v>
      </c>
      <c r="C128" s="38" t="s">
        <v>159</v>
      </c>
      <c r="D128" s="21">
        <f>2423077-500000</f>
        <v>1923077</v>
      </c>
      <c r="E128" s="16">
        <v>500000</v>
      </c>
      <c r="F128" s="16"/>
      <c r="G128" s="16"/>
      <c r="H128" s="5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16"/>
      <c r="W128" s="16">
        <f t="shared" si="54"/>
        <v>2423077</v>
      </c>
      <c r="X128" s="187"/>
      <c r="Y128" s="17"/>
    </row>
    <row r="129" spans="1:25" ht="12.5" customHeight="1">
      <c r="A129" s="50" t="s">
        <v>160</v>
      </c>
      <c r="B129" s="107" t="s">
        <v>170</v>
      </c>
      <c r="C129" s="38" t="s">
        <v>159</v>
      </c>
      <c r="D129" s="21">
        <v>2000000</v>
      </c>
      <c r="E129" s="16">
        <v>500000</v>
      </c>
      <c r="F129" s="16"/>
      <c r="G129" s="16"/>
      <c r="H129" s="5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16"/>
      <c r="W129" s="16">
        <f t="shared" si="54"/>
        <v>2500000</v>
      </c>
      <c r="X129" s="187"/>
      <c r="Y129" s="17"/>
    </row>
    <row r="130" spans="1:25" ht="12.5" customHeight="1">
      <c r="A130" s="50" t="s">
        <v>162</v>
      </c>
      <c r="B130" s="107" t="s">
        <v>210</v>
      </c>
      <c r="C130" s="38" t="s">
        <v>159</v>
      </c>
      <c r="D130" s="21"/>
      <c r="E130" s="16"/>
      <c r="F130" s="16"/>
      <c r="G130" s="16"/>
      <c r="H130" s="5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16"/>
      <c r="W130" s="16">
        <f t="shared" si="54"/>
        <v>0</v>
      </c>
      <c r="X130" s="187"/>
      <c r="Y130" s="17"/>
    </row>
    <row r="131" spans="1:25" ht="12.5" customHeight="1">
      <c r="A131" s="50" t="s">
        <v>163</v>
      </c>
      <c r="B131" s="107" t="s">
        <v>174</v>
      </c>
      <c r="C131" s="38" t="s">
        <v>159</v>
      </c>
      <c r="D131" s="21">
        <f>1115385-500000</f>
        <v>615385</v>
      </c>
      <c r="E131" s="16">
        <v>500000</v>
      </c>
      <c r="F131" s="16"/>
      <c r="G131" s="16"/>
      <c r="H131" s="5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16"/>
      <c r="W131" s="16">
        <f t="shared" si="54"/>
        <v>1115385</v>
      </c>
      <c r="X131" s="187"/>
      <c r="Y131" s="17"/>
    </row>
    <row r="132" spans="1:25" ht="13" customHeight="1">
      <c r="A132" s="50" t="s">
        <v>165</v>
      </c>
      <c r="B132" s="107" t="s">
        <v>193</v>
      </c>
      <c r="C132" s="38" t="s">
        <v>159</v>
      </c>
      <c r="D132" s="21"/>
      <c r="E132" s="16"/>
      <c r="F132" s="16"/>
      <c r="G132" s="16"/>
      <c r="H132" s="5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16"/>
      <c r="W132" s="16">
        <f t="shared" si="54"/>
        <v>0</v>
      </c>
      <c r="X132" s="187"/>
      <c r="Y132" s="17"/>
    </row>
    <row r="133" spans="1:25" ht="13" customHeight="1">
      <c r="A133" s="50" t="s">
        <v>167</v>
      </c>
      <c r="B133" s="107" t="s">
        <v>204</v>
      </c>
      <c r="C133" s="38" t="s">
        <v>159</v>
      </c>
      <c r="D133" s="21"/>
      <c r="E133" s="16"/>
      <c r="F133" s="16"/>
      <c r="G133" s="16"/>
      <c r="H133" s="5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16"/>
      <c r="W133" s="16">
        <f t="shared" si="54"/>
        <v>0</v>
      </c>
      <c r="X133" s="187"/>
      <c r="Y133" s="17"/>
    </row>
    <row r="134" spans="1:25" ht="13" customHeight="1">
      <c r="A134" s="50" t="s">
        <v>169</v>
      </c>
      <c r="B134" s="107" t="s">
        <v>211</v>
      </c>
      <c r="C134" s="38" t="s">
        <v>159</v>
      </c>
      <c r="D134" s="21"/>
      <c r="E134" s="16"/>
      <c r="F134" s="16"/>
      <c r="G134" s="16"/>
      <c r="H134" s="5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16"/>
      <c r="W134" s="16">
        <f t="shared" si="54"/>
        <v>0</v>
      </c>
      <c r="X134" s="187"/>
      <c r="Y134" s="17"/>
    </row>
    <row r="135" spans="1:25" ht="13" customHeight="1">
      <c r="A135" s="50" t="s">
        <v>171</v>
      </c>
      <c r="B135" s="107" t="s">
        <v>212</v>
      </c>
      <c r="C135" s="38" t="s">
        <v>159</v>
      </c>
      <c r="D135" s="21">
        <v>2000000</v>
      </c>
      <c r="E135" s="16">
        <v>500000</v>
      </c>
      <c r="F135" s="16"/>
      <c r="G135" s="16"/>
      <c r="H135" s="5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16"/>
      <c r="W135" s="16">
        <f t="shared" si="54"/>
        <v>2500000</v>
      </c>
      <c r="X135" s="187"/>
      <c r="Y135" s="17"/>
    </row>
    <row r="136" spans="1:25" ht="13" customHeight="1">
      <c r="A136" s="50" t="s">
        <v>173</v>
      </c>
      <c r="B136" s="107" t="s">
        <v>213</v>
      </c>
      <c r="C136" s="38" t="s">
        <v>159</v>
      </c>
      <c r="D136" s="21">
        <f>1607692-500000</f>
        <v>1107692</v>
      </c>
      <c r="E136" s="16">
        <v>500000</v>
      </c>
      <c r="F136" s="16"/>
      <c r="G136" s="16"/>
      <c r="H136" s="58"/>
      <c r="I136" s="47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16"/>
      <c r="W136" s="16">
        <f t="shared" si="54"/>
        <v>1607692</v>
      </c>
      <c r="X136" s="187"/>
      <c r="Y136" s="17"/>
    </row>
    <row r="137" spans="1:25" ht="13" customHeight="1">
      <c r="A137" s="50" t="s">
        <v>175</v>
      </c>
      <c r="B137" s="107" t="s">
        <v>216</v>
      </c>
      <c r="C137" s="38" t="s">
        <v>159</v>
      </c>
      <c r="D137" s="21">
        <v>980769</v>
      </c>
      <c r="E137" s="16"/>
      <c r="F137" s="16"/>
      <c r="G137" s="16"/>
      <c r="H137" s="58"/>
      <c r="I137" s="47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16"/>
      <c r="W137" s="16">
        <f t="shared" si="54"/>
        <v>980769</v>
      </c>
      <c r="X137" s="187"/>
      <c r="Y137" s="17"/>
    </row>
    <row r="138" spans="1:25" ht="13" customHeight="1">
      <c r="A138" s="50" t="s">
        <v>178</v>
      </c>
      <c r="B138" s="107" t="s">
        <v>217</v>
      </c>
      <c r="C138" s="38" t="s">
        <v>159</v>
      </c>
      <c r="D138" s="21">
        <v>1500000</v>
      </c>
      <c r="E138" s="16"/>
      <c r="F138" s="16"/>
      <c r="G138" s="16"/>
      <c r="H138" s="58"/>
      <c r="I138" s="47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16"/>
      <c r="W138" s="16">
        <f t="shared" si="54"/>
        <v>1500000</v>
      </c>
      <c r="X138" s="187"/>
      <c r="Y138" s="17"/>
    </row>
    <row r="139" spans="1:25" ht="13" customHeight="1">
      <c r="A139" s="50" t="s">
        <v>181</v>
      </c>
      <c r="B139" s="107" t="s">
        <v>218</v>
      </c>
      <c r="C139" s="38" t="s">
        <v>159</v>
      </c>
      <c r="D139" s="21">
        <v>3000000</v>
      </c>
      <c r="E139" s="16"/>
      <c r="F139" s="16"/>
      <c r="G139" s="16"/>
      <c r="H139" s="58"/>
      <c r="I139" s="47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16"/>
      <c r="W139" s="16">
        <f t="shared" si="54"/>
        <v>3000000</v>
      </c>
      <c r="X139" s="187"/>
      <c r="Y139" s="17"/>
    </row>
    <row r="140" spans="1:25" ht="13" customHeight="1">
      <c r="A140" s="50" t="s">
        <v>184</v>
      </c>
      <c r="B140" s="107" t="s">
        <v>196</v>
      </c>
      <c r="C140" s="38" t="s">
        <v>159</v>
      </c>
      <c r="D140" s="21">
        <v>4000000</v>
      </c>
      <c r="E140" s="16">
        <v>500000</v>
      </c>
      <c r="F140" s="16"/>
      <c r="G140" s="16"/>
      <c r="H140" s="58"/>
      <c r="I140" s="47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16"/>
      <c r="W140" s="16">
        <f t="shared" si="54"/>
        <v>4500000</v>
      </c>
      <c r="X140" s="187"/>
      <c r="Y140" s="17"/>
    </row>
    <row r="141" spans="1:25" ht="12.5">
      <c r="A141" s="50" t="s">
        <v>190</v>
      </c>
      <c r="B141" s="11" t="s">
        <v>176</v>
      </c>
      <c r="C141" s="11" t="s">
        <v>177</v>
      </c>
      <c r="D141" s="21">
        <v>12000000</v>
      </c>
      <c r="E141" s="16"/>
      <c r="F141" s="16"/>
      <c r="G141" s="16"/>
      <c r="H141" s="58"/>
      <c r="I141" s="47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16"/>
      <c r="W141" s="16">
        <f t="shared" si="54"/>
        <v>12000000</v>
      </c>
      <c r="X141" s="21">
        <f>D141+F141+G141+H141</f>
        <v>12000000</v>
      </c>
      <c r="Y141" s="17"/>
    </row>
    <row r="142" spans="1:25" ht="12.5">
      <c r="A142" s="50" t="s">
        <v>191</v>
      </c>
      <c r="B142" s="11" t="s">
        <v>179</v>
      </c>
      <c r="C142" s="11" t="s">
        <v>180</v>
      </c>
      <c r="D142" s="21"/>
      <c r="E142" s="16">
        <v>500000</v>
      </c>
      <c r="F142" s="16"/>
      <c r="G142" s="16"/>
      <c r="H142" s="16"/>
      <c r="I142" s="2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2"/>
      <c r="W142" s="16">
        <f t="shared" si="54"/>
        <v>500000</v>
      </c>
      <c r="X142" s="21">
        <f>D142+F142+G142+H142</f>
        <v>0</v>
      </c>
      <c r="Y142" s="17"/>
    </row>
    <row r="143" spans="1:25" ht="12.5">
      <c r="A143" s="50" t="s">
        <v>195</v>
      </c>
      <c r="B143" s="11" t="s">
        <v>69</v>
      </c>
      <c r="C143" s="11" t="s">
        <v>205</v>
      </c>
      <c r="D143" s="21">
        <v>3000000</v>
      </c>
      <c r="E143" s="16">
        <v>500000</v>
      </c>
      <c r="F143" s="16">
        <v>500000</v>
      </c>
      <c r="G143" s="63"/>
      <c r="H143" s="63"/>
      <c r="I143" s="32"/>
      <c r="J143" s="23"/>
      <c r="K143" s="23"/>
      <c r="L143" s="23"/>
      <c r="M143" s="14"/>
      <c r="N143" s="14"/>
      <c r="O143" s="14"/>
      <c r="P143" s="14"/>
      <c r="Q143" s="14"/>
      <c r="R143" s="14"/>
      <c r="S143" s="14"/>
      <c r="T143" s="14"/>
      <c r="U143" s="14"/>
      <c r="V143" s="12"/>
      <c r="W143" s="16">
        <f t="shared" si="54"/>
        <v>4000000</v>
      </c>
      <c r="X143" s="21"/>
      <c r="Y143" s="17"/>
    </row>
    <row r="144" spans="1:25" ht="12.5">
      <c r="A144" s="50" t="s">
        <v>219</v>
      </c>
      <c r="B144" s="11" t="s">
        <v>182</v>
      </c>
      <c r="C144" s="11" t="s">
        <v>183</v>
      </c>
      <c r="D144" s="21"/>
      <c r="E144" s="16">
        <v>700000</v>
      </c>
      <c r="F144" s="16"/>
      <c r="G144" s="63"/>
      <c r="H144" s="63"/>
      <c r="I144" s="23"/>
      <c r="J144" s="23"/>
      <c r="K144" s="23"/>
      <c r="L144" s="23"/>
      <c r="M144" s="14"/>
      <c r="N144" s="14"/>
      <c r="O144" s="14"/>
      <c r="P144" s="14"/>
      <c r="Q144" s="14"/>
      <c r="R144" s="14"/>
      <c r="S144" s="14"/>
      <c r="T144" s="14"/>
      <c r="U144" s="14"/>
      <c r="V144" s="12"/>
      <c r="W144" s="16">
        <f t="shared" si="54"/>
        <v>700000</v>
      </c>
      <c r="X144" s="21"/>
      <c r="Y144" s="17"/>
    </row>
    <row r="145" spans="1:25" ht="12.5">
      <c r="A145" s="50" t="s">
        <v>220</v>
      </c>
      <c r="B145" s="11" t="s">
        <v>185</v>
      </c>
      <c r="C145" s="11" t="s">
        <v>183</v>
      </c>
      <c r="D145" s="21"/>
      <c r="E145" s="16">
        <v>700000</v>
      </c>
      <c r="F145" s="16"/>
      <c r="G145" s="16"/>
      <c r="H145" s="16"/>
      <c r="I145" s="26"/>
      <c r="J145" s="26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2"/>
      <c r="W145" s="16">
        <f t="shared" si="54"/>
        <v>700000</v>
      </c>
      <c r="X145" s="21"/>
      <c r="Y145" s="17"/>
    </row>
    <row r="146" spans="1:25" ht="13">
      <c r="A146" s="109"/>
      <c r="B146" s="270"/>
      <c r="C146" s="268"/>
      <c r="D146" s="110"/>
      <c r="E146" s="110"/>
      <c r="F146" s="110"/>
      <c r="G146" s="110"/>
      <c r="H146" s="110"/>
      <c r="I146" s="111"/>
      <c r="J146" s="3"/>
      <c r="K146" s="269"/>
      <c r="L146" s="268"/>
      <c r="T146" s="3"/>
      <c r="U146" s="271" t="s">
        <v>186</v>
      </c>
      <c r="V146" s="268"/>
      <c r="X146" s="110"/>
      <c r="Y146" s="3"/>
    </row>
    <row r="147" spans="1:25" ht="13">
      <c r="A147" s="109"/>
      <c r="B147" s="267"/>
      <c r="C147" s="268"/>
      <c r="D147" s="110"/>
      <c r="E147" s="110"/>
      <c r="F147" s="110"/>
      <c r="G147" s="110"/>
      <c r="H147" s="110"/>
      <c r="I147" s="111"/>
      <c r="J147" s="3"/>
      <c r="K147" s="267"/>
      <c r="L147" s="268"/>
      <c r="T147" s="3"/>
      <c r="U147" s="267" t="s">
        <v>187</v>
      </c>
      <c r="V147" s="268"/>
      <c r="X147" s="110"/>
      <c r="Y147" s="3"/>
    </row>
    <row r="148" spans="1:25" ht="13">
      <c r="A148" s="109"/>
      <c r="B148" s="269"/>
      <c r="C148" s="268"/>
      <c r="D148" s="110"/>
      <c r="E148" s="110"/>
      <c r="F148" s="110"/>
      <c r="G148" s="110"/>
      <c r="H148" s="110"/>
      <c r="I148" s="111"/>
      <c r="J148" s="3"/>
      <c r="K148" s="269"/>
      <c r="L148" s="268"/>
      <c r="T148" s="3"/>
      <c r="U148" s="269" t="s">
        <v>188</v>
      </c>
      <c r="V148" s="268"/>
      <c r="X148" s="110"/>
      <c r="Y148" s="3"/>
    </row>
    <row r="149" spans="1:25" ht="12.5">
      <c r="A149" s="109"/>
      <c r="B149" s="3"/>
      <c r="C149" s="3"/>
      <c r="D149" s="110"/>
      <c r="E149" s="110"/>
      <c r="F149" s="110"/>
      <c r="G149" s="110"/>
      <c r="H149" s="110"/>
      <c r="I149" s="111"/>
      <c r="J149" s="3"/>
      <c r="K149" s="3"/>
      <c r="L149" s="3">
        <v>1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110"/>
      <c r="Y149" s="3"/>
    </row>
    <row r="150" spans="1:25" ht="12.5">
      <c r="A150" s="109"/>
      <c r="B150" s="3"/>
      <c r="C150" s="3"/>
      <c r="D150" s="110"/>
      <c r="E150" s="110"/>
      <c r="F150" s="110"/>
      <c r="G150" s="110"/>
      <c r="H150" s="110"/>
      <c r="I150" s="11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110"/>
      <c r="Y150" s="3"/>
    </row>
    <row r="151" spans="1:25" ht="12.5">
      <c r="A151" s="109"/>
      <c r="B151" s="3"/>
      <c r="C151" s="3"/>
      <c r="D151" s="110"/>
      <c r="E151" s="110"/>
      <c r="F151" s="110"/>
      <c r="G151" s="110"/>
      <c r="H151" s="110"/>
      <c r="I151" s="11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17"/>
      <c r="V151" s="3"/>
      <c r="W151" s="3"/>
      <c r="X151" s="110"/>
      <c r="Y151" s="3"/>
    </row>
    <row r="152" spans="1:25" ht="12.5">
      <c r="A152" s="109"/>
      <c r="B152" s="3"/>
      <c r="C152" s="3"/>
      <c r="D152" s="110"/>
      <c r="E152" s="110"/>
      <c r="F152" s="110"/>
      <c r="G152" s="110"/>
      <c r="H152" s="110"/>
      <c r="I152" s="11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112"/>
      <c r="V152" s="3"/>
      <c r="W152" s="3"/>
      <c r="X152" s="110"/>
      <c r="Y152" s="3"/>
    </row>
    <row r="153" spans="1:25" ht="12.5">
      <c r="A153" s="109"/>
      <c r="B153" s="3"/>
      <c r="C153" s="3"/>
      <c r="D153" s="110"/>
      <c r="E153" s="110"/>
      <c r="F153" s="110"/>
      <c r="G153" s="110"/>
      <c r="H153" s="110"/>
      <c r="I153" s="11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10"/>
      <c r="Y153" s="3"/>
    </row>
    <row r="154" spans="1:25" ht="12.5">
      <c r="A154" s="109"/>
      <c r="B154" s="3"/>
      <c r="C154" s="3"/>
      <c r="D154" s="110"/>
      <c r="E154" s="110"/>
      <c r="F154" s="110"/>
      <c r="G154" s="110"/>
      <c r="H154" s="110"/>
      <c r="I154" s="11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10"/>
      <c r="Y154" s="3"/>
    </row>
    <row r="155" spans="1:25" ht="12.5">
      <c r="A155" s="109"/>
      <c r="B155" s="3"/>
      <c r="C155" s="3"/>
      <c r="D155" s="110"/>
      <c r="E155" s="110"/>
      <c r="F155" s="110"/>
      <c r="G155" s="110"/>
      <c r="H155" s="110"/>
      <c r="I155" s="1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10"/>
      <c r="Y155" s="3"/>
    </row>
    <row r="156" spans="1:25" ht="12.5">
      <c r="A156" s="109"/>
      <c r="B156" s="3"/>
      <c r="C156" s="3"/>
      <c r="D156" s="110"/>
      <c r="E156" s="110"/>
      <c r="F156" s="110"/>
      <c r="G156" s="110"/>
      <c r="H156" s="110"/>
      <c r="I156" s="1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110"/>
      <c r="Y156" s="3"/>
    </row>
    <row r="157" spans="1:25" ht="12.5">
      <c r="A157" s="109"/>
      <c r="B157" s="3"/>
      <c r="C157" s="3"/>
      <c r="D157" s="110"/>
      <c r="E157" s="110"/>
      <c r="F157" s="110"/>
      <c r="G157" s="110"/>
      <c r="H157" s="110"/>
      <c r="I157" s="1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10"/>
      <c r="Y157" s="3"/>
    </row>
    <row r="158" spans="1:25" ht="12.5">
      <c r="A158" s="109"/>
      <c r="B158" s="3"/>
      <c r="C158" s="3"/>
      <c r="D158" s="110"/>
      <c r="E158" s="110"/>
      <c r="F158" s="110"/>
      <c r="G158" s="110"/>
      <c r="H158" s="110"/>
      <c r="I158" s="1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10"/>
      <c r="Y158" s="3"/>
    </row>
    <row r="159" spans="1:25" ht="12.5">
      <c r="A159" s="109"/>
      <c r="B159" s="3"/>
      <c r="C159" s="3"/>
      <c r="D159" s="110"/>
      <c r="E159" s="110"/>
      <c r="F159" s="110"/>
      <c r="G159" s="110"/>
      <c r="H159" s="110"/>
      <c r="I159" s="11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0"/>
      <c r="Y159" s="3"/>
    </row>
    <row r="160" spans="1:25" ht="12.5">
      <c r="A160" s="109"/>
      <c r="B160" s="3"/>
      <c r="C160" s="3"/>
      <c r="D160" s="110"/>
      <c r="E160" s="110"/>
      <c r="F160" s="110"/>
      <c r="G160" s="110"/>
      <c r="H160" s="110"/>
      <c r="I160" s="1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109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109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109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109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109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109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109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109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3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3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3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3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3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3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3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3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3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3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3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3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  <row r="1102" spans="1:25" ht="12.5">
      <c r="A1102" s="3"/>
      <c r="B1102" s="3"/>
      <c r="C1102" s="3"/>
      <c r="D1102" s="110"/>
      <c r="E1102" s="110"/>
      <c r="F1102" s="110"/>
      <c r="G1102" s="110"/>
      <c r="H1102" s="110"/>
      <c r="I1102" s="1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110"/>
      <c r="Y1102" s="3"/>
    </row>
    <row r="1103" spans="1:25" ht="12.5">
      <c r="A1103" s="3"/>
      <c r="B1103" s="3"/>
      <c r="C1103" s="3"/>
      <c r="D1103" s="110"/>
      <c r="E1103" s="110"/>
      <c r="F1103" s="110"/>
      <c r="G1103" s="110"/>
      <c r="H1103" s="110"/>
      <c r="I1103" s="1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110"/>
      <c r="Y1103" s="3"/>
    </row>
    <row r="1104" spans="1:25" ht="12.5">
      <c r="A1104" s="3"/>
      <c r="B1104" s="3"/>
      <c r="C1104" s="3"/>
      <c r="D1104" s="110"/>
      <c r="E1104" s="110"/>
      <c r="F1104" s="110"/>
      <c r="G1104" s="110"/>
      <c r="H1104" s="110"/>
      <c r="I1104" s="11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110"/>
      <c r="Y1104" s="3"/>
    </row>
    <row r="1105" spans="1:25" ht="12.5">
      <c r="A1105" s="3"/>
      <c r="B1105" s="3"/>
      <c r="C1105" s="3"/>
      <c r="D1105" s="110"/>
      <c r="E1105" s="110"/>
      <c r="F1105" s="110"/>
      <c r="G1105" s="110"/>
      <c r="H1105" s="110"/>
      <c r="I1105" s="11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110"/>
      <c r="Y1105" s="3"/>
    </row>
    <row r="1106" spans="1:25" ht="12.5">
      <c r="A1106" s="3"/>
      <c r="B1106" s="3"/>
      <c r="C1106" s="3"/>
      <c r="D1106" s="110"/>
      <c r="E1106" s="110"/>
      <c r="F1106" s="110"/>
      <c r="G1106" s="110"/>
      <c r="H1106" s="110"/>
      <c r="I1106" s="11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110"/>
      <c r="Y1106" s="3"/>
    </row>
    <row r="1107" spans="1:25" ht="12.5">
      <c r="A1107" s="3"/>
      <c r="B1107" s="3"/>
      <c r="C1107" s="3"/>
      <c r="D1107" s="110"/>
      <c r="E1107" s="110"/>
      <c r="F1107" s="110"/>
      <c r="G1107" s="110"/>
      <c r="H1107" s="110"/>
      <c r="I1107" s="11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110"/>
      <c r="Y1107" s="3"/>
    </row>
    <row r="1108" spans="1:25" ht="12.5">
      <c r="A1108" s="3"/>
      <c r="B1108" s="3"/>
      <c r="C1108" s="3"/>
      <c r="D1108" s="110"/>
      <c r="E1108" s="110"/>
      <c r="F1108" s="110"/>
      <c r="G1108" s="110"/>
      <c r="H1108" s="110"/>
      <c r="I1108" s="11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110"/>
      <c r="Y1108" s="3"/>
    </row>
    <row r="1109" spans="1:25" ht="12.5">
      <c r="A1109" s="3"/>
      <c r="B1109" s="3"/>
      <c r="C1109" s="3"/>
      <c r="D1109" s="110"/>
      <c r="E1109" s="110"/>
      <c r="F1109" s="110"/>
      <c r="G1109" s="110"/>
      <c r="H1109" s="110"/>
      <c r="I1109" s="11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110"/>
      <c r="Y1109" s="3"/>
    </row>
  </sheetData>
  <mergeCells count="118">
    <mergeCell ref="B148:C148"/>
    <mergeCell ref="K148:L148"/>
    <mergeCell ref="U148:V148"/>
    <mergeCell ref="X121:X140"/>
    <mergeCell ref="B146:C146"/>
    <mergeCell ref="K146:L146"/>
    <mergeCell ref="U146:V146"/>
    <mergeCell ref="B147:C147"/>
    <mergeCell ref="K147:L147"/>
    <mergeCell ref="U147:V147"/>
    <mergeCell ref="A109:A120"/>
    <mergeCell ref="B109:B120"/>
    <mergeCell ref="C109:C120"/>
    <mergeCell ref="D109:D120"/>
    <mergeCell ref="E109:E120"/>
    <mergeCell ref="F109:F120"/>
    <mergeCell ref="G109:G120"/>
    <mergeCell ref="H109:H120"/>
    <mergeCell ref="X109:X119"/>
    <mergeCell ref="Y81:Y94"/>
    <mergeCell ref="A95:A108"/>
    <mergeCell ref="B95:B108"/>
    <mergeCell ref="C95:C108"/>
    <mergeCell ref="D95:D108"/>
    <mergeCell ref="E95:E108"/>
    <mergeCell ref="F95:F108"/>
    <mergeCell ref="G95:G108"/>
    <mergeCell ref="H95:H108"/>
    <mergeCell ref="X95:X106"/>
    <mergeCell ref="A81:A94"/>
    <mergeCell ref="B81:B94"/>
    <mergeCell ref="C81:C94"/>
    <mergeCell ref="D81:D94"/>
    <mergeCell ref="E81:E94"/>
    <mergeCell ref="F81:F94"/>
    <mergeCell ref="G81:G94"/>
    <mergeCell ref="H81:H94"/>
    <mergeCell ref="X81:X94"/>
    <mergeCell ref="Y62:Y74"/>
    <mergeCell ref="A75:A80"/>
    <mergeCell ref="B75:B80"/>
    <mergeCell ref="C75:C80"/>
    <mergeCell ref="D75:D80"/>
    <mergeCell ref="E75:E80"/>
    <mergeCell ref="F75:F80"/>
    <mergeCell ref="G75:G80"/>
    <mergeCell ref="H75:H80"/>
    <mergeCell ref="X75:X80"/>
    <mergeCell ref="Y75:Y80"/>
    <mergeCell ref="A62:A74"/>
    <mergeCell ref="B62:B74"/>
    <mergeCell ref="C62:C74"/>
    <mergeCell ref="D62:D74"/>
    <mergeCell ref="E62:E74"/>
    <mergeCell ref="F62:F74"/>
    <mergeCell ref="G62:G74"/>
    <mergeCell ref="H62:H74"/>
    <mergeCell ref="X62:X74"/>
    <mergeCell ref="Y34:Y45"/>
    <mergeCell ref="A46:A61"/>
    <mergeCell ref="B46:B61"/>
    <mergeCell ref="C46:C61"/>
    <mergeCell ref="D46:D61"/>
    <mergeCell ref="E46:E61"/>
    <mergeCell ref="F46:F61"/>
    <mergeCell ref="G46:G61"/>
    <mergeCell ref="H46:H61"/>
    <mergeCell ref="X46:X60"/>
    <mergeCell ref="Y49:Y61"/>
    <mergeCell ref="A31:A45"/>
    <mergeCell ref="B31:B45"/>
    <mergeCell ref="C31:C45"/>
    <mergeCell ref="D31:D45"/>
    <mergeCell ref="E31:E45"/>
    <mergeCell ref="F31:F45"/>
    <mergeCell ref="G31:G45"/>
    <mergeCell ref="H31:H45"/>
    <mergeCell ref="X31:X45"/>
    <mergeCell ref="C7:C8"/>
    <mergeCell ref="D7:D8"/>
    <mergeCell ref="E7:E8"/>
    <mergeCell ref="F7:F8"/>
    <mergeCell ref="X11:X18"/>
    <mergeCell ref="Y11:Y18"/>
    <mergeCell ref="A19:A30"/>
    <mergeCell ref="B19:B30"/>
    <mergeCell ref="C19:C30"/>
    <mergeCell ref="D19:D30"/>
    <mergeCell ref="E19:E30"/>
    <mergeCell ref="F19:F30"/>
    <mergeCell ref="G19:G30"/>
    <mergeCell ref="H19:H30"/>
    <mergeCell ref="X19:X30"/>
    <mergeCell ref="Y19:Y30"/>
    <mergeCell ref="A1:J1"/>
    <mergeCell ref="A2:J2"/>
    <mergeCell ref="A3:J3"/>
    <mergeCell ref="A4:J4"/>
    <mergeCell ref="A5:T6"/>
    <mergeCell ref="U5:X6"/>
    <mergeCell ref="W7:W8"/>
    <mergeCell ref="X7:X8"/>
    <mergeCell ref="A11:A18"/>
    <mergeCell ref="B11:B18"/>
    <mergeCell ref="C11:C18"/>
    <mergeCell ref="D11:D18"/>
    <mergeCell ref="E11:E18"/>
    <mergeCell ref="F11:F18"/>
    <mergeCell ref="G11:G18"/>
    <mergeCell ref="H11:H18"/>
    <mergeCell ref="G7:G8"/>
    <mergeCell ref="H7:H8"/>
    <mergeCell ref="I7:I8"/>
    <mergeCell ref="J7:T7"/>
    <mergeCell ref="U7:U8"/>
    <mergeCell ref="V7:V8"/>
    <mergeCell ref="A7:A8"/>
    <mergeCell ref="B7:B8"/>
  </mergeCells>
  <phoneticPr fontId="17" type="noConversion"/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9E5E-0660-4244-A410-912328D33A9D}">
  <sheetPr codeName="Sheet6">
    <outlinePr summaryBelow="0" summaryRight="0"/>
    <pageSetUpPr fitToPage="1"/>
  </sheetPr>
  <dimension ref="A1:Y1114"/>
  <sheetViews>
    <sheetView topLeftCell="A4" zoomScale="90" zoomScaleNormal="90" workbookViewId="0">
      <pane xSplit="9" ySplit="6" topLeftCell="U112" activePane="bottomRight" state="frozen"/>
      <selection activeCell="A4" sqref="A4"/>
      <selection pane="topRight" activeCell="I4" sqref="I4"/>
      <selection pane="bottomLeft" activeCell="A10" sqref="A10"/>
      <selection pane="bottomRight" activeCell="I118" sqref="I118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7" width="12.6328125" style="4" customWidth="1"/>
    <col min="18" max="18" width="16.54296875" style="4" customWidth="1"/>
    <col min="19" max="19" width="21.08984375" style="4" customWidth="1"/>
    <col min="20" max="20" width="14.08984375" style="4" customWidth="1"/>
    <col min="21" max="23" width="12.6328125" style="4"/>
    <col min="24" max="24" width="13.7265625" style="113" customWidth="1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>
      <c r="A5" s="204" t="s">
        <v>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6"/>
      <c r="U5" s="211" t="s">
        <v>215</v>
      </c>
      <c r="V5" s="212"/>
      <c r="W5" s="212"/>
      <c r="X5" s="213"/>
      <c r="Y5" s="3"/>
    </row>
    <row r="6" spans="1:25" ht="12.5">
      <c r="A6" s="207"/>
      <c r="B6" s="208"/>
      <c r="C6" s="208"/>
      <c r="D6" s="208"/>
      <c r="E6" s="209"/>
      <c r="F6" s="209"/>
      <c r="G6" s="209"/>
      <c r="H6" s="209"/>
      <c r="I6" s="209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10"/>
      <c r="U6" s="214"/>
      <c r="V6" s="215"/>
      <c r="W6" s="215"/>
      <c r="X6" s="216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201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131"/>
      <c r="B9" s="132"/>
      <c r="C9" s="132"/>
      <c r="D9" s="133">
        <f>SUM(D10:D150)</f>
        <v>81734616</v>
      </c>
      <c r="E9" s="133">
        <f>SUM(E10:E150)</f>
        <v>15900000</v>
      </c>
      <c r="F9" s="133">
        <f>SUM(F10:F150)</f>
        <v>8400000</v>
      </c>
      <c r="G9" s="133">
        <f>SUM(G10:G150)</f>
        <v>13040000</v>
      </c>
      <c r="H9" s="133"/>
      <c r="I9" s="133"/>
      <c r="J9" s="133">
        <f t="shared" ref="J9:Q9" si="0">J18+J30+J45+J58+J63+J70+J84+J98+J110</f>
        <v>1133</v>
      </c>
      <c r="K9" s="133">
        <f t="shared" si="0"/>
        <v>4621750000</v>
      </c>
      <c r="L9" s="133">
        <f t="shared" si="0"/>
        <v>5528069332.0967751</v>
      </c>
      <c r="M9" s="133">
        <f t="shared" si="0"/>
        <v>5131934964</v>
      </c>
      <c r="N9" s="133">
        <f t="shared" si="0"/>
        <v>148094550</v>
      </c>
      <c r="O9" s="133">
        <f t="shared" si="0"/>
        <v>11263000</v>
      </c>
      <c r="P9" s="133">
        <f t="shared" si="0"/>
        <v>5291292514</v>
      </c>
      <c r="Q9" s="133">
        <f t="shared" si="0"/>
        <v>1251565396.7741935</v>
      </c>
      <c r="R9" s="137">
        <f>Q9/L9</f>
        <v>0.22640189939504243</v>
      </c>
      <c r="S9" s="133">
        <f>S18+S30+S45+S58+S63+S70+S84+S98+S110</f>
        <v>107950537.63440861</v>
      </c>
      <c r="T9" s="133">
        <f>T18+T30+T45+T58+T63+T70+T84+T98+T110</f>
        <v>4200601925.0315137</v>
      </c>
      <c r="U9" s="133">
        <f>(T9/K9)*100</f>
        <v>90.887692433202005</v>
      </c>
      <c r="V9" s="133">
        <f>U9*109000/90</f>
        <v>110075.09416910021</v>
      </c>
      <c r="W9" s="134">
        <f>W18+W30+W45+W58+W63+W70+W84+W98+W110</f>
        <v>125096402.71548073</v>
      </c>
      <c r="X9" s="135" t="e">
        <f>X10+X11+X19+X31+X46+#REF!+X64+X71+X85+X99</f>
        <v>#REF!</v>
      </c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906*10000</f>
        <v>9060000</v>
      </c>
      <c r="H10" s="13"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1"/>
      <c r="W10" s="16"/>
      <c r="X10" s="16">
        <f>D10+F10+E10+G10</f>
        <v>20260000</v>
      </c>
      <c r="Y10" s="17"/>
    </row>
    <row r="11" spans="1:25" ht="14">
      <c r="A11" s="222" t="s">
        <v>33</v>
      </c>
      <c r="B11" s="224" t="s">
        <v>42</v>
      </c>
      <c r="C11" s="224" t="s">
        <v>43</v>
      </c>
      <c r="D11" s="227">
        <v>10000000</v>
      </c>
      <c r="E11" s="226">
        <v>500000</v>
      </c>
      <c r="F11" s="230">
        <v>700000</v>
      </c>
      <c r="G11" s="177">
        <f>398*10000</f>
        <v>3980000</v>
      </c>
      <c r="H11" s="177"/>
      <c r="I11" s="25"/>
      <c r="J11" s="44"/>
      <c r="K11" s="26"/>
      <c r="L11" s="18"/>
      <c r="M11" s="14"/>
      <c r="N11" s="14"/>
      <c r="O11" s="14"/>
      <c r="P11" s="14">
        <f>SUM(M11:O11)</f>
        <v>0</v>
      </c>
      <c r="Q11" s="44"/>
      <c r="R11" s="45"/>
      <c r="S11" s="14"/>
      <c r="T11" s="26"/>
      <c r="U11" s="46"/>
      <c r="V11" s="12"/>
      <c r="W11" s="21"/>
      <c r="X11" s="177">
        <f>W18+D11+F11+G11+H11+E11</f>
        <v>15180000</v>
      </c>
      <c r="Y11" s="239"/>
    </row>
    <row r="12" spans="1:25" ht="14">
      <c r="A12" s="222"/>
      <c r="B12" s="224" t="str">
        <f>B11</f>
        <v>Trần Quang Huy</v>
      </c>
      <c r="C12" s="224"/>
      <c r="D12" s="227"/>
      <c r="E12" s="227"/>
      <c r="F12" s="230"/>
      <c r="G12" s="177"/>
      <c r="H12" s="177"/>
      <c r="I12" s="26"/>
      <c r="J12" s="47"/>
      <c r="K12" s="26"/>
      <c r="L12" s="31"/>
      <c r="M12" s="14"/>
      <c r="N12" s="14"/>
      <c r="O12" s="14"/>
      <c r="P12" s="14">
        <f>SUM(M12:O12)</f>
        <v>0</v>
      </c>
      <c r="Q12" s="44"/>
      <c r="R12" s="45"/>
      <c r="S12" s="14"/>
      <c r="T12" s="26"/>
      <c r="U12" s="46"/>
      <c r="V12" s="12"/>
      <c r="W12" s="21"/>
      <c r="X12" s="178"/>
      <c r="Y12" s="239"/>
    </row>
    <row r="13" spans="1:25" ht="12.5">
      <c r="A13" s="222"/>
      <c r="B13" s="224" t="str">
        <f>B12</f>
        <v>Trần Quang Huy</v>
      </c>
      <c r="C13" s="224"/>
      <c r="D13" s="227"/>
      <c r="E13" s="227"/>
      <c r="F13" s="230"/>
      <c r="G13" s="177"/>
      <c r="H13" s="177"/>
      <c r="J13" s="49"/>
      <c r="K13" s="37"/>
      <c r="L13" s="14"/>
      <c r="M13" s="14"/>
      <c r="N13" s="14"/>
      <c r="O13" s="14"/>
      <c r="P13" s="14">
        <f t="shared" ref="P13:P17" si="1">SUM(M13:O13)</f>
        <v>0</v>
      </c>
      <c r="Q13" s="44"/>
      <c r="R13" s="45"/>
      <c r="S13" s="14"/>
      <c r="T13" s="26"/>
      <c r="U13" s="46"/>
      <c r="V13" s="12"/>
      <c r="W13" s="21"/>
      <c r="X13" s="178"/>
      <c r="Y13" s="239"/>
    </row>
    <row r="14" spans="1:25" ht="12.5">
      <c r="A14" s="222"/>
      <c r="B14" s="224" t="str">
        <f>B13</f>
        <v>Trần Quang Huy</v>
      </c>
      <c r="C14" s="224"/>
      <c r="D14" s="227"/>
      <c r="E14" s="227"/>
      <c r="F14" s="230"/>
      <c r="G14" s="177"/>
      <c r="H14" s="177"/>
      <c r="I14" s="36"/>
      <c r="J14" s="37"/>
      <c r="K14" s="37"/>
      <c r="L14" s="14"/>
      <c r="M14" s="14"/>
      <c r="N14" s="14"/>
      <c r="O14" s="14"/>
      <c r="P14" s="14">
        <f t="shared" si="1"/>
        <v>0</v>
      </c>
      <c r="Q14" s="44"/>
      <c r="R14" s="45"/>
      <c r="S14" s="14"/>
      <c r="T14" s="26"/>
      <c r="U14" s="46"/>
      <c r="V14" s="12"/>
      <c r="W14" s="21"/>
      <c r="X14" s="178"/>
      <c r="Y14" s="239"/>
    </row>
    <row r="15" spans="1:25" ht="12.5">
      <c r="A15" s="222"/>
      <c r="B15" s="224" t="str">
        <f>B14</f>
        <v>Trần Quang Huy</v>
      </c>
      <c r="C15" s="224"/>
      <c r="D15" s="227"/>
      <c r="E15" s="227"/>
      <c r="F15" s="230"/>
      <c r="G15" s="177"/>
      <c r="H15" s="177"/>
      <c r="I15" s="36"/>
      <c r="J15" s="37"/>
      <c r="K15" s="37"/>
      <c r="L15" s="14"/>
      <c r="M15" s="14"/>
      <c r="N15" s="14"/>
      <c r="O15" s="14"/>
      <c r="P15" s="14">
        <f>SUM(M15:O15)</f>
        <v>0</v>
      </c>
      <c r="Q15" s="44"/>
      <c r="R15" s="45"/>
      <c r="S15" s="14"/>
      <c r="T15" s="26"/>
      <c r="U15" s="46"/>
      <c r="V15" s="12"/>
      <c r="W15" s="21"/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23"/>
      <c r="M16" s="23"/>
      <c r="N16" s="23"/>
      <c r="O16" s="23"/>
      <c r="P16" s="14">
        <f t="shared" si="1"/>
        <v>0</v>
      </c>
      <c r="Q16" s="44"/>
      <c r="R16" s="45"/>
      <c r="S16" s="14"/>
      <c r="T16" s="26"/>
      <c r="U16" s="46"/>
      <c r="V16" s="12"/>
      <c r="W16" s="21"/>
      <c r="X16" s="178"/>
      <c r="Y16" s="239"/>
    </row>
    <row r="17" spans="1:25" ht="12.5">
      <c r="A17" s="222"/>
      <c r="B17" s="224"/>
      <c r="C17" s="224"/>
      <c r="D17" s="227"/>
      <c r="E17" s="227"/>
      <c r="F17" s="230"/>
      <c r="G17" s="177"/>
      <c r="H17" s="177"/>
      <c r="I17" s="36"/>
      <c r="J17" s="37"/>
      <c r="K17" s="37"/>
      <c r="L17" s="25"/>
      <c r="M17" s="26"/>
      <c r="N17" s="26"/>
      <c r="O17" s="26"/>
      <c r="P17" s="14">
        <f t="shared" si="1"/>
        <v>0</v>
      </c>
      <c r="Q17" s="32"/>
      <c r="R17" s="45"/>
      <c r="S17" s="32"/>
      <c r="T17" s="26"/>
      <c r="U17" s="46"/>
      <c r="V17" s="12"/>
      <c r="W17" s="21"/>
      <c r="X17" s="178"/>
      <c r="Y17" s="239"/>
    </row>
    <row r="18" spans="1:25" ht="13">
      <c r="A18" s="240"/>
      <c r="B18" s="241" t="str">
        <f>B15</f>
        <v>Trần Quang Huy</v>
      </c>
      <c r="C18" s="241"/>
      <c r="D18" s="228"/>
      <c r="E18" s="228"/>
      <c r="F18" s="231"/>
      <c r="G18" s="177"/>
      <c r="H18" s="177"/>
      <c r="I18" s="51">
        <v>2</v>
      </c>
      <c r="J18" s="52">
        <f>SUM(J11:J17)</f>
        <v>0</v>
      </c>
      <c r="K18" s="52">
        <f>SUM(K11:K17)</f>
        <v>0</v>
      </c>
      <c r="L18" s="52">
        <f>SUM(L11:L17)</f>
        <v>0</v>
      </c>
      <c r="M18" s="52">
        <f t="shared" ref="M18:N18" si="2">SUM(M11:M17)</f>
        <v>0</v>
      </c>
      <c r="N18" s="52">
        <f t="shared" si="2"/>
        <v>0</v>
      </c>
      <c r="O18" s="52">
        <f>SUM(O11:O17)</f>
        <v>0</v>
      </c>
      <c r="P18" s="52">
        <f>SUM(P11:P17)</f>
        <v>0</v>
      </c>
      <c r="Q18" s="52">
        <f>SUM(Q11:Q17)</f>
        <v>0</v>
      </c>
      <c r="R18" s="53"/>
      <c r="S18" s="52">
        <f>SUM(S11:S17)</f>
        <v>0</v>
      </c>
      <c r="T18" s="54">
        <f>SUM(T11:T17)</f>
        <v>0</v>
      </c>
      <c r="U18" s="55"/>
      <c r="V18" s="52"/>
      <c r="W18" s="52">
        <f>SUM(W11:W17)</f>
        <v>0</v>
      </c>
      <c r="X18" s="178"/>
      <c r="Y18" s="239"/>
    </row>
    <row r="19" spans="1:25" ht="13" customHeight="1">
      <c r="A19" s="221" t="s">
        <v>41</v>
      </c>
      <c r="B19" s="249" t="s">
        <v>47</v>
      </c>
      <c r="C19" s="223" t="s">
        <v>35</v>
      </c>
      <c r="D19" s="226"/>
      <c r="E19" s="226">
        <v>500000</v>
      </c>
      <c r="F19" s="229">
        <v>500000</v>
      </c>
      <c r="G19" s="177">
        <v>0</v>
      </c>
      <c r="H19" s="177">
        <v>2000000</v>
      </c>
      <c r="I19" s="14" t="s">
        <v>48</v>
      </c>
      <c r="J19" s="56">
        <v>22</v>
      </c>
      <c r="K19" s="56">
        <v>103000000</v>
      </c>
      <c r="L19" s="14">
        <v>122863000</v>
      </c>
      <c r="M19" s="14">
        <v>108193000</v>
      </c>
      <c r="N19" s="14">
        <v>10827000</v>
      </c>
      <c r="O19" s="14">
        <v>0</v>
      </c>
      <c r="P19" s="14">
        <f>SUM(M19:O19)</f>
        <v>119020000</v>
      </c>
      <c r="Q19" s="14">
        <v>31063000</v>
      </c>
      <c r="R19" s="45">
        <f t="shared" ref="R19:R68" si="3">Q19/L19</f>
        <v>0.25282631874526912</v>
      </c>
      <c r="S19" s="14"/>
      <c r="T19" s="26">
        <f>P19-(P19*R19)+S19</f>
        <v>88928611.542938069</v>
      </c>
      <c r="U19" s="46">
        <f>(T19/K19)*100</f>
        <v>86.338457808677731</v>
      </c>
      <c r="V19" s="12">
        <f>U19*100000/85</f>
        <v>101574.6562455032</v>
      </c>
      <c r="W19" s="15">
        <f>V19*J19</f>
        <v>2234642.4374010703</v>
      </c>
      <c r="X19" s="177">
        <f>W30+D19+F19+G19+H19+E19</f>
        <v>20076669.64174588</v>
      </c>
      <c r="Y19" s="246"/>
    </row>
    <row r="20" spans="1:25" ht="13" customHeight="1">
      <c r="A20" s="222"/>
      <c r="B20" s="247"/>
      <c r="C20" s="224"/>
      <c r="D20" s="227"/>
      <c r="E20" s="227"/>
      <c r="F20" s="230"/>
      <c r="G20" s="177"/>
      <c r="H20" s="177"/>
      <c r="I20" s="32" t="s">
        <v>49</v>
      </c>
      <c r="J20" s="26">
        <v>8</v>
      </c>
      <c r="K20" s="26">
        <v>32800000</v>
      </c>
      <c r="L20" s="14">
        <v>41594000</v>
      </c>
      <c r="M20" s="14">
        <v>37326000</v>
      </c>
      <c r="N20" s="14">
        <v>0</v>
      </c>
      <c r="O20" s="14">
        <v>0</v>
      </c>
      <c r="P20" s="14">
        <f t="shared" ref="P20:P29" si="4">SUM(M20:O20)</f>
        <v>37326000</v>
      </c>
      <c r="Q20" s="14">
        <v>10994000</v>
      </c>
      <c r="R20" s="45">
        <f t="shared" si="3"/>
        <v>0.26431696879357602</v>
      </c>
      <c r="S20" s="14"/>
      <c r="T20" s="26">
        <f t="shared" ref="T20:T29" si="5">P20-(P20*R20)+S20</f>
        <v>27460104.822810981</v>
      </c>
      <c r="U20" s="46">
        <f t="shared" ref="U20:U29" si="6">(T20/K20)*100</f>
        <v>83.719831776862748</v>
      </c>
      <c r="V20" s="21">
        <f>U20*94000/85</f>
        <v>92584.284553236444</v>
      </c>
      <c r="W20" s="16">
        <f t="shared" ref="W20:W28" si="7">V20*J20</f>
        <v>740674.27642589156</v>
      </c>
      <c r="X20" s="177"/>
      <c r="Y20" s="246"/>
    </row>
    <row r="21" spans="1:25" ht="13" customHeight="1">
      <c r="A21" s="222"/>
      <c r="B21" s="247"/>
      <c r="C21" s="224"/>
      <c r="D21" s="227"/>
      <c r="E21" s="227"/>
      <c r="F21" s="230"/>
      <c r="G21" s="177"/>
      <c r="H21" s="177"/>
      <c r="I21" s="47" t="s">
        <v>50</v>
      </c>
      <c r="J21" s="26">
        <v>9</v>
      </c>
      <c r="K21" s="26">
        <v>37800000</v>
      </c>
      <c r="L21" s="14">
        <v>30336000</v>
      </c>
      <c r="M21" s="14">
        <v>30336000</v>
      </c>
      <c r="N21" s="14">
        <v>0</v>
      </c>
      <c r="O21" s="14">
        <v>0</v>
      </c>
      <c r="P21" s="14">
        <f t="shared" si="4"/>
        <v>30336000</v>
      </c>
      <c r="Q21" s="14">
        <v>6936000</v>
      </c>
      <c r="R21" s="45">
        <f t="shared" si="3"/>
        <v>0.22863924050632911</v>
      </c>
      <c r="S21" s="14">
        <v>4050000</v>
      </c>
      <c r="T21" s="26">
        <f t="shared" si="5"/>
        <v>27450000</v>
      </c>
      <c r="U21" s="46">
        <f t="shared" si="6"/>
        <v>72.61904761904762</v>
      </c>
      <c r="V21" s="21">
        <f>U21*74000/75</f>
        <v>71650.793650793654</v>
      </c>
      <c r="W21" s="16">
        <f>V21*J21</f>
        <v>644857.14285714284</v>
      </c>
      <c r="X21" s="177"/>
      <c r="Y21" s="246"/>
    </row>
    <row r="22" spans="1:25" ht="13" customHeight="1">
      <c r="A22" s="222"/>
      <c r="B22" s="247"/>
      <c r="C22" s="224"/>
      <c r="D22" s="227"/>
      <c r="E22" s="227"/>
      <c r="F22" s="230"/>
      <c r="G22" s="177"/>
      <c r="H22" s="177"/>
      <c r="I22" s="26" t="s">
        <v>51</v>
      </c>
      <c r="J22" s="14">
        <v>17</v>
      </c>
      <c r="K22" s="14">
        <v>42000000</v>
      </c>
      <c r="L22" s="14">
        <v>55580000</v>
      </c>
      <c r="M22" s="14">
        <v>48283600</v>
      </c>
      <c r="N22" s="14">
        <v>0</v>
      </c>
      <c r="O22" s="14">
        <v>0</v>
      </c>
      <c r="P22" s="14">
        <f t="shared" si="4"/>
        <v>48283600</v>
      </c>
      <c r="Q22" s="14">
        <v>14180000</v>
      </c>
      <c r="R22" s="45">
        <f t="shared" si="3"/>
        <v>0.25512774379273118</v>
      </c>
      <c r="S22" s="14">
        <v>1680000</v>
      </c>
      <c r="T22" s="26">
        <f t="shared" si="5"/>
        <v>37645114.069809288</v>
      </c>
      <c r="U22" s="46">
        <f t="shared" si="6"/>
        <v>89.63122397573639</v>
      </c>
      <c r="V22" s="21">
        <f>U22*109000/90</f>
        <v>108553.37125950296</v>
      </c>
      <c r="W22" s="16">
        <f t="shared" si="7"/>
        <v>1845407.3114115505</v>
      </c>
      <c r="X22" s="177"/>
      <c r="Y22" s="246"/>
    </row>
    <row r="23" spans="1:25" ht="13" customHeight="1">
      <c r="A23" s="222"/>
      <c r="B23" s="247" t="str">
        <f>B19</f>
        <v>Nguyễn Thị Thương Huyền</v>
      </c>
      <c r="C23" s="224"/>
      <c r="D23" s="227"/>
      <c r="E23" s="227"/>
      <c r="F23" s="230"/>
      <c r="G23" s="177"/>
      <c r="H23" s="177"/>
      <c r="I23" s="23" t="s">
        <v>52</v>
      </c>
      <c r="J23" s="23">
        <v>9</v>
      </c>
      <c r="K23" s="23">
        <v>31500000</v>
      </c>
      <c r="L23" s="14">
        <v>41668000</v>
      </c>
      <c r="M23" s="14">
        <v>38168000</v>
      </c>
      <c r="N23" s="14">
        <v>0</v>
      </c>
      <c r="O23" s="14">
        <v>0</v>
      </c>
      <c r="P23" s="14">
        <f t="shared" si="4"/>
        <v>38168000</v>
      </c>
      <c r="Q23" s="14">
        <v>10168000</v>
      </c>
      <c r="R23" s="45">
        <f t="shared" si="3"/>
        <v>0.24402419122588076</v>
      </c>
      <c r="S23" s="14">
        <v>700000</v>
      </c>
      <c r="T23" s="26">
        <f t="shared" si="5"/>
        <v>29554084.669290584</v>
      </c>
      <c r="U23" s="46">
        <f t="shared" si="6"/>
        <v>93.822491013620905</v>
      </c>
      <c r="V23" s="21">
        <f>U23*119000/95</f>
        <v>117525.01505916724</v>
      </c>
      <c r="W23" s="16">
        <f t="shared" si="7"/>
        <v>1057725.1355325051</v>
      </c>
      <c r="X23" s="178"/>
      <c r="Y23" s="246"/>
    </row>
    <row r="24" spans="1:25" ht="13" customHeight="1">
      <c r="A24" s="222"/>
      <c r="B24" s="247" t="str">
        <f>B23</f>
        <v>Nguyễn Thị Thương Huyền</v>
      </c>
      <c r="C24" s="224"/>
      <c r="D24" s="227"/>
      <c r="E24" s="227"/>
      <c r="F24" s="230"/>
      <c r="G24" s="177"/>
      <c r="H24" s="177"/>
      <c r="I24" s="26" t="s">
        <v>53</v>
      </c>
      <c r="J24" s="26">
        <v>10</v>
      </c>
      <c r="K24" s="26">
        <v>36200000</v>
      </c>
      <c r="L24" s="23">
        <v>48810000</v>
      </c>
      <c r="M24" s="23">
        <v>45810000</v>
      </c>
      <c r="N24" s="23">
        <v>2700000</v>
      </c>
      <c r="O24" s="23">
        <v>0</v>
      </c>
      <c r="P24" s="14">
        <f t="shared" si="4"/>
        <v>48510000</v>
      </c>
      <c r="Q24" s="23">
        <v>13110000</v>
      </c>
      <c r="R24" s="45">
        <f t="shared" si="3"/>
        <v>0.26859250153657038</v>
      </c>
      <c r="S24" s="23"/>
      <c r="T24" s="26">
        <f t="shared" si="5"/>
        <v>35480577.750460967</v>
      </c>
      <c r="U24" s="46">
        <f t="shared" si="6"/>
        <v>98.012645719505429</v>
      </c>
      <c r="V24" s="12">
        <f>U24*130000/100</f>
        <v>127416.43943535705</v>
      </c>
      <c r="W24" s="21">
        <f t="shared" si="7"/>
        <v>1274164.3943535704</v>
      </c>
      <c r="X24" s="178"/>
      <c r="Y24" s="246"/>
    </row>
    <row r="25" spans="1:25" ht="13" customHeight="1">
      <c r="A25" s="222"/>
      <c r="B25" s="247"/>
      <c r="C25" s="224"/>
      <c r="D25" s="227"/>
      <c r="E25" s="227"/>
      <c r="F25" s="230"/>
      <c r="G25" s="245"/>
      <c r="H25" s="245"/>
      <c r="I25" s="26" t="s">
        <v>54</v>
      </c>
      <c r="J25" s="26">
        <v>15</v>
      </c>
      <c r="K25" s="26">
        <v>61200000</v>
      </c>
      <c r="L25" s="25">
        <f>60361200+3700000</f>
        <v>64061200</v>
      </c>
      <c r="M25" s="26">
        <f>59345200+3700000</f>
        <v>63045200</v>
      </c>
      <c r="N25" s="26">
        <v>900000</v>
      </c>
      <c r="O25" s="26">
        <v>0</v>
      </c>
      <c r="P25" s="14">
        <f t="shared" si="4"/>
        <v>63945200</v>
      </c>
      <c r="Q25" s="26">
        <v>13861200</v>
      </c>
      <c r="R25" s="45">
        <f t="shared" si="3"/>
        <v>0.21637434203542863</v>
      </c>
      <c r="S25" s="26">
        <f>760000+1900000</f>
        <v>2660000</v>
      </c>
      <c r="T25" s="26">
        <f t="shared" si="5"/>
        <v>52769099.423676111</v>
      </c>
      <c r="U25" s="46">
        <f t="shared" si="6"/>
        <v>86.224018666137439</v>
      </c>
      <c r="V25" s="12">
        <f>U25*100000/85</f>
        <v>101440.0219601617</v>
      </c>
      <c r="W25" s="21">
        <f t="shared" si="7"/>
        <v>1521600.3294024256</v>
      </c>
      <c r="X25" s="178"/>
      <c r="Y25" s="246"/>
    </row>
    <row r="26" spans="1:25" ht="13" customHeight="1">
      <c r="A26" s="222"/>
      <c r="B26" s="247"/>
      <c r="C26" s="224"/>
      <c r="D26" s="227"/>
      <c r="E26" s="227"/>
      <c r="F26" s="230"/>
      <c r="G26" s="245"/>
      <c r="H26" s="245"/>
      <c r="I26" s="26" t="s">
        <v>55</v>
      </c>
      <c r="J26" s="26">
        <v>16</v>
      </c>
      <c r="K26" s="26">
        <v>68800000</v>
      </c>
      <c r="L26" s="25">
        <f>88042258.0645161-12000000</f>
        <v>76042258.064516097</v>
      </c>
      <c r="M26" s="26">
        <f>89115000-12000000</f>
        <v>77115000</v>
      </c>
      <c r="N26" s="26">
        <v>-43200</v>
      </c>
      <c r="O26" s="26">
        <v>0</v>
      </c>
      <c r="P26" s="23">
        <f t="shared" si="4"/>
        <v>77071800</v>
      </c>
      <c r="Q26" s="26">
        <v>15010000</v>
      </c>
      <c r="R26" s="45">
        <f t="shared" si="3"/>
        <v>0.19739024566136834</v>
      </c>
      <c r="S26" s="26"/>
      <c r="T26" s="26">
        <f t="shared" si="5"/>
        <v>61858578.464436151</v>
      </c>
      <c r="U26" s="46">
        <f t="shared" si="6"/>
        <v>89.910724512261851</v>
      </c>
      <c r="V26" s="12">
        <f>U26*109000/90</f>
        <v>108891.87746485045</v>
      </c>
      <c r="W26" s="16">
        <f t="shared" si="7"/>
        <v>1742270.0394376072</v>
      </c>
      <c r="X26" s="178"/>
      <c r="Y26" s="246"/>
    </row>
    <row r="27" spans="1:25" ht="13" customHeight="1">
      <c r="A27" s="264"/>
      <c r="B27" s="265"/>
      <c r="C27" s="258"/>
      <c r="D27" s="227"/>
      <c r="E27" s="227"/>
      <c r="F27" s="230"/>
      <c r="G27" s="245"/>
      <c r="H27" s="245"/>
      <c r="I27" s="26" t="s">
        <v>93</v>
      </c>
      <c r="J27" s="14">
        <v>10</v>
      </c>
      <c r="K27" s="14">
        <v>47000000</v>
      </c>
      <c r="L27" s="25">
        <v>60329000</v>
      </c>
      <c r="M27" s="30">
        <v>60329000</v>
      </c>
      <c r="N27" s="26">
        <v>0</v>
      </c>
      <c r="O27" s="26">
        <v>0</v>
      </c>
      <c r="P27" s="23">
        <f t="shared" si="4"/>
        <v>60329000</v>
      </c>
      <c r="Q27" s="26">
        <v>13929000</v>
      </c>
      <c r="R27" s="45">
        <f t="shared" si="3"/>
        <v>0.23088398614265113</v>
      </c>
      <c r="S27" s="26"/>
      <c r="T27" s="26">
        <f t="shared" si="5"/>
        <v>46400000</v>
      </c>
      <c r="U27" s="46">
        <f t="shared" si="6"/>
        <v>98.723404255319153</v>
      </c>
      <c r="V27" s="12">
        <f>U27*130000/100</f>
        <v>128340.42553191491</v>
      </c>
      <c r="W27" s="16">
        <f t="shared" si="7"/>
        <v>1283404.255319149</v>
      </c>
      <c r="X27" s="178"/>
      <c r="Y27" s="246"/>
    </row>
    <row r="28" spans="1:25" ht="13" customHeight="1">
      <c r="A28" s="264"/>
      <c r="B28" s="265"/>
      <c r="C28" s="258"/>
      <c r="D28" s="227"/>
      <c r="E28" s="227"/>
      <c r="F28" s="230"/>
      <c r="G28" s="245"/>
      <c r="H28" s="245"/>
      <c r="I28" s="26" t="s">
        <v>197</v>
      </c>
      <c r="J28" s="26">
        <v>17</v>
      </c>
      <c r="K28" s="26">
        <v>76700000</v>
      </c>
      <c r="L28" s="25">
        <f>87819000+4500000</f>
        <v>92319000</v>
      </c>
      <c r="M28" s="30">
        <f>88017000+4500000</f>
        <v>92517000</v>
      </c>
      <c r="N28" s="26">
        <v>0</v>
      </c>
      <c r="O28" s="26">
        <v>0</v>
      </c>
      <c r="P28" s="26">
        <f t="shared" si="4"/>
        <v>92517000</v>
      </c>
      <c r="Q28" s="26">
        <v>17919000</v>
      </c>
      <c r="R28" s="45">
        <f t="shared" si="3"/>
        <v>0.19409872290644395</v>
      </c>
      <c r="S28" s="26"/>
      <c r="T28" s="26">
        <f t="shared" si="5"/>
        <v>74559568.452864528</v>
      </c>
      <c r="U28" s="46">
        <f t="shared" si="6"/>
        <v>97.209346092391826</v>
      </c>
      <c r="V28" s="12">
        <f>U28*120000/95</f>
        <v>122790.75295881073</v>
      </c>
      <c r="W28" s="16">
        <f t="shared" si="7"/>
        <v>2087442.8002997823</v>
      </c>
      <c r="X28" s="178"/>
      <c r="Y28" s="246"/>
    </row>
    <row r="29" spans="1:25" ht="13" customHeight="1">
      <c r="A29" s="264"/>
      <c r="B29" s="265"/>
      <c r="C29" s="258"/>
      <c r="D29" s="227"/>
      <c r="E29" s="227"/>
      <c r="F29" s="230"/>
      <c r="G29" s="245"/>
      <c r="H29" s="245"/>
      <c r="I29" s="30" t="s">
        <v>209</v>
      </c>
      <c r="J29" s="30">
        <v>26</v>
      </c>
      <c r="K29" s="30">
        <v>104700000</v>
      </c>
      <c r="L29" s="29">
        <f>131239406.451613-3700000</f>
        <v>127539406.45161299</v>
      </c>
      <c r="M29" s="30">
        <f>115529000-3700000</f>
        <v>111829000</v>
      </c>
      <c r="N29" s="30">
        <v>4854600</v>
      </c>
      <c r="O29" s="30">
        <v>0</v>
      </c>
      <c r="P29" s="26">
        <f t="shared" si="4"/>
        <v>116683600</v>
      </c>
      <c r="Q29" s="84">
        <v>30600696.774193548</v>
      </c>
      <c r="R29" s="45">
        <f t="shared" si="3"/>
        <v>0.23993130927579709</v>
      </c>
      <c r="S29" s="26">
        <v>1830000</v>
      </c>
      <c r="T29" s="26">
        <f t="shared" si="5"/>
        <v>90517551.080986604</v>
      </c>
      <c r="U29" s="46">
        <f t="shared" si="6"/>
        <v>86.454203515746514</v>
      </c>
      <c r="V29" s="12">
        <f>U29*100000/85</f>
        <v>101710.82766558413</v>
      </c>
      <c r="W29" s="16">
        <f>V29*J29</f>
        <v>2644481.5193051873</v>
      </c>
      <c r="X29" s="178"/>
      <c r="Y29" s="246"/>
    </row>
    <row r="30" spans="1:25" ht="13" customHeight="1">
      <c r="A30" s="179"/>
      <c r="B30" s="180" t="e">
        <f>#REF!</f>
        <v>#REF!</v>
      </c>
      <c r="C30" s="225"/>
      <c r="D30" s="228"/>
      <c r="E30" s="228"/>
      <c r="F30" s="231"/>
      <c r="G30" s="245"/>
      <c r="H30" s="245"/>
      <c r="I30" s="127">
        <v>11</v>
      </c>
      <c r="J30" s="128">
        <f>SUM(J19:J29)</f>
        <v>159</v>
      </c>
      <c r="K30" s="128">
        <f>SUM(K19:K29)</f>
        <v>641700000</v>
      </c>
      <c r="L30" s="128">
        <f>SUM(L19:L29)</f>
        <v>761141864.51612902</v>
      </c>
      <c r="M30" s="128">
        <f>SUM(M19:M29)</f>
        <v>712951800</v>
      </c>
      <c r="N30" s="128">
        <f t="shared" ref="N30" si="8">SUM(N19:N29)</f>
        <v>19238400</v>
      </c>
      <c r="O30" s="128">
        <f>SUM(O19:O29)</f>
        <v>0</v>
      </c>
      <c r="P30" s="128">
        <f>SUM(P19:P29)</f>
        <v>732190200</v>
      </c>
      <c r="Q30" s="60">
        <f>SUM(Q19:Q29)</f>
        <v>177770896.77419356</v>
      </c>
      <c r="R30" s="61"/>
      <c r="S30" s="60">
        <f>SUM(S19:S29)</f>
        <v>10920000</v>
      </c>
      <c r="T30" s="129">
        <f>SUM(T19:T29)</f>
        <v>572623290.2772733</v>
      </c>
      <c r="U30" s="55">
        <f>(T30/K30)*100</f>
        <v>89.235357686967944</v>
      </c>
      <c r="V30" s="62"/>
      <c r="W30" s="62">
        <f>SUM(W19:W29)</f>
        <v>17076669.64174588</v>
      </c>
      <c r="X30" s="178"/>
      <c r="Y30" s="246"/>
    </row>
    <row r="31" spans="1:25" ht="13" customHeight="1">
      <c r="A31" s="222" t="s">
        <v>46</v>
      </c>
      <c r="B31" s="247" t="s">
        <v>57</v>
      </c>
      <c r="C31" s="223" t="s">
        <v>35</v>
      </c>
      <c r="D31" s="226">
        <v>0</v>
      </c>
      <c r="E31" s="226">
        <v>500000</v>
      </c>
      <c r="F31" s="242">
        <f>500000</f>
        <v>500000</v>
      </c>
      <c r="G31" s="181">
        <v>0</v>
      </c>
      <c r="H31" s="181"/>
      <c r="I31" s="36" t="s">
        <v>129</v>
      </c>
      <c r="J31" s="26">
        <v>12</v>
      </c>
      <c r="K31" s="26">
        <v>48900000</v>
      </c>
      <c r="L31" s="56">
        <f>58002000-3000000</f>
        <v>55002000</v>
      </c>
      <c r="M31" s="56">
        <f>57995000-3000000</f>
        <v>54995000</v>
      </c>
      <c r="N31" s="37">
        <v>0</v>
      </c>
      <c r="O31" s="37">
        <v>0</v>
      </c>
      <c r="P31" s="26">
        <f t="shared" ref="P31:P32" si="9">SUM(M31:O31)</f>
        <v>54995000</v>
      </c>
      <c r="Q31" s="56">
        <v>10738000</v>
      </c>
      <c r="R31" s="65">
        <f t="shared" ref="R31:R32" si="10">Q31/L31</f>
        <v>0.19522926439038579</v>
      </c>
      <c r="S31" s="56">
        <v>1000000</v>
      </c>
      <c r="T31" s="26">
        <f t="shared" ref="T31:T32" si="11">P31-(P31*R31)+S31</f>
        <v>45258366.604850732</v>
      </c>
      <c r="U31" s="67">
        <f t="shared" ref="U31:U32" si="12">(T31/K31)*100</f>
        <v>92.552896942435041</v>
      </c>
      <c r="V31" s="12">
        <f>U31*119000/95</f>
        <v>115934.68143315546</v>
      </c>
      <c r="W31" s="21">
        <f t="shared" ref="W31:W44" si="13">V31*J31</f>
        <v>1391216.1771978657</v>
      </c>
      <c r="X31" s="181">
        <f>W45+D31+F31+H34+G31+E31</f>
        <v>23986066.352583937</v>
      </c>
      <c r="Y31" s="57"/>
    </row>
    <row r="32" spans="1:25" ht="13" customHeight="1">
      <c r="A32" s="222"/>
      <c r="B32" s="247"/>
      <c r="C32" s="224"/>
      <c r="D32" s="227"/>
      <c r="E32" s="227"/>
      <c r="F32" s="243"/>
      <c r="G32" s="244"/>
      <c r="H32" s="244"/>
      <c r="I32" s="130" t="s">
        <v>116</v>
      </c>
      <c r="J32" s="14">
        <v>11</v>
      </c>
      <c r="K32" s="14">
        <v>43800000</v>
      </c>
      <c r="L32" s="56">
        <f>58744806.4516129-3200000</f>
        <v>55544806.451612897</v>
      </c>
      <c r="M32" s="56">
        <f>54180000-3200000</f>
        <v>50980000</v>
      </c>
      <c r="N32" s="37">
        <v>0</v>
      </c>
      <c r="O32" s="37">
        <v>0</v>
      </c>
      <c r="P32" s="44">
        <f t="shared" si="9"/>
        <v>50980000</v>
      </c>
      <c r="Q32" s="56">
        <v>14919000</v>
      </c>
      <c r="R32" s="65">
        <f t="shared" si="10"/>
        <v>0.26859396860076351</v>
      </c>
      <c r="S32" s="66">
        <v>3466666.666666667</v>
      </c>
      <c r="T32" s="66">
        <f t="shared" si="11"/>
        <v>40753746.147399738</v>
      </c>
      <c r="U32" s="67">
        <f t="shared" si="12"/>
        <v>93.045082528309905</v>
      </c>
      <c r="V32" s="12">
        <f>U32*119000/95</f>
        <v>116551.20864072505</v>
      </c>
      <c r="W32" s="21">
        <f t="shared" si="13"/>
        <v>1282063.2950479756</v>
      </c>
      <c r="X32" s="244"/>
      <c r="Y32" s="57"/>
    </row>
    <row r="33" spans="1:25" ht="13" customHeight="1">
      <c r="A33" s="222"/>
      <c r="B33" s="247"/>
      <c r="C33" s="224"/>
      <c r="D33" s="227"/>
      <c r="E33" s="227"/>
      <c r="F33" s="243"/>
      <c r="G33" s="244"/>
      <c r="H33" s="244"/>
      <c r="I33" s="14" t="s">
        <v>58</v>
      </c>
      <c r="J33" s="14">
        <v>18</v>
      </c>
      <c r="K33" s="14">
        <v>88300000</v>
      </c>
      <c r="L33" s="14">
        <f>113460000-4400000</f>
        <v>109060000</v>
      </c>
      <c r="M33" s="123">
        <f>93275000-4400000</f>
        <v>88875000</v>
      </c>
      <c r="N33" s="66">
        <v>6696900</v>
      </c>
      <c r="O33" s="66">
        <v>0</v>
      </c>
      <c r="P33" s="44">
        <f>SUM(M33:O33)</f>
        <v>95571900</v>
      </c>
      <c r="Q33" s="66">
        <v>26960000</v>
      </c>
      <c r="R33" s="65">
        <f>Q33/L33</f>
        <v>0.24720337428938199</v>
      </c>
      <c r="S33" s="66">
        <v>5360000</v>
      </c>
      <c r="T33" s="66">
        <f>P33-(P33*R33)+S33</f>
        <v>77306203.832752615</v>
      </c>
      <c r="U33" s="67">
        <f>(T33/K33)*100</f>
        <v>87.549494714329128</v>
      </c>
      <c r="V33" s="12">
        <f>U33*109000/90</f>
        <v>106032.16582068749</v>
      </c>
      <c r="W33" s="21">
        <f t="shared" si="13"/>
        <v>1908578.9847723749</v>
      </c>
      <c r="X33" s="244"/>
      <c r="Y33" s="57"/>
    </row>
    <row r="34" spans="1:25" ht="13" customHeight="1">
      <c r="A34" s="222"/>
      <c r="B34" s="247"/>
      <c r="C34" s="224"/>
      <c r="D34" s="227"/>
      <c r="E34" s="227"/>
      <c r="F34" s="243"/>
      <c r="G34" s="244"/>
      <c r="H34" s="244"/>
      <c r="I34" s="66" t="s">
        <v>59</v>
      </c>
      <c r="J34" s="14">
        <f>7+1</f>
        <v>8</v>
      </c>
      <c r="K34" s="14">
        <f>27000000+8500000</f>
        <v>35500000</v>
      </c>
      <c r="L34" s="14">
        <f>48549612.9032258-7800000</f>
        <v>40749612.903225802</v>
      </c>
      <c r="M34" s="64">
        <f>35605000-7800000</f>
        <v>27805000</v>
      </c>
      <c r="N34" s="14">
        <v>6652800</v>
      </c>
      <c r="O34" s="14">
        <v>0</v>
      </c>
      <c r="P34" s="14">
        <f>SUM(M34:O34)</f>
        <v>34457800</v>
      </c>
      <c r="Q34" s="14">
        <v>8198000</v>
      </c>
      <c r="R34" s="65">
        <f>Q34/L34</f>
        <v>0.2011798251794199</v>
      </c>
      <c r="S34" s="14">
        <v>2750000</v>
      </c>
      <c r="T34" s="66">
        <f>P34-(P34*R34)+S34</f>
        <v>30275585.819932584</v>
      </c>
      <c r="U34" s="67">
        <f>(T34/K34)*100</f>
        <v>85.283340337838268</v>
      </c>
      <c r="V34" s="12">
        <f>U34*100000/85</f>
        <v>100333.34157392738</v>
      </c>
      <c r="W34" s="21">
        <f t="shared" si="13"/>
        <v>802666.73259141902</v>
      </c>
      <c r="X34" s="244"/>
      <c r="Y34" s="246"/>
    </row>
    <row r="35" spans="1:25" ht="13" customHeight="1">
      <c r="A35" s="222"/>
      <c r="B35" s="247"/>
      <c r="C35" s="224"/>
      <c r="D35" s="227"/>
      <c r="E35" s="227"/>
      <c r="F35" s="243"/>
      <c r="G35" s="244"/>
      <c r="H35" s="244"/>
      <c r="I35" s="14" t="s">
        <v>60</v>
      </c>
      <c r="J35" s="14">
        <v>14</v>
      </c>
      <c r="K35" s="14">
        <v>54800000</v>
      </c>
      <c r="L35" s="14">
        <f>75460709.6774193-10500000</f>
        <v>64960709.677419305</v>
      </c>
      <c r="M35" s="64">
        <f>61580000-10500000</f>
        <v>51080000</v>
      </c>
      <c r="N35" s="14">
        <v>8584200</v>
      </c>
      <c r="O35" s="14">
        <v>0</v>
      </c>
      <c r="P35" s="14">
        <f t="shared" ref="P35:P44" si="14">SUM(M35:O35)</f>
        <v>59664200</v>
      </c>
      <c r="Q35" s="14">
        <v>12722000</v>
      </c>
      <c r="R35" s="45">
        <f t="shared" si="3"/>
        <v>0.19584145652309948</v>
      </c>
      <c r="S35" s="14">
        <v>700000</v>
      </c>
      <c r="T35" s="26">
        <f t="shared" ref="T35:T82" si="15">P35-(P35*R35)+S35</f>
        <v>48679476.169714488</v>
      </c>
      <c r="U35" s="67">
        <f t="shared" ref="U35:U43" si="16">(T35/K35)*100</f>
        <v>88.831160893639577</v>
      </c>
      <c r="V35" s="12">
        <f>U35*109000/90</f>
        <v>107584.40597118571</v>
      </c>
      <c r="W35" s="21">
        <f t="shared" si="13"/>
        <v>1506181.6835965998</v>
      </c>
      <c r="X35" s="244"/>
      <c r="Y35" s="246"/>
    </row>
    <row r="36" spans="1:25" ht="13" customHeight="1">
      <c r="A36" s="222"/>
      <c r="B36" s="247"/>
      <c r="C36" s="224"/>
      <c r="D36" s="227"/>
      <c r="E36" s="227"/>
      <c r="F36" s="243"/>
      <c r="G36" s="244"/>
      <c r="H36" s="244"/>
      <c r="I36" s="14" t="s">
        <v>61</v>
      </c>
      <c r="J36" s="14">
        <v>13</v>
      </c>
      <c r="K36" s="14">
        <v>49600000</v>
      </c>
      <c r="L36" s="14">
        <v>62246839</v>
      </c>
      <c r="M36" s="64">
        <v>57170000</v>
      </c>
      <c r="N36" s="14">
        <v>3848400</v>
      </c>
      <c r="O36" s="14">
        <v>700000</v>
      </c>
      <c r="P36" s="14">
        <f t="shared" si="14"/>
        <v>61718400</v>
      </c>
      <c r="Q36" s="14">
        <v>14603000</v>
      </c>
      <c r="R36" s="45">
        <f t="shared" si="3"/>
        <v>0.23459825807379553</v>
      </c>
      <c r="S36" s="14"/>
      <c r="T36" s="26">
        <f t="shared" si="15"/>
        <v>47239370.868898258</v>
      </c>
      <c r="U36" s="67">
        <f t="shared" si="16"/>
        <v>95.240667074391652</v>
      </c>
      <c r="V36" s="12">
        <f>U36*120000/95</f>
        <v>120304.00051502103</v>
      </c>
      <c r="W36" s="21">
        <f t="shared" si="13"/>
        <v>1563952.0066952733</v>
      </c>
      <c r="X36" s="244"/>
      <c r="Y36" s="246"/>
    </row>
    <row r="37" spans="1:25" ht="13" customHeight="1">
      <c r="A37" s="222"/>
      <c r="B37" s="247"/>
      <c r="C37" s="224"/>
      <c r="D37" s="227"/>
      <c r="E37" s="227"/>
      <c r="F37" s="243"/>
      <c r="G37" s="244"/>
      <c r="H37" s="244"/>
      <c r="I37" s="14" t="s">
        <v>62</v>
      </c>
      <c r="J37" s="14">
        <v>13</v>
      </c>
      <c r="K37" s="14">
        <v>46800000</v>
      </c>
      <c r="L37" s="14">
        <v>59876000</v>
      </c>
      <c r="M37" s="64">
        <v>54902000</v>
      </c>
      <c r="N37" s="14">
        <v>0</v>
      </c>
      <c r="O37" s="14">
        <v>0</v>
      </c>
      <c r="P37" s="14">
        <f t="shared" si="14"/>
        <v>54902000</v>
      </c>
      <c r="Q37" s="14">
        <v>15076000</v>
      </c>
      <c r="R37" s="45">
        <f t="shared" si="3"/>
        <v>0.25178702652147772</v>
      </c>
      <c r="S37" s="14">
        <v>3206666.6666666665</v>
      </c>
      <c r="T37" s="26">
        <f t="shared" si="15"/>
        <v>44285055.336584494</v>
      </c>
      <c r="U37" s="67">
        <f t="shared" si="16"/>
        <v>94.626186616633532</v>
      </c>
      <c r="V37" s="12">
        <f>U37*119000/95</f>
        <v>118531.74955136199</v>
      </c>
      <c r="W37" s="21">
        <f t="shared" si="13"/>
        <v>1540912.744167706</v>
      </c>
      <c r="X37" s="244"/>
      <c r="Y37" s="246"/>
    </row>
    <row r="38" spans="1:25" ht="13" customHeight="1">
      <c r="A38" s="222"/>
      <c r="B38" s="247"/>
      <c r="C38" s="224"/>
      <c r="D38" s="227"/>
      <c r="E38" s="227"/>
      <c r="F38" s="243"/>
      <c r="G38" s="244"/>
      <c r="H38" s="244"/>
      <c r="I38" s="14" t="s">
        <v>63</v>
      </c>
      <c r="J38" s="14">
        <v>10</v>
      </c>
      <c r="K38" s="14">
        <v>30000000</v>
      </c>
      <c r="L38" s="14">
        <v>31988000</v>
      </c>
      <c r="M38" s="64">
        <v>31988000</v>
      </c>
      <c r="N38" s="14">
        <v>0</v>
      </c>
      <c r="O38" s="14">
        <v>0</v>
      </c>
      <c r="P38" s="23">
        <f t="shared" si="14"/>
        <v>31988000</v>
      </c>
      <c r="Q38" s="14">
        <v>6688000</v>
      </c>
      <c r="R38" s="45">
        <f t="shared" si="3"/>
        <v>0.20907840440165062</v>
      </c>
      <c r="S38" s="14">
        <v>2100000</v>
      </c>
      <c r="T38" s="26">
        <f>P38-(P38*R38)+S38</f>
        <v>27400000</v>
      </c>
      <c r="U38" s="67">
        <f t="shared" si="16"/>
        <v>91.333333333333329</v>
      </c>
      <c r="V38" s="12">
        <f>U38*110000/90</f>
        <v>111629.62962962962</v>
      </c>
      <c r="W38" s="21">
        <f t="shared" si="13"/>
        <v>1116296.2962962962</v>
      </c>
      <c r="X38" s="244"/>
      <c r="Y38" s="246"/>
    </row>
    <row r="39" spans="1:25" ht="13" customHeight="1">
      <c r="A39" s="222"/>
      <c r="B39" s="247"/>
      <c r="C39" s="224"/>
      <c r="D39" s="227"/>
      <c r="E39" s="227"/>
      <c r="F39" s="243"/>
      <c r="G39" s="244"/>
      <c r="H39" s="244"/>
      <c r="I39" s="23" t="s">
        <v>64</v>
      </c>
      <c r="J39" s="23">
        <f>18+1</f>
        <v>19</v>
      </c>
      <c r="K39" s="23">
        <v>87300000</v>
      </c>
      <c r="L39" s="14">
        <f>112977000+4400000-4300000</f>
        <v>113077000</v>
      </c>
      <c r="M39" s="64">
        <f>113057000-4300000+4400000</f>
        <v>113157000</v>
      </c>
      <c r="N39" s="14">
        <v>0</v>
      </c>
      <c r="O39" s="44">
        <v>0</v>
      </c>
      <c r="P39" s="26">
        <f>SUM(M39:O39)</f>
        <v>113157000</v>
      </c>
      <c r="Q39" s="14">
        <v>26227000</v>
      </c>
      <c r="R39" s="45">
        <f t="shared" si="3"/>
        <v>0.23193929800047755</v>
      </c>
      <c r="S39" s="14"/>
      <c r="T39" s="26">
        <f t="shared" si="15"/>
        <v>86911444.856159955</v>
      </c>
      <c r="U39" s="67">
        <f t="shared" si="16"/>
        <v>99.554919651958713</v>
      </c>
      <c r="V39" s="13">
        <f>U39*130000/100</f>
        <v>129421.39554754633</v>
      </c>
      <c r="W39" s="21">
        <f t="shared" si="13"/>
        <v>2459006.5154033802</v>
      </c>
      <c r="X39" s="244"/>
      <c r="Y39" s="246"/>
    </row>
    <row r="40" spans="1:25" ht="14">
      <c r="A40" s="222"/>
      <c r="B40" s="247"/>
      <c r="C40" s="224"/>
      <c r="D40" s="227"/>
      <c r="E40" s="227"/>
      <c r="F40" s="243"/>
      <c r="G40" s="244"/>
      <c r="H40" s="244"/>
      <c r="I40" s="26" t="s">
        <v>65</v>
      </c>
      <c r="J40" s="26">
        <v>15</v>
      </c>
      <c r="K40" s="26">
        <v>59400000</v>
      </c>
      <c r="L40" s="23">
        <f>66761174.1935484-9000000</f>
        <v>57761174.193548404</v>
      </c>
      <c r="M40" s="64">
        <f>60963400-9000000</f>
        <v>51963400</v>
      </c>
      <c r="N40" s="23">
        <v>8298000</v>
      </c>
      <c r="O40" s="32">
        <v>0</v>
      </c>
      <c r="P40" s="26">
        <f t="shared" si="14"/>
        <v>60261400</v>
      </c>
      <c r="Q40" s="23">
        <v>12624400</v>
      </c>
      <c r="R40" s="45">
        <f t="shared" si="3"/>
        <v>0.2185620388826873</v>
      </c>
      <c r="S40" s="23">
        <v>4540000</v>
      </c>
      <c r="T40" s="26">
        <f t="shared" si="15"/>
        <v>51630545.550074831</v>
      </c>
      <c r="U40" s="67">
        <f t="shared" si="16"/>
        <v>86.920110353661329</v>
      </c>
      <c r="V40" s="13">
        <f>U40*100000/85</f>
        <v>102258.95335724863</v>
      </c>
      <c r="W40" s="21">
        <f t="shared" si="13"/>
        <v>1533884.3003587294</v>
      </c>
      <c r="X40" s="244"/>
      <c r="Y40" s="246"/>
    </row>
    <row r="41" spans="1:25" ht="14">
      <c r="A41" s="222"/>
      <c r="B41" s="247"/>
      <c r="C41" s="224"/>
      <c r="D41" s="227"/>
      <c r="E41" s="227"/>
      <c r="F41" s="243"/>
      <c r="G41" s="244"/>
      <c r="H41" s="244"/>
      <c r="I41" s="66" t="s">
        <v>66</v>
      </c>
      <c r="J41" s="26">
        <v>9</v>
      </c>
      <c r="K41" s="26">
        <v>27100000</v>
      </c>
      <c r="L41" s="26">
        <f>36494322.5806452-2800000</f>
        <v>33694322.580645204</v>
      </c>
      <c r="M41" s="64">
        <f>32749000-2800000</f>
        <v>29949000</v>
      </c>
      <c r="N41" s="26">
        <v>0</v>
      </c>
      <c r="O41" s="47">
        <v>0</v>
      </c>
      <c r="P41" s="26">
        <f t="shared" si="14"/>
        <v>29949000</v>
      </c>
      <c r="Q41" s="26">
        <v>7904000</v>
      </c>
      <c r="R41" s="45">
        <f>Q41/L41</f>
        <v>0.23457957883208017</v>
      </c>
      <c r="S41" s="26">
        <v>2030000</v>
      </c>
      <c r="T41" s="26">
        <f t="shared" si="15"/>
        <v>24953576.19355803</v>
      </c>
      <c r="U41" s="67">
        <f t="shared" si="16"/>
        <v>92.079616950398631</v>
      </c>
      <c r="V41" s="16">
        <f>U41*110000/90</f>
        <v>112541.75405048722</v>
      </c>
      <c r="W41" s="21">
        <f t="shared" si="13"/>
        <v>1012875.7864543849</v>
      </c>
      <c r="X41" s="244"/>
      <c r="Y41" s="246"/>
    </row>
    <row r="42" spans="1:25" ht="14">
      <c r="A42" s="222"/>
      <c r="B42" s="247"/>
      <c r="C42" s="224"/>
      <c r="D42" s="227"/>
      <c r="E42" s="227"/>
      <c r="F42" s="243"/>
      <c r="G42" s="244"/>
      <c r="H42" s="244"/>
      <c r="I42" s="66" t="s">
        <v>67</v>
      </c>
      <c r="J42" s="26">
        <v>18</v>
      </c>
      <c r="K42" s="26">
        <f>4500000*18</f>
        <v>81000000</v>
      </c>
      <c r="L42" s="26">
        <v>100990000</v>
      </c>
      <c r="M42" s="64">
        <v>100384000</v>
      </c>
      <c r="N42" s="26">
        <v>0</v>
      </c>
      <c r="O42" s="26">
        <v>0</v>
      </c>
      <c r="P42" s="26">
        <f t="shared" si="14"/>
        <v>100384000</v>
      </c>
      <c r="Q42" s="26">
        <v>22390000</v>
      </c>
      <c r="R42" s="45">
        <f t="shared" si="3"/>
        <v>0.22170511931874443</v>
      </c>
      <c r="S42" s="26"/>
      <c r="T42" s="26">
        <f t="shared" si="15"/>
        <v>78128353.302307159</v>
      </c>
      <c r="U42" s="67">
        <f t="shared" si="16"/>
        <v>96.45475716334218</v>
      </c>
      <c r="V42" s="16">
        <f>U42*120000/95</f>
        <v>121837.58799580066</v>
      </c>
      <c r="W42" s="21">
        <f t="shared" si="13"/>
        <v>2193076.5839244118</v>
      </c>
      <c r="X42" s="244"/>
      <c r="Y42" s="246"/>
    </row>
    <row r="43" spans="1:25" ht="14">
      <c r="A43" s="264"/>
      <c r="B43" s="265"/>
      <c r="C43" s="258"/>
      <c r="D43" s="227"/>
      <c r="E43" s="227"/>
      <c r="F43" s="243"/>
      <c r="G43" s="244"/>
      <c r="H43" s="244"/>
      <c r="I43" s="66" t="s">
        <v>95</v>
      </c>
      <c r="J43" s="26">
        <v>22</v>
      </c>
      <c r="K43" s="26">
        <v>102700000</v>
      </c>
      <c r="L43" s="26">
        <f>134826758-11000000</f>
        <v>123826758</v>
      </c>
      <c r="M43" s="126">
        <f>129341000-11000000</f>
        <v>118341000</v>
      </c>
      <c r="N43" s="26">
        <v>972000</v>
      </c>
      <c r="O43" s="26">
        <v>700000</v>
      </c>
      <c r="P43" s="26">
        <f t="shared" si="14"/>
        <v>120013000</v>
      </c>
      <c r="Q43" s="26">
        <v>24965500</v>
      </c>
      <c r="R43" s="45">
        <f t="shared" si="3"/>
        <v>0.20161635823494628</v>
      </c>
      <c r="S43" s="26">
        <v>1650000</v>
      </c>
      <c r="T43" s="26">
        <f t="shared" si="15"/>
        <v>97466415.999149397</v>
      </c>
      <c r="U43" s="67">
        <f t="shared" si="16"/>
        <v>94.904007788850436</v>
      </c>
      <c r="V43" s="16">
        <f>U43*119000/95</f>
        <v>118879.75712498107</v>
      </c>
      <c r="W43" s="21">
        <f t="shared" si="13"/>
        <v>2615354.6567495838</v>
      </c>
      <c r="X43" s="244"/>
      <c r="Y43" s="246"/>
    </row>
    <row r="44" spans="1:25" ht="14">
      <c r="A44" s="264"/>
      <c r="B44" s="265"/>
      <c r="C44" s="258"/>
      <c r="D44" s="227"/>
      <c r="E44" s="227"/>
      <c r="F44" s="243"/>
      <c r="G44" s="244"/>
      <c r="H44" s="244"/>
      <c r="I44" s="66" t="s">
        <v>199</v>
      </c>
      <c r="J44" s="26">
        <v>17</v>
      </c>
      <c r="K44" s="26">
        <v>77500000</v>
      </c>
      <c r="L44" s="26">
        <v>96003000</v>
      </c>
      <c r="M44" s="136">
        <v>84511000</v>
      </c>
      <c r="N44" s="26">
        <v>0</v>
      </c>
      <c r="O44" s="26">
        <v>0</v>
      </c>
      <c r="P44" s="26">
        <f t="shared" si="14"/>
        <v>84511000</v>
      </c>
      <c r="Q44" s="26">
        <v>18703000</v>
      </c>
      <c r="R44" s="45">
        <f>Q44/L44</f>
        <v>0.19481682864077166</v>
      </c>
      <c r="S44" s="26">
        <f>5300000+1000000</f>
        <v>6300000</v>
      </c>
      <c r="T44" s="26">
        <f>P44-(P44*R44)+S44</f>
        <v>74346834.994739741</v>
      </c>
      <c r="U44" s="67">
        <f>(T44/K44)*100</f>
        <v>95.93139999321258</v>
      </c>
      <c r="V44" s="16">
        <f>U44*120000/95</f>
        <v>121176.50525458432</v>
      </c>
      <c r="W44" s="21">
        <f t="shared" si="13"/>
        <v>2060000.5893279335</v>
      </c>
      <c r="X44" s="244"/>
      <c r="Y44" s="246"/>
    </row>
    <row r="45" spans="1:25" ht="13" customHeight="1">
      <c r="A45" s="179"/>
      <c r="B45" s="274"/>
      <c r="C45" s="258"/>
      <c r="D45" s="227"/>
      <c r="E45" s="227"/>
      <c r="F45" s="248"/>
      <c r="G45" s="245"/>
      <c r="H45" s="245"/>
      <c r="I45" s="69">
        <v>14</v>
      </c>
      <c r="J45" s="52">
        <f>SUM(J31:J44)</f>
        <v>199</v>
      </c>
      <c r="K45" s="52">
        <f t="shared" ref="K45:P45" si="17">SUM(K31:K44)</f>
        <v>832700000</v>
      </c>
      <c r="L45" s="52">
        <f>SUM(L31:L44)</f>
        <v>1004780222.8064517</v>
      </c>
      <c r="M45" s="52">
        <f>SUM(M31:M44)</f>
        <v>916100400</v>
      </c>
      <c r="N45" s="52">
        <f>SUM(N31:N44)</f>
        <v>35052300</v>
      </c>
      <c r="O45" s="52">
        <f t="shared" si="17"/>
        <v>1400000</v>
      </c>
      <c r="P45" s="52">
        <f t="shared" si="17"/>
        <v>952552700</v>
      </c>
      <c r="Q45" s="52">
        <f>SUM(Q31:Q44)</f>
        <v>222717900</v>
      </c>
      <c r="R45" s="61"/>
      <c r="S45" s="52">
        <f>SUM(S31:S44)</f>
        <v>33103333.333333336</v>
      </c>
      <c r="T45" s="52">
        <f>SUM(T31:T44)</f>
        <v>774634975.67612207</v>
      </c>
      <c r="U45" s="55">
        <f>(T45/K45)*100</f>
        <v>93.026897523252316</v>
      </c>
      <c r="V45" s="70"/>
      <c r="W45" s="62">
        <f>SUM(W31:W44)</f>
        <v>22986066.352583937</v>
      </c>
      <c r="X45" s="245"/>
      <c r="Y45" s="246"/>
    </row>
    <row r="46" spans="1:25" ht="13" customHeight="1">
      <c r="A46" s="250" t="s">
        <v>56</v>
      </c>
      <c r="B46" s="180" t="s">
        <v>73</v>
      </c>
      <c r="C46" s="178" t="s">
        <v>35</v>
      </c>
      <c r="D46" s="177">
        <v>0</v>
      </c>
      <c r="E46" s="177">
        <v>500000</v>
      </c>
      <c r="F46" s="275">
        <v>500000</v>
      </c>
      <c r="G46" s="181">
        <v>0</v>
      </c>
      <c r="H46" s="181"/>
      <c r="I46" s="26" t="s">
        <v>36</v>
      </c>
      <c r="J46" s="116">
        <v>19</v>
      </c>
      <c r="K46" s="116">
        <v>71100000</v>
      </c>
      <c r="L46" s="72">
        <f>93033354.8387097-6800000</f>
        <v>86233354.838709697</v>
      </c>
      <c r="M46" s="72">
        <f>83946000-6800000</f>
        <v>77146000</v>
      </c>
      <c r="N46" s="72">
        <v>8076600</v>
      </c>
      <c r="O46" s="72">
        <v>0</v>
      </c>
      <c r="P46" s="26">
        <f>SUM(M46:O46)</f>
        <v>85222600</v>
      </c>
      <c r="Q46" s="121">
        <v>21014000</v>
      </c>
      <c r="R46" s="45">
        <f>Q46/L46</f>
        <v>0.24368760834255432</v>
      </c>
      <c r="S46" s="79"/>
      <c r="T46" s="26">
        <f>P46-(P46*R46)+S46</f>
        <v>64454908.429265827</v>
      </c>
      <c r="U46" s="46">
        <f>(T46/K46)*100</f>
        <v>90.653879647349967</v>
      </c>
      <c r="V46" s="16">
        <f>U46*110000/90</f>
        <v>110799.18623564996</v>
      </c>
      <c r="W46" s="16">
        <f>V46*J46</f>
        <v>2105184.5384773491</v>
      </c>
      <c r="X46" s="181">
        <f>W58+D46+F46+G46+E46</f>
        <v>20827927.128999334</v>
      </c>
      <c r="Y46" s="57"/>
    </row>
    <row r="47" spans="1:25" ht="13" customHeight="1">
      <c r="A47" s="251"/>
      <c r="B47" s="180"/>
      <c r="C47" s="178"/>
      <c r="D47" s="177"/>
      <c r="E47" s="177"/>
      <c r="F47" s="276"/>
      <c r="G47" s="244"/>
      <c r="H47" s="244"/>
      <c r="I47" s="26" t="s">
        <v>37</v>
      </c>
      <c r="J47" s="116">
        <v>19</v>
      </c>
      <c r="K47" s="116">
        <v>80600000</v>
      </c>
      <c r="L47" s="72">
        <v>97521000</v>
      </c>
      <c r="M47" s="72">
        <v>91991000</v>
      </c>
      <c r="N47" s="72">
        <v>0</v>
      </c>
      <c r="O47" s="72">
        <v>0</v>
      </c>
      <c r="P47" s="26">
        <f t="shared" ref="P47:P57" si="18">SUM(M47:O47)</f>
        <v>91991000</v>
      </c>
      <c r="Q47" s="121">
        <v>25221000</v>
      </c>
      <c r="R47" s="45">
        <f t="shared" ref="R47:R56" si="19">Q47/L47</f>
        <v>0.25862122004491339</v>
      </c>
      <c r="S47" s="79">
        <v>1333333.3333333335</v>
      </c>
      <c r="T47" s="26">
        <f>P47-(P47*R47)+S47</f>
        <v>69533508.680181697</v>
      </c>
      <c r="U47" s="46">
        <f>(T47/K47)*100</f>
        <v>86.269861886081515</v>
      </c>
      <c r="V47" s="16">
        <f>U47*100000/85</f>
        <v>101493.95516009589</v>
      </c>
      <c r="W47" s="16">
        <f t="shared" ref="W47:W57" si="20">V47*J47</f>
        <v>1928385.148041822</v>
      </c>
      <c r="X47" s="244"/>
      <c r="Y47" s="57"/>
    </row>
    <row r="48" spans="1:25" ht="13" customHeight="1">
      <c r="A48" s="251"/>
      <c r="B48" s="180"/>
      <c r="C48" s="178"/>
      <c r="D48" s="177"/>
      <c r="E48" s="177"/>
      <c r="F48" s="276"/>
      <c r="G48" s="244"/>
      <c r="H48" s="244"/>
      <c r="I48" s="26" t="s">
        <v>74</v>
      </c>
      <c r="J48" s="116">
        <v>19</v>
      </c>
      <c r="K48" s="116">
        <v>61300000</v>
      </c>
      <c r="L48" s="72">
        <v>79088000</v>
      </c>
      <c r="M48" s="72">
        <v>64464000</v>
      </c>
      <c r="N48" s="72">
        <v>7743600</v>
      </c>
      <c r="O48" s="72">
        <v>0</v>
      </c>
      <c r="P48" s="26">
        <f t="shared" si="18"/>
        <v>72207600</v>
      </c>
      <c r="Q48" s="122">
        <v>20088000</v>
      </c>
      <c r="R48" s="45">
        <f t="shared" si="19"/>
        <v>0.25399554926158202</v>
      </c>
      <c r="S48" s="82">
        <v>3490000</v>
      </c>
      <c r="T48" s="26">
        <f t="shared" ref="T48:T55" si="21">P48-(P48*R48)+S48</f>
        <v>57357190.977139391</v>
      </c>
      <c r="U48" s="46">
        <f t="shared" ref="U48:U82" si="22">(T48/K48)*100</f>
        <v>93.568011381956595</v>
      </c>
      <c r="V48" s="16">
        <f>U48*119000/95</f>
        <v>117206.24583634564</v>
      </c>
      <c r="W48" s="16">
        <f t="shared" si="20"/>
        <v>2226918.6708905674</v>
      </c>
      <c r="X48" s="244"/>
      <c r="Y48" s="57"/>
    </row>
    <row r="49" spans="1:25" ht="13" customHeight="1">
      <c r="A49" s="251"/>
      <c r="B49" s="180"/>
      <c r="C49" s="178"/>
      <c r="D49" s="177"/>
      <c r="E49" s="177"/>
      <c r="F49" s="276"/>
      <c r="G49" s="244"/>
      <c r="H49" s="244"/>
      <c r="I49" s="26" t="s">
        <v>44</v>
      </c>
      <c r="J49" s="116">
        <v>50</v>
      </c>
      <c r="K49" s="116">
        <v>170000000</v>
      </c>
      <c r="L49" s="72">
        <v>188576451.61290324</v>
      </c>
      <c r="M49" s="72">
        <v>172480000</v>
      </c>
      <c r="N49" s="72">
        <v>7849800</v>
      </c>
      <c r="O49" s="72">
        <v>0</v>
      </c>
      <c r="P49" s="26">
        <f t="shared" si="18"/>
        <v>180329800</v>
      </c>
      <c r="Q49" s="122">
        <v>42324000</v>
      </c>
      <c r="R49" s="45">
        <f t="shared" si="19"/>
        <v>0.22443947607456202</v>
      </c>
      <c r="S49" s="82">
        <f>746666.666666667+500000+1493333+560000+466667</f>
        <v>3766666.666666667</v>
      </c>
      <c r="T49" s="26">
        <f t="shared" si="21"/>
        <v>143623340.83403611</v>
      </c>
      <c r="U49" s="46">
        <f t="shared" si="22"/>
        <v>84.484318137668296</v>
      </c>
      <c r="V49" s="16">
        <f>U49*94000/85</f>
        <v>93429.716528715537</v>
      </c>
      <c r="W49" s="16">
        <f t="shared" si="20"/>
        <v>4671485.8264357764</v>
      </c>
      <c r="X49" s="244"/>
      <c r="Y49" s="57"/>
    </row>
    <row r="50" spans="1:25" ht="12.5">
      <c r="A50" s="251"/>
      <c r="B50" s="180"/>
      <c r="C50" s="178"/>
      <c r="D50" s="177"/>
      <c r="E50" s="177"/>
      <c r="F50" s="276"/>
      <c r="G50" s="244"/>
      <c r="H50" s="244"/>
      <c r="I50" s="26" t="s">
        <v>91</v>
      </c>
      <c r="J50" s="26">
        <v>11</v>
      </c>
      <c r="K50" s="26">
        <v>50000000</v>
      </c>
      <c r="L50" s="26">
        <f>59409400-7400000</f>
        <v>52009400</v>
      </c>
      <c r="M50" s="26">
        <f>52215400-7400000</f>
        <v>44815400</v>
      </c>
      <c r="N50" s="26">
        <v>109800</v>
      </c>
      <c r="O50" s="26">
        <v>1498000</v>
      </c>
      <c r="P50" s="26">
        <f t="shared" si="18"/>
        <v>46423200</v>
      </c>
      <c r="Q50" s="26">
        <v>14309400</v>
      </c>
      <c r="R50" s="45">
        <f t="shared" si="19"/>
        <v>0.27513103400539135</v>
      </c>
      <c r="S50" s="26">
        <v>3420000</v>
      </c>
      <c r="T50" s="30">
        <f t="shared" si="21"/>
        <v>37070736.982160918</v>
      </c>
      <c r="U50" s="34">
        <f t="shared" si="22"/>
        <v>74.141473964321833</v>
      </c>
      <c r="V50" s="16">
        <f>U50*74000/75</f>
        <v>73152.920978130875</v>
      </c>
      <c r="W50" s="16">
        <f t="shared" si="20"/>
        <v>804682.13075943966</v>
      </c>
      <c r="X50" s="244"/>
      <c r="Y50" s="246"/>
    </row>
    <row r="51" spans="1:25" ht="12.5">
      <c r="A51" s="251"/>
      <c r="B51" s="180"/>
      <c r="C51" s="178"/>
      <c r="D51" s="177"/>
      <c r="E51" s="177"/>
      <c r="F51" s="276"/>
      <c r="G51" s="244"/>
      <c r="H51" s="244"/>
      <c r="I51" s="26" t="s">
        <v>92</v>
      </c>
      <c r="J51" s="26">
        <v>7</v>
      </c>
      <c r="K51" s="26">
        <v>17500000</v>
      </c>
      <c r="L51" s="26">
        <v>20956000</v>
      </c>
      <c r="M51" s="26">
        <v>17480000</v>
      </c>
      <c r="N51" s="26">
        <v>3128400</v>
      </c>
      <c r="O51" s="26">
        <v>0</v>
      </c>
      <c r="P51" s="26">
        <f t="shared" si="18"/>
        <v>20608400</v>
      </c>
      <c r="Q51" s="26">
        <v>4556000</v>
      </c>
      <c r="R51" s="45">
        <f t="shared" si="19"/>
        <v>0.21740790227142584</v>
      </c>
      <c r="S51" s="26"/>
      <c r="T51" s="30">
        <f t="shared" si="21"/>
        <v>16127970.986829549</v>
      </c>
      <c r="U51" s="34">
        <f t="shared" si="22"/>
        <v>92.159834210454562</v>
      </c>
      <c r="V51" s="63">
        <f>U51*110000/90</f>
        <v>112639.79736833334</v>
      </c>
      <c r="W51" s="16">
        <f t="shared" si="20"/>
        <v>788478.5815783334</v>
      </c>
      <c r="X51" s="244"/>
      <c r="Y51" s="246"/>
    </row>
    <row r="52" spans="1:25" ht="12.5">
      <c r="A52" s="251"/>
      <c r="B52" s="180"/>
      <c r="C52" s="178"/>
      <c r="D52" s="177"/>
      <c r="E52" s="177"/>
      <c r="F52" s="276"/>
      <c r="G52" s="244"/>
      <c r="H52" s="244"/>
      <c r="I52" s="26" t="s">
        <v>94</v>
      </c>
      <c r="J52" s="26">
        <v>11</v>
      </c>
      <c r="K52" s="26">
        <v>45300000</v>
      </c>
      <c r="L52" s="26">
        <f>59363741.9354839-7200000</f>
        <v>52163741.935483903</v>
      </c>
      <c r="M52" s="26">
        <f>59116000-7200000</f>
        <v>51916000</v>
      </c>
      <c r="N52" s="26">
        <v>0</v>
      </c>
      <c r="O52" s="26">
        <v>0</v>
      </c>
      <c r="P52" s="26">
        <f t="shared" si="18"/>
        <v>51916000</v>
      </c>
      <c r="Q52" s="26">
        <v>10130000</v>
      </c>
      <c r="R52" s="45">
        <f t="shared" si="19"/>
        <v>0.19419619114995201</v>
      </c>
      <c r="S52" s="26"/>
      <c r="T52" s="30">
        <f t="shared" si="21"/>
        <v>41834110.540259093</v>
      </c>
      <c r="U52" s="34">
        <f t="shared" si="22"/>
        <v>92.349029890196675</v>
      </c>
      <c r="V52" s="63">
        <f>U52*110000/90</f>
        <v>112871.03653246259</v>
      </c>
      <c r="W52" s="16">
        <f t="shared" si="20"/>
        <v>1241581.4018570886</v>
      </c>
      <c r="X52" s="244"/>
      <c r="Y52" s="246"/>
    </row>
    <row r="53" spans="1:25" ht="12.5">
      <c r="A53" s="251"/>
      <c r="B53" s="180"/>
      <c r="C53" s="178"/>
      <c r="D53" s="177"/>
      <c r="E53" s="177"/>
      <c r="F53" s="276"/>
      <c r="G53" s="244"/>
      <c r="H53" s="244"/>
      <c r="I53" s="26" t="s">
        <v>80</v>
      </c>
      <c r="J53" s="26">
        <v>17</v>
      </c>
      <c r="K53" s="26">
        <v>78900000</v>
      </c>
      <c r="L53" s="26">
        <f>103970564.516129-11200000</f>
        <v>92770564.516129002</v>
      </c>
      <c r="M53" s="26">
        <f>103831500-11200000</f>
        <v>92631500</v>
      </c>
      <c r="N53" s="26">
        <v>0</v>
      </c>
      <c r="O53" s="26">
        <v>0</v>
      </c>
      <c r="P53" s="26">
        <f t="shared" si="18"/>
        <v>92631500</v>
      </c>
      <c r="Q53" s="26">
        <v>25982500</v>
      </c>
      <c r="R53" s="45">
        <f t="shared" si="19"/>
        <v>0.28007267321826751</v>
      </c>
      <c r="S53" s="26"/>
      <c r="T53" s="30">
        <f t="shared" si="21"/>
        <v>66687948.170782052</v>
      </c>
      <c r="U53" s="34">
        <f t="shared" si="22"/>
        <v>84.522114284894869</v>
      </c>
      <c r="V53" s="63">
        <f>U53*94000/85</f>
        <v>93471.514620942558</v>
      </c>
      <c r="W53" s="16">
        <f t="shared" si="20"/>
        <v>1589015.7485560235</v>
      </c>
      <c r="X53" s="244"/>
      <c r="Y53" s="246"/>
    </row>
    <row r="54" spans="1:25" ht="12.5">
      <c r="A54" s="251"/>
      <c r="B54" s="180"/>
      <c r="C54" s="178"/>
      <c r="D54" s="177"/>
      <c r="E54" s="177"/>
      <c r="F54" s="276"/>
      <c r="G54" s="244"/>
      <c r="H54" s="244"/>
      <c r="I54" s="26" t="s">
        <v>81</v>
      </c>
      <c r="J54" s="37">
        <v>7</v>
      </c>
      <c r="K54" s="26">
        <v>19050000</v>
      </c>
      <c r="L54" s="26">
        <v>25700500</v>
      </c>
      <c r="M54" s="26">
        <v>25788000</v>
      </c>
      <c r="N54" s="26">
        <v>0</v>
      </c>
      <c r="O54" s="26">
        <v>0</v>
      </c>
      <c r="P54" s="26">
        <f t="shared" si="18"/>
        <v>25788000</v>
      </c>
      <c r="Q54" s="26">
        <v>6400500</v>
      </c>
      <c r="R54" s="45">
        <f t="shared" si="19"/>
        <v>0.24904184743487481</v>
      </c>
      <c r="S54" s="26"/>
      <c r="T54" s="30">
        <f t="shared" si="21"/>
        <v>19365708.838349447</v>
      </c>
      <c r="U54" s="34">
        <f t="shared" si="22"/>
        <v>101.65726424330418</v>
      </c>
      <c r="V54" s="63">
        <f>U54*130000/100</f>
        <v>132154.44351629543</v>
      </c>
      <c r="W54" s="16">
        <f t="shared" si="20"/>
        <v>925081.10461406806</v>
      </c>
      <c r="X54" s="244"/>
      <c r="Y54" s="246"/>
    </row>
    <row r="55" spans="1:25" ht="12.5">
      <c r="A55" s="251"/>
      <c r="B55" s="180"/>
      <c r="C55" s="178"/>
      <c r="D55" s="177"/>
      <c r="E55" s="177"/>
      <c r="F55" s="276"/>
      <c r="G55" s="244"/>
      <c r="H55" s="244"/>
      <c r="I55" s="26" t="s">
        <v>82</v>
      </c>
      <c r="J55" s="37">
        <v>15</v>
      </c>
      <c r="K55" s="26">
        <v>69400000</v>
      </c>
      <c r="L55" s="26">
        <f>89368000-4000000</f>
        <v>85368000</v>
      </c>
      <c r="M55" s="26">
        <f>83210000-4000000</f>
        <v>79210000</v>
      </c>
      <c r="N55" s="26">
        <v>0</v>
      </c>
      <c r="O55" s="26">
        <v>0</v>
      </c>
      <c r="P55" s="26">
        <f>SUM(M55:O55)</f>
        <v>79210000</v>
      </c>
      <c r="Q55" s="26">
        <v>17068000</v>
      </c>
      <c r="R55" s="45">
        <f t="shared" si="19"/>
        <v>0.19993440164932996</v>
      </c>
      <c r="S55" s="26">
        <f>253333.333333333+4800000</f>
        <v>5053333.333333333</v>
      </c>
      <c r="T55" s="30">
        <f t="shared" si="21"/>
        <v>68426529.3786899</v>
      </c>
      <c r="U55" s="34">
        <f t="shared" si="22"/>
        <v>98.59730458024481</v>
      </c>
      <c r="V55" s="63">
        <f>U55*130000/100</f>
        <v>128176.49595431825</v>
      </c>
      <c r="W55" s="16">
        <f t="shared" si="20"/>
        <v>1922647.4393147738</v>
      </c>
      <c r="X55" s="244"/>
      <c r="Y55" s="246"/>
    </row>
    <row r="56" spans="1:25" ht="12.5">
      <c r="A56" s="251"/>
      <c r="B56" s="180"/>
      <c r="C56" s="178"/>
      <c r="D56" s="177"/>
      <c r="E56" s="177"/>
      <c r="F56" s="276"/>
      <c r="G56" s="244"/>
      <c r="H56" s="244"/>
      <c r="I56" s="26" t="s">
        <v>76</v>
      </c>
      <c r="J56" s="26">
        <v>10</v>
      </c>
      <c r="K56" s="26">
        <v>54100000</v>
      </c>
      <c r="L56" s="26">
        <v>57370000</v>
      </c>
      <c r="M56" s="26">
        <v>51544000</v>
      </c>
      <c r="N56" s="26">
        <v>5243400</v>
      </c>
      <c r="O56" s="26">
        <v>0</v>
      </c>
      <c r="P56" s="26">
        <f t="shared" si="18"/>
        <v>56787400</v>
      </c>
      <c r="Q56" s="26">
        <v>10070000</v>
      </c>
      <c r="R56" s="45">
        <f t="shared" si="19"/>
        <v>0.17552727906571378</v>
      </c>
      <c r="S56" s="26"/>
      <c r="T56" s="30">
        <f>P56-(P56*R56)+S56</f>
        <v>46819662.192783684</v>
      </c>
      <c r="U56" s="34">
        <f t="shared" si="22"/>
        <v>86.542813665034529</v>
      </c>
      <c r="V56" s="16">
        <f>U56*100000/85</f>
        <v>101815.07490004062</v>
      </c>
      <c r="W56" s="16">
        <f>V56*J56</f>
        <v>1018150.7490004062</v>
      </c>
      <c r="X56" s="244"/>
      <c r="Y56" s="246"/>
    </row>
    <row r="57" spans="1:25" ht="12.5">
      <c r="A57" s="251"/>
      <c r="B57" s="180"/>
      <c r="C57" s="178"/>
      <c r="D57" s="177"/>
      <c r="E57" s="177"/>
      <c r="F57" s="276"/>
      <c r="G57" s="244"/>
      <c r="H57" s="244"/>
      <c r="I57" s="26" t="s">
        <v>198</v>
      </c>
      <c r="J57" s="26">
        <v>5</v>
      </c>
      <c r="K57" s="26">
        <v>27500000</v>
      </c>
      <c r="L57" s="26">
        <f>27639000+5300000</f>
        <v>32939000</v>
      </c>
      <c r="M57" s="26">
        <f>27639000+5300000</f>
        <v>32939000</v>
      </c>
      <c r="N57" s="26">
        <v>0</v>
      </c>
      <c r="O57" s="26">
        <v>0</v>
      </c>
      <c r="P57" s="26">
        <f t="shared" si="18"/>
        <v>32939000</v>
      </c>
      <c r="Q57" s="26">
        <v>6539000</v>
      </c>
      <c r="R57" s="45">
        <f>Q57/L57</f>
        <v>0.19851847354200189</v>
      </c>
      <c r="S57" s="26"/>
      <c r="T57" s="30">
        <f>P57-(P57*R57)+S57</f>
        <v>26400000</v>
      </c>
      <c r="U57" s="46">
        <f>(T57/K57)*100</f>
        <v>96</v>
      </c>
      <c r="V57" s="16">
        <f>U57*120000/95</f>
        <v>121263.15789473684</v>
      </c>
      <c r="W57" s="16">
        <f t="shared" si="20"/>
        <v>606315.78947368416</v>
      </c>
      <c r="X57" s="244"/>
      <c r="Y57" s="246"/>
    </row>
    <row r="58" spans="1:25" ht="13">
      <c r="A58" s="252"/>
      <c r="B58" s="180"/>
      <c r="C58" s="178"/>
      <c r="D58" s="177"/>
      <c r="E58" s="177"/>
      <c r="F58" s="277"/>
      <c r="G58" s="245"/>
      <c r="H58" s="245"/>
      <c r="I58" s="59">
        <v>12</v>
      </c>
      <c r="J58" s="54">
        <f t="shared" ref="J58:P58" si="23">SUM(J46:J57)</f>
        <v>190</v>
      </c>
      <c r="K58" s="54">
        <f t="shared" si="23"/>
        <v>744750000</v>
      </c>
      <c r="L58" s="54">
        <f t="shared" si="23"/>
        <v>870696012.9032259</v>
      </c>
      <c r="M58" s="54">
        <f t="shared" si="23"/>
        <v>802404900</v>
      </c>
      <c r="N58" s="54">
        <f t="shared" si="23"/>
        <v>32151600</v>
      </c>
      <c r="O58" s="54">
        <f t="shared" si="23"/>
        <v>1498000</v>
      </c>
      <c r="P58" s="54">
        <f t="shared" si="23"/>
        <v>836054500</v>
      </c>
      <c r="Q58" s="54">
        <f>SUM(Q46:Q57)</f>
        <v>203702400</v>
      </c>
      <c r="R58" s="54"/>
      <c r="S58" s="54">
        <f>SUM(S46:S57)</f>
        <v>17063333.333333332</v>
      </c>
      <c r="T58" s="54">
        <f>SUM(T46:T57)</f>
        <v>657701616.01047778</v>
      </c>
      <c r="U58" s="55">
        <f>(T58/K58)*100</f>
        <v>88.311730917821791</v>
      </c>
      <c r="V58" s="54"/>
      <c r="W58" s="54">
        <f>SUM(W46:W57)</f>
        <v>19827927.128999334</v>
      </c>
      <c r="X58" s="125"/>
      <c r="Y58" s="246"/>
    </row>
    <row r="59" spans="1:25" ht="13" customHeight="1">
      <c r="A59" s="222"/>
      <c r="B59" s="247" t="s">
        <v>223</v>
      </c>
      <c r="C59" s="224" t="s">
        <v>35</v>
      </c>
      <c r="D59" s="227"/>
      <c r="E59" s="227">
        <v>500000</v>
      </c>
      <c r="F59" s="243">
        <v>500000</v>
      </c>
      <c r="G59" s="244"/>
      <c r="H59" s="244"/>
      <c r="I59" s="26" t="s">
        <v>88</v>
      </c>
      <c r="J59" s="26">
        <v>10</v>
      </c>
      <c r="K59" s="26">
        <v>43200000</v>
      </c>
      <c r="L59" s="14">
        <v>46742000</v>
      </c>
      <c r="M59" s="14">
        <v>35088000</v>
      </c>
      <c r="N59" s="14">
        <v>7578000</v>
      </c>
      <c r="O59" s="14">
        <v>2018799.9999999998</v>
      </c>
      <c r="P59" s="14">
        <f t="shared" ref="P59:P61" si="24">SUM(M59:O59)</f>
        <v>44684800</v>
      </c>
      <c r="Q59" s="14">
        <v>10542000</v>
      </c>
      <c r="R59" s="45">
        <f t="shared" si="3"/>
        <v>0.2255359205853408</v>
      </c>
      <c r="S59" s="14"/>
      <c r="T59" s="26">
        <f t="shared" si="15"/>
        <v>34606772.495828167</v>
      </c>
      <c r="U59" s="46">
        <f>(T59/K59)*100</f>
        <v>80.10826966626891</v>
      </c>
      <c r="V59" s="12">
        <f>U59*80000/80</f>
        <v>80108.269666268912</v>
      </c>
      <c r="W59" s="21">
        <f t="shared" ref="W59:W62" si="25">V59*J59</f>
        <v>801082.69666268909</v>
      </c>
      <c r="X59" s="177">
        <f>W63+E59+F59</f>
        <v>4471834.8664014516</v>
      </c>
      <c r="Y59" s="246"/>
    </row>
    <row r="60" spans="1:25" ht="13" customHeight="1">
      <c r="A60" s="222"/>
      <c r="B60" s="247"/>
      <c r="C60" s="224"/>
      <c r="D60" s="227"/>
      <c r="E60" s="227"/>
      <c r="F60" s="243"/>
      <c r="G60" s="244"/>
      <c r="H60" s="244"/>
      <c r="I60" s="26" t="s">
        <v>89</v>
      </c>
      <c r="J60" s="26">
        <v>11</v>
      </c>
      <c r="K60" s="14">
        <v>47100000</v>
      </c>
      <c r="L60" s="14">
        <v>51850000</v>
      </c>
      <c r="M60" s="14">
        <v>45481000</v>
      </c>
      <c r="N60" s="14">
        <v>0</v>
      </c>
      <c r="O60" s="14">
        <v>0</v>
      </c>
      <c r="P60" s="14">
        <f t="shared" si="24"/>
        <v>45481000</v>
      </c>
      <c r="Q60" s="14">
        <v>11950000</v>
      </c>
      <c r="R60" s="45">
        <f t="shared" si="3"/>
        <v>0.23047251687560269</v>
      </c>
      <c r="S60" s="14">
        <v>760000</v>
      </c>
      <c r="T60" s="26">
        <f t="shared" si="15"/>
        <v>35758879.459980711</v>
      </c>
      <c r="U60" s="46">
        <f>(T60/K60)*100</f>
        <v>75.921187813122529</v>
      </c>
      <c r="V60" s="12">
        <f>U60*70000/75</f>
        <v>70859.775292247694</v>
      </c>
      <c r="W60" s="21">
        <f t="shared" si="25"/>
        <v>779457.52821472462</v>
      </c>
      <c r="X60" s="178"/>
      <c r="Y60" s="246"/>
    </row>
    <row r="61" spans="1:25" ht="13" customHeight="1">
      <c r="A61" s="222"/>
      <c r="B61" s="247"/>
      <c r="C61" s="224"/>
      <c r="D61" s="227"/>
      <c r="E61" s="227"/>
      <c r="F61" s="243"/>
      <c r="G61" s="244"/>
      <c r="H61" s="244"/>
      <c r="I61" s="26" t="s">
        <v>90</v>
      </c>
      <c r="J61" s="26">
        <v>8</v>
      </c>
      <c r="K61" s="23">
        <v>31700000</v>
      </c>
      <c r="L61" s="23">
        <v>40644000</v>
      </c>
      <c r="M61" s="23">
        <v>40644000</v>
      </c>
      <c r="N61" s="14">
        <v>0</v>
      </c>
      <c r="O61" s="14">
        <v>0</v>
      </c>
      <c r="P61" s="23">
        <f t="shared" si="24"/>
        <v>40644000</v>
      </c>
      <c r="Q61" s="14">
        <v>10044000</v>
      </c>
      <c r="R61" s="45">
        <f t="shared" si="3"/>
        <v>0.2471213463241807</v>
      </c>
      <c r="S61" s="14"/>
      <c r="T61" s="26">
        <f t="shared" si="15"/>
        <v>30600000</v>
      </c>
      <c r="U61" s="46">
        <f>(T61/K61)*100</f>
        <v>96.529968454258679</v>
      </c>
      <c r="V61" s="12">
        <f>U61*110000/95</f>
        <v>111771.54242072058</v>
      </c>
      <c r="W61" s="21">
        <f t="shared" si="25"/>
        <v>894172.33936576464</v>
      </c>
      <c r="X61" s="178"/>
      <c r="Y61" s="246"/>
    </row>
    <row r="62" spans="1:25" ht="12.5">
      <c r="A62" s="222"/>
      <c r="B62" s="247"/>
      <c r="C62" s="224"/>
      <c r="D62" s="227"/>
      <c r="E62" s="227"/>
      <c r="F62" s="243"/>
      <c r="G62" s="244"/>
      <c r="H62" s="244"/>
      <c r="I62" s="26" t="s">
        <v>111</v>
      </c>
      <c r="J62" s="26">
        <v>9</v>
      </c>
      <c r="K62" s="26">
        <v>27800000</v>
      </c>
      <c r="L62" s="26">
        <v>35454000</v>
      </c>
      <c r="M62" s="26">
        <v>35454000</v>
      </c>
      <c r="N62" s="25">
        <v>0</v>
      </c>
      <c r="O62" s="47">
        <v>0</v>
      </c>
      <c r="P62" s="26">
        <f>SUM(M62:O62)</f>
        <v>35454000</v>
      </c>
      <c r="Q62" s="23">
        <v>8854000</v>
      </c>
      <c r="R62" s="33">
        <f t="shared" si="3"/>
        <v>0.2497320471596999</v>
      </c>
      <c r="S62" s="26"/>
      <c r="T62" s="30">
        <f>P62-(P62*R62)+S62</f>
        <v>26600000</v>
      </c>
      <c r="U62" s="46">
        <f t="shared" si="22"/>
        <v>95.683453237410077</v>
      </c>
      <c r="V62" s="13">
        <f>U62*110000/95</f>
        <v>110791.36690647482</v>
      </c>
      <c r="W62" s="21">
        <f t="shared" si="25"/>
        <v>997122.30215827341</v>
      </c>
      <c r="X62" s="178"/>
      <c r="Y62" s="246"/>
    </row>
    <row r="63" spans="1:25" ht="13" customHeight="1">
      <c r="A63" s="179"/>
      <c r="B63" s="180" t="e">
        <f>#REF!</f>
        <v>#REF!</v>
      </c>
      <c r="C63" s="225"/>
      <c r="D63" s="228"/>
      <c r="E63" s="228"/>
      <c r="F63" s="248"/>
      <c r="G63" s="245"/>
      <c r="H63" s="245"/>
      <c r="I63" s="69">
        <v>4</v>
      </c>
      <c r="J63" s="70">
        <f t="shared" ref="J63:Q63" si="26">SUM(J59:J62)</f>
        <v>38</v>
      </c>
      <c r="K63" s="70">
        <f t="shared" si="26"/>
        <v>149800000</v>
      </c>
      <c r="L63" s="70">
        <f t="shared" si="26"/>
        <v>174690000</v>
      </c>
      <c r="M63" s="70">
        <f t="shared" si="26"/>
        <v>156667000</v>
      </c>
      <c r="N63" s="70">
        <f t="shared" si="26"/>
        <v>7578000</v>
      </c>
      <c r="O63" s="70">
        <f t="shared" si="26"/>
        <v>2018799.9999999998</v>
      </c>
      <c r="P63" s="70">
        <f t="shared" si="26"/>
        <v>166263800</v>
      </c>
      <c r="Q63" s="70">
        <f t="shared" si="26"/>
        <v>41390000</v>
      </c>
      <c r="R63" s="87"/>
      <c r="S63" s="70">
        <f>SUM(S59:S62)</f>
        <v>760000</v>
      </c>
      <c r="T63" s="70">
        <f>SUM(T59:T62)</f>
        <v>127565651.95580888</v>
      </c>
      <c r="U63" s="88">
        <f>(T63/K63)*100</f>
        <v>85.157311051941846</v>
      </c>
      <c r="V63" s="62"/>
      <c r="W63" s="62">
        <f>SUM(W59:W62)</f>
        <v>3471834.8664014516</v>
      </c>
      <c r="X63" s="178"/>
      <c r="Y63" s="246"/>
    </row>
    <row r="64" spans="1:25" ht="13" customHeight="1">
      <c r="A64" s="222" t="s">
        <v>72</v>
      </c>
      <c r="B64" s="247" t="s">
        <v>98</v>
      </c>
      <c r="C64" s="224" t="s">
        <v>35</v>
      </c>
      <c r="D64" s="227"/>
      <c r="E64" s="227">
        <v>500000</v>
      </c>
      <c r="F64" s="243">
        <v>500000</v>
      </c>
      <c r="G64" s="244"/>
      <c r="H64" s="244"/>
      <c r="I64" s="14" t="s">
        <v>99</v>
      </c>
      <c r="J64" s="14">
        <v>8</v>
      </c>
      <c r="K64" s="14">
        <v>35000000</v>
      </c>
      <c r="L64" s="14">
        <v>42392000</v>
      </c>
      <c r="M64" s="14">
        <v>35169000</v>
      </c>
      <c r="N64" s="14">
        <v>0</v>
      </c>
      <c r="O64" s="14">
        <v>1402800</v>
      </c>
      <c r="P64" s="14">
        <f t="shared" ref="P64:P68" si="27">SUM(M64:O64)</f>
        <v>36571800</v>
      </c>
      <c r="Q64" s="14">
        <v>8038000</v>
      </c>
      <c r="R64" s="45">
        <f t="shared" si="3"/>
        <v>0.1896112474051708</v>
      </c>
      <c r="S64" s="14">
        <v>1466666.6666666667</v>
      </c>
      <c r="T64" s="26">
        <f t="shared" si="15"/>
        <v>31104042.048814241</v>
      </c>
      <c r="U64" s="46">
        <f t="shared" si="22"/>
        <v>88.868691568040688</v>
      </c>
      <c r="V64" s="12">
        <f>U64*109000/90</f>
        <v>107629.85978796039</v>
      </c>
      <c r="W64" s="21">
        <f>V64*J64</f>
        <v>861038.87830368313</v>
      </c>
      <c r="X64" s="177">
        <f>D64+E64+F64+G64+H64+W70</f>
        <v>7437984.7925503161</v>
      </c>
      <c r="Y64" s="246"/>
    </row>
    <row r="65" spans="1:25" ht="13" customHeight="1">
      <c r="A65" s="222"/>
      <c r="B65" s="247" t="str">
        <f>B64</f>
        <v>Đỗ Công Trường</v>
      </c>
      <c r="C65" s="224"/>
      <c r="D65" s="227"/>
      <c r="E65" s="227"/>
      <c r="F65" s="243"/>
      <c r="G65" s="244"/>
      <c r="H65" s="244"/>
      <c r="I65" s="14" t="s">
        <v>100</v>
      </c>
      <c r="J65" s="14">
        <v>8</v>
      </c>
      <c r="K65" s="14">
        <v>35000000</v>
      </c>
      <c r="L65" s="14">
        <v>44108000</v>
      </c>
      <c r="M65" s="14">
        <v>44108000</v>
      </c>
      <c r="N65" s="14">
        <v>0</v>
      </c>
      <c r="O65" s="14">
        <v>0</v>
      </c>
      <c r="P65" s="14">
        <f t="shared" si="27"/>
        <v>44108000</v>
      </c>
      <c r="Q65" s="14">
        <v>10608000</v>
      </c>
      <c r="R65" s="45">
        <f t="shared" si="3"/>
        <v>0.24050058946222908</v>
      </c>
      <c r="S65" s="14"/>
      <c r="T65" s="26">
        <f t="shared" si="15"/>
        <v>33500000</v>
      </c>
      <c r="U65" s="46">
        <f t="shared" si="22"/>
        <v>95.714285714285722</v>
      </c>
      <c r="V65" s="12">
        <f>U65*120000/95</f>
        <v>120902.25563909776</v>
      </c>
      <c r="W65" s="21">
        <f>V65*J65</f>
        <v>967218.04511278204</v>
      </c>
      <c r="X65" s="178"/>
      <c r="Y65" s="246"/>
    </row>
    <row r="66" spans="1:25" ht="13" customHeight="1">
      <c r="A66" s="222"/>
      <c r="B66" s="247" t="str">
        <f>B65</f>
        <v>Đỗ Công Trường</v>
      </c>
      <c r="C66" s="224"/>
      <c r="D66" s="227"/>
      <c r="E66" s="227"/>
      <c r="F66" s="243"/>
      <c r="G66" s="244"/>
      <c r="H66" s="244"/>
      <c r="I66" s="23" t="s">
        <v>101</v>
      </c>
      <c r="J66" s="23">
        <v>7</v>
      </c>
      <c r="K66" s="23">
        <v>24800000</v>
      </c>
      <c r="L66" s="23">
        <v>31852000</v>
      </c>
      <c r="M66" s="23">
        <v>31852000</v>
      </c>
      <c r="N66" s="23">
        <v>0</v>
      </c>
      <c r="O66" s="23">
        <v>0</v>
      </c>
      <c r="P66" s="23">
        <f>SUM(M66:O66)</f>
        <v>31852000</v>
      </c>
      <c r="Q66" s="23">
        <v>8852000</v>
      </c>
      <c r="R66" s="33">
        <f t="shared" si="3"/>
        <v>0.27791033530076603</v>
      </c>
      <c r="S66" s="23"/>
      <c r="T66" s="30">
        <f t="shared" si="15"/>
        <v>23000000</v>
      </c>
      <c r="U66" s="34">
        <f t="shared" si="22"/>
        <v>92.741935483870961</v>
      </c>
      <c r="V66" s="12">
        <f>U66*119000/95</f>
        <v>116171.47707979626</v>
      </c>
      <c r="W66" s="15">
        <f>V66*J66</f>
        <v>813200.33955857379</v>
      </c>
      <c r="X66" s="178"/>
      <c r="Y66" s="246"/>
    </row>
    <row r="67" spans="1:25" s="37" customFormat="1" ht="12.5">
      <c r="A67" s="222"/>
      <c r="B67" s="247"/>
      <c r="C67" s="224"/>
      <c r="D67" s="227"/>
      <c r="E67" s="227"/>
      <c r="F67" s="243"/>
      <c r="G67" s="244"/>
      <c r="H67" s="244"/>
      <c r="I67" s="26" t="s">
        <v>102</v>
      </c>
      <c r="J67" s="26">
        <v>14</v>
      </c>
      <c r="K67" s="26">
        <v>49800000</v>
      </c>
      <c r="L67" s="26">
        <v>58778000</v>
      </c>
      <c r="M67" s="26">
        <v>54697800</v>
      </c>
      <c r="N67" s="26">
        <v>0</v>
      </c>
      <c r="O67" s="26">
        <v>0</v>
      </c>
      <c r="P67" s="26">
        <f t="shared" si="27"/>
        <v>54697800</v>
      </c>
      <c r="Q67" s="26">
        <v>14178000</v>
      </c>
      <c r="R67" s="45">
        <f t="shared" si="3"/>
        <v>0.24121269862873865</v>
      </c>
      <c r="S67" s="26">
        <v>4710000</v>
      </c>
      <c r="T67" s="26">
        <f t="shared" si="15"/>
        <v>46213996.052944981</v>
      </c>
      <c r="U67" s="46">
        <f t="shared" si="22"/>
        <v>92.799188861335296</v>
      </c>
      <c r="V67" s="12">
        <f>U67*119000/95</f>
        <v>116243.19446840946</v>
      </c>
      <c r="W67" s="16">
        <f t="shared" ref="W67:W69" si="28">V67*J67</f>
        <v>1627404.7225577324</v>
      </c>
      <c r="X67" s="178"/>
      <c r="Y67" s="246"/>
    </row>
    <row r="68" spans="1:25" s="78" customFormat="1" ht="12.5">
      <c r="A68" s="222"/>
      <c r="B68" s="247"/>
      <c r="C68" s="224"/>
      <c r="D68" s="227"/>
      <c r="E68" s="227"/>
      <c r="F68" s="243"/>
      <c r="G68" s="244"/>
      <c r="H68" s="244"/>
      <c r="I68" s="30" t="s">
        <v>103</v>
      </c>
      <c r="J68" s="30">
        <v>10</v>
      </c>
      <c r="K68" s="30">
        <v>45000000</v>
      </c>
      <c r="L68" s="30">
        <f>61233500-4100000</f>
        <v>57133500</v>
      </c>
      <c r="M68" s="30">
        <f>61233500-4100000</f>
        <v>57133500</v>
      </c>
      <c r="N68" s="30">
        <v>0</v>
      </c>
      <c r="O68" s="30">
        <v>0</v>
      </c>
      <c r="P68" s="30">
        <f t="shared" si="27"/>
        <v>57133500</v>
      </c>
      <c r="Q68" s="30">
        <v>15133500</v>
      </c>
      <c r="R68" s="33">
        <f t="shared" si="3"/>
        <v>0.26487962403843629</v>
      </c>
      <c r="S68" s="30"/>
      <c r="T68" s="30">
        <f t="shared" si="15"/>
        <v>42000000</v>
      </c>
      <c r="U68" s="34">
        <f>(T68/K68)*100</f>
        <v>93.333333333333329</v>
      </c>
      <c r="V68" s="63">
        <f>U68*119000/95</f>
        <v>116912.28070175438</v>
      </c>
      <c r="W68" s="63">
        <f t="shared" si="28"/>
        <v>1169122.8070175438</v>
      </c>
      <c r="X68" s="178"/>
      <c r="Y68" s="246"/>
    </row>
    <row r="69" spans="1:25" s="37" customFormat="1" ht="12.5">
      <c r="A69" s="264"/>
      <c r="B69" s="265"/>
      <c r="C69" s="258"/>
      <c r="D69" s="227"/>
      <c r="E69" s="227"/>
      <c r="F69" s="243"/>
      <c r="G69" s="244"/>
      <c r="H69" s="244"/>
      <c r="I69" s="26" t="s">
        <v>224</v>
      </c>
      <c r="J69" s="26">
        <v>10</v>
      </c>
      <c r="K69" s="26"/>
      <c r="L69" s="26"/>
      <c r="M69" s="26"/>
      <c r="N69" s="26"/>
      <c r="O69" s="26"/>
      <c r="P69" s="26"/>
      <c r="Q69" s="26"/>
      <c r="R69" s="45"/>
      <c r="S69" s="26"/>
      <c r="T69" s="26"/>
      <c r="U69" s="46"/>
      <c r="V69" s="16">
        <v>100000</v>
      </c>
      <c r="W69" s="63">
        <f t="shared" si="28"/>
        <v>1000000</v>
      </c>
      <c r="X69" s="178"/>
      <c r="Y69" s="246"/>
    </row>
    <row r="70" spans="1:25" ht="13" customHeight="1">
      <c r="A70" s="179"/>
      <c r="B70" s="180" t="str">
        <f>B66</f>
        <v>Đỗ Công Trường</v>
      </c>
      <c r="C70" s="225"/>
      <c r="D70" s="228"/>
      <c r="E70" s="228"/>
      <c r="F70" s="248"/>
      <c r="G70" s="245"/>
      <c r="H70" s="245"/>
      <c r="I70" s="69">
        <v>6</v>
      </c>
      <c r="J70" s="70">
        <f>SUM(J64:J69)</f>
        <v>57</v>
      </c>
      <c r="K70" s="70">
        <f>SUM(K64:K69)</f>
        <v>189600000</v>
      </c>
      <c r="L70" s="70">
        <f t="shared" ref="L70:M70" si="29">SUM(L64:L69)</f>
        <v>234263500</v>
      </c>
      <c r="M70" s="70">
        <f t="shared" si="29"/>
        <v>222960300</v>
      </c>
      <c r="N70" s="70">
        <f t="shared" ref="N70" si="30">SUM(N64:N68)</f>
        <v>0</v>
      </c>
      <c r="O70" s="70">
        <f>SUM(O64:O69)</f>
        <v>1402800</v>
      </c>
      <c r="P70" s="70">
        <f>SUM(P64:P68)</f>
        <v>224363100</v>
      </c>
      <c r="Q70" s="70">
        <f>SUM(Q64:Q68)</f>
        <v>56809500</v>
      </c>
      <c r="R70" s="87"/>
      <c r="S70" s="89">
        <f>SUM(S64:S68)</f>
        <v>6176666.666666667</v>
      </c>
      <c r="T70" s="89">
        <f>SUM(T64:T68)</f>
        <v>175818038.10175923</v>
      </c>
      <c r="U70" s="88">
        <f>(T70/K70)*100</f>
        <v>92.731032754092411</v>
      </c>
      <c r="V70" s="71"/>
      <c r="W70" s="62">
        <f>SUM(W64:W69)</f>
        <v>6437984.7925503161</v>
      </c>
      <c r="X70" s="178"/>
      <c r="Y70" s="246"/>
    </row>
    <row r="71" spans="1:25" ht="13" customHeight="1">
      <c r="A71" s="222" t="s">
        <v>77</v>
      </c>
      <c r="B71" s="247" t="s">
        <v>113</v>
      </c>
      <c r="C71" s="223" t="s">
        <v>35</v>
      </c>
      <c r="D71" s="226"/>
      <c r="E71" s="226">
        <v>500000</v>
      </c>
      <c r="F71" s="242">
        <v>500000</v>
      </c>
      <c r="G71" s="181"/>
      <c r="H71" s="181"/>
      <c r="I71" s="30" t="s">
        <v>114</v>
      </c>
      <c r="J71" s="23">
        <v>9</v>
      </c>
      <c r="K71" s="14">
        <v>48500000</v>
      </c>
      <c r="L71" s="14">
        <f>46536000+9000000</f>
        <v>55536000</v>
      </c>
      <c r="M71" s="14">
        <f>46536000+9000000</f>
        <v>55536000</v>
      </c>
      <c r="N71" s="14">
        <v>0</v>
      </c>
      <c r="O71" s="14">
        <v>0</v>
      </c>
      <c r="P71" s="14">
        <f t="shared" ref="P71:P82" si="31">SUM(M71:O71)</f>
        <v>55536000</v>
      </c>
      <c r="Q71" s="14">
        <v>12636000</v>
      </c>
      <c r="R71" s="45">
        <f t="shared" ref="R71:R82" si="32">Q71/L71</f>
        <v>0.22752808988764045</v>
      </c>
      <c r="S71" s="95"/>
      <c r="T71" s="26">
        <f t="shared" si="15"/>
        <v>42900000</v>
      </c>
      <c r="U71" s="46">
        <f t="shared" si="22"/>
        <v>88.453608247422679</v>
      </c>
      <c r="V71" s="12">
        <f>U71*109000/90</f>
        <v>107127.14776632302</v>
      </c>
      <c r="W71" s="21">
        <f t="shared" ref="W71:W82" si="33">V71*J71</f>
        <v>964144.32989690721</v>
      </c>
      <c r="X71" s="177">
        <f>W84+D71+F71+G71+H71+E71</f>
        <v>20268082.346971471</v>
      </c>
      <c r="Y71" s="246"/>
    </row>
    <row r="72" spans="1:25" ht="13" customHeight="1">
      <c r="A72" s="222"/>
      <c r="B72" s="247"/>
      <c r="C72" s="224"/>
      <c r="D72" s="227"/>
      <c r="E72" s="227"/>
      <c r="F72" s="243"/>
      <c r="G72" s="244"/>
      <c r="H72" s="244"/>
      <c r="I72" s="26" t="s">
        <v>115</v>
      </c>
      <c r="J72" s="26">
        <v>9</v>
      </c>
      <c r="K72" s="14">
        <v>39200000</v>
      </c>
      <c r="L72" s="14">
        <v>42988000</v>
      </c>
      <c r="M72" s="14">
        <v>38540000</v>
      </c>
      <c r="N72" s="14">
        <v>4003200</v>
      </c>
      <c r="O72" s="14">
        <v>0</v>
      </c>
      <c r="P72" s="14">
        <f t="shared" si="31"/>
        <v>42543200</v>
      </c>
      <c r="Q72" s="14">
        <v>7688000</v>
      </c>
      <c r="R72" s="45">
        <f t="shared" si="32"/>
        <v>0.17884060668093421</v>
      </c>
      <c r="S72" s="95"/>
      <c r="T72" s="26">
        <f t="shared" si="15"/>
        <v>34934748.301851682</v>
      </c>
      <c r="U72" s="46">
        <f t="shared" si="22"/>
        <v>89.11925587207061</v>
      </c>
      <c r="V72" s="12">
        <f>U72*109000/90</f>
        <v>107933.32100061886</v>
      </c>
      <c r="W72" s="21">
        <f t="shared" si="33"/>
        <v>971399.88900556974</v>
      </c>
      <c r="X72" s="177"/>
      <c r="Y72" s="246"/>
    </row>
    <row r="73" spans="1:25" ht="13" customHeight="1">
      <c r="A73" s="222"/>
      <c r="B73" s="247"/>
      <c r="C73" s="224"/>
      <c r="D73" s="227"/>
      <c r="E73" s="227"/>
      <c r="F73" s="243"/>
      <c r="G73" s="244"/>
      <c r="H73" s="244"/>
      <c r="I73" s="26" t="s">
        <v>70</v>
      </c>
      <c r="J73" s="26">
        <v>38</v>
      </c>
      <c r="K73" s="14">
        <v>143100000</v>
      </c>
      <c r="L73" s="14">
        <v>178652000</v>
      </c>
      <c r="M73" s="14">
        <v>175355000</v>
      </c>
      <c r="N73" s="14">
        <v>3056400</v>
      </c>
      <c r="O73" s="14">
        <v>0</v>
      </c>
      <c r="P73" s="14">
        <f t="shared" si="31"/>
        <v>178411400</v>
      </c>
      <c r="Q73" s="14">
        <v>41662000</v>
      </c>
      <c r="R73" s="45">
        <f t="shared" si="32"/>
        <v>0.23320197926695474</v>
      </c>
      <c r="S73" s="95"/>
      <c r="T73" s="26">
        <f t="shared" si="15"/>
        <v>136805508.39621162</v>
      </c>
      <c r="U73" s="46">
        <f t="shared" si="22"/>
        <v>95.601333610210787</v>
      </c>
      <c r="V73" s="12">
        <f>U73*120000/95</f>
        <v>120759.57929710836</v>
      </c>
      <c r="W73" s="21">
        <f t="shared" si="33"/>
        <v>4588864.0132901175</v>
      </c>
      <c r="X73" s="177"/>
      <c r="Y73" s="246"/>
    </row>
    <row r="74" spans="1:25" ht="12.5">
      <c r="A74" s="222"/>
      <c r="B74" s="247"/>
      <c r="C74" s="224"/>
      <c r="D74" s="227"/>
      <c r="E74" s="227"/>
      <c r="F74" s="243"/>
      <c r="G74" s="244"/>
      <c r="H74" s="244"/>
      <c r="I74" s="26" t="s">
        <v>117</v>
      </c>
      <c r="J74" s="26">
        <v>24</v>
      </c>
      <c r="K74" s="14">
        <v>79200000</v>
      </c>
      <c r="L74" s="14">
        <v>98774000</v>
      </c>
      <c r="M74" s="14">
        <v>94948000</v>
      </c>
      <c r="N74" s="14">
        <v>3443400</v>
      </c>
      <c r="O74" s="14">
        <v>0</v>
      </c>
      <c r="P74" s="14">
        <f t="shared" si="31"/>
        <v>98391400</v>
      </c>
      <c r="Q74" s="14">
        <v>24774000</v>
      </c>
      <c r="R74" s="45">
        <f t="shared" si="32"/>
        <v>0.25081499179946137</v>
      </c>
      <c r="S74" s="95"/>
      <c r="T74" s="26">
        <f t="shared" si="15"/>
        <v>73713361.815862477</v>
      </c>
      <c r="U74" s="46">
        <f t="shared" si="22"/>
        <v>93.0724265351799</v>
      </c>
      <c r="V74" s="12">
        <f>U74*119000/95</f>
        <v>116585.46060722535</v>
      </c>
      <c r="W74" s="21">
        <f t="shared" si="33"/>
        <v>2798051.0545734083</v>
      </c>
      <c r="X74" s="178"/>
      <c r="Y74" s="246"/>
    </row>
    <row r="75" spans="1:25" ht="12.5">
      <c r="A75" s="222"/>
      <c r="B75" s="247"/>
      <c r="C75" s="224"/>
      <c r="D75" s="227"/>
      <c r="E75" s="227"/>
      <c r="F75" s="243"/>
      <c r="G75" s="244"/>
      <c r="H75" s="244"/>
      <c r="I75" s="14" t="s">
        <v>118</v>
      </c>
      <c r="J75" s="14">
        <v>13</v>
      </c>
      <c r="K75" s="14">
        <v>60800000</v>
      </c>
      <c r="L75" s="14">
        <f>55262000+16000000</f>
        <v>71262000</v>
      </c>
      <c r="M75" s="14">
        <f>46470000+16000000</f>
        <v>62470000</v>
      </c>
      <c r="N75" s="14">
        <v>7012800</v>
      </c>
      <c r="O75" s="14">
        <v>700000</v>
      </c>
      <c r="P75" s="14">
        <f t="shared" si="31"/>
        <v>70182800</v>
      </c>
      <c r="Q75" s="14">
        <v>14662000</v>
      </c>
      <c r="R75" s="45">
        <f t="shared" si="32"/>
        <v>0.205747803878645</v>
      </c>
      <c r="S75" s="95"/>
      <c r="T75" s="26">
        <f t="shared" si="15"/>
        <v>55742843.029945835</v>
      </c>
      <c r="U75" s="46">
        <f t="shared" si="22"/>
        <v>91.68230761504249</v>
      </c>
      <c r="V75" s="12">
        <f>U75*110000/90</f>
        <v>112056.15375171861</v>
      </c>
      <c r="W75" s="21">
        <f t="shared" si="33"/>
        <v>1456729.998772342</v>
      </c>
      <c r="X75" s="178"/>
      <c r="Y75" s="246"/>
    </row>
    <row r="76" spans="1:25" ht="12.5">
      <c r="A76" s="222"/>
      <c r="B76" s="247"/>
      <c r="C76" s="224"/>
      <c r="D76" s="227"/>
      <c r="E76" s="227"/>
      <c r="F76" s="243"/>
      <c r="G76" s="244"/>
      <c r="H76" s="244"/>
      <c r="I76" s="14" t="s">
        <v>119</v>
      </c>
      <c r="J76" s="14">
        <v>7</v>
      </c>
      <c r="K76" s="14">
        <v>23200000</v>
      </c>
      <c r="L76" s="14">
        <v>25766000</v>
      </c>
      <c r="M76" s="14">
        <v>21268000</v>
      </c>
      <c r="N76" s="14">
        <v>0</v>
      </c>
      <c r="O76" s="14">
        <v>0</v>
      </c>
      <c r="P76" s="14">
        <f t="shared" si="31"/>
        <v>21268000</v>
      </c>
      <c r="Q76" s="14">
        <v>6366000</v>
      </c>
      <c r="R76" s="45">
        <f t="shared" si="32"/>
        <v>0.24706978188310177</v>
      </c>
      <c r="S76" s="95">
        <v>2683870.9677419355</v>
      </c>
      <c r="T76" s="26">
        <f t="shared" si="15"/>
        <v>18697190.846652128</v>
      </c>
      <c r="U76" s="46">
        <f t="shared" si="22"/>
        <v>80.591339856259168</v>
      </c>
      <c r="V76" s="12">
        <f>U76*85000/80</f>
        <v>85628.298597275367</v>
      </c>
      <c r="W76" s="21">
        <f t="shared" si="33"/>
        <v>599398.09018092754</v>
      </c>
      <c r="X76" s="178"/>
      <c r="Y76" s="246"/>
    </row>
    <row r="77" spans="1:25" ht="14">
      <c r="A77" s="222"/>
      <c r="B77" s="247"/>
      <c r="C77" s="224"/>
      <c r="D77" s="227"/>
      <c r="E77" s="227"/>
      <c r="F77" s="243"/>
      <c r="G77" s="244"/>
      <c r="H77" s="244"/>
      <c r="I77" s="14" t="s">
        <v>120</v>
      </c>
      <c r="J77" s="14">
        <v>18</v>
      </c>
      <c r="K77" s="14">
        <v>61400000</v>
      </c>
      <c r="L77" s="14">
        <f>88020000-9000000-6400000</f>
        <v>72620000</v>
      </c>
      <c r="M77" s="14">
        <f>79910000-9000000-6400000</f>
        <v>64510000</v>
      </c>
      <c r="N77" s="14">
        <v>504000</v>
      </c>
      <c r="O77" s="14">
        <v>0</v>
      </c>
      <c r="P77" s="23">
        <f t="shared" si="31"/>
        <v>65014000</v>
      </c>
      <c r="Q77" s="23">
        <v>16844000</v>
      </c>
      <c r="R77" s="45">
        <f t="shared" si="32"/>
        <v>0.23194712200495732</v>
      </c>
      <c r="S77" s="18">
        <v>1210000</v>
      </c>
      <c r="T77" s="26">
        <f t="shared" si="15"/>
        <v>51144189.809969708</v>
      </c>
      <c r="U77" s="46">
        <f t="shared" si="22"/>
        <v>83.296726074869227</v>
      </c>
      <c r="V77" s="13">
        <f>U77*94000/85</f>
        <v>92116.379423973034</v>
      </c>
      <c r="W77" s="21">
        <f t="shared" si="33"/>
        <v>1658094.8296315146</v>
      </c>
      <c r="X77" s="178"/>
      <c r="Y77" s="246"/>
    </row>
    <row r="78" spans="1:25" ht="12.5">
      <c r="A78" s="222"/>
      <c r="B78" s="247"/>
      <c r="C78" s="224"/>
      <c r="D78" s="227"/>
      <c r="E78" s="227"/>
      <c r="F78" s="243"/>
      <c r="G78" s="244"/>
      <c r="H78" s="244"/>
      <c r="I78" s="23" t="s">
        <v>121</v>
      </c>
      <c r="J78" s="23">
        <v>9</v>
      </c>
      <c r="K78" s="23">
        <v>39000000</v>
      </c>
      <c r="L78" s="23">
        <v>48271000</v>
      </c>
      <c r="M78" s="23">
        <v>48271000</v>
      </c>
      <c r="N78" s="23">
        <v>0</v>
      </c>
      <c r="O78" s="44">
        <v>0</v>
      </c>
      <c r="P78" s="26">
        <f t="shared" si="31"/>
        <v>48271000</v>
      </c>
      <c r="Q78" s="26">
        <v>10271000</v>
      </c>
      <c r="R78" s="33">
        <f t="shared" si="32"/>
        <v>0.21277785834144725</v>
      </c>
      <c r="S78" s="96"/>
      <c r="T78" s="26">
        <f t="shared" si="15"/>
        <v>38000000</v>
      </c>
      <c r="U78" s="46">
        <f t="shared" si="22"/>
        <v>97.435897435897431</v>
      </c>
      <c r="V78" s="16">
        <f>U78*130000/100</f>
        <v>126666.66666666666</v>
      </c>
      <c r="W78" s="21">
        <f t="shared" si="33"/>
        <v>1140000</v>
      </c>
      <c r="X78" s="178"/>
      <c r="Y78" s="246"/>
    </row>
    <row r="79" spans="1:25" ht="12.5">
      <c r="A79" s="222"/>
      <c r="B79" s="247"/>
      <c r="C79" s="224"/>
      <c r="D79" s="227"/>
      <c r="E79" s="227"/>
      <c r="F79" s="243"/>
      <c r="G79" s="244"/>
      <c r="H79" s="244"/>
      <c r="I79" s="26" t="s">
        <v>122</v>
      </c>
      <c r="J79" s="26">
        <v>15</v>
      </c>
      <c r="K79" s="26">
        <v>56900000</v>
      </c>
      <c r="L79" s="26">
        <v>70462000</v>
      </c>
      <c r="M79" s="26">
        <v>60502000</v>
      </c>
      <c r="N79" s="26">
        <v>2727000</v>
      </c>
      <c r="O79" s="44">
        <v>0</v>
      </c>
      <c r="P79" s="26">
        <f t="shared" si="31"/>
        <v>63229000</v>
      </c>
      <c r="Q79" s="26">
        <v>16662000</v>
      </c>
      <c r="R79" s="33">
        <f t="shared" si="32"/>
        <v>0.23646788339814367</v>
      </c>
      <c r="S79" s="97"/>
      <c r="T79" s="26">
        <f t="shared" si="15"/>
        <v>48277372.200618774</v>
      </c>
      <c r="U79" s="46">
        <f t="shared" si="22"/>
        <v>84.845996837642829</v>
      </c>
      <c r="V79" s="16">
        <f>U79*94000/85</f>
        <v>93829.690620452064</v>
      </c>
      <c r="W79" s="15">
        <f t="shared" si="33"/>
        <v>1407445.3593067809</v>
      </c>
      <c r="X79" s="178"/>
      <c r="Y79" s="246"/>
    </row>
    <row r="80" spans="1:25" s="37" customFormat="1" ht="12.5">
      <c r="A80" s="222"/>
      <c r="B80" s="247"/>
      <c r="C80" s="224"/>
      <c r="D80" s="227"/>
      <c r="E80" s="227"/>
      <c r="F80" s="243"/>
      <c r="G80" s="244"/>
      <c r="H80" s="244"/>
      <c r="I80" s="26" t="s">
        <v>123</v>
      </c>
      <c r="J80" s="26">
        <v>7</v>
      </c>
      <c r="K80" s="26">
        <v>19000000</v>
      </c>
      <c r="L80" s="30">
        <v>23514000</v>
      </c>
      <c r="M80" s="30">
        <v>23513667</v>
      </c>
      <c r="N80" s="30">
        <v>0</v>
      </c>
      <c r="O80" s="32">
        <v>0</v>
      </c>
      <c r="P80" s="30">
        <f t="shared" si="31"/>
        <v>23513667</v>
      </c>
      <c r="Q80" s="30">
        <v>4914000</v>
      </c>
      <c r="R80" s="33">
        <f t="shared" si="32"/>
        <v>0.20898188313345242</v>
      </c>
      <c r="S80" s="98"/>
      <c r="T80" s="30">
        <f t="shared" si="15"/>
        <v>18599736.590967081</v>
      </c>
      <c r="U80" s="34">
        <f t="shared" si="22"/>
        <v>97.89335047877411</v>
      </c>
      <c r="V80" s="16">
        <f>U80*130000/100</f>
        <v>127261.35562240634</v>
      </c>
      <c r="W80" s="16">
        <f t="shared" si="33"/>
        <v>890829.48935684434</v>
      </c>
      <c r="X80" s="263"/>
      <c r="Y80" s="246"/>
    </row>
    <row r="81" spans="1:25" s="37" customFormat="1" ht="15.5">
      <c r="A81" s="222"/>
      <c r="B81" s="247"/>
      <c r="C81" s="224"/>
      <c r="D81" s="227"/>
      <c r="E81" s="227"/>
      <c r="F81" s="243"/>
      <c r="G81" s="244"/>
      <c r="H81" s="244"/>
      <c r="I81" s="26" t="s">
        <v>124</v>
      </c>
      <c r="J81" s="26">
        <v>9</v>
      </c>
      <c r="K81" s="32">
        <v>40500000</v>
      </c>
      <c r="L81" s="26">
        <v>45514000</v>
      </c>
      <c r="M81" s="26">
        <v>40336000</v>
      </c>
      <c r="N81" s="26">
        <v>0</v>
      </c>
      <c r="O81" s="26">
        <v>0</v>
      </c>
      <c r="P81" s="30">
        <f t="shared" si="31"/>
        <v>40336000</v>
      </c>
      <c r="Q81" s="26">
        <v>9814000</v>
      </c>
      <c r="R81" s="33">
        <f t="shared" si="32"/>
        <v>0.21562596124269456</v>
      </c>
      <c r="S81" s="99">
        <v>2080000</v>
      </c>
      <c r="T81" s="30">
        <f t="shared" si="15"/>
        <v>33718511.227314673</v>
      </c>
      <c r="U81" s="34">
        <f t="shared" si="22"/>
        <v>83.255583277320184</v>
      </c>
      <c r="V81" s="63">
        <f>U81*94000/85</f>
        <v>92070.880330212909</v>
      </c>
      <c r="W81" s="16">
        <f t="shared" si="33"/>
        <v>828637.92297191615</v>
      </c>
      <c r="X81" s="263"/>
      <c r="Y81" s="246"/>
    </row>
    <row r="82" spans="1:25" ht="12.5">
      <c r="A82" s="222"/>
      <c r="B82" s="247"/>
      <c r="C82" s="224"/>
      <c r="D82" s="227"/>
      <c r="E82" s="227"/>
      <c r="F82" s="243"/>
      <c r="G82" s="244"/>
      <c r="H82" s="244"/>
      <c r="I82" s="26" t="s">
        <v>126</v>
      </c>
      <c r="J82" s="37">
        <v>15</v>
      </c>
      <c r="K82" s="25">
        <v>67300000</v>
      </c>
      <c r="L82" s="66">
        <v>90921000</v>
      </c>
      <c r="M82" s="66">
        <v>90921000</v>
      </c>
      <c r="N82" s="66">
        <v>0</v>
      </c>
      <c r="O82" s="66">
        <v>0</v>
      </c>
      <c r="P82" s="26">
        <f t="shared" si="31"/>
        <v>90921000</v>
      </c>
      <c r="Q82" s="66">
        <v>23121000</v>
      </c>
      <c r="R82" s="45">
        <f t="shared" si="32"/>
        <v>0.25429768700300259</v>
      </c>
      <c r="S82" s="97"/>
      <c r="T82" s="26">
        <f t="shared" si="15"/>
        <v>67800000</v>
      </c>
      <c r="U82" s="46">
        <f t="shared" si="22"/>
        <v>100.74294205052006</v>
      </c>
      <c r="V82" s="16">
        <f>U82*130000/100</f>
        <v>130965.82466567607</v>
      </c>
      <c r="W82" s="16">
        <f t="shared" si="33"/>
        <v>1964487.3699851411</v>
      </c>
      <c r="X82" s="263"/>
      <c r="Y82" s="246"/>
    </row>
    <row r="83" spans="1:25" ht="12.5">
      <c r="A83" s="222"/>
      <c r="B83" s="247"/>
      <c r="C83" s="224"/>
      <c r="D83" s="227"/>
      <c r="E83" s="227"/>
      <c r="F83" s="243"/>
      <c r="G83" s="244"/>
      <c r="H83" s="244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263"/>
      <c r="Y83" s="246"/>
    </row>
    <row r="84" spans="1:25" ht="13">
      <c r="A84" s="179"/>
      <c r="B84" s="180"/>
      <c r="C84" s="258"/>
      <c r="D84" s="227"/>
      <c r="E84" s="262"/>
      <c r="F84" s="243"/>
      <c r="G84" s="244"/>
      <c r="H84" s="244"/>
      <c r="I84" s="59">
        <v>12</v>
      </c>
      <c r="J84" s="52">
        <f t="shared" ref="J84:Q84" si="34">SUM(J71:J83)</f>
        <v>173</v>
      </c>
      <c r="K84" s="52">
        <f t="shared" si="34"/>
        <v>678100000</v>
      </c>
      <c r="L84" s="52">
        <f t="shared" si="34"/>
        <v>824280000</v>
      </c>
      <c r="M84" s="52">
        <f t="shared" si="34"/>
        <v>776170667</v>
      </c>
      <c r="N84" s="52">
        <f t="shared" si="34"/>
        <v>20746800</v>
      </c>
      <c r="O84" s="52">
        <f t="shared" si="34"/>
        <v>700000</v>
      </c>
      <c r="P84" s="52">
        <f t="shared" si="34"/>
        <v>797617467</v>
      </c>
      <c r="Q84" s="52">
        <f t="shared" si="34"/>
        <v>189414000</v>
      </c>
      <c r="R84" s="61"/>
      <c r="S84" s="52">
        <f>SUM(S71:S82)</f>
        <v>5973870.9677419355</v>
      </c>
      <c r="T84" s="52">
        <f>SUM(T71:T83)</f>
        <v>620333462.21939409</v>
      </c>
      <c r="U84" s="55">
        <f>(T84/K84)*100</f>
        <v>91.481118156524715</v>
      </c>
      <c r="V84" s="74"/>
      <c r="W84" s="52">
        <f>SUM(W71:W82)</f>
        <v>19268082.346971471</v>
      </c>
      <c r="X84" s="263"/>
      <c r="Y84" s="246"/>
    </row>
    <row r="85" spans="1:25" ht="12.5">
      <c r="A85" s="251" t="s">
        <v>84</v>
      </c>
      <c r="B85" s="266" t="s">
        <v>128</v>
      </c>
      <c r="C85" s="263" t="s">
        <v>35</v>
      </c>
      <c r="D85" s="181"/>
      <c r="E85" s="181">
        <v>500000</v>
      </c>
      <c r="F85" s="181">
        <v>500000</v>
      </c>
      <c r="G85" s="181"/>
      <c r="H85" s="181"/>
      <c r="I85" s="26" t="s">
        <v>130</v>
      </c>
      <c r="J85" s="26">
        <v>8</v>
      </c>
      <c r="K85" s="26">
        <v>31100000</v>
      </c>
      <c r="L85" s="56">
        <v>34848000</v>
      </c>
      <c r="M85" s="56">
        <v>25806097</v>
      </c>
      <c r="N85" s="56">
        <v>8137800</v>
      </c>
      <c r="O85" s="56">
        <v>0</v>
      </c>
      <c r="P85" s="14">
        <f>SUM(M85:O85)</f>
        <v>33943897</v>
      </c>
      <c r="Q85" s="56">
        <v>7598000</v>
      </c>
      <c r="R85" s="45">
        <f t="shared" ref="R85:R96" si="35">Q85/L85</f>
        <v>0.21803259871441691</v>
      </c>
      <c r="S85" s="56"/>
      <c r="T85" s="26">
        <f>P85-(P85*R85)+S85</f>
        <v>26543020.926595502</v>
      </c>
      <c r="U85" s="46">
        <f>(T85/K85)*100</f>
        <v>85.347334169117374</v>
      </c>
      <c r="V85" s="12">
        <f>U85*100000/85</f>
        <v>100408.62843425575</v>
      </c>
      <c r="W85" s="21">
        <f>V85*J85</f>
        <v>803269.02747404599</v>
      </c>
      <c r="X85" s="181">
        <f>W98+D85+G85+F85+H85+E85</f>
        <v>21227226.154955275</v>
      </c>
      <c r="Y85" s="101"/>
    </row>
    <row r="86" spans="1:25" ht="12.5">
      <c r="A86" s="251"/>
      <c r="B86" s="266"/>
      <c r="C86" s="182"/>
      <c r="D86" s="244"/>
      <c r="E86" s="244"/>
      <c r="F86" s="244"/>
      <c r="G86" s="244"/>
      <c r="H86" s="244"/>
      <c r="I86" s="26" t="s">
        <v>38</v>
      </c>
      <c r="J86" s="26">
        <v>6</v>
      </c>
      <c r="K86" s="26">
        <v>26100000</v>
      </c>
      <c r="L86" s="56">
        <v>28417200</v>
      </c>
      <c r="M86" s="56">
        <v>28417000</v>
      </c>
      <c r="N86" s="56">
        <v>0</v>
      </c>
      <c r="O86" s="56">
        <v>0</v>
      </c>
      <c r="P86" s="14">
        <f t="shared" ref="P86:P87" si="36">SUM(M86:O86)</f>
        <v>28417000</v>
      </c>
      <c r="Q86" s="56">
        <v>5117200</v>
      </c>
      <c r="R86" s="45">
        <f t="shared" si="35"/>
        <v>0.18007403966611771</v>
      </c>
      <c r="S86" s="56"/>
      <c r="T86" s="26">
        <f t="shared" ref="T86:T96" si="37">P86-(P86*R86)+S86</f>
        <v>23299836.014807932</v>
      </c>
      <c r="U86" s="46">
        <f t="shared" ref="U86:U87" si="38">(T86/K86)*100</f>
        <v>89.271402355585948</v>
      </c>
      <c r="V86" s="12">
        <f>U86*109000/90</f>
        <v>108117.58729732076</v>
      </c>
      <c r="W86" s="21">
        <f t="shared" ref="W86:W96" si="39">V86*J86</f>
        <v>648705.52378392452</v>
      </c>
      <c r="X86" s="244"/>
      <c r="Y86" s="101"/>
    </row>
    <row r="87" spans="1:25" ht="12.5">
      <c r="A87" s="251"/>
      <c r="B87" s="266"/>
      <c r="C87" s="182"/>
      <c r="D87" s="244"/>
      <c r="E87" s="244"/>
      <c r="F87" s="244"/>
      <c r="G87" s="244"/>
      <c r="H87" s="244"/>
      <c r="I87" s="26" t="s">
        <v>39</v>
      </c>
      <c r="J87" s="26">
        <v>13</v>
      </c>
      <c r="K87" s="26">
        <v>48000000</v>
      </c>
      <c r="L87" s="56">
        <v>57806000</v>
      </c>
      <c r="M87" s="56">
        <v>52329000</v>
      </c>
      <c r="N87" s="56">
        <v>0</v>
      </c>
      <c r="O87" s="56">
        <v>0</v>
      </c>
      <c r="P87" s="14">
        <f t="shared" si="36"/>
        <v>52329000</v>
      </c>
      <c r="Q87" s="56">
        <v>11406000</v>
      </c>
      <c r="R87" s="45">
        <f t="shared" si="35"/>
        <v>0.1973151575960973</v>
      </c>
      <c r="S87" s="56">
        <v>3300000</v>
      </c>
      <c r="T87" s="26">
        <f t="shared" si="37"/>
        <v>45303695.118153825</v>
      </c>
      <c r="U87" s="46">
        <f t="shared" si="38"/>
        <v>94.382698162820461</v>
      </c>
      <c r="V87" s="12">
        <f>U87*119000/95</f>
        <v>118226.74822500668</v>
      </c>
      <c r="W87" s="21">
        <f t="shared" si="39"/>
        <v>1536947.7269250869</v>
      </c>
      <c r="X87" s="244"/>
      <c r="Y87" s="101"/>
    </row>
    <row r="88" spans="1:25" ht="12.5">
      <c r="A88" s="251"/>
      <c r="B88" s="266"/>
      <c r="C88" s="182"/>
      <c r="D88" s="244"/>
      <c r="E88" s="244"/>
      <c r="F88" s="244"/>
      <c r="G88" s="244"/>
      <c r="H88" s="244"/>
      <c r="I88" s="26" t="s">
        <v>131</v>
      </c>
      <c r="J88" s="26">
        <v>6</v>
      </c>
      <c r="K88" s="26">
        <v>37500000</v>
      </c>
      <c r="L88" s="56">
        <v>41899000</v>
      </c>
      <c r="M88" s="56">
        <v>34446000</v>
      </c>
      <c r="N88" s="56">
        <v>0</v>
      </c>
      <c r="O88" s="56">
        <v>0</v>
      </c>
      <c r="P88" s="14">
        <f>SUM(M88:O88)</f>
        <v>34446000</v>
      </c>
      <c r="Q88" s="56">
        <v>6899000</v>
      </c>
      <c r="R88" s="45">
        <f t="shared" si="35"/>
        <v>0.16465786772954008</v>
      </c>
      <c r="S88" s="56">
        <v>3850000</v>
      </c>
      <c r="T88" s="26">
        <f t="shared" si="37"/>
        <v>32624195.088188261</v>
      </c>
      <c r="U88" s="46">
        <f>(T88/K88)*100</f>
        <v>86.997853568502023</v>
      </c>
      <c r="V88" s="12">
        <f>U88*100000/85</f>
        <v>102350.41596294356</v>
      </c>
      <c r="W88" s="21">
        <f t="shared" si="39"/>
        <v>614102.49577766133</v>
      </c>
      <c r="X88" s="244"/>
      <c r="Y88" s="101"/>
    </row>
    <row r="89" spans="1:25" ht="12.5">
      <c r="A89" s="251"/>
      <c r="B89" s="266"/>
      <c r="C89" s="182"/>
      <c r="D89" s="244"/>
      <c r="E89" s="244"/>
      <c r="F89" s="244"/>
      <c r="G89" s="244"/>
      <c r="H89" s="244"/>
      <c r="I89" s="30" t="s">
        <v>132</v>
      </c>
      <c r="J89" s="30">
        <v>17</v>
      </c>
      <c r="K89" s="32">
        <v>55200000</v>
      </c>
      <c r="L89" s="56">
        <f>69915000-3100000</f>
        <v>66815000</v>
      </c>
      <c r="M89" s="56">
        <f>64934000-3100000</f>
        <v>61834000</v>
      </c>
      <c r="N89" s="56">
        <v>0</v>
      </c>
      <c r="O89" s="56">
        <v>0</v>
      </c>
      <c r="P89" s="14">
        <f>SUM(M89:O89)</f>
        <v>61834000</v>
      </c>
      <c r="Q89" s="56">
        <v>13118000</v>
      </c>
      <c r="R89" s="45">
        <f t="shared" si="35"/>
        <v>0.1963331587218439</v>
      </c>
      <c r="S89" s="56">
        <v>3200000</v>
      </c>
      <c r="T89" s="26">
        <f t="shared" si="37"/>
        <v>52893935.463593505</v>
      </c>
      <c r="U89" s="46">
        <f>(T89/K89)*100</f>
        <v>95.822346854336061</v>
      </c>
      <c r="V89" s="12">
        <f>U89*120000/95</f>
        <v>121038.7539212666</v>
      </c>
      <c r="W89" s="21">
        <f t="shared" si="39"/>
        <v>2057658.8166615323</v>
      </c>
      <c r="X89" s="244"/>
      <c r="Y89" s="101"/>
    </row>
    <row r="90" spans="1:25" ht="12.5">
      <c r="A90" s="251"/>
      <c r="B90" s="266"/>
      <c r="C90" s="182"/>
      <c r="D90" s="244"/>
      <c r="E90" s="244"/>
      <c r="F90" s="244"/>
      <c r="G90" s="244"/>
      <c r="H90" s="244"/>
      <c r="I90" s="26" t="s">
        <v>40</v>
      </c>
      <c r="J90" s="26">
        <v>10</v>
      </c>
      <c r="K90" s="26">
        <v>40000000</v>
      </c>
      <c r="L90" s="56">
        <v>51072000</v>
      </c>
      <c r="M90" s="56">
        <v>51072000</v>
      </c>
      <c r="N90" s="56">
        <v>0</v>
      </c>
      <c r="O90" s="56">
        <v>0</v>
      </c>
      <c r="P90" s="14">
        <f t="shared" ref="P90:P91" si="40">SUM(M90:O90)</f>
        <v>51072000</v>
      </c>
      <c r="Q90" s="56">
        <v>11472000</v>
      </c>
      <c r="R90" s="45">
        <f t="shared" si="35"/>
        <v>0.22462406015037595</v>
      </c>
      <c r="S90" s="56"/>
      <c r="T90" s="26">
        <f t="shared" si="37"/>
        <v>39600000</v>
      </c>
      <c r="U90" s="46">
        <f t="shared" ref="U90:U92" si="41">(T90/K90)*100</f>
        <v>99</v>
      </c>
      <c r="V90" s="12">
        <f>U90*130000/100</f>
        <v>128700</v>
      </c>
      <c r="W90" s="21">
        <f t="shared" si="39"/>
        <v>1287000</v>
      </c>
      <c r="X90" s="244"/>
      <c r="Y90" s="101"/>
    </row>
    <row r="91" spans="1:25" ht="12.5">
      <c r="A91" s="251"/>
      <c r="B91" s="266"/>
      <c r="C91" s="182"/>
      <c r="D91" s="244"/>
      <c r="E91" s="244"/>
      <c r="F91" s="244"/>
      <c r="G91" s="244"/>
      <c r="H91" s="244"/>
      <c r="I91" s="26" t="s">
        <v>71</v>
      </c>
      <c r="J91" s="26">
        <v>12</v>
      </c>
      <c r="K91" s="26">
        <v>57600000</v>
      </c>
      <c r="L91" s="56">
        <v>71512500</v>
      </c>
      <c r="M91" s="56">
        <v>70249000</v>
      </c>
      <c r="N91" s="56">
        <v>1182150</v>
      </c>
      <c r="O91" s="56">
        <v>0</v>
      </c>
      <c r="P91" s="14">
        <f t="shared" si="40"/>
        <v>71431150</v>
      </c>
      <c r="Q91" s="56">
        <v>17512500</v>
      </c>
      <c r="R91" s="45">
        <f t="shared" si="35"/>
        <v>0.24488725747246984</v>
      </c>
      <c r="S91" s="56"/>
      <c r="T91" s="26">
        <f t="shared" si="37"/>
        <v>53938571.578395382</v>
      </c>
      <c r="U91" s="46">
        <f t="shared" si="41"/>
        <v>93.6433534347142</v>
      </c>
      <c r="V91" s="12">
        <f>U91*119000/95</f>
        <v>117300.62167085252</v>
      </c>
      <c r="W91" s="21">
        <f t="shared" si="39"/>
        <v>1407607.4600502301</v>
      </c>
      <c r="X91" s="244"/>
      <c r="Y91" s="101"/>
    </row>
    <row r="92" spans="1:25" ht="12.5">
      <c r="A92" s="251"/>
      <c r="B92" s="266"/>
      <c r="C92" s="182"/>
      <c r="D92" s="244"/>
      <c r="E92" s="244"/>
      <c r="F92" s="244"/>
      <c r="G92" s="244"/>
      <c r="H92" s="244"/>
      <c r="I92" s="26" t="s">
        <v>133</v>
      </c>
      <c r="J92" s="83">
        <v>18</v>
      </c>
      <c r="K92" s="56">
        <v>64200000</v>
      </c>
      <c r="L92" s="56">
        <f>83228000-5500000</f>
        <v>77728000</v>
      </c>
      <c r="M92" s="56">
        <f>82968000-5500000</f>
        <v>77468000</v>
      </c>
      <c r="N92" s="56">
        <v>0</v>
      </c>
      <c r="O92" s="56">
        <v>0</v>
      </c>
      <c r="P92" s="14">
        <f>SUM(M92:O92)</f>
        <v>77468000</v>
      </c>
      <c r="Q92" s="56">
        <v>17098000</v>
      </c>
      <c r="R92" s="45">
        <f t="shared" si="35"/>
        <v>0.21997221078633183</v>
      </c>
      <c r="S92" s="56"/>
      <c r="T92" s="26">
        <f t="shared" si="37"/>
        <v>60427192.774804443</v>
      </c>
      <c r="U92" s="46">
        <f t="shared" si="41"/>
        <v>94.12335323178263</v>
      </c>
      <c r="V92" s="12">
        <f>U92*119000/95</f>
        <v>117901.88457454876</v>
      </c>
      <c r="W92" s="21">
        <f t="shared" si="39"/>
        <v>2122233.9223418776</v>
      </c>
      <c r="X92" s="244"/>
      <c r="Y92" s="101"/>
    </row>
    <row r="93" spans="1:25" ht="12.5">
      <c r="A93" s="251"/>
      <c r="B93" s="266"/>
      <c r="C93" s="182"/>
      <c r="D93" s="244"/>
      <c r="E93" s="244"/>
      <c r="F93" s="244"/>
      <c r="G93" s="244"/>
      <c r="H93" s="244"/>
      <c r="I93" s="26" t="s">
        <v>134</v>
      </c>
      <c r="J93" s="83">
        <v>10</v>
      </c>
      <c r="K93" s="56">
        <v>35200000</v>
      </c>
      <c r="L93" s="56">
        <v>44032000</v>
      </c>
      <c r="M93" s="102">
        <v>41680000</v>
      </c>
      <c r="N93" s="56">
        <v>2116800</v>
      </c>
      <c r="O93" s="56">
        <v>0</v>
      </c>
      <c r="P93" s="14">
        <f t="shared" ref="P93:P96" si="42">SUM(M93:O93)</f>
        <v>43796800</v>
      </c>
      <c r="Q93" s="56">
        <v>8932000</v>
      </c>
      <c r="R93" s="45">
        <f t="shared" si="35"/>
        <v>0.20285247093023256</v>
      </c>
      <c r="S93" s="56"/>
      <c r="T93" s="26">
        <f t="shared" si="37"/>
        <v>34912510.901162788</v>
      </c>
      <c r="U93" s="46">
        <f>(T93/K93)*100</f>
        <v>99.183269605576101</v>
      </c>
      <c r="V93" s="12">
        <f>U93*130000/100</f>
        <v>128938.25048724894</v>
      </c>
      <c r="W93" s="21">
        <f t="shared" si="39"/>
        <v>1289382.5048724893</v>
      </c>
      <c r="X93" s="244"/>
      <c r="Y93" s="101"/>
    </row>
    <row r="94" spans="1:25" ht="13">
      <c r="A94" s="251"/>
      <c r="B94" s="266"/>
      <c r="C94" s="182"/>
      <c r="D94" s="244"/>
      <c r="E94" s="244"/>
      <c r="F94" s="244"/>
      <c r="G94" s="244"/>
      <c r="H94" s="244"/>
      <c r="I94" s="26" t="s">
        <v>135</v>
      </c>
      <c r="J94" s="56">
        <v>26</v>
      </c>
      <c r="K94" s="56">
        <v>140500000</v>
      </c>
      <c r="L94" s="56">
        <v>168991000</v>
      </c>
      <c r="M94" s="56">
        <v>168991000</v>
      </c>
      <c r="N94" s="56">
        <v>0</v>
      </c>
      <c r="O94" s="56">
        <v>0</v>
      </c>
      <c r="P94" s="14">
        <f t="shared" si="42"/>
        <v>168991000</v>
      </c>
      <c r="Q94" s="56">
        <v>32591000</v>
      </c>
      <c r="R94" s="45">
        <f t="shared" si="35"/>
        <v>0.19285642430661987</v>
      </c>
      <c r="S94" s="72"/>
      <c r="T94" s="26">
        <f t="shared" si="37"/>
        <v>136400000</v>
      </c>
      <c r="U94" s="46">
        <f>(T94/K94)*100</f>
        <v>97.081850533807838</v>
      </c>
      <c r="V94" s="12">
        <f>U94*120000/95</f>
        <v>122629.70593744148</v>
      </c>
      <c r="W94" s="21">
        <f t="shared" si="39"/>
        <v>3188372.3543734783</v>
      </c>
      <c r="X94" s="244"/>
      <c r="Y94" s="101"/>
    </row>
    <row r="95" spans="1:25" ht="13">
      <c r="A95" s="251"/>
      <c r="B95" s="266"/>
      <c r="C95" s="182"/>
      <c r="D95" s="244"/>
      <c r="E95" s="244"/>
      <c r="F95" s="244"/>
      <c r="G95" s="244"/>
      <c r="H95" s="244"/>
      <c r="I95" s="26" t="s">
        <v>136</v>
      </c>
      <c r="J95" s="56">
        <v>18</v>
      </c>
      <c r="K95" s="56">
        <v>74900000</v>
      </c>
      <c r="L95" s="56">
        <v>93171000</v>
      </c>
      <c r="M95" s="56">
        <v>93171000</v>
      </c>
      <c r="N95" s="56">
        <v>0</v>
      </c>
      <c r="O95" s="56">
        <v>0</v>
      </c>
      <c r="P95" s="14">
        <f t="shared" si="42"/>
        <v>93171000</v>
      </c>
      <c r="Q95" s="72">
        <v>19747000</v>
      </c>
      <c r="R95" s="45">
        <f t="shared" si="35"/>
        <v>0.21194363052881263</v>
      </c>
      <c r="S95" s="56"/>
      <c r="T95" s="26">
        <f t="shared" si="37"/>
        <v>73424000</v>
      </c>
      <c r="U95" s="46">
        <f>(T95/K95)*100</f>
        <v>98.029372496662219</v>
      </c>
      <c r="V95" s="12">
        <f>U95*130000/100</f>
        <v>127438.18424566089</v>
      </c>
      <c r="W95" s="21">
        <f t="shared" si="39"/>
        <v>2293887.3164218958</v>
      </c>
      <c r="X95" s="244"/>
      <c r="Y95" s="101"/>
    </row>
    <row r="96" spans="1:25" ht="13">
      <c r="A96" s="251"/>
      <c r="B96" s="266"/>
      <c r="C96" s="182"/>
      <c r="D96" s="244"/>
      <c r="E96" s="244"/>
      <c r="F96" s="244"/>
      <c r="G96" s="244"/>
      <c r="H96" s="244"/>
      <c r="I96" s="30" t="s">
        <v>137</v>
      </c>
      <c r="J96" s="77">
        <v>27</v>
      </c>
      <c r="K96" s="77">
        <v>121000000</v>
      </c>
      <c r="L96" s="77">
        <f>142959548-3800000</f>
        <v>139159548</v>
      </c>
      <c r="M96" s="77">
        <f>131664200-3800000</f>
        <v>127864200</v>
      </c>
      <c r="N96" s="77">
        <v>231300</v>
      </c>
      <c r="O96" s="77">
        <v>3613400</v>
      </c>
      <c r="P96" s="23">
        <f t="shared" si="42"/>
        <v>131708900</v>
      </c>
      <c r="Q96" s="115">
        <v>29422000</v>
      </c>
      <c r="R96" s="33">
        <f t="shared" si="35"/>
        <v>0.21142638376491421</v>
      </c>
      <c r="S96" s="77">
        <v>5333333.333333334</v>
      </c>
      <c r="T96" s="30">
        <f t="shared" si="37"/>
        <v>109195496.89667861</v>
      </c>
      <c r="U96" s="34">
        <f>(T96/K96)*100</f>
        <v>90.244212311304636</v>
      </c>
      <c r="V96" s="12">
        <f>U96*110000/90</f>
        <v>110298.48171381677</v>
      </c>
      <c r="W96" s="21">
        <f t="shared" si="39"/>
        <v>2978059.0062730527</v>
      </c>
      <c r="X96" s="244"/>
      <c r="Y96" s="101"/>
    </row>
    <row r="97" spans="1:25" ht="12.5">
      <c r="A97" s="251"/>
      <c r="B97" s="266"/>
      <c r="C97" s="260"/>
      <c r="D97" s="244"/>
      <c r="E97" s="244"/>
      <c r="F97" s="244"/>
      <c r="G97" s="244"/>
      <c r="H97" s="244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16"/>
      <c r="Y97" s="101"/>
    </row>
    <row r="98" spans="1:25" ht="13">
      <c r="A98" s="179"/>
      <c r="B98" s="180"/>
      <c r="C98" s="261"/>
      <c r="D98" s="245"/>
      <c r="E98" s="245"/>
      <c r="F98" s="245"/>
      <c r="G98" s="245"/>
      <c r="H98" s="245"/>
      <c r="I98" s="59">
        <v>12</v>
      </c>
      <c r="J98" s="52">
        <f>SUM(J85:J96)</f>
        <v>171</v>
      </c>
      <c r="K98" s="52">
        <f t="shared" ref="K98:Q98" si="43">SUM(K85:K96)</f>
        <v>731300000</v>
      </c>
      <c r="L98" s="52">
        <f t="shared" si="43"/>
        <v>875451248</v>
      </c>
      <c r="M98" s="52">
        <f>SUM(M85:M96)</f>
        <v>833327297</v>
      </c>
      <c r="N98" s="52">
        <f t="shared" si="43"/>
        <v>11668050</v>
      </c>
      <c r="O98" s="52">
        <f t="shared" si="43"/>
        <v>3613400</v>
      </c>
      <c r="P98" s="52">
        <f t="shared" si="43"/>
        <v>848608747</v>
      </c>
      <c r="Q98" s="52">
        <f t="shared" si="43"/>
        <v>180912700</v>
      </c>
      <c r="R98" s="61"/>
      <c r="S98" s="52">
        <f>SUM(S85:S96)</f>
        <v>15683333.333333334</v>
      </c>
      <c r="T98" s="52">
        <f>SUM(T85:T96)</f>
        <v>688562454.76238024</v>
      </c>
      <c r="U98" s="55">
        <f>(T98/K98)*100</f>
        <v>94.155948962447738</v>
      </c>
      <c r="V98" s="74"/>
      <c r="W98" s="52">
        <f>SUM(W85:W96)</f>
        <v>20227226.154955275</v>
      </c>
      <c r="X98" s="24"/>
      <c r="Y98" s="101"/>
    </row>
    <row r="99" spans="1:25" ht="13" customHeight="1">
      <c r="A99" s="281" t="s">
        <v>97</v>
      </c>
      <c r="B99" s="180" t="s">
        <v>139</v>
      </c>
      <c r="C99" s="283" t="s">
        <v>35</v>
      </c>
      <c r="D99" s="226"/>
      <c r="E99" s="227">
        <v>500000</v>
      </c>
      <c r="F99" s="243">
        <v>500000</v>
      </c>
      <c r="G99" s="181"/>
      <c r="H99" s="181"/>
      <c r="I99" s="26" t="s">
        <v>140</v>
      </c>
      <c r="J99" s="26">
        <v>9</v>
      </c>
      <c r="K99" s="26">
        <v>29000000</v>
      </c>
      <c r="L99" s="103">
        <v>37294000</v>
      </c>
      <c r="M99" s="103">
        <v>37296000</v>
      </c>
      <c r="N99" s="103">
        <v>0</v>
      </c>
      <c r="O99" s="103">
        <v>0</v>
      </c>
      <c r="P99" s="26">
        <f>SUM(M99:O99)</f>
        <v>37296000</v>
      </c>
      <c r="Q99" s="103">
        <v>8994000</v>
      </c>
      <c r="R99" s="45">
        <f>Q99/L99</f>
        <v>0.241164798627125</v>
      </c>
      <c r="S99" s="103"/>
      <c r="T99" s="26">
        <f>P99-(P99*R99)+S99</f>
        <v>28301517.670402747</v>
      </c>
      <c r="U99" s="46">
        <f t="shared" ref="U99:U109" si="44">(T99/K99)*100</f>
        <v>97.591440242768087</v>
      </c>
      <c r="V99" s="12">
        <f>U99*130000/100</f>
        <v>126868.87231559852</v>
      </c>
      <c r="W99" s="58">
        <f>V99*J99</f>
        <v>1141819.8508403867</v>
      </c>
      <c r="X99" s="181">
        <f>D99+F99+G99+H99+W110+E99</f>
        <v>16800611.431273084</v>
      </c>
      <c r="Y99" s="101"/>
    </row>
    <row r="100" spans="1:25" ht="13" customHeight="1">
      <c r="A100" s="281"/>
      <c r="B100" s="180"/>
      <c r="C100" s="258"/>
      <c r="D100" s="227"/>
      <c r="E100" s="227"/>
      <c r="F100" s="243"/>
      <c r="G100" s="244"/>
      <c r="H100" s="244"/>
      <c r="I100" s="26" t="s">
        <v>141</v>
      </c>
      <c r="J100" s="26">
        <v>8</v>
      </c>
      <c r="K100" s="26">
        <v>30600000</v>
      </c>
      <c r="L100" s="103">
        <f>38084000-1750000</f>
        <v>36334000</v>
      </c>
      <c r="M100" s="103">
        <f>29783000-1750000</f>
        <v>28033000</v>
      </c>
      <c r="N100" s="103">
        <v>3816000</v>
      </c>
      <c r="O100" s="103">
        <v>0</v>
      </c>
      <c r="P100" s="26">
        <f t="shared" ref="P100:P109" si="45">SUM(M100:O100)</f>
        <v>31849000</v>
      </c>
      <c r="Q100" s="103">
        <v>7234000</v>
      </c>
      <c r="R100" s="45">
        <f t="shared" ref="R100:R118" si="46">Q100/L100</f>
        <v>0.19909726427038035</v>
      </c>
      <c r="S100" s="103"/>
      <c r="T100" s="26">
        <f t="shared" ref="T100:T109" si="47">P100-(P100*R100)+S100</f>
        <v>25507951.230252657</v>
      </c>
      <c r="U100" s="46">
        <f t="shared" si="44"/>
        <v>83.359317745923704</v>
      </c>
      <c r="V100" s="12">
        <f>U100*94000/85</f>
        <v>92185.598448433273</v>
      </c>
      <c r="W100" s="58">
        <f t="shared" ref="W100:W101" si="48">V100*J100</f>
        <v>737484.78758746618</v>
      </c>
      <c r="X100" s="244"/>
      <c r="Y100" s="101"/>
    </row>
    <row r="101" spans="1:25" ht="13" customHeight="1">
      <c r="A101" s="281"/>
      <c r="B101" s="180"/>
      <c r="C101" s="258"/>
      <c r="D101" s="227"/>
      <c r="E101" s="227"/>
      <c r="F101" s="243"/>
      <c r="G101" s="244"/>
      <c r="H101" s="244"/>
      <c r="I101" s="66" t="s">
        <v>142</v>
      </c>
      <c r="J101" s="66">
        <v>11</v>
      </c>
      <c r="K101" s="44">
        <v>37400000</v>
      </c>
      <c r="L101" s="103">
        <v>33542000</v>
      </c>
      <c r="M101" s="103">
        <v>34538000</v>
      </c>
      <c r="N101" s="103">
        <v>0</v>
      </c>
      <c r="O101" s="103">
        <v>0</v>
      </c>
      <c r="P101" s="26">
        <f t="shared" si="45"/>
        <v>34538000</v>
      </c>
      <c r="Q101" s="103">
        <v>8442000</v>
      </c>
      <c r="R101" s="45">
        <f t="shared" si="46"/>
        <v>0.25168445530976091</v>
      </c>
      <c r="S101" s="103">
        <v>3323333.333333333</v>
      </c>
      <c r="T101" s="26">
        <f t="shared" si="47"/>
        <v>29168655.615844812</v>
      </c>
      <c r="U101" s="46">
        <f t="shared" si="44"/>
        <v>77.991057796376509</v>
      </c>
      <c r="V101" s="12">
        <f>U101*84000/80</f>
        <v>81890.610686195345</v>
      </c>
      <c r="W101" s="58">
        <f t="shared" si="48"/>
        <v>900796.71754814882</v>
      </c>
      <c r="X101" s="244"/>
      <c r="Y101" s="101"/>
    </row>
    <row r="102" spans="1:25" ht="13" customHeight="1">
      <c r="A102" s="281"/>
      <c r="B102" s="180"/>
      <c r="C102" s="258"/>
      <c r="D102" s="227"/>
      <c r="E102" s="227"/>
      <c r="F102" s="243"/>
      <c r="G102" s="244"/>
      <c r="H102" s="244"/>
      <c r="I102" s="26" t="s">
        <v>143</v>
      </c>
      <c r="J102" s="26">
        <v>15</v>
      </c>
      <c r="K102" s="26">
        <v>56600000</v>
      </c>
      <c r="L102" s="103">
        <f>85024000-10000000-3200000</f>
        <v>71824000</v>
      </c>
      <c r="M102" s="103">
        <f>84444000-10000000-3200000</f>
        <v>71244000</v>
      </c>
      <c r="N102" s="103">
        <v>0</v>
      </c>
      <c r="O102" s="103">
        <v>0</v>
      </c>
      <c r="P102" s="26">
        <f t="shared" si="45"/>
        <v>71244000</v>
      </c>
      <c r="Q102" s="103">
        <v>17024000</v>
      </c>
      <c r="R102" s="45">
        <f t="shared" si="46"/>
        <v>0.23702383604366228</v>
      </c>
      <c r="S102" s="103"/>
      <c r="T102" s="26">
        <f t="shared" si="47"/>
        <v>54357473.824905321</v>
      </c>
      <c r="U102" s="46">
        <f t="shared" si="44"/>
        <v>96.037939619974068</v>
      </c>
      <c r="V102" s="12">
        <f>U102*120000/95</f>
        <v>121311.08162523039</v>
      </c>
      <c r="W102" s="58">
        <f t="shared" ref="W102:W109" si="49">V102*J102</f>
        <v>1819666.2243784559</v>
      </c>
      <c r="X102" s="244"/>
      <c r="Y102" s="101"/>
    </row>
    <row r="103" spans="1:25" ht="13" customHeight="1">
      <c r="A103" s="281"/>
      <c r="B103" s="180"/>
      <c r="C103" s="258"/>
      <c r="D103" s="227"/>
      <c r="E103" s="227"/>
      <c r="F103" s="243"/>
      <c r="G103" s="244"/>
      <c r="H103" s="244"/>
      <c r="I103" s="26" t="s">
        <v>144</v>
      </c>
      <c r="J103" s="26">
        <v>17</v>
      </c>
      <c r="K103" s="26">
        <v>61600000</v>
      </c>
      <c r="L103" s="103">
        <f>93803354.8387097-13400000</f>
        <v>80403354.838709697</v>
      </c>
      <c r="M103" s="103">
        <f>93692600-13400000</f>
        <v>80292600</v>
      </c>
      <c r="N103" s="103">
        <v>98100</v>
      </c>
      <c r="O103" s="103">
        <v>0</v>
      </c>
      <c r="P103" s="26">
        <f t="shared" si="45"/>
        <v>80390700</v>
      </c>
      <c r="Q103" s="103">
        <v>18624000</v>
      </c>
      <c r="R103" s="45">
        <f t="shared" si="46"/>
        <v>0.2316321257658964</v>
      </c>
      <c r="S103" s="103"/>
      <c r="T103" s="26">
        <f t="shared" si="47"/>
        <v>61769631.267191552</v>
      </c>
      <c r="U103" s="46">
        <f t="shared" si="44"/>
        <v>100.27537543375252</v>
      </c>
      <c r="V103" s="12">
        <f>U103*130000/100</f>
        <v>130357.98806387826</v>
      </c>
      <c r="W103" s="58">
        <f t="shared" si="49"/>
        <v>2216085.7970859306</v>
      </c>
      <c r="X103" s="244"/>
      <c r="Y103" s="101"/>
    </row>
    <row r="104" spans="1:25" ht="13" customHeight="1">
      <c r="A104" s="281"/>
      <c r="B104" s="180"/>
      <c r="C104" s="258"/>
      <c r="D104" s="227"/>
      <c r="E104" s="227"/>
      <c r="F104" s="243"/>
      <c r="G104" s="244"/>
      <c r="H104" s="244"/>
      <c r="I104" s="26" t="s">
        <v>145</v>
      </c>
      <c r="J104" s="26">
        <v>18</v>
      </c>
      <c r="K104" s="44">
        <v>78800000</v>
      </c>
      <c r="L104" s="103">
        <f>94097129.0322581-7400000</f>
        <v>86697129.032258093</v>
      </c>
      <c r="M104" s="103">
        <f>89181000-7400000</f>
        <v>81781000</v>
      </c>
      <c r="N104" s="103">
        <v>4424400</v>
      </c>
      <c r="O104" s="103">
        <v>0</v>
      </c>
      <c r="P104" s="26">
        <f t="shared" si="45"/>
        <v>86205400</v>
      </c>
      <c r="Q104" s="103">
        <v>19181000</v>
      </c>
      <c r="R104" s="45">
        <f t="shared" si="46"/>
        <v>0.22124146686406621</v>
      </c>
      <c r="S104" s="103">
        <v>1646666.6666666667</v>
      </c>
      <c r="T104" s="26">
        <f t="shared" si="47"/>
        <v>68779857.5190631</v>
      </c>
      <c r="U104" s="46">
        <f t="shared" si="44"/>
        <v>87.284083146019171</v>
      </c>
      <c r="V104" s="12">
        <f>U104*100000/85</f>
        <v>102687.15664237548</v>
      </c>
      <c r="W104" s="58">
        <f t="shared" si="49"/>
        <v>1848368.8195627588</v>
      </c>
      <c r="X104" s="244"/>
      <c r="Y104" s="101"/>
    </row>
    <row r="105" spans="1:25" ht="13" customHeight="1">
      <c r="A105" s="281"/>
      <c r="B105" s="180"/>
      <c r="C105" s="258"/>
      <c r="D105" s="227"/>
      <c r="E105" s="227"/>
      <c r="F105" s="243"/>
      <c r="G105" s="244"/>
      <c r="H105" s="244"/>
      <c r="I105" s="26" t="s">
        <v>146</v>
      </c>
      <c r="J105" s="26">
        <v>13</v>
      </c>
      <c r="K105" s="44">
        <v>56700000</v>
      </c>
      <c r="L105" s="103">
        <v>70933500</v>
      </c>
      <c r="M105" s="103">
        <v>70889000</v>
      </c>
      <c r="N105" s="103">
        <v>0</v>
      </c>
      <c r="O105" s="103">
        <v>0</v>
      </c>
      <c r="P105" s="26">
        <f t="shared" si="45"/>
        <v>70889000</v>
      </c>
      <c r="Q105" s="103">
        <v>21591500</v>
      </c>
      <c r="R105" s="45">
        <f t="shared" si="46"/>
        <v>0.30439073216463308</v>
      </c>
      <c r="S105" s="103">
        <v>3800000</v>
      </c>
      <c r="T105" s="26">
        <f t="shared" si="47"/>
        <v>53111045.387581326</v>
      </c>
      <c r="U105" s="46">
        <f t="shared" si="44"/>
        <v>93.670274052171649</v>
      </c>
      <c r="V105" s="12">
        <f>U105*119000/95</f>
        <v>117334.34328640449</v>
      </c>
      <c r="W105" s="58">
        <f t="shared" si="49"/>
        <v>1525346.4627232584</v>
      </c>
      <c r="X105" s="244"/>
      <c r="Y105" s="101"/>
    </row>
    <row r="106" spans="1:25" ht="13" customHeight="1">
      <c r="A106" s="281"/>
      <c r="B106" s="180"/>
      <c r="C106" s="258"/>
      <c r="D106" s="227"/>
      <c r="E106" s="227"/>
      <c r="F106" s="243"/>
      <c r="G106" s="244"/>
      <c r="H106" s="244"/>
      <c r="I106" s="26" t="s">
        <v>147</v>
      </c>
      <c r="J106" s="26">
        <v>8</v>
      </c>
      <c r="K106" s="26">
        <v>34000000</v>
      </c>
      <c r="L106" s="103">
        <v>41110000</v>
      </c>
      <c r="M106" s="103">
        <v>36882000</v>
      </c>
      <c r="N106" s="103">
        <v>3805200</v>
      </c>
      <c r="O106" s="103">
        <v>0</v>
      </c>
      <c r="P106" s="26">
        <f t="shared" si="45"/>
        <v>40687200</v>
      </c>
      <c r="Q106" s="103">
        <v>8810000</v>
      </c>
      <c r="R106" s="45">
        <f>Q106/L106</f>
        <v>0.21430308927268304</v>
      </c>
      <c r="S106" s="103"/>
      <c r="T106" s="26">
        <f t="shared" si="47"/>
        <v>31967807.34614449</v>
      </c>
      <c r="U106" s="46">
        <f t="shared" si="44"/>
        <v>94.02296278277791</v>
      </c>
      <c r="V106" s="12">
        <f>U106*119000/95</f>
        <v>117776.13232790075</v>
      </c>
      <c r="W106" s="58">
        <f t="shared" si="49"/>
        <v>942209.05862320599</v>
      </c>
      <c r="X106" s="244"/>
      <c r="Y106" s="101"/>
    </row>
    <row r="107" spans="1:25" ht="13" customHeight="1">
      <c r="A107" s="281"/>
      <c r="B107" s="180"/>
      <c r="C107" s="258"/>
      <c r="D107" s="227"/>
      <c r="E107" s="227"/>
      <c r="F107" s="243"/>
      <c r="G107" s="244"/>
      <c r="H107" s="244"/>
      <c r="I107" s="36" t="s">
        <v>148</v>
      </c>
      <c r="J107" s="37">
        <v>9</v>
      </c>
      <c r="K107" s="26">
        <v>30900000</v>
      </c>
      <c r="L107" s="56">
        <v>40033500</v>
      </c>
      <c r="M107" s="72">
        <v>34216000</v>
      </c>
      <c r="N107" s="72">
        <v>2859300</v>
      </c>
      <c r="O107" s="72">
        <v>0</v>
      </c>
      <c r="P107" s="26">
        <f t="shared" si="45"/>
        <v>37075300</v>
      </c>
      <c r="Q107" s="72">
        <v>8633500</v>
      </c>
      <c r="R107" s="45">
        <f t="shared" si="46"/>
        <v>0.21565688735683866</v>
      </c>
      <c r="S107" s="56">
        <v>1020000</v>
      </c>
      <c r="T107" s="26">
        <f t="shared" si="47"/>
        <v>30099756.204179</v>
      </c>
      <c r="U107" s="46">
        <f t="shared" si="44"/>
        <v>97.410214253006473</v>
      </c>
      <c r="V107" s="12">
        <f>U107*130000/100</f>
        <v>126633.27852890841</v>
      </c>
      <c r="W107" s="58">
        <f t="shared" si="49"/>
        <v>1139699.5067601758</v>
      </c>
      <c r="X107" s="244"/>
      <c r="Y107" s="101"/>
    </row>
    <row r="108" spans="1:25" ht="13" customHeight="1">
      <c r="A108" s="264"/>
      <c r="B108" s="180"/>
      <c r="C108" s="258"/>
      <c r="D108" s="227"/>
      <c r="E108" s="227"/>
      <c r="F108" s="243"/>
      <c r="G108" s="244"/>
      <c r="H108" s="244"/>
      <c r="I108" s="36" t="s">
        <v>189</v>
      </c>
      <c r="J108" s="37">
        <v>15</v>
      </c>
      <c r="K108" s="26">
        <v>61200000</v>
      </c>
      <c r="L108" s="56">
        <v>77894000</v>
      </c>
      <c r="M108" s="72">
        <v>63783000</v>
      </c>
      <c r="N108" s="72">
        <v>2700000</v>
      </c>
      <c r="O108" s="72">
        <v>630000</v>
      </c>
      <c r="P108" s="26">
        <f t="shared" si="45"/>
        <v>67113000</v>
      </c>
      <c r="Q108" s="72">
        <v>22550000</v>
      </c>
      <c r="R108" s="45">
        <f t="shared" si="46"/>
        <v>0.28949598171874596</v>
      </c>
      <c r="S108" s="56">
        <f>2420000+1000000</f>
        <v>3420000</v>
      </c>
      <c r="T108" s="26">
        <f t="shared" si="47"/>
        <v>51104056.178909801</v>
      </c>
      <c r="U108" s="46">
        <f t="shared" si="44"/>
        <v>83.503359769460459</v>
      </c>
      <c r="V108" s="12">
        <f>U108*94000/85</f>
        <v>92344.891980344502</v>
      </c>
      <c r="W108" s="58">
        <f t="shared" si="49"/>
        <v>1385173.3797051676</v>
      </c>
      <c r="X108" s="244"/>
      <c r="Y108" s="101"/>
    </row>
    <row r="109" spans="1:25" ht="13" customHeight="1">
      <c r="A109" s="264"/>
      <c r="B109" s="180"/>
      <c r="C109" s="258"/>
      <c r="D109" s="227"/>
      <c r="E109" s="227"/>
      <c r="F109" s="243"/>
      <c r="G109" s="244"/>
      <c r="H109" s="244"/>
      <c r="I109" s="36" t="s">
        <v>200</v>
      </c>
      <c r="J109" s="37">
        <v>23</v>
      </c>
      <c r="K109" s="26">
        <v>177000000</v>
      </c>
      <c r="L109" s="56">
        <f>198501000+7000000+7500000-6300000</f>
        <v>206701000</v>
      </c>
      <c r="M109" s="72">
        <f>164198000+7000000+7500000-6300000</f>
        <v>172398000</v>
      </c>
      <c r="N109" s="72">
        <v>3956400</v>
      </c>
      <c r="O109" s="72">
        <v>0</v>
      </c>
      <c r="P109" s="26">
        <f t="shared" si="45"/>
        <v>176354400</v>
      </c>
      <c r="Q109" s="72">
        <v>37764000</v>
      </c>
      <c r="R109" s="45">
        <f t="shared" si="46"/>
        <v>0.18269868070304449</v>
      </c>
      <c r="S109" s="56">
        <f>4060000+1000000</f>
        <v>5060000</v>
      </c>
      <c r="T109" s="26">
        <f t="shared" si="47"/>
        <v>149194683.78382301</v>
      </c>
      <c r="U109" s="46">
        <f t="shared" si="44"/>
        <v>84.29078179877007</v>
      </c>
      <c r="V109" s="13">
        <f>U109*94000/85</f>
        <v>93215.688106875139</v>
      </c>
      <c r="W109" s="58">
        <f t="shared" si="49"/>
        <v>2143960.8264581282</v>
      </c>
      <c r="X109" s="245"/>
      <c r="Y109" s="101"/>
    </row>
    <row r="110" spans="1:25" ht="13" customHeight="1">
      <c r="A110" s="282"/>
      <c r="B110" s="180"/>
      <c r="C110" s="225"/>
      <c r="D110" s="228"/>
      <c r="E110" s="227"/>
      <c r="F110" s="243"/>
      <c r="G110" s="245"/>
      <c r="H110" s="245"/>
      <c r="I110" s="139">
        <v>11</v>
      </c>
      <c r="J110" s="128">
        <f>SUM(J99:J109)</f>
        <v>146</v>
      </c>
      <c r="K110" s="128">
        <f>SUM(K99:K109)</f>
        <v>653800000</v>
      </c>
      <c r="L110" s="128">
        <f>SUM(L99:L109)</f>
        <v>782766483.87096786</v>
      </c>
      <c r="M110" s="128">
        <f t="shared" ref="M110:N110" si="50">SUM(M99:M109)</f>
        <v>711352600</v>
      </c>
      <c r="N110" s="128">
        <f t="shared" si="50"/>
        <v>21659400</v>
      </c>
      <c r="O110" s="128">
        <f>SUM(O99:O109)</f>
        <v>630000</v>
      </c>
      <c r="P110" s="128">
        <f>SUM(P99:P109)</f>
        <v>733642000</v>
      </c>
      <c r="Q110" s="128">
        <f>SUM(Q99:Q109)</f>
        <v>178848000</v>
      </c>
      <c r="R110" s="53"/>
      <c r="S110" s="128">
        <f>SUM(S99:S109)</f>
        <v>18270000</v>
      </c>
      <c r="T110" s="128">
        <f>SUM(T99:T109)</f>
        <v>583362436.0282979</v>
      </c>
      <c r="U110" s="140">
        <f>(T110/K110)*100</f>
        <v>89.226435611547544</v>
      </c>
      <c r="V110" s="59"/>
      <c r="W110" s="104">
        <f>SUM(W99:W109)</f>
        <v>15800611.431273084</v>
      </c>
      <c r="X110" s="63"/>
      <c r="Y110" s="101"/>
    </row>
    <row r="111" spans="1:25" s="37" customFormat="1" ht="13">
      <c r="A111" s="250"/>
      <c r="B111" s="274" t="s">
        <v>221</v>
      </c>
      <c r="C111" s="279" t="s">
        <v>35</v>
      </c>
      <c r="D111" s="280"/>
      <c r="E111" s="181">
        <v>500000</v>
      </c>
      <c r="F111" s="181">
        <v>500000</v>
      </c>
      <c r="G111" s="181"/>
      <c r="H111" s="181"/>
      <c r="I111" s="36" t="s">
        <v>106</v>
      </c>
      <c r="J111" s="26">
        <v>10</v>
      </c>
      <c r="K111" s="26">
        <v>42100000</v>
      </c>
      <c r="L111" s="56">
        <v>46950000</v>
      </c>
      <c r="M111" s="56">
        <v>44776400</v>
      </c>
      <c r="N111" s="56">
        <v>1782000</v>
      </c>
      <c r="O111" s="56">
        <v>0</v>
      </c>
      <c r="P111" s="56">
        <f>SUM(M111:O111)</f>
        <v>46558400</v>
      </c>
      <c r="Q111" s="56">
        <v>9250000</v>
      </c>
      <c r="R111" s="45">
        <f t="shared" si="46"/>
        <v>0.19701810436634717</v>
      </c>
      <c r="S111" s="72"/>
      <c r="T111" s="26">
        <f>P111-(P111*R111)+S111</f>
        <v>37385552.289669864</v>
      </c>
      <c r="U111" s="46">
        <f>(T111/K111)*100</f>
        <v>88.801786911329842</v>
      </c>
      <c r="V111" s="12">
        <f>U111*99000/90</f>
        <v>97681.96560246282</v>
      </c>
      <c r="W111" s="58">
        <f>V111*J111</f>
        <v>976819.6560246282</v>
      </c>
      <c r="X111" s="181">
        <f>E111+F111+W119</f>
        <v>11710634.566227201</v>
      </c>
      <c r="Y111" s="138"/>
    </row>
    <row r="112" spans="1:25" s="37" customFormat="1" ht="12.5">
      <c r="A112" s="251"/>
      <c r="B112" s="266"/>
      <c r="C112" s="182"/>
      <c r="D112" s="244"/>
      <c r="E112" s="244"/>
      <c r="F112" s="244"/>
      <c r="G112" s="244"/>
      <c r="H112" s="244"/>
      <c r="I112" s="36" t="s">
        <v>107</v>
      </c>
      <c r="J112" s="26">
        <v>16</v>
      </c>
      <c r="K112" s="25">
        <v>66000000</v>
      </c>
      <c r="L112" s="56">
        <f>76811000-3300000</f>
        <v>73511000</v>
      </c>
      <c r="M112" s="56">
        <f>72021000-3300000</f>
        <v>68721000</v>
      </c>
      <c r="N112" s="56">
        <v>0</v>
      </c>
      <c r="O112" s="56">
        <v>0</v>
      </c>
      <c r="P112" s="56">
        <f t="shared" ref="P112:P118" si="51">SUM(M112:O112)</f>
        <v>68721000</v>
      </c>
      <c r="Q112" s="56">
        <v>19581000</v>
      </c>
      <c r="R112" s="45">
        <f t="shared" si="46"/>
        <v>0.26636829862197492</v>
      </c>
      <c r="S112" s="56">
        <v>1430000</v>
      </c>
      <c r="T112" s="26">
        <f t="shared" ref="T112:T118" si="52">P112-(P112*R112)+S112</f>
        <v>51845904.15039926</v>
      </c>
      <c r="U112" s="46">
        <f t="shared" ref="U112:U118" si="53">(T112/K112)*100</f>
        <v>78.554400227877665</v>
      </c>
      <c r="V112" s="12">
        <f>U112*79000/80</f>
        <v>77572.470225029188</v>
      </c>
      <c r="W112" s="58">
        <f t="shared" ref="W112:W118" si="54">V112*J112</f>
        <v>1241159.523600467</v>
      </c>
      <c r="X112" s="244"/>
      <c r="Y112" s="138"/>
    </row>
    <row r="113" spans="1:25" s="37" customFormat="1" ht="13">
      <c r="A113" s="251"/>
      <c r="B113" s="266"/>
      <c r="C113" s="182"/>
      <c r="D113" s="244"/>
      <c r="E113" s="244"/>
      <c r="F113" s="244"/>
      <c r="G113" s="244"/>
      <c r="H113" s="244"/>
      <c r="I113" s="36" t="s">
        <v>108</v>
      </c>
      <c r="J113" s="26">
        <v>20</v>
      </c>
      <c r="K113" s="25">
        <v>84300000</v>
      </c>
      <c r="L113" s="56">
        <v>103038100</v>
      </c>
      <c r="M113" s="56">
        <v>102997100</v>
      </c>
      <c r="N113" s="56">
        <v>0</v>
      </c>
      <c r="O113" s="56">
        <v>0</v>
      </c>
      <c r="P113" s="56">
        <f t="shared" si="51"/>
        <v>102997100</v>
      </c>
      <c r="Q113" s="56">
        <v>27538100</v>
      </c>
      <c r="R113" s="45">
        <f t="shared" si="46"/>
        <v>0.26726133342909081</v>
      </c>
      <c r="S113" s="72"/>
      <c r="T113" s="26">
        <f t="shared" si="52"/>
        <v>75469957.714670599</v>
      </c>
      <c r="U113" s="46">
        <f t="shared" si="53"/>
        <v>89.525453991305568</v>
      </c>
      <c r="V113" s="12">
        <f>U113*99000/90</f>
        <v>98477.999390436133</v>
      </c>
      <c r="W113" s="58">
        <f t="shared" si="54"/>
        <v>1969559.9878087225</v>
      </c>
      <c r="X113" s="244"/>
      <c r="Y113" s="138"/>
    </row>
    <row r="114" spans="1:25" s="37" customFormat="1" ht="13">
      <c r="A114" s="251"/>
      <c r="B114" s="266"/>
      <c r="C114" s="182"/>
      <c r="D114" s="244"/>
      <c r="E114" s="244"/>
      <c r="F114" s="244"/>
      <c r="G114" s="244"/>
      <c r="H114" s="244"/>
      <c r="I114" s="36" t="s">
        <v>86</v>
      </c>
      <c r="J114" s="26">
        <v>8</v>
      </c>
      <c r="K114" s="26">
        <v>31200000</v>
      </c>
      <c r="L114" s="56">
        <f>35178000+4500000</f>
        <v>39678000</v>
      </c>
      <c r="M114" s="56">
        <f>35178000+4500000</f>
        <v>39678000</v>
      </c>
      <c r="N114" s="56">
        <v>0</v>
      </c>
      <c r="O114" s="56">
        <v>0</v>
      </c>
      <c r="P114" s="56">
        <f t="shared" si="51"/>
        <v>39678000</v>
      </c>
      <c r="Q114" s="56">
        <v>10878000</v>
      </c>
      <c r="R114" s="45">
        <f t="shared" si="46"/>
        <v>0.27415696355663088</v>
      </c>
      <c r="S114" s="72"/>
      <c r="T114" s="26">
        <f t="shared" si="52"/>
        <v>28800000</v>
      </c>
      <c r="U114" s="46">
        <f t="shared" si="53"/>
        <v>92.307692307692307</v>
      </c>
      <c r="V114" s="12">
        <f t="shared" ref="V114:V117" si="55">U114*100000/90</f>
        <v>102564.10256410256</v>
      </c>
      <c r="W114" s="58">
        <f t="shared" si="54"/>
        <v>820512.8205128205</v>
      </c>
      <c r="X114" s="244"/>
      <c r="Y114" s="138"/>
    </row>
    <row r="115" spans="1:25" s="37" customFormat="1" ht="12.5">
      <c r="A115" s="251"/>
      <c r="B115" s="266"/>
      <c r="C115" s="182"/>
      <c r="D115" s="244"/>
      <c r="E115" s="244"/>
      <c r="F115" s="244"/>
      <c r="G115" s="244"/>
      <c r="H115" s="244"/>
      <c r="I115" s="36" t="s">
        <v>109</v>
      </c>
      <c r="J115" s="26">
        <v>21</v>
      </c>
      <c r="K115" s="26">
        <v>74800000</v>
      </c>
      <c r="L115" s="56">
        <v>90863000</v>
      </c>
      <c r="M115" s="56">
        <v>68395000</v>
      </c>
      <c r="N115" s="56">
        <v>12166200</v>
      </c>
      <c r="O115" s="56">
        <v>0</v>
      </c>
      <c r="P115" s="56">
        <f t="shared" si="51"/>
        <v>80561200</v>
      </c>
      <c r="Q115" s="56">
        <v>20528000</v>
      </c>
      <c r="R115" s="45">
        <f t="shared" si="46"/>
        <v>0.22592254272916368</v>
      </c>
      <c r="S115" s="56">
        <v>3783333.3333333335</v>
      </c>
      <c r="T115" s="26">
        <f t="shared" si="52"/>
        <v>66143942.184020631</v>
      </c>
      <c r="U115" s="46">
        <f t="shared" si="53"/>
        <v>88.427730192540949</v>
      </c>
      <c r="V115" s="12">
        <f>U115*99000/90</f>
        <v>97270.503211795047</v>
      </c>
      <c r="W115" s="58">
        <f t="shared" si="54"/>
        <v>2042680.5674476959</v>
      </c>
      <c r="X115" s="244"/>
      <c r="Y115" s="138"/>
    </row>
    <row r="116" spans="1:25" s="37" customFormat="1" ht="13">
      <c r="A116" s="251"/>
      <c r="B116" s="266"/>
      <c r="C116" s="182"/>
      <c r="D116" s="244"/>
      <c r="E116" s="244"/>
      <c r="F116" s="244"/>
      <c r="G116" s="244"/>
      <c r="H116" s="244"/>
      <c r="I116" s="36" t="s">
        <v>110</v>
      </c>
      <c r="J116" s="26">
        <v>11</v>
      </c>
      <c r="K116" s="26">
        <v>50300000</v>
      </c>
      <c r="L116" s="56">
        <v>61492000</v>
      </c>
      <c r="M116" s="56">
        <v>61492000</v>
      </c>
      <c r="N116" s="56">
        <v>0</v>
      </c>
      <c r="O116" s="56">
        <v>0</v>
      </c>
      <c r="P116" s="56">
        <f t="shared" si="51"/>
        <v>61492000</v>
      </c>
      <c r="Q116" s="56">
        <v>13692000</v>
      </c>
      <c r="R116" s="45">
        <f t="shared" si="46"/>
        <v>0.22266311064853964</v>
      </c>
      <c r="S116" s="72"/>
      <c r="T116" s="26">
        <f t="shared" si="52"/>
        <v>47800000</v>
      </c>
      <c r="U116" s="46">
        <f t="shared" si="53"/>
        <v>95.029821073558651</v>
      </c>
      <c r="V116" s="12">
        <f>U116*110000/95</f>
        <v>110034.52966412055</v>
      </c>
      <c r="W116" s="58">
        <f t="shared" si="54"/>
        <v>1210379.8263053261</v>
      </c>
      <c r="X116" s="244"/>
      <c r="Y116" s="138"/>
    </row>
    <row r="117" spans="1:25" s="37" customFormat="1" ht="12.5">
      <c r="A117" s="251"/>
      <c r="B117" s="266"/>
      <c r="C117" s="182"/>
      <c r="D117" s="244"/>
      <c r="E117" s="244"/>
      <c r="F117" s="244"/>
      <c r="G117" s="244"/>
      <c r="H117" s="244"/>
      <c r="I117" s="36" t="s">
        <v>96</v>
      </c>
      <c r="J117" s="66">
        <v>10</v>
      </c>
      <c r="K117" s="26">
        <v>41300000</v>
      </c>
      <c r="L117" s="56">
        <v>45364800</v>
      </c>
      <c r="M117" s="56">
        <v>45324800</v>
      </c>
      <c r="N117" s="56">
        <v>0</v>
      </c>
      <c r="O117" s="56">
        <v>0</v>
      </c>
      <c r="P117" s="56">
        <f t="shared" si="51"/>
        <v>45324800</v>
      </c>
      <c r="Q117" s="56">
        <v>8664800</v>
      </c>
      <c r="R117" s="45">
        <f t="shared" si="46"/>
        <v>0.19100271576200048</v>
      </c>
      <c r="S117" s="56">
        <v>566666.66666666663</v>
      </c>
      <c r="T117" s="26">
        <f t="shared" si="52"/>
        <v>37234306.775297143</v>
      </c>
      <c r="U117" s="46">
        <f t="shared" si="53"/>
        <v>90.155706477717061</v>
      </c>
      <c r="V117" s="12">
        <f t="shared" si="55"/>
        <v>100173.0071974634</v>
      </c>
      <c r="W117" s="58">
        <f t="shared" si="54"/>
        <v>1001730.0719746341</v>
      </c>
      <c r="X117" s="244"/>
      <c r="Y117" s="138"/>
    </row>
    <row r="118" spans="1:25" s="37" customFormat="1" ht="13">
      <c r="A118" s="251"/>
      <c r="B118" s="266"/>
      <c r="C118" s="182"/>
      <c r="D118" s="244"/>
      <c r="E118" s="244"/>
      <c r="F118" s="244"/>
      <c r="G118" s="244"/>
      <c r="H118" s="244"/>
      <c r="I118" s="36" t="s">
        <v>208</v>
      </c>
      <c r="J118" s="66">
        <v>13</v>
      </c>
      <c r="K118" s="66">
        <v>67000000</v>
      </c>
      <c r="L118" s="56">
        <v>83094000</v>
      </c>
      <c r="M118" s="56">
        <v>73144000</v>
      </c>
      <c r="N118" s="56">
        <v>8235000</v>
      </c>
      <c r="O118" s="56">
        <v>0</v>
      </c>
      <c r="P118" s="56">
        <f t="shared" si="51"/>
        <v>81379000</v>
      </c>
      <c r="Q118" s="56">
        <v>17294000</v>
      </c>
      <c r="R118" s="45">
        <f t="shared" si="46"/>
        <v>0.20812573711700003</v>
      </c>
      <c r="S118" s="72"/>
      <c r="T118" s="26">
        <f t="shared" si="52"/>
        <v>64441935.639155656</v>
      </c>
      <c r="U118" s="46">
        <f t="shared" si="53"/>
        <v>96.181993491277098</v>
      </c>
      <c r="V118" s="12">
        <f>U118*110000/95</f>
        <v>111368.62404253137</v>
      </c>
      <c r="W118" s="58">
        <f t="shared" si="54"/>
        <v>1447792.1125529078</v>
      </c>
      <c r="X118" s="245"/>
      <c r="Y118" s="138"/>
    </row>
    <row r="119" spans="1:25" s="37" customFormat="1" ht="13">
      <c r="A119" s="252"/>
      <c r="B119" s="278"/>
      <c r="C119" s="183"/>
      <c r="D119" s="245"/>
      <c r="E119" s="245"/>
      <c r="F119" s="245"/>
      <c r="G119" s="245"/>
      <c r="H119" s="245"/>
      <c r="I119" s="59">
        <v>8</v>
      </c>
      <c r="J119" s="52">
        <f>SUM(J111:J118)</f>
        <v>109</v>
      </c>
      <c r="K119" s="52">
        <f>SUM(K111:K118)</f>
        <v>457000000</v>
      </c>
      <c r="L119" s="52">
        <f t="shared" ref="L119:Q119" si="56">SUM(L111:L118)</f>
        <v>543990900</v>
      </c>
      <c r="M119" s="52">
        <f t="shared" si="56"/>
        <v>504528300</v>
      </c>
      <c r="N119" s="52">
        <f t="shared" si="56"/>
        <v>22183200</v>
      </c>
      <c r="O119" s="52">
        <f t="shared" si="56"/>
        <v>0</v>
      </c>
      <c r="P119" s="52">
        <f>SUM(P111:P118)</f>
        <v>526711500</v>
      </c>
      <c r="Q119" s="52">
        <f t="shared" si="56"/>
        <v>127425900</v>
      </c>
      <c r="R119" s="52"/>
      <c r="S119" s="52">
        <f t="shared" ref="S119" si="57">SUM(S111:S118)</f>
        <v>5780000.0000000009</v>
      </c>
      <c r="T119" s="52">
        <f>SUM(T111:T118)</f>
        <v>409121598.75321317</v>
      </c>
      <c r="U119" s="55">
        <f>(T119/K119)*100</f>
        <v>89.523325766567424</v>
      </c>
      <c r="V119" s="59"/>
      <c r="W119" s="104">
        <f>SUM(W111:W118)</f>
        <v>10710634.566227201</v>
      </c>
      <c r="X119" s="16"/>
      <c r="Y119" s="138"/>
    </row>
    <row r="120" spans="1:25" s="37" customFormat="1" ht="13">
      <c r="A120" s="250"/>
      <c r="B120" s="274" t="s">
        <v>222</v>
      </c>
      <c r="C120" s="263" t="s">
        <v>35</v>
      </c>
      <c r="D120" s="181"/>
      <c r="E120" s="181">
        <v>500000</v>
      </c>
      <c r="F120" s="181">
        <v>500000</v>
      </c>
      <c r="G120" s="181"/>
      <c r="H120" s="181"/>
      <c r="I120" s="36" t="s">
        <v>75</v>
      </c>
      <c r="J120" s="26">
        <v>22</v>
      </c>
      <c r="K120" s="26">
        <v>69800000</v>
      </c>
      <c r="L120" s="56">
        <f>91686000-6000000</f>
        <v>85686000</v>
      </c>
      <c r="M120" s="56">
        <f>79746000-6000000</f>
        <v>73746000</v>
      </c>
      <c r="N120" s="56">
        <v>7636500</v>
      </c>
      <c r="O120" s="56">
        <v>2404500</v>
      </c>
      <c r="P120" s="56">
        <f>SUM(M120:O120)</f>
        <v>83787000</v>
      </c>
      <c r="Q120" s="56">
        <v>20286000</v>
      </c>
      <c r="R120" s="45">
        <f>Q120/L120</f>
        <v>0.23674812688187102</v>
      </c>
      <c r="S120" s="72"/>
      <c r="T120" s="26">
        <f>P120-(P120*R120)+S120</f>
        <v>63950584.692948669</v>
      </c>
      <c r="U120" s="46">
        <f>(T120/K120)*100</f>
        <v>91.619748843766004</v>
      </c>
      <c r="V120" s="12">
        <f>U120*100000/90</f>
        <v>101799.72093751778</v>
      </c>
      <c r="W120" s="58">
        <f>V120*J120</f>
        <v>2239593.8606253909</v>
      </c>
      <c r="X120" s="181">
        <f>E120+F120+W125</f>
        <v>7488865.9303673692</v>
      </c>
      <c r="Y120" s="138"/>
    </row>
    <row r="121" spans="1:25" s="37" customFormat="1" ht="13">
      <c r="A121" s="251"/>
      <c r="B121" s="266"/>
      <c r="C121" s="182"/>
      <c r="D121" s="244"/>
      <c r="E121" s="244"/>
      <c r="F121" s="244"/>
      <c r="G121" s="244"/>
      <c r="H121" s="244"/>
      <c r="I121" s="36" t="s">
        <v>87</v>
      </c>
      <c r="J121" s="26">
        <v>9</v>
      </c>
      <c r="K121" s="26">
        <v>21200000</v>
      </c>
      <c r="L121" s="56">
        <f>28334645.1612903-2500000</f>
        <v>25834645.161290299</v>
      </c>
      <c r="M121" s="56">
        <f>24254000-2500000</f>
        <v>21754000</v>
      </c>
      <c r="N121" s="56">
        <v>4824000</v>
      </c>
      <c r="O121" s="56">
        <v>0</v>
      </c>
      <c r="P121" s="56">
        <f t="shared" ref="P121:P124" si="58">SUM(M121:O121)</f>
        <v>26578000</v>
      </c>
      <c r="Q121" s="56">
        <v>5754000</v>
      </c>
      <c r="R121" s="45">
        <f t="shared" ref="R121:R124" si="59">Q121/L121</f>
        <v>0.22272417384007992</v>
      </c>
      <c r="S121" s="72"/>
      <c r="T121" s="26">
        <f t="shared" ref="T121:T124" si="60">P121-(P121*R121)+S121</f>
        <v>20658436.907678355</v>
      </c>
      <c r="U121" s="46">
        <f t="shared" ref="U121:U125" si="61">(T121/K121)*100</f>
        <v>97.445457111690345</v>
      </c>
      <c r="V121" s="12">
        <f>U121*120000/100</f>
        <v>116934.54853402842</v>
      </c>
      <c r="W121" s="58">
        <f t="shared" ref="W121:W124" si="62">V121*J121</f>
        <v>1052410.9368062557</v>
      </c>
      <c r="X121" s="244"/>
      <c r="Y121" s="138"/>
    </row>
    <row r="122" spans="1:25" s="37" customFormat="1" ht="12.5">
      <c r="A122" s="251"/>
      <c r="B122" s="266"/>
      <c r="C122" s="182"/>
      <c r="D122" s="244"/>
      <c r="E122" s="244"/>
      <c r="F122" s="244"/>
      <c r="G122" s="244"/>
      <c r="H122" s="244"/>
      <c r="I122" s="36" t="s">
        <v>79</v>
      </c>
      <c r="J122" s="26">
        <v>8</v>
      </c>
      <c r="K122" s="26">
        <v>18800000</v>
      </c>
      <c r="L122" s="56">
        <v>23796000</v>
      </c>
      <c r="M122" s="56">
        <v>18193667</v>
      </c>
      <c r="N122" s="56">
        <v>2633400</v>
      </c>
      <c r="O122" s="56">
        <v>0</v>
      </c>
      <c r="P122" s="56">
        <f t="shared" si="58"/>
        <v>20827067</v>
      </c>
      <c r="Q122" s="56">
        <v>7096000</v>
      </c>
      <c r="R122" s="45">
        <f t="shared" si="59"/>
        <v>0.29820137838292149</v>
      </c>
      <c r="S122" s="56">
        <v>1173333.3333333333</v>
      </c>
      <c r="T122" s="26">
        <f t="shared" si="60"/>
        <v>15789740.246259877</v>
      </c>
      <c r="U122" s="46">
        <f t="shared" si="61"/>
        <v>83.98798003329722</v>
      </c>
      <c r="V122" s="12">
        <f>U122*89000/85</f>
        <v>87940.355564275917</v>
      </c>
      <c r="W122" s="58">
        <f t="shared" si="62"/>
        <v>703522.84451420733</v>
      </c>
      <c r="X122" s="244"/>
      <c r="Y122" s="138"/>
    </row>
    <row r="123" spans="1:25" s="37" customFormat="1" ht="13" customHeight="1">
      <c r="A123" s="251"/>
      <c r="B123" s="266"/>
      <c r="C123" s="182"/>
      <c r="D123" s="244"/>
      <c r="E123" s="244"/>
      <c r="F123" s="244"/>
      <c r="G123" s="244"/>
      <c r="H123" s="244"/>
      <c r="I123" s="36" t="s">
        <v>45</v>
      </c>
      <c r="J123" s="47">
        <v>14</v>
      </c>
      <c r="K123" s="26">
        <v>46300000</v>
      </c>
      <c r="L123" s="56">
        <f>58791806.4516129-2700000</f>
        <v>56091806.451612897</v>
      </c>
      <c r="M123" s="56">
        <f>58791000-2700000</f>
        <v>56091000</v>
      </c>
      <c r="N123" s="56">
        <v>0</v>
      </c>
      <c r="O123" s="56">
        <v>0</v>
      </c>
      <c r="P123" s="56">
        <f t="shared" si="58"/>
        <v>56091000</v>
      </c>
      <c r="Q123" s="56">
        <v>13286000</v>
      </c>
      <c r="R123" s="45">
        <f t="shared" si="59"/>
        <v>0.23686168872919169</v>
      </c>
      <c r="S123" s="72"/>
      <c r="T123" s="26">
        <f t="shared" si="60"/>
        <v>42805191.017490909</v>
      </c>
      <c r="U123" s="46">
        <f t="shared" si="61"/>
        <v>92.451816452464158</v>
      </c>
      <c r="V123" s="12">
        <f>U123*100000/90</f>
        <v>102724.24050273796</v>
      </c>
      <c r="W123" s="58">
        <f t="shared" si="62"/>
        <v>1438139.3670383315</v>
      </c>
      <c r="X123" s="244"/>
      <c r="Y123" s="138"/>
    </row>
    <row r="124" spans="1:25" s="37" customFormat="1" ht="13" customHeight="1">
      <c r="A124" s="251"/>
      <c r="B124" s="266"/>
      <c r="C124" s="182"/>
      <c r="D124" s="244"/>
      <c r="E124" s="244"/>
      <c r="F124" s="244"/>
      <c r="G124" s="244"/>
      <c r="H124" s="244"/>
      <c r="I124" s="36" t="s">
        <v>83</v>
      </c>
      <c r="J124" s="37">
        <v>9</v>
      </c>
      <c r="K124" s="26">
        <v>35000000</v>
      </c>
      <c r="L124" s="56">
        <f>44466129.0322581-3600000</f>
        <v>40866129.032258101</v>
      </c>
      <c r="M124" s="56">
        <f>44230000-3600000</f>
        <v>40630000</v>
      </c>
      <c r="N124" s="56">
        <v>212400</v>
      </c>
      <c r="O124" s="56">
        <v>0</v>
      </c>
      <c r="P124" s="56">
        <f t="shared" si="58"/>
        <v>40842400</v>
      </c>
      <c r="Q124" s="56">
        <v>6650000</v>
      </c>
      <c r="R124" s="45">
        <f t="shared" si="59"/>
        <v>0.16272644748786344</v>
      </c>
      <c r="S124" s="72"/>
      <c r="T124" s="26">
        <f t="shared" si="60"/>
        <v>34196261.341121688</v>
      </c>
      <c r="U124" s="46">
        <f t="shared" si="61"/>
        <v>97.703603831776249</v>
      </c>
      <c r="V124" s="12">
        <f>U124*120000/100</f>
        <v>117244.3245981315</v>
      </c>
      <c r="W124" s="58">
        <f t="shared" si="62"/>
        <v>1055198.9213831834</v>
      </c>
      <c r="X124" s="244"/>
      <c r="Y124" s="138"/>
    </row>
    <row r="125" spans="1:25" s="37" customFormat="1" ht="13" customHeight="1">
      <c r="A125" s="252"/>
      <c r="B125" s="278"/>
      <c r="C125" s="183"/>
      <c r="D125" s="245"/>
      <c r="E125" s="245"/>
      <c r="F125" s="245"/>
      <c r="G125" s="245"/>
      <c r="H125" s="245"/>
      <c r="I125" s="59">
        <v>5</v>
      </c>
      <c r="J125" s="52">
        <f>SUM(J120:J124)</f>
        <v>62</v>
      </c>
      <c r="K125" s="52">
        <f>SUM(K120:K124)</f>
        <v>191100000</v>
      </c>
      <c r="L125" s="52">
        <f t="shared" ref="L125:S125" si="63">SUM(L120:L124)</f>
        <v>232274580.64516127</v>
      </c>
      <c r="M125" s="52">
        <f t="shared" si="63"/>
        <v>210414667</v>
      </c>
      <c r="N125" s="52">
        <f t="shared" si="63"/>
        <v>15306300</v>
      </c>
      <c r="O125" s="52">
        <f t="shared" si="63"/>
        <v>2404500</v>
      </c>
      <c r="P125" s="52">
        <f t="shared" si="63"/>
        <v>228125467</v>
      </c>
      <c r="Q125" s="52">
        <f t="shared" si="63"/>
        <v>53072000</v>
      </c>
      <c r="R125" s="52">
        <f t="shared" si="63"/>
        <v>1.1572618153219274</v>
      </c>
      <c r="S125" s="52">
        <f t="shared" si="63"/>
        <v>1173333.3333333333</v>
      </c>
      <c r="T125" s="52">
        <f>SUM(T120:T124)</f>
        <v>177400214.20549947</v>
      </c>
      <c r="U125" s="55">
        <f t="shared" si="61"/>
        <v>92.831090636054142</v>
      </c>
      <c r="V125" s="59"/>
      <c r="W125" s="104">
        <f>SUM(W120:W124)</f>
        <v>6488865.9303673692</v>
      </c>
      <c r="X125" s="245"/>
      <c r="Y125" s="138"/>
    </row>
    <row r="126" spans="1:25" ht="12.5" customHeight="1">
      <c r="A126" s="50" t="s">
        <v>104</v>
      </c>
      <c r="B126" s="106" t="s">
        <v>152</v>
      </c>
      <c r="C126" s="38" t="s">
        <v>153</v>
      </c>
      <c r="D126" s="21">
        <v>10000000</v>
      </c>
      <c r="E126" s="58">
        <v>500000</v>
      </c>
      <c r="F126" s="58">
        <v>500000</v>
      </c>
      <c r="G126" s="58"/>
      <c r="H126" s="58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58"/>
      <c r="W126" s="58">
        <f>D126+E126+F126</f>
        <v>11000000</v>
      </c>
      <c r="X126" s="187">
        <f>SUM(W126:W145)</f>
        <v>55734616</v>
      </c>
      <c r="Y126" s="17"/>
    </row>
    <row r="127" spans="1:25" ht="12.5" customHeight="1">
      <c r="A127" s="50" t="s">
        <v>112</v>
      </c>
      <c r="B127" s="106" t="s">
        <v>155</v>
      </c>
      <c r="C127" s="38" t="s">
        <v>156</v>
      </c>
      <c r="D127" s="21">
        <v>5000000</v>
      </c>
      <c r="E127" s="16">
        <v>500000</v>
      </c>
      <c r="F127" s="16">
        <v>500000</v>
      </c>
      <c r="G127" s="58"/>
      <c r="H127" s="1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16"/>
      <c r="W127" s="16">
        <f>D127+E127+F127</f>
        <v>6000000</v>
      </c>
      <c r="X127" s="187"/>
      <c r="Y127" s="17"/>
    </row>
    <row r="128" spans="1:25" ht="12.5" customHeight="1">
      <c r="A128" s="50" t="s">
        <v>127</v>
      </c>
      <c r="B128" s="106" t="s">
        <v>158</v>
      </c>
      <c r="C128" s="38" t="s">
        <v>159</v>
      </c>
      <c r="D128" s="21">
        <v>2000000</v>
      </c>
      <c r="E128" s="16">
        <v>500000</v>
      </c>
      <c r="F128" s="16"/>
      <c r="G128" s="58"/>
      <c r="H128" s="1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16"/>
      <c r="W128" s="16">
        <f t="shared" ref="W128:W150" si="64">D128+E128+F128</f>
        <v>2500000</v>
      </c>
      <c r="X128" s="187"/>
      <c r="Y128" s="17"/>
    </row>
    <row r="129" spans="1:25" ht="12.5" customHeight="1">
      <c r="A129" s="50" t="s">
        <v>138</v>
      </c>
      <c r="B129" s="106" t="s">
        <v>161</v>
      </c>
      <c r="C129" s="38" t="s">
        <v>159</v>
      </c>
      <c r="D129" s="21">
        <v>3000000</v>
      </c>
      <c r="E129" s="16">
        <v>500000</v>
      </c>
      <c r="F129" s="16">
        <v>500000</v>
      </c>
      <c r="G129" s="58"/>
      <c r="H129" s="1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16"/>
      <c r="W129" s="16">
        <f t="shared" si="64"/>
        <v>4000000</v>
      </c>
      <c r="X129" s="187"/>
      <c r="Y129" s="17"/>
    </row>
    <row r="130" spans="1:25" ht="12.5" customHeight="1">
      <c r="A130" s="50" t="s">
        <v>149</v>
      </c>
      <c r="B130" s="106" t="s">
        <v>194</v>
      </c>
      <c r="C130" s="38" t="s">
        <v>159</v>
      </c>
      <c r="D130" s="21">
        <f>1423077-500000</f>
        <v>923077</v>
      </c>
      <c r="E130" s="16">
        <v>500000</v>
      </c>
      <c r="F130" s="16"/>
      <c r="G130" s="58"/>
      <c r="H130" s="1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16"/>
      <c r="W130" s="16">
        <f>D130+E130+F130</f>
        <v>1423077</v>
      </c>
      <c r="X130" s="187"/>
      <c r="Y130" s="17"/>
    </row>
    <row r="131" spans="1:25" ht="13">
      <c r="A131" s="50" t="s">
        <v>151</v>
      </c>
      <c r="B131" s="107" t="s">
        <v>203</v>
      </c>
      <c r="C131" s="38" t="s">
        <v>159</v>
      </c>
      <c r="D131" s="21">
        <f>1900000-500000</f>
        <v>1400000</v>
      </c>
      <c r="E131" s="16">
        <v>500000</v>
      </c>
      <c r="F131" s="16"/>
      <c r="G131" s="16"/>
      <c r="H131" s="1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16"/>
      <c r="W131" s="16">
        <f t="shared" si="64"/>
        <v>1900000</v>
      </c>
      <c r="X131" s="187"/>
      <c r="Y131" s="108">
        <f>SUM(D126:D145)+865385</f>
        <v>47600001</v>
      </c>
    </row>
    <row r="132" spans="1:25" ht="12.5" customHeight="1">
      <c r="A132" s="50" t="s">
        <v>154</v>
      </c>
      <c r="B132" s="107" t="s">
        <v>166</v>
      </c>
      <c r="C132" s="38" t="s">
        <v>159</v>
      </c>
      <c r="D132" s="21">
        <v>2000000</v>
      </c>
      <c r="E132" s="16">
        <v>500000</v>
      </c>
      <c r="F132" s="16"/>
      <c r="G132" s="16"/>
      <c r="H132" s="1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16"/>
      <c r="W132" s="16">
        <f t="shared" si="64"/>
        <v>2500000</v>
      </c>
      <c r="X132" s="187"/>
      <c r="Y132" s="17"/>
    </row>
    <row r="133" spans="1:25" ht="12.5" customHeight="1">
      <c r="A133" s="50" t="s">
        <v>157</v>
      </c>
      <c r="B133" s="107" t="s">
        <v>168</v>
      </c>
      <c r="C133" s="38" t="s">
        <v>159</v>
      </c>
      <c r="D133" s="21">
        <f>2423077-500000</f>
        <v>1923077</v>
      </c>
      <c r="E133" s="16">
        <v>500000</v>
      </c>
      <c r="F133" s="16"/>
      <c r="G133" s="16"/>
      <c r="H133" s="5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16"/>
      <c r="W133" s="16">
        <f t="shared" si="64"/>
        <v>2423077</v>
      </c>
      <c r="X133" s="187"/>
      <c r="Y133" s="17"/>
    </row>
    <row r="134" spans="1:25" ht="12.5" customHeight="1">
      <c r="A134" s="50" t="s">
        <v>160</v>
      </c>
      <c r="B134" s="107" t="s">
        <v>170</v>
      </c>
      <c r="C134" s="38" t="s">
        <v>159</v>
      </c>
      <c r="D134" s="21">
        <f>2100000-500000</f>
        <v>1600000</v>
      </c>
      <c r="E134" s="16">
        <v>500000</v>
      </c>
      <c r="F134" s="16"/>
      <c r="G134" s="16"/>
      <c r="H134" s="5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16"/>
      <c r="W134" s="16">
        <f t="shared" si="64"/>
        <v>2100000</v>
      </c>
      <c r="X134" s="187"/>
      <c r="Y134" s="17"/>
    </row>
    <row r="135" spans="1:25" ht="12.5" customHeight="1">
      <c r="A135" s="50" t="s">
        <v>162</v>
      </c>
      <c r="B135" s="107" t="s">
        <v>210</v>
      </c>
      <c r="C135" s="38" t="s">
        <v>159</v>
      </c>
      <c r="D135" s="21"/>
      <c r="E135" s="16"/>
      <c r="F135" s="16"/>
      <c r="G135" s="16"/>
      <c r="H135" s="5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16"/>
      <c r="W135" s="16">
        <f t="shared" si="64"/>
        <v>0</v>
      </c>
      <c r="X135" s="187"/>
      <c r="Y135" s="17"/>
    </row>
    <row r="136" spans="1:25" ht="12.5" customHeight="1">
      <c r="A136" s="50" t="s">
        <v>163</v>
      </c>
      <c r="B136" s="107" t="s">
        <v>174</v>
      </c>
      <c r="C136" s="38" t="s">
        <v>159</v>
      </c>
      <c r="D136" s="21">
        <f>2346154-500000</f>
        <v>1846154</v>
      </c>
      <c r="E136" s="16">
        <v>500000</v>
      </c>
      <c r="F136" s="16"/>
      <c r="G136" s="16"/>
      <c r="H136" s="5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16"/>
      <c r="W136" s="16">
        <f t="shared" si="64"/>
        <v>2346154</v>
      </c>
      <c r="X136" s="187"/>
      <c r="Y136" s="17"/>
    </row>
    <row r="137" spans="1:25" ht="13" customHeight="1">
      <c r="A137" s="50" t="s">
        <v>165</v>
      </c>
      <c r="B137" s="107" t="s">
        <v>193</v>
      </c>
      <c r="C137" s="38" t="s">
        <v>159</v>
      </c>
      <c r="D137" s="21">
        <f>2346154-500000</f>
        <v>1846154</v>
      </c>
      <c r="E137" s="16">
        <v>500000</v>
      </c>
      <c r="F137" s="16"/>
      <c r="G137" s="16"/>
      <c r="H137" s="5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16"/>
      <c r="W137" s="16">
        <f t="shared" si="64"/>
        <v>2346154</v>
      </c>
      <c r="X137" s="187"/>
      <c r="Y137" s="17"/>
    </row>
    <row r="138" spans="1:25" ht="13" customHeight="1">
      <c r="A138" s="50" t="s">
        <v>167</v>
      </c>
      <c r="B138" s="107" t="s">
        <v>225</v>
      </c>
      <c r="C138" s="38" t="s">
        <v>159</v>
      </c>
      <c r="D138" s="21">
        <v>1384615</v>
      </c>
      <c r="E138" s="16"/>
      <c r="F138" s="16"/>
      <c r="G138" s="16"/>
      <c r="H138" s="5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16"/>
      <c r="W138" s="16">
        <f t="shared" si="64"/>
        <v>1384615</v>
      </c>
      <c r="X138" s="187"/>
      <c r="Y138" s="17"/>
    </row>
    <row r="139" spans="1:25" ht="13" customHeight="1">
      <c r="A139" s="50" t="s">
        <v>169</v>
      </c>
      <c r="B139" s="107" t="s">
        <v>226</v>
      </c>
      <c r="C139" s="38" t="s">
        <v>159</v>
      </c>
      <c r="D139" s="21">
        <v>865385</v>
      </c>
      <c r="E139" s="16"/>
      <c r="F139" s="16"/>
      <c r="G139" s="16"/>
      <c r="H139" s="5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16"/>
      <c r="W139" s="16">
        <f t="shared" si="64"/>
        <v>865385</v>
      </c>
      <c r="X139" s="187"/>
      <c r="Y139" s="17"/>
    </row>
    <row r="140" spans="1:25" ht="13" customHeight="1">
      <c r="A140" s="50" t="s">
        <v>171</v>
      </c>
      <c r="B140" s="107" t="s">
        <v>212</v>
      </c>
      <c r="C140" s="38" t="s">
        <v>159</v>
      </c>
      <c r="D140" s="21">
        <v>4000000</v>
      </c>
      <c r="E140" s="16">
        <v>500000</v>
      </c>
      <c r="F140" s="16"/>
      <c r="G140" s="16"/>
      <c r="H140" s="5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16"/>
      <c r="W140" s="16">
        <f t="shared" si="64"/>
        <v>4500000</v>
      </c>
      <c r="X140" s="187"/>
      <c r="Y140" s="17"/>
    </row>
    <row r="141" spans="1:25" ht="13" customHeight="1">
      <c r="A141" s="50" t="s">
        <v>173</v>
      </c>
      <c r="B141" s="107" t="s">
        <v>213</v>
      </c>
      <c r="C141" s="38" t="s">
        <v>159</v>
      </c>
      <c r="D141" s="21">
        <f>1523077-500000</f>
        <v>1023077</v>
      </c>
      <c r="E141" s="16">
        <v>500000</v>
      </c>
      <c r="F141" s="16"/>
      <c r="G141" s="16"/>
      <c r="H141" s="58"/>
      <c r="I141" s="47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16"/>
      <c r="W141" s="16">
        <f t="shared" si="64"/>
        <v>1523077</v>
      </c>
      <c r="X141" s="187"/>
      <c r="Y141" s="17"/>
    </row>
    <row r="142" spans="1:25" ht="13" customHeight="1">
      <c r="A142" s="50" t="s">
        <v>175</v>
      </c>
      <c r="B142" s="107" t="s">
        <v>216</v>
      </c>
      <c r="C142" s="38" t="s">
        <v>159</v>
      </c>
      <c r="D142" s="21"/>
      <c r="E142" s="16"/>
      <c r="F142" s="16"/>
      <c r="G142" s="16"/>
      <c r="H142" s="58"/>
      <c r="I142" s="47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16"/>
      <c r="W142" s="16">
        <f t="shared" si="64"/>
        <v>0</v>
      </c>
      <c r="X142" s="187"/>
      <c r="Y142" s="17"/>
    </row>
    <row r="143" spans="1:25" ht="13" customHeight="1">
      <c r="A143" s="50" t="s">
        <v>178</v>
      </c>
      <c r="B143" s="107" t="s">
        <v>217</v>
      </c>
      <c r="C143" s="38" t="s">
        <v>159</v>
      </c>
      <c r="D143" s="21"/>
      <c r="E143" s="16"/>
      <c r="F143" s="16"/>
      <c r="G143" s="16"/>
      <c r="H143" s="58"/>
      <c r="I143" s="47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16"/>
      <c r="W143" s="16">
        <f t="shared" si="64"/>
        <v>0</v>
      </c>
      <c r="X143" s="187"/>
      <c r="Y143" s="17"/>
    </row>
    <row r="144" spans="1:25" ht="13" customHeight="1">
      <c r="A144" s="50" t="s">
        <v>181</v>
      </c>
      <c r="B144" s="107" t="s">
        <v>218</v>
      </c>
      <c r="C144" s="38" t="s">
        <v>159</v>
      </c>
      <c r="D144" s="21">
        <f>4423077-500000</f>
        <v>3923077</v>
      </c>
      <c r="E144" s="16">
        <v>500000</v>
      </c>
      <c r="F144" s="16"/>
      <c r="G144" s="16"/>
      <c r="H144" s="58"/>
      <c r="I144" s="47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16"/>
      <c r="W144" s="16">
        <f t="shared" si="64"/>
        <v>4423077</v>
      </c>
      <c r="X144" s="187"/>
      <c r="Y144" s="17"/>
    </row>
    <row r="145" spans="1:25" ht="13" customHeight="1">
      <c r="A145" s="50" t="s">
        <v>184</v>
      </c>
      <c r="B145" s="107" t="s">
        <v>196</v>
      </c>
      <c r="C145" s="38" t="s">
        <v>159</v>
      </c>
      <c r="D145" s="21">
        <v>4000000</v>
      </c>
      <c r="E145" s="16">
        <v>500000</v>
      </c>
      <c r="F145" s="16"/>
      <c r="G145" s="16"/>
      <c r="H145" s="58"/>
      <c r="I145" s="47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16"/>
      <c r="W145" s="16">
        <f t="shared" si="64"/>
        <v>4500000</v>
      </c>
      <c r="X145" s="187"/>
      <c r="Y145" s="17"/>
    </row>
    <row r="146" spans="1:25" ht="12.5">
      <c r="A146" s="50" t="s">
        <v>190</v>
      </c>
      <c r="B146" s="11" t="s">
        <v>176</v>
      </c>
      <c r="C146" s="11" t="s">
        <v>177</v>
      </c>
      <c r="D146" s="21">
        <v>12000000</v>
      </c>
      <c r="E146" s="16"/>
      <c r="F146" s="16"/>
      <c r="G146" s="16"/>
      <c r="H146" s="58"/>
      <c r="I146" s="47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16"/>
      <c r="W146" s="16">
        <f t="shared" si="64"/>
        <v>12000000</v>
      </c>
      <c r="X146" s="21">
        <f>D146+F146+G146+H146</f>
        <v>12000000</v>
      </c>
      <c r="Y146" s="17"/>
    </row>
    <row r="147" spans="1:25" ht="12.5">
      <c r="A147" s="50" t="s">
        <v>191</v>
      </c>
      <c r="B147" s="11" t="s">
        <v>179</v>
      </c>
      <c r="C147" s="11" t="s">
        <v>180</v>
      </c>
      <c r="D147" s="21"/>
      <c r="E147" s="16">
        <v>500000</v>
      </c>
      <c r="F147" s="16"/>
      <c r="G147" s="16"/>
      <c r="H147" s="16"/>
      <c r="I147" s="2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2"/>
      <c r="W147" s="16">
        <f t="shared" si="64"/>
        <v>500000</v>
      </c>
      <c r="X147" s="21">
        <f>D147+F147+G147+H147</f>
        <v>0</v>
      </c>
      <c r="Y147" s="17"/>
    </row>
    <row r="148" spans="1:25" ht="12.5">
      <c r="A148" s="50" t="s">
        <v>195</v>
      </c>
      <c r="B148" s="11" t="s">
        <v>69</v>
      </c>
      <c r="C148" s="11" t="s">
        <v>205</v>
      </c>
      <c r="D148" s="21">
        <v>3000000</v>
      </c>
      <c r="E148" s="16">
        <v>500000</v>
      </c>
      <c r="F148" s="16">
        <v>500000</v>
      </c>
      <c r="G148" s="63"/>
      <c r="H148" s="63"/>
      <c r="I148" s="32"/>
      <c r="J148" s="23"/>
      <c r="K148" s="23"/>
      <c r="L148" s="23"/>
      <c r="M148" s="14"/>
      <c r="N148" s="14"/>
      <c r="O148" s="14"/>
      <c r="P148" s="14"/>
      <c r="Q148" s="14"/>
      <c r="R148" s="14"/>
      <c r="S148" s="14"/>
      <c r="T148" s="14"/>
      <c r="U148" s="14"/>
      <c r="V148" s="12"/>
      <c r="W148" s="16">
        <f t="shared" si="64"/>
        <v>4000000</v>
      </c>
      <c r="X148" s="21"/>
      <c r="Y148" s="17"/>
    </row>
    <row r="149" spans="1:25" ht="12.5">
      <c r="A149" s="50" t="s">
        <v>219</v>
      </c>
      <c r="B149" s="11" t="s">
        <v>182</v>
      </c>
      <c r="C149" s="11" t="s">
        <v>183</v>
      </c>
      <c r="D149" s="21"/>
      <c r="E149" s="16">
        <v>700000</v>
      </c>
      <c r="F149" s="16"/>
      <c r="G149" s="63"/>
      <c r="H149" s="63"/>
      <c r="I149" s="23"/>
      <c r="J149" s="23"/>
      <c r="K149" s="23"/>
      <c r="L149" s="23"/>
      <c r="M149" s="14"/>
      <c r="N149" s="14"/>
      <c r="O149" s="14"/>
      <c r="P149" s="14"/>
      <c r="Q149" s="14"/>
      <c r="R149" s="14"/>
      <c r="S149" s="14"/>
      <c r="T149" s="14"/>
      <c r="U149" s="14"/>
      <c r="V149" s="12"/>
      <c r="W149" s="16">
        <f t="shared" si="64"/>
        <v>700000</v>
      </c>
      <c r="X149" s="21"/>
      <c r="Y149" s="17"/>
    </row>
    <row r="150" spans="1:25" ht="12.5">
      <c r="A150" s="50" t="s">
        <v>220</v>
      </c>
      <c r="B150" s="11" t="s">
        <v>185</v>
      </c>
      <c r="C150" s="11" t="s">
        <v>183</v>
      </c>
      <c r="D150" s="21"/>
      <c r="E150" s="16">
        <v>700000</v>
      </c>
      <c r="F150" s="16"/>
      <c r="G150" s="16"/>
      <c r="H150" s="16"/>
      <c r="I150" s="26"/>
      <c r="J150" s="26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2"/>
      <c r="W150" s="16">
        <f t="shared" si="64"/>
        <v>700000</v>
      </c>
      <c r="X150" s="21"/>
      <c r="Y150" s="17"/>
    </row>
    <row r="151" spans="1:25" ht="13">
      <c r="A151" s="109"/>
      <c r="B151" s="270"/>
      <c r="C151" s="268"/>
      <c r="D151" s="110"/>
      <c r="E151" s="110"/>
      <c r="F151" s="110"/>
      <c r="G151" s="110"/>
      <c r="H151" s="110"/>
      <c r="I151" s="111"/>
      <c r="J151" s="3"/>
      <c r="K151" s="269"/>
      <c r="L151" s="268"/>
      <c r="T151" s="3"/>
      <c r="U151" s="271" t="s">
        <v>186</v>
      </c>
      <c r="V151" s="268"/>
      <c r="X151" s="110"/>
      <c r="Y151" s="3"/>
    </row>
    <row r="152" spans="1:25" ht="13">
      <c r="A152" s="109"/>
      <c r="B152" s="267"/>
      <c r="C152" s="268"/>
      <c r="D152" s="110"/>
      <c r="E152" s="110"/>
      <c r="F152" s="110"/>
      <c r="G152" s="110"/>
      <c r="H152" s="110"/>
      <c r="I152" s="111"/>
      <c r="J152" s="3"/>
      <c r="K152" s="267"/>
      <c r="L152" s="268"/>
      <c r="T152" s="3"/>
      <c r="U152" s="267" t="s">
        <v>187</v>
      </c>
      <c r="V152" s="268"/>
      <c r="X152" s="110"/>
      <c r="Y152" s="3"/>
    </row>
    <row r="153" spans="1:25" ht="13">
      <c r="A153" s="109"/>
      <c r="B153" s="269"/>
      <c r="C153" s="268"/>
      <c r="D153" s="110"/>
      <c r="E153" s="110"/>
      <c r="F153" s="110"/>
      <c r="G153" s="110"/>
      <c r="H153" s="110"/>
      <c r="I153" s="111"/>
      <c r="J153" s="3"/>
      <c r="K153" s="269"/>
      <c r="L153" s="268"/>
      <c r="T153" s="3"/>
      <c r="U153" s="269" t="s">
        <v>188</v>
      </c>
      <c r="V153" s="268"/>
      <c r="X153" s="110"/>
      <c r="Y153" s="3"/>
    </row>
    <row r="154" spans="1:25" ht="12.5">
      <c r="A154" s="109"/>
      <c r="B154" s="3"/>
      <c r="C154" s="3"/>
      <c r="D154" s="110"/>
      <c r="E154" s="110"/>
      <c r="F154" s="110"/>
      <c r="G154" s="110"/>
      <c r="H154" s="110"/>
      <c r="I154" s="111"/>
      <c r="J154" s="3"/>
      <c r="K154" s="3"/>
      <c r="L154" s="3">
        <v>1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10"/>
      <c r="Y154" s="3"/>
    </row>
    <row r="155" spans="1:25" ht="12.5">
      <c r="A155" s="109"/>
      <c r="B155" s="3"/>
      <c r="C155" s="3"/>
      <c r="D155" s="110"/>
      <c r="E155" s="110"/>
      <c r="F155" s="110"/>
      <c r="G155" s="110"/>
      <c r="H155" s="110"/>
      <c r="I155" s="1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10"/>
      <c r="Y155" s="3"/>
    </row>
    <row r="156" spans="1:25" ht="12.5">
      <c r="A156" s="109"/>
      <c r="B156" s="3"/>
      <c r="C156" s="3"/>
      <c r="D156" s="110"/>
      <c r="E156" s="110"/>
      <c r="F156" s="110"/>
      <c r="G156" s="110"/>
      <c r="H156" s="110"/>
      <c r="I156" s="1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17"/>
      <c r="V156" s="3"/>
      <c r="W156" s="3"/>
      <c r="X156" s="110"/>
      <c r="Y156" s="3"/>
    </row>
    <row r="157" spans="1:25" ht="12.5">
      <c r="A157" s="109"/>
      <c r="B157" s="3"/>
      <c r="C157" s="3"/>
      <c r="D157" s="110"/>
      <c r="E157" s="110"/>
      <c r="F157" s="110"/>
      <c r="G157" s="110"/>
      <c r="H157" s="110"/>
      <c r="I157" s="1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112"/>
      <c r="V157" s="3"/>
      <c r="W157" s="3"/>
      <c r="X157" s="110"/>
      <c r="Y157" s="3"/>
    </row>
    <row r="158" spans="1:25" ht="12.5">
      <c r="A158" s="109"/>
      <c r="B158" s="3"/>
      <c r="C158" s="3"/>
      <c r="D158" s="110"/>
      <c r="E158" s="110"/>
      <c r="F158" s="110"/>
      <c r="G158" s="110"/>
      <c r="H158" s="110"/>
      <c r="I158" s="1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10"/>
      <c r="Y158" s="3"/>
    </row>
    <row r="159" spans="1:25" ht="12.5">
      <c r="A159" s="109"/>
      <c r="B159" s="3"/>
      <c r="C159" s="3"/>
      <c r="D159" s="110"/>
      <c r="E159" s="110"/>
      <c r="F159" s="110"/>
      <c r="G159" s="110"/>
      <c r="H159" s="110"/>
      <c r="I159" s="11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0"/>
      <c r="Y159" s="3"/>
    </row>
    <row r="160" spans="1:25" ht="12.5">
      <c r="A160" s="109"/>
      <c r="B160" s="3"/>
      <c r="C160" s="3"/>
      <c r="D160" s="110"/>
      <c r="E160" s="110"/>
      <c r="F160" s="110"/>
      <c r="G160" s="110"/>
      <c r="H160" s="110"/>
      <c r="I160" s="1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109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109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109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109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109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109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109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109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109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109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109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109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109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3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3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3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3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3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3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3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  <row r="1102" spans="1:25" ht="12.5">
      <c r="A1102" s="3"/>
      <c r="B1102" s="3"/>
      <c r="C1102" s="3"/>
      <c r="D1102" s="110"/>
      <c r="E1102" s="110"/>
      <c r="F1102" s="110"/>
      <c r="G1102" s="110"/>
      <c r="H1102" s="110"/>
      <c r="I1102" s="1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110"/>
      <c r="Y1102" s="3"/>
    </row>
    <row r="1103" spans="1:25" ht="12.5">
      <c r="A1103" s="3"/>
      <c r="B1103" s="3"/>
      <c r="C1103" s="3"/>
      <c r="D1103" s="110"/>
      <c r="E1103" s="110"/>
      <c r="F1103" s="110"/>
      <c r="G1103" s="110"/>
      <c r="H1103" s="110"/>
      <c r="I1103" s="1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110"/>
      <c r="Y1103" s="3"/>
    </row>
    <row r="1104" spans="1:25" ht="12.5">
      <c r="A1104" s="3"/>
      <c r="B1104" s="3"/>
      <c r="C1104" s="3"/>
      <c r="D1104" s="110"/>
      <c r="E1104" s="110"/>
      <c r="F1104" s="110"/>
      <c r="G1104" s="110"/>
      <c r="H1104" s="110"/>
      <c r="I1104" s="11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110"/>
      <c r="Y1104" s="3"/>
    </row>
    <row r="1105" spans="1:25" ht="12.5">
      <c r="A1105" s="3"/>
      <c r="B1105" s="3"/>
      <c r="C1105" s="3"/>
      <c r="D1105" s="110"/>
      <c r="E1105" s="110"/>
      <c r="F1105" s="110"/>
      <c r="G1105" s="110"/>
      <c r="H1105" s="110"/>
      <c r="I1105" s="11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110"/>
      <c r="Y1105" s="3"/>
    </row>
    <row r="1106" spans="1:25" ht="12.5">
      <c r="A1106" s="3"/>
      <c r="B1106" s="3"/>
      <c r="C1106" s="3"/>
      <c r="D1106" s="110"/>
      <c r="E1106" s="110"/>
      <c r="F1106" s="110"/>
      <c r="G1106" s="110"/>
      <c r="H1106" s="110"/>
      <c r="I1106" s="11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110"/>
      <c r="Y1106" s="3"/>
    </row>
    <row r="1107" spans="1:25" ht="12.5">
      <c r="A1107" s="3"/>
      <c r="B1107" s="3"/>
      <c r="C1107" s="3"/>
      <c r="D1107" s="110"/>
      <c r="E1107" s="110"/>
      <c r="F1107" s="110"/>
      <c r="G1107" s="110"/>
      <c r="H1107" s="110"/>
      <c r="I1107" s="11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110"/>
      <c r="Y1107" s="3"/>
    </row>
    <row r="1108" spans="1:25" ht="12.5">
      <c r="A1108" s="3"/>
      <c r="B1108" s="3"/>
      <c r="C1108" s="3"/>
      <c r="D1108" s="110"/>
      <c r="E1108" s="110"/>
      <c r="F1108" s="110"/>
      <c r="G1108" s="110"/>
      <c r="H1108" s="110"/>
      <c r="I1108" s="11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110"/>
      <c r="Y1108" s="3"/>
    </row>
    <row r="1109" spans="1:25" ht="12.5">
      <c r="A1109" s="3"/>
      <c r="B1109" s="3"/>
      <c r="C1109" s="3"/>
      <c r="D1109" s="110"/>
      <c r="E1109" s="110"/>
      <c r="F1109" s="110"/>
      <c r="G1109" s="110"/>
      <c r="H1109" s="110"/>
      <c r="I1109" s="11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110"/>
      <c r="Y1109" s="3"/>
    </row>
    <row r="1110" spans="1:25" ht="12.5">
      <c r="A1110" s="3"/>
      <c r="B1110" s="3"/>
      <c r="C1110" s="3"/>
      <c r="D1110" s="110"/>
      <c r="E1110" s="110"/>
      <c r="F1110" s="110"/>
      <c r="G1110" s="110"/>
      <c r="H1110" s="110"/>
      <c r="I1110" s="111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110"/>
      <c r="Y1110" s="3"/>
    </row>
    <row r="1111" spans="1:25" ht="12.5">
      <c r="A1111" s="3"/>
      <c r="B1111" s="3"/>
      <c r="C1111" s="3"/>
      <c r="D1111" s="110"/>
      <c r="E1111" s="110"/>
      <c r="F1111" s="110"/>
      <c r="G1111" s="110"/>
      <c r="H1111" s="110"/>
      <c r="I1111" s="111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110"/>
      <c r="Y1111" s="3"/>
    </row>
    <row r="1112" spans="1:25" ht="12.5">
      <c r="A1112" s="3"/>
      <c r="B1112" s="3"/>
      <c r="C1112" s="3"/>
      <c r="D1112" s="110"/>
      <c r="E1112" s="110"/>
      <c r="F1112" s="110"/>
      <c r="G1112" s="110"/>
      <c r="H1112" s="110"/>
      <c r="I1112" s="111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110"/>
      <c r="Y1112" s="3"/>
    </row>
    <row r="1113" spans="1:25" ht="12.5">
      <c r="A1113" s="3"/>
      <c r="B1113" s="3"/>
      <c r="C1113" s="3"/>
      <c r="D1113" s="110"/>
      <c r="E1113" s="110"/>
      <c r="F1113" s="110"/>
      <c r="G1113" s="110"/>
      <c r="H1113" s="110"/>
      <c r="I1113" s="111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110"/>
      <c r="Y1113" s="3"/>
    </row>
    <row r="1114" spans="1:25" ht="12.5">
      <c r="A1114" s="3"/>
      <c r="B1114" s="3"/>
      <c r="C1114" s="3"/>
      <c r="D1114" s="110"/>
      <c r="E1114" s="110"/>
      <c r="F1114" s="110"/>
      <c r="G1114" s="110"/>
      <c r="H1114" s="110"/>
      <c r="I1114" s="111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110"/>
      <c r="Y1114" s="3"/>
    </row>
  </sheetData>
  <mergeCells count="136">
    <mergeCell ref="A1:J1"/>
    <mergeCell ref="A2:J2"/>
    <mergeCell ref="A3:J3"/>
    <mergeCell ref="A4:J4"/>
    <mergeCell ref="A5:T6"/>
    <mergeCell ref="U5:X6"/>
    <mergeCell ref="W7:W8"/>
    <mergeCell ref="X7:X8"/>
    <mergeCell ref="A11:A18"/>
    <mergeCell ref="B11:B18"/>
    <mergeCell ref="C11:C18"/>
    <mergeCell ref="D11:D18"/>
    <mergeCell ref="E11:E18"/>
    <mergeCell ref="F11:F18"/>
    <mergeCell ref="G11:G18"/>
    <mergeCell ref="H11:H18"/>
    <mergeCell ref="G7:G8"/>
    <mergeCell ref="H7:H8"/>
    <mergeCell ref="I7:I8"/>
    <mergeCell ref="J7:T7"/>
    <mergeCell ref="U7:U8"/>
    <mergeCell ref="V7:V8"/>
    <mergeCell ref="A7:A8"/>
    <mergeCell ref="B7:B8"/>
    <mergeCell ref="C7:C8"/>
    <mergeCell ref="D7:D8"/>
    <mergeCell ref="E7:E8"/>
    <mergeCell ref="F7:F8"/>
    <mergeCell ref="X11:X18"/>
    <mergeCell ref="Y11:Y18"/>
    <mergeCell ref="A19:A30"/>
    <mergeCell ref="B19:B30"/>
    <mergeCell ref="C19:C30"/>
    <mergeCell ref="D19:D30"/>
    <mergeCell ref="E19:E30"/>
    <mergeCell ref="F19:F30"/>
    <mergeCell ref="G19:G30"/>
    <mergeCell ref="H19:H30"/>
    <mergeCell ref="X19:X30"/>
    <mergeCell ref="Y19:Y30"/>
    <mergeCell ref="Y34:Y45"/>
    <mergeCell ref="A46:A58"/>
    <mergeCell ref="B46:B58"/>
    <mergeCell ref="C46:C58"/>
    <mergeCell ref="D46:D58"/>
    <mergeCell ref="E46:E58"/>
    <mergeCell ref="F46:F58"/>
    <mergeCell ref="G46:G58"/>
    <mergeCell ref="H46:H58"/>
    <mergeCell ref="X46:X57"/>
    <mergeCell ref="Y50:Y58"/>
    <mergeCell ref="A31:A45"/>
    <mergeCell ref="B31:B45"/>
    <mergeCell ref="C31:C45"/>
    <mergeCell ref="D31:D45"/>
    <mergeCell ref="E31:E45"/>
    <mergeCell ref="F31:F45"/>
    <mergeCell ref="G31:G45"/>
    <mergeCell ref="H31:H45"/>
    <mergeCell ref="X31:X45"/>
    <mergeCell ref="Y59:Y63"/>
    <mergeCell ref="A64:A70"/>
    <mergeCell ref="B64:B70"/>
    <mergeCell ref="C64:C70"/>
    <mergeCell ref="D64:D70"/>
    <mergeCell ref="E64:E70"/>
    <mergeCell ref="F64:F70"/>
    <mergeCell ref="G64:G70"/>
    <mergeCell ref="H64:H70"/>
    <mergeCell ref="X64:X70"/>
    <mergeCell ref="Y64:Y70"/>
    <mergeCell ref="A59:A63"/>
    <mergeCell ref="B59:B63"/>
    <mergeCell ref="C59:C63"/>
    <mergeCell ref="D59:D63"/>
    <mergeCell ref="E59:E63"/>
    <mergeCell ref="F59:F63"/>
    <mergeCell ref="G59:G63"/>
    <mergeCell ref="H59:H63"/>
    <mergeCell ref="X59:X63"/>
    <mergeCell ref="Y71:Y84"/>
    <mergeCell ref="A85:A98"/>
    <mergeCell ref="B85:B98"/>
    <mergeCell ref="C85:C98"/>
    <mergeCell ref="D85:D98"/>
    <mergeCell ref="E85:E98"/>
    <mergeCell ref="F85:F98"/>
    <mergeCell ref="G85:G98"/>
    <mergeCell ref="H85:H98"/>
    <mergeCell ref="A71:A84"/>
    <mergeCell ref="B71:B84"/>
    <mergeCell ref="C71:C84"/>
    <mergeCell ref="D71:D84"/>
    <mergeCell ref="E71:E84"/>
    <mergeCell ref="F71:F84"/>
    <mergeCell ref="G71:G84"/>
    <mergeCell ref="H71:H84"/>
    <mergeCell ref="X71:X84"/>
    <mergeCell ref="X126:X145"/>
    <mergeCell ref="B151:C151"/>
    <mergeCell ref="K151:L151"/>
    <mergeCell ref="U151:V151"/>
    <mergeCell ref="B152:C152"/>
    <mergeCell ref="K152:L152"/>
    <mergeCell ref="U152:V152"/>
    <mergeCell ref="X85:X96"/>
    <mergeCell ref="A99:A110"/>
    <mergeCell ref="B99:B110"/>
    <mergeCell ref="C99:C110"/>
    <mergeCell ref="D99:D110"/>
    <mergeCell ref="E99:E110"/>
    <mergeCell ref="F99:F110"/>
    <mergeCell ref="G99:G110"/>
    <mergeCell ref="H99:H110"/>
    <mergeCell ref="X99:X109"/>
    <mergeCell ref="A111:A119"/>
    <mergeCell ref="A120:A125"/>
    <mergeCell ref="X111:X118"/>
    <mergeCell ref="X120:X125"/>
    <mergeCell ref="B153:C153"/>
    <mergeCell ref="K153:L153"/>
    <mergeCell ref="U153:V153"/>
    <mergeCell ref="B111:B119"/>
    <mergeCell ref="C111:C119"/>
    <mergeCell ref="D111:D119"/>
    <mergeCell ref="E111:E119"/>
    <mergeCell ref="F111:F119"/>
    <mergeCell ref="G111:G119"/>
    <mergeCell ref="H111:H119"/>
    <mergeCell ref="B120:B125"/>
    <mergeCell ref="C120:C125"/>
    <mergeCell ref="D120:D125"/>
    <mergeCell ref="E120:E125"/>
    <mergeCell ref="F120:F125"/>
    <mergeCell ref="G120:G125"/>
    <mergeCell ref="H120:H125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1670-A549-4649-B0AE-DFF9AEF91F5E}">
  <sheetPr codeName="Sheet7">
    <outlinePr summaryBelow="0" summaryRight="0"/>
    <pageSetUpPr fitToPage="1"/>
  </sheetPr>
  <dimension ref="A1:Y1121"/>
  <sheetViews>
    <sheetView topLeftCell="A4" zoomScale="90" zoomScaleNormal="90" workbookViewId="0">
      <pane xSplit="9" ySplit="6" topLeftCell="V40" activePane="bottomRight" state="frozen"/>
      <selection activeCell="A4" sqref="A4"/>
      <selection pane="topRight" activeCell="I4" sqref="I4"/>
      <selection pane="bottomLeft" activeCell="A10" sqref="A10"/>
      <selection pane="bottomRight" activeCell="X46" sqref="X46:X57"/>
    </sheetView>
  </sheetViews>
  <sheetFormatPr defaultColWidth="12.6328125" defaultRowHeight="15.75" customHeight="1"/>
  <cols>
    <col min="1" max="1" width="12.6328125" style="4"/>
    <col min="2" max="2" width="25.90625" style="4" customWidth="1"/>
    <col min="3" max="3" width="15" style="4" customWidth="1"/>
    <col min="4" max="8" width="12.6328125" style="113" customWidth="1"/>
    <col min="9" max="9" width="12.6328125" style="48" customWidth="1"/>
    <col min="10" max="17" width="12.6328125" style="4" customWidth="1"/>
    <col min="18" max="18" width="16.54296875" style="4" customWidth="1"/>
    <col min="19" max="19" width="21.08984375" style="4" customWidth="1"/>
    <col min="20" max="20" width="14.08984375" style="4" customWidth="1"/>
    <col min="21" max="23" width="12.6328125" style="4"/>
    <col min="24" max="24" width="13.7265625" style="113" customWidth="1"/>
    <col min="25" max="25" width="10.453125" style="4" customWidth="1"/>
    <col min="26" max="16384" width="12.6328125" style="4"/>
  </cols>
  <sheetData>
    <row r="1" spans="1:25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/>
    </row>
    <row r="2" spans="1:25" ht="14">
      <c r="A2" s="203" t="s">
        <v>1</v>
      </c>
      <c r="B2" s="201"/>
      <c r="C2" s="201"/>
      <c r="D2" s="201"/>
      <c r="E2" s="201"/>
      <c r="F2" s="201"/>
      <c r="G2" s="201"/>
      <c r="H2" s="201"/>
      <c r="I2" s="201"/>
      <c r="J2" s="20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  <row r="3" spans="1:25" ht="14">
      <c r="A3" s="203" t="s">
        <v>2</v>
      </c>
      <c r="B3" s="201"/>
      <c r="C3" s="201"/>
      <c r="D3" s="201"/>
      <c r="E3" s="201"/>
      <c r="F3" s="201"/>
      <c r="G3" s="201"/>
      <c r="H3" s="201"/>
      <c r="I3" s="201"/>
      <c r="J3" s="20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3"/>
    </row>
    <row r="4" spans="1:25" ht="14">
      <c r="A4" s="203" t="s">
        <v>3</v>
      </c>
      <c r="B4" s="201"/>
      <c r="C4" s="201"/>
      <c r="D4" s="201"/>
      <c r="E4" s="201"/>
      <c r="F4" s="201"/>
      <c r="G4" s="201"/>
      <c r="H4" s="201"/>
      <c r="I4" s="201"/>
      <c r="J4" s="20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3"/>
    </row>
    <row r="5" spans="1:25" ht="12.5" customHeight="1">
      <c r="A5" s="204" t="s">
        <v>233</v>
      </c>
      <c r="B5" s="290"/>
      <c r="C5" s="290"/>
      <c r="D5" s="290"/>
      <c r="E5" s="290"/>
      <c r="F5" s="290"/>
      <c r="G5" s="290"/>
      <c r="H5" s="290"/>
      <c r="I5" s="290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284" t="s">
        <v>232</v>
      </c>
      <c r="V5" s="285"/>
      <c r="W5" s="285"/>
      <c r="X5" s="286"/>
      <c r="Y5" s="3"/>
    </row>
    <row r="6" spans="1:25" ht="12.5">
      <c r="A6" s="291"/>
      <c r="B6" s="292"/>
      <c r="C6" s="292"/>
      <c r="D6" s="292"/>
      <c r="E6" s="292"/>
      <c r="F6" s="292"/>
      <c r="G6" s="292"/>
      <c r="H6" s="292"/>
      <c r="I6" s="292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287"/>
      <c r="V6" s="288"/>
      <c r="W6" s="288"/>
      <c r="X6" s="289"/>
      <c r="Y6" s="3"/>
    </row>
    <row r="7" spans="1:25" ht="14.5" customHeight="1">
      <c r="A7" s="236" t="s">
        <v>6</v>
      </c>
      <c r="B7" s="235" t="s">
        <v>7</v>
      </c>
      <c r="C7" s="235" t="s">
        <v>8</v>
      </c>
      <c r="D7" s="219" t="s">
        <v>9</v>
      </c>
      <c r="E7" s="190" t="s">
        <v>10</v>
      </c>
      <c r="F7" s="190" t="s">
        <v>11</v>
      </c>
      <c r="G7" s="232" t="s">
        <v>12</v>
      </c>
      <c r="H7" s="232" t="s">
        <v>13</v>
      </c>
      <c r="I7" s="198" t="s">
        <v>14</v>
      </c>
      <c r="J7" s="234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235" t="s">
        <v>201</v>
      </c>
      <c r="V7" s="235" t="s">
        <v>16</v>
      </c>
      <c r="W7" s="217" t="s">
        <v>17</v>
      </c>
      <c r="X7" s="219" t="s">
        <v>18</v>
      </c>
      <c r="Y7" s="3"/>
    </row>
    <row r="8" spans="1:25" ht="39" customHeight="1">
      <c r="A8" s="237"/>
      <c r="B8" s="238"/>
      <c r="C8" s="238"/>
      <c r="D8" s="220"/>
      <c r="E8" s="190"/>
      <c r="F8" s="190"/>
      <c r="G8" s="233"/>
      <c r="H8" s="233"/>
      <c r="I8" s="198"/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27</v>
      </c>
      <c r="S8" s="5" t="s">
        <v>28</v>
      </c>
      <c r="T8" s="5" t="s">
        <v>29</v>
      </c>
      <c r="U8" s="216"/>
      <c r="V8" s="216"/>
      <c r="W8" s="218"/>
      <c r="X8" s="220"/>
      <c r="Y8" s="3"/>
    </row>
    <row r="9" spans="1:25" ht="13">
      <c r="A9" s="131"/>
      <c r="B9" s="132"/>
      <c r="C9" s="132"/>
      <c r="D9" s="133">
        <f>SUM(D10:D157)</f>
        <v>81603845</v>
      </c>
      <c r="E9" s="133">
        <f>SUM(E10:E157)</f>
        <v>15300000</v>
      </c>
      <c r="F9" s="133">
        <f>SUM(F10:F157)</f>
        <v>8400000</v>
      </c>
      <c r="G9" s="133">
        <f>SUM(G10:G157)</f>
        <v>13430000</v>
      </c>
      <c r="H9" s="133"/>
      <c r="I9" s="133"/>
      <c r="J9" s="133">
        <f t="shared" ref="J9:Q9" si="0">J18+J30+J45+J58+J63+J71+J85+J99+J111</f>
        <v>1143</v>
      </c>
      <c r="K9" s="133">
        <f t="shared" si="0"/>
        <v>4611200000</v>
      </c>
      <c r="L9" s="133">
        <f t="shared" si="0"/>
        <v>6073366310.0107527</v>
      </c>
      <c r="M9" s="133">
        <f t="shared" si="0"/>
        <v>5668495154</v>
      </c>
      <c r="N9" s="133">
        <f t="shared" si="0"/>
        <v>137190600</v>
      </c>
      <c r="O9" s="133">
        <f t="shared" si="0"/>
        <v>33388600</v>
      </c>
      <c r="P9" s="133">
        <f t="shared" si="0"/>
        <v>5839074354</v>
      </c>
      <c r="Q9" s="133">
        <f t="shared" si="0"/>
        <v>1726991933.3333333</v>
      </c>
      <c r="R9" s="137">
        <f>Q9/L9</f>
        <v>0.28435497633112067</v>
      </c>
      <c r="S9" s="133">
        <f>S18+S30+S45+S58+S63+S71+S85+S99+S111</f>
        <v>83070968.709677428</v>
      </c>
      <c r="T9" s="133">
        <f>T18+T30+T45+T58+T63+T71+T85+T99+T111</f>
        <v>4259337158.4196844</v>
      </c>
      <c r="U9" s="133">
        <f>(T9/K9)*100</f>
        <v>92.369386676346394</v>
      </c>
      <c r="V9" s="133">
        <f>U9*109000/90</f>
        <v>111869.59053024174</v>
      </c>
      <c r="W9" s="134">
        <f>W18+W30+W45+W58+W63+W71+W85+W99+W111+W121+W128</f>
        <v>151216259.12440354</v>
      </c>
      <c r="X9" s="135"/>
      <c r="Y9" s="3"/>
    </row>
    <row r="10" spans="1:25" ht="21.5" customHeight="1">
      <c r="A10" s="10" t="s">
        <v>30</v>
      </c>
      <c r="B10" s="11" t="s">
        <v>31</v>
      </c>
      <c r="C10" s="11" t="s">
        <v>32</v>
      </c>
      <c r="D10" s="12">
        <v>10000000</v>
      </c>
      <c r="E10" s="12">
        <v>500000</v>
      </c>
      <c r="F10" s="12">
        <v>700000</v>
      </c>
      <c r="G10" s="13">
        <f>935*10000</f>
        <v>9350000</v>
      </c>
      <c r="H10" s="13"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21"/>
      <c r="W10" s="16"/>
      <c r="X10" s="16">
        <f>D10+F10+E10+G10</f>
        <v>20550000</v>
      </c>
      <c r="Y10" s="17"/>
    </row>
    <row r="11" spans="1:25" ht="14">
      <c r="A11" s="222" t="s">
        <v>33</v>
      </c>
      <c r="B11" s="224" t="s">
        <v>42</v>
      </c>
      <c r="C11" s="224" t="s">
        <v>43</v>
      </c>
      <c r="D11" s="227">
        <v>10000000</v>
      </c>
      <c r="E11" s="226">
        <v>500000</v>
      </c>
      <c r="F11" s="230">
        <v>700000</v>
      </c>
      <c r="G11" s="177">
        <f>408*10000</f>
        <v>4080000</v>
      </c>
      <c r="H11" s="177"/>
      <c r="I11" s="25"/>
      <c r="J11" s="44"/>
      <c r="K11" s="26"/>
      <c r="L11" s="18"/>
      <c r="M11" s="14"/>
      <c r="N11" s="14"/>
      <c r="O11" s="14"/>
      <c r="P11" s="14">
        <f>SUM(M11:O11)</f>
        <v>0</v>
      </c>
      <c r="Q11" s="44"/>
      <c r="R11" s="45"/>
      <c r="S11" s="14"/>
      <c r="T11" s="26"/>
      <c r="U11" s="46"/>
      <c r="V11" s="12"/>
      <c r="W11" s="21"/>
      <c r="X11" s="177">
        <f>W18+D11+F11+G11+H11+E11</f>
        <v>15280000</v>
      </c>
      <c r="Y11" s="239"/>
    </row>
    <row r="12" spans="1:25" ht="14">
      <c r="A12" s="222"/>
      <c r="B12" s="224" t="str">
        <f>B11</f>
        <v>Trần Quang Huy</v>
      </c>
      <c r="C12" s="224"/>
      <c r="D12" s="227"/>
      <c r="E12" s="227"/>
      <c r="F12" s="230"/>
      <c r="G12" s="177"/>
      <c r="H12" s="177"/>
      <c r="I12" s="26"/>
      <c r="J12" s="47"/>
      <c r="K12" s="26"/>
      <c r="L12" s="31"/>
      <c r="M12" s="14"/>
      <c r="N12" s="14"/>
      <c r="O12" s="14"/>
      <c r="P12" s="14">
        <f>SUM(M12:O12)</f>
        <v>0</v>
      </c>
      <c r="Q12" s="44"/>
      <c r="R12" s="45"/>
      <c r="S12" s="14"/>
      <c r="T12" s="26"/>
      <c r="U12" s="46"/>
      <c r="V12" s="12"/>
      <c r="W12" s="21"/>
      <c r="X12" s="178"/>
      <c r="Y12" s="239"/>
    </row>
    <row r="13" spans="1:25" ht="12.5">
      <c r="A13" s="222"/>
      <c r="B13" s="224" t="str">
        <f>B12</f>
        <v>Trần Quang Huy</v>
      </c>
      <c r="C13" s="224"/>
      <c r="D13" s="227"/>
      <c r="E13" s="227"/>
      <c r="F13" s="230"/>
      <c r="G13" s="177"/>
      <c r="H13" s="177"/>
      <c r="J13" s="49"/>
      <c r="K13" s="37"/>
      <c r="L13" s="14"/>
      <c r="M13" s="14"/>
      <c r="N13" s="14"/>
      <c r="O13" s="14"/>
      <c r="P13" s="14">
        <f t="shared" ref="P13:P17" si="1">SUM(M13:O13)</f>
        <v>0</v>
      </c>
      <c r="Q13" s="44"/>
      <c r="R13" s="45"/>
      <c r="S13" s="14"/>
      <c r="T13" s="26"/>
      <c r="U13" s="46"/>
      <c r="V13" s="12"/>
      <c r="W13" s="21"/>
      <c r="X13" s="178"/>
      <c r="Y13" s="239"/>
    </row>
    <row r="14" spans="1:25" ht="12.5">
      <c r="A14" s="222"/>
      <c r="B14" s="224" t="str">
        <f>B13</f>
        <v>Trần Quang Huy</v>
      </c>
      <c r="C14" s="224"/>
      <c r="D14" s="227"/>
      <c r="E14" s="227"/>
      <c r="F14" s="230"/>
      <c r="G14" s="177"/>
      <c r="H14" s="177"/>
      <c r="I14" s="36"/>
      <c r="J14" s="37"/>
      <c r="K14" s="37"/>
      <c r="L14" s="14"/>
      <c r="M14" s="14"/>
      <c r="N14" s="14"/>
      <c r="O14" s="14"/>
      <c r="P14" s="14">
        <f t="shared" si="1"/>
        <v>0</v>
      </c>
      <c r="Q14" s="44"/>
      <c r="R14" s="45"/>
      <c r="S14" s="14"/>
      <c r="T14" s="26"/>
      <c r="U14" s="46"/>
      <c r="V14" s="12"/>
      <c r="W14" s="21"/>
      <c r="X14" s="178"/>
      <c r="Y14" s="239"/>
    </row>
    <row r="15" spans="1:25" ht="12.5">
      <c r="A15" s="222"/>
      <c r="B15" s="224" t="str">
        <f>B14</f>
        <v>Trần Quang Huy</v>
      </c>
      <c r="C15" s="224"/>
      <c r="D15" s="227"/>
      <c r="E15" s="227"/>
      <c r="F15" s="230"/>
      <c r="G15" s="177"/>
      <c r="H15" s="177"/>
      <c r="I15" s="36"/>
      <c r="J15" s="37"/>
      <c r="K15" s="37"/>
      <c r="L15" s="14"/>
      <c r="M15" s="14"/>
      <c r="N15" s="14"/>
      <c r="O15" s="14"/>
      <c r="P15" s="14">
        <f>SUM(M15:O15)</f>
        <v>0</v>
      </c>
      <c r="Q15" s="44"/>
      <c r="R15" s="45"/>
      <c r="S15" s="14"/>
      <c r="T15" s="26"/>
      <c r="U15" s="46"/>
      <c r="V15" s="12"/>
      <c r="W15" s="21"/>
      <c r="X15" s="178"/>
      <c r="Y15" s="239"/>
    </row>
    <row r="16" spans="1:25" ht="12.5">
      <c r="A16" s="222"/>
      <c r="B16" s="224"/>
      <c r="C16" s="224"/>
      <c r="D16" s="227"/>
      <c r="E16" s="227"/>
      <c r="F16" s="230"/>
      <c r="G16" s="177"/>
      <c r="H16" s="177"/>
      <c r="I16" s="36"/>
      <c r="J16" s="37"/>
      <c r="K16" s="37"/>
      <c r="L16" s="23"/>
      <c r="M16" s="23"/>
      <c r="N16" s="23"/>
      <c r="O16" s="23"/>
      <c r="P16" s="14">
        <f t="shared" si="1"/>
        <v>0</v>
      </c>
      <c r="Q16" s="44"/>
      <c r="R16" s="45"/>
      <c r="S16" s="14"/>
      <c r="T16" s="26"/>
      <c r="U16" s="46"/>
      <c r="V16" s="12"/>
      <c r="W16" s="21"/>
      <c r="X16" s="178"/>
      <c r="Y16" s="239"/>
    </row>
    <row r="17" spans="1:25" ht="12.5">
      <c r="A17" s="222"/>
      <c r="B17" s="224"/>
      <c r="C17" s="224"/>
      <c r="D17" s="227"/>
      <c r="E17" s="227"/>
      <c r="F17" s="230"/>
      <c r="G17" s="177"/>
      <c r="H17" s="177"/>
      <c r="I17" s="36"/>
      <c r="J17" s="37"/>
      <c r="K17" s="37"/>
      <c r="L17" s="25"/>
      <c r="M17" s="26"/>
      <c r="N17" s="26"/>
      <c r="O17" s="26"/>
      <c r="P17" s="14">
        <f t="shared" si="1"/>
        <v>0</v>
      </c>
      <c r="Q17" s="32"/>
      <c r="R17" s="45"/>
      <c r="S17" s="32"/>
      <c r="T17" s="26"/>
      <c r="U17" s="46"/>
      <c r="V17" s="12"/>
      <c r="W17" s="21"/>
      <c r="X17" s="178"/>
      <c r="Y17" s="239"/>
    </row>
    <row r="18" spans="1:25" ht="13">
      <c r="A18" s="240"/>
      <c r="B18" s="241" t="str">
        <f>B15</f>
        <v>Trần Quang Huy</v>
      </c>
      <c r="C18" s="241"/>
      <c r="D18" s="228"/>
      <c r="E18" s="228"/>
      <c r="F18" s="231"/>
      <c r="G18" s="177"/>
      <c r="H18" s="177"/>
      <c r="I18" s="51"/>
      <c r="J18" s="52">
        <f>SUM(J11:J17)</f>
        <v>0</v>
      </c>
      <c r="K18" s="52">
        <f>SUM(K11:K17)</f>
        <v>0</v>
      </c>
      <c r="L18" s="52">
        <f>SUM(L11:L17)</f>
        <v>0</v>
      </c>
      <c r="M18" s="52">
        <f t="shared" ref="M18:N18" si="2">SUM(M11:M17)</f>
        <v>0</v>
      </c>
      <c r="N18" s="52">
        <f t="shared" si="2"/>
        <v>0</v>
      </c>
      <c r="O18" s="52">
        <f>SUM(O11:O17)</f>
        <v>0</v>
      </c>
      <c r="P18" s="52">
        <f>SUM(P11:P17)</f>
        <v>0</v>
      </c>
      <c r="Q18" s="52">
        <f>SUM(Q11:Q17)</f>
        <v>0</v>
      </c>
      <c r="R18" s="53"/>
      <c r="S18" s="52">
        <f>SUM(S11:S17)</f>
        <v>0</v>
      </c>
      <c r="T18" s="54">
        <f>SUM(T11:T17)</f>
        <v>0</v>
      </c>
      <c r="U18" s="55"/>
      <c r="V18" s="52"/>
      <c r="W18" s="52">
        <f>SUM(W11:W17)</f>
        <v>0</v>
      </c>
      <c r="X18" s="178"/>
      <c r="Y18" s="239"/>
    </row>
    <row r="19" spans="1:25" ht="13" customHeight="1">
      <c r="A19" s="221" t="s">
        <v>41</v>
      </c>
      <c r="B19" s="249" t="s">
        <v>47</v>
      </c>
      <c r="C19" s="223" t="s">
        <v>35</v>
      </c>
      <c r="D19" s="226"/>
      <c r="E19" s="226">
        <v>500000</v>
      </c>
      <c r="F19" s="229">
        <v>500000</v>
      </c>
      <c r="G19" s="177">
        <v>0</v>
      </c>
      <c r="H19" s="177">
        <v>2000000</v>
      </c>
      <c r="I19" s="14" t="s">
        <v>48</v>
      </c>
      <c r="J19" s="56">
        <v>22</v>
      </c>
      <c r="K19" s="56">
        <v>103000000</v>
      </c>
      <c r="L19" s="14">
        <f>147264000-8800000</f>
        <v>138464000</v>
      </c>
      <c r="M19" s="14">
        <f>134833000-8800000</f>
        <v>126033000</v>
      </c>
      <c r="N19" s="14">
        <v>11188800</v>
      </c>
      <c r="O19" s="14">
        <v>0</v>
      </c>
      <c r="P19" s="14">
        <f>SUM(M19:O19)</f>
        <v>137221800</v>
      </c>
      <c r="Q19" s="14">
        <v>42164000</v>
      </c>
      <c r="R19" s="45">
        <f t="shared" ref="R19:R69" si="3">Q19/L19</f>
        <v>0.30451236422463601</v>
      </c>
      <c r="S19" s="14"/>
      <c r="T19" s="26">
        <f>P19-(P19*R19)+S19</f>
        <v>95436065.258839846</v>
      </c>
      <c r="U19" s="46">
        <f>(T19/K19)*100</f>
        <v>92.656374037708588</v>
      </c>
      <c r="V19" s="12">
        <f>U19*119000/95</f>
        <v>116064.30011039285</v>
      </c>
      <c r="W19" s="15">
        <f>V19*J19</f>
        <v>2553414.602428643</v>
      </c>
      <c r="X19" s="177">
        <f>W30+D19+F19+G19+H19+E19</f>
        <v>21345056.741708506</v>
      </c>
      <c r="Y19" s="246"/>
    </row>
    <row r="20" spans="1:25" ht="13" customHeight="1">
      <c r="A20" s="222"/>
      <c r="B20" s="247"/>
      <c r="C20" s="224"/>
      <c r="D20" s="227"/>
      <c r="E20" s="227"/>
      <c r="F20" s="230"/>
      <c r="G20" s="177"/>
      <c r="H20" s="177"/>
      <c r="I20" s="32" t="s">
        <v>49</v>
      </c>
      <c r="J20" s="26">
        <v>8</v>
      </c>
      <c r="K20" s="26">
        <v>32800000</v>
      </c>
      <c r="L20" s="14">
        <f>50044709.6774194-7400000</f>
        <v>42644709.677419402</v>
      </c>
      <c r="M20" s="14">
        <f>49706000-7400000</f>
        <v>42306000</v>
      </c>
      <c r="N20" s="14">
        <v>0</v>
      </c>
      <c r="O20" s="14">
        <v>0</v>
      </c>
      <c r="P20" s="14">
        <f t="shared" ref="P20:P29" si="4">SUM(M20:O20)</f>
        <v>42306000</v>
      </c>
      <c r="Q20" s="14">
        <v>11906000</v>
      </c>
      <c r="R20" s="45">
        <f t="shared" si="3"/>
        <v>0.279190551185867</v>
      </c>
      <c r="S20" s="14"/>
      <c r="T20" s="26">
        <f t="shared" ref="T20:T29" si="5">P20-(P20*R20)+S20</f>
        <v>30494564.541530713</v>
      </c>
      <c r="U20" s="46">
        <f t="shared" ref="U20:U29" si="6">(T20/K20)*100</f>
        <v>92.97123335832535</v>
      </c>
      <c r="V20" s="21">
        <f>U20*119000/95</f>
        <v>116458.70283832333</v>
      </c>
      <c r="W20" s="16">
        <f t="shared" ref="W20:W28" si="7">V20*J20</f>
        <v>931669.62270658661</v>
      </c>
      <c r="X20" s="177"/>
      <c r="Y20" s="246"/>
    </row>
    <row r="21" spans="1:25" ht="13" customHeight="1">
      <c r="A21" s="222"/>
      <c r="B21" s="247"/>
      <c r="C21" s="224"/>
      <c r="D21" s="227"/>
      <c r="E21" s="227"/>
      <c r="F21" s="230"/>
      <c r="G21" s="177"/>
      <c r="H21" s="177"/>
      <c r="I21" s="47" t="s">
        <v>50</v>
      </c>
      <c r="J21" s="26">
        <v>9</v>
      </c>
      <c r="K21" s="26">
        <v>37500000</v>
      </c>
      <c r="L21" s="14">
        <v>44536000</v>
      </c>
      <c r="M21" s="14">
        <v>44706400</v>
      </c>
      <c r="N21" s="14">
        <v>0</v>
      </c>
      <c r="O21" s="14">
        <v>0</v>
      </c>
      <c r="P21" s="14">
        <f t="shared" si="4"/>
        <v>44706400</v>
      </c>
      <c r="Q21" s="14">
        <v>10636000</v>
      </c>
      <c r="R21" s="45">
        <f t="shared" si="3"/>
        <v>0.23881803484821268</v>
      </c>
      <c r="S21" s="14"/>
      <c r="T21" s="26">
        <f t="shared" si="5"/>
        <v>34029705.406861864</v>
      </c>
      <c r="U21" s="46">
        <f t="shared" si="6"/>
        <v>90.745881084964978</v>
      </c>
      <c r="V21" s="21">
        <f>U21*110000/90</f>
        <v>110911.63243717942</v>
      </c>
      <c r="W21" s="16">
        <f>V21*J21</f>
        <v>998204.69193461479</v>
      </c>
      <c r="X21" s="177"/>
      <c r="Y21" s="246"/>
    </row>
    <row r="22" spans="1:25" ht="13" customHeight="1">
      <c r="A22" s="222"/>
      <c r="B22" s="247"/>
      <c r="C22" s="224"/>
      <c r="D22" s="227"/>
      <c r="E22" s="227"/>
      <c r="F22" s="230"/>
      <c r="G22" s="177"/>
      <c r="H22" s="177"/>
      <c r="I22" s="26" t="s">
        <v>51</v>
      </c>
      <c r="J22" s="14">
        <v>17</v>
      </c>
      <c r="K22" s="14">
        <v>42000000</v>
      </c>
      <c r="L22" s="14">
        <v>57141333.333333336</v>
      </c>
      <c r="M22" s="14">
        <v>50559666</v>
      </c>
      <c r="N22" s="14">
        <v>3011400</v>
      </c>
      <c r="O22" s="14">
        <v>0</v>
      </c>
      <c r="P22" s="14">
        <f t="shared" si="4"/>
        <v>53571066</v>
      </c>
      <c r="Q22" s="14">
        <v>16341333.333333334</v>
      </c>
      <c r="R22" s="45">
        <f t="shared" si="3"/>
        <v>0.28598095949225311</v>
      </c>
      <c r="S22" s="14">
        <v>1316129.0322580645</v>
      </c>
      <c r="T22" s="26">
        <f t="shared" si="5"/>
        <v>39566890.176555246</v>
      </c>
      <c r="U22" s="46">
        <f t="shared" si="6"/>
        <v>94.206881372750587</v>
      </c>
      <c r="V22" s="21">
        <f>U22*119000/95</f>
        <v>118006.514561656</v>
      </c>
      <c r="W22" s="16">
        <f t="shared" si="7"/>
        <v>2006110.747548152</v>
      </c>
      <c r="X22" s="177"/>
      <c r="Y22" s="246"/>
    </row>
    <row r="23" spans="1:25" ht="13" customHeight="1">
      <c r="A23" s="222"/>
      <c r="B23" s="247" t="str">
        <f>B19</f>
        <v>Nguyễn Thị Thương Huyền</v>
      </c>
      <c r="C23" s="224"/>
      <c r="D23" s="227"/>
      <c r="E23" s="227"/>
      <c r="F23" s="230"/>
      <c r="G23" s="177"/>
      <c r="H23" s="177"/>
      <c r="I23" s="23" t="s">
        <v>52</v>
      </c>
      <c r="J23" s="23">
        <v>9</v>
      </c>
      <c r="K23" s="23">
        <v>31500000</v>
      </c>
      <c r="L23" s="14">
        <v>45068000</v>
      </c>
      <c r="M23" s="14">
        <v>45068000</v>
      </c>
      <c r="N23" s="14">
        <v>0</v>
      </c>
      <c r="O23" s="14">
        <v>0</v>
      </c>
      <c r="P23" s="14">
        <f t="shared" si="4"/>
        <v>45068000</v>
      </c>
      <c r="Q23" s="14">
        <v>13568000</v>
      </c>
      <c r="R23" s="45">
        <f t="shared" si="3"/>
        <v>0.30105618176977011</v>
      </c>
      <c r="S23" s="14"/>
      <c r="T23" s="26">
        <f t="shared" si="5"/>
        <v>31500000</v>
      </c>
      <c r="U23" s="46">
        <f t="shared" si="6"/>
        <v>100</v>
      </c>
      <c r="V23" s="21">
        <f>U23*130000/100</f>
        <v>130000</v>
      </c>
      <c r="W23" s="16">
        <f t="shared" si="7"/>
        <v>1170000</v>
      </c>
      <c r="X23" s="178"/>
      <c r="Y23" s="246"/>
    </row>
    <row r="24" spans="1:25" ht="13" customHeight="1">
      <c r="A24" s="222"/>
      <c r="B24" s="247" t="str">
        <f>B23</f>
        <v>Nguyễn Thị Thương Huyền</v>
      </c>
      <c r="C24" s="224"/>
      <c r="D24" s="227"/>
      <c r="E24" s="227"/>
      <c r="F24" s="230"/>
      <c r="G24" s="177"/>
      <c r="H24" s="177"/>
      <c r="I24" s="26" t="s">
        <v>53</v>
      </c>
      <c r="J24" s="26">
        <v>10</v>
      </c>
      <c r="K24" s="26">
        <v>36200000</v>
      </c>
      <c r="L24" s="23">
        <v>53414000</v>
      </c>
      <c r="M24" s="23">
        <v>50434000</v>
      </c>
      <c r="N24" s="23">
        <v>2700000</v>
      </c>
      <c r="O24" s="23">
        <v>0</v>
      </c>
      <c r="P24" s="14">
        <f t="shared" si="4"/>
        <v>53134000</v>
      </c>
      <c r="Q24" s="23">
        <v>17714000</v>
      </c>
      <c r="R24" s="45">
        <f t="shared" si="3"/>
        <v>0.33163590070019094</v>
      </c>
      <c r="S24" s="23"/>
      <c r="T24" s="26">
        <f t="shared" si="5"/>
        <v>35512858.052196056</v>
      </c>
      <c r="U24" s="46">
        <f t="shared" si="6"/>
        <v>98.101817823746003</v>
      </c>
      <c r="V24" s="12">
        <f>U24*130000/100</f>
        <v>127532.36317086979</v>
      </c>
      <c r="W24" s="21">
        <f t="shared" si="7"/>
        <v>1275323.6317086979</v>
      </c>
      <c r="X24" s="178"/>
      <c r="Y24" s="246"/>
    </row>
    <row r="25" spans="1:25" ht="13" customHeight="1">
      <c r="A25" s="222"/>
      <c r="B25" s="247"/>
      <c r="C25" s="224"/>
      <c r="D25" s="227"/>
      <c r="E25" s="227"/>
      <c r="F25" s="230"/>
      <c r="G25" s="245"/>
      <c r="H25" s="245"/>
      <c r="I25" s="26" t="s">
        <v>54</v>
      </c>
      <c r="J25" s="26">
        <v>15</v>
      </c>
      <c r="K25" s="26">
        <v>61200000</v>
      </c>
      <c r="L25" s="25">
        <v>71024400</v>
      </c>
      <c r="M25" s="26">
        <v>57294400</v>
      </c>
      <c r="N25" s="26">
        <v>7925400</v>
      </c>
      <c r="O25" s="26">
        <v>0</v>
      </c>
      <c r="P25" s="14">
        <f t="shared" si="4"/>
        <v>65219800</v>
      </c>
      <c r="Q25" s="26">
        <v>17024400</v>
      </c>
      <c r="R25" s="45">
        <f t="shared" si="3"/>
        <v>0.23969790663490292</v>
      </c>
      <c r="S25" s="26"/>
      <c r="T25" s="26">
        <f t="shared" si="5"/>
        <v>49586750.46885296</v>
      </c>
      <c r="U25" s="46">
        <f t="shared" si="6"/>
        <v>81.024102073289157</v>
      </c>
      <c r="V25" s="12">
        <f>U25*85000/80</f>
        <v>86088.108452869725</v>
      </c>
      <c r="W25" s="21">
        <f t="shared" si="7"/>
        <v>1291321.6267930458</v>
      </c>
      <c r="X25" s="178"/>
      <c r="Y25" s="246"/>
    </row>
    <row r="26" spans="1:25" ht="13" customHeight="1">
      <c r="A26" s="222"/>
      <c r="B26" s="247"/>
      <c r="C26" s="224"/>
      <c r="D26" s="227"/>
      <c r="E26" s="227"/>
      <c r="F26" s="230"/>
      <c r="G26" s="245"/>
      <c r="H26" s="245"/>
      <c r="I26" s="26" t="s">
        <v>55</v>
      </c>
      <c r="J26" s="26">
        <v>16</v>
      </c>
      <c r="K26" s="26">
        <v>65300000</v>
      </c>
      <c r="L26" s="25">
        <v>83350000</v>
      </c>
      <c r="M26" s="26">
        <v>83402000</v>
      </c>
      <c r="N26" s="26">
        <v>0</v>
      </c>
      <c r="O26" s="26">
        <v>0</v>
      </c>
      <c r="P26" s="23">
        <f t="shared" si="4"/>
        <v>83402000</v>
      </c>
      <c r="Q26" s="26">
        <v>22650000</v>
      </c>
      <c r="R26" s="45">
        <f t="shared" si="3"/>
        <v>0.27174565086982605</v>
      </c>
      <c r="S26" s="26"/>
      <c r="T26" s="26">
        <f t="shared" si="5"/>
        <v>60737869.226154767</v>
      </c>
      <c r="U26" s="46">
        <f t="shared" si="6"/>
        <v>93.013582275887856</v>
      </c>
      <c r="V26" s="12">
        <f>U26*119000/95</f>
        <v>116511.75042979638</v>
      </c>
      <c r="W26" s="16">
        <f t="shared" si="7"/>
        <v>1864188.006876742</v>
      </c>
      <c r="X26" s="178"/>
      <c r="Y26" s="246"/>
    </row>
    <row r="27" spans="1:25" ht="13" customHeight="1">
      <c r="A27" s="264"/>
      <c r="B27" s="265"/>
      <c r="C27" s="258"/>
      <c r="D27" s="227"/>
      <c r="E27" s="227"/>
      <c r="F27" s="230"/>
      <c r="G27" s="245"/>
      <c r="H27" s="245"/>
      <c r="I27" s="26" t="s">
        <v>93</v>
      </c>
      <c r="J27" s="14">
        <v>10</v>
      </c>
      <c r="K27" s="14">
        <v>47000000</v>
      </c>
      <c r="L27" s="25">
        <f>66554000-4500000</f>
        <v>62054000</v>
      </c>
      <c r="M27" s="30">
        <f>66554000-4500000</f>
        <v>62054000</v>
      </c>
      <c r="N27" s="26">
        <v>0</v>
      </c>
      <c r="O27" s="26">
        <v>0</v>
      </c>
      <c r="P27" s="23">
        <f t="shared" si="4"/>
        <v>62054000</v>
      </c>
      <c r="Q27" s="26">
        <v>15754000</v>
      </c>
      <c r="R27" s="45">
        <f t="shared" si="3"/>
        <v>0.25387565668611212</v>
      </c>
      <c r="S27" s="26"/>
      <c r="T27" s="26">
        <f t="shared" si="5"/>
        <v>46300000</v>
      </c>
      <c r="U27" s="46">
        <f t="shared" si="6"/>
        <v>98.510638297872347</v>
      </c>
      <c r="V27" s="12">
        <f>U27*130000/100</f>
        <v>128063.82978723405</v>
      </c>
      <c r="W27" s="16">
        <f t="shared" si="7"/>
        <v>1280638.2978723405</v>
      </c>
      <c r="X27" s="178"/>
      <c r="Y27" s="246"/>
    </row>
    <row r="28" spans="1:25" ht="13" customHeight="1">
      <c r="A28" s="264"/>
      <c r="B28" s="265"/>
      <c r="C28" s="258"/>
      <c r="D28" s="227"/>
      <c r="E28" s="227"/>
      <c r="F28" s="230"/>
      <c r="G28" s="245"/>
      <c r="H28" s="245"/>
      <c r="I28" s="26" t="s">
        <v>197</v>
      </c>
      <c r="J28" s="26">
        <v>17</v>
      </c>
      <c r="K28" s="26">
        <v>76700000</v>
      </c>
      <c r="L28" s="25">
        <f>95417000+4500000</f>
        <v>99917000</v>
      </c>
      <c r="M28" s="30">
        <f>89086000+4500000</f>
        <v>93586000</v>
      </c>
      <c r="N28" s="26">
        <v>4500000</v>
      </c>
      <c r="O28" s="26">
        <v>770000</v>
      </c>
      <c r="P28" s="26">
        <f t="shared" si="4"/>
        <v>98856000</v>
      </c>
      <c r="Q28" s="26">
        <v>25517000</v>
      </c>
      <c r="R28" s="45">
        <f t="shared" si="3"/>
        <v>0.2553819670326371</v>
      </c>
      <c r="S28" s="26"/>
      <c r="T28" s="26">
        <f t="shared" si="5"/>
        <v>73609960.267021626</v>
      </c>
      <c r="U28" s="46">
        <f t="shared" si="6"/>
        <v>95.971265015673566</v>
      </c>
      <c r="V28" s="12">
        <f>U28*120000/95</f>
        <v>121226.86107242976</v>
      </c>
      <c r="W28" s="16">
        <f t="shared" si="7"/>
        <v>2060856.6382313059</v>
      </c>
      <c r="X28" s="178"/>
      <c r="Y28" s="246"/>
    </row>
    <row r="29" spans="1:25" ht="13" customHeight="1">
      <c r="A29" s="264"/>
      <c r="B29" s="265"/>
      <c r="C29" s="258"/>
      <c r="D29" s="227"/>
      <c r="E29" s="227"/>
      <c r="F29" s="230"/>
      <c r="G29" s="245"/>
      <c r="H29" s="245"/>
      <c r="I29" s="30" t="s">
        <v>209</v>
      </c>
      <c r="J29" s="30">
        <v>26</v>
      </c>
      <c r="K29" s="30">
        <v>104700000</v>
      </c>
      <c r="L29" s="29">
        <v>133910700</v>
      </c>
      <c r="M29" s="30">
        <v>130852700</v>
      </c>
      <c r="N29" s="30">
        <v>900000</v>
      </c>
      <c r="O29" s="30">
        <v>1446200</v>
      </c>
      <c r="P29" s="26">
        <f t="shared" si="4"/>
        <v>133198900</v>
      </c>
      <c r="Q29" s="84">
        <v>37410700</v>
      </c>
      <c r="R29" s="45">
        <f t="shared" si="3"/>
        <v>0.27937050586696954</v>
      </c>
      <c r="S29" s="26"/>
      <c r="T29" s="26">
        <f t="shared" si="5"/>
        <v>95987055.926076114</v>
      </c>
      <c r="U29" s="46">
        <f t="shared" si="6"/>
        <v>91.678181400263711</v>
      </c>
      <c r="V29" s="12">
        <f>U29*110000/90</f>
        <v>112051.11060032232</v>
      </c>
      <c r="W29" s="16">
        <f>V29*J29</f>
        <v>2913328.8756083804</v>
      </c>
      <c r="X29" s="178"/>
      <c r="Y29" s="246"/>
    </row>
    <row r="30" spans="1:25" ht="13" customHeight="1">
      <c r="A30" s="179"/>
      <c r="B30" s="180" t="e">
        <f>#REF!</f>
        <v>#REF!</v>
      </c>
      <c r="C30" s="225"/>
      <c r="D30" s="228"/>
      <c r="E30" s="228"/>
      <c r="F30" s="231"/>
      <c r="G30" s="245"/>
      <c r="H30" s="245"/>
      <c r="I30" s="127">
        <v>11</v>
      </c>
      <c r="J30" s="128">
        <f>SUM(J19:J29)</f>
        <v>159</v>
      </c>
      <c r="K30" s="128">
        <f>SUM(K19:K29)</f>
        <v>637900000</v>
      </c>
      <c r="L30" s="128">
        <f>SUM(L19:L29)</f>
        <v>831524143.01075268</v>
      </c>
      <c r="M30" s="128">
        <f>SUM(M19:M29)</f>
        <v>786296166</v>
      </c>
      <c r="N30" s="128">
        <f t="shared" ref="N30" si="8">SUM(N19:N29)</f>
        <v>30225600</v>
      </c>
      <c r="O30" s="128">
        <f>SUM(O19:O29)</f>
        <v>2216200</v>
      </c>
      <c r="P30" s="128">
        <f>SUM(P19:P29)</f>
        <v>818737966</v>
      </c>
      <c r="Q30" s="60">
        <f>SUM(Q19:Q29)</f>
        <v>230685433.33333331</v>
      </c>
      <c r="R30" s="61"/>
      <c r="S30" s="60">
        <f>SUM(S19:S29)</f>
        <v>1316129.0322580645</v>
      </c>
      <c r="T30" s="129">
        <f>SUM(T19:T29)</f>
        <v>592761719.32408905</v>
      </c>
      <c r="U30" s="55">
        <f>(T30/K30)*100</f>
        <v>92.923925274194858</v>
      </c>
      <c r="V30" s="62"/>
      <c r="W30" s="62">
        <f>SUM(W19:W29)</f>
        <v>18345056.741708506</v>
      </c>
      <c r="X30" s="178"/>
      <c r="Y30" s="246"/>
    </row>
    <row r="31" spans="1:25" ht="13" customHeight="1">
      <c r="A31" s="222" t="s">
        <v>46</v>
      </c>
      <c r="B31" s="247" t="s">
        <v>57</v>
      </c>
      <c r="C31" s="223" t="s">
        <v>35</v>
      </c>
      <c r="D31" s="226">
        <v>0</v>
      </c>
      <c r="E31" s="226">
        <v>500000</v>
      </c>
      <c r="F31" s="242">
        <f>500000</f>
        <v>500000</v>
      </c>
      <c r="G31" s="181">
        <v>0</v>
      </c>
      <c r="H31" s="181"/>
      <c r="I31" s="36" t="s">
        <v>129</v>
      </c>
      <c r="J31" s="26">
        <v>12</v>
      </c>
      <c r="K31" s="26">
        <v>48900000</v>
      </c>
      <c r="L31" s="56">
        <v>61150000</v>
      </c>
      <c r="M31" s="56">
        <v>60550000</v>
      </c>
      <c r="N31" s="37">
        <v>540000</v>
      </c>
      <c r="O31" s="37">
        <v>0</v>
      </c>
      <c r="P31" s="26">
        <f t="shared" ref="P31:P32" si="9">SUM(M31:O31)</f>
        <v>61090000</v>
      </c>
      <c r="Q31" s="56">
        <v>16450000</v>
      </c>
      <c r="R31" s="65">
        <f t="shared" ref="R31:R32" si="10">Q31/L31</f>
        <v>0.26901062959934585</v>
      </c>
      <c r="S31" s="56"/>
      <c r="T31" s="26">
        <f t="shared" ref="T31:T32" si="11">P31-(P31*R31)+S31</f>
        <v>44656140.637775958</v>
      </c>
      <c r="U31" s="67">
        <f t="shared" ref="U31:U32" si="12">(T31/K31)*100</f>
        <v>91.321350997496836</v>
      </c>
      <c r="V31" s="12">
        <f>U31*110000/90</f>
        <v>111614.98455249613</v>
      </c>
      <c r="W31" s="21">
        <f t="shared" ref="W31:W44" si="13">V31*J31</f>
        <v>1339379.8146299536</v>
      </c>
      <c r="X31" s="181">
        <f>W45+D31+F31+H34+G31+E31</f>
        <v>23564760.90178977</v>
      </c>
      <c r="Y31" s="57"/>
    </row>
    <row r="32" spans="1:25" ht="13" customHeight="1">
      <c r="A32" s="222"/>
      <c r="B32" s="247"/>
      <c r="C32" s="224"/>
      <c r="D32" s="227"/>
      <c r="E32" s="227"/>
      <c r="F32" s="243"/>
      <c r="G32" s="244"/>
      <c r="H32" s="244"/>
      <c r="I32" s="130" t="s">
        <v>116</v>
      </c>
      <c r="J32" s="14">
        <v>11</v>
      </c>
      <c r="K32" s="14">
        <v>43800000</v>
      </c>
      <c r="L32" s="56">
        <f>64460000-3700000</f>
        <v>60760000</v>
      </c>
      <c r="M32" s="56">
        <f>63968000-3700000</f>
        <v>60268000</v>
      </c>
      <c r="N32" s="37">
        <v>495000</v>
      </c>
      <c r="O32" s="37">
        <v>0</v>
      </c>
      <c r="P32" s="44">
        <f t="shared" si="9"/>
        <v>60763000</v>
      </c>
      <c r="Q32" s="56">
        <v>20452000</v>
      </c>
      <c r="R32" s="65">
        <f t="shared" si="10"/>
        <v>0.33660302830809741</v>
      </c>
      <c r="S32" s="66"/>
      <c r="T32" s="66">
        <f t="shared" si="11"/>
        <v>40309990.190915078</v>
      </c>
      <c r="U32" s="67">
        <f t="shared" si="12"/>
        <v>92.03194107514858</v>
      </c>
      <c r="V32" s="12">
        <f>U32*110000/90</f>
        <v>112483.48353629271</v>
      </c>
      <c r="W32" s="21">
        <f t="shared" si="13"/>
        <v>1237318.3188992199</v>
      </c>
      <c r="X32" s="244"/>
      <c r="Y32" s="57"/>
    </row>
    <row r="33" spans="1:25" ht="13" customHeight="1">
      <c r="A33" s="222"/>
      <c r="B33" s="247"/>
      <c r="C33" s="224"/>
      <c r="D33" s="227"/>
      <c r="E33" s="227"/>
      <c r="F33" s="243"/>
      <c r="G33" s="244"/>
      <c r="H33" s="244"/>
      <c r="I33" s="14" t="s">
        <v>58</v>
      </c>
      <c r="J33" s="14">
        <v>18</v>
      </c>
      <c r="K33" s="14">
        <v>84700000</v>
      </c>
      <c r="L33" s="14">
        <v>116650000</v>
      </c>
      <c r="M33" s="123">
        <v>105256000</v>
      </c>
      <c r="N33" s="66">
        <v>3801600</v>
      </c>
      <c r="O33" s="66">
        <v>0</v>
      </c>
      <c r="P33" s="44">
        <f>SUM(M33:O33)</f>
        <v>109057600</v>
      </c>
      <c r="Q33" s="66">
        <v>35330000</v>
      </c>
      <c r="R33" s="65">
        <f>Q33/L33</f>
        <v>0.30287183883411917</v>
      </c>
      <c r="S33" s="66">
        <v>1306451.6129032257</v>
      </c>
      <c r="T33" s="66">
        <f>P33-(P33*R33)+S33</f>
        <v>77333575.762067392</v>
      </c>
      <c r="U33" s="67">
        <f>(T33/K33)*100</f>
        <v>91.302922977647455</v>
      </c>
      <c r="V33" s="12">
        <f>U33*110000/90</f>
        <v>111592.46141712466</v>
      </c>
      <c r="W33" s="21">
        <f t="shared" si="13"/>
        <v>2008664.3055082439</v>
      </c>
      <c r="X33" s="244"/>
      <c r="Y33" s="57"/>
    </row>
    <row r="34" spans="1:25" ht="13" customHeight="1">
      <c r="A34" s="222"/>
      <c r="B34" s="247"/>
      <c r="C34" s="224"/>
      <c r="D34" s="227"/>
      <c r="E34" s="227"/>
      <c r="F34" s="243"/>
      <c r="G34" s="244"/>
      <c r="H34" s="244"/>
      <c r="I34" s="66" t="s">
        <v>59</v>
      </c>
      <c r="J34" s="14">
        <f>7+1</f>
        <v>8</v>
      </c>
      <c r="K34" s="14">
        <f>27000000+8500000</f>
        <v>35500000</v>
      </c>
      <c r="L34" s="14">
        <v>40810000</v>
      </c>
      <c r="M34" s="64">
        <v>36266000</v>
      </c>
      <c r="N34" s="14">
        <v>0</v>
      </c>
      <c r="O34" s="14">
        <v>3099600</v>
      </c>
      <c r="P34" s="14">
        <f>SUM(M34:O34)</f>
        <v>39365600</v>
      </c>
      <c r="Q34" s="14">
        <v>8394000</v>
      </c>
      <c r="R34" s="65">
        <f>Q34/L34</f>
        <v>0.20568488115657926</v>
      </c>
      <c r="S34" s="14"/>
      <c r="T34" s="66">
        <f>P34-(P34*R34)+S34</f>
        <v>31268691.242342561</v>
      </c>
      <c r="U34" s="67">
        <f>(T34/K34)*100</f>
        <v>88.080820400964967</v>
      </c>
      <c r="V34" s="12">
        <f>U34*109000/90</f>
        <v>106675.66026339091</v>
      </c>
      <c r="W34" s="21">
        <f t="shared" si="13"/>
        <v>853405.28210712725</v>
      </c>
      <c r="X34" s="244"/>
      <c r="Y34" s="246"/>
    </row>
    <row r="35" spans="1:25" ht="13" customHeight="1">
      <c r="A35" s="222"/>
      <c r="B35" s="247"/>
      <c r="C35" s="224"/>
      <c r="D35" s="227"/>
      <c r="E35" s="227"/>
      <c r="F35" s="243"/>
      <c r="G35" s="244"/>
      <c r="H35" s="244"/>
      <c r="I35" s="14" t="s">
        <v>60</v>
      </c>
      <c r="J35" s="14">
        <v>14</v>
      </c>
      <c r="K35" s="14">
        <v>54800000</v>
      </c>
      <c r="L35" s="14">
        <v>63625000</v>
      </c>
      <c r="M35" s="64">
        <v>49232000</v>
      </c>
      <c r="N35" s="14">
        <v>0</v>
      </c>
      <c r="O35" s="14">
        <v>0</v>
      </c>
      <c r="P35" s="14">
        <f t="shared" ref="P35:P44" si="14">SUM(M35:O35)</f>
        <v>49232000</v>
      </c>
      <c r="Q35" s="14">
        <v>16025000</v>
      </c>
      <c r="R35" s="45">
        <f t="shared" si="3"/>
        <v>0.25186640471512772</v>
      </c>
      <c r="S35" s="14">
        <v>5806452</v>
      </c>
      <c r="T35" s="26">
        <f t="shared" ref="T35:T83" si="15">P35-(P35*R35)+S35</f>
        <v>42638565.16306483</v>
      </c>
      <c r="U35" s="67">
        <f t="shared" ref="U35:U43" si="16">(T35/K35)*100</f>
        <v>77.807600662527065</v>
      </c>
      <c r="V35" s="12">
        <f>U35*84000/80</f>
        <v>81697.980695653416</v>
      </c>
      <c r="W35" s="21">
        <f t="shared" si="13"/>
        <v>1143771.7297391477</v>
      </c>
      <c r="X35" s="244"/>
      <c r="Y35" s="246"/>
    </row>
    <row r="36" spans="1:25" ht="13" customHeight="1">
      <c r="A36" s="222"/>
      <c r="B36" s="247"/>
      <c r="C36" s="224"/>
      <c r="D36" s="227"/>
      <c r="E36" s="227"/>
      <c r="F36" s="243"/>
      <c r="G36" s="244"/>
      <c r="H36" s="244"/>
      <c r="I36" s="14" t="s">
        <v>61</v>
      </c>
      <c r="J36" s="14">
        <v>13</v>
      </c>
      <c r="K36" s="14">
        <v>49600000</v>
      </c>
      <c r="L36" s="14">
        <v>69542000</v>
      </c>
      <c r="M36" s="64">
        <v>69433000</v>
      </c>
      <c r="N36" s="14">
        <v>0</v>
      </c>
      <c r="O36" s="14">
        <v>0</v>
      </c>
      <c r="P36" s="14">
        <f t="shared" si="14"/>
        <v>69433000</v>
      </c>
      <c r="Q36" s="14">
        <v>22142000</v>
      </c>
      <c r="R36" s="45">
        <f t="shared" si="3"/>
        <v>0.31839751517068821</v>
      </c>
      <c r="S36" s="14"/>
      <c r="T36" s="26">
        <f t="shared" si="15"/>
        <v>47325705.329153605</v>
      </c>
      <c r="U36" s="67">
        <f t="shared" si="16"/>
        <v>95.414728486196793</v>
      </c>
      <c r="V36" s="12">
        <f>U36*120000/95</f>
        <v>120523.86756151174</v>
      </c>
      <c r="W36" s="21">
        <f t="shared" si="13"/>
        <v>1566810.2782996525</v>
      </c>
      <c r="X36" s="244"/>
      <c r="Y36" s="246"/>
    </row>
    <row r="37" spans="1:25" ht="13" customHeight="1">
      <c r="A37" s="222"/>
      <c r="B37" s="247"/>
      <c r="C37" s="224"/>
      <c r="D37" s="227"/>
      <c r="E37" s="227"/>
      <c r="F37" s="243"/>
      <c r="G37" s="244"/>
      <c r="H37" s="244"/>
      <c r="I37" s="14" t="s">
        <v>62</v>
      </c>
      <c r="J37" s="14">
        <v>13</v>
      </c>
      <c r="K37" s="14">
        <v>46800000</v>
      </c>
      <c r="L37" s="14">
        <v>66367000</v>
      </c>
      <c r="M37" s="64">
        <v>66367000</v>
      </c>
      <c r="N37" s="14">
        <v>0</v>
      </c>
      <c r="O37" s="14">
        <v>0</v>
      </c>
      <c r="P37" s="14">
        <f t="shared" si="14"/>
        <v>66367000</v>
      </c>
      <c r="Q37" s="14">
        <v>21667000</v>
      </c>
      <c r="R37" s="45">
        <f t="shared" si="3"/>
        <v>0.32647249385990024</v>
      </c>
      <c r="S37" s="14"/>
      <c r="T37" s="26">
        <f t="shared" si="15"/>
        <v>44700000</v>
      </c>
      <c r="U37" s="67">
        <f t="shared" si="16"/>
        <v>95.512820512820511</v>
      </c>
      <c r="V37" s="12">
        <f>U37*120000/95</f>
        <v>120647.77327935223</v>
      </c>
      <c r="W37" s="21">
        <f t="shared" si="13"/>
        <v>1568421.0526315789</v>
      </c>
      <c r="X37" s="244"/>
      <c r="Y37" s="246"/>
    </row>
    <row r="38" spans="1:25" ht="13" customHeight="1">
      <c r="A38" s="222"/>
      <c r="B38" s="247"/>
      <c r="C38" s="224"/>
      <c r="D38" s="227"/>
      <c r="E38" s="227"/>
      <c r="F38" s="243"/>
      <c r="G38" s="244"/>
      <c r="H38" s="244"/>
      <c r="I38" s="14" t="s">
        <v>63</v>
      </c>
      <c r="J38" s="14">
        <v>10</v>
      </c>
      <c r="K38" s="14">
        <v>30000000</v>
      </c>
      <c r="L38" s="14">
        <v>37908000</v>
      </c>
      <c r="M38" s="64">
        <v>37908400</v>
      </c>
      <c r="N38" s="14">
        <v>0</v>
      </c>
      <c r="O38" s="14">
        <v>0</v>
      </c>
      <c r="P38" s="23">
        <f t="shared" si="14"/>
        <v>37908400</v>
      </c>
      <c r="Q38" s="14">
        <v>9608000</v>
      </c>
      <c r="R38" s="45">
        <f t="shared" si="3"/>
        <v>0.2534557349372164</v>
      </c>
      <c r="S38" s="14"/>
      <c r="T38" s="26">
        <f>P38-(P38*R38)+S38</f>
        <v>28300298.617706023</v>
      </c>
      <c r="U38" s="67">
        <f t="shared" si="16"/>
        <v>94.334328725686746</v>
      </c>
      <c r="V38" s="12">
        <f>U38*119000/95</f>
        <v>118166.15914059708</v>
      </c>
      <c r="W38" s="21">
        <f t="shared" si="13"/>
        <v>1181661.5914059707</v>
      </c>
      <c r="X38" s="244"/>
      <c r="Y38" s="246"/>
    </row>
    <row r="39" spans="1:25" ht="13" customHeight="1">
      <c r="A39" s="222"/>
      <c r="B39" s="247"/>
      <c r="C39" s="224"/>
      <c r="D39" s="227"/>
      <c r="E39" s="227"/>
      <c r="F39" s="243"/>
      <c r="G39" s="244"/>
      <c r="H39" s="244"/>
      <c r="I39" s="23" t="s">
        <v>64</v>
      </c>
      <c r="J39" s="23">
        <f>18+1</f>
        <v>19</v>
      </c>
      <c r="K39" s="23">
        <v>87300000</v>
      </c>
      <c r="L39" s="14">
        <f>130318000-8800000</f>
        <v>121518000</v>
      </c>
      <c r="M39" s="64">
        <f>115361000-8800000</f>
        <v>106561000</v>
      </c>
      <c r="N39" s="14">
        <v>13528800</v>
      </c>
      <c r="O39" s="44">
        <v>0</v>
      </c>
      <c r="P39" s="26">
        <f>SUM(M39:O39)</f>
        <v>120089800</v>
      </c>
      <c r="Q39" s="14">
        <v>34718000</v>
      </c>
      <c r="R39" s="45">
        <f t="shared" si="3"/>
        <v>0.28570252966638687</v>
      </c>
      <c r="S39" s="14"/>
      <c r="T39" s="26">
        <f t="shared" si="15"/>
        <v>85779840.35286954</v>
      </c>
      <c r="U39" s="67">
        <f t="shared" si="16"/>
        <v>98.258694562278976</v>
      </c>
      <c r="V39" s="13">
        <f>U39*130000/100</f>
        <v>127736.30293096267</v>
      </c>
      <c r="W39" s="21">
        <f t="shared" si="13"/>
        <v>2426989.7556882906</v>
      </c>
      <c r="X39" s="244"/>
      <c r="Y39" s="246"/>
    </row>
    <row r="40" spans="1:25" ht="14">
      <c r="A40" s="222"/>
      <c r="B40" s="247"/>
      <c r="C40" s="224"/>
      <c r="D40" s="227"/>
      <c r="E40" s="227"/>
      <c r="F40" s="243"/>
      <c r="G40" s="244"/>
      <c r="H40" s="244"/>
      <c r="I40" s="26" t="s">
        <v>65</v>
      </c>
      <c r="J40" s="26">
        <v>15</v>
      </c>
      <c r="K40" s="26">
        <v>57400000</v>
      </c>
      <c r="L40" s="23">
        <f>79105200-3400000</f>
        <v>75705200</v>
      </c>
      <c r="M40" s="64">
        <f>68554000-3400000</f>
        <v>65154000</v>
      </c>
      <c r="N40" s="23">
        <v>9504000</v>
      </c>
      <c r="O40" s="32">
        <v>0</v>
      </c>
      <c r="P40" s="26">
        <f t="shared" si="14"/>
        <v>74658000</v>
      </c>
      <c r="Q40" s="23">
        <v>24305200</v>
      </c>
      <c r="R40" s="45">
        <f t="shared" si="3"/>
        <v>0.32105060154388337</v>
      </c>
      <c r="S40" s="23"/>
      <c r="T40" s="26">
        <f t="shared" si="15"/>
        <v>50689004.189936757</v>
      </c>
      <c r="U40" s="67">
        <f t="shared" si="16"/>
        <v>88.308369668879365</v>
      </c>
      <c r="V40" s="13">
        <f>U40*109000/90</f>
        <v>106951.24771008723</v>
      </c>
      <c r="W40" s="21">
        <f t="shared" si="13"/>
        <v>1604268.7156513084</v>
      </c>
      <c r="X40" s="244"/>
      <c r="Y40" s="246"/>
    </row>
    <row r="41" spans="1:25" ht="14">
      <c r="A41" s="222"/>
      <c r="B41" s="247"/>
      <c r="C41" s="224"/>
      <c r="D41" s="227"/>
      <c r="E41" s="227"/>
      <c r="F41" s="243"/>
      <c r="G41" s="244"/>
      <c r="H41" s="244"/>
      <c r="I41" s="66" t="s">
        <v>66</v>
      </c>
      <c r="J41" s="26">
        <v>9</v>
      </c>
      <c r="K41" s="26">
        <v>27100000</v>
      </c>
      <c r="L41" s="26">
        <v>37384000</v>
      </c>
      <c r="M41" s="64">
        <v>33976000</v>
      </c>
      <c r="N41" s="26">
        <v>0</v>
      </c>
      <c r="O41" s="47">
        <v>0</v>
      </c>
      <c r="P41" s="26">
        <f t="shared" si="14"/>
        <v>33976000</v>
      </c>
      <c r="Q41" s="26">
        <v>11684000</v>
      </c>
      <c r="R41" s="45">
        <f>Q41/L41</f>
        <v>0.31254012411726945</v>
      </c>
      <c r="S41" s="26">
        <v>1677419.3548387098</v>
      </c>
      <c r="T41" s="26">
        <f t="shared" si="15"/>
        <v>25034556.097830366</v>
      </c>
      <c r="U41" s="67">
        <f t="shared" si="16"/>
        <v>92.378435785351911</v>
      </c>
      <c r="V41" s="16">
        <f>U41*110000/90</f>
        <v>112906.97707098567</v>
      </c>
      <c r="W41" s="21">
        <f t="shared" si="13"/>
        <v>1016162.7936388711</v>
      </c>
      <c r="X41" s="244"/>
      <c r="Y41" s="246"/>
    </row>
    <row r="42" spans="1:25" ht="14">
      <c r="A42" s="222"/>
      <c r="B42" s="247"/>
      <c r="C42" s="224"/>
      <c r="D42" s="227"/>
      <c r="E42" s="227"/>
      <c r="F42" s="243"/>
      <c r="G42" s="244"/>
      <c r="H42" s="244"/>
      <c r="I42" s="66" t="s">
        <v>67</v>
      </c>
      <c r="J42" s="26">
        <v>18</v>
      </c>
      <c r="K42" s="26">
        <f>4500000*18</f>
        <v>81000000</v>
      </c>
      <c r="L42" s="26">
        <f>116078000-4500000</f>
        <v>111578000</v>
      </c>
      <c r="M42" s="64">
        <f>113798000-4500000</f>
        <v>109298000</v>
      </c>
      <c r="N42" s="26">
        <v>2002500</v>
      </c>
      <c r="O42" s="26">
        <v>0</v>
      </c>
      <c r="P42" s="26">
        <f t="shared" si="14"/>
        <v>111300500</v>
      </c>
      <c r="Q42" s="26">
        <v>32778000</v>
      </c>
      <c r="R42" s="45">
        <f t="shared" si="3"/>
        <v>0.29376758859273333</v>
      </c>
      <c r="S42" s="26"/>
      <c r="T42" s="26">
        <f t="shared" si="15"/>
        <v>78604020.50583449</v>
      </c>
      <c r="U42" s="67">
        <f t="shared" si="16"/>
        <v>97.042000624487031</v>
      </c>
      <c r="V42" s="16">
        <f>U42*120000/95</f>
        <v>122579.36920987836</v>
      </c>
      <c r="W42" s="21">
        <f t="shared" si="13"/>
        <v>2206428.6457778104</v>
      </c>
      <c r="X42" s="244"/>
      <c r="Y42" s="246"/>
    </row>
    <row r="43" spans="1:25" ht="14">
      <c r="A43" s="264"/>
      <c r="B43" s="265"/>
      <c r="C43" s="258"/>
      <c r="D43" s="227"/>
      <c r="E43" s="227"/>
      <c r="F43" s="243"/>
      <c r="G43" s="244"/>
      <c r="H43" s="244"/>
      <c r="I43" s="66" t="s">
        <v>95</v>
      </c>
      <c r="J43" s="26">
        <v>22</v>
      </c>
      <c r="K43" s="26">
        <v>102700000</v>
      </c>
      <c r="L43" s="26">
        <v>144074000</v>
      </c>
      <c r="M43" s="126">
        <v>130391000</v>
      </c>
      <c r="N43" s="26">
        <v>4604400</v>
      </c>
      <c r="O43" s="26">
        <v>0</v>
      </c>
      <c r="P43" s="26">
        <f t="shared" si="14"/>
        <v>134995400</v>
      </c>
      <c r="Q43" s="26">
        <v>45974000</v>
      </c>
      <c r="R43" s="45">
        <f t="shared" si="3"/>
        <v>0.31909990699224011</v>
      </c>
      <c r="S43" s="26">
        <v>1038709.6774193548</v>
      </c>
      <c r="T43" s="26">
        <f t="shared" si="15"/>
        <v>92957090.093039095</v>
      </c>
      <c r="U43" s="67">
        <f t="shared" si="16"/>
        <v>90.513232807243512</v>
      </c>
      <c r="V43" s="16">
        <f>U43*110000/90</f>
        <v>110627.28454218652</v>
      </c>
      <c r="W43" s="21">
        <f t="shared" si="13"/>
        <v>2433800.2599281035</v>
      </c>
      <c r="X43" s="244"/>
      <c r="Y43" s="246"/>
    </row>
    <row r="44" spans="1:25" ht="14">
      <c r="A44" s="264"/>
      <c r="B44" s="265"/>
      <c r="C44" s="258"/>
      <c r="D44" s="227"/>
      <c r="E44" s="227"/>
      <c r="F44" s="243"/>
      <c r="G44" s="244"/>
      <c r="H44" s="244"/>
      <c r="I44" s="66" t="s">
        <v>199</v>
      </c>
      <c r="J44" s="26">
        <v>17</v>
      </c>
      <c r="K44" s="26">
        <v>77500000</v>
      </c>
      <c r="L44" s="26">
        <v>90927000</v>
      </c>
      <c r="M44" s="136">
        <v>85413000</v>
      </c>
      <c r="N44" s="26">
        <v>0</v>
      </c>
      <c r="O44" s="26">
        <v>0</v>
      </c>
      <c r="P44" s="26">
        <f t="shared" si="14"/>
        <v>85413000</v>
      </c>
      <c r="Q44" s="26">
        <v>23127000</v>
      </c>
      <c r="R44" s="45">
        <f>Q44/L44</f>
        <v>0.25434689366194857</v>
      </c>
      <c r="S44" s="26">
        <v>8287096.7741935486</v>
      </c>
      <c r="T44" s="26">
        <f>P44-(P44*R44)+S44</f>
        <v>71975565.545845538</v>
      </c>
      <c r="U44" s="67">
        <f>(T44/K44)*100</f>
        <v>92.87169747851037</v>
      </c>
      <c r="V44" s="16">
        <f>U44*119000/95</f>
        <v>116334.02105202879</v>
      </c>
      <c r="W44" s="21">
        <f t="shared" si="13"/>
        <v>1977678.3578844895</v>
      </c>
      <c r="X44" s="244"/>
      <c r="Y44" s="246"/>
    </row>
    <row r="45" spans="1:25" ht="13" customHeight="1">
      <c r="A45" s="179"/>
      <c r="B45" s="274"/>
      <c r="C45" s="258"/>
      <c r="D45" s="227"/>
      <c r="E45" s="227"/>
      <c r="F45" s="248"/>
      <c r="G45" s="245"/>
      <c r="H45" s="245"/>
      <c r="I45" s="69">
        <v>14</v>
      </c>
      <c r="J45" s="52">
        <f>SUM(J31:J44)</f>
        <v>199</v>
      </c>
      <c r="K45" s="52">
        <f t="shared" ref="K45:P45" si="17">SUM(K31:K44)</f>
        <v>827100000</v>
      </c>
      <c r="L45" s="52">
        <f>SUM(L31:L44)</f>
        <v>1097998200</v>
      </c>
      <c r="M45" s="52">
        <f>SUM(M31:M44)</f>
        <v>1016073400</v>
      </c>
      <c r="N45" s="52">
        <f>SUM(N31:N44)</f>
        <v>34476300</v>
      </c>
      <c r="O45" s="52">
        <f t="shared" si="17"/>
        <v>3099600</v>
      </c>
      <c r="P45" s="52">
        <f t="shared" si="17"/>
        <v>1053649300</v>
      </c>
      <c r="Q45" s="52">
        <f>SUM(Q31:Q44)</f>
        <v>322654200</v>
      </c>
      <c r="R45" s="61"/>
      <c r="S45" s="52">
        <f>SUM(S31:S44)</f>
        <v>18116129.419354841</v>
      </c>
      <c r="T45" s="52">
        <f>SUM(T31:T44)</f>
        <v>761573043.72838116</v>
      </c>
      <c r="U45" s="55">
        <f>(T45/K45)*100</f>
        <v>92.077504984691231</v>
      </c>
      <c r="V45" s="70"/>
      <c r="W45" s="62">
        <f>SUM(W31:W44)</f>
        <v>22564760.90178977</v>
      </c>
      <c r="X45" s="245"/>
      <c r="Y45" s="246"/>
    </row>
    <row r="46" spans="1:25" ht="13" customHeight="1">
      <c r="A46" s="250" t="s">
        <v>56</v>
      </c>
      <c r="B46" s="180" t="s">
        <v>73</v>
      </c>
      <c r="C46" s="178" t="s">
        <v>35</v>
      </c>
      <c r="D46" s="177">
        <v>0</v>
      </c>
      <c r="E46" s="177">
        <v>500000</v>
      </c>
      <c r="F46" s="275">
        <v>500000</v>
      </c>
      <c r="G46" s="181">
        <v>0</v>
      </c>
      <c r="H46" s="181"/>
      <c r="I46" s="26" t="s">
        <v>36</v>
      </c>
      <c r="J46" s="116">
        <v>19</v>
      </c>
      <c r="K46" s="116">
        <v>69600000</v>
      </c>
      <c r="L46" s="72">
        <v>95928000</v>
      </c>
      <c r="M46" s="72">
        <v>90296000</v>
      </c>
      <c r="N46" s="72">
        <v>5068800</v>
      </c>
      <c r="O46" s="72">
        <v>0</v>
      </c>
      <c r="P46" s="26">
        <f>SUM(M46:O46)</f>
        <v>95364800</v>
      </c>
      <c r="Q46" s="121">
        <v>30928000</v>
      </c>
      <c r="R46" s="45">
        <f>Q46/L46</f>
        <v>0.32240847302143272</v>
      </c>
      <c r="S46" s="79"/>
      <c r="T46" s="26">
        <f>P46-(P46*R46)+S46</f>
        <v>64618380.452005669</v>
      </c>
      <c r="U46" s="46">
        <f>(T46/K46)*100</f>
        <v>92.842500649433433</v>
      </c>
      <c r="V46" s="16">
        <f>U46*119000/95</f>
        <v>116297.44818192188</v>
      </c>
      <c r="W46" s="16">
        <f>V46*J46</f>
        <v>2209651.5154565158</v>
      </c>
      <c r="X46" s="181">
        <f>W58+D46+F46+G46+E46</f>
        <v>22901529.399206299</v>
      </c>
      <c r="Y46" s="57"/>
    </row>
    <row r="47" spans="1:25" ht="13" customHeight="1">
      <c r="A47" s="251"/>
      <c r="B47" s="180"/>
      <c r="C47" s="178"/>
      <c r="D47" s="177"/>
      <c r="E47" s="177"/>
      <c r="F47" s="276"/>
      <c r="G47" s="244"/>
      <c r="H47" s="244"/>
      <c r="I47" s="26" t="s">
        <v>37</v>
      </c>
      <c r="J47" s="116">
        <v>19</v>
      </c>
      <c r="K47" s="116">
        <v>77000000</v>
      </c>
      <c r="L47" s="72">
        <v>108968000</v>
      </c>
      <c r="M47" s="72">
        <v>93778000</v>
      </c>
      <c r="N47" s="72">
        <v>0</v>
      </c>
      <c r="O47" s="72">
        <v>0</v>
      </c>
      <c r="P47" s="26">
        <f t="shared" ref="P47:P57" si="18">SUM(M47:O47)</f>
        <v>93778000</v>
      </c>
      <c r="Q47" s="121">
        <v>36868000</v>
      </c>
      <c r="R47" s="45">
        <f t="shared" ref="R47:R56" si="19">Q47/L47</f>
        <v>0.33833786065633947</v>
      </c>
      <c r="S47" s="79"/>
      <c r="T47" s="26">
        <f>P47-(P47*R47)+S47</f>
        <v>62049352.103369802</v>
      </c>
      <c r="U47" s="46">
        <f>(T47/K47)*100</f>
        <v>80.583574160220522</v>
      </c>
      <c r="V47" s="16">
        <f>U47*85000/80</f>
        <v>85620.047545234294</v>
      </c>
      <c r="W47" s="16">
        <f t="shared" ref="W47:W57" si="20">V47*J47</f>
        <v>1626780.9033594516</v>
      </c>
      <c r="X47" s="244"/>
      <c r="Y47" s="57"/>
    </row>
    <row r="48" spans="1:25" ht="13" customHeight="1">
      <c r="A48" s="251"/>
      <c r="B48" s="180"/>
      <c r="C48" s="178"/>
      <c r="D48" s="177"/>
      <c r="E48" s="177"/>
      <c r="F48" s="276"/>
      <c r="G48" s="244"/>
      <c r="H48" s="244"/>
      <c r="I48" s="26" t="s">
        <v>74</v>
      </c>
      <c r="J48" s="116">
        <v>19</v>
      </c>
      <c r="K48" s="116">
        <v>61300000</v>
      </c>
      <c r="L48" s="72">
        <v>83432000</v>
      </c>
      <c r="M48" s="72">
        <v>76327825</v>
      </c>
      <c r="N48" s="72">
        <v>1969200</v>
      </c>
      <c r="O48" s="72">
        <v>453600</v>
      </c>
      <c r="P48" s="26">
        <f t="shared" si="18"/>
        <v>78750625</v>
      </c>
      <c r="Q48" s="122">
        <v>23432000</v>
      </c>
      <c r="R48" s="45">
        <f t="shared" si="19"/>
        <v>0.28085147185732096</v>
      </c>
      <c r="S48" s="82">
        <v>2980645.1612903224</v>
      </c>
      <c r="T48" s="26">
        <f t="shared" ref="T48:T55" si="21">P48-(P48*R48)+S48</f>
        <v>59614041.22035639</v>
      </c>
      <c r="U48" s="46">
        <f t="shared" ref="U48:U83" si="22">(T48/K48)*100</f>
        <v>97.249659413305693</v>
      </c>
      <c r="V48" s="16">
        <f>U48*120000/95</f>
        <v>122841.67504838613</v>
      </c>
      <c r="W48" s="16">
        <f t="shared" si="20"/>
        <v>2333991.8259193362</v>
      </c>
      <c r="X48" s="244"/>
      <c r="Y48" s="57"/>
    </row>
    <row r="49" spans="1:25" ht="13" customHeight="1">
      <c r="A49" s="251"/>
      <c r="B49" s="180"/>
      <c r="C49" s="178"/>
      <c r="D49" s="177"/>
      <c r="E49" s="177"/>
      <c r="F49" s="276"/>
      <c r="G49" s="244"/>
      <c r="H49" s="244"/>
      <c r="I49" s="26" t="s">
        <v>44</v>
      </c>
      <c r="J49" s="116">
        <v>50</v>
      </c>
      <c r="K49" s="116">
        <v>167100000</v>
      </c>
      <c r="L49" s="72">
        <v>236698000</v>
      </c>
      <c r="M49" s="72">
        <v>219415000</v>
      </c>
      <c r="N49" s="72">
        <v>6150600</v>
      </c>
      <c r="O49" s="72">
        <v>7285600</v>
      </c>
      <c r="P49" s="26">
        <f t="shared" si="18"/>
        <v>232851200</v>
      </c>
      <c r="Q49" s="122">
        <v>73146000</v>
      </c>
      <c r="R49" s="45">
        <f t="shared" si="19"/>
        <v>0.30902669224074558</v>
      </c>
      <c r="S49" s="82"/>
      <c r="T49" s="26">
        <f t="shared" si="21"/>
        <v>160893963.87971169</v>
      </c>
      <c r="U49" s="46">
        <f t="shared" si="22"/>
        <v>96.286034637768807</v>
      </c>
      <c r="V49" s="16">
        <f>U49*120000/95</f>
        <v>121624.46480560271</v>
      </c>
      <c r="W49" s="16">
        <f t="shared" si="20"/>
        <v>6081223.2402801355</v>
      </c>
      <c r="X49" s="244"/>
      <c r="Y49" s="57"/>
    </row>
    <row r="50" spans="1:25" ht="12.5">
      <c r="A50" s="251"/>
      <c r="B50" s="180"/>
      <c r="C50" s="178"/>
      <c r="D50" s="177"/>
      <c r="E50" s="177"/>
      <c r="F50" s="276"/>
      <c r="G50" s="244"/>
      <c r="H50" s="244"/>
      <c r="I50" s="26" t="s">
        <v>91</v>
      </c>
      <c r="J50" s="26">
        <v>11</v>
      </c>
      <c r="K50" s="26">
        <v>47700000</v>
      </c>
      <c r="L50" s="26">
        <f>63856400-3600000</f>
        <v>60256400</v>
      </c>
      <c r="M50" s="26">
        <f>63856400-3600000</f>
        <v>60256400</v>
      </c>
      <c r="N50" s="26">
        <v>0</v>
      </c>
      <c r="O50" s="26">
        <v>0</v>
      </c>
      <c r="P50" s="26">
        <f t="shared" si="18"/>
        <v>60256400</v>
      </c>
      <c r="Q50" s="26">
        <v>16056400</v>
      </c>
      <c r="R50" s="45">
        <f t="shared" si="19"/>
        <v>0.26646796024986558</v>
      </c>
      <c r="S50" s="26"/>
      <c r="T50" s="30">
        <f t="shared" si="21"/>
        <v>44200000</v>
      </c>
      <c r="U50" s="34">
        <f t="shared" si="22"/>
        <v>92.662473794549271</v>
      </c>
      <c r="V50" s="16">
        <f>U50*119000/95</f>
        <v>116071.9408584354</v>
      </c>
      <c r="W50" s="16">
        <f t="shared" si="20"/>
        <v>1276791.3494427893</v>
      </c>
      <c r="X50" s="244"/>
      <c r="Y50" s="246"/>
    </row>
    <row r="51" spans="1:25" ht="12.5">
      <c r="A51" s="251"/>
      <c r="B51" s="180"/>
      <c r="C51" s="178"/>
      <c r="D51" s="177"/>
      <c r="E51" s="177"/>
      <c r="F51" s="276"/>
      <c r="G51" s="244"/>
      <c r="H51" s="244"/>
      <c r="I51" s="26" t="s">
        <v>92</v>
      </c>
      <c r="J51" s="26">
        <v>7</v>
      </c>
      <c r="K51" s="26">
        <v>17500000</v>
      </c>
      <c r="L51" s="26">
        <v>23696000</v>
      </c>
      <c r="M51" s="26">
        <v>19552000</v>
      </c>
      <c r="N51" s="26">
        <v>1800000</v>
      </c>
      <c r="O51" s="26">
        <v>1500800</v>
      </c>
      <c r="P51" s="26">
        <f t="shared" si="18"/>
        <v>22852800</v>
      </c>
      <c r="Q51" s="26">
        <v>7296000</v>
      </c>
      <c r="R51" s="45">
        <f t="shared" si="19"/>
        <v>0.30790006752194465</v>
      </c>
      <c r="S51" s="26"/>
      <c r="T51" s="30">
        <f t="shared" si="21"/>
        <v>15816421.336934503</v>
      </c>
      <c r="U51" s="34">
        <f t="shared" si="22"/>
        <v>90.379550496768587</v>
      </c>
      <c r="V51" s="63">
        <f>U51*110000/90</f>
        <v>110463.89505160604</v>
      </c>
      <c r="W51" s="16">
        <f t="shared" si="20"/>
        <v>773247.26536124235</v>
      </c>
      <c r="X51" s="244"/>
      <c r="Y51" s="246"/>
    </row>
    <row r="52" spans="1:25" ht="12.5">
      <c r="A52" s="251"/>
      <c r="B52" s="180"/>
      <c r="C52" s="178"/>
      <c r="D52" s="177"/>
      <c r="E52" s="177"/>
      <c r="F52" s="276"/>
      <c r="G52" s="244"/>
      <c r="H52" s="244"/>
      <c r="I52" s="26" t="s">
        <v>94</v>
      </c>
      <c r="J52" s="26">
        <v>11</v>
      </c>
      <c r="K52" s="26">
        <v>43400000</v>
      </c>
      <c r="L52" s="26">
        <v>56659800</v>
      </c>
      <c r="M52" s="26">
        <v>56658900</v>
      </c>
      <c r="N52" s="26">
        <v>0</v>
      </c>
      <c r="O52" s="26">
        <v>0</v>
      </c>
      <c r="P52" s="26">
        <f t="shared" si="18"/>
        <v>56658900</v>
      </c>
      <c r="Q52" s="26">
        <v>14959800</v>
      </c>
      <c r="R52" s="45">
        <f t="shared" si="19"/>
        <v>0.26402846462571344</v>
      </c>
      <c r="S52" s="26"/>
      <c r="T52" s="30">
        <f t="shared" si="21"/>
        <v>41699337.625618167</v>
      </c>
      <c r="U52" s="34">
        <f t="shared" si="22"/>
        <v>96.08142310050269</v>
      </c>
      <c r="V52" s="63">
        <f>U52*120000/95</f>
        <v>121366.00812695078</v>
      </c>
      <c r="W52" s="16">
        <f t="shared" si="20"/>
        <v>1335026.0893964586</v>
      </c>
      <c r="X52" s="244"/>
      <c r="Y52" s="246"/>
    </row>
    <row r="53" spans="1:25" ht="12.5">
      <c r="A53" s="251"/>
      <c r="B53" s="180"/>
      <c r="C53" s="178"/>
      <c r="D53" s="177"/>
      <c r="E53" s="177"/>
      <c r="F53" s="276"/>
      <c r="G53" s="244"/>
      <c r="H53" s="244"/>
      <c r="I53" s="26" t="s">
        <v>80</v>
      </c>
      <c r="J53" s="26">
        <v>17</v>
      </c>
      <c r="K53" s="26">
        <v>77700000</v>
      </c>
      <c r="L53" s="26">
        <v>107808000</v>
      </c>
      <c r="M53" s="26">
        <v>102970000</v>
      </c>
      <c r="N53" s="26">
        <v>0</v>
      </c>
      <c r="O53" s="26">
        <v>0</v>
      </c>
      <c r="P53" s="26">
        <f t="shared" si="18"/>
        <v>102970000</v>
      </c>
      <c r="Q53" s="26">
        <v>33958000</v>
      </c>
      <c r="R53" s="45">
        <f t="shared" si="19"/>
        <v>0.31498590086078954</v>
      </c>
      <c r="S53" s="26"/>
      <c r="T53" s="30">
        <f t="shared" si="21"/>
        <v>70535901.7883645</v>
      </c>
      <c r="U53" s="34">
        <f t="shared" si="22"/>
        <v>90.779796381421491</v>
      </c>
      <c r="V53" s="63">
        <f>U53*110000/90</f>
        <v>110953.08446618183</v>
      </c>
      <c r="W53" s="16">
        <f t="shared" si="20"/>
        <v>1886202.4359250912</v>
      </c>
      <c r="X53" s="244"/>
      <c r="Y53" s="246"/>
    </row>
    <row r="54" spans="1:25" ht="12.5">
      <c r="A54" s="251"/>
      <c r="B54" s="180"/>
      <c r="C54" s="178"/>
      <c r="D54" s="177"/>
      <c r="E54" s="177"/>
      <c r="F54" s="276"/>
      <c r="G54" s="244"/>
      <c r="H54" s="244"/>
      <c r="I54" s="26" t="s">
        <v>81</v>
      </c>
      <c r="J54" s="37">
        <v>7</v>
      </c>
      <c r="K54" s="26">
        <v>18700000</v>
      </c>
      <c r="L54" s="26">
        <v>28701000</v>
      </c>
      <c r="M54" s="26">
        <v>28701000</v>
      </c>
      <c r="N54" s="26">
        <v>0</v>
      </c>
      <c r="O54" s="26">
        <v>0</v>
      </c>
      <c r="P54" s="26">
        <f t="shared" si="18"/>
        <v>28701000</v>
      </c>
      <c r="Q54" s="26">
        <v>9401000</v>
      </c>
      <c r="R54" s="45">
        <f t="shared" si="19"/>
        <v>0.32754956273300584</v>
      </c>
      <c r="S54" s="26"/>
      <c r="T54" s="30">
        <f t="shared" si="21"/>
        <v>19300000</v>
      </c>
      <c r="U54" s="34">
        <f t="shared" si="22"/>
        <v>103.20855614973262</v>
      </c>
      <c r="V54" s="63">
        <f>U54*130000/100</f>
        <v>134171.1229946524</v>
      </c>
      <c r="W54" s="16">
        <f t="shared" si="20"/>
        <v>939197.8609625668</v>
      </c>
      <c r="X54" s="244"/>
      <c r="Y54" s="246"/>
    </row>
    <row r="55" spans="1:25" ht="12.5">
      <c r="A55" s="251"/>
      <c r="B55" s="180"/>
      <c r="C55" s="178"/>
      <c r="D55" s="177"/>
      <c r="E55" s="177"/>
      <c r="F55" s="276"/>
      <c r="G55" s="244"/>
      <c r="H55" s="244"/>
      <c r="I55" s="26" t="s">
        <v>82</v>
      </c>
      <c r="J55" s="37">
        <v>16</v>
      </c>
      <c r="K55" s="26">
        <v>69400000</v>
      </c>
      <c r="L55" s="26">
        <f>93732000-4800000</f>
        <v>88932000</v>
      </c>
      <c r="M55" s="26">
        <f>93819000-4800000</f>
        <v>89019000</v>
      </c>
      <c r="N55" s="26">
        <v>0</v>
      </c>
      <c r="O55" s="26">
        <v>0</v>
      </c>
      <c r="P55" s="26">
        <f>SUM(M55:O55)</f>
        <v>89019000</v>
      </c>
      <c r="Q55" s="26">
        <v>21049000</v>
      </c>
      <c r="R55" s="45">
        <f t="shared" si="19"/>
        <v>0.23668645706832186</v>
      </c>
      <c r="S55" s="26">
        <v>1000000</v>
      </c>
      <c r="T55" s="30">
        <f t="shared" si="21"/>
        <v>68949408.278235048</v>
      </c>
      <c r="U55" s="34">
        <f t="shared" si="22"/>
        <v>99.350732389387673</v>
      </c>
      <c r="V55" s="63">
        <f>U55*130000/100</f>
        <v>129155.95210620397</v>
      </c>
      <c r="W55" s="16">
        <f t="shared" si="20"/>
        <v>2066495.2336992635</v>
      </c>
      <c r="X55" s="244"/>
      <c r="Y55" s="246"/>
    </row>
    <row r="56" spans="1:25" ht="12.5">
      <c r="A56" s="251"/>
      <c r="B56" s="180"/>
      <c r="C56" s="178"/>
      <c r="D56" s="177"/>
      <c r="E56" s="177"/>
      <c r="F56" s="276"/>
      <c r="G56" s="244"/>
      <c r="H56" s="244"/>
      <c r="I56" s="26" t="s">
        <v>76</v>
      </c>
      <c r="J56" s="26">
        <v>10</v>
      </c>
      <c r="K56" s="26">
        <v>54100000</v>
      </c>
      <c r="L56" s="26">
        <f>70040000-4200000</f>
        <v>65840000</v>
      </c>
      <c r="M56" s="26">
        <f>52542000-4200000</f>
        <v>48342000</v>
      </c>
      <c r="N56" s="26">
        <v>0</v>
      </c>
      <c r="O56" s="26">
        <v>4679500</v>
      </c>
      <c r="P56" s="26">
        <f t="shared" si="18"/>
        <v>53021500</v>
      </c>
      <c r="Q56" s="26">
        <v>14340000</v>
      </c>
      <c r="R56" s="45">
        <f t="shared" si="19"/>
        <v>0.2178007290400972</v>
      </c>
      <c r="S56" s="26"/>
      <c r="T56" s="30">
        <f>P56-(P56*R56)+S56</f>
        <v>41473378.645200484</v>
      </c>
      <c r="U56" s="34">
        <f t="shared" si="22"/>
        <v>76.660588992976869</v>
      </c>
      <c r="V56" s="16">
        <f>U56*75000/75</f>
        <v>76660.588992976875</v>
      </c>
      <c r="W56" s="16">
        <f>V56*J56</f>
        <v>766605.88992976875</v>
      </c>
      <c r="X56" s="244"/>
      <c r="Y56" s="246"/>
    </row>
    <row r="57" spans="1:25" ht="12.5">
      <c r="A57" s="251"/>
      <c r="B57" s="180"/>
      <c r="C57" s="178"/>
      <c r="D57" s="177"/>
      <c r="E57" s="177"/>
      <c r="F57" s="276"/>
      <c r="G57" s="244"/>
      <c r="H57" s="244"/>
      <c r="I57" s="26" t="s">
        <v>198</v>
      </c>
      <c r="J57" s="26">
        <v>5</v>
      </c>
      <c r="K57" s="26">
        <v>27500000</v>
      </c>
      <c r="L57" s="26">
        <f>39925000-5300000</f>
        <v>34625000</v>
      </c>
      <c r="M57" s="26">
        <f>39925000-5300000</f>
        <v>34625000</v>
      </c>
      <c r="N57" s="26">
        <v>0</v>
      </c>
      <c r="O57" s="26">
        <v>0</v>
      </c>
      <c r="P57" s="26">
        <f t="shared" si="18"/>
        <v>34625000</v>
      </c>
      <c r="Q57" s="26">
        <v>8225000</v>
      </c>
      <c r="R57" s="45">
        <f>Q57/L57</f>
        <v>0.2375451263537906</v>
      </c>
      <c r="S57" s="26"/>
      <c r="T57" s="30">
        <f>P57-(P57*R57)+S57</f>
        <v>26400000</v>
      </c>
      <c r="U57" s="46">
        <f>(T57/K57)*100</f>
        <v>96</v>
      </c>
      <c r="V57" s="16">
        <f>U57*120000/95</f>
        <v>121263.15789473684</v>
      </c>
      <c r="W57" s="16">
        <f t="shared" si="20"/>
        <v>606315.78947368416</v>
      </c>
      <c r="X57" s="244"/>
      <c r="Y57" s="246"/>
    </row>
    <row r="58" spans="1:25" ht="13">
      <c r="A58" s="252"/>
      <c r="B58" s="180"/>
      <c r="C58" s="178"/>
      <c r="D58" s="177"/>
      <c r="E58" s="177"/>
      <c r="F58" s="277"/>
      <c r="G58" s="245"/>
      <c r="H58" s="245"/>
      <c r="I58" s="59">
        <v>12</v>
      </c>
      <c r="J58" s="54">
        <f t="shared" ref="J58:P58" si="23">SUM(J46:J57)</f>
        <v>191</v>
      </c>
      <c r="K58" s="54">
        <f t="shared" si="23"/>
        <v>731000000</v>
      </c>
      <c r="L58" s="54">
        <f t="shared" si="23"/>
        <v>991544200</v>
      </c>
      <c r="M58" s="54">
        <f t="shared" si="23"/>
        <v>919941125</v>
      </c>
      <c r="N58" s="54">
        <f t="shared" si="23"/>
        <v>14988600</v>
      </c>
      <c r="O58" s="54">
        <f t="shared" si="23"/>
        <v>13919500</v>
      </c>
      <c r="P58" s="54">
        <f t="shared" si="23"/>
        <v>948849225</v>
      </c>
      <c r="Q58" s="54">
        <f>SUM(Q46:Q57)</f>
        <v>289659200</v>
      </c>
      <c r="R58" s="54"/>
      <c r="S58" s="54">
        <f>SUM(S46:S57)</f>
        <v>3980645.1612903224</v>
      </c>
      <c r="T58" s="54">
        <f>SUM(T46:T57)</f>
        <v>675550185.32979631</v>
      </c>
      <c r="U58" s="55">
        <f>(T58/K58)*100</f>
        <v>92.414526036907844</v>
      </c>
      <c r="V58" s="54"/>
      <c r="W58" s="54">
        <f>SUM(W46:W57)</f>
        <v>21901529.399206299</v>
      </c>
      <c r="X58" s="125"/>
      <c r="Y58" s="246"/>
    </row>
    <row r="59" spans="1:25" ht="13" customHeight="1">
      <c r="A59" s="222"/>
      <c r="B59" s="247" t="s">
        <v>223</v>
      </c>
      <c r="C59" s="224" t="s">
        <v>35</v>
      </c>
      <c r="D59" s="227"/>
      <c r="E59" s="227">
        <v>500000</v>
      </c>
      <c r="F59" s="243">
        <v>500000</v>
      </c>
      <c r="G59" s="244"/>
      <c r="H59" s="244"/>
      <c r="I59" s="26" t="s">
        <v>88</v>
      </c>
      <c r="J59" s="26">
        <v>10</v>
      </c>
      <c r="K59" s="26">
        <v>43200000</v>
      </c>
      <c r="L59" s="14">
        <f>58907000-4200000</f>
        <v>54707000</v>
      </c>
      <c r="M59" s="14">
        <f>51753000-4200000</f>
        <v>47553000</v>
      </c>
      <c r="N59" s="14">
        <v>4888800</v>
      </c>
      <c r="O59" s="14">
        <v>0</v>
      </c>
      <c r="P59" s="14">
        <f t="shared" ref="P59:P61" si="24">SUM(M59:O59)</f>
        <v>52441800</v>
      </c>
      <c r="Q59" s="14">
        <v>14307000</v>
      </c>
      <c r="R59" s="45">
        <f t="shared" si="3"/>
        <v>0.26152046356042186</v>
      </c>
      <c r="S59" s="14"/>
      <c r="T59" s="26">
        <f t="shared" si="15"/>
        <v>38727196.154057071</v>
      </c>
      <c r="U59" s="46">
        <f>(T59/K59)*100</f>
        <v>89.646287393650624</v>
      </c>
      <c r="V59" s="12">
        <f>U59*99000/90</f>
        <v>98610.916133015678</v>
      </c>
      <c r="W59" s="21">
        <f t="shared" ref="W59:W62" si="25">V59*J59</f>
        <v>986109.16133015673</v>
      </c>
      <c r="X59" s="177">
        <f>W63+E59+F59</f>
        <v>5049374.4411863629</v>
      </c>
      <c r="Y59" s="246"/>
    </row>
    <row r="60" spans="1:25" ht="13" customHeight="1">
      <c r="A60" s="222"/>
      <c r="B60" s="247"/>
      <c r="C60" s="224"/>
      <c r="D60" s="227"/>
      <c r="E60" s="227"/>
      <c r="F60" s="243"/>
      <c r="G60" s="244"/>
      <c r="H60" s="244"/>
      <c r="I60" s="26" t="s">
        <v>89</v>
      </c>
      <c r="J60" s="26">
        <v>11</v>
      </c>
      <c r="K60" s="14">
        <v>47100000</v>
      </c>
      <c r="L60" s="14">
        <f>65642000-8000000</f>
        <v>57642000</v>
      </c>
      <c r="M60" s="14">
        <f>66042000-8000000</f>
        <v>58042000</v>
      </c>
      <c r="N60" s="14">
        <v>0</v>
      </c>
      <c r="O60" s="14">
        <v>0</v>
      </c>
      <c r="P60" s="14">
        <f t="shared" si="24"/>
        <v>58042000</v>
      </c>
      <c r="Q60" s="14">
        <v>13994000</v>
      </c>
      <c r="R60" s="45">
        <f t="shared" si="3"/>
        <v>0.24277436591374346</v>
      </c>
      <c r="S60" s="14"/>
      <c r="T60" s="26">
        <f t="shared" si="15"/>
        <v>43950890.253634498</v>
      </c>
      <c r="U60" s="46">
        <f>(T60/K60)*100</f>
        <v>93.313992045933119</v>
      </c>
      <c r="V60" s="12">
        <f>U60*109000/95</f>
        <v>107065.52771586011</v>
      </c>
      <c r="W60" s="21">
        <f t="shared" si="25"/>
        <v>1177720.8048744611</v>
      </c>
      <c r="X60" s="178"/>
      <c r="Y60" s="246"/>
    </row>
    <row r="61" spans="1:25" ht="13" customHeight="1">
      <c r="A61" s="222"/>
      <c r="B61" s="247"/>
      <c r="C61" s="224"/>
      <c r="D61" s="227"/>
      <c r="E61" s="227"/>
      <c r="F61" s="243"/>
      <c r="G61" s="244"/>
      <c r="H61" s="244"/>
      <c r="I61" s="26" t="s">
        <v>90</v>
      </c>
      <c r="J61" s="26">
        <v>8</v>
      </c>
      <c r="K61" s="23">
        <v>31700000</v>
      </c>
      <c r="L61" s="23">
        <v>47082000</v>
      </c>
      <c r="M61" s="23">
        <v>47082000</v>
      </c>
      <c r="N61" s="14">
        <v>0</v>
      </c>
      <c r="O61" s="14">
        <v>0</v>
      </c>
      <c r="P61" s="23">
        <f t="shared" si="24"/>
        <v>47082000</v>
      </c>
      <c r="Q61" s="14">
        <v>16482000</v>
      </c>
      <c r="R61" s="45">
        <f t="shared" si="3"/>
        <v>0.35007009048043841</v>
      </c>
      <c r="S61" s="14"/>
      <c r="T61" s="26">
        <f t="shared" si="15"/>
        <v>30600000</v>
      </c>
      <c r="U61" s="46">
        <f>(T61/K61)*100</f>
        <v>96.529968454258679</v>
      </c>
      <c r="V61" s="12">
        <f>U61*110000/95</f>
        <v>111771.54242072058</v>
      </c>
      <c r="W61" s="21">
        <f t="shared" si="25"/>
        <v>894172.33936576464</v>
      </c>
      <c r="X61" s="178"/>
      <c r="Y61" s="246"/>
    </row>
    <row r="62" spans="1:25" ht="12.5">
      <c r="A62" s="222"/>
      <c r="B62" s="247"/>
      <c r="C62" s="224"/>
      <c r="D62" s="227"/>
      <c r="E62" s="227"/>
      <c r="F62" s="243"/>
      <c r="G62" s="244"/>
      <c r="H62" s="244"/>
      <c r="I62" s="26" t="s">
        <v>111</v>
      </c>
      <c r="J62" s="26">
        <v>9</v>
      </c>
      <c r="K62" s="26">
        <v>27800000</v>
      </c>
      <c r="L62" s="26">
        <v>37247000</v>
      </c>
      <c r="M62" s="26">
        <v>34051000</v>
      </c>
      <c r="N62" s="25">
        <v>0</v>
      </c>
      <c r="O62" s="47">
        <v>0</v>
      </c>
      <c r="P62" s="26">
        <f>SUM(M62:O62)</f>
        <v>34051000</v>
      </c>
      <c r="Q62" s="23">
        <v>10647000</v>
      </c>
      <c r="R62" s="33">
        <f t="shared" si="3"/>
        <v>0.28584852471339972</v>
      </c>
      <c r="S62" s="26">
        <v>2129032.2580645159</v>
      </c>
      <c r="T62" s="30">
        <f>P62-(P62*R62)+S62</f>
        <v>26446604.14304854</v>
      </c>
      <c r="U62" s="46">
        <f t="shared" si="22"/>
        <v>95.131669579311293</v>
      </c>
      <c r="V62" s="13">
        <f>U62*110000/95</f>
        <v>110152.45951288675</v>
      </c>
      <c r="W62" s="21">
        <f t="shared" si="25"/>
        <v>991372.13561598072</v>
      </c>
      <c r="X62" s="178"/>
      <c r="Y62" s="246"/>
    </row>
    <row r="63" spans="1:25" ht="13" customHeight="1">
      <c r="A63" s="179"/>
      <c r="B63" s="180" t="e">
        <f>#REF!</f>
        <v>#REF!</v>
      </c>
      <c r="C63" s="225"/>
      <c r="D63" s="228"/>
      <c r="E63" s="228"/>
      <c r="F63" s="248"/>
      <c r="G63" s="245"/>
      <c r="H63" s="245"/>
      <c r="I63" s="69">
        <v>4</v>
      </c>
      <c r="J63" s="70">
        <f t="shared" ref="J63:Q63" si="26">SUM(J59:J62)</f>
        <v>38</v>
      </c>
      <c r="K63" s="70">
        <f t="shared" si="26"/>
        <v>149800000</v>
      </c>
      <c r="L63" s="70">
        <f t="shared" si="26"/>
        <v>196678000</v>
      </c>
      <c r="M63" s="70">
        <f t="shared" si="26"/>
        <v>186728000</v>
      </c>
      <c r="N63" s="70">
        <f t="shared" si="26"/>
        <v>4888800</v>
      </c>
      <c r="O63" s="70">
        <f t="shared" si="26"/>
        <v>0</v>
      </c>
      <c r="P63" s="70">
        <f t="shared" si="26"/>
        <v>191616800</v>
      </c>
      <c r="Q63" s="70">
        <f t="shared" si="26"/>
        <v>55430000</v>
      </c>
      <c r="R63" s="87"/>
      <c r="S63" s="70">
        <f>SUM(S59:S62)</f>
        <v>2129032.2580645159</v>
      </c>
      <c r="T63" s="52">
        <f>SUM(T59:T62)</f>
        <v>139724690.55074012</v>
      </c>
      <c r="U63" s="88">
        <f>(T63/K63)*100</f>
        <v>93.274159246154952</v>
      </c>
      <c r="V63" s="62"/>
      <c r="W63" s="62">
        <f>SUM(W59:W62)</f>
        <v>4049374.4411863633</v>
      </c>
      <c r="X63" s="178"/>
      <c r="Y63" s="246"/>
    </row>
    <row r="64" spans="1:25" ht="13" customHeight="1">
      <c r="A64" s="222" t="s">
        <v>72</v>
      </c>
      <c r="B64" s="247" t="s">
        <v>98</v>
      </c>
      <c r="C64" s="224" t="s">
        <v>35</v>
      </c>
      <c r="D64" s="227"/>
      <c r="E64" s="227">
        <v>500000</v>
      </c>
      <c r="F64" s="243">
        <v>500000</v>
      </c>
      <c r="G64" s="244"/>
      <c r="H64" s="244"/>
      <c r="I64" s="14" t="s">
        <v>99</v>
      </c>
      <c r="J64" s="14">
        <v>8</v>
      </c>
      <c r="K64" s="14">
        <v>35000000</v>
      </c>
      <c r="L64" s="14">
        <v>43075000</v>
      </c>
      <c r="M64" s="14">
        <v>43075000</v>
      </c>
      <c r="N64" s="14">
        <v>0</v>
      </c>
      <c r="O64" s="14">
        <v>0</v>
      </c>
      <c r="P64" s="14">
        <f t="shared" ref="P64:P69" si="27">SUM(M64:O64)</f>
        <v>43075000</v>
      </c>
      <c r="Q64" s="14">
        <v>10675000</v>
      </c>
      <c r="R64" s="45">
        <f t="shared" si="3"/>
        <v>0.24782356355194429</v>
      </c>
      <c r="S64" s="14"/>
      <c r="T64" s="26">
        <f t="shared" si="15"/>
        <v>32400000</v>
      </c>
      <c r="U64" s="46">
        <f t="shared" si="22"/>
        <v>92.571428571428569</v>
      </c>
      <c r="V64" s="12">
        <f>U64*119000/95</f>
        <v>115957.89473684211</v>
      </c>
      <c r="W64" s="21">
        <f>V64*J64</f>
        <v>927663.15789473685</v>
      </c>
      <c r="X64" s="177">
        <f>D64+E64+F64+G64+H64+W71</f>
        <v>8348434.9245904954</v>
      </c>
      <c r="Y64" s="246"/>
    </row>
    <row r="65" spans="1:25" ht="13" customHeight="1">
      <c r="A65" s="222"/>
      <c r="B65" s="247" t="str">
        <f>B64</f>
        <v>Đỗ Công Trường</v>
      </c>
      <c r="C65" s="224"/>
      <c r="D65" s="227"/>
      <c r="E65" s="227"/>
      <c r="F65" s="243"/>
      <c r="G65" s="244"/>
      <c r="H65" s="244"/>
      <c r="I65" s="14" t="s">
        <v>100</v>
      </c>
      <c r="J65" s="14">
        <v>8</v>
      </c>
      <c r="K65" s="14">
        <v>35000000</v>
      </c>
      <c r="L65" s="14">
        <v>47157000</v>
      </c>
      <c r="M65" s="14">
        <v>47157000</v>
      </c>
      <c r="N65" s="14">
        <v>0</v>
      </c>
      <c r="O65" s="14">
        <v>0</v>
      </c>
      <c r="P65" s="14">
        <f t="shared" si="27"/>
        <v>47157000</v>
      </c>
      <c r="Q65" s="14">
        <v>13657000</v>
      </c>
      <c r="R65" s="45">
        <f t="shared" si="3"/>
        <v>0.28960705727675634</v>
      </c>
      <c r="S65" s="14"/>
      <c r="T65" s="26">
        <f t="shared" si="15"/>
        <v>33500000</v>
      </c>
      <c r="U65" s="46">
        <f t="shared" si="22"/>
        <v>95.714285714285722</v>
      </c>
      <c r="V65" s="12">
        <f>U65*120000/95</f>
        <v>120902.25563909776</v>
      </c>
      <c r="W65" s="21">
        <f>V65*J65</f>
        <v>967218.04511278204</v>
      </c>
      <c r="X65" s="178"/>
      <c r="Y65" s="246"/>
    </row>
    <row r="66" spans="1:25" ht="13" customHeight="1">
      <c r="A66" s="222"/>
      <c r="B66" s="247" t="str">
        <f>B65</f>
        <v>Đỗ Công Trường</v>
      </c>
      <c r="C66" s="224"/>
      <c r="D66" s="227"/>
      <c r="E66" s="227"/>
      <c r="F66" s="243"/>
      <c r="G66" s="244"/>
      <c r="H66" s="244"/>
      <c r="I66" s="23" t="s">
        <v>101</v>
      </c>
      <c r="J66" s="23">
        <v>7</v>
      </c>
      <c r="K66" s="23">
        <v>24800000</v>
      </c>
      <c r="L66" s="23">
        <v>36288000</v>
      </c>
      <c r="M66" s="23">
        <v>35938000</v>
      </c>
      <c r="N66" s="23">
        <v>0</v>
      </c>
      <c r="O66" s="23">
        <v>0</v>
      </c>
      <c r="P66" s="23">
        <f>SUM(M66:O66)</f>
        <v>35938000</v>
      </c>
      <c r="Q66" s="23">
        <v>13288000</v>
      </c>
      <c r="R66" s="33">
        <f t="shared" si="3"/>
        <v>0.36618165784832452</v>
      </c>
      <c r="S66" s="23"/>
      <c r="T66" s="30">
        <f t="shared" si="15"/>
        <v>22778163.580246914</v>
      </c>
      <c r="U66" s="34">
        <f t="shared" si="22"/>
        <v>91.847433791318196</v>
      </c>
      <c r="V66" s="12">
        <f>U66*110000/90</f>
        <v>112257.97463383335</v>
      </c>
      <c r="W66" s="15">
        <f>V66*J66</f>
        <v>785805.8224368334</v>
      </c>
      <c r="X66" s="178"/>
      <c r="Y66" s="246"/>
    </row>
    <row r="67" spans="1:25" s="37" customFormat="1" ht="12.5">
      <c r="A67" s="222"/>
      <c r="B67" s="247"/>
      <c r="C67" s="224"/>
      <c r="D67" s="227"/>
      <c r="E67" s="227"/>
      <c r="F67" s="243"/>
      <c r="G67" s="244"/>
      <c r="H67" s="244"/>
      <c r="I67" s="26" t="s">
        <v>102</v>
      </c>
      <c r="J67" s="26">
        <v>14</v>
      </c>
      <c r="K67" s="26">
        <v>49800000</v>
      </c>
      <c r="L67" s="26">
        <v>63343600</v>
      </c>
      <c r="M67" s="26">
        <v>55252000</v>
      </c>
      <c r="N67" s="26">
        <v>7502400</v>
      </c>
      <c r="O67" s="26">
        <v>0</v>
      </c>
      <c r="P67" s="26">
        <f t="shared" si="27"/>
        <v>62754400</v>
      </c>
      <c r="Q67" s="26">
        <v>19079600</v>
      </c>
      <c r="R67" s="45">
        <f t="shared" si="3"/>
        <v>0.3012080147007748</v>
      </c>
      <c r="S67" s="26">
        <v>564516.12903225806</v>
      </c>
      <c r="T67" s="26">
        <f t="shared" si="15"/>
        <v>44416787.891293965</v>
      </c>
      <c r="U67" s="46">
        <f t="shared" si="22"/>
        <v>89.190337131112386</v>
      </c>
      <c r="V67" s="12">
        <f>U67*109000/90</f>
        <v>108019.40830323611</v>
      </c>
      <c r="W67" s="16">
        <f t="shared" ref="W67:W69" si="28">V67*J67</f>
        <v>1512271.7162453055</v>
      </c>
      <c r="X67" s="178"/>
      <c r="Y67" s="246"/>
    </row>
    <row r="68" spans="1:25" s="78" customFormat="1" ht="12.5">
      <c r="A68" s="222"/>
      <c r="B68" s="247"/>
      <c r="C68" s="224"/>
      <c r="D68" s="227"/>
      <c r="E68" s="227"/>
      <c r="F68" s="243"/>
      <c r="G68" s="244"/>
      <c r="H68" s="244"/>
      <c r="I68" s="30" t="s">
        <v>103</v>
      </c>
      <c r="J68" s="30">
        <v>10</v>
      </c>
      <c r="K68" s="30">
        <v>45000000</v>
      </c>
      <c r="L68" s="30">
        <f>61015000-4100000</f>
        <v>56915000</v>
      </c>
      <c r="M68" s="30">
        <f>55345000-4100000</f>
        <v>51245000</v>
      </c>
      <c r="N68" s="30">
        <v>0</v>
      </c>
      <c r="O68" s="30">
        <v>0</v>
      </c>
      <c r="P68" s="30">
        <f t="shared" si="27"/>
        <v>51245000</v>
      </c>
      <c r="Q68" s="30">
        <v>15115000</v>
      </c>
      <c r="R68" s="33">
        <f t="shared" si="3"/>
        <v>0.26557146622155847</v>
      </c>
      <c r="S68" s="30">
        <v>2080645.1612903227</v>
      </c>
      <c r="T68" s="30">
        <f t="shared" si="15"/>
        <v>39716435.374766566</v>
      </c>
      <c r="U68" s="34">
        <f>(T68/K68)*100</f>
        <v>88.258745277259038</v>
      </c>
      <c r="V68" s="63">
        <f>U68*109000/90</f>
        <v>106891.14705801372</v>
      </c>
      <c r="W68" s="63">
        <f t="shared" si="28"/>
        <v>1068911.4705801373</v>
      </c>
      <c r="X68" s="178"/>
      <c r="Y68" s="246"/>
    </row>
    <row r="69" spans="1:25" s="37" customFormat="1" ht="12.5">
      <c r="A69" s="264"/>
      <c r="B69" s="265"/>
      <c r="C69" s="258"/>
      <c r="D69" s="227"/>
      <c r="E69" s="227"/>
      <c r="F69" s="243"/>
      <c r="G69" s="244"/>
      <c r="H69" s="244"/>
      <c r="I69" s="26" t="s">
        <v>224</v>
      </c>
      <c r="J69" s="26">
        <v>10</v>
      </c>
      <c r="K69" s="26">
        <v>30600000</v>
      </c>
      <c r="L69" s="26">
        <f>40620000-732000</f>
        <v>39888000</v>
      </c>
      <c r="M69" s="26">
        <f>36182000-732000</f>
        <v>35450000</v>
      </c>
      <c r="N69" s="26">
        <v>0</v>
      </c>
      <c r="O69" s="26">
        <v>1019199.9999999999</v>
      </c>
      <c r="P69" s="30">
        <f t="shared" si="27"/>
        <v>36469200</v>
      </c>
      <c r="Q69" s="26">
        <v>10358000</v>
      </c>
      <c r="R69" s="33">
        <f t="shared" si="3"/>
        <v>0.25967709586843163</v>
      </c>
      <c r="S69" s="26">
        <v>1987096.7741935484</v>
      </c>
      <c r="T69" s="30">
        <f t="shared" si="15"/>
        <v>28986080.829548541</v>
      </c>
      <c r="U69" s="34">
        <f>(T69/K69)*100</f>
        <v>94.725754344929868</v>
      </c>
      <c r="V69" s="16">
        <f>U69*119000/95</f>
        <v>118656.47123207005</v>
      </c>
      <c r="W69" s="63">
        <f t="shared" si="28"/>
        <v>1186564.7123207005</v>
      </c>
      <c r="X69" s="178"/>
      <c r="Y69" s="246"/>
    </row>
    <row r="70" spans="1:25" ht="12.5">
      <c r="A70" s="264"/>
      <c r="B70" s="265"/>
      <c r="C70" s="258"/>
      <c r="D70" s="227"/>
      <c r="E70" s="227"/>
      <c r="F70" s="243"/>
      <c r="G70" s="244"/>
      <c r="H70" s="244"/>
      <c r="I70" s="66" t="s">
        <v>228</v>
      </c>
      <c r="J70" s="66">
        <v>9</v>
      </c>
      <c r="K70" s="66"/>
      <c r="L70" s="66"/>
      <c r="M70" s="66"/>
      <c r="N70" s="66"/>
      <c r="O70" s="66"/>
      <c r="P70" s="84"/>
      <c r="Q70" s="66"/>
      <c r="R70" s="148"/>
      <c r="S70" s="32"/>
      <c r="T70" s="30"/>
      <c r="U70" s="34"/>
      <c r="V70" s="16">
        <v>100000</v>
      </c>
      <c r="W70" s="63">
        <f>V70*J70</f>
        <v>900000</v>
      </c>
      <c r="X70" s="178"/>
      <c r="Y70" s="246"/>
    </row>
    <row r="71" spans="1:25" ht="13" customHeight="1">
      <c r="A71" s="179"/>
      <c r="B71" s="180" t="str">
        <f>B66</f>
        <v>Đỗ Công Trường</v>
      </c>
      <c r="C71" s="225"/>
      <c r="D71" s="228"/>
      <c r="E71" s="228"/>
      <c r="F71" s="248"/>
      <c r="G71" s="245"/>
      <c r="H71" s="245"/>
      <c r="I71" s="69">
        <v>7</v>
      </c>
      <c r="J71" s="70">
        <f>SUM(J64:J70)</f>
        <v>66</v>
      </c>
      <c r="K71" s="70">
        <f t="shared" ref="K71:Q71" si="29">SUM(K64:K69)</f>
        <v>220200000</v>
      </c>
      <c r="L71" s="70">
        <f t="shared" si="29"/>
        <v>286666600</v>
      </c>
      <c r="M71" s="70">
        <f t="shared" si="29"/>
        <v>268117000</v>
      </c>
      <c r="N71" s="70">
        <f t="shared" si="29"/>
        <v>7502400</v>
      </c>
      <c r="O71" s="70">
        <f t="shared" si="29"/>
        <v>1019199.9999999999</v>
      </c>
      <c r="P71" s="70">
        <f t="shared" si="29"/>
        <v>276638600</v>
      </c>
      <c r="Q71" s="70">
        <f t="shared" si="29"/>
        <v>82172600</v>
      </c>
      <c r="R71" s="87"/>
      <c r="S71" s="143">
        <f>SUM(S64:S69)</f>
        <v>4632258.064516129</v>
      </c>
      <c r="T71" s="54">
        <f>SUM(T64:T69)</f>
        <v>201797467.67585596</v>
      </c>
      <c r="U71" s="55">
        <f>(T71/K71)*100</f>
        <v>91.642810025366018</v>
      </c>
      <c r="V71" s="62"/>
      <c r="W71" s="62">
        <f>SUM(W64:W70)</f>
        <v>7348434.9245904954</v>
      </c>
      <c r="X71" s="178"/>
      <c r="Y71" s="246"/>
    </row>
    <row r="72" spans="1:25" ht="13" customHeight="1">
      <c r="A72" s="222" t="s">
        <v>77</v>
      </c>
      <c r="B72" s="247" t="s">
        <v>113</v>
      </c>
      <c r="C72" s="223" t="s">
        <v>35</v>
      </c>
      <c r="D72" s="226"/>
      <c r="E72" s="226">
        <v>500000</v>
      </c>
      <c r="F72" s="242">
        <v>500000</v>
      </c>
      <c r="G72" s="181"/>
      <c r="H72" s="181"/>
      <c r="I72" s="30" t="s">
        <v>114</v>
      </c>
      <c r="J72" s="23">
        <v>9</v>
      </c>
      <c r="K72" s="14">
        <v>47300000</v>
      </c>
      <c r="L72" s="14">
        <f>43703000+9000000</f>
        <v>52703000</v>
      </c>
      <c r="M72" s="14">
        <f>43703000+9000000</f>
        <v>52703000</v>
      </c>
      <c r="N72" s="14">
        <v>0</v>
      </c>
      <c r="O72" s="14">
        <v>0</v>
      </c>
      <c r="P72" s="14">
        <f t="shared" ref="P72:P83" si="30">SUM(M72:O72)</f>
        <v>52703000</v>
      </c>
      <c r="Q72" s="14">
        <v>14503000</v>
      </c>
      <c r="R72" s="45">
        <f t="shared" ref="R72:R83" si="31">Q72/L72</f>
        <v>0.27518357588752063</v>
      </c>
      <c r="S72" s="142">
        <f>(5000000/31)*17</f>
        <v>2741935.4838709678</v>
      </c>
      <c r="T72" s="26">
        <f t="shared" si="15"/>
        <v>40941935.483870968</v>
      </c>
      <c r="U72" s="46">
        <f t="shared" si="22"/>
        <v>86.558003137147921</v>
      </c>
      <c r="V72" s="12">
        <f>U72*100000/85</f>
        <v>101832.94486723286</v>
      </c>
      <c r="W72" s="21">
        <f t="shared" ref="W72:W83" si="32">V72*J72</f>
        <v>916496.50380509568</v>
      </c>
      <c r="X72" s="177">
        <f>W85+D72+F72+G72+H72+E72</f>
        <v>20807114.330337822</v>
      </c>
      <c r="Y72" s="246"/>
    </row>
    <row r="73" spans="1:25" ht="13" customHeight="1">
      <c r="A73" s="222"/>
      <c r="B73" s="247"/>
      <c r="C73" s="224"/>
      <c r="D73" s="227"/>
      <c r="E73" s="227"/>
      <c r="F73" s="243"/>
      <c r="G73" s="244"/>
      <c r="H73" s="244"/>
      <c r="I73" s="26" t="s">
        <v>115</v>
      </c>
      <c r="J73" s="26">
        <v>9</v>
      </c>
      <c r="K73" s="14">
        <v>39200000</v>
      </c>
      <c r="L73" s="14">
        <v>48085000</v>
      </c>
      <c r="M73" s="14">
        <v>43253000</v>
      </c>
      <c r="N73" s="14">
        <v>0</v>
      </c>
      <c r="O73" s="14">
        <v>0</v>
      </c>
      <c r="P73" s="14">
        <f t="shared" si="30"/>
        <v>43253000</v>
      </c>
      <c r="Q73" s="14">
        <v>12785000</v>
      </c>
      <c r="R73" s="45">
        <f t="shared" si="31"/>
        <v>0.26588333160029115</v>
      </c>
      <c r="S73" s="95"/>
      <c r="T73" s="26">
        <f t="shared" si="15"/>
        <v>31752748.258292608</v>
      </c>
      <c r="U73" s="46">
        <f t="shared" si="22"/>
        <v>81.001908822175011</v>
      </c>
      <c r="V73" s="12">
        <f>U73*85000/80</f>
        <v>86064.528123560944</v>
      </c>
      <c r="W73" s="21">
        <f t="shared" si="32"/>
        <v>774580.75311204849</v>
      </c>
      <c r="X73" s="177"/>
      <c r="Y73" s="246"/>
    </row>
    <row r="74" spans="1:25" ht="13" customHeight="1">
      <c r="A74" s="222"/>
      <c r="B74" s="247"/>
      <c r="C74" s="224"/>
      <c r="D74" s="227"/>
      <c r="E74" s="227"/>
      <c r="F74" s="243"/>
      <c r="G74" s="244"/>
      <c r="H74" s="244"/>
      <c r="I74" s="26" t="s">
        <v>70</v>
      </c>
      <c r="J74" s="26">
        <v>38</v>
      </c>
      <c r="K74" s="14">
        <v>143100000</v>
      </c>
      <c r="L74" s="14">
        <v>192460000</v>
      </c>
      <c r="M74" s="14">
        <v>182372000</v>
      </c>
      <c r="N74" s="14">
        <v>0</v>
      </c>
      <c r="O74" s="14">
        <v>0</v>
      </c>
      <c r="P74" s="14">
        <f t="shared" si="30"/>
        <v>182372000</v>
      </c>
      <c r="Q74" s="14">
        <v>55730000</v>
      </c>
      <c r="R74" s="45">
        <f t="shared" si="31"/>
        <v>0.28956666320274344</v>
      </c>
      <c r="S74" s="95">
        <v>5870967.7419354841</v>
      </c>
      <c r="T74" s="26">
        <f t="shared" si="15"/>
        <v>135434116.24032477</v>
      </c>
      <c r="U74" s="46">
        <f t="shared" si="22"/>
        <v>94.642988288137502</v>
      </c>
      <c r="V74" s="12">
        <f>U74*119000/95</f>
        <v>118552.79585566698</v>
      </c>
      <c r="W74" s="21">
        <f t="shared" si="32"/>
        <v>4505006.2425153451</v>
      </c>
      <c r="X74" s="177"/>
      <c r="Y74" s="246"/>
    </row>
    <row r="75" spans="1:25" ht="12.5">
      <c r="A75" s="222"/>
      <c r="B75" s="247"/>
      <c r="C75" s="224"/>
      <c r="D75" s="227"/>
      <c r="E75" s="227"/>
      <c r="F75" s="243"/>
      <c r="G75" s="244"/>
      <c r="H75" s="244"/>
      <c r="I75" s="26" t="s">
        <v>117</v>
      </c>
      <c r="J75" s="26">
        <v>24</v>
      </c>
      <c r="K75" s="14">
        <v>78000000</v>
      </c>
      <c r="L75" s="14">
        <v>108022000</v>
      </c>
      <c r="M75" s="14">
        <v>103508000</v>
      </c>
      <c r="N75" s="14">
        <v>3702600</v>
      </c>
      <c r="O75" s="14">
        <v>0</v>
      </c>
      <c r="P75" s="14">
        <f t="shared" si="30"/>
        <v>107210600</v>
      </c>
      <c r="Q75" s="14">
        <v>34022000</v>
      </c>
      <c r="R75" s="45">
        <f t="shared" si="31"/>
        <v>0.31495436114865488</v>
      </c>
      <c r="S75" s="95"/>
      <c r="T75" s="26">
        <f t="shared" si="15"/>
        <v>73444153.968636021</v>
      </c>
      <c r="U75" s="46">
        <f t="shared" si="22"/>
        <v>94.159171754661557</v>
      </c>
      <c r="V75" s="12">
        <f>U75*119000/95</f>
        <v>117946.75198741816</v>
      </c>
      <c r="W75" s="21">
        <f t="shared" si="32"/>
        <v>2830722.0476980358</v>
      </c>
      <c r="X75" s="178"/>
      <c r="Y75" s="246"/>
    </row>
    <row r="76" spans="1:25" ht="12.5">
      <c r="A76" s="222"/>
      <c r="B76" s="247"/>
      <c r="C76" s="224"/>
      <c r="D76" s="227"/>
      <c r="E76" s="227"/>
      <c r="F76" s="243"/>
      <c r="G76" s="244"/>
      <c r="H76" s="244"/>
      <c r="I76" s="14" t="s">
        <v>118</v>
      </c>
      <c r="J76" s="14">
        <v>13</v>
      </c>
      <c r="K76" s="14">
        <v>60800000</v>
      </c>
      <c r="L76" s="14">
        <f>58422000+16000000</f>
        <v>74422000</v>
      </c>
      <c r="M76" s="14">
        <f>45282000+16000000</f>
        <v>61282000</v>
      </c>
      <c r="N76" s="14">
        <v>6152400</v>
      </c>
      <c r="O76" s="14">
        <v>1696800</v>
      </c>
      <c r="P76" s="14">
        <f t="shared" si="30"/>
        <v>69131200</v>
      </c>
      <c r="Q76" s="14">
        <v>17822000</v>
      </c>
      <c r="R76" s="45">
        <f t="shared" si="31"/>
        <v>0.23947219908091694</v>
      </c>
      <c r="S76" s="95">
        <v>2483870.9677419355</v>
      </c>
      <c r="T76" s="26">
        <f t="shared" si="15"/>
        <v>55060070.478639252</v>
      </c>
      <c r="U76" s="46">
        <f t="shared" si="22"/>
        <v>90.559326445130353</v>
      </c>
      <c r="V76" s="12">
        <f>U76*110000/90</f>
        <v>110683.62121071489</v>
      </c>
      <c r="W76" s="21">
        <f t="shared" si="32"/>
        <v>1438887.0757392936</v>
      </c>
      <c r="X76" s="178"/>
      <c r="Y76" s="246"/>
    </row>
    <row r="77" spans="1:25" ht="12.5">
      <c r="A77" s="222"/>
      <c r="B77" s="247"/>
      <c r="C77" s="224"/>
      <c r="D77" s="227"/>
      <c r="E77" s="227"/>
      <c r="F77" s="243"/>
      <c r="G77" s="244"/>
      <c r="H77" s="244"/>
      <c r="I77" s="14" t="s">
        <v>119</v>
      </c>
      <c r="J77" s="14">
        <v>7</v>
      </c>
      <c r="K77" s="14">
        <v>23200000</v>
      </c>
      <c r="L77" s="14">
        <f>33436000-2900000</f>
        <v>30536000</v>
      </c>
      <c r="M77" s="14">
        <f>28700000-2900000</f>
        <v>25800000</v>
      </c>
      <c r="N77" s="14">
        <v>0</v>
      </c>
      <c r="O77" s="14">
        <v>0</v>
      </c>
      <c r="P77" s="14">
        <f t="shared" si="30"/>
        <v>25800000</v>
      </c>
      <c r="Q77" s="14">
        <v>8536000</v>
      </c>
      <c r="R77" s="45">
        <f t="shared" si="31"/>
        <v>0.27953890489913547</v>
      </c>
      <c r="S77" s="95">
        <v>2900000</v>
      </c>
      <c r="T77" s="26">
        <f t="shared" si="15"/>
        <v>21487896.253602304</v>
      </c>
      <c r="U77" s="46">
        <f t="shared" si="22"/>
        <v>92.620242472423726</v>
      </c>
      <c r="V77" s="12">
        <f>U77*119000/95</f>
        <v>116019.04057072024</v>
      </c>
      <c r="W77" s="21">
        <f t="shared" si="32"/>
        <v>812133.28399504174</v>
      </c>
      <c r="X77" s="178"/>
      <c r="Y77" s="246"/>
    </row>
    <row r="78" spans="1:25" ht="14">
      <c r="A78" s="222"/>
      <c r="B78" s="247"/>
      <c r="C78" s="224"/>
      <c r="D78" s="227"/>
      <c r="E78" s="227"/>
      <c r="F78" s="243"/>
      <c r="G78" s="244"/>
      <c r="H78" s="244"/>
      <c r="I78" s="14" t="s">
        <v>120</v>
      </c>
      <c r="J78" s="14">
        <v>18</v>
      </c>
      <c r="K78" s="14">
        <v>57800000</v>
      </c>
      <c r="L78" s="14">
        <f>66736000+6200000</f>
        <v>72936000</v>
      </c>
      <c r="M78" s="14">
        <f>56843000+6200000</f>
        <v>63043000</v>
      </c>
      <c r="N78" s="14">
        <v>4597200</v>
      </c>
      <c r="O78" s="14">
        <v>0</v>
      </c>
      <c r="P78" s="23">
        <f t="shared" si="30"/>
        <v>67640200</v>
      </c>
      <c r="Q78" s="23">
        <v>20636000</v>
      </c>
      <c r="R78" s="45">
        <f t="shared" si="31"/>
        <v>0.28293298234068226</v>
      </c>
      <c r="S78" s="18">
        <v>1590322.5806451614</v>
      </c>
      <c r="T78" s="26">
        <f t="shared" si="15"/>
        <v>50092879.068524942</v>
      </c>
      <c r="U78" s="46">
        <f t="shared" si="22"/>
        <v>86.665880741392627</v>
      </c>
      <c r="V78" s="13">
        <f>U78*100000/85</f>
        <v>101959.85969575604</v>
      </c>
      <c r="W78" s="21">
        <f t="shared" si="32"/>
        <v>1835277.4745236086</v>
      </c>
      <c r="X78" s="178"/>
      <c r="Y78" s="246"/>
    </row>
    <row r="79" spans="1:25" ht="12.5">
      <c r="A79" s="222"/>
      <c r="B79" s="247"/>
      <c r="C79" s="224"/>
      <c r="D79" s="227"/>
      <c r="E79" s="227"/>
      <c r="F79" s="243"/>
      <c r="G79" s="244"/>
      <c r="H79" s="244"/>
      <c r="I79" s="23" t="s">
        <v>121</v>
      </c>
      <c r="J79" s="23">
        <v>9</v>
      </c>
      <c r="K79" s="23">
        <v>39000000</v>
      </c>
      <c r="L79" s="23">
        <v>51751000</v>
      </c>
      <c r="M79" s="23">
        <v>51801000</v>
      </c>
      <c r="N79" s="23">
        <v>0</v>
      </c>
      <c r="O79" s="44">
        <v>0</v>
      </c>
      <c r="P79" s="26">
        <f t="shared" si="30"/>
        <v>51801000</v>
      </c>
      <c r="Q79" s="26">
        <v>13751000</v>
      </c>
      <c r="R79" s="33">
        <f t="shared" si="31"/>
        <v>0.26571467218024775</v>
      </c>
      <c r="S79" s="96"/>
      <c r="T79" s="26">
        <f t="shared" si="15"/>
        <v>38036714.266390987</v>
      </c>
      <c r="U79" s="46">
        <f t="shared" si="22"/>
        <v>97.530036580489707</v>
      </c>
      <c r="V79" s="16">
        <f>U79*130000/100</f>
        <v>126789.04755463662</v>
      </c>
      <c r="W79" s="21">
        <f t="shared" si="32"/>
        <v>1141101.4279917297</v>
      </c>
      <c r="X79" s="178"/>
      <c r="Y79" s="246"/>
    </row>
    <row r="80" spans="1:25" ht="12.5">
      <c r="A80" s="222"/>
      <c r="B80" s="247"/>
      <c r="C80" s="224"/>
      <c r="D80" s="227"/>
      <c r="E80" s="227"/>
      <c r="F80" s="243"/>
      <c r="G80" s="244"/>
      <c r="H80" s="244"/>
      <c r="I80" s="26" t="s">
        <v>122</v>
      </c>
      <c r="J80" s="26">
        <v>15</v>
      </c>
      <c r="K80" s="26">
        <v>56900000</v>
      </c>
      <c r="L80" s="26">
        <f>71646000-3200000</f>
        <v>68446000</v>
      </c>
      <c r="M80" s="26">
        <f>66596000-3200000</f>
        <v>63396000</v>
      </c>
      <c r="N80" s="26">
        <v>1256400</v>
      </c>
      <c r="O80" s="44">
        <v>0</v>
      </c>
      <c r="P80" s="26">
        <f t="shared" si="30"/>
        <v>64652400</v>
      </c>
      <c r="Q80" s="26">
        <v>18146000</v>
      </c>
      <c r="R80" s="33">
        <f t="shared" si="31"/>
        <v>0.26511410454957191</v>
      </c>
      <c r="S80" s="97">
        <v>5135483.8709677421</v>
      </c>
      <c r="T80" s="26">
        <f t="shared" si="15"/>
        <v>52647620.737986997</v>
      </c>
      <c r="U80" s="46">
        <f t="shared" si="22"/>
        <v>92.526574231963082</v>
      </c>
      <c r="V80" s="16">
        <f>U80*119000/95</f>
        <v>115901.70877477482</v>
      </c>
      <c r="W80" s="15">
        <f t="shared" si="32"/>
        <v>1738525.6316216222</v>
      </c>
      <c r="X80" s="178"/>
      <c r="Y80" s="246"/>
    </row>
    <row r="81" spans="1:25" s="37" customFormat="1" ht="12.5">
      <c r="A81" s="222"/>
      <c r="B81" s="247"/>
      <c r="C81" s="224"/>
      <c r="D81" s="227"/>
      <c r="E81" s="227"/>
      <c r="F81" s="243"/>
      <c r="G81" s="244"/>
      <c r="H81" s="244"/>
      <c r="I81" s="26" t="s">
        <v>123</v>
      </c>
      <c r="J81" s="26">
        <v>7</v>
      </c>
      <c r="K81" s="26">
        <v>19000000</v>
      </c>
      <c r="L81" s="30">
        <v>26142000</v>
      </c>
      <c r="M81" s="30">
        <v>26142000</v>
      </c>
      <c r="N81" s="30">
        <v>0</v>
      </c>
      <c r="O81" s="32">
        <v>0</v>
      </c>
      <c r="P81" s="30">
        <f t="shared" si="30"/>
        <v>26142000</v>
      </c>
      <c r="Q81" s="30">
        <v>7542000</v>
      </c>
      <c r="R81" s="33">
        <f t="shared" si="31"/>
        <v>0.28850126233647005</v>
      </c>
      <c r="S81" s="98"/>
      <c r="T81" s="30">
        <f t="shared" si="15"/>
        <v>18600000</v>
      </c>
      <c r="U81" s="34">
        <f t="shared" si="22"/>
        <v>97.894736842105274</v>
      </c>
      <c r="V81" s="16">
        <f>U81*130000/100</f>
        <v>127263.15789473687</v>
      </c>
      <c r="W81" s="16">
        <f t="shared" si="32"/>
        <v>890842.1052631581</v>
      </c>
      <c r="X81" s="263"/>
      <c r="Y81" s="246"/>
    </row>
    <row r="82" spans="1:25" s="37" customFormat="1" ht="15.5">
      <c r="A82" s="222"/>
      <c r="B82" s="247"/>
      <c r="C82" s="224"/>
      <c r="D82" s="227"/>
      <c r="E82" s="227"/>
      <c r="F82" s="243"/>
      <c r="G82" s="244"/>
      <c r="H82" s="244"/>
      <c r="I82" s="26" t="s">
        <v>124</v>
      </c>
      <c r="J82" s="26">
        <v>9</v>
      </c>
      <c r="K82" s="32">
        <v>40500000</v>
      </c>
      <c r="L82" s="26">
        <v>48517567</v>
      </c>
      <c r="M82" s="26">
        <v>48517463</v>
      </c>
      <c r="N82" s="26">
        <v>0</v>
      </c>
      <c r="O82" s="26">
        <v>0</v>
      </c>
      <c r="P82" s="30">
        <f t="shared" si="30"/>
        <v>48517463</v>
      </c>
      <c r="Q82" s="26">
        <v>12882900</v>
      </c>
      <c r="R82" s="33">
        <f t="shared" si="31"/>
        <v>0.2655306272880501</v>
      </c>
      <c r="S82" s="99"/>
      <c r="T82" s="30">
        <f t="shared" si="15"/>
        <v>35634590.615185238</v>
      </c>
      <c r="U82" s="34">
        <f t="shared" si="22"/>
        <v>87.98664349428455</v>
      </c>
      <c r="V82" s="63">
        <f>U82*109000/90</f>
        <v>106561.60156530018</v>
      </c>
      <c r="W82" s="16">
        <f t="shared" si="32"/>
        <v>959054.41408770159</v>
      </c>
      <c r="X82" s="263"/>
      <c r="Y82" s="246"/>
    </row>
    <row r="83" spans="1:25" ht="12.5">
      <c r="A83" s="222"/>
      <c r="B83" s="247"/>
      <c r="C83" s="224"/>
      <c r="D83" s="227"/>
      <c r="E83" s="227"/>
      <c r="F83" s="243"/>
      <c r="G83" s="244"/>
      <c r="H83" s="244"/>
      <c r="I83" s="26" t="s">
        <v>126</v>
      </c>
      <c r="J83" s="37">
        <v>15</v>
      </c>
      <c r="K83" s="25">
        <v>67300000</v>
      </c>
      <c r="L83" s="66">
        <v>100286000</v>
      </c>
      <c r="M83" s="66">
        <v>100286000</v>
      </c>
      <c r="N83" s="66">
        <v>0</v>
      </c>
      <c r="O83" s="66">
        <v>0</v>
      </c>
      <c r="P83" s="26">
        <f t="shared" si="30"/>
        <v>100286000</v>
      </c>
      <c r="Q83" s="66">
        <v>32486000</v>
      </c>
      <c r="R83" s="45">
        <f t="shared" si="31"/>
        <v>0.32393355004686597</v>
      </c>
      <c r="S83" s="97"/>
      <c r="T83" s="26">
        <f t="shared" si="15"/>
        <v>67800000</v>
      </c>
      <c r="U83" s="46">
        <f t="shared" si="22"/>
        <v>100.74294205052006</v>
      </c>
      <c r="V83" s="16">
        <f>U83*130000/100</f>
        <v>130965.82466567607</v>
      </c>
      <c r="W83" s="16">
        <f t="shared" si="32"/>
        <v>1964487.3699851411</v>
      </c>
      <c r="X83" s="263"/>
      <c r="Y83" s="246"/>
    </row>
    <row r="84" spans="1:25" ht="12.5">
      <c r="A84" s="222"/>
      <c r="B84" s="247"/>
      <c r="C84" s="224"/>
      <c r="D84" s="227"/>
      <c r="E84" s="227"/>
      <c r="F84" s="243"/>
      <c r="G84" s="244"/>
      <c r="H84" s="244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263"/>
      <c r="Y84" s="246"/>
    </row>
    <row r="85" spans="1:25" ht="13">
      <c r="A85" s="179"/>
      <c r="B85" s="180"/>
      <c r="C85" s="258"/>
      <c r="D85" s="227"/>
      <c r="E85" s="262"/>
      <c r="F85" s="243"/>
      <c r="G85" s="244"/>
      <c r="H85" s="244"/>
      <c r="I85" s="59">
        <v>12</v>
      </c>
      <c r="J85" s="52">
        <f t="shared" ref="J85:Q85" si="33">SUM(J72:J84)</f>
        <v>173</v>
      </c>
      <c r="K85" s="52">
        <f t="shared" si="33"/>
        <v>672100000</v>
      </c>
      <c r="L85" s="52">
        <f t="shared" si="33"/>
        <v>874306567</v>
      </c>
      <c r="M85" s="52">
        <f t="shared" si="33"/>
        <v>822103463</v>
      </c>
      <c r="N85" s="52">
        <f t="shared" si="33"/>
        <v>15708600</v>
      </c>
      <c r="O85" s="52">
        <f t="shared" si="33"/>
        <v>1696800</v>
      </c>
      <c r="P85" s="52">
        <f t="shared" si="33"/>
        <v>839508863</v>
      </c>
      <c r="Q85" s="52">
        <f t="shared" si="33"/>
        <v>248841900</v>
      </c>
      <c r="R85" s="61"/>
      <c r="S85" s="52">
        <f>SUM(S72:S83)</f>
        <v>20722580.645161293</v>
      </c>
      <c r="T85" s="52">
        <f>SUM(T72:T84)</f>
        <v>620932725.37145412</v>
      </c>
      <c r="U85" s="55">
        <f>(T85/K85)*100</f>
        <v>92.386955121478081</v>
      </c>
      <c r="V85" s="74"/>
      <c r="W85" s="52">
        <f>SUM(W72:W83)</f>
        <v>19807114.330337822</v>
      </c>
      <c r="X85" s="263"/>
      <c r="Y85" s="246"/>
    </row>
    <row r="86" spans="1:25" ht="12.5">
      <c r="A86" s="251" t="s">
        <v>84</v>
      </c>
      <c r="B86" s="266" t="s">
        <v>128</v>
      </c>
      <c r="C86" s="263" t="s">
        <v>35</v>
      </c>
      <c r="D86" s="181"/>
      <c r="E86" s="181">
        <v>500000</v>
      </c>
      <c r="F86" s="181">
        <v>500000</v>
      </c>
      <c r="G86" s="181"/>
      <c r="H86" s="181"/>
      <c r="I86" s="26" t="s">
        <v>130</v>
      </c>
      <c r="J86" s="26">
        <v>8</v>
      </c>
      <c r="K86" s="26">
        <v>30400000</v>
      </c>
      <c r="L86" s="56">
        <v>38820000</v>
      </c>
      <c r="M86" s="56">
        <v>31540000</v>
      </c>
      <c r="N86" s="56">
        <v>1825200</v>
      </c>
      <c r="O86" s="56">
        <v>0</v>
      </c>
      <c r="P86" s="14">
        <f>SUM(M86:O86)</f>
        <v>33365200</v>
      </c>
      <c r="Q86" s="56">
        <v>11770000</v>
      </c>
      <c r="R86" s="45">
        <f t="shared" ref="R86:R97" si="34">Q86/L86</f>
        <v>0.30319422977846472</v>
      </c>
      <c r="S86" s="56"/>
      <c r="T86" s="26">
        <f>P86-(P86*R86)+S86</f>
        <v>23249063.884595569</v>
      </c>
      <c r="U86" s="46">
        <f>(T86/K86)*100</f>
        <v>76.477183830906483</v>
      </c>
      <c r="V86" s="12">
        <f>U86*75000/75</f>
        <v>76477.183830906491</v>
      </c>
      <c r="W86" s="21">
        <f>V86*J86</f>
        <v>611817.47064725193</v>
      </c>
      <c r="X86" s="181">
        <f>W99+D86+G86+F86+H86+E86</f>
        <v>19905548.231297318</v>
      </c>
      <c r="Y86" s="101"/>
    </row>
    <row r="87" spans="1:25" ht="12.5">
      <c r="A87" s="251"/>
      <c r="B87" s="266"/>
      <c r="C87" s="182"/>
      <c r="D87" s="244"/>
      <c r="E87" s="244"/>
      <c r="F87" s="244"/>
      <c r="G87" s="244"/>
      <c r="H87" s="244"/>
      <c r="I87" s="26" t="s">
        <v>38</v>
      </c>
      <c r="J87" s="26">
        <v>6</v>
      </c>
      <c r="K87" s="26">
        <v>26100000</v>
      </c>
      <c r="L87" s="56">
        <v>31195600</v>
      </c>
      <c r="M87" s="56">
        <v>26486000</v>
      </c>
      <c r="N87" s="56">
        <v>0</v>
      </c>
      <c r="O87" s="56">
        <v>0</v>
      </c>
      <c r="P87" s="14">
        <f t="shared" ref="P87:P88" si="35">SUM(M87:O87)</f>
        <v>26486000</v>
      </c>
      <c r="Q87" s="56">
        <v>7895600</v>
      </c>
      <c r="R87" s="45">
        <f t="shared" si="34"/>
        <v>0.25309979612509459</v>
      </c>
      <c r="S87" s="56"/>
      <c r="T87" s="26">
        <f t="shared" ref="T87:T97" si="36">P87-(P87*R87)+S87</f>
        <v>19782398.799830746</v>
      </c>
      <c r="U87" s="46">
        <f t="shared" ref="U87:U88" si="37">(T87/K87)*100</f>
        <v>75.794631416976031</v>
      </c>
      <c r="V87" s="12">
        <f>U87*75000/75</f>
        <v>75794.63141697603</v>
      </c>
      <c r="W87" s="21">
        <f t="shared" ref="W87:W97" si="38">V87*J87</f>
        <v>454767.78850185615</v>
      </c>
      <c r="X87" s="244"/>
      <c r="Y87" s="101"/>
    </row>
    <row r="88" spans="1:25" ht="12.5">
      <c r="A88" s="251"/>
      <c r="B88" s="266"/>
      <c r="C88" s="182"/>
      <c r="D88" s="244"/>
      <c r="E88" s="244"/>
      <c r="F88" s="244"/>
      <c r="G88" s="244"/>
      <c r="H88" s="244"/>
      <c r="I88" s="26" t="s">
        <v>39</v>
      </c>
      <c r="J88" s="26">
        <v>13</v>
      </c>
      <c r="K88" s="26">
        <v>48000000</v>
      </c>
      <c r="L88" s="56">
        <v>57868000</v>
      </c>
      <c r="M88" s="56">
        <v>53213000</v>
      </c>
      <c r="N88" s="56">
        <v>4189500</v>
      </c>
      <c r="O88" s="56">
        <v>0</v>
      </c>
      <c r="P88" s="14">
        <f t="shared" si="35"/>
        <v>57402500</v>
      </c>
      <c r="Q88" s="56">
        <v>15068000</v>
      </c>
      <c r="R88" s="45">
        <f t="shared" si="34"/>
        <v>0.26038570539849309</v>
      </c>
      <c r="S88" s="56">
        <v>2661290.3225806449</v>
      </c>
      <c r="T88" s="26">
        <f t="shared" si="36"/>
        <v>45116999.868443646</v>
      </c>
      <c r="U88" s="46">
        <f t="shared" si="37"/>
        <v>93.99374972592426</v>
      </c>
      <c r="V88" s="12">
        <f>U88*119000/95</f>
        <v>117739.53913036828</v>
      </c>
      <c r="W88" s="21">
        <f t="shared" si="38"/>
        <v>1530614.0086947877</v>
      </c>
      <c r="X88" s="244"/>
      <c r="Y88" s="101"/>
    </row>
    <row r="89" spans="1:25" ht="12.5">
      <c r="A89" s="251"/>
      <c r="B89" s="266"/>
      <c r="C89" s="182"/>
      <c r="D89" s="244"/>
      <c r="E89" s="244"/>
      <c r="F89" s="244"/>
      <c r="G89" s="244"/>
      <c r="H89" s="244"/>
      <c r="I89" s="26" t="s">
        <v>131</v>
      </c>
      <c r="J89" s="26">
        <v>6</v>
      </c>
      <c r="K89" s="26">
        <v>37500000</v>
      </c>
      <c r="L89" s="56">
        <v>43593000</v>
      </c>
      <c r="M89" s="56">
        <v>35901000</v>
      </c>
      <c r="N89" s="56">
        <v>0</v>
      </c>
      <c r="O89" s="56">
        <v>0</v>
      </c>
      <c r="P89" s="14">
        <f>SUM(M89:O89)</f>
        <v>35901000</v>
      </c>
      <c r="Q89" s="56">
        <v>9493000</v>
      </c>
      <c r="R89" s="45">
        <f t="shared" si="34"/>
        <v>0.21776431995962656</v>
      </c>
      <c r="S89" s="56"/>
      <c r="T89" s="26">
        <f t="shared" si="36"/>
        <v>28083043.149129447</v>
      </c>
      <c r="U89" s="46">
        <f>(T89/K89)*100</f>
        <v>74.8881150643452</v>
      </c>
      <c r="V89" s="12">
        <f>U89*74000/75</f>
        <v>73889.606863487264</v>
      </c>
      <c r="W89" s="21">
        <f t="shared" si="38"/>
        <v>443337.64118092356</v>
      </c>
      <c r="X89" s="244"/>
      <c r="Y89" s="101"/>
    </row>
    <row r="90" spans="1:25" ht="12.5">
      <c r="A90" s="251"/>
      <c r="B90" s="266"/>
      <c r="C90" s="182"/>
      <c r="D90" s="244"/>
      <c r="E90" s="244"/>
      <c r="F90" s="244"/>
      <c r="G90" s="244"/>
      <c r="H90" s="244"/>
      <c r="I90" s="30" t="s">
        <v>132</v>
      </c>
      <c r="J90" s="30">
        <v>17</v>
      </c>
      <c r="K90" s="32">
        <v>54500000</v>
      </c>
      <c r="L90" s="56">
        <v>68514000</v>
      </c>
      <c r="M90" s="56">
        <v>63050000</v>
      </c>
      <c r="N90" s="56">
        <v>0</v>
      </c>
      <c r="O90" s="56">
        <v>0</v>
      </c>
      <c r="P90" s="14">
        <f>SUM(M90:O90)</f>
        <v>63050000</v>
      </c>
      <c r="Q90" s="56">
        <v>18514000</v>
      </c>
      <c r="R90" s="45">
        <f t="shared" si="34"/>
        <v>0.27022214437925096</v>
      </c>
      <c r="S90" s="56">
        <v>3922581</v>
      </c>
      <c r="T90" s="26">
        <f t="shared" si="36"/>
        <v>49935074.796888232</v>
      </c>
      <c r="U90" s="46">
        <f>(T90/K90)*100</f>
        <v>91.623990453005931</v>
      </c>
      <c r="V90" s="12">
        <f>U90*110000/90</f>
        <v>111984.8772203406</v>
      </c>
      <c r="W90" s="21">
        <f t="shared" si="38"/>
        <v>1903742.9127457901</v>
      </c>
      <c r="X90" s="244"/>
      <c r="Y90" s="101"/>
    </row>
    <row r="91" spans="1:25" ht="12.5">
      <c r="A91" s="251"/>
      <c r="B91" s="266"/>
      <c r="C91" s="182"/>
      <c r="D91" s="244"/>
      <c r="E91" s="244"/>
      <c r="F91" s="244"/>
      <c r="G91" s="244"/>
      <c r="H91" s="244"/>
      <c r="I91" s="26" t="s">
        <v>40</v>
      </c>
      <c r="J91" s="26">
        <v>10</v>
      </c>
      <c r="K91" s="26">
        <v>40000000</v>
      </c>
      <c r="L91" s="56">
        <v>57183000</v>
      </c>
      <c r="M91" s="56">
        <v>57183000</v>
      </c>
      <c r="N91" s="56">
        <v>0</v>
      </c>
      <c r="O91" s="56">
        <v>0</v>
      </c>
      <c r="P91" s="14">
        <f t="shared" ref="P91:P92" si="39">SUM(M91:O91)</f>
        <v>57183000</v>
      </c>
      <c r="Q91" s="56">
        <v>17583000</v>
      </c>
      <c r="R91" s="45">
        <f t="shared" si="34"/>
        <v>0.30748649074025497</v>
      </c>
      <c r="S91" s="56"/>
      <c r="T91" s="26">
        <f t="shared" si="36"/>
        <v>39600000</v>
      </c>
      <c r="U91" s="46">
        <f t="shared" ref="U91:U93" si="40">(T91/K91)*100</f>
        <v>99</v>
      </c>
      <c r="V91" s="12">
        <f>U91*130000/100</f>
        <v>128700</v>
      </c>
      <c r="W91" s="21">
        <f t="shared" si="38"/>
        <v>1287000</v>
      </c>
      <c r="X91" s="244"/>
      <c r="Y91" s="101"/>
    </row>
    <row r="92" spans="1:25" ht="12.5">
      <c r="A92" s="251"/>
      <c r="B92" s="266"/>
      <c r="C92" s="182"/>
      <c r="D92" s="244"/>
      <c r="E92" s="244"/>
      <c r="F92" s="244"/>
      <c r="G92" s="244"/>
      <c r="H92" s="244"/>
      <c r="I92" s="26" t="s">
        <v>71</v>
      </c>
      <c r="J92" s="26">
        <v>12</v>
      </c>
      <c r="K92" s="26">
        <v>57600000</v>
      </c>
      <c r="L92" s="56">
        <v>76298000</v>
      </c>
      <c r="M92" s="56">
        <v>70194000</v>
      </c>
      <c r="N92" s="56">
        <v>0</v>
      </c>
      <c r="O92" s="56">
        <v>0</v>
      </c>
      <c r="P92" s="14">
        <f t="shared" si="39"/>
        <v>70194000</v>
      </c>
      <c r="Q92" s="56">
        <v>22298000</v>
      </c>
      <c r="R92" s="45">
        <f t="shared" si="34"/>
        <v>0.29224881386143803</v>
      </c>
      <c r="S92" s="56">
        <v>1596774.1935483869</v>
      </c>
      <c r="T92" s="26">
        <f t="shared" si="36"/>
        <v>51276660.953358613</v>
      </c>
      <c r="U92" s="46">
        <f t="shared" si="40"/>
        <v>89.021980821803155</v>
      </c>
      <c r="V92" s="12">
        <f>U92*109000/90</f>
        <v>107815.51010640604</v>
      </c>
      <c r="W92" s="21">
        <f t="shared" si="38"/>
        <v>1293786.1212768725</v>
      </c>
      <c r="X92" s="244"/>
      <c r="Y92" s="101"/>
    </row>
    <row r="93" spans="1:25" ht="12.5">
      <c r="A93" s="251"/>
      <c r="B93" s="266"/>
      <c r="C93" s="182"/>
      <c r="D93" s="244"/>
      <c r="E93" s="244"/>
      <c r="F93" s="244"/>
      <c r="G93" s="244"/>
      <c r="H93" s="244"/>
      <c r="I93" s="26" t="s">
        <v>133</v>
      </c>
      <c r="J93" s="83">
        <v>18</v>
      </c>
      <c r="K93" s="56">
        <v>64200000</v>
      </c>
      <c r="L93" s="56">
        <v>85069000</v>
      </c>
      <c r="M93" s="56">
        <v>72717000</v>
      </c>
      <c r="N93" s="56">
        <v>8733600</v>
      </c>
      <c r="O93" s="56">
        <v>1853599.9999999998</v>
      </c>
      <c r="P93" s="14">
        <f>SUM(M93:O93)</f>
        <v>83304200</v>
      </c>
      <c r="Q93" s="56">
        <v>24439000</v>
      </c>
      <c r="R93" s="45">
        <f t="shared" si="34"/>
        <v>0.2872844396901339</v>
      </c>
      <c r="S93" s="56"/>
      <c r="T93" s="26">
        <f t="shared" si="36"/>
        <v>59372199.579165146</v>
      </c>
      <c r="U93" s="46">
        <f t="shared" si="40"/>
        <v>92.480061649789945</v>
      </c>
      <c r="V93" s="12">
        <f>U93*110000/90</f>
        <v>113031.18646085438</v>
      </c>
      <c r="W93" s="21">
        <f t="shared" si="38"/>
        <v>2034561.3562953789</v>
      </c>
      <c r="X93" s="244"/>
      <c r="Y93" s="101"/>
    </row>
    <row r="94" spans="1:25" ht="12.5">
      <c r="A94" s="251"/>
      <c r="B94" s="266"/>
      <c r="C94" s="182"/>
      <c r="D94" s="244"/>
      <c r="E94" s="244"/>
      <c r="F94" s="244"/>
      <c r="G94" s="244"/>
      <c r="H94" s="244"/>
      <c r="I94" s="26" t="s">
        <v>134</v>
      </c>
      <c r="J94" s="83">
        <v>10</v>
      </c>
      <c r="K94" s="56">
        <v>35200000</v>
      </c>
      <c r="L94" s="56">
        <v>46949000</v>
      </c>
      <c r="M94" s="102">
        <v>40513000</v>
      </c>
      <c r="N94" s="56">
        <v>5792400</v>
      </c>
      <c r="O94" s="56">
        <v>0</v>
      </c>
      <c r="P94" s="14">
        <f t="shared" ref="P94:P97" si="41">SUM(M94:O94)</f>
        <v>46305400</v>
      </c>
      <c r="Q94" s="56">
        <v>11849000</v>
      </c>
      <c r="R94" s="45">
        <f t="shared" si="34"/>
        <v>0.25238024239067924</v>
      </c>
      <c r="S94" s="56"/>
      <c r="T94" s="26">
        <f t="shared" si="36"/>
        <v>34618831.92400264</v>
      </c>
      <c r="U94" s="46">
        <f>(T94/K94)*100</f>
        <v>98.348954329552953</v>
      </c>
      <c r="V94" s="12">
        <f>U94*130000/100</f>
        <v>127853.64062841884</v>
      </c>
      <c r="W94" s="21">
        <f t="shared" si="38"/>
        <v>1278536.4062841884</v>
      </c>
      <c r="X94" s="244"/>
      <c r="Y94" s="101"/>
    </row>
    <row r="95" spans="1:25" ht="13">
      <c r="A95" s="251"/>
      <c r="B95" s="266"/>
      <c r="C95" s="182"/>
      <c r="D95" s="244"/>
      <c r="E95" s="244"/>
      <c r="F95" s="244"/>
      <c r="G95" s="244"/>
      <c r="H95" s="244"/>
      <c r="I95" s="26" t="s">
        <v>135</v>
      </c>
      <c r="J95" s="56">
        <v>26</v>
      </c>
      <c r="K95" s="56">
        <v>140500000</v>
      </c>
      <c r="L95" s="56">
        <v>180651000</v>
      </c>
      <c r="M95" s="56">
        <v>180652000</v>
      </c>
      <c r="N95" s="56">
        <v>0</v>
      </c>
      <c r="O95" s="56">
        <v>0</v>
      </c>
      <c r="P95" s="14">
        <f t="shared" si="41"/>
        <v>180652000</v>
      </c>
      <c r="Q95" s="56">
        <v>44251000</v>
      </c>
      <c r="R95" s="45">
        <f t="shared" si="34"/>
        <v>0.24495297562703777</v>
      </c>
      <c r="S95" s="72"/>
      <c r="T95" s="26">
        <f t="shared" si="36"/>
        <v>136400755.04702437</v>
      </c>
      <c r="U95" s="46">
        <f>(T95/K95)*100</f>
        <v>97.082387933825174</v>
      </c>
      <c r="V95" s="12">
        <f>U95*120000/95</f>
        <v>122630.38475851601</v>
      </c>
      <c r="W95" s="21">
        <f t="shared" si="38"/>
        <v>3188390.0037214165</v>
      </c>
      <c r="X95" s="244"/>
      <c r="Y95" s="101"/>
    </row>
    <row r="96" spans="1:25" ht="13">
      <c r="A96" s="251"/>
      <c r="B96" s="266"/>
      <c r="C96" s="182"/>
      <c r="D96" s="244"/>
      <c r="E96" s="244"/>
      <c r="F96" s="244"/>
      <c r="G96" s="244"/>
      <c r="H96" s="244"/>
      <c r="I96" s="26" t="s">
        <v>136</v>
      </c>
      <c r="J96" s="56">
        <v>18</v>
      </c>
      <c r="K96" s="56">
        <v>74900000</v>
      </c>
      <c r="L96" s="56">
        <v>98594000</v>
      </c>
      <c r="M96" s="56">
        <v>91462000</v>
      </c>
      <c r="N96" s="56">
        <v>0</v>
      </c>
      <c r="O96" s="56">
        <v>0</v>
      </c>
      <c r="P96" s="14">
        <f t="shared" si="41"/>
        <v>91462000</v>
      </c>
      <c r="Q96" s="72">
        <v>28262000</v>
      </c>
      <c r="R96" s="45">
        <f t="shared" si="34"/>
        <v>0.28665030326389029</v>
      </c>
      <c r="S96" s="56">
        <v>3225806.4516129033</v>
      </c>
      <c r="T96" s="26">
        <f t="shared" si="36"/>
        <v>68470196.414490968</v>
      </c>
      <c r="U96" s="46">
        <f>(T96/K96)*100</f>
        <v>91.415482529360432</v>
      </c>
      <c r="V96" s="12">
        <f>U96*110000/90</f>
        <v>111730.03420255163</v>
      </c>
      <c r="W96" s="21">
        <f t="shared" si="38"/>
        <v>2011140.6156459292</v>
      </c>
      <c r="X96" s="244"/>
      <c r="Y96" s="101"/>
    </row>
    <row r="97" spans="1:25" ht="13">
      <c r="A97" s="251"/>
      <c r="B97" s="266"/>
      <c r="C97" s="182"/>
      <c r="D97" s="244"/>
      <c r="E97" s="244"/>
      <c r="F97" s="244"/>
      <c r="G97" s="244"/>
      <c r="H97" s="244"/>
      <c r="I97" s="30" t="s">
        <v>137</v>
      </c>
      <c r="J97" s="77">
        <v>27</v>
      </c>
      <c r="K97" s="77">
        <v>115900000</v>
      </c>
      <c r="L97" s="77">
        <v>149232000</v>
      </c>
      <c r="M97" s="77">
        <v>123588000</v>
      </c>
      <c r="N97" s="77">
        <v>6480000</v>
      </c>
      <c r="O97" s="77">
        <v>3535000</v>
      </c>
      <c r="P97" s="23">
        <f t="shared" si="41"/>
        <v>133603000</v>
      </c>
      <c r="Q97" s="115">
        <v>40332000</v>
      </c>
      <c r="R97" s="33">
        <f t="shared" si="34"/>
        <v>0.27026375040205852</v>
      </c>
      <c r="S97" s="77">
        <v>4151612.9032258065</v>
      </c>
      <c r="T97" s="30">
        <f t="shared" si="36"/>
        <v>101646565.05825958</v>
      </c>
      <c r="U97" s="34">
        <f>(T97/K97)*100</f>
        <v>87.701954321190314</v>
      </c>
      <c r="V97" s="12">
        <f>U97*109000/90</f>
        <v>106216.81134455273</v>
      </c>
      <c r="W97" s="21">
        <f t="shared" si="38"/>
        <v>2867853.9063029238</v>
      </c>
      <c r="X97" s="244"/>
      <c r="Y97" s="101"/>
    </row>
    <row r="98" spans="1:25" ht="12.5">
      <c r="A98" s="251"/>
      <c r="B98" s="266"/>
      <c r="C98" s="260"/>
      <c r="D98" s="244"/>
      <c r="E98" s="244"/>
      <c r="F98" s="244"/>
      <c r="G98" s="244"/>
      <c r="H98" s="244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16"/>
      <c r="Y98" s="101"/>
    </row>
    <row r="99" spans="1:25" ht="13">
      <c r="A99" s="179"/>
      <c r="B99" s="180"/>
      <c r="C99" s="261"/>
      <c r="D99" s="245"/>
      <c r="E99" s="245"/>
      <c r="F99" s="245"/>
      <c r="G99" s="245"/>
      <c r="H99" s="245"/>
      <c r="I99" s="59">
        <v>12</v>
      </c>
      <c r="J99" s="52">
        <f>SUM(J86:J97)</f>
        <v>171</v>
      </c>
      <c r="K99" s="52">
        <f t="shared" ref="K99:Q99" si="42">SUM(K86:K97)</f>
        <v>724800000</v>
      </c>
      <c r="L99" s="52">
        <f t="shared" si="42"/>
        <v>933966600</v>
      </c>
      <c r="M99" s="52">
        <f>SUM(M86:M97)</f>
        <v>846499000</v>
      </c>
      <c r="N99" s="52">
        <f t="shared" si="42"/>
        <v>27020700</v>
      </c>
      <c r="O99" s="52">
        <f t="shared" si="42"/>
        <v>5388600</v>
      </c>
      <c r="P99" s="52">
        <f t="shared" si="42"/>
        <v>878908300</v>
      </c>
      <c r="Q99" s="52">
        <f t="shared" si="42"/>
        <v>251754600</v>
      </c>
      <c r="R99" s="61"/>
      <c r="S99" s="52">
        <f>SUM(S86:S97)</f>
        <v>15558064.870967742</v>
      </c>
      <c r="T99" s="52">
        <f>SUM(T86:T97)</f>
        <v>657551789.47518897</v>
      </c>
      <c r="U99" s="55">
        <f>(T99/K99)*100</f>
        <v>90.721825258718127</v>
      </c>
      <c r="V99" s="74"/>
      <c r="W99" s="52">
        <f>SUM(W86:W97)</f>
        <v>18905548.231297318</v>
      </c>
      <c r="X99" s="24"/>
      <c r="Y99" s="101"/>
    </row>
    <row r="100" spans="1:25" ht="13" customHeight="1">
      <c r="A100" s="281" t="s">
        <v>97</v>
      </c>
      <c r="B100" s="180" t="s">
        <v>139</v>
      </c>
      <c r="C100" s="283" t="s">
        <v>35</v>
      </c>
      <c r="D100" s="226"/>
      <c r="E100" s="227">
        <v>500000</v>
      </c>
      <c r="F100" s="243">
        <v>500000</v>
      </c>
      <c r="G100" s="181"/>
      <c r="H100" s="181"/>
      <c r="I100" s="26" t="s">
        <v>140</v>
      </c>
      <c r="J100" s="26">
        <v>9</v>
      </c>
      <c r="K100" s="26">
        <v>29000000</v>
      </c>
      <c r="L100" s="103">
        <v>42134000</v>
      </c>
      <c r="M100" s="103">
        <v>37022000</v>
      </c>
      <c r="N100" s="103">
        <v>0</v>
      </c>
      <c r="O100" s="103">
        <v>0</v>
      </c>
      <c r="P100" s="26">
        <f>SUM(M100:O100)</f>
        <v>37022000</v>
      </c>
      <c r="Q100" s="103">
        <v>13834000</v>
      </c>
      <c r="R100" s="45">
        <f>Q100/L100</f>
        <v>0.32833341244600561</v>
      </c>
      <c r="S100" s="103">
        <v>2022580.6451612902</v>
      </c>
      <c r="T100" s="26">
        <f>P100-(P100*R100)+S100</f>
        <v>26889021.049585272</v>
      </c>
      <c r="U100" s="46">
        <f t="shared" ref="U100:U110" si="43">(T100/K100)*100</f>
        <v>92.720762239949224</v>
      </c>
      <c r="V100" s="12">
        <f>U100*119000/95</f>
        <v>116144.95480583113</v>
      </c>
      <c r="W100" s="58">
        <f>V100*J100</f>
        <v>1045304.5932524803</v>
      </c>
      <c r="X100" s="181">
        <f>D100+F100+G100+H100+W111+E100</f>
        <v>18295050.984188333</v>
      </c>
      <c r="Y100" s="101"/>
    </row>
    <row r="101" spans="1:25" ht="13" customHeight="1">
      <c r="A101" s="281"/>
      <c r="B101" s="180"/>
      <c r="C101" s="258"/>
      <c r="D101" s="227"/>
      <c r="E101" s="227"/>
      <c r="F101" s="243"/>
      <c r="G101" s="244"/>
      <c r="H101" s="244"/>
      <c r="I101" s="26" t="s">
        <v>141</v>
      </c>
      <c r="J101" s="26">
        <v>8</v>
      </c>
      <c r="K101" s="26">
        <v>30600000</v>
      </c>
      <c r="L101" s="103">
        <v>35150000</v>
      </c>
      <c r="M101" s="103">
        <v>35150000</v>
      </c>
      <c r="N101" s="103">
        <v>0</v>
      </c>
      <c r="O101" s="103">
        <v>0</v>
      </c>
      <c r="P101" s="26">
        <f t="shared" ref="P101:P110" si="44">SUM(M101:O101)</f>
        <v>35150000</v>
      </c>
      <c r="Q101" s="103">
        <v>9550000</v>
      </c>
      <c r="R101" s="45">
        <f t="shared" ref="R101:R119" si="45">Q101/L101</f>
        <v>0.27169274537695592</v>
      </c>
      <c r="S101" s="103">
        <v>2851612.9032258065</v>
      </c>
      <c r="T101" s="26">
        <f t="shared" ref="T101:T110" si="46">P101-(P101*R101)+S101</f>
        <v>28451612.903225806</v>
      </c>
      <c r="U101" s="46">
        <f t="shared" si="43"/>
        <v>92.979127134724862</v>
      </c>
      <c r="V101" s="12">
        <f>U101*119000/95</f>
        <v>116468.59083191851</v>
      </c>
      <c r="W101" s="58">
        <f t="shared" ref="W101:W110" si="47">V101*J101</f>
        <v>931748.72665534809</v>
      </c>
      <c r="X101" s="244"/>
      <c r="Y101" s="101"/>
    </row>
    <row r="102" spans="1:25" ht="13" customHeight="1">
      <c r="A102" s="281"/>
      <c r="B102" s="180"/>
      <c r="C102" s="258"/>
      <c r="D102" s="227"/>
      <c r="E102" s="227"/>
      <c r="F102" s="243"/>
      <c r="G102" s="244"/>
      <c r="H102" s="244"/>
      <c r="I102" s="66" t="s">
        <v>142</v>
      </c>
      <c r="J102" s="66">
        <v>11</v>
      </c>
      <c r="K102" s="44">
        <v>37400000</v>
      </c>
      <c r="L102" s="103">
        <f>51160000-2700000</f>
        <v>48460000</v>
      </c>
      <c r="M102" s="103">
        <f>51180000-2700000</f>
        <v>48480000</v>
      </c>
      <c r="N102" s="103">
        <v>0</v>
      </c>
      <c r="O102" s="103">
        <v>0</v>
      </c>
      <c r="P102" s="26">
        <f t="shared" si="44"/>
        <v>48480000</v>
      </c>
      <c r="Q102" s="103">
        <v>14260000</v>
      </c>
      <c r="R102" s="45">
        <f t="shared" si="45"/>
        <v>0.29426330994634753</v>
      </c>
      <c r="S102" s="103"/>
      <c r="T102" s="26">
        <f t="shared" si="46"/>
        <v>34214114.733801074</v>
      </c>
      <c r="U102" s="46">
        <f t="shared" si="43"/>
        <v>91.481590197329083</v>
      </c>
      <c r="V102" s="12">
        <f>U102*110000/90</f>
        <v>111810.83246340221</v>
      </c>
      <c r="W102" s="58">
        <f t="shared" si="47"/>
        <v>1229919.1570974244</v>
      </c>
      <c r="X102" s="244"/>
      <c r="Y102" s="101"/>
    </row>
    <row r="103" spans="1:25" ht="13" customHeight="1">
      <c r="A103" s="281"/>
      <c r="B103" s="180"/>
      <c r="C103" s="258"/>
      <c r="D103" s="227"/>
      <c r="E103" s="227"/>
      <c r="F103" s="243"/>
      <c r="G103" s="244"/>
      <c r="H103" s="244"/>
      <c r="I103" s="26" t="s">
        <v>143</v>
      </c>
      <c r="J103" s="26">
        <v>15</v>
      </c>
      <c r="K103" s="26">
        <v>56600000</v>
      </c>
      <c r="L103" s="103">
        <f>75200000+5000000</f>
        <v>80200000</v>
      </c>
      <c r="M103" s="103">
        <f>70928000+5000000</f>
        <v>75928000</v>
      </c>
      <c r="N103" s="103">
        <v>0</v>
      </c>
      <c r="O103" s="103">
        <v>0</v>
      </c>
      <c r="P103" s="26">
        <f t="shared" si="44"/>
        <v>75928000</v>
      </c>
      <c r="Q103" s="103">
        <v>25060000</v>
      </c>
      <c r="R103" s="45">
        <f t="shared" si="45"/>
        <v>0.31246882793017455</v>
      </c>
      <c r="S103" s="103">
        <v>1354838.7096774192</v>
      </c>
      <c r="T103" s="26">
        <f t="shared" si="46"/>
        <v>53557705.542595126</v>
      </c>
      <c r="U103" s="46">
        <f t="shared" si="43"/>
        <v>94.624921453348279</v>
      </c>
      <c r="V103" s="12">
        <f>U103*119000/95</f>
        <v>118530.16476787836</v>
      </c>
      <c r="W103" s="58">
        <f t="shared" si="47"/>
        <v>1777952.4715181754</v>
      </c>
      <c r="X103" s="244"/>
      <c r="Y103" s="101"/>
    </row>
    <row r="104" spans="1:25" ht="13" customHeight="1">
      <c r="A104" s="281"/>
      <c r="B104" s="180"/>
      <c r="C104" s="258"/>
      <c r="D104" s="227"/>
      <c r="E104" s="227"/>
      <c r="F104" s="243"/>
      <c r="G104" s="244"/>
      <c r="H104" s="244"/>
      <c r="I104" s="26" t="s">
        <v>144</v>
      </c>
      <c r="J104" s="26">
        <v>17</v>
      </c>
      <c r="K104" s="26">
        <v>61600000</v>
      </c>
      <c r="L104" s="103">
        <v>89695500</v>
      </c>
      <c r="M104" s="103">
        <v>89695000</v>
      </c>
      <c r="N104" s="103">
        <v>0</v>
      </c>
      <c r="O104" s="103">
        <v>0</v>
      </c>
      <c r="P104" s="26">
        <f t="shared" si="44"/>
        <v>89695000</v>
      </c>
      <c r="Q104" s="103">
        <v>28395500</v>
      </c>
      <c r="R104" s="45">
        <f t="shared" si="45"/>
        <v>0.31657663985372736</v>
      </c>
      <c r="S104" s="103"/>
      <c r="T104" s="26">
        <f t="shared" si="46"/>
        <v>61299658.288319923</v>
      </c>
      <c r="U104" s="46">
        <f t="shared" si="43"/>
        <v>99.512432286233647</v>
      </c>
      <c r="V104" s="12">
        <f>U104*130000/100</f>
        <v>129366.16197210373</v>
      </c>
      <c r="W104" s="58">
        <f t="shared" si="47"/>
        <v>2199224.7535257633</v>
      </c>
      <c r="X104" s="244"/>
      <c r="Y104" s="101"/>
    </row>
    <row r="105" spans="1:25" ht="13" customHeight="1">
      <c r="A105" s="281"/>
      <c r="B105" s="180"/>
      <c r="C105" s="258"/>
      <c r="D105" s="227"/>
      <c r="E105" s="227"/>
      <c r="F105" s="243"/>
      <c r="G105" s="244"/>
      <c r="H105" s="244"/>
      <c r="I105" s="26" t="s">
        <v>145</v>
      </c>
      <c r="J105" s="26">
        <v>18</v>
      </c>
      <c r="K105" s="44">
        <v>75300000</v>
      </c>
      <c r="L105" s="103">
        <v>100855000</v>
      </c>
      <c r="M105" s="103">
        <v>100855000</v>
      </c>
      <c r="N105" s="103">
        <v>0</v>
      </c>
      <c r="O105" s="103">
        <v>0</v>
      </c>
      <c r="P105" s="26">
        <f t="shared" si="44"/>
        <v>100855000</v>
      </c>
      <c r="Q105" s="103">
        <v>29655000</v>
      </c>
      <c r="R105" s="45">
        <f t="shared" si="45"/>
        <v>0.29403599226612465</v>
      </c>
      <c r="S105" s="103"/>
      <c r="T105" s="26">
        <f t="shared" si="46"/>
        <v>71200000</v>
      </c>
      <c r="U105" s="46">
        <f t="shared" si="43"/>
        <v>94.55511288180611</v>
      </c>
      <c r="V105" s="12">
        <f>U105*119000/95</f>
        <v>118442.72034668345</v>
      </c>
      <c r="W105" s="58">
        <f t="shared" si="47"/>
        <v>2131968.9662403022</v>
      </c>
      <c r="X105" s="244"/>
      <c r="Y105" s="101"/>
    </row>
    <row r="106" spans="1:25" ht="13" customHeight="1">
      <c r="A106" s="281"/>
      <c r="B106" s="180"/>
      <c r="C106" s="258"/>
      <c r="D106" s="227"/>
      <c r="E106" s="227"/>
      <c r="F106" s="243"/>
      <c r="G106" s="244"/>
      <c r="H106" s="244"/>
      <c r="I106" s="26" t="s">
        <v>146</v>
      </c>
      <c r="J106" s="26">
        <v>13</v>
      </c>
      <c r="K106" s="44">
        <v>54700000</v>
      </c>
      <c r="L106" s="103">
        <v>87413000</v>
      </c>
      <c r="M106" s="103">
        <v>87413000</v>
      </c>
      <c r="N106" s="103">
        <v>0</v>
      </c>
      <c r="O106" s="103">
        <v>0</v>
      </c>
      <c r="P106" s="26">
        <f t="shared" si="44"/>
        <v>87413000</v>
      </c>
      <c r="Q106" s="103">
        <v>34269000</v>
      </c>
      <c r="R106" s="45">
        <f t="shared" si="45"/>
        <v>0.39203550959239475</v>
      </c>
      <c r="S106" s="103"/>
      <c r="T106" s="26">
        <f t="shared" si="46"/>
        <v>53144000</v>
      </c>
      <c r="U106" s="46">
        <f t="shared" si="43"/>
        <v>97.155393053016454</v>
      </c>
      <c r="V106" s="12">
        <f>U106*120000/95</f>
        <v>122722.60175117868</v>
      </c>
      <c r="W106" s="58">
        <f t="shared" si="47"/>
        <v>1595393.8227653229</v>
      </c>
      <c r="X106" s="244"/>
      <c r="Y106" s="101"/>
    </row>
    <row r="107" spans="1:25" ht="13" customHeight="1">
      <c r="A107" s="281"/>
      <c r="B107" s="180"/>
      <c r="C107" s="258"/>
      <c r="D107" s="227"/>
      <c r="E107" s="227"/>
      <c r="F107" s="243"/>
      <c r="G107" s="244"/>
      <c r="H107" s="244"/>
      <c r="I107" s="26" t="s">
        <v>147</v>
      </c>
      <c r="J107" s="26">
        <v>8</v>
      </c>
      <c r="K107" s="26">
        <v>34000000</v>
      </c>
      <c r="L107" s="103">
        <v>44812000</v>
      </c>
      <c r="M107" s="103">
        <v>40484000</v>
      </c>
      <c r="N107" s="103">
        <v>0</v>
      </c>
      <c r="O107" s="103">
        <v>3029600</v>
      </c>
      <c r="P107" s="26">
        <f t="shared" si="44"/>
        <v>43513600</v>
      </c>
      <c r="Q107" s="103">
        <v>12512000</v>
      </c>
      <c r="R107" s="45">
        <f>Q107/L107</f>
        <v>0.27921092564491656</v>
      </c>
      <c r="S107" s="103"/>
      <c r="T107" s="26">
        <f t="shared" si="46"/>
        <v>31364127.465857357</v>
      </c>
      <c r="U107" s="46">
        <f t="shared" si="43"/>
        <v>92.247433723109879</v>
      </c>
      <c r="V107" s="12">
        <f>U107*110000/90</f>
        <v>112746.86343935652</v>
      </c>
      <c r="W107" s="58">
        <f t="shared" si="47"/>
        <v>901974.90751485212</v>
      </c>
      <c r="X107" s="244"/>
      <c r="Y107" s="101"/>
    </row>
    <row r="108" spans="1:25" ht="13" customHeight="1">
      <c r="A108" s="281"/>
      <c r="B108" s="180"/>
      <c r="C108" s="258"/>
      <c r="D108" s="227"/>
      <c r="E108" s="227"/>
      <c r="F108" s="243"/>
      <c r="G108" s="244"/>
      <c r="H108" s="244"/>
      <c r="I108" s="36" t="s">
        <v>148</v>
      </c>
      <c r="J108" s="37">
        <v>9</v>
      </c>
      <c r="K108" s="26">
        <v>30900000</v>
      </c>
      <c r="L108" s="56">
        <v>43052500</v>
      </c>
      <c r="M108" s="72">
        <v>43053000</v>
      </c>
      <c r="N108" s="72">
        <v>0</v>
      </c>
      <c r="O108" s="72">
        <v>0</v>
      </c>
      <c r="P108" s="26">
        <f t="shared" si="44"/>
        <v>43053000</v>
      </c>
      <c r="Q108" s="72">
        <v>12252500</v>
      </c>
      <c r="R108" s="45">
        <f t="shared" si="45"/>
        <v>0.28459439056965335</v>
      </c>
      <c r="S108" s="56"/>
      <c r="T108" s="26">
        <f t="shared" si="46"/>
        <v>30800357.702804714</v>
      </c>
      <c r="U108" s="46">
        <f t="shared" si="43"/>
        <v>99.677533018785482</v>
      </c>
      <c r="V108" s="12">
        <f>U108*130000/100</f>
        <v>129580.79292442113</v>
      </c>
      <c r="W108" s="58">
        <f t="shared" si="47"/>
        <v>1166227.13631979</v>
      </c>
      <c r="X108" s="244"/>
      <c r="Y108" s="101"/>
    </row>
    <row r="109" spans="1:25" ht="13" customHeight="1">
      <c r="A109" s="264"/>
      <c r="B109" s="180"/>
      <c r="C109" s="258"/>
      <c r="D109" s="227"/>
      <c r="E109" s="227"/>
      <c r="F109" s="243"/>
      <c r="G109" s="244"/>
      <c r="H109" s="244"/>
      <c r="I109" s="36" t="s">
        <v>189</v>
      </c>
      <c r="J109" s="37">
        <v>15</v>
      </c>
      <c r="K109" s="26">
        <v>61200000</v>
      </c>
      <c r="L109" s="56">
        <f>80674000-3600000</f>
        <v>77074000</v>
      </c>
      <c r="M109" s="72">
        <f>80674000-3600000</f>
        <v>77074000</v>
      </c>
      <c r="N109" s="72">
        <v>0</v>
      </c>
      <c r="O109" s="72">
        <v>0</v>
      </c>
      <c r="P109" s="26">
        <f t="shared" si="44"/>
        <v>77074000</v>
      </c>
      <c r="Q109" s="72">
        <v>20074000</v>
      </c>
      <c r="R109" s="45">
        <f t="shared" si="45"/>
        <v>0.26045099514752057</v>
      </c>
      <c r="S109" s="56"/>
      <c r="T109" s="26">
        <f t="shared" si="46"/>
        <v>57000000</v>
      </c>
      <c r="U109" s="46">
        <f t="shared" si="43"/>
        <v>93.137254901960787</v>
      </c>
      <c r="V109" s="12">
        <f>U109*119000/95</f>
        <v>116666.66666666667</v>
      </c>
      <c r="W109" s="58">
        <f t="shared" si="47"/>
        <v>1750000</v>
      </c>
      <c r="X109" s="244"/>
      <c r="Y109" s="101"/>
    </row>
    <row r="110" spans="1:25" ht="13" customHeight="1">
      <c r="A110" s="264"/>
      <c r="B110" s="180"/>
      <c r="C110" s="258"/>
      <c r="D110" s="227"/>
      <c r="E110" s="227"/>
      <c r="F110" s="243"/>
      <c r="G110" s="244"/>
      <c r="H110" s="244"/>
      <c r="I110" s="36" t="s">
        <v>200</v>
      </c>
      <c r="J110" s="37">
        <v>23</v>
      </c>
      <c r="K110" s="26">
        <v>177000000</v>
      </c>
      <c r="L110" s="56">
        <f>254236000-29000000-13400000</f>
        <v>211836000</v>
      </c>
      <c r="M110" s="72">
        <f>229983000-29000000-13400000</f>
        <v>187583000</v>
      </c>
      <c r="N110" s="72">
        <v>2379600</v>
      </c>
      <c r="O110" s="72">
        <v>3019100</v>
      </c>
      <c r="P110" s="26">
        <f t="shared" si="44"/>
        <v>192981700</v>
      </c>
      <c r="Q110" s="72">
        <v>45932000</v>
      </c>
      <c r="R110" s="45">
        <f t="shared" si="45"/>
        <v>0.21682811231329896</v>
      </c>
      <c r="S110" s="56">
        <v>10387097</v>
      </c>
      <c r="T110" s="26">
        <f t="shared" si="46"/>
        <v>161524939.27798864</v>
      </c>
      <c r="U110" s="46">
        <f t="shared" si="43"/>
        <v>91.25702784067154</v>
      </c>
      <c r="V110" s="13">
        <f>U110*110000/90</f>
        <v>111536.36736082076</v>
      </c>
      <c r="W110" s="58">
        <f t="shared" si="47"/>
        <v>2565336.4492988773</v>
      </c>
      <c r="X110" s="245"/>
      <c r="Y110" s="101"/>
    </row>
    <row r="111" spans="1:25" ht="13" customHeight="1">
      <c r="A111" s="282"/>
      <c r="B111" s="180"/>
      <c r="C111" s="225"/>
      <c r="D111" s="228"/>
      <c r="E111" s="227"/>
      <c r="F111" s="243"/>
      <c r="G111" s="245"/>
      <c r="H111" s="245"/>
      <c r="I111" s="139">
        <v>11</v>
      </c>
      <c r="J111" s="128">
        <f>SUM(J100:J110)</f>
        <v>146</v>
      </c>
      <c r="K111" s="128">
        <f>SUM(K100:K110)</f>
        <v>648300000</v>
      </c>
      <c r="L111" s="128">
        <f>SUM(L100:L110)</f>
        <v>860682000</v>
      </c>
      <c r="M111" s="128">
        <f t="shared" ref="M111:N111" si="48">SUM(M100:M110)</f>
        <v>822737000</v>
      </c>
      <c r="N111" s="128">
        <f t="shared" si="48"/>
        <v>2379600</v>
      </c>
      <c r="O111" s="128">
        <f>SUM(O100:O110)</f>
        <v>6048700</v>
      </c>
      <c r="P111" s="128">
        <f>SUM(P100:P110)</f>
        <v>831165300</v>
      </c>
      <c r="Q111" s="128">
        <f>SUM(Q100:Q110)</f>
        <v>245794000</v>
      </c>
      <c r="R111" s="53"/>
      <c r="S111" s="128">
        <f>SUM(S100:S110)</f>
        <v>16616129.258064516</v>
      </c>
      <c r="T111" s="128">
        <f>SUM(T100:T110)</f>
        <v>609445536.96417797</v>
      </c>
      <c r="U111" s="140">
        <f>(T111/K111)*100</f>
        <v>94.006715558256673</v>
      </c>
      <c r="V111" s="59"/>
      <c r="W111" s="104">
        <f>SUM(W100:W110)</f>
        <v>17295050.984188333</v>
      </c>
      <c r="X111" s="63"/>
      <c r="Y111" s="101"/>
    </row>
    <row r="112" spans="1:25" s="37" customFormat="1" ht="13">
      <c r="A112" s="250"/>
      <c r="B112" s="274" t="s">
        <v>221</v>
      </c>
      <c r="C112" s="279" t="s">
        <v>35</v>
      </c>
      <c r="D112" s="280"/>
      <c r="E112" s="181">
        <v>500000</v>
      </c>
      <c r="F112" s="181">
        <v>500000</v>
      </c>
      <c r="G112" s="181"/>
      <c r="H112" s="181"/>
      <c r="I112" s="36" t="s">
        <v>106</v>
      </c>
      <c r="J112" s="26">
        <v>10</v>
      </c>
      <c r="K112" s="26">
        <v>41000000</v>
      </c>
      <c r="L112" s="56">
        <v>51438000</v>
      </c>
      <c r="M112" s="56">
        <v>45466000</v>
      </c>
      <c r="N112" s="56">
        <v>4802400</v>
      </c>
      <c r="O112" s="56">
        <v>0</v>
      </c>
      <c r="P112" s="56">
        <f>SUM(M112:O112)</f>
        <v>50268400</v>
      </c>
      <c r="Q112" s="56">
        <v>13540000</v>
      </c>
      <c r="R112" s="45">
        <f t="shared" si="45"/>
        <v>0.26322951903262182</v>
      </c>
      <c r="S112" s="72"/>
      <c r="T112" s="26">
        <f>P112-(P112*R112)+S112</f>
        <v>37036273.245460555</v>
      </c>
      <c r="U112" s="46">
        <f>(T112/K112)*100</f>
        <v>90.33237376941598</v>
      </c>
      <c r="V112" s="12">
        <f>U112*100000/90</f>
        <v>100369.30418823998</v>
      </c>
      <c r="W112" s="58">
        <f>V112*J112</f>
        <v>1003693.0418823998</v>
      </c>
      <c r="X112" s="181">
        <f>E112+F112+W121</f>
        <v>14615876.165491201</v>
      </c>
      <c r="Y112" s="138"/>
    </row>
    <row r="113" spans="1:25" s="37" customFormat="1" ht="12.5">
      <c r="A113" s="251"/>
      <c r="B113" s="266"/>
      <c r="C113" s="182"/>
      <c r="D113" s="244"/>
      <c r="E113" s="244"/>
      <c r="F113" s="244"/>
      <c r="G113" s="244"/>
      <c r="H113" s="244"/>
      <c r="I113" s="36" t="s">
        <v>107</v>
      </c>
      <c r="J113" s="26">
        <v>16</v>
      </c>
      <c r="K113" s="25">
        <v>60200000</v>
      </c>
      <c r="L113" s="56">
        <v>82935000</v>
      </c>
      <c r="M113" s="56">
        <v>82554000</v>
      </c>
      <c r="N113" s="56">
        <v>0</v>
      </c>
      <c r="O113" s="56">
        <v>0</v>
      </c>
      <c r="P113" s="56">
        <f t="shared" ref="P113:P119" si="49">SUM(M113:O113)</f>
        <v>82554000</v>
      </c>
      <c r="Q113" s="56">
        <v>29240000</v>
      </c>
      <c r="R113" s="45">
        <f t="shared" si="45"/>
        <v>0.35256526195213117</v>
      </c>
      <c r="S113" s="56">
        <v>2483870.9677419355</v>
      </c>
      <c r="T113" s="26">
        <f t="shared" ref="T113:T119" si="50">P113-(P113*R113)+S113</f>
        <v>55932198.332545698</v>
      </c>
      <c r="U113" s="46">
        <f t="shared" ref="U113:U119" si="51">(T113/K113)*100</f>
        <v>92.910628459378231</v>
      </c>
      <c r="V113" s="12">
        <f>U113*109000/95</f>
        <v>106602.72107444449</v>
      </c>
      <c r="W113" s="58">
        <f t="shared" ref="W113:W120" si="52">V113*J113</f>
        <v>1705643.5371911118</v>
      </c>
      <c r="X113" s="244"/>
      <c r="Y113" s="138"/>
    </row>
    <row r="114" spans="1:25" s="37" customFormat="1" ht="13">
      <c r="A114" s="251"/>
      <c r="B114" s="266"/>
      <c r="C114" s="182"/>
      <c r="D114" s="244"/>
      <c r="E114" s="244"/>
      <c r="F114" s="244"/>
      <c r="G114" s="244"/>
      <c r="H114" s="244"/>
      <c r="I114" s="36" t="s">
        <v>108</v>
      </c>
      <c r="J114" s="26">
        <v>20</v>
      </c>
      <c r="K114" s="25">
        <v>75900000</v>
      </c>
      <c r="L114" s="56">
        <f>116410600-3800000</f>
        <v>112610600</v>
      </c>
      <c r="M114" s="56">
        <f>104973600-3800000</f>
        <v>101173600</v>
      </c>
      <c r="N114" s="56">
        <v>6477300</v>
      </c>
      <c r="O114" s="56">
        <v>0</v>
      </c>
      <c r="P114" s="56">
        <f t="shared" si="49"/>
        <v>107650900</v>
      </c>
      <c r="Q114" s="56">
        <v>37070600</v>
      </c>
      <c r="R114" s="45">
        <f t="shared" si="45"/>
        <v>0.32919281133392414</v>
      </c>
      <c r="S114" s="72"/>
      <c r="T114" s="26">
        <f t="shared" si="50"/>
        <v>72212997.586372867</v>
      </c>
      <c r="U114" s="46">
        <f t="shared" si="51"/>
        <v>95.142289310109192</v>
      </c>
      <c r="V114" s="12">
        <f>U114*110000/95</f>
        <v>110164.75604328433</v>
      </c>
      <c r="W114" s="58">
        <f t="shared" si="52"/>
        <v>2203295.1208656868</v>
      </c>
      <c r="X114" s="244"/>
      <c r="Y114" s="138"/>
    </row>
    <row r="115" spans="1:25" s="37" customFormat="1" ht="13">
      <c r="A115" s="251"/>
      <c r="B115" s="266"/>
      <c r="C115" s="182"/>
      <c r="D115" s="244"/>
      <c r="E115" s="244"/>
      <c r="F115" s="244"/>
      <c r="G115" s="244"/>
      <c r="H115" s="244"/>
      <c r="I115" s="36" t="s">
        <v>86</v>
      </c>
      <c r="J115" s="26">
        <v>8</v>
      </c>
      <c r="K115" s="26">
        <v>31200000</v>
      </c>
      <c r="L115" s="56">
        <f>43909000-4500000</f>
        <v>39409000</v>
      </c>
      <c r="M115" s="56">
        <f>39333000-4500000</f>
        <v>34833000</v>
      </c>
      <c r="N115" s="56">
        <v>0</v>
      </c>
      <c r="O115" s="56">
        <v>0</v>
      </c>
      <c r="P115" s="56">
        <f t="shared" si="49"/>
        <v>34833000</v>
      </c>
      <c r="Q115" s="56">
        <v>10609000</v>
      </c>
      <c r="R115" s="45">
        <f t="shared" si="45"/>
        <v>0.26920246644167578</v>
      </c>
      <c r="S115" s="72">
        <f>1000000+790323</f>
        <v>1790323</v>
      </c>
      <c r="T115" s="26">
        <f t="shared" si="50"/>
        <v>27246193.486437108</v>
      </c>
      <c r="U115" s="46">
        <f t="shared" si="51"/>
        <v>87.327543225759968</v>
      </c>
      <c r="V115" s="12">
        <f>U115*90000/85</f>
        <v>92464.45753315762</v>
      </c>
      <c r="W115" s="58">
        <f t="shared" si="52"/>
        <v>739715.66026526096</v>
      </c>
      <c r="X115" s="244"/>
      <c r="Y115" s="138"/>
    </row>
    <row r="116" spans="1:25" s="37" customFormat="1" ht="12.5">
      <c r="A116" s="251"/>
      <c r="B116" s="266"/>
      <c r="C116" s="182"/>
      <c r="D116" s="244"/>
      <c r="E116" s="244"/>
      <c r="F116" s="244"/>
      <c r="G116" s="244"/>
      <c r="H116" s="244"/>
      <c r="I116" s="36" t="s">
        <v>109</v>
      </c>
      <c r="J116" s="26">
        <v>21</v>
      </c>
      <c r="K116" s="26">
        <v>71500000</v>
      </c>
      <c r="L116" s="56">
        <f>99354000-5700000</f>
        <v>93654000</v>
      </c>
      <c r="M116" s="56">
        <f>92773000-5700000</f>
        <v>87073000</v>
      </c>
      <c r="N116" s="56">
        <v>0</v>
      </c>
      <c r="O116" s="56">
        <v>3602200</v>
      </c>
      <c r="P116" s="56">
        <f t="shared" si="49"/>
        <v>90675200</v>
      </c>
      <c r="Q116" s="56">
        <v>25744000</v>
      </c>
      <c r="R116" s="45">
        <f t="shared" si="45"/>
        <v>0.27488414803425376</v>
      </c>
      <c r="S116" s="56"/>
      <c r="T116" s="26">
        <f t="shared" si="50"/>
        <v>65750024.900164433</v>
      </c>
      <c r="U116" s="46">
        <f t="shared" si="51"/>
        <v>91.958076783446757</v>
      </c>
      <c r="V116" s="12">
        <f>U116*100000/90</f>
        <v>102175.6408704964</v>
      </c>
      <c r="W116" s="58">
        <f t="shared" si="52"/>
        <v>2145688.4582804246</v>
      </c>
      <c r="X116" s="244"/>
      <c r="Y116" s="138"/>
    </row>
    <row r="117" spans="1:25" s="37" customFormat="1" ht="13">
      <c r="A117" s="251"/>
      <c r="B117" s="266"/>
      <c r="C117" s="182"/>
      <c r="D117" s="244"/>
      <c r="E117" s="244"/>
      <c r="F117" s="244"/>
      <c r="G117" s="244"/>
      <c r="H117" s="244"/>
      <c r="I117" s="36" t="s">
        <v>110</v>
      </c>
      <c r="J117" s="26">
        <v>11</v>
      </c>
      <c r="K117" s="26">
        <v>50300000</v>
      </c>
      <c r="L117" s="56">
        <v>68236000</v>
      </c>
      <c r="M117" s="56">
        <v>60744000</v>
      </c>
      <c r="N117" s="56">
        <v>0</v>
      </c>
      <c r="O117" s="56">
        <v>0</v>
      </c>
      <c r="P117" s="56">
        <f t="shared" si="49"/>
        <v>60744000</v>
      </c>
      <c r="Q117" s="56">
        <v>20436000</v>
      </c>
      <c r="R117" s="45">
        <f t="shared" si="45"/>
        <v>0.29949000527580749</v>
      </c>
      <c r="S117" s="72">
        <v>3354838.7096774196</v>
      </c>
      <c r="T117" s="26">
        <f t="shared" si="50"/>
        <v>45906617.82920377</v>
      </c>
      <c r="U117" s="46">
        <f t="shared" si="51"/>
        <v>91.265641807562176</v>
      </c>
      <c r="V117" s="12">
        <f>U117*100000/90</f>
        <v>101406.26867506908</v>
      </c>
      <c r="W117" s="58">
        <f t="shared" si="52"/>
        <v>1115468.9554257598</v>
      </c>
      <c r="X117" s="244"/>
      <c r="Y117" s="138"/>
    </row>
    <row r="118" spans="1:25" s="37" customFormat="1" ht="12.5">
      <c r="A118" s="251"/>
      <c r="B118" s="266"/>
      <c r="C118" s="182"/>
      <c r="D118" s="244"/>
      <c r="E118" s="244"/>
      <c r="F118" s="244"/>
      <c r="G118" s="244"/>
      <c r="H118" s="244"/>
      <c r="I118" s="36" t="s">
        <v>96</v>
      </c>
      <c r="J118" s="66">
        <v>10</v>
      </c>
      <c r="K118" s="26">
        <v>41300000</v>
      </c>
      <c r="L118" s="56">
        <v>52685200</v>
      </c>
      <c r="M118" s="56">
        <v>49141000</v>
      </c>
      <c r="N118" s="56">
        <v>0</v>
      </c>
      <c r="O118" s="56">
        <v>0</v>
      </c>
      <c r="P118" s="56">
        <f t="shared" si="49"/>
        <v>49141000</v>
      </c>
      <c r="Q118" s="56">
        <v>12585200</v>
      </c>
      <c r="R118" s="45">
        <f t="shared" si="45"/>
        <v>0.23887543370813816</v>
      </c>
      <c r="S118" s="56">
        <v>2980645.1612903224</v>
      </c>
      <c r="T118" s="26">
        <f t="shared" si="50"/>
        <v>40383067.47343871</v>
      </c>
      <c r="U118" s="46">
        <f t="shared" si="51"/>
        <v>97.779824390892756</v>
      </c>
      <c r="V118" s="12">
        <f>U118*120000/100</f>
        <v>117335.78926907132</v>
      </c>
      <c r="W118" s="58">
        <f t="shared" si="52"/>
        <v>1173357.8926907133</v>
      </c>
      <c r="X118" s="244"/>
      <c r="Y118" s="138"/>
    </row>
    <row r="119" spans="1:25" s="37" customFormat="1" ht="13">
      <c r="A119" s="251"/>
      <c r="B119" s="266"/>
      <c r="C119" s="182"/>
      <c r="D119" s="244"/>
      <c r="E119" s="244"/>
      <c r="F119" s="244"/>
      <c r="G119" s="244"/>
      <c r="H119" s="244"/>
      <c r="I119" s="36" t="s">
        <v>208</v>
      </c>
      <c r="J119" s="66">
        <v>13</v>
      </c>
      <c r="K119" s="66">
        <v>67000000</v>
      </c>
      <c r="L119" s="56">
        <v>88417000</v>
      </c>
      <c r="M119" s="56">
        <v>61642000</v>
      </c>
      <c r="N119" s="56">
        <v>25801200</v>
      </c>
      <c r="O119" s="56">
        <v>798000</v>
      </c>
      <c r="P119" s="56">
        <f t="shared" si="49"/>
        <v>88241200</v>
      </c>
      <c r="Q119" s="56">
        <v>22617000</v>
      </c>
      <c r="R119" s="45">
        <f t="shared" si="45"/>
        <v>0.25579922413110601</v>
      </c>
      <c r="S119" s="72"/>
      <c r="T119" s="26">
        <f t="shared" si="50"/>
        <v>65669169.503602251</v>
      </c>
      <c r="U119" s="46">
        <f t="shared" si="51"/>
        <v>98.01368582627201</v>
      </c>
      <c r="V119" s="12">
        <f>U119*120000/100</f>
        <v>117616.4229915264</v>
      </c>
      <c r="W119" s="58">
        <f t="shared" si="52"/>
        <v>1529013.4988898432</v>
      </c>
      <c r="X119" s="245"/>
      <c r="Y119" s="138"/>
    </row>
    <row r="120" spans="1:25" s="37" customFormat="1" ht="13">
      <c r="A120" s="251"/>
      <c r="B120" s="266"/>
      <c r="C120" s="182"/>
      <c r="D120" s="244"/>
      <c r="E120" s="244"/>
      <c r="F120" s="244"/>
      <c r="G120" s="244"/>
      <c r="H120" s="244"/>
      <c r="I120" s="36" t="s">
        <v>227</v>
      </c>
      <c r="J120" s="66">
        <v>20</v>
      </c>
      <c r="K120" s="66"/>
      <c r="L120" s="56"/>
      <c r="M120" s="56"/>
      <c r="N120" s="56"/>
      <c r="O120" s="56"/>
      <c r="P120" s="56"/>
      <c r="Q120" s="56"/>
      <c r="R120" s="45"/>
      <c r="S120" s="72"/>
      <c r="T120" s="26"/>
      <c r="U120" s="46"/>
      <c r="V120" s="15">
        <v>100000</v>
      </c>
      <c r="W120" s="58">
        <f t="shared" si="52"/>
        <v>2000000</v>
      </c>
      <c r="X120" s="58"/>
      <c r="Y120" s="138"/>
    </row>
    <row r="121" spans="1:25" s="37" customFormat="1" ht="13">
      <c r="A121" s="252"/>
      <c r="B121" s="278"/>
      <c r="C121" s="183"/>
      <c r="D121" s="245"/>
      <c r="E121" s="245"/>
      <c r="F121" s="245"/>
      <c r="G121" s="245"/>
      <c r="H121" s="245"/>
      <c r="I121" s="59">
        <v>9</v>
      </c>
      <c r="J121" s="52">
        <f>SUM(J112:J120)</f>
        <v>129</v>
      </c>
      <c r="K121" s="52">
        <f>SUM(K112:K119)</f>
        <v>438400000</v>
      </c>
      <c r="L121" s="52">
        <f t="shared" ref="L121:Q121" si="53">SUM(L112:L119)</f>
        <v>589384800</v>
      </c>
      <c r="M121" s="52">
        <f t="shared" si="53"/>
        <v>522626600</v>
      </c>
      <c r="N121" s="52">
        <f t="shared" si="53"/>
        <v>37080900</v>
      </c>
      <c r="O121" s="52">
        <f t="shared" si="53"/>
        <v>4400200</v>
      </c>
      <c r="P121" s="52">
        <f>SUM(P112:P119)</f>
        <v>564107700</v>
      </c>
      <c r="Q121" s="52">
        <f t="shared" si="53"/>
        <v>171841800</v>
      </c>
      <c r="R121" s="52"/>
      <c r="S121" s="52">
        <f t="shared" ref="S121" si="54">SUM(S112:S119)</f>
        <v>10609677.838709679</v>
      </c>
      <c r="T121" s="52">
        <f>SUM(T112:T119)</f>
        <v>410136542.35722542</v>
      </c>
      <c r="U121" s="55">
        <f>(T121/K121)*100</f>
        <v>93.553043420899968</v>
      </c>
      <c r="V121" s="59"/>
      <c r="W121" s="104">
        <f>SUM(W112:W120)</f>
        <v>13615876.165491201</v>
      </c>
      <c r="X121" s="16"/>
      <c r="Y121" s="138"/>
    </row>
    <row r="122" spans="1:25" s="37" customFormat="1" ht="13">
      <c r="A122" s="250"/>
      <c r="B122" s="274" t="s">
        <v>222</v>
      </c>
      <c r="C122" s="263" t="s">
        <v>35</v>
      </c>
      <c r="D122" s="181"/>
      <c r="E122" s="181">
        <v>500000</v>
      </c>
      <c r="F122" s="181">
        <v>500000</v>
      </c>
      <c r="G122" s="181"/>
      <c r="H122" s="181"/>
      <c r="I122" s="36" t="s">
        <v>75</v>
      </c>
      <c r="J122" s="26">
        <v>22</v>
      </c>
      <c r="K122" s="26">
        <v>69800000</v>
      </c>
      <c r="L122" s="56">
        <v>94850000</v>
      </c>
      <c r="M122" s="56">
        <v>80728000</v>
      </c>
      <c r="N122" s="56">
        <v>1972800</v>
      </c>
      <c r="O122" s="56">
        <v>1486800</v>
      </c>
      <c r="P122" s="56">
        <f>SUM(M122:O122)</f>
        <v>84187600</v>
      </c>
      <c r="Q122" s="56">
        <v>29450000</v>
      </c>
      <c r="R122" s="45">
        <f>Q122/L122</f>
        <v>0.31049024775962047</v>
      </c>
      <c r="S122" s="72">
        <v>1645161.2903225806</v>
      </c>
      <c r="T122" s="26">
        <f>P122-(P122*R122)+S122</f>
        <v>59693332.508034758</v>
      </c>
      <c r="U122" s="46">
        <f>(T122/K122)*100</f>
        <v>85.520533679132896</v>
      </c>
      <c r="V122" s="12">
        <f>U122*90000/85</f>
        <v>90551.153307317189</v>
      </c>
      <c r="W122" s="58">
        <f>V122*J122</f>
        <v>1992125.3727609781</v>
      </c>
      <c r="X122" s="181">
        <f>E122+F122+W128</f>
        <v>8383513.0046074493</v>
      </c>
      <c r="Y122" s="138"/>
    </row>
    <row r="123" spans="1:25" s="37" customFormat="1" ht="13">
      <c r="A123" s="251"/>
      <c r="B123" s="266"/>
      <c r="C123" s="182"/>
      <c r="D123" s="244"/>
      <c r="E123" s="244"/>
      <c r="F123" s="244"/>
      <c r="G123" s="244"/>
      <c r="H123" s="244"/>
      <c r="I123" s="36" t="s">
        <v>87</v>
      </c>
      <c r="J123" s="26">
        <v>9</v>
      </c>
      <c r="K123" s="26">
        <v>21200000</v>
      </c>
      <c r="L123" s="56">
        <v>28162000</v>
      </c>
      <c r="M123" s="56">
        <v>28162000</v>
      </c>
      <c r="N123" s="56">
        <v>0</v>
      </c>
      <c r="O123" s="56">
        <v>0</v>
      </c>
      <c r="P123" s="56">
        <f t="shared" ref="P123:P126" si="55">SUM(M123:O123)</f>
        <v>28162000</v>
      </c>
      <c r="Q123" s="56">
        <v>8162000</v>
      </c>
      <c r="R123" s="45">
        <f t="shared" ref="R123:R126" si="56">Q123/L123</f>
        <v>0.28982316596832614</v>
      </c>
      <c r="S123" s="72"/>
      <c r="T123" s="26">
        <f t="shared" ref="T123:T126" si="57">P123-(P123*R123)+S123</f>
        <v>20000000</v>
      </c>
      <c r="U123" s="46">
        <f t="shared" ref="U123:U126" si="58">(T123/K123)*100</f>
        <v>94.339622641509436</v>
      </c>
      <c r="V123" s="12">
        <f>U123*109000/95</f>
        <v>108242.30387288977</v>
      </c>
      <c r="W123" s="58">
        <f t="shared" ref="W123:W127" si="59">V123*J123</f>
        <v>974180.73485600785</v>
      </c>
      <c r="X123" s="244"/>
      <c r="Y123" s="138"/>
    </row>
    <row r="124" spans="1:25" s="37" customFormat="1" ht="12.5">
      <c r="A124" s="251"/>
      <c r="B124" s="266"/>
      <c r="C124" s="182"/>
      <c r="D124" s="244"/>
      <c r="E124" s="244"/>
      <c r="F124" s="244"/>
      <c r="G124" s="244"/>
      <c r="H124" s="244"/>
      <c r="I124" s="36" t="s">
        <v>79</v>
      </c>
      <c r="J124" s="26">
        <v>8</v>
      </c>
      <c r="K124" s="26">
        <v>17200000</v>
      </c>
      <c r="L124" s="56">
        <v>26852000</v>
      </c>
      <c r="M124" s="56">
        <v>26852000</v>
      </c>
      <c r="N124" s="56">
        <v>0</v>
      </c>
      <c r="O124" s="56">
        <v>0</v>
      </c>
      <c r="P124" s="56">
        <f t="shared" si="55"/>
        <v>26852000</v>
      </c>
      <c r="Q124" s="56">
        <v>10052000</v>
      </c>
      <c r="R124" s="45">
        <f t="shared" si="56"/>
        <v>0.3743482794577685</v>
      </c>
      <c r="S124" s="56"/>
      <c r="T124" s="26">
        <f t="shared" si="57"/>
        <v>16800000</v>
      </c>
      <c r="U124" s="46">
        <f t="shared" si="58"/>
        <v>97.674418604651152</v>
      </c>
      <c r="V124" s="12">
        <f>U124*120000/100</f>
        <v>117209.30232558139</v>
      </c>
      <c r="W124" s="58">
        <f t="shared" si="59"/>
        <v>937674.41860465112</v>
      </c>
      <c r="X124" s="244"/>
      <c r="Y124" s="138"/>
    </row>
    <row r="125" spans="1:25" s="37" customFormat="1" ht="13" customHeight="1">
      <c r="A125" s="251"/>
      <c r="B125" s="266"/>
      <c r="C125" s="182"/>
      <c r="D125" s="244"/>
      <c r="E125" s="244"/>
      <c r="F125" s="244"/>
      <c r="G125" s="244"/>
      <c r="H125" s="244"/>
      <c r="I125" s="36" t="s">
        <v>45</v>
      </c>
      <c r="J125" s="47">
        <v>14</v>
      </c>
      <c r="K125" s="26">
        <v>45300000</v>
      </c>
      <c r="L125" s="56">
        <v>63366000</v>
      </c>
      <c r="M125" s="56">
        <v>63366000</v>
      </c>
      <c r="N125" s="56">
        <v>0</v>
      </c>
      <c r="O125" s="56">
        <v>0</v>
      </c>
      <c r="P125" s="56">
        <f t="shared" si="55"/>
        <v>63366000</v>
      </c>
      <c r="Q125" s="56">
        <v>20666000</v>
      </c>
      <c r="R125" s="45">
        <f t="shared" si="56"/>
        <v>0.32613704510305214</v>
      </c>
      <c r="S125" s="72"/>
      <c r="T125" s="26">
        <f t="shared" si="57"/>
        <v>42700000</v>
      </c>
      <c r="U125" s="46">
        <f t="shared" si="58"/>
        <v>94.260485651214125</v>
      </c>
      <c r="V125" s="12">
        <f>U125*109000/95</f>
        <v>108151.50458928778</v>
      </c>
      <c r="W125" s="58">
        <f t="shared" si="59"/>
        <v>1514121.0642500289</v>
      </c>
      <c r="X125" s="244"/>
      <c r="Y125" s="138"/>
    </row>
    <row r="126" spans="1:25" s="37" customFormat="1" ht="13" customHeight="1">
      <c r="A126" s="251"/>
      <c r="B126" s="266"/>
      <c r="C126" s="182"/>
      <c r="D126" s="244"/>
      <c r="E126" s="244"/>
      <c r="F126" s="244"/>
      <c r="G126" s="244"/>
      <c r="H126" s="244"/>
      <c r="I126" s="36" t="s">
        <v>83</v>
      </c>
      <c r="J126" s="37">
        <v>9</v>
      </c>
      <c r="K126" s="26">
        <v>35000000</v>
      </c>
      <c r="L126" s="56">
        <v>48689000</v>
      </c>
      <c r="M126" s="56">
        <v>49299000</v>
      </c>
      <c r="N126" s="56">
        <v>0</v>
      </c>
      <c r="O126" s="56">
        <v>0</v>
      </c>
      <c r="P126" s="56">
        <f t="shared" si="55"/>
        <v>49299000</v>
      </c>
      <c r="Q126" s="56">
        <v>14589000</v>
      </c>
      <c r="R126" s="45">
        <f t="shared" si="56"/>
        <v>0.29963646819610179</v>
      </c>
      <c r="S126" s="72"/>
      <c r="T126" s="26">
        <f t="shared" si="57"/>
        <v>34527221.75440038</v>
      </c>
      <c r="U126" s="46">
        <f t="shared" si="58"/>
        <v>98.649205012572523</v>
      </c>
      <c r="V126" s="12">
        <f>U126*120000/100</f>
        <v>118379.04601508703</v>
      </c>
      <c r="W126" s="58">
        <f t="shared" si="59"/>
        <v>1065411.4141357832</v>
      </c>
      <c r="X126" s="244"/>
      <c r="Y126" s="138"/>
    </row>
    <row r="127" spans="1:25" s="37" customFormat="1" ht="13" customHeight="1">
      <c r="A127" s="251"/>
      <c r="B127" s="266"/>
      <c r="C127" s="182"/>
      <c r="D127" s="244"/>
      <c r="E127" s="244"/>
      <c r="F127" s="244"/>
      <c r="G127" s="244"/>
      <c r="H127" s="244"/>
      <c r="I127" s="36" t="s">
        <v>229</v>
      </c>
      <c r="J127" s="37">
        <v>9</v>
      </c>
      <c r="K127" s="26"/>
      <c r="L127" s="56"/>
      <c r="M127" s="56"/>
      <c r="N127" s="56"/>
      <c r="O127" s="56"/>
      <c r="P127" s="56"/>
      <c r="Q127" s="56"/>
      <c r="R127" s="45"/>
      <c r="S127" s="72"/>
      <c r="T127" s="26"/>
      <c r="U127" s="46"/>
      <c r="V127" s="15">
        <v>100000</v>
      </c>
      <c r="W127" s="58">
        <f t="shared" si="59"/>
        <v>900000</v>
      </c>
      <c r="X127" s="244"/>
      <c r="Y127" s="138"/>
    </row>
    <row r="128" spans="1:25" s="37" customFormat="1" ht="13" customHeight="1">
      <c r="A128" s="252"/>
      <c r="B128" s="278"/>
      <c r="C128" s="183"/>
      <c r="D128" s="245"/>
      <c r="E128" s="245"/>
      <c r="F128" s="245"/>
      <c r="G128" s="245"/>
      <c r="H128" s="245"/>
      <c r="I128" s="59">
        <v>6</v>
      </c>
      <c r="J128" s="52">
        <f>SUM(J122:J127)</f>
        <v>71</v>
      </c>
      <c r="K128" s="52">
        <f>SUM(K122:K126)</f>
        <v>188500000</v>
      </c>
      <c r="L128" s="52">
        <f t="shared" ref="L128:S128" si="60">SUM(L122:L126)</f>
        <v>261919000</v>
      </c>
      <c r="M128" s="52">
        <f t="shared" si="60"/>
        <v>248407000</v>
      </c>
      <c r="N128" s="52">
        <f t="shared" si="60"/>
        <v>1972800</v>
      </c>
      <c r="O128" s="52">
        <f t="shared" si="60"/>
        <v>1486800</v>
      </c>
      <c r="P128" s="52">
        <f t="shared" si="60"/>
        <v>251866600</v>
      </c>
      <c r="Q128" s="52">
        <f t="shared" si="60"/>
        <v>82919000</v>
      </c>
      <c r="R128" s="52">
        <f t="shared" si="60"/>
        <v>1.6004352064848693</v>
      </c>
      <c r="S128" s="52">
        <f t="shared" si="60"/>
        <v>1645161.2903225806</v>
      </c>
      <c r="T128" s="52">
        <f>SUM(T122:T126)</f>
        <v>173720554.26243514</v>
      </c>
      <c r="U128" s="55">
        <f>(T128/K128)*100</f>
        <v>92.159445232061074</v>
      </c>
      <c r="V128" s="59"/>
      <c r="W128" s="104">
        <f>SUM(W122:W127)</f>
        <v>7383513.0046074493</v>
      </c>
      <c r="X128" s="245"/>
      <c r="Y128" s="138"/>
    </row>
    <row r="129" spans="1:25" ht="13" customHeight="1">
      <c r="A129" s="141"/>
      <c r="B129" s="138" t="s">
        <v>230</v>
      </c>
      <c r="C129" s="24"/>
      <c r="D129" s="16"/>
      <c r="E129" s="16">
        <v>500000</v>
      </c>
      <c r="F129" s="58"/>
      <c r="G129" s="58"/>
      <c r="H129" s="58"/>
      <c r="I129" s="149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1"/>
      <c r="V129" s="149"/>
      <c r="W129" s="152"/>
      <c r="X129" s="58"/>
      <c r="Y129" s="101"/>
    </row>
    <row r="130" spans="1:25" ht="13" customHeight="1">
      <c r="A130" s="141"/>
      <c r="B130" s="138" t="s">
        <v>231</v>
      </c>
      <c r="C130" s="24"/>
      <c r="D130" s="16"/>
      <c r="E130" s="16">
        <v>500000</v>
      </c>
      <c r="F130" s="58"/>
      <c r="G130" s="58"/>
      <c r="H130" s="58"/>
      <c r="I130" s="149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1"/>
      <c r="V130" s="149"/>
      <c r="W130" s="152"/>
      <c r="X130" s="58"/>
      <c r="Y130" s="101"/>
    </row>
    <row r="131" spans="1:25" ht="12.5" customHeight="1">
      <c r="A131" s="50" t="s">
        <v>104</v>
      </c>
      <c r="B131" s="106" t="s">
        <v>152</v>
      </c>
      <c r="C131" s="38" t="s">
        <v>153</v>
      </c>
      <c r="D131" s="21">
        <v>10000000</v>
      </c>
      <c r="E131" s="58">
        <v>500000</v>
      </c>
      <c r="F131" s="58">
        <v>500000</v>
      </c>
      <c r="G131" s="58"/>
      <c r="H131" s="58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58"/>
      <c r="W131" s="58">
        <f>D131+E131+F131</f>
        <v>11000000</v>
      </c>
      <c r="X131" s="187">
        <f>SUM(W131:W152)</f>
        <v>54003845</v>
      </c>
      <c r="Y131" s="17"/>
    </row>
    <row r="132" spans="1:25" ht="12.5" customHeight="1">
      <c r="A132" s="50" t="s">
        <v>112</v>
      </c>
      <c r="B132" s="106" t="s">
        <v>155</v>
      </c>
      <c r="C132" s="38" t="s">
        <v>156</v>
      </c>
      <c r="D132" s="21">
        <v>5000000</v>
      </c>
      <c r="E132" s="16">
        <v>500000</v>
      </c>
      <c r="F132" s="16">
        <v>500000</v>
      </c>
      <c r="G132" s="58"/>
      <c r="H132" s="1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16"/>
      <c r="W132" s="58">
        <f t="shared" ref="W132:W152" si="61">D132+E132+F132</f>
        <v>6000000</v>
      </c>
      <c r="X132" s="187"/>
      <c r="Y132" s="17"/>
    </row>
    <row r="133" spans="1:25" ht="12.5" customHeight="1">
      <c r="A133" s="50" t="s">
        <v>127</v>
      </c>
      <c r="B133" s="106" t="s">
        <v>158</v>
      </c>
      <c r="C133" s="38" t="s">
        <v>159</v>
      </c>
      <c r="D133" s="21">
        <f>942308-250000</f>
        <v>692308</v>
      </c>
      <c r="E133" s="16">
        <v>250000</v>
      </c>
      <c r="F133" s="16"/>
      <c r="G133" s="58"/>
      <c r="H133" s="1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16"/>
      <c r="W133" s="58">
        <f t="shared" si="61"/>
        <v>942308</v>
      </c>
      <c r="X133" s="187"/>
      <c r="Y133" s="17"/>
    </row>
    <row r="134" spans="1:25" ht="12.5" customHeight="1">
      <c r="A134" s="50" t="s">
        <v>138</v>
      </c>
      <c r="B134" s="106" t="s">
        <v>161</v>
      </c>
      <c r="C134" s="38" t="s">
        <v>159</v>
      </c>
      <c r="D134" s="21">
        <v>3000000</v>
      </c>
      <c r="E134" s="16">
        <v>500000</v>
      </c>
      <c r="F134" s="16">
        <v>500000</v>
      </c>
      <c r="G134" s="58"/>
      <c r="H134" s="1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16"/>
      <c r="W134" s="58">
        <f t="shared" si="61"/>
        <v>4000000</v>
      </c>
      <c r="X134" s="187"/>
      <c r="Y134" s="17"/>
    </row>
    <row r="135" spans="1:25" ht="12.5" customHeight="1">
      <c r="A135" s="50" t="s">
        <v>149</v>
      </c>
      <c r="B135" s="106" t="s">
        <v>194</v>
      </c>
      <c r="C135" s="38" t="s">
        <v>159</v>
      </c>
      <c r="D135" s="21"/>
      <c r="E135" s="16"/>
      <c r="F135" s="16"/>
      <c r="G135" s="58"/>
      <c r="H135" s="1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16"/>
      <c r="W135" s="58">
        <f t="shared" si="61"/>
        <v>0</v>
      </c>
      <c r="X135" s="187"/>
      <c r="Y135" s="17"/>
    </row>
    <row r="136" spans="1:25" ht="13">
      <c r="A136" s="50" t="s">
        <v>151</v>
      </c>
      <c r="B136" s="107" t="s">
        <v>237</v>
      </c>
      <c r="C136" s="38" t="s">
        <v>159</v>
      </c>
      <c r="D136" s="21">
        <v>2307692</v>
      </c>
      <c r="E136" s="16"/>
      <c r="F136" s="16"/>
      <c r="G136" s="16"/>
      <c r="H136" s="1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16"/>
      <c r="W136" s="58">
        <f t="shared" si="61"/>
        <v>2307692</v>
      </c>
      <c r="X136" s="187"/>
      <c r="Y136" s="108">
        <f>SUM(D131:D152)+865385</f>
        <v>47469230</v>
      </c>
    </row>
    <row r="137" spans="1:25" ht="12.5" customHeight="1">
      <c r="A137" s="50" t="s">
        <v>154</v>
      </c>
      <c r="B137" s="107" t="s">
        <v>166</v>
      </c>
      <c r="C137" s="38" t="s">
        <v>159</v>
      </c>
      <c r="D137" s="21">
        <v>2000000</v>
      </c>
      <c r="E137" s="16">
        <v>500000</v>
      </c>
      <c r="F137" s="16"/>
      <c r="G137" s="16"/>
      <c r="H137" s="1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16"/>
      <c r="W137" s="58">
        <f t="shared" si="61"/>
        <v>2500000</v>
      </c>
      <c r="X137" s="187"/>
      <c r="Y137" s="17"/>
    </row>
    <row r="138" spans="1:25" ht="12.5" customHeight="1">
      <c r="A138" s="50" t="s">
        <v>157</v>
      </c>
      <c r="B138" s="107" t="s">
        <v>168</v>
      </c>
      <c r="C138" s="38" t="s">
        <v>159</v>
      </c>
      <c r="D138" s="21">
        <f>2423077-500000</f>
        <v>1923077</v>
      </c>
      <c r="E138" s="16">
        <v>500000</v>
      </c>
      <c r="F138" s="16"/>
      <c r="G138" s="16"/>
      <c r="H138" s="5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16"/>
      <c r="W138" s="58">
        <f t="shared" si="61"/>
        <v>2423077</v>
      </c>
      <c r="X138" s="187"/>
      <c r="Y138" s="17"/>
    </row>
    <row r="139" spans="1:25" ht="12.5" customHeight="1">
      <c r="A139" s="50" t="s">
        <v>160</v>
      </c>
      <c r="B139" s="107" t="s">
        <v>170</v>
      </c>
      <c r="C139" s="38" t="s">
        <v>159</v>
      </c>
      <c r="D139" s="21">
        <f>980769-250000</f>
        <v>730769</v>
      </c>
      <c r="E139" s="16">
        <v>250000</v>
      </c>
      <c r="F139" s="16"/>
      <c r="G139" s="16"/>
      <c r="H139" s="5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16"/>
      <c r="W139" s="58">
        <f t="shared" si="61"/>
        <v>980769</v>
      </c>
      <c r="X139" s="187"/>
      <c r="Y139" s="17"/>
    </row>
    <row r="140" spans="1:25" ht="12.5" customHeight="1">
      <c r="A140" s="50" t="s">
        <v>162</v>
      </c>
      <c r="B140" s="107" t="s">
        <v>236</v>
      </c>
      <c r="C140" s="38" t="s">
        <v>159</v>
      </c>
      <c r="D140" s="21">
        <v>1500000</v>
      </c>
      <c r="E140" s="16"/>
      <c r="F140" s="16"/>
      <c r="G140" s="16"/>
      <c r="H140" s="5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16"/>
      <c r="W140" s="58">
        <f t="shared" si="61"/>
        <v>1500000</v>
      </c>
      <c r="X140" s="187"/>
      <c r="Y140" s="17"/>
    </row>
    <row r="141" spans="1:25" ht="12.5" customHeight="1">
      <c r="A141" s="50" t="s">
        <v>163</v>
      </c>
      <c r="B141" s="107" t="s">
        <v>174</v>
      </c>
      <c r="C141" s="38" t="s">
        <v>159</v>
      </c>
      <c r="D141" s="21">
        <v>0</v>
      </c>
      <c r="E141" s="16">
        <v>0</v>
      </c>
      <c r="F141" s="16"/>
      <c r="G141" s="16"/>
      <c r="H141" s="58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16"/>
      <c r="W141" s="58">
        <f t="shared" si="61"/>
        <v>0</v>
      </c>
      <c r="X141" s="187"/>
      <c r="Y141" s="17"/>
    </row>
    <row r="142" spans="1:25" ht="13" customHeight="1">
      <c r="A142" s="50" t="s">
        <v>165</v>
      </c>
      <c r="B142" s="107" t="s">
        <v>193</v>
      </c>
      <c r="C142" s="38" t="s">
        <v>159</v>
      </c>
      <c r="D142" s="21">
        <v>0</v>
      </c>
      <c r="E142" s="16">
        <v>0</v>
      </c>
      <c r="F142" s="16"/>
      <c r="G142" s="16"/>
      <c r="H142" s="58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16"/>
      <c r="W142" s="58">
        <f t="shared" si="61"/>
        <v>0</v>
      </c>
      <c r="X142" s="187"/>
      <c r="Y142" s="17"/>
    </row>
    <row r="143" spans="1:25" ht="13" customHeight="1">
      <c r="A143" s="50" t="s">
        <v>167</v>
      </c>
      <c r="B143" s="107" t="s">
        <v>225</v>
      </c>
      <c r="C143" s="38" t="s">
        <v>159</v>
      </c>
      <c r="D143" s="21">
        <f>2807692-500000</f>
        <v>2307692</v>
      </c>
      <c r="E143" s="16">
        <v>500000</v>
      </c>
      <c r="F143" s="16"/>
      <c r="G143" s="16"/>
      <c r="H143" s="58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16"/>
      <c r="W143" s="58">
        <f t="shared" si="61"/>
        <v>2807692</v>
      </c>
      <c r="X143" s="187"/>
      <c r="Y143" s="17"/>
    </row>
    <row r="144" spans="1:25" ht="13" customHeight="1">
      <c r="A144" s="50" t="s">
        <v>169</v>
      </c>
      <c r="B144" s="107" t="s">
        <v>226</v>
      </c>
      <c r="C144" s="38" t="s">
        <v>159</v>
      </c>
      <c r="D144" s="21">
        <f>980769-250000</f>
        <v>730769</v>
      </c>
      <c r="E144" s="16">
        <v>250000</v>
      </c>
      <c r="F144" s="16"/>
      <c r="G144" s="16"/>
      <c r="H144" s="58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16"/>
      <c r="W144" s="58">
        <f t="shared" si="61"/>
        <v>980769</v>
      </c>
      <c r="X144" s="187"/>
      <c r="Y144" s="17"/>
    </row>
    <row r="145" spans="1:25" ht="13" customHeight="1">
      <c r="A145" s="50" t="s">
        <v>171</v>
      </c>
      <c r="B145" s="107" t="s">
        <v>212</v>
      </c>
      <c r="C145" s="38" t="s">
        <v>159</v>
      </c>
      <c r="D145" s="21">
        <v>4000000</v>
      </c>
      <c r="E145" s="16">
        <v>500000</v>
      </c>
      <c r="F145" s="16"/>
      <c r="G145" s="16"/>
      <c r="H145" s="58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16"/>
      <c r="W145" s="58">
        <f t="shared" si="61"/>
        <v>4500000</v>
      </c>
      <c r="X145" s="187"/>
      <c r="Y145" s="17"/>
    </row>
    <row r="146" spans="1:25" ht="13" customHeight="1">
      <c r="A146" s="50" t="s">
        <v>173</v>
      </c>
      <c r="B146" s="107" t="s">
        <v>213</v>
      </c>
      <c r="C146" s="38" t="s">
        <v>159</v>
      </c>
      <c r="D146" s="21">
        <f>980769-250000</f>
        <v>730769</v>
      </c>
      <c r="E146" s="16">
        <v>250000</v>
      </c>
      <c r="F146" s="16"/>
      <c r="G146" s="16"/>
      <c r="H146" s="58"/>
      <c r="I146" s="47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16"/>
      <c r="W146" s="58">
        <f t="shared" si="61"/>
        <v>980769</v>
      </c>
      <c r="X146" s="187"/>
      <c r="Y146" s="17"/>
    </row>
    <row r="147" spans="1:25" ht="13" customHeight="1">
      <c r="A147" s="50" t="s">
        <v>175</v>
      </c>
      <c r="B147" s="107" t="s">
        <v>238</v>
      </c>
      <c r="C147" s="38" t="s">
        <v>159</v>
      </c>
      <c r="D147" s="21">
        <v>1153846</v>
      </c>
      <c r="E147" s="16"/>
      <c r="F147" s="16"/>
      <c r="G147" s="16"/>
      <c r="H147" s="58"/>
      <c r="I147" s="47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16"/>
      <c r="W147" s="58">
        <f t="shared" si="61"/>
        <v>1153846</v>
      </c>
      <c r="X147" s="187"/>
      <c r="Y147" s="17"/>
    </row>
    <row r="148" spans="1:25" ht="13" customHeight="1">
      <c r="A148" s="50" t="s">
        <v>178</v>
      </c>
      <c r="B148" s="107" t="s">
        <v>235</v>
      </c>
      <c r="C148" s="38" t="s">
        <v>159</v>
      </c>
      <c r="D148" s="21">
        <v>2000000</v>
      </c>
      <c r="E148" s="16">
        <v>500000</v>
      </c>
      <c r="F148" s="16"/>
      <c r="G148" s="16"/>
      <c r="H148" s="58"/>
      <c r="I148" s="47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16"/>
      <c r="W148" s="58">
        <f t="shared" si="61"/>
        <v>2500000</v>
      </c>
      <c r="X148" s="187"/>
      <c r="Y148" s="17"/>
    </row>
    <row r="149" spans="1:25" ht="13" customHeight="1">
      <c r="A149" s="50" t="s">
        <v>181</v>
      </c>
      <c r="B149" s="107" t="s">
        <v>218</v>
      </c>
      <c r="C149" s="38" t="s">
        <v>159</v>
      </c>
      <c r="D149" s="21">
        <f>2676923-400000</f>
        <v>2276923</v>
      </c>
      <c r="E149" s="16">
        <v>400000</v>
      </c>
      <c r="F149" s="16"/>
      <c r="G149" s="16"/>
      <c r="H149" s="58"/>
      <c r="I149" s="47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16"/>
      <c r="W149" s="58">
        <f t="shared" si="61"/>
        <v>2676923</v>
      </c>
      <c r="X149" s="187"/>
      <c r="Y149" s="17"/>
    </row>
    <row r="150" spans="1:25" ht="13" customHeight="1">
      <c r="A150" s="50"/>
      <c r="B150" s="107" t="s">
        <v>234</v>
      </c>
      <c r="C150" s="38" t="s">
        <v>159</v>
      </c>
      <c r="D150" s="21">
        <v>980769</v>
      </c>
      <c r="E150" s="16"/>
      <c r="F150" s="16"/>
      <c r="G150" s="16"/>
      <c r="H150" s="58"/>
      <c r="I150" s="47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16"/>
      <c r="W150" s="58">
        <f t="shared" si="61"/>
        <v>980769</v>
      </c>
      <c r="X150" s="187"/>
      <c r="Y150" s="17"/>
    </row>
    <row r="151" spans="1:25" ht="13" customHeight="1">
      <c r="A151" s="50"/>
      <c r="B151" s="107" t="s">
        <v>239</v>
      </c>
      <c r="C151" s="38" t="s">
        <v>159</v>
      </c>
      <c r="D151" s="21">
        <v>1269231</v>
      </c>
      <c r="E151" s="16"/>
      <c r="F151" s="16"/>
      <c r="G151" s="16"/>
      <c r="H151" s="58"/>
      <c r="I151" s="47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16"/>
      <c r="W151" s="58">
        <f t="shared" si="61"/>
        <v>1269231</v>
      </c>
      <c r="X151" s="187"/>
      <c r="Y151" s="17"/>
    </row>
    <row r="152" spans="1:25" ht="13" customHeight="1">
      <c r="A152" s="50" t="s">
        <v>184</v>
      </c>
      <c r="B152" s="107" t="s">
        <v>196</v>
      </c>
      <c r="C152" s="38" t="s">
        <v>159</v>
      </c>
      <c r="D152" s="21">
        <v>4000000</v>
      </c>
      <c r="E152" s="16">
        <v>500000</v>
      </c>
      <c r="F152" s="16"/>
      <c r="G152" s="16"/>
      <c r="H152" s="58"/>
      <c r="I152" s="47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16"/>
      <c r="W152" s="58">
        <f t="shared" si="61"/>
        <v>4500000</v>
      </c>
      <c r="X152" s="187"/>
      <c r="Y152" s="17"/>
    </row>
    <row r="153" spans="1:25" ht="12.5">
      <c r="A153" s="50" t="s">
        <v>190</v>
      </c>
      <c r="B153" s="11" t="s">
        <v>176</v>
      </c>
      <c r="C153" s="11" t="s">
        <v>177</v>
      </c>
      <c r="D153" s="21">
        <v>12000000</v>
      </c>
      <c r="E153" s="16"/>
      <c r="F153" s="16"/>
      <c r="G153" s="16"/>
      <c r="H153" s="58"/>
      <c r="I153" s="47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16"/>
      <c r="W153" s="16">
        <f t="shared" ref="W153:W157" si="62">D153+E153+F153</f>
        <v>12000000</v>
      </c>
      <c r="X153" s="21">
        <f>D153+F153+G153+H153</f>
        <v>12000000</v>
      </c>
      <c r="Y153" s="17"/>
    </row>
    <row r="154" spans="1:25" ht="12.5">
      <c r="A154" s="50" t="s">
        <v>191</v>
      </c>
      <c r="B154" s="11" t="s">
        <v>179</v>
      </c>
      <c r="C154" s="11" t="s">
        <v>180</v>
      </c>
      <c r="D154" s="21"/>
      <c r="E154" s="16">
        <v>500000</v>
      </c>
      <c r="F154" s="16"/>
      <c r="G154" s="16"/>
      <c r="H154" s="16"/>
      <c r="I154" s="2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2"/>
      <c r="W154" s="16">
        <f t="shared" si="62"/>
        <v>500000</v>
      </c>
      <c r="X154" s="21">
        <f>D154+F154+G154+H154</f>
        <v>0</v>
      </c>
      <c r="Y154" s="17"/>
    </row>
    <row r="155" spans="1:25" ht="12.5">
      <c r="A155" s="50" t="s">
        <v>195</v>
      </c>
      <c r="B155" s="11" t="s">
        <v>69</v>
      </c>
      <c r="C155" s="11" t="s">
        <v>205</v>
      </c>
      <c r="D155" s="21">
        <v>3000000</v>
      </c>
      <c r="E155" s="16">
        <v>500000</v>
      </c>
      <c r="F155" s="16">
        <v>500000</v>
      </c>
      <c r="G155" s="63"/>
      <c r="H155" s="63"/>
      <c r="I155" s="32"/>
      <c r="J155" s="23"/>
      <c r="K155" s="23"/>
      <c r="L155" s="23"/>
      <c r="M155" s="14"/>
      <c r="N155" s="14"/>
      <c r="O155" s="14"/>
      <c r="P155" s="14"/>
      <c r="Q155" s="14"/>
      <c r="R155" s="14"/>
      <c r="S155" s="14"/>
      <c r="T155" s="14"/>
      <c r="U155" s="14"/>
      <c r="V155" s="12"/>
      <c r="W155" s="16">
        <f t="shared" si="62"/>
        <v>4000000</v>
      </c>
      <c r="X155" s="21"/>
      <c r="Y155" s="17"/>
    </row>
    <row r="156" spans="1:25" ht="12.5">
      <c r="A156" s="50" t="s">
        <v>219</v>
      </c>
      <c r="B156" s="11" t="s">
        <v>182</v>
      </c>
      <c r="C156" s="11" t="s">
        <v>183</v>
      </c>
      <c r="D156" s="21"/>
      <c r="E156" s="16">
        <v>700000</v>
      </c>
      <c r="F156" s="16"/>
      <c r="G156" s="63"/>
      <c r="H156" s="63"/>
      <c r="I156" s="23"/>
      <c r="J156" s="23"/>
      <c r="K156" s="23"/>
      <c r="L156" s="23"/>
      <c r="M156" s="14"/>
      <c r="N156" s="14"/>
      <c r="O156" s="14"/>
      <c r="P156" s="14"/>
      <c r="Q156" s="14"/>
      <c r="R156" s="14"/>
      <c r="S156" s="14"/>
      <c r="T156" s="14"/>
      <c r="U156" s="14"/>
      <c r="V156" s="12"/>
      <c r="W156" s="16">
        <f t="shared" si="62"/>
        <v>700000</v>
      </c>
      <c r="X156" s="21"/>
      <c r="Y156" s="17"/>
    </row>
    <row r="157" spans="1:25" ht="12.5">
      <c r="A157" s="50" t="s">
        <v>220</v>
      </c>
      <c r="B157" s="11" t="s">
        <v>185</v>
      </c>
      <c r="C157" s="11" t="s">
        <v>183</v>
      </c>
      <c r="D157" s="21"/>
      <c r="E157" s="16">
        <v>700000</v>
      </c>
      <c r="F157" s="16"/>
      <c r="G157" s="16"/>
      <c r="H157" s="16"/>
      <c r="I157" s="26"/>
      <c r="J157" s="26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2"/>
      <c r="W157" s="16">
        <f t="shared" si="62"/>
        <v>700000</v>
      </c>
      <c r="X157" s="21"/>
      <c r="Y157" s="17"/>
    </row>
    <row r="158" spans="1:25" ht="13">
      <c r="A158" s="109"/>
      <c r="B158" s="270"/>
      <c r="C158" s="268"/>
      <c r="D158" s="110"/>
      <c r="E158" s="110"/>
      <c r="F158" s="110"/>
      <c r="G158" s="110"/>
      <c r="H158" s="110"/>
      <c r="I158" s="111"/>
      <c r="J158" s="3"/>
      <c r="K158" s="269"/>
      <c r="L158" s="268"/>
      <c r="T158" s="3"/>
      <c r="U158" s="271" t="s">
        <v>186</v>
      </c>
      <c r="V158" s="268"/>
      <c r="X158" s="110"/>
      <c r="Y158" s="3"/>
    </row>
    <row r="159" spans="1:25" ht="13">
      <c r="A159" s="109"/>
      <c r="B159" s="267"/>
      <c r="C159" s="268"/>
      <c r="D159" s="110"/>
      <c r="E159" s="110"/>
      <c r="F159" s="110"/>
      <c r="G159" s="110"/>
      <c r="H159" s="110"/>
      <c r="I159" s="111"/>
      <c r="J159" s="3"/>
      <c r="K159" s="267"/>
      <c r="L159" s="268"/>
      <c r="T159" s="3"/>
      <c r="U159" s="267" t="s">
        <v>187</v>
      </c>
      <c r="V159" s="268"/>
      <c r="X159" s="110"/>
      <c r="Y159" s="3"/>
    </row>
    <row r="160" spans="1:25" ht="13">
      <c r="A160" s="109"/>
      <c r="B160" s="269"/>
      <c r="C160" s="268"/>
      <c r="D160" s="110"/>
      <c r="E160" s="110"/>
      <c r="F160" s="110"/>
      <c r="G160" s="110"/>
      <c r="H160" s="110"/>
      <c r="I160" s="111"/>
      <c r="J160" s="3"/>
      <c r="K160" s="269"/>
      <c r="L160" s="268"/>
      <c r="T160" s="3"/>
      <c r="U160" s="269" t="s">
        <v>188</v>
      </c>
      <c r="V160" s="268"/>
      <c r="X160" s="110"/>
      <c r="Y160" s="3"/>
    </row>
    <row r="161" spans="1:25" ht="12.5">
      <c r="A161" s="109"/>
      <c r="B161" s="3"/>
      <c r="C161" s="3"/>
      <c r="D161" s="110"/>
      <c r="E161" s="110"/>
      <c r="F161" s="110"/>
      <c r="G161" s="110"/>
      <c r="H161" s="110"/>
      <c r="I161" s="111"/>
      <c r="J161" s="3"/>
      <c r="K161" s="3"/>
      <c r="L161" s="3">
        <v>1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10"/>
      <c r="Y161" s="3"/>
    </row>
    <row r="162" spans="1:25" ht="12.5">
      <c r="A162" s="109"/>
      <c r="B162" s="3"/>
      <c r="C162" s="3"/>
      <c r="D162" s="110"/>
      <c r="E162" s="110"/>
      <c r="F162" s="110"/>
      <c r="G162" s="110"/>
      <c r="H162" s="110"/>
      <c r="I162" s="11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10"/>
      <c r="Y162" s="3"/>
    </row>
    <row r="163" spans="1:25" ht="12.5">
      <c r="A163" s="109"/>
      <c r="B163" s="3"/>
      <c r="C163" s="3"/>
      <c r="D163" s="110"/>
      <c r="E163" s="110"/>
      <c r="F163" s="110"/>
      <c r="G163" s="110"/>
      <c r="H163" s="110"/>
      <c r="I163" s="11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17"/>
      <c r="V163" s="3"/>
      <c r="W163" s="3"/>
      <c r="X163" s="110"/>
      <c r="Y163" s="3"/>
    </row>
    <row r="164" spans="1:25" ht="12.5">
      <c r="A164" s="109"/>
      <c r="B164" s="3"/>
      <c r="C164" s="3"/>
      <c r="D164" s="110"/>
      <c r="E164" s="110"/>
      <c r="F164" s="110"/>
      <c r="G164" s="110"/>
      <c r="H164" s="110"/>
      <c r="I164" s="11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112"/>
      <c r="V164" s="3"/>
      <c r="W164" s="3"/>
      <c r="X164" s="110"/>
      <c r="Y164" s="3"/>
    </row>
    <row r="165" spans="1:25" ht="12.5">
      <c r="A165" s="109"/>
      <c r="B165" s="3"/>
      <c r="C165" s="3"/>
      <c r="D165" s="110"/>
      <c r="E165" s="110"/>
      <c r="F165" s="110"/>
      <c r="G165" s="110"/>
      <c r="H165" s="110"/>
      <c r="I165" s="1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0"/>
      <c r="Y165" s="3"/>
    </row>
    <row r="166" spans="1:25" ht="12.5">
      <c r="A166" s="109"/>
      <c r="B166" s="3"/>
      <c r="C166" s="3"/>
      <c r="D166" s="110"/>
      <c r="E166" s="110"/>
      <c r="F166" s="110"/>
      <c r="G166" s="110"/>
      <c r="H166" s="110"/>
      <c r="I166" s="1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0"/>
      <c r="Y166" s="3"/>
    </row>
    <row r="167" spans="1:25" ht="12.5">
      <c r="A167" s="109"/>
      <c r="B167" s="3"/>
      <c r="C167" s="3"/>
      <c r="D167" s="110"/>
      <c r="E167" s="110"/>
      <c r="F167" s="110"/>
      <c r="G167" s="110"/>
      <c r="H167" s="110"/>
      <c r="I167" s="11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10"/>
      <c r="Y167" s="3"/>
    </row>
    <row r="168" spans="1:25" ht="12.5">
      <c r="A168" s="109"/>
      <c r="B168" s="3"/>
      <c r="C168" s="3"/>
      <c r="D168" s="110"/>
      <c r="E168" s="110"/>
      <c r="F168" s="110"/>
      <c r="G168" s="110"/>
      <c r="H168" s="110"/>
      <c r="I168" s="11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0"/>
      <c r="Y168" s="3"/>
    </row>
    <row r="169" spans="1:25" ht="12.5">
      <c r="A169" s="109"/>
      <c r="B169" s="3"/>
      <c r="C169" s="3"/>
      <c r="D169" s="110"/>
      <c r="E169" s="110"/>
      <c r="F169" s="110"/>
      <c r="G169" s="110"/>
      <c r="H169" s="110"/>
      <c r="I169" s="11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10"/>
      <c r="Y169" s="3"/>
    </row>
    <row r="170" spans="1:25" ht="12.5">
      <c r="A170" s="109"/>
      <c r="B170" s="3"/>
      <c r="C170" s="3"/>
      <c r="D170" s="110"/>
      <c r="E170" s="110"/>
      <c r="F170" s="110"/>
      <c r="G170" s="110"/>
      <c r="H170" s="110"/>
      <c r="I170" s="1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0"/>
      <c r="Y170" s="3"/>
    </row>
    <row r="171" spans="1:25" ht="12.5">
      <c r="A171" s="109"/>
      <c r="B171" s="3"/>
      <c r="C171" s="3"/>
      <c r="D171" s="110"/>
      <c r="E171" s="110"/>
      <c r="F171" s="110"/>
      <c r="G171" s="110"/>
      <c r="H171" s="110"/>
      <c r="I171" s="11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0"/>
      <c r="Y171" s="3"/>
    </row>
    <row r="172" spans="1:25" ht="12.5">
      <c r="A172" s="109"/>
      <c r="B172" s="3"/>
      <c r="C172" s="3"/>
      <c r="D172" s="110"/>
      <c r="E172" s="110"/>
      <c r="F172" s="110"/>
      <c r="G172" s="110"/>
      <c r="H172" s="110"/>
      <c r="I172" s="11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10"/>
      <c r="Y172" s="3"/>
    </row>
    <row r="173" spans="1:25" ht="12.5">
      <c r="A173" s="109"/>
      <c r="B173" s="3"/>
      <c r="C173" s="3"/>
      <c r="D173" s="110"/>
      <c r="E173" s="110"/>
      <c r="F173" s="110"/>
      <c r="G173" s="110"/>
      <c r="H173" s="110"/>
      <c r="I173" s="11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0"/>
      <c r="Y173" s="3"/>
    </row>
    <row r="174" spans="1:25" ht="12.5">
      <c r="A174" s="109"/>
      <c r="B174" s="3"/>
      <c r="C174" s="3"/>
      <c r="D174" s="110"/>
      <c r="E174" s="110"/>
      <c r="F174" s="110"/>
      <c r="G174" s="110"/>
      <c r="H174" s="110"/>
      <c r="I174" s="11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0"/>
      <c r="Y174" s="3"/>
    </row>
    <row r="175" spans="1:25" ht="12.5">
      <c r="A175" s="109"/>
      <c r="B175" s="3"/>
      <c r="C175" s="3"/>
      <c r="D175" s="110"/>
      <c r="E175" s="110"/>
      <c r="F175" s="110"/>
      <c r="G175" s="110"/>
      <c r="H175" s="110"/>
      <c r="I175" s="11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0"/>
      <c r="Y175" s="3"/>
    </row>
    <row r="176" spans="1:25" ht="12.5">
      <c r="A176" s="109"/>
      <c r="B176" s="3"/>
      <c r="C176" s="3"/>
      <c r="D176" s="110"/>
      <c r="E176" s="110"/>
      <c r="F176" s="110"/>
      <c r="G176" s="110"/>
      <c r="H176" s="110"/>
      <c r="I176" s="11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10"/>
      <c r="Y176" s="3"/>
    </row>
    <row r="177" spans="1:25" ht="12.5">
      <c r="A177" s="109"/>
      <c r="B177" s="3"/>
      <c r="C177" s="3"/>
      <c r="D177" s="110"/>
      <c r="E177" s="110"/>
      <c r="F177" s="110"/>
      <c r="G177" s="110"/>
      <c r="H177" s="110"/>
      <c r="I177" s="1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0"/>
      <c r="Y177" s="3"/>
    </row>
    <row r="178" spans="1:25" ht="12.5">
      <c r="A178" s="109"/>
      <c r="B178" s="3"/>
      <c r="C178" s="3"/>
      <c r="D178" s="110"/>
      <c r="E178" s="110"/>
      <c r="F178" s="110"/>
      <c r="G178" s="110"/>
      <c r="H178" s="110"/>
      <c r="I178" s="11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0"/>
      <c r="Y178" s="3"/>
    </row>
    <row r="179" spans="1:25" ht="12.5">
      <c r="A179" s="109"/>
      <c r="B179" s="3"/>
      <c r="C179" s="3"/>
      <c r="D179" s="110"/>
      <c r="E179" s="110"/>
      <c r="F179" s="110"/>
      <c r="G179" s="110"/>
      <c r="H179" s="110"/>
      <c r="I179" s="11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0"/>
      <c r="Y179" s="3"/>
    </row>
    <row r="180" spans="1:25" ht="12.5">
      <c r="A180" s="109"/>
      <c r="B180" s="3"/>
      <c r="C180" s="3"/>
      <c r="D180" s="110"/>
      <c r="E180" s="110"/>
      <c r="F180" s="110"/>
      <c r="G180" s="110"/>
      <c r="H180" s="110"/>
      <c r="I180" s="11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0"/>
      <c r="Y180" s="3"/>
    </row>
    <row r="181" spans="1:25" ht="12.5">
      <c r="A181" s="109"/>
      <c r="B181" s="3"/>
      <c r="C181" s="3"/>
      <c r="D181" s="110"/>
      <c r="E181" s="110"/>
      <c r="F181" s="110"/>
      <c r="G181" s="110"/>
      <c r="H181" s="110"/>
      <c r="I181" s="1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10"/>
      <c r="Y181" s="3"/>
    </row>
    <row r="182" spans="1:25" ht="12.5">
      <c r="A182" s="109"/>
      <c r="B182" s="3"/>
      <c r="C182" s="3"/>
      <c r="D182" s="110"/>
      <c r="E182" s="110"/>
      <c r="F182" s="110"/>
      <c r="G182" s="110"/>
      <c r="H182" s="110"/>
      <c r="I182" s="11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0"/>
      <c r="Y182" s="3"/>
    </row>
    <row r="183" spans="1:25" ht="12.5">
      <c r="A183" s="109"/>
      <c r="B183" s="3"/>
      <c r="C183" s="3"/>
      <c r="D183" s="110"/>
      <c r="E183" s="110"/>
      <c r="F183" s="110"/>
      <c r="G183" s="110"/>
      <c r="H183" s="110"/>
      <c r="I183" s="11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0"/>
      <c r="Y183" s="3"/>
    </row>
    <row r="184" spans="1:25" ht="12.5">
      <c r="A184" s="109"/>
      <c r="B184" s="3"/>
      <c r="C184" s="3"/>
      <c r="D184" s="110"/>
      <c r="E184" s="110"/>
      <c r="F184" s="110"/>
      <c r="G184" s="110"/>
      <c r="H184" s="110"/>
      <c r="I184" s="11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0"/>
      <c r="Y184" s="3"/>
    </row>
    <row r="185" spans="1:25" ht="12.5">
      <c r="A185" s="109"/>
      <c r="B185" s="3"/>
      <c r="C185" s="3"/>
      <c r="D185" s="110"/>
      <c r="E185" s="110"/>
      <c r="F185" s="110"/>
      <c r="G185" s="110"/>
      <c r="H185" s="110"/>
      <c r="I185" s="11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0"/>
      <c r="Y185" s="3"/>
    </row>
    <row r="186" spans="1:25" ht="12.5">
      <c r="A186" s="109"/>
      <c r="B186" s="3"/>
      <c r="C186" s="3"/>
      <c r="D186" s="110"/>
      <c r="E186" s="110"/>
      <c r="F186" s="110"/>
      <c r="G186" s="110"/>
      <c r="H186" s="110"/>
      <c r="I186" s="11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0"/>
      <c r="Y186" s="3"/>
    </row>
    <row r="187" spans="1:25" ht="12.5">
      <c r="A187" s="109"/>
      <c r="B187" s="3"/>
      <c r="C187" s="3"/>
      <c r="D187" s="110"/>
      <c r="E187" s="110"/>
      <c r="F187" s="110"/>
      <c r="G187" s="110"/>
      <c r="H187" s="110"/>
      <c r="I187" s="11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0"/>
      <c r="Y187" s="3"/>
    </row>
    <row r="188" spans="1:25" ht="12.5">
      <c r="A188" s="109"/>
      <c r="B188" s="3"/>
      <c r="C188" s="3"/>
      <c r="D188" s="110"/>
      <c r="E188" s="110"/>
      <c r="F188" s="110"/>
      <c r="G188" s="110"/>
      <c r="H188" s="110"/>
      <c r="I188" s="11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10"/>
      <c r="Y188" s="3"/>
    </row>
    <row r="189" spans="1:25" ht="12.5">
      <c r="A189" s="109"/>
      <c r="B189" s="3"/>
      <c r="C189" s="3"/>
      <c r="D189" s="110"/>
      <c r="E189" s="110"/>
      <c r="F189" s="110"/>
      <c r="G189" s="110"/>
      <c r="H189" s="110"/>
      <c r="I189" s="11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0"/>
      <c r="Y189" s="3"/>
    </row>
    <row r="190" spans="1:25" ht="12.5">
      <c r="A190" s="109"/>
      <c r="B190" s="3"/>
      <c r="C190" s="3"/>
      <c r="D190" s="110"/>
      <c r="E190" s="110"/>
      <c r="F190" s="110"/>
      <c r="G190" s="110"/>
      <c r="H190" s="110"/>
      <c r="I190" s="11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0"/>
      <c r="Y190" s="3"/>
    </row>
    <row r="191" spans="1:25" ht="12.5">
      <c r="A191" s="109"/>
      <c r="B191" s="3"/>
      <c r="C191" s="3"/>
      <c r="D191" s="110"/>
      <c r="E191" s="110"/>
      <c r="F191" s="110"/>
      <c r="G191" s="110"/>
      <c r="H191" s="110"/>
      <c r="I191" s="11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10"/>
      <c r="Y191" s="3"/>
    </row>
    <row r="192" spans="1:25" ht="12.5">
      <c r="A192" s="109"/>
      <c r="B192" s="3"/>
      <c r="C192" s="3"/>
      <c r="D192" s="110"/>
      <c r="E192" s="110"/>
      <c r="F192" s="110"/>
      <c r="G192" s="110"/>
      <c r="H192" s="110"/>
      <c r="I192" s="11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10"/>
      <c r="Y192" s="3"/>
    </row>
    <row r="193" spans="1:25" ht="12.5">
      <c r="A193" s="109"/>
      <c r="B193" s="3"/>
      <c r="C193" s="3"/>
      <c r="D193" s="110"/>
      <c r="E193" s="110"/>
      <c r="F193" s="110"/>
      <c r="G193" s="110"/>
      <c r="H193" s="110"/>
      <c r="I193" s="11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0"/>
      <c r="Y193" s="3"/>
    </row>
    <row r="194" spans="1:25" ht="12.5">
      <c r="A194" s="109"/>
      <c r="B194" s="3"/>
      <c r="C194" s="3"/>
      <c r="D194" s="110"/>
      <c r="E194" s="110"/>
      <c r="F194" s="110"/>
      <c r="G194" s="110"/>
      <c r="H194" s="110"/>
      <c r="I194" s="11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0"/>
      <c r="Y194" s="3"/>
    </row>
    <row r="195" spans="1:25" ht="12.5">
      <c r="A195" s="109"/>
      <c r="B195" s="3"/>
      <c r="C195" s="3"/>
      <c r="D195" s="110"/>
      <c r="E195" s="110"/>
      <c r="F195" s="110"/>
      <c r="G195" s="110"/>
      <c r="H195" s="110"/>
      <c r="I195" s="11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0"/>
      <c r="Y195" s="3"/>
    </row>
    <row r="196" spans="1:25" ht="12.5">
      <c r="A196" s="109"/>
      <c r="B196" s="3"/>
      <c r="C196" s="3"/>
      <c r="D196" s="110"/>
      <c r="E196" s="110"/>
      <c r="F196" s="110"/>
      <c r="G196" s="110"/>
      <c r="H196" s="110"/>
      <c r="I196" s="11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0"/>
      <c r="Y196" s="3"/>
    </row>
    <row r="197" spans="1:25" ht="12.5">
      <c r="A197" s="109"/>
      <c r="B197" s="3"/>
      <c r="C197" s="3"/>
      <c r="D197" s="110"/>
      <c r="E197" s="110"/>
      <c r="F197" s="110"/>
      <c r="G197" s="110"/>
      <c r="H197" s="110"/>
      <c r="I197" s="11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10"/>
      <c r="Y197" s="3"/>
    </row>
    <row r="198" spans="1:25" ht="12.5">
      <c r="A198" s="109"/>
      <c r="B198" s="3"/>
      <c r="C198" s="3"/>
      <c r="D198" s="110"/>
      <c r="E198" s="110"/>
      <c r="F198" s="110"/>
      <c r="G198" s="110"/>
      <c r="H198" s="110"/>
      <c r="I198" s="11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10"/>
      <c r="Y198" s="3"/>
    </row>
    <row r="199" spans="1:25" ht="12.5">
      <c r="A199" s="109"/>
      <c r="B199" s="3"/>
      <c r="C199" s="3"/>
      <c r="D199" s="110"/>
      <c r="E199" s="110"/>
      <c r="F199" s="110"/>
      <c r="G199" s="110"/>
      <c r="H199" s="110"/>
      <c r="I199" s="11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10"/>
      <c r="Y199" s="3"/>
    </row>
    <row r="200" spans="1:25" ht="12.5">
      <c r="A200" s="109"/>
      <c r="B200" s="3"/>
      <c r="C200" s="3"/>
      <c r="D200" s="110"/>
      <c r="E200" s="110"/>
      <c r="F200" s="110"/>
      <c r="G200" s="110"/>
      <c r="H200" s="110"/>
      <c r="I200" s="11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10"/>
      <c r="Y200" s="3"/>
    </row>
    <row r="201" spans="1:25" ht="12.5">
      <c r="A201" s="109"/>
      <c r="B201" s="3"/>
      <c r="C201" s="3"/>
      <c r="D201" s="110"/>
      <c r="E201" s="110"/>
      <c r="F201" s="110"/>
      <c r="G201" s="110"/>
      <c r="H201" s="110"/>
      <c r="I201" s="1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0"/>
      <c r="Y201" s="3"/>
    </row>
    <row r="202" spans="1:25" ht="12.5">
      <c r="A202" s="109"/>
      <c r="B202" s="3"/>
      <c r="C202" s="3"/>
      <c r="D202" s="110"/>
      <c r="E202" s="110"/>
      <c r="F202" s="110"/>
      <c r="G202" s="110"/>
      <c r="H202" s="110"/>
      <c r="I202" s="11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0"/>
      <c r="Y202" s="3"/>
    </row>
    <row r="203" spans="1:25" ht="12.5">
      <c r="A203" s="109"/>
      <c r="B203" s="3"/>
      <c r="C203" s="3"/>
      <c r="D203" s="110"/>
      <c r="E203" s="110"/>
      <c r="F203" s="110"/>
      <c r="G203" s="110"/>
      <c r="H203" s="110"/>
      <c r="I203" s="11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10"/>
      <c r="Y203" s="3"/>
    </row>
    <row r="204" spans="1:25" ht="12.5">
      <c r="A204" s="109"/>
      <c r="B204" s="3"/>
      <c r="C204" s="3"/>
      <c r="D204" s="110"/>
      <c r="E204" s="110"/>
      <c r="F204" s="110"/>
      <c r="G204" s="110"/>
      <c r="H204" s="110"/>
      <c r="I204" s="11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10"/>
      <c r="Y204" s="3"/>
    </row>
    <row r="205" spans="1:25" ht="12.5">
      <c r="A205" s="109"/>
      <c r="B205" s="3"/>
      <c r="C205" s="3"/>
      <c r="D205" s="110"/>
      <c r="E205" s="110"/>
      <c r="F205" s="110"/>
      <c r="G205" s="110"/>
      <c r="H205" s="110"/>
      <c r="I205" s="11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0"/>
      <c r="Y205" s="3"/>
    </row>
    <row r="206" spans="1:25" ht="12.5">
      <c r="A206" s="109"/>
      <c r="B206" s="3"/>
      <c r="C206" s="3"/>
      <c r="D206" s="110"/>
      <c r="E206" s="110"/>
      <c r="F206" s="110"/>
      <c r="G206" s="110"/>
      <c r="H206" s="110"/>
      <c r="I206" s="11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10"/>
      <c r="Y206" s="3"/>
    </row>
    <row r="207" spans="1:25" ht="12.5">
      <c r="A207" s="109"/>
      <c r="B207" s="3"/>
      <c r="C207" s="3"/>
      <c r="D207" s="110"/>
      <c r="E207" s="110"/>
      <c r="F207" s="110"/>
      <c r="G207" s="110"/>
      <c r="H207" s="110"/>
      <c r="I207" s="11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0"/>
      <c r="Y207" s="3"/>
    </row>
    <row r="208" spans="1:25" ht="12.5">
      <c r="A208" s="109"/>
      <c r="B208" s="3"/>
      <c r="C208" s="3"/>
      <c r="D208" s="110"/>
      <c r="E208" s="110"/>
      <c r="F208" s="110"/>
      <c r="G208" s="110"/>
      <c r="H208" s="110"/>
      <c r="I208" s="11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0"/>
      <c r="Y208" s="3"/>
    </row>
    <row r="209" spans="1:25" ht="12.5">
      <c r="A209" s="109"/>
      <c r="B209" s="3"/>
      <c r="C209" s="3"/>
      <c r="D209" s="110"/>
      <c r="E209" s="110"/>
      <c r="F209" s="110"/>
      <c r="G209" s="110"/>
      <c r="H209" s="110"/>
      <c r="I209" s="11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0"/>
      <c r="Y209" s="3"/>
    </row>
    <row r="210" spans="1:25" ht="12.5">
      <c r="A210" s="109"/>
      <c r="B210" s="3"/>
      <c r="C210" s="3"/>
      <c r="D210" s="110"/>
      <c r="E210" s="110"/>
      <c r="F210" s="110"/>
      <c r="G210" s="110"/>
      <c r="H210" s="110"/>
      <c r="I210" s="11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10"/>
      <c r="Y210" s="3"/>
    </row>
    <row r="211" spans="1:25" ht="12.5">
      <c r="A211" s="109"/>
      <c r="B211" s="3"/>
      <c r="C211" s="3"/>
      <c r="D211" s="110"/>
      <c r="E211" s="110"/>
      <c r="F211" s="110"/>
      <c r="G211" s="110"/>
      <c r="H211" s="110"/>
      <c r="I211" s="11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0"/>
      <c r="Y211" s="3"/>
    </row>
    <row r="212" spans="1:25" ht="12.5">
      <c r="A212" s="109"/>
      <c r="B212" s="3"/>
      <c r="C212" s="3"/>
      <c r="D212" s="110"/>
      <c r="E212" s="110"/>
      <c r="F212" s="110"/>
      <c r="G212" s="110"/>
      <c r="H212" s="110"/>
      <c r="I212" s="11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0"/>
      <c r="Y212" s="3"/>
    </row>
    <row r="213" spans="1:25" ht="12.5">
      <c r="A213" s="109"/>
      <c r="B213" s="3"/>
      <c r="C213" s="3"/>
      <c r="D213" s="110"/>
      <c r="E213" s="110"/>
      <c r="F213" s="110"/>
      <c r="G213" s="110"/>
      <c r="H213" s="110"/>
      <c r="I213" s="11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10"/>
      <c r="Y213" s="3"/>
    </row>
    <row r="214" spans="1:25" ht="12.5">
      <c r="A214" s="109"/>
      <c r="B214" s="3"/>
      <c r="C214" s="3"/>
      <c r="D214" s="110"/>
      <c r="E214" s="110"/>
      <c r="F214" s="110"/>
      <c r="G214" s="110"/>
      <c r="H214" s="110"/>
      <c r="I214" s="11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0"/>
      <c r="Y214" s="3"/>
    </row>
    <row r="215" spans="1:25" ht="12.5">
      <c r="A215" s="109"/>
      <c r="B215" s="3"/>
      <c r="C215" s="3"/>
      <c r="D215" s="110"/>
      <c r="E215" s="110"/>
      <c r="F215" s="110"/>
      <c r="G215" s="110"/>
      <c r="H215" s="110"/>
      <c r="I215" s="11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0"/>
      <c r="Y215" s="3"/>
    </row>
    <row r="216" spans="1:25" ht="12.5">
      <c r="A216" s="109"/>
      <c r="B216" s="3"/>
      <c r="C216" s="3"/>
      <c r="D216" s="110"/>
      <c r="E216" s="110"/>
      <c r="F216" s="110"/>
      <c r="G216" s="110"/>
      <c r="H216" s="110"/>
      <c r="I216" s="11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0"/>
      <c r="Y216" s="3"/>
    </row>
    <row r="217" spans="1:25" ht="12.5">
      <c r="A217" s="109"/>
      <c r="B217" s="3"/>
      <c r="C217" s="3"/>
      <c r="D217" s="110"/>
      <c r="E217" s="110"/>
      <c r="F217" s="110"/>
      <c r="G217" s="110"/>
      <c r="H217" s="110"/>
      <c r="I217" s="11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0"/>
      <c r="Y217" s="3"/>
    </row>
    <row r="218" spans="1:25" ht="12.5">
      <c r="A218" s="109"/>
      <c r="B218" s="3"/>
      <c r="C218" s="3"/>
      <c r="D218" s="110"/>
      <c r="E218" s="110"/>
      <c r="F218" s="110"/>
      <c r="G218" s="110"/>
      <c r="H218" s="110"/>
      <c r="I218" s="11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0"/>
      <c r="Y218" s="3"/>
    </row>
    <row r="219" spans="1:25" ht="12.5">
      <c r="A219" s="109"/>
      <c r="B219" s="3"/>
      <c r="C219" s="3"/>
      <c r="D219" s="110"/>
      <c r="E219" s="110"/>
      <c r="F219" s="110"/>
      <c r="G219" s="110"/>
      <c r="H219" s="110"/>
      <c r="I219" s="11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0"/>
      <c r="Y219" s="3"/>
    </row>
    <row r="220" spans="1:25" ht="12.5">
      <c r="A220" s="109"/>
      <c r="B220" s="3"/>
      <c r="C220" s="3"/>
      <c r="D220" s="110"/>
      <c r="E220" s="110"/>
      <c r="F220" s="110"/>
      <c r="G220" s="110"/>
      <c r="H220" s="110"/>
      <c r="I220" s="11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0"/>
      <c r="Y220" s="3"/>
    </row>
    <row r="221" spans="1:25" ht="12.5">
      <c r="A221" s="109"/>
      <c r="B221" s="3"/>
      <c r="C221" s="3"/>
      <c r="D221" s="110"/>
      <c r="E221" s="110"/>
      <c r="F221" s="110"/>
      <c r="G221" s="110"/>
      <c r="H221" s="110"/>
      <c r="I221" s="11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0"/>
      <c r="Y221" s="3"/>
    </row>
    <row r="222" spans="1:25" ht="12.5">
      <c r="A222" s="109"/>
      <c r="B222" s="3"/>
      <c r="C222" s="3"/>
      <c r="D222" s="110"/>
      <c r="E222" s="110"/>
      <c r="F222" s="110"/>
      <c r="G222" s="110"/>
      <c r="H222" s="110"/>
      <c r="I222" s="11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0"/>
      <c r="Y222" s="3"/>
    </row>
    <row r="223" spans="1:25" ht="12.5">
      <c r="A223" s="109"/>
      <c r="B223" s="3"/>
      <c r="C223" s="3"/>
      <c r="D223" s="110"/>
      <c r="E223" s="110"/>
      <c r="F223" s="110"/>
      <c r="G223" s="110"/>
      <c r="H223" s="110"/>
      <c r="I223" s="11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0"/>
      <c r="Y223" s="3"/>
    </row>
    <row r="224" spans="1:25" ht="12.5">
      <c r="A224" s="109"/>
      <c r="B224" s="3"/>
      <c r="C224" s="3"/>
      <c r="D224" s="110"/>
      <c r="E224" s="110"/>
      <c r="F224" s="110"/>
      <c r="G224" s="110"/>
      <c r="H224" s="110"/>
      <c r="I224" s="11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0"/>
      <c r="Y224" s="3"/>
    </row>
    <row r="225" spans="1:25" ht="12.5">
      <c r="A225" s="109"/>
      <c r="B225" s="3"/>
      <c r="C225" s="3"/>
      <c r="D225" s="110"/>
      <c r="E225" s="110"/>
      <c r="F225" s="110"/>
      <c r="G225" s="110"/>
      <c r="H225" s="110"/>
      <c r="I225" s="11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10"/>
      <c r="Y225" s="3"/>
    </row>
    <row r="226" spans="1:25" ht="12.5">
      <c r="A226" s="109"/>
      <c r="B226" s="3"/>
      <c r="C226" s="3"/>
      <c r="D226" s="110"/>
      <c r="E226" s="110"/>
      <c r="F226" s="110"/>
      <c r="G226" s="110"/>
      <c r="H226" s="110"/>
      <c r="I226" s="11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0"/>
      <c r="Y226" s="3"/>
    </row>
    <row r="227" spans="1:25" ht="12.5">
      <c r="A227" s="109"/>
      <c r="B227" s="3"/>
      <c r="C227" s="3"/>
      <c r="D227" s="110"/>
      <c r="E227" s="110"/>
      <c r="F227" s="110"/>
      <c r="G227" s="110"/>
      <c r="H227" s="110"/>
      <c r="I227" s="11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0"/>
      <c r="Y227" s="3"/>
    </row>
    <row r="228" spans="1:25" ht="12.5">
      <c r="A228" s="109"/>
      <c r="B228" s="3"/>
      <c r="C228" s="3"/>
      <c r="D228" s="110"/>
      <c r="E228" s="110"/>
      <c r="F228" s="110"/>
      <c r="G228" s="110"/>
      <c r="H228" s="110"/>
      <c r="I228" s="11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0"/>
      <c r="Y228" s="3"/>
    </row>
    <row r="229" spans="1:25" ht="12.5">
      <c r="A229" s="109"/>
      <c r="B229" s="3"/>
      <c r="C229" s="3"/>
      <c r="D229" s="110"/>
      <c r="E229" s="110"/>
      <c r="F229" s="110"/>
      <c r="G229" s="110"/>
      <c r="H229" s="110"/>
      <c r="I229" s="11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0"/>
      <c r="Y229" s="3"/>
    </row>
    <row r="230" spans="1:25" ht="12.5">
      <c r="A230" s="109"/>
      <c r="B230" s="3"/>
      <c r="C230" s="3"/>
      <c r="D230" s="110"/>
      <c r="E230" s="110"/>
      <c r="F230" s="110"/>
      <c r="G230" s="110"/>
      <c r="H230" s="110"/>
      <c r="I230" s="11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0"/>
      <c r="Y230" s="3"/>
    </row>
    <row r="231" spans="1:25" ht="12.5">
      <c r="A231" s="109"/>
      <c r="B231" s="3"/>
      <c r="C231" s="3"/>
      <c r="D231" s="110"/>
      <c r="E231" s="110"/>
      <c r="F231" s="110"/>
      <c r="G231" s="110"/>
      <c r="H231" s="110"/>
      <c r="I231" s="11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0"/>
      <c r="Y231" s="3"/>
    </row>
    <row r="232" spans="1:25" ht="12.5">
      <c r="A232" s="109"/>
      <c r="B232" s="3"/>
      <c r="C232" s="3"/>
      <c r="D232" s="110"/>
      <c r="E232" s="110"/>
      <c r="F232" s="110"/>
      <c r="G232" s="110"/>
      <c r="H232" s="110"/>
      <c r="I232" s="11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10"/>
      <c r="Y232" s="3"/>
    </row>
    <row r="233" spans="1:25" ht="12.5">
      <c r="A233" s="109"/>
      <c r="B233" s="3"/>
      <c r="C233" s="3"/>
      <c r="D233" s="110"/>
      <c r="E233" s="110"/>
      <c r="F233" s="110"/>
      <c r="G233" s="110"/>
      <c r="H233" s="110"/>
      <c r="I233" s="11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10"/>
      <c r="Y233" s="3"/>
    </row>
    <row r="234" spans="1:25" ht="12.5">
      <c r="A234" s="109"/>
      <c r="B234" s="3"/>
      <c r="C234" s="3"/>
      <c r="D234" s="110"/>
      <c r="E234" s="110"/>
      <c r="F234" s="110"/>
      <c r="G234" s="110"/>
      <c r="H234" s="110"/>
      <c r="I234" s="11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0"/>
      <c r="Y234" s="3"/>
    </row>
    <row r="235" spans="1:25" ht="12.5">
      <c r="A235" s="109"/>
      <c r="B235" s="3"/>
      <c r="C235" s="3"/>
      <c r="D235" s="110"/>
      <c r="E235" s="110"/>
      <c r="F235" s="110"/>
      <c r="G235" s="110"/>
      <c r="H235" s="110"/>
      <c r="I235" s="11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10"/>
      <c r="Y235" s="3"/>
    </row>
    <row r="236" spans="1:25" ht="12.5">
      <c r="A236" s="109"/>
      <c r="B236" s="3"/>
      <c r="C236" s="3"/>
      <c r="D236" s="110"/>
      <c r="E236" s="110"/>
      <c r="F236" s="110"/>
      <c r="G236" s="110"/>
      <c r="H236" s="110"/>
      <c r="I236" s="11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10"/>
      <c r="Y236" s="3"/>
    </row>
    <row r="237" spans="1:25" ht="12.5">
      <c r="A237" s="109"/>
      <c r="B237" s="3"/>
      <c r="C237" s="3"/>
      <c r="D237" s="110"/>
      <c r="E237" s="110"/>
      <c r="F237" s="110"/>
      <c r="G237" s="110"/>
      <c r="H237" s="110"/>
      <c r="I237" s="1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0"/>
      <c r="Y237" s="3"/>
    </row>
    <row r="238" spans="1:25" ht="12.5">
      <c r="A238" s="109"/>
      <c r="B238" s="3"/>
      <c r="C238" s="3"/>
      <c r="D238" s="110"/>
      <c r="E238" s="110"/>
      <c r="F238" s="110"/>
      <c r="G238" s="110"/>
      <c r="H238" s="110"/>
      <c r="I238" s="11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10"/>
      <c r="Y238" s="3"/>
    </row>
    <row r="239" spans="1:25" ht="12.5">
      <c r="A239" s="109"/>
      <c r="B239" s="3"/>
      <c r="C239" s="3"/>
      <c r="D239" s="110"/>
      <c r="E239" s="110"/>
      <c r="F239" s="110"/>
      <c r="G239" s="110"/>
      <c r="H239" s="110"/>
      <c r="I239" s="1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10"/>
      <c r="Y239" s="3"/>
    </row>
    <row r="240" spans="1:25" ht="12.5">
      <c r="A240" s="109"/>
      <c r="B240" s="3"/>
      <c r="C240" s="3"/>
      <c r="D240" s="110"/>
      <c r="E240" s="110"/>
      <c r="F240" s="110"/>
      <c r="G240" s="110"/>
      <c r="H240" s="110"/>
      <c r="I240" s="1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10"/>
      <c r="Y240" s="3"/>
    </row>
    <row r="241" spans="1:25" ht="12.5">
      <c r="A241" s="109"/>
      <c r="B241" s="3"/>
      <c r="C241" s="3"/>
      <c r="D241" s="110"/>
      <c r="E241" s="110"/>
      <c r="F241" s="110"/>
      <c r="G241" s="110"/>
      <c r="H241" s="110"/>
      <c r="I241" s="11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10"/>
      <c r="Y241" s="3"/>
    </row>
    <row r="242" spans="1:25" ht="12.5">
      <c r="A242" s="109"/>
      <c r="B242" s="3"/>
      <c r="C242" s="3"/>
      <c r="D242" s="110"/>
      <c r="E242" s="110"/>
      <c r="F242" s="110"/>
      <c r="G242" s="110"/>
      <c r="H242" s="110"/>
      <c r="I242" s="1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0"/>
      <c r="Y242" s="3"/>
    </row>
    <row r="243" spans="1:25" ht="12.5">
      <c r="A243" s="109"/>
      <c r="B243" s="3"/>
      <c r="C243" s="3"/>
      <c r="D243" s="110"/>
      <c r="E243" s="110"/>
      <c r="F243" s="110"/>
      <c r="G243" s="110"/>
      <c r="H243" s="110"/>
      <c r="I243" s="1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10"/>
      <c r="Y243" s="3"/>
    </row>
    <row r="244" spans="1:25" ht="12.5">
      <c r="A244" s="109"/>
      <c r="B244" s="3"/>
      <c r="C244" s="3"/>
      <c r="D244" s="110"/>
      <c r="E244" s="110"/>
      <c r="F244" s="110"/>
      <c r="G244" s="110"/>
      <c r="H244" s="110"/>
      <c r="I244" s="1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10"/>
      <c r="Y244" s="3"/>
    </row>
    <row r="245" spans="1:25" ht="12.5">
      <c r="A245" s="109"/>
      <c r="B245" s="3"/>
      <c r="C245" s="3"/>
      <c r="D245" s="110"/>
      <c r="E245" s="110"/>
      <c r="F245" s="110"/>
      <c r="G245" s="110"/>
      <c r="H245" s="110"/>
      <c r="I245" s="1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0"/>
      <c r="Y245" s="3"/>
    </row>
    <row r="246" spans="1:25" ht="12.5">
      <c r="A246" s="109"/>
      <c r="B246" s="3"/>
      <c r="C246" s="3"/>
      <c r="D246" s="110"/>
      <c r="E246" s="110"/>
      <c r="F246" s="110"/>
      <c r="G246" s="110"/>
      <c r="H246" s="110"/>
      <c r="I246" s="1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0"/>
      <c r="Y246" s="3"/>
    </row>
    <row r="247" spans="1:25" ht="12.5">
      <c r="A247" s="109"/>
      <c r="B247" s="3"/>
      <c r="C247" s="3"/>
      <c r="D247" s="110"/>
      <c r="E247" s="110"/>
      <c r="F247" s="110"/>
      <c r="G247" s="110"/>
      <c r="H247" s="110"/>
      <c r="I247" s="1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0"/>
      <c r="Y247" s="3"/>
    </row>
    <row r="248" spans="1:25" ht="12.5">
      <c r="A248" s="109"/>
      <c r="B248" s="3"/>
      <c r="C248" s="3"/>
      <c r="D248" s="110"/>
      <c r="E248" s="110"/>
      <c r="F248" s="110"/>
      <c r="G248" s="110"/>
      <c r="H248" s="110"/>
      <c r="I248" s="1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0"/>
      <c r="Y248" s="3"/>
    </row>
    <row r="249" spans="1:25" ht="12.5">
      <c r="A249" s="109"/>
      <c r="B249" s="3"/>
      <c r="C249" s="3"/>
      <c r="D249" s="110"/>
      <c r="E249" s="110"/>
      <c r="F249" s="110"/>
      <c r="G249" s="110"/>
      <c r="H249" s="110"/>
      <c r="I249" s="1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0"/>
      <c r="Y249" s="3"/>
    </row>
    <row r="250" spans="1:25" ht="12.5">
      <c r="A250" s="109"/>
      <c r="B250" s="3"/>
      <c r="C250" s="3"/>
      <c r="D250" s="110"/>
      <c r="E250" s="110"/>
      <c r="F250" s="110"/>
      <c r="G250" s="110"/>
      <c r="H250" s="110"/>
      <c r="I250" s="1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0"/>
      <c r="Y250" s="3"/>
    </row>
    <row r="251" spans="1:25" ht="12.5">
      <c r="A251" s="109"/>
      <c r="B251" s="3"/>
      <c r="C251" s="3"/>
      <c r="D251" s="110"/>
      <c r="E251" s="110"/>
      <c r="F251" s="110"/>
      <c r="G251" s="110"/>
      <c r="H251" s="110"/>
      <c r="I251" s="1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10"/>
      <c r="Y251" s="3"/>
    </row>
    <row r="252" spans="1:25" ht="12.5">
      <c r="A252" s="109"/>
      <c r="B252" s="3"/>
      <c r="C252" s="3"/>
      <c r="D252" s="110"/>
      <c r="E252" s="110"/>
      <c r="F252" s="110"/>
      <c r="G252" s="110"/>
      <c r="H252" s="110"/>
      <c r="I252" s="1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10"/>
      <c r="Y252" s="3"/>
    </row>
    <row r="253" spans="1:25" ht="12.5">
      <c r="A253" s="109"/>
      <c r="B253" s="3"/>
      <c r="C253" s="3"/>
      <c r="D253" s="110"/>
      <c r="E253" s="110"/>
      <c r="F253" s="110"/>
      <c r="G253" s="110"/>
      <c r="H253" s="110"/>
      <c r="I253" s="11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10"/>
      <c r="Y253" s="3"/>
    </row>
    <row r="254" spans="1:25" ht="12.5">
      <c r="A254" s="109"/>
      <c r="B254" s="3"/>
      <c r="C254" s="3"/>
      <c r="D254" s="110"/>
      <c r="E254" s="110"/>
      <c r="F254" s="110"/>
      <c r="G254" s="110"/>
      <c r="H254" s="110"/>
      <c r="I254" s="1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10"/>
      <c r="Y254" s="3"/>
    </row>
    <row r="255" spans="1:25" ht="12.5">
      <c r="A255" s="109"/>
      <c r="B255" s="3"/>
      <c r="C255" s="3"/>
      <c r="D255" s="110"/>
      <c r="E255" s="110"/>
      <c r="F255" s="110"/>
      <c r="G255" s="110"/>
      <c r="H255" s="110"/>
      <c r="I255" s="1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0"/>
      <c r="Y255" s="3"/>
    </row>
    <row r="256" spans="1:25" ht="12.5">
      <c r="A256" s="109"/>
      <c r="B256" s="3"/>
      <c r="C256" s="3"/>
      <c r="D256" s="110"/>
      <c r="E256" s="110"/>
      <c r="F256" s="110"/>
      <c r="G256" s="110"/>
      <c r="H256" s="110"/>
      <c r="I256" s="1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10"/>
      <c r="Y256" s="3"/>
    </row>
    <row r="257" spans="1:25" ht="12.5">
      <c r="A257" s="109"/>
      <c r="B257" s="3"/>
      <c r="C257" s="3"/>
      <c r="D257" s="110"/>
      <c r="E257" s="110"/>
      <c r="F257" s="110"/>
      <c r="G257" s="110"/>
      <c r="H257" s="110"/>
      <c r="I257" s="1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0"/>
      <c r="Y257" s="3"/>
    </row>
    <row r="258" spans="1:25" ht="12.5">
      <c r="A258" s="109"/>
      <c r="B258" s="3"/>
      <c r="C258" s="3"/>
      <c r="D258" s="110"/>
      <c r="E258" s="110"/>
      <c r="F258" s="110"/>
      <c r="G258" s="110"/>
      <c r="H258" s="110"/>
      <c r="I258" s="1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0"/>
      <c r="Y258" s="3"/>
    </row>
    <row r="259" spans="1:25" ht="12.5">
      <c r="A259" s="109"/>
      <c r="B259" s="3"/>
      <c r="C259" s="3"/>
      <c r="D259" s="110"/>
      <c r="E259" s="110"/>
      <c r="F259" s="110"/>
      <c r="G259" s="110"/>
      <c r="H259" s="110"/>
      <c r="I259" s="1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0"/>
      <c r="Y259" s="3"/>
    </row>
    <row r="260" spans="1:25" ht="12.5">
      <c r="A260" s="109"/>
      <c r="B260" s="3"/>
      <c r="C260" s="3"/>
      <c r="D260" s="110"/>
      <c r="E260" s="110"/>
      <c r="F260" s="110"/>
      <c r="G260" s="110"/>
      <c r="H260" s="110"/>
      <c r="I260" s="1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0"/>
      <c r="Y260" s="3"/>
    </row>
    <row r="261" spans="1:25" ht="12.5">
      <c r="A261" s="109"/>
      <c r="B261" s="3"/>
      <c r="C261" s="3"/>
      <c r="D261" s="110"/>
      <c r="E261" s="110"/>
      <c r="F261" s="110"/>
      <c r="G261" s="110"/>
      <c r="H261" s="110"/>
      <c r="I261" s="1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110"/>
      <c r="Y261" s="3"/>
    </row>
    <row r="262" spans="1:25" ht="12.5">
      <c r="A262" s="109"/>
      <c r="B262" s="3"/>
      <c r="C262" s="3"/>
      <c r="D262" s="110"/>
      <c r="E262" s="110"/>
      <c r="F262" s="110"/>
      <c r="G262" s="110"/>
      <c r="H262" s="110"/>
      <c r="I262" s="1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0"/>
      <c r="Y262" s="3"/>
    </row>
    <row r="263" spans="1:25" ht="12.5">
      <c r="A263" s="109"/>
      <c r="B263" s="3"/>
      <c r="C263" s="3"/>
      <c r="D263" s="110"/>
      <c r="E263" s="110"/>
      <c r="F263" s="110"/>
      <c r="G263" s="110"/>
      <c r="H263" s="110"/>
      <c r="I263" s="1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110"/>
      <c r="Y263" s="3"/>
    </row>
    <row r="264" spans="1:25" ht="12.5">
      <c r="A264" s="109"/>
      <c r="B264" s="3"/>
      <c r="C264" s="3"/>
      <c r="D264" s="110"/>
      <c r="E264" s="110"/>
      <c r="F264" s="110"/>
      <c r="G264" s="110"/>
      <c r="H264" s="110"/>
      <c r="I264" s="1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0"/>
      <c r="Y264" s="3"/>
    </row>
    <row r="265" spans="1:25" ht="12.5">
      <c r="A265" s="109"/>
      <c r="B265" s="3"/>
      <c r="C265" s="3"/>
      <c r="D265" s="110"/>
      <c r="E265" s="110"/>
      <c r="F265" s="110"/>
      <c r="G265" s="110"/>
      <c r="H265" s="110"/>
      <c r="I265" s="1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110"/>
      <c r="Y265" s="3"/>
    </row>
    <row r="266" spans="1:25" ht="12.5">
      <c r="A266" s="109"/>
      <c r="B266" s="3"/>
      <c r="C266" s="3"/>
      <c r="D266" s="110"/>
      <c r="E266" s="110"/>
      <c r="F266" s="110"/>
      <c r="G266" s="110"/>
      <c r="H266" s="110"/>
      <c r="I266" s="11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0"/>
      <c r="Y266" s="3"/>
    </row>
    <row r="267" spans="1:25" ht="12.5">
      <c r="A267" s="109"/>
      <c r="B267" s="3"/>
      <c r="C267" s="3"/>
      <c r="D267" s="110"/>
      <c r="E267" s="110"/>
      <c r="F267" s="110"/>
      <c r="G267" s="110"/>
      <c r="H267" s="110"/>
      <c r="I267" s="1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110"/>
      <c r="Y267" s="3"/>
    </row>
    <row r="268" spans="1:25" ht="12.5">
      <c r="A268" s="109"/>
      <c r="B268" s="3"/>
      <c r="C268" s="3"/>
      <c r="D268" s="110"/>
      <c r="E268" s="110"/>
      <c r="F268" s="110"/>
      <c r="G268" s="110"/>
      <c r="H268" s="110"/>
      <c r="I268" s="1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110"/>
      <c r="Y268" s="3"/>
    </row>
    <row r="269" spans="1:25" ht="12.5">
      <c r="A269" s="109"/>
      <c r="B269" s="3"/>
      <c r="C269" s="3"/>
      <c r="D269" s="110"/>
      <c r="E269" s="110"/>
      <c r="F269" s="110"/>
      <c r="G269" s="110"/>
      <c r="H269" s="110"/>
      <c r="I269" s="1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110"/>
      <c r="Y269" s="3"/>
    </row>
    <row r="270" spans="1:25" ht="12.5">
      <c r="A270" s="109"/>
      <c r="B270" s="3"/>
      <c r="C270" s="3"/>
      <c r="D270" s="110"/>
      <c r="E270" s="110"/>
      <c r="F270" s="110"/>
      <c r="G270" s="110"/>
      <c r="H270" s="110"/>
      <c r="I270" s="1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110"/>
      <c r="Y270" s="3"/>
    </row>
    <row r="271" spans="1:25" ht="12.5">
      <c r="A271" s="109"/>
      <c r="B271" s="3"/>
      <c r="C271" s="3"/>
      <c r="D271" s="110"/>
      <c r="E271" s="110"/>
      <c r="F271" s="110"/>
      <c r="G271" s="110"/>
      <c r="H271" s="110"/>
      <c r="I271" s="1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110"/>
      <c r="Y271" s="3"/>
    </row>
    <row r="272" spans="1:25" ht="12.5">
      <c r="A272" s="109"/>
      <c r="B272" s="3"/>
      <c r="C272" s="3"/>
      <c r="D272" s="110"/>
      <c r="E272" s="110"/>
      <c r="F272" s="110"/>
      <c r="G272" s="110"/>
      <c r="H272" s="110"/>
      <c r="I272" s="1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0"/>
      <c r="Y272" s="3"/>
    </row>
    <row r="273" spans="1:25" ht="12.5">
      <c r="A273" s="109"/>
      <c r="B273" s="3"/>
      <c r="C273" s="3"/>
      <c r="D273" s="110"/>
      <c r="E273" s="110"/>
      <c r="F273" s="110"/>
      <c r="G273" s="110"/>
      <c r="H273" s="110"/>
      <c r="I273" s="11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0"/>
      <c r="Y273" s="3"/>
    </row>
    <row r="274" spans="1:25" ht="12.5">
      <c r="A274" s="109"/>
      <c r="B274" s="3"/>
      <c r="C274" s="3"/>
      <c r="D274" s="110"/>
      <c r="E274" s="110"/>
      <c r="F274" s="110"/>
      <c r="G274" s="110"/>
      <c r="H274" s="110"/>
      <c r="I274" s="1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0"/>
      <c r="Y274" s="3"/>
    </row>
    <row r="275" spans="1:25" ht="12.5">
      <c r="A275" s="109"/>
      <c r="B275" s="3"/>
      <c r="C275" s="3"/>
      <c r="D275" s="110"/>
      <c r="E275" s="110"/>
      <c r="F275" s="110"/>
      <c r="G275" s="110"/>
      <c r="H275" s="110"/>
      <c r="I275" s="1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0"/>
      <c r="Y275" s="3"/>
    </row>
    <row r="276" spans="1:25" ht="12.5">
      <c r="A276" s="109"/>
      <c r="B276" s="3"/>
      <c r="C276" s="3"/>
      <c r="D276" s="110"/>
      <c r="E276" s="110"/>
      <c r="F276" s="110"/>
      <c r="G276" s="110"/>
      <c r="H276" s="110"/>
      <c r="I276" s="1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10"/>
      <c r="Y276" s="3"/>
    </row>
    <row r="277" spans="1:25" ht="12.5">
      <c r="A277" s="109"/>
      <c r="B277" s="3"/>
      <c r="C277" s="3"/>
      <c r="D277" s="110"/>
      <c r="E277" s="110"/>
      <c r="F277" s="110"/>
      <c r="G277" s="110"/>
      <c r="H277" s="110"/>
      <c r="I277" s="1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0"/>
      <c r="Y277" s="3"/>
    </row>
    <row r="278" spans="1:25" ht="12.5">
      <c r="A278" s="109"/>
      <c r="B278" s="3"/>
      <c r="C278" s="3"/>
      <c r="D278" s="110"/>
      <c r="E278" s="110"/>
      <c r="F278" s="110"/>
      <c r="G278" s="110"/>
      <c r="H278" s="110"/>
      <c r="I278" s="1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0"/>
      <c r="Y278" s="3"/>
    </row>
    <row r="279" spans="1:25" ht="12.5">
      <c r="A279" s="109"/>
      <c r="B279" s="3"/>
      <c r="C279" s="3"/>
      <c r="D279" s="110"/>
      <c r="E279" s="110"/>
      <c r="F279" s="110"/>
      <c r="G279" s="110"/>
      <c r="H279" s="110"/>
      <c r="I279" s="1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110"/>
      <c r="Y279" s="3"/>
    </row>
    <row r="280" spans="1:25" ht="12.5">
      <c r="A280" s="109"/>
      <c r="B280" s="3"/>
      <c r="C280" s="3"/>
      <c r="D280" s="110"/>
      <c r="E280" s="110"/>
      <c r="F280" s="110"/>
      <c r="G280" s="110"/>
      <c r="H280" s="110"/>
      <c r="I280" s="1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110"/>
      <c r="Y280" s="3"/>
    </row>
    <row r="281" spans="1:25" ht="12.5">
      <c r="A281" s="109"/>
      <c r="B281" s="3"/>
      <c r="C281" s="3"/>
      <c r="D281" s="110"/>
      <c r="E281" s="110"/>
      <c r="F281" s="110"/>
      <c r="G281" s="110"/>
      <c r="H281" s="110"/>
      <c r="I281" s="1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0"/>
      <c r="Y281" s="3"/>
    </row>
    <row r="282" spans="1:25" ht="12.5">
      <c r="A282" s="109"/>
      <c r="B282" s="3"/>
      <c r="C282" s="3"/>
      <c r="D282" s="110"/>
      <c r="E282" s="110"/>
      <c r="F282" s="110"/>
      <c r="G282" s="110"/>
      <c r="H282" s="110"/>
      <c r="I282" s="1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0"/>
      <c r="Y282" s="3"/>
    </row>
    <row r="283" spans="1:25" ht="12.5">
      <c r="A283" s="109"/>
      <c r="B283" s="3"/>
      <c r="C283" s="3"/>
      <c r="D283" s="110"/>
      <c r="E283" s="110"/>
      <c r="F283" s="110"/>
      <c r="G283" s="110"/>
      <c r="H283" s="110"/>
      <c r="I283" s="11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110"/>
      <c r="Y283" s="3"/>
    </row>
    <row r="284" spans="1:25" ht="12.5">
      <c r="A284" s="109"/>
      <c r="B284" s="3"/>
      <c r="C284" s="3"/>
      <c r="D284" s="110"/>
      <c r="E284" s="110"/>
      <c r="F284" s="110"/>
      <c r="G284" s="110"/>
      <c r="H284" s="110"/>
      <c r="I284" s="11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0"/>
      <c r="Y284" s="3"/>
    </row>
    <row r="285" spans="1:25" ht="12.5">
      <c r="A285" s="109"/>
      <c r="B285" s="3"/>
      <c r="C285" s="3"/>
      <c r="D285" s="110"/>
      <c r="E285" s="110"/>
      <c r="F285" s="110"/>
      <c r="G285" s="110"/>
      <c r="H285" s="110"/>
      <c r="I285" s="11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0"/>
      <c r="Y285" s="3"/>
    </row>
    <row r="286" spans="1:25" ht="12.5">
      <c r="A286" s="109"/>
      <c r="B286" s="3"/>
      <c r="C286" s="3"/>
      <c r="D286" s="110"/>
      <c r="E286" s="110"/>
      <c r="F286" s="110"/>
      <c r="G286" s="110"/>
      <c r="H286" s="110"/>
      <c r="I286" s="1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10"/>
      <c r="Y286" s="3"/>
    </row>
    <row r="287" spans="1:25" ht="12.5">
      <c r="A287" s="109"/>
      <c r="B287" s="3"/>
      <c r="C287" s="3"/>
      <c r="D287" s="110"/>
      <c r="E287" s="110"/>
      <c r="F287" s="110"/>
      <c r="G287" s="110"/>
      <c r="H287" s="110"/>
      <c r="I287" s="1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10"/>
      <c r="Y287" s="3"/>
    </row>
    <row r="288" spans="1:25" ht="12.5">
      <c r="A288" s="109"/>
      <c r="B288" s="3"/>
      <c r="C288" s="3"/>
      <c r="D288" s="110"/>
      <c r="E288" s="110"/>
      <c r="F288" s="110"/>
      <c r="G288" s="110"/>
      <c r="H288" s="110"/>
      <c r="I288" s="11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0"/>
      <c r="Y288" s="3"/>
    </row>
    <row r="289" spans="1:25" ht="12.5">
      <c r="A289" s="109"/>
      <c r="B289" s="3"/>
      <c r="C289" s="3"/>
      <c r="D289" s="110"/>
      <c r="E289" s="110"/>
      <c r="F289" s="110"/>
      <c r="G289" s="110"/>
      <c r="H289" s="110"/>
      <c r="I289" s="1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0"/>
      <c r="Y289" s="3"/>
    </row>
    <row r="290" spans="1:25" ht="12.5">
      <c r="A290" s="109"/>
      <c r="B290" s="3"/>
      <c r="C290" s="3"/>
      <c r="D290" s="110"/>
      <c r="E290" s="110"/>
      <c r="F290" s="110"/>
      <c r="G290" s="110"/>
      <c r="H290" s="110"/>
      <c r="I290" s="11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0"/>
      <c r="Y290" s="3"/>
    </row>
    <row r="291" spans="1:25" ht="12.5">
      <c r="A291" s="109"/>
      <c r="B291" s="3"/>
      <c r="C291" s="3"/>
      <c r="D291" s="110"/>
      <c r="E291" s="110"/>
      <c r="F291" s="110"/>
      <c r="G291" s="110"/>
      <c r="H291" s="110"/>
      <c r="I291" s="11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0"/>
      <c r="Y291" s="3"/>
    </row>
    <row r="292" spans="1:25" ht="12.5">
      <c r="A292" s="109"/>
      <c r="B292" s="3"/>
      <c r="C292" s="3"/>
      <c r="D292" s="110"/>
      <c r="E292" s="110"/>
      <c r="F292" s="110"/>
      <c r="G292" s="110"/>
      <c r="H292" s="110"/>
      <c r="I292" s="1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0"/>
      <c r="Y292" s="3"/>
    </row>
    <row r="293" spans="1:25" ht="12.5">
      <c r="A293" s="109"/>
      <c r="B293" s="3"/>
      <c r="C293" s="3"/>
      <c r="D293" s="110"/>
      <c r="E293" s="110"/>
      <c r="F293" s="110"/>
      <c r="G293" s="110"/>
      <c r="H293" s="110"/>
      <c r="I293" s="1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10"/>
      <c r="Y293" s="3"/>
    </row>
    <row r="294" spans="1:25" ht="12.5">
      <c r="A294" s="109"/>
      <c r="B294" s="3"/>
      <c r="C294" s="3"/>
      <c r="D294" s="110"/>
      <c r="E294" s="110"/>
      <c r="F294" s="110"/>
      <c r="G294" s="110"/>
      <c r="H294" s="110"/>
      <c r="I294" s="1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110"/>
      <c r="Y294" s="3"/>
    </row>
    <row r="295" spans="1:25" ht="12.5">
      <c r="A295" s="109"/>
      <c r="B295" s="3"/>
      <c r="C295" s="3"/>
      <c r="D295" s="110"/>
      <c r="E295" s="110"/>
      <c r="F295" s="110"/>
      <c r="G295" s="110"/>
      <c r="H295" s="110"/>
      <c r="I295" s="1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110"/>
      <c r="Y295" s="3"/>
    </row>
    <row r="296" spans="1:25" ht="12.5">
      <c r="A296" s="109"/>
      <c r="B296" s="3"/>
      <c r="C296" s="3"/>
      <c r="D296" s="110"/>
      <c r="E296" s="110"/>
      <c r="F296" s="110"/>
      <c r="G296" s="110"/>
      <c r="H296" s="110"/>
      <c r="I296" s="1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110"/>
      <c r="Y296" s="3"/>
    </row>
    <row r="297" spans="1:25" ht="12.5">
      <c r="A297" s="109"/>
      <c r="B297" s="3"/>
      <c r="C297" s="3"/>
      <c r="D297" s="110"/>
      <c r="E297" s="110"/>
      <c r="F297" s="110"/>
      <c r="G297" s="110"/>
      <c r="H297" s="110"/>
      <c r="I297" s="1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110"/>
      <c r="Y297" s="3"/>
    </row>
    <row r="298" spans="1:25" ht="12.5">
      <c r="A298" s="109"/>
      <c r="B298" s="3"/>
      <c r="C298" s="3"/>
      <c r="D298" s="110"/>
      <c r="E298" s="110"/>
      <c r="F298" s="110"/>
      <c r="G298" s="110"/>
      <c r="H298" s="110"/>
      <c r="I298" s="11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110"/>
      <c r="Y298" s="3"/>
    </row>
    <row r="299" spans="1:25" ht="12.5">
      <c r="A299" s="109"/>
      <c r="B299" s="3"/>
      <c r="C299" s="3"/>
      <c r="D299" s="110"/>
      <c r="E299" s="110"/>
      <c r="F299" s="110"/>
      <c r="G299" s="110"/>
      <c r="H299" s="110"/>
      <c r="I299" s="11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110"/>
      <c r="Y299" s="3"/>
    </row>
    <row r="300" spans="1:25" ht="12.5">
      <c r="A300" s="109"/>
      <c r="B300" s="3"/>
      <c r="C300" s="3"/>
      <c r="D300" s="110"/>
      <c r="E300" s="110"/>
      <c r="F300" s="110"/>
      <c r="G300" s="110"/>
      <c r="H300" s="110"/>
      <c r="I300" s="11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110"/>
      <c r="Y300" s="3"/>
    </row>
    <row r="301" spans="1:25" ht="12.5">
      <c r="A301" s="109"/>
      <c r="B301" s="3"/>
      <c r="C301" s="3"/>
      <c r="D301" s="110"/>
      <c r="E301" s="110"/>
      <c r="F301" s="110"/>
      <c r="G301" s="110"/>
      <c r="H301" s="110"/>
      <c r="I301" s="1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110"/>
      <c r="Y301" s="3"/>
    </row>
    <row r="302" spans="1:25" ht="12.5">
      <c r="A302" s="109"/>
      <c r="B302" s="3"/>
      <c r="C302" s="3"/>
      <c r="D302" s="110"/>
      <c r="E302" s="110"/>
      <c r="F302" s="110"/>
      <c r="G302" s="110"/>
      <c r="H302" s="110"/>
      <c r="I302" s="1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110"/>
      <c r="Y302" s="3"/>
    </row>
    <row r="303" spans="1:25" ht="12.5">
      <c r="A303" s="109"/>
      <c r="B303" s="3"/>
      <c r="C303" s="3"/>
      <c r="D303" s="110"/>
      <c r="E303" s="110"/>
      <c r="F303" s="110"/>
      <c r="G303" s="110"/>
      <c r="H303" s="110"/>
      <c r="I303" s="1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110"/>
      <c r="Y303" s="3"/>
    </row>
    <row r="304" spans="1:25" ht="12.5">
      <c r="A304" s="109"/>
      <c r="B304" s="3"/>
      <c r="C304" s="3"/>
      <c r="D304" s="110"/>
      <c r="E304" s="110"/>
      <c r="F304" s="110"/>
      <c r="G304" s="110"/>
      <c r="H304" s="110"/>
      <c r="I304" s="11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110"/>
      <c r="Y304" s="3"/>
    </row>
    <row r="305" spans="1:25" ht="12.5">
      <c r="A305" s="109"/>
      <c r="B305" s="3"/>
      <c r="C305" s="3"/>
      <c r="D305" s="110"/>
      <c r="E305" s="110"/>
      <c r="F305" s="110"/>
      <c r="G305" s="110"/>
      <c r="H305" s="110"/>
      <c r="I305" s="11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110"/>
      <c r="Y305" s="3"/>
    </row>
    <row r="306" spans="1:25" ht="12.5">
      <c r="A306" s="109"/>
      <c r="B306" s="3"/>
      <c r="C306" s="3"/>
      <c r="D306" s="110"/>
      <c r="E306" s="110"/>
      <c r="F306" s="110"/>
      <c r="G306" s="110"/>
      <c r="H306" s="110"/>
      <c r="I306" s="1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110"/>
      <c r="Y306" s="3"/>
    </row>
    <row r="307" spans="1:25" ht="12.5">
      <c r="A307" s="109"/>
      <c r="B307" s="3"/>
      <c r="C307" s="3"/>
      <c r="D307" s="110"/>
      <c r="E307" s="110"/>
      <c r="F307" s="110"/>
      <c r="G307" s="110"/>
      <c r="H307" s="110"/>
      <c r="I307" s="1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110"/>
      <c r="Y307" s="3"/>
    </row>
    <row r="308" spans="1:25" ht="12.5">
      <c r="A308" s="109"/>
      <c r="B308" s="3"/>
      <c r="C308" s="3"/>
      <c r="D308" s="110"/>
      <c r="E308" s="110"/>
      <c r="F308" s="110"/>
      <c r="G308" s="110"/>
      <c r="H308" s="110"/>
      <c r="I308" s="1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10"/>
      <c r="Y308" s="3"/>
    </row>
    <row r="309" spans="1:25" ht="12.5">
      <c r="A309" s="109"/>
      <c r="B309" s="3"/>
      <c r="C309" s="3"/>
      <c r="D309" s="110"/>
      <c r="E309" s="110"/>
      <c r="F309" s="110"/>
      <c r="G309" s="110"/>
      <c r="H309" s="110"/>
      <c r="I309" s="1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10"/>
      <c r="Y309" s="3"/>
    </row>
    <row r="310" spans="1:25" ht="12.5">
      <c r="A310" s="109"/>
      <c r="B310" s="3"/>
      <c r="C310" s="3"/>
      <c r="D310" s="110"/>
      <c r="E310" s="110"/>
      <c r="F310" s="110"/>
      <c r="G310" s="110"/>
      <c r="H310" s="110"/>
      <c r="I310" s="1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110"/>
      <c r="Y310" s="3"/>
    </row>
    <row r="311" spans="1:25" ht="12.5">
      <c r="A311" s="109"/>
      <c r="B311" s="3"/>
      <c r="C311" s="3"/>
      <c r="D311" s="110"/>
      <c r="E311" s="110"/>
      <c r="F311" s="110"/>
      <c r="G311" s="110"/>
      <c r="H311" s="110"/>
      <c r="I311" s="1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110"/>
      <c r="Y311" s="3"/>
    </row>
    <row r="312" spans="1:25" ht="12.5">
      <c r="A312" s="109"/>
      <c r="B312" s="3"/>
      <c r="C312" s="3"/>
      <c r="D312" s="110"/>
      <c r="E312" s="110"/>
      <c r="F312" s="110"/>
      <c r="G312" s="110"/>
      <c r="H312" s="110"/>
      <c r="I312" s="1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110"/>
      <c r="Y312" s="3"/>
    </row>
    <row r="313" spans="1:25" ht="12.5">
      <c r="A313" s="109"/>
      <c r="B313" s="3"/>
      <c r="C313" s="3"/>
      <c r="D313" s="110"/>
      <c r="E313" s="110"/>
      <c r="F313" s="110"/>
      <c r="G313" s="110"/>
      <c r="H313" s="110"/>
      <c r="I313" s="1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110"/>
      <c r="Y313" s="3"/>
    </row>
    <row r="314" spans="1:25" ht="12.5">
      <c r="A314" s="109"/>
      <c r="B314" s="3"/>
      <c r="C314" s="3"/>
      <c r="D314" s="110"/>
      <c r="E314" s="110"/>
      <c r="F314" s="110"/>
      <c r="G314" s="110"/>
      <c r="H314" s="110"/>
      <c r="I314" s="1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110"/>
      <c r="Y314" s="3"/>
    </row>
    <row r="315" spans="1:25" ht="12.5">
      <c r="A315" s="109"/>
      <c r="B315" s="3"/>
      <c r="C315" s="3"/>
      <c r="D315" s="110"/>
      <c r="E315" s="110"/>
      <c r="F315" s="110"/>
      <c r="G315" s="110"/>
      <c r="H315" s="110"/>
      <c r="I315" s="11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110"/>
      <c r="Y315" s="3"/>
    </row>
    <row r="316" spans="1:25" ht="12.5">
      <c r="A316" s="109"/>
      <c r="B316" s="3"/>
      <c r="C316" s="3"/>
      <c r="D316" s="110"/>
      <c r="E316" s="110"/>
      <c r="F316" s="110"/>
      <c r="G316" s="110"/>
      <c r="H316" s="110"/>
      <c r="I316" s="11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110"/>
      <c r="Y316" s="3"/>
    </row>
    <row r="317" spans="1:25" ht="12.5">
      <c r="A317" s="109"/>
      <c r="B317" s="3"/>
      <c r="C317" s="3"/>
      <c r="D317" s="110"/>
      <c r="E317" s="110"/>
      <c r="F317" s="110"/>
      <c r="G317" s="110"/>
      <c r="H317" s="110"/>
      <c r="I317" s="11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110"/>
      <c r="Y317" s="3"/>
    </row>
    <row r="318" spans="1:25" ht="12.5">
      <c r="A318" s="109"/>
      <c r="B318" s="3"/>
      <c r="C318" s="3"/>
      <c r="D318" s="110"/>
      <c r="E318" s="110"/>
      <c r="F318" s="110"/>
      <c r="G318" s="110"/>
      <c r="H318" s="110"/>
      <c r="I318" s="11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110"/>
      <c r="Y318" s="3"/>
    </row>
    <row r="319" spans="1:25" ht="12.5">
      <c r="A319" s="109"/>
      <c r="B319" s="3"/>
      <c r="C319" s="3"/>
      <c r="D319" s="110"/>
      <c r="E319" s="110"/>
      <c r="F319" s="110"/>
      <c r="G319" s="110"/>
      <c r="H319" s="110"/>
      <c r="I319" s="11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110"/>
      <c r="Y319" s="3"/>
    </row>
    <row r="320" spans="1:25" ht="12.5">
      <c r="A320" s="109"/>
      <c r="B320" s="3"/>
      <c r="C320" s="3"/>
      <c r="D320" s="110"/>
      <c r="E320" s="110"/>
      <c r="F320" s="110"/>
      <c r="G320" s="110"/>
      <c r="H320" s="110"/>
      <c r="I320" s="11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110"/>
      <c r="Y320" s="3"/>
    </row>
    <row r="321" spans="1:25" ht="12.5">
      <c r="A321" s="109"/>
      <c r="B321" s="3"/>
      <c r="C321" s="3"/>
      <c r="D321" s="110"/>
      <c r="E321" s="110"/>
      <c r="F321" s="110"/>
      <c r="G321" s="110"/>
      <c r="H321" s="110"/>
      <c r="I321" s="11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110"/>
      <c r="Y321" s="3"/>
    </row>
    <row r="322" spans="1:25" ht="12.5">
      <c r="A322" s="109"/>
      <c r="B322" s="3"/>
      <c r="C322" s="3"/>
      <c r="D322" s="110"/>
      <c r="E322" s="110"/>
      <c r="F322" s="110"/>
      <c r="G322" s="110"/>
      <c r="H322" s="110"/>
      <c r="I322" s="11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110"/>
      <c r="Y322" s="3"/>
    </row>
    <row r="323" spans="1:25" ht="12.5">
      <c r="A323" s="109"/>
      <c r="B323" s="3"/>
      <c r="C323" s="3"/>
      <c r="D323" s="110"/>
      <c r="E323" s="110"/>
      <c r="F323" s="110"/>
      <c r="G323" s="110"/>
      <c r="H323" s="110"/>
      <c r="I323" s="11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110"/>
      <c r="Y323" s="3"/>
    </row>
    <row r="324" spans="1:25" ht="12.5">
      <c r="A324" s="109"/>
      <c r="B324" s="3"/>
      <c r="C324" s="3"/>
      <c r="D324" s="110"/>
      <c r="E324" s="110"/>
      <c r="F324" s="110"/>
      <c r="G324" s="110"/>
      <c r="H324" s="110"/>
      <c r="I324" s="11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110"/>
      <c r="Y324" s="3"/>
    </row>
    <row r="325" spans="1:25" ht="12.5">
      <c r="A325" s="109"/>
      <c r="B325" s="3"/>
      <c r="C325" s="3"/>
      <c r="D325" s="110"/>
      <c r="E325" s="110"/>
      <c r="F325" s="110"/>
      <c r="G325" s="110"/>
      <c r="H325" s="110"/>
      <c r="I325" s="11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110"/>
      <c r="Y325" s="3"/>
    </row>
    <row r="326" spans="1:25" ht="12.5">
      <c r="A326" s="109"/>
      <c r="B326" s="3"/>
      <c r="C326" s="3"/>
      <c r="D326" s="110"/>
      <c r="E326" s="110"/>
      <c r="F326" s="110"/>
      <c r="G326" s="110"/>
      <c r="H326" s="110"/>
      <c r="I326" s="11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110"/>
      <c r="Y326" s="3"/>
    </row>
    <row r="327" spans="1:25" ht="12.5">
      <c r="A327" s="109"/>
      <c r="B327" s="3"/>
      <c r="C327" s="3"/>
      <c r="D327" s="110"/>
      <c r="E327" s="110"/>
      <c r="F327" s="110"/>
      <c r="G327" s="110"/>
      <c r="H327" s="110"/>
      <c r="I327" s="11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110"/>
      <c r="Y327" s="3"/>
    </row>
    <row r="328" spans="1:25" ht="12.5">
      <c r="A328" s="109"/>
      <c r="B328" s="3"/>
      <c r="C328" s="3"/>
      <c r="D328" s="110"/>
      <c r="E328" s="110"/>
      <c r="F328" s="110"/>
      <c r="G328" s="110"/>
      <c r="H328" s="110"/>
      <c r="I328" s="11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110"/>
      <c r="Y328" s="3"/>
    </row>
    <row r="329" spans="1:25" ht="12.5">
      <c r="A329" s="109"/>
      <c r="B329" s="3"/>
      <c r="C329" s="3"/>
      <c r="D329" s="110"/>
      <c r="E329" s="110"/>
      <c r="F329" s="110"/>
      <c r="G329" s="110"/>
      <c r="H329" s="110"/>
      <c r="I329" s="11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110"/>
      <c r="Y329" s="3"/>
    </row>
    <row r="330" spans="1:25" ht="12.5">
      <c r="A330" s="109"/>
      <c r="B330" s="3"/>
      <c r="C330" s="3"/>
      <c r="D330" s="110"/>
      <c r="E330" s="110"/>
      <c r="F330" s="110"/>
      <c r="G330" s="110"/>
      <c r="H330" s="110"/>
      <c r="I330" s="11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110"/>
      <c r="Y330" s="3"/>
    </row>
    <row r="331" spans="1:25" ht="12.5">
      <c r="A331" s="109"/>
      <c r="B331" s="3"/>
      <c r="C331" s="3"/>
      <c r="D331" s="110"/>
      <c r="E331" s="110"/>
      <c r="F331" s="110"/>
      <c r="G331" s="110"/>
      <c r="H331" s="110"/>
      <c r="I331" s="11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110"/>
      <c r="Y331" s="3"/>
    </row>
    <row r="332" spans="1:25" ht="12.5">
      <c r="A332" s="109"/>
      <c r="B332" s="3"/>
      <c r="C332" s="3"/>
      <c r="D332" s="110"/>
      <c r="E332" s="110"/>
      <c r="F332" s="110"/>
      <c r="G332" s="110"/>
      <c r="H332" s="110"/>
      <c r="I332" s="11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110"/>
      <c r="Y332" s="3"/>
    </row>
    <row r="333" spans="1:25" ht="12.5">
      <c r="A333" s="109"/>
      <c r="B333" s="3"/>
      <c r="C333" s="3"/>
      <c r="D333" s="110"/>
      <c r="E333" s="110"/>
      <c r="F333" s="110"/>
      <c r="G333" s="110"/>
      <c r="H333" s="110"/>
      <c r="I333" s="1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110"/>
      <c r="Y333" s="3"/>
    </row>
    <row r="334" spans="1:25" ht="12.5">
      <c r="A334" s="109"/>
      <c r="B334" s="3"/>
      <c r="C334" s="3"/>
      <c r="D334" s="110"/>
      <c r="E334" s="110"/>
      <c r="F334" s="110"/>
      <c r="G334" s="110"/>
      <c r="H334" s="110"/>
      <c r="I334" s="1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110"/>
      <c r="Y334" s="3"/>
    </row>
    <row r="335" spans="1:25" ht="12.5">
      <c r="A335" s="109"/>
      <c r="B335" s="3"/>
      <c r="C335" s="3"/>
      <c r="D335" s="110"/>
      <c r="E335" s="110"/>
      <c r="F335" s="110"/>
      <c r="G335" s="110"/>
      <c r="H335" s="110"/>
      <c r="I335" s="1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110"/>
      <c r="Y335" s="3"/>
    </row>
    <row r="336" spans="1:25" ht="12.5">
      <c r="A336" s="109"/>
      <c r="B336" s="3"/>
      <c r="C336" s="3"/>
      <c r="D336" s="110"/>
      <c r="E336" s="110"/>
      <c r="F336" s="110"/>
      <c r="G336" s="110"/>
      <c r="H336" s="110"/>
      <c r="I336" s="1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110"/>
      <c r="Y336" s="3"/>
    </row>
    <row r="337" spans="1:25" ht="12.5">
      <c r="A337" s="109"/>
      <c r="B337" s="3"/>
      <c r="C337" s="3"/>
      <c r="D337" s="110"/>
      <c r="E337" s="110"/>
      <c r="F337" s="110"/>
      <c r="G337" s="110"/>
      <c r="H337" s="110"/>
      <c r="I337" s="1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110"/>
      <c r="Y337" s="3"/>
    </row>
    <row r="338" spans="1:25" ht="12.5">
      <c r="A338" s="109"/>
      <c r="B338" s="3"/>
      <c r="C338" s="3"/>
      <c r="D338" s="110"/>
      <c r="E338" s="110"/>
      <c r="F338" s="110"/>
      <c r="G338" s="110"/>
      <c r="H338" s="110"/>
      <c r="I338" s="1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110"/>
      <c r="Y338" s="3"/>
    </row>
    <row r="339" spans="1:25" ht="12.5">
      <c r="A339" s="109"/>
      <c r="B339" s="3"/>
      <c r="C339" s="3"/>
      <c r="D339" s="110"/>
      <c r="E339" s="110"/>
      <c r="F339" s="110"/>
      <c r="G339" s="110"/>
      <c r="H339" s="110"/>
      <c r="I339" s="1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110"/>
      <c r="Y339" s="3"/>
    </row>
    <row r="340" spans="1:25" ht="12.5">
      <c r="A340" s="109"/>
      <c r="B340" s="3"/>
      <c r="C340" s="3"/>
      <c r="D340" s="110"/>
      <c r="E340" s="110"/>
      <c r="F340" s="110"/>
      <c r="G340" s="110"/>
      <c r="H340" s="110"/>
      <c r="I340" s="11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110"/>
      <c r="Y340" s="3"/>
    </row>
    <row r="341" spans="1:25" ht="12.5">
      <c r="A341" s="109"/>
      <c r="B341" s="3"/>
      <c r="C341" s="3"/>
      <c r="D341" s="110"/>
      <c r="E341" s="110"/>
      <c r="F341" s="110"/>
      <c r="G341" s="110"/>
      <c r="H341" s="110"/>
      <c r="I341" s="11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110"/>
      <c r="Y341" s="3"/>
    </row>
    <row r="342" spans="1:25" ht="12.5">
      <c r="A342" s="109"/>
      <c r="B342" s="3"/>
      <c r="C342" s="3"/>
      <c r="D342" s="110"/>
      <c r="E342" s="110"/>
      <c r="F342" s="110"/>
      <c r="G342" s="110"/>
      <c r="H342" s="110"/>
      <c r="I342" s="11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10"/>
      <c r="Y342" s="3"/>
    </row>
    <row r="343" spans="1:25" ht="12.5">
      <c r="A343" s="109"/>
      <c r="B343" s="3"/>
      <c r="C343" s="3"/>
      <c r="D343" s="110"/>
      <c r="E343" s="110"/>
      <c r="F343" s="110"/>
      <c r="G343" s="110"/>
      <c r="H343" s="110"/>
      <c r="I343" s="11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10"/>
      <c r="Y343" s="3"/>
    </row>
    <row r="344" spans="1:25" ht="12.5">
      <c r="A344" s="109"/>
      <c r="B344" s="3"/>
      <c r="C344" s="3"/>
      <c r="D344" s="110"/>
      <c r="E344" s="110"/>
      <c r="F344" s="110"/>
      <c r="G344" s="110"/>
      <c r="H344" s="110"/>
      <c r="I344" s="11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110"/>
      <c r="Y344" s="3"/>
    </row>
    <row r="345" spans="1:25" ht="12.5">
      <c r="A345" s="109"/>
      <c r="B345" s="3"/>
      <c r="C345" s="3"/>
      <c r="D345" s="110"/>
      <c r="E345" s="110"/>
      <c r="F345" s="110"/>
      <c r="G345" s="110"/>
      <c r="H345" s="110"/>
      <c r="I345" s="11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110"/>
      <c r="Y345" s="3"/>
    </row>
    <row r="346" spans="1:25" ht="12.5">
      <c r="A346" s="109"/>
      <c r="B346" s="3"/>
      <c r="C346" s="3"/>
      <c r="D346" s="110"/>
      <c r="E346" s="110"/>
      <c r="F346" s="110"/>
      <c r="G346" s="110"/>
      <c r="H346" s="110"/>
      <c r="I346" s="11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110"/>
      <c r="Y346" s="3"/>
    </row>
    <row r="347" spans="1:25" ht="12.5">
      <c r="A347" s="109"/>
      <c r="B347" s="3"/>
      <c r="C347" s="3"/>
      <c r="D347" s="110"/>
      <c r="E347" s="110"/>
      <c r="F347" s="110"/>
      <c r="G347" s="110"/>
      <c r="H347" s="110"/>
      <c r="I347" s="11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110"/>
      <c r="Y347" s="3"/>
    </row>
    <row r="348" spans="1:25" ht="12.5">
      <c r="A348" s="109"/>
      <c r="B348" s="3"/>
      <c r="C348" s="3"/>
      <c r="D348" s="110"/>
      <c r="E348" s="110"/>
      <c r="F348" s="110"/>
      <c r="G348" s="110"/>
      <c r="H348" s="110"/>
      <c r="I348" s="11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110"/>
      <c r="Y348" s="3"/>
    </row>
    <row r="349" spans="1:25" ht="12.5">
      <c r="A349" s="109"/>
      <c r="B349" s="3"/>
      <c r="C349" s="3"/>
      <c r="D349" s="110"/>
      <c r="E349" s="110"/>
      <c r="F349" s="110"/>
      <c r="G349" s="110"/>
      <c r="H349" s="110"/>
      <c r="I349" s="11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110"/>
      <c r="Y349" s="3"/>
    </row>
    <row r="350" spans="1:25" ht="12.5">
      <c r="A350" s="109"/>
      <c r="B350" s="3"/>
      <c r="C350" s="3"/>
      <c r="D350" s="110"/>
      <c r="E350" s="110"/>
      <c r="F350" s="110"/>
      <c r="G350" s="110"/>
      <c r="H350" s="110"/>
      <c r="I350" s="11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110"/>
      <c r="Y350" s="3"/>
    </row>
    <row r="351" spans="1:25" ht="12.5">
      <c r="A351" s="109"/>
      <c r="B351" s="3"/>
      <c r="C351" s="3"/>
      <c r="D351" s="110"/>
      <c r="E351" s="110"/>
      <c r="F351" s="110"/>
      <c r="G351" s="110"/>
      <c r="H351" s="110"/>
      <c r="I351" s="11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110"/>
      <c r="Y351" s="3"/>
    </row>
    <row r="352" spans="1:25" ht="12.5">
      <c r="A352" s="109"/>
      <c r="B352" s="3"/>
      <c r="C352" s="3"/>
      <c r="D352" s="110"/>
      <c r="E352" s="110"/>
      <c r="F352" s="110"/>
      <c r="G352" s="110"/>
      <c r="H352" s="110"/>
      <c r="I352" s="11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110"/>
      <c r="Y352" s="3"/>
    </row>
    <row r="353" spans="1:25" ht="12.5">
      <c r="A353" s="109"/>
      <c r="B353" s="3"/>
      <c r="C353" s="3"/>
      <c r="D353" s="110"/>
      <c r="E353" s="110"/>
      <c r="F353" s="110"/>
      <c r="G353" s="110"/>
      <c r="H353" s="110"/>
      <c r="I353" s="11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110"/>
      <c r="Y353" s="3"/>
    </row>
    <row r="354" spans="1:25" ht="12.5">
      <c r="A354" s="109"/>
      <c r="B354" s="3"/>
      <c r="C354" s="3"/>
      <c r="D354" s="110"/>
      <c r="E354" s="110"/>
      <c r="F354" s="110"/>
      <c r="G354" s="110"/>
      <c r="H354" s="110"/>
      <c r="I354" s="11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110"/>
      <c r="Y354" s="3"/>
    </row>
    <row r="355" spans="1:25" ht="12.5">
      <c r="A355" s="109"/>
      <c r="B355" s="3"/>
      <c r="C355" s="3"/>
      <c r="D355" s="110"/>
      <c r="E355" s="110"/>
      <c r="F355" s="110"/>
      <c r="G355" s="110"/>
      <c r="H355" s="110"/>
      <c r="I355" s="1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110"/>
      <c r="Y355" s="3"/>
    </row>
    <row r="356" spans="1:25" ht="12.5">
      <c r="A356" s="109"/>
      <c r="B356" s="3"/>
      <c r="C356" s="3"/>
      <c r="D356" s="110"/>
      <c r="E356" s="110"/>
      <c r="F356" s="110"/>
      <c r="G356" s="110"/>
      <c r="H356" s="110"/>
      <c r="I356" s="1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110"/>
      <c r="Y356" s="3"/>
    </row>
    <row r="357" spans="1:25" ht="12.5">
      <c r="A357" s="109"/>
      <c r="B357" s="3"/>
      <c r="C357" s="3"/>
      <c r="D357" s="110"/>
      <c r="E357" s="110"/>
      <c r="F357" s="110"/>
      <c r="G357" s="110"/>
      <c r="H357" s="110"/>
      <c r="I357" s="1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110"/>
      <c r="Y357" s="3"/>
    </row>
    <row r="358" spans="1:25" ht="12.5">
      <c r="A358" s="109"/>
      <c r="B358" s="3"/>
      <c r="C358" s="3"/>
      <c r="D358" s="110"/>
      <c r="E358" s="110"/>
      <c r="F358" s="110"/>
      <c r="G358" s="110"/>
      <c r="H358" s="110"/>
      <c r="I358" s="1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110"/>
      <c r="Y358" s="3"/>
    </row>
    <row r="359" spans="1:25" ht="12.5">
      <c r="A359" s="3"/>
      <c r="B359" s="3"/>
      <c r="C359" s="3"/>
      <c r="D359" s="110"/>
      <c r="E359" s="110"/>
      <c r="F359" s="110"/>
      <c r="G359" s="110"/>
      <c r="H359" s="110"/>
      <c r="I359" s="1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110"/>
      <c r="Y359" s="3"/>
    </row>
    <row r="360" spans="1:25" ht="12.5">
      <c r="A360" s="3"/>
      <c r="B360" s="3"/>
      <c r="C360" s="3"/>
      <c r="D360" s="110"/>
      <c r="E360" s="110"/>
      <c r="F360" s="110"/>
      <c r="G360" s="110"/>
      <c r="H360" s="110"/>
      <c r="I360" s="1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110"/>
      <c r="Y360" s="3"/>
    </row>
    <row r="361" spans="1:25" ht="12.5">
      <c r="A361" s="3"/>
      <c r="B361" s="3"/>
      <c r="C361" s="3"/>
      <c r="D361" s="110"/>
      <c r="E361" s="110"/>
      <c r="F361" s="110"/>
      <c r="G361" s="110"/>
      <c r="H361" s="110"/>
      <c r="I361" s="1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110"/>
      <c r="Y361" s="3"/>
    </row>
    <row r="362" spans="1:25" ht="12.5">
      <c r="A362" s="3"/>
      <c r="B362" s="3"/>
      <c r="C362" s="3"/>
      <c r="D362" s="110"/>
      <c r="E362" s="110"/>
      <c r="F362" s="110"/>
      <c r="G362" s="110"/>
      <c r="H362" s="110"/>
      <c r="I362" s="11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110"/>
      <c r="Y362" s="3"/>
    </row>
    <row r="363" spans="1:25" ht="12.5">
      <c r="A363" s="3"/>
      <c r="B363" s="3"/>
      <c r="C363" s="3"/>
      <c r="D363" s="110"/>
      <c r="E363" s="110"/>
      <c r="F363" s="110"/>
      <c r="G363" s="110"/>
      <c r="H363" s="110"/>
      <c r="I363" s="11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110"/>
      <c r="Y363" s="3"/>
    </row>
    <row r="364" spans="1:25" ht="12.5">
      <c r="A364" s="3"/>
      <c r="B364" s="3"/>
      <c r="C364" s="3"/>
      <c r="D364" s="110"/>
      <c r="E364" s="110"/>
      <c r="F364" s="110"/>
      <c r="G364" s="110"/>
      <c r="H364" s="110"/>
      <c r="I364" s="11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110"/>
      <c r="Y364" s="3"/>
    </row>
    <row r="365" spans="1:25" ht="12.5">
      <c r="A365" s="3"/>
      <c r="B365" s="3"/>
      <c r="C365" s="3"/>
      <c r="D365" s="110"/>
      <c r="E365" s="110"/>
      <c r="F365" s="110"/>
      <c r="G365" s="110"/>
      <c r="H365" s="110"/>
      <c r="I365" s="11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110"/>
      <c r="Y365" s="3"/>
    </row>
    <row r="366" spans="1:25" ht="12.5">
      <c r="A366" s="3"/>
      <c r="B366" s="3"/>
      <c r="C366" s="3"/>
      <c r="D366" s="110"/>
      <c r="E366" s="110"/>
      <c r="F366" s="110"/>
      <c r="G366" s="110"/>
      <c r="H366" s="110"/>
      <c r="I366" s="11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110"/>
      <c r="Y366" s="3"/>
    </row>
    <row r="367" spans="1:25" ht="12.5">
      <c r="A367" s="3"/>
      <c r="B367" s="3"/>
      <c r="C367" s="3"/>
      <c r="D367" s="110"/>
      <c r="E367" s="110"/>
      <c r="F367" s="110"/>
      <c r="G367" s="110"/>
      <c r="H367" s="110"/>
      <c r="I367" s="11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110"/>
      <c r="Y367" s="3"/>
    </row>
    <row r="368" spans="1:25" ht="12.5">
      <c r="A368" s="3"/>
      <c r="B368" s="3"/>
      <c r="C368" s="3"/>
      <c r="D368" s="110"/>
      <c r="E368" s="110"/>
      <c r="F368" s="110"/>
      <c r="G368" s="110"/>
      <c r="H368" s="110"/>
      <c r="I368" s="1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110"/>
      <c r="Y368" s="3"/>
    </row>
    <row r="369" spans="1:25" ht="12.5">
      <c r="A369" s="3"/>
      <c r="B369" s="3"/>
      <c r="C369" s="3"/>
      <c r="D369" s="110"/>
      <c r="E369" s="110"/>
      <c r="F369" s="110"/>
      <c r="G369" s="110"/>
      <c r="H369" s="110"/>
      <c r="I369" s="1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110"/>
      <c r="Y369" s="3"/>
    </row>
    <row r="370" spans="1:25" ht="12.5">
      <c r="A370" s="3"/>
      <c r="B370" s="3"/>
      <c r="C370" s="3"/>
      <c r="D370" s="110"/>
      <c r="E370" s="110"/>
      <c r="F370" s="110"/>
      <c r="G370" s="110"/>
      <c r="H370" s="110"/>
      <c r="I370" s="1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110"/>
      <c r="Y370" s="3"/>
    </row>
    <row r="371" spans="1:25" ht="12.5">
      <c r="A371" s="3"/>
      <c r="B371" s="3"/>
      <c r="C371" s="3"/>
      <c r="D371" s="110"/>
      <c r="E371" s="110"/>
      <c r="F371" s="110"/>
      <c r="G371" s="110"/>
      <c r="H371" s="110"/>
      <c r="I371" s="1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110"/>
      <c r="Y371" s="3"/>
    </row>
    <row r="372" spans="1:25" ht="12.5">
      <c r="A372" s="3"/>
      <c r="B372" s="3"/>
      <c r="C372" s="3"/>
      <c r="D372" s="110"/>
      <c r="E372" s="110"/>
      <c r="F372" s="110"/>
      <c r="G372" s="110"/>
      <c r="H372" s="110"/>
      <c r="I372" s="1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110"/>
      <c r="Y372" s="3"/>
    </row>
    <row r="373" spans="1:25" ht="12.5">
      <c r="A373" s="3"/>
      <c r="B373" s="3"/>
      <c r="C373" s="3"/>
      <c r="D373" s="110"/>
      <c r="E373" s="110"/>
      <c r="F373" s="110"/>
      <c r="G373" s="110"/>
      <c r="H373" s="110"/>
      <c r="I373" s="1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110"/>
      <c r="Y373" s="3"/>
    </row>
    <row r="374" spans="1:25" ht="12.5">
      <c r="A374" s="3"/>
      <c r="B374" s="3"/>
      <c r="C374" s="3"/>
      <c r="D374" s="110"/>
      <c r="E374" s="110"/>
      <c r="F374" s="110"/>
      <c r="G374" s="110"/>
      <c r="H374" s="110"/>
      <c r="I374" s="1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110"/>
      <c r="Y374" s="3"/>
    </row>
    <row r="375" spans="1:25" ht="12.5">
      <c r="A375" s="3"/>
      <c r="B375" s="3"/>
      <c r="C375" s="3"/>
      <c r="D375" s="110"/>
      <c r="E375" s="110"/>
      <c r="F375" s="110"/>
      <c r="G375" s="110"/>
      <c r="H375" s="110"/>
      <c r="I375" s="1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10"/>
      <c r="Y375" s="3"/>
    </row>
    <row r="376" spans="1:25" ht="12.5">
      <c r="A376" s="3"/>
      <c r="B376" s="3"/>
      <c r="C376" s="3"/>
      <c r="D376" s="110"/>
      <c r="E376" s="110"/>
      <c r="F376" s="110"/>
      <c r="G376" s="110"/>
      <c r="H376" s="110"/>
      <c r="I376" s="1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10"/>
      <c r="Y376" s="3"/>
    </row>
    <row r="377" spans="1:25" ht="12.5">
      <c r="A377" s="3"/>
      <c r="B377" s="3"/>
      <c r="C377" s="3"/>
      <c r="D377" s="110"/>
      <c r="E377" s="110"/>
      <c r="F377" s="110"/>
      <c r="G377" s="110"/>
      <c r="H377" s="110"/>
      <c r="I377" s="1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110"/>
      <c r="Y377" s="3"/>
    </row>
    <row r="378" spans="1:25" ht="12.5">
      <c r="A378" s="3"/>
      <c r="B378" s="3"/>
      <c r="C378" s="3"/>
      <c r="D378" s="110"/>
      <c r="E378" s="110"/>
      <c r="F378" s="110"/>
      <c r="G378" s="110"/>
      <c r="H378" s="110"/>
      <c r="I378" s="1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110"/>
      <c r="Y378" s="3"/>
    </row>
    <row r="379" spans="1:25" ht="12.5">
      <c r="A379" s="3"/>
      <c r="B379" s="3"/>
      <c r="C379" s="3"/>
      <c r="D379" s="110"/>
      <c r="E379" s="110"/>
      <c r="F379" s="110"/>
      <c r="G379" s="110"/>
      <c r="H379" s="110"/>
      <c r="I379" s="1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110"/>
      <c r="Y379" s="3"/>
    </row>
    <row r="380" spans="1:25" ht="12.5">
      <c r="A380" s="3"/>
      <c r="B380" s="3"/>
      <c r="C380" s="3"/>
      <c r="D380" s="110"/>
      <c r="E380" s="110"/>
      <c r="F380" s="110"/>
      <c r="G380" s="110"/>
      <c r="H380" s="110"/>
      <c r="I380" s="1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110"/>
      <c r="Y380" s="3"/>
    </row>
    <row r="381" spans="1:25" ht="12.5">
      <c r="A381" s="3"/>
      <c r="B381" s="3"/>
      <c r="C381" s="3"/>
      <c r="D381" s="110"/>
      <c r="E381" s="110"/>
      <c r="F381" s="110"/>
      <c r="G381" s="110"/>
      <c r="H381" s="110"/>
      <c r="I381" s="1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110"/>
      <c r="Y381" s="3"/>
    </row>
    <row r="382" spans="1:25" ht="12.5">
      <c r="A382" s="3"/>
      <c r="B382" s="3"/>
      <c r="C382" s="3"/>
      <c r="D382" s="110"/>
      <c r="E382" s="110"/>
      <c r="F382" s="110"/>
      <c r="G382" s="110"/>
      <c r="H382" s="110"/>
      <c r="I382" s="1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110"/>
      <c r="Y382" s="3"/>
    </row>
    <row r="383" spans="1:25" ht="12.5">
      <c r="A383" s="3"/>
      <c r="B383" s="3"/>
      <c r="C383" s="3"/>
      <c r="D383" s="110"/>
      <c r="E383" s="110"/>
      <c r="F383" s="110"/>
      <c r="G383" s="110"/>
      <c r="H383" s="110"/>
      <c r="I383" s="1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110"/>
      <c r="Y383" s="3"/>
    </row>
    <row r="384" spans="1:25" ht="12.5">
      <c r="A384" s="3"/>
      <c r="B384" s="3"/>
      <c r="C384" s="3"/>
      <c r="D384" s="110"/>
      <c r="E384" s="110"/>
      <c r="F384" s="110"/>
      <c r="G384" s="110"/>
      <c r="H384" s="110"/>
      <c r="I384" s="1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110"/>
      <c r="Y384" s="3"/>
    </row>
    <row r="385" spans="1:25" ht="12.5">
      <c r="A385" s="3"/>
      <c r="B385" s="3"/>
      <c r="C385" s="3"/>
      <c r="D385" s="110"/>
      <c r="E385" s="110"/>
      <c r="F385" s="110"/>
      <c r="G385" s="110"/>
      <c r="H385" s="110"/>
      <c r="I385" s="11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110"/>
      <c r="Y385" s="3"/>
    </row>
    <row r="386" spans="1:25" ht="12.5">
      <c r="A386" s="3"/>
      <c r="B386" s="3"/>
      <c r="C386" s="3"/>
      <c r="D386" s="110"/>
      <c r="E386" s="110"/>
      <c r="F386" s="110"/>
      <c r="G386" s="110"/>
      <c r="H386" s="110"/>
      <c r="I386" s="1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110"/>
      <c r="Y386" s="3"/>
    </row>
    <row r="387" spans="1:25" ht="12.5">
      <c r="A387" s="3"/>
      <c r="B387" s="3"/>
      <c r="C387" s="3"/>
      <c r="D387" s="110"/>
      <c r="E387" s="110"/>
      <c r="F387" s="110"/>
      <c r="G387" s="110"/>
      <c r="H387" s="110"/>
      <c r="I387" s="1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110"/>
      <c r="Y387" s="3"/>
    </row>
    <row r="388" spans="1:25" ht="12.5">
      <c r="A388" s="3"/>
      <c r="B388" s="3"/>
      <c r="C388" s="3"/>
      <c r="D388" s="110"/>
      <c r="E388" s="110"/>
      <c r="F388" s="110"/>
      <c r="G388" s="110"/>
      <c r="H388" s="110"/>
      <c r="I388" s="11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110"/>
      <c r="Y388" s="3"/>
    </row>
    <row r="389" spans="1:25" ht="12.5">
      <c r="A389" s="3"/>
      <c r="B389" s="3"/>
      <c r="C389" s="3"/>
      <c r="D389" s="110"/>
      <c r="E389" s="110"/>
      <c r="F389" s="110"/>
      <c r="G389" s="110"/>
      <c r="H389" s="110"/>
      <c r="I389" s="11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110"/>
      <c r="Y389" s="3"/>
    </row>
    <row r="390" spans="1:25" ht="12.5">
      <c r="A390" s="3"/>
      <c r="B390" s="3"/>
      <c r="C390" s="3"/>
      <c r="D390" s="110"/>
      <c r="E390" s="110"/>
      <c r="F390" s="110"/>
      <c r="G390" s="110"/>
      <c r="H390" s="110"/>
      <c r="I390" s="11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110"/>
      <c r="Y390" s="3"/>
    </row>
    <row r="391" spans="1:25" ht="12.5">
      <c r="A391" s="3"/>
      <c r="B391" s="3"/>
      <c r="C391" s="3"/>
      <c r="D391" s="110"/>
      <c r="E391" s="110"/>
      <c r="F391" s="110"/>
      <c r="G391" s="110"/>
      <c r="H391" s="110"/>
      <c r="I391" s="11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110"/>
      <c r="Y391" s="3"/>
    </row>
    <row r="392" spans="1:25" ht="12.5">
      <c r="A392" s="3"/>
      <c r="B392" s="3"/>
      <c r="C392" s="3"/>
      <c r="D392" s="110"/>
      <c r="E392" s="110"/>
      <c r="F392" s="110"/>
      <c r="G392" s="110"/>
      <c r="H392" s="110"/>
      <c r="I392" s="1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110"/>
      <c r="Y392" s="3"/>
    </row>
    <row r="393" spans="1:25" ht="12.5">
      <c r="A393" s="3"/>
      <c r="B393" s="3"/>
      <c r="C393" s="3"/>
      <c r="D393" s="110"/>
      <c r="E393" s="110"/>
      <c r="F393" s="110"/>
      <c r="G393" s="110"/>
      <c r="H393" s="110"/>
      <c r="I393" s="1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110"/>
      <c r="Y393" s="3"/>
    </row>
    <row r="394" spans="1:25" ht="12.5">
      <c r="A394" s="3"/>
      <c r="B394" s="3"/>
      <c r="C394" s="3"/>
      <c r="D394" s="110"/>
      <c r="E394" s="110"/>
      <c r="F394" s="110"/>
      <c r="G394" s="110"/>
      <c r="H394" s="110"/>
      <c r="I394" s="1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110"/>
      <c r="Y394" s="3"/>
    </row>
    <row r="395" spans="1:25" ht="12.5">
      <c r="A395" s="3"/>
      <c r="B395" s="3"/>
      <c r="C395" s="3"/>
      <c r="D395" s="110"/>
      <c r="E395" s="110"/>
      <c r="F395" s="110"/>
      <c r="G395" s="110"/>
      <c r="H395" s="110"/>
      <c r="I395" s="1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110"/>
      <c r="Y395" s="3"/>
    </row>
    <row r="396" spans="1:25" ht="12.5">
      <c r="A396" s="3"/>
      <c r="B396" s="3"/>
      <c r="C396" s="3"/>
      <c r="D396" s="110"/>
      <c r="E396" s="110"/>
      <c r="F396" s="110"/>
      <c r="G396" s="110"/>
      <c r="H396" s="110"/>
      <c r="I396" s="1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110"/>
      <c r="Y396" s="3"/>
    </row>
    <row r="397" spans="1:25" ht="12.5">
      <c r="A397" s="3"/>
      <c r="B397" s="3"/>
      <c r="C397" s="3"/>
      <c r="D397" s="110"/>
      <c r="E397" s="110"/>
      <c r="F397" s="110"/>
      <c r="G397" s="110"/>
      <c r="H397" s="110"/>
      <c r="I397" s="1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110"/>
      <c r="Y397" s="3"/>
    </row>
    <row r="398" spans="1:25" ht="12.5">
      <c r="A398" s="3"/>
      <c r="B398" s="3"/>
      <c r="C398" s="3"/>
      <c r="D398" s="110"/>
      <c r="E398" s="110"/>
      <c r="F398" s="110"/>
      <c r="G398" s="110"/>
      <c r="H398" s="110"/>
      <c r="I398" s="1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110"/>
      <c r="Y398" s="3"/>
    </row>
    <row r="399" spans="1:25" ht="12.5">
      <c r="A399" s="3"/>
      <c r="B399" s="3"/>
      <c r="C399" s="3"/>
      <c r="D399" s="110"/>
      <c r="E399" s="110"/>
      <c r="F399" s="110"/>
      <c r="G399" s="110"/>
      <c r="H399" s="110"/>
      <c r="I399" s="1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110"/>
      <c r="Y399" s="3"/>
    </row>
    <row r="400" spans="1:25" ht="12.5">
      <c r="A400" s="3"/>
      <c r="B400" s="3"/>
      <c r="C400" s="3"/>
      <c r="D400" s="110"/>
      <c r="E400" s="110"/>
      <c r="F400" s="110"/>
      <c r="G400" s="110"/>
      <c r="H400" s="110"/>
      <c r="I400" s="1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110"/>
      <c r="Y400" s="3"/>
    </row>
    <row r="401" spans="1:25" ht="12.5">
      <c r="A401" s="3"/>
      <c r="B401" s="3"/>
      <c r="C401" s="3"/>
      <c r="D401" s="110"/>
      <c r="E401" s="110"/>
      <c r="F401" s="110"/>
      <c r="G401" s="110"/>
      <c r="H401" s="110"/>
      <c r="I401" s="1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110"/>
      <c r="Y401" s="3"/>
    </row>
    <row r="402" spans="1:25" ht="12.5">
      <c r="A402" s="3"/>
      <c r="B402" s="3"/>
      <c r="C402" s="3"/>
      <c r="D402" s="110"/>
      <c r="E402" s="110"/>
      <c r="F402" s="110"/>
      <c r="G402" s="110"/>
      <c r="H402" s="110"/>
      <c r="I402" s="1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110"/>
      <c r="Y402" s="3"/>
    </row>
    <row r="403" spans="1:25" ht="12.5">
      <c r="A403" s="3"/>
      <c r="B403" s="3"/>
      <c r="C403" s="3"/>
      <c r="D403" s="110"/>
      <c r="E403" s="110"/>
      <c r="F403" s="110"/>
      <c r="G403" s="110"/>
      <c r="H403" s="110"/>
      <c r="I403" s="1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110"/>
      <c r="Y403" s="3"/>
    </row>
    <row r="404" spans="1:25" ht="12.5">
      <c r="A404" s="3"/>
      <c r="B404" s="3"/>
      <c r="C404" s="3"/>
      <c r="D404" s="110"/>
      <c r="E404" s="110"/>
      <c r="F404" s="110"/>
      <c r="G404" s="110"/>
      <c r="H404" s="110"/>
      <c r="I404" s="1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110"/>
      <c r="Y404" s="3"/>
    </row>
    <row r="405" spans="1:25" ht="12.5">
      <c r="A405" s="3"/>
      <c r="B405" s="3"/>
      <c r="C405" s="3"/>
      <c r="D405" s="110"/>
      <c r="E405" s="110"/>
      <c r="F405" s="110"/>
      <c r="G405" s="110"/>
      <c r="H405" s="110"/>
      <c r="I405" s="1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110"/>
      <c r="Y405" s="3"/>
    </row>
    <row r="406" spans="1:25" ht="12.5">
      <c r="A406" s="3"/>
      <c r="B406" s="3"/>
      <c r="C406" s="3"/>
      <c r="D406" s="110"/>
      <c r="E406" s="110"/>
      <c r="F406" s="110"/>
      <c r="G406" s="110"/>
      <c r="H406" s="110"/>
      <c r="I406" s="1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110"/>
      <c r="Y406" s="3"/>
    </row>
    <row r="407" spans="1:25" ht="12.5">
      <c r="A407" s="3"/>
      <c r="B407" s="3"/>
      <c r="C407" s="3"/>
      <c r="D407" s="110"/>
      <c r="E407" s="110"/>
      <c r="F407" s="110"/>
      <c r="G407" s="110"/>
      <c r="H407" s="110"/>
      <c r="I407" s="1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110"/>
      <c r="Y407" s="3"/>
    </row>
    <row r="408" spans="1:25" ht="12.5">
      <c r="A408" s="3"/>
      <c r="B408" s="3"/>
      <c r="C408" s="3"/>
      <c r="D408" s="110"/>
      <c r="E408" s="110"/>
      <c r="F408" s="110"/>
      <c r="G408" s="110"/>
      <c r="H408" s="110"/>
      <c r="I408" s="1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110"/>
      <c r="Y408" s="3"/>
    </row>
    <row r="409" spans="1:25" ht="12.5">
      <c r="A409" s="3"/>
      <c r="B409" s="3"/>
      <c r="C409" s="3"/>
      <c r="D409" s="110"/>
      <c r="E409" s="110"/>
      <c r="F409" s="110"/>
      <c r="G409" s="110"/>
      <c r="H409" s="110"/>
      <c r="I409" s="1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110"/>
      <c r="Y409" s="3"/>
    </row>
    <row r="410" spans="1:25" ht="12.5">
      <c r="A410" s="3"/>
      <c r="B410" s="3"/>
      <c r="C410" s="3"/>
      <c r="D410" s="110"/>
      <c r="E410" s="110"/>
      <c r="F410" s="110"/>
      <c r="G410" s="110"/>
      <c r="H410" s="110"/>
      <c r="I410" s="11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110"/>
      <c r="Y410" s="3"/>
    </row>
    <row r="411" spans="1:25" ht="12.5">
      <c r="A411" s="3"/>
      <c r="B411" s="3"/>
      <c r="C411" s="3"/>
      <c r="D411" s="110"/>
      <c r="E411" s="110"/>
      <c r="F411" s="110"/>
      <c r="G411" s="110"/>
      <c r="H411" s="110"/>
      <c r="I411" s="1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110"/>
      <c r="Y411" s="3"/>
    </row>
    <row r="412" spans="1:25" ht="12.5">
      <c r="A412" s="3"/>
      <c r="B412" s="3"/>
      <c r="C412" s="3"/>
      <c r="D412" s="110"/>
      <c r="E412" s="110"/>
      <c r="F412" s="110"/>
      <c r="G412" s="110"/>
      <c r="H412" s="110"/>
      <c r="I412" s="1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110"/>
      <c r="Y412" s="3"/>
    </row>
    <row r="413" spans="1:25" ht="12.5">
      <c r="A413" s="3"/>
      <c r="B413" s="3"/>
      <c r="C413" s="3"/>
      <c r="D413" s="110"/>
      <c r="E413" s="110"/>
      <c r="F413" s="110"/>
      <c r="G413" s="110"/>
      <c r="H413" s="110"/>
      <c r="I413" s="1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110"/>
      <c r="Y413" s="3"/>
    </row>
    <row r="414" spans="1:25" ht="12.5">
      <c r="A414" s="3"/>
      <c r="B414" s="3"/>
      <c r="C414" s="3"/>
      <c r="D414" s="110"/>
      <c r="E414" s="110"/>
      <c r="F414" s="110"/>
      <c r="G414" s="110"/>
      <c r="H414" s="110"/>
      <c r="I414" s="1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110"/>
      <c r="Y414" s="3"/>
    </row>
    <row r="415" spans="1:25" ht="12.5">
      <c r="A415" s="3"/>
      <c r="B415" s="3"/>
      <c r="C415" s="3"/>
      <c r="D415" s="110"/>
      <c r="E415" s="110"/>
      <c r="F415" s="110"/>
      <c r="G415" s="110"/>
      <c r="H415" s="110"/>
      <c r="I415" s="1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110"/>
      <c r="Y415" s="3"/>
    </row>
    <row r="416" spans="1:25" ht="12.5">
      <c r="A416" s="3"/>
      <c r="B416" s="3"/>
      <c r="C416" s="3"/>
      <c r="D416" s="110"/>
      <c r="E416" s="110"/>
      <c r="F416" s="110"/>
      <c r="G416" s="110"/>
      <c r="H416" s="110"/>
      <c r="I416" s="1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110"/>
      <c r="Y416" s="3"/>
    </row>
    <row r="417" spans="1:25" ht="12.5">
      <c r="A417" s="3"/>
      <c r="B417" s="3"/>
      <c r="C417" s="3"/>
      <c r="D417" s="110"/>
      <c r="E417" s="110"/>
      <c r="F417" s="110"/>
      <c r="G417" s="110"/>
      <c r="H417" s="110"/>
      <c r="I417" s="11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110"/>
      <c r="Y417" s="3"/>
    </row>
    <row r="418" spans="1:25" ht="12.5">
      <c r="A418" s="3"/>
      <c r="B418" s="3"/>
      <c r="C418" s="3"/>
      <c r="D418" s="110"/>
      <c r="E418" s="110"/>
      <c r="F418" s="110"/>
      <c r="G418" s="110"/>
      <c r="H418" s="110"/>
      <c r="I418" s="1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110"/>
      <c r="Y418" s="3"/>
    </row>
    <row r="419" spans="1:25" ht="12.5">
      <c r="A419" s="3"/>
      <c r="B419" s="3"/>
      <c r="C419" s="3"/>
      <c r="D419" s="110"/>
      <c r="E419" s="110"/>
      <c r="F419" s="110"/>
      <c r="G419" s="110"/>
      <c r="H419" s="110"/>
      <c r="I419" s="1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110"/>
      <c r="Y419" s="3"/>
    </row>
    <row r="420" spans="1:25" ht="12.5">
      <c r="A420" s="3"/>
      <c r="B420" s="3"/>
      <c r="C420" s="3"/>
      <c r="D420" s="110"/>
      <c r="E420" s="110"/>
      <c r="F420" s="110"/>
      <c r="G420" s="110"/>
      <c r="H420" s="110"/>
      <c r="I420" s="1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110"/>
      <c r="Y420" s="3"/>
    </row>
    <row r="421" spans="1:25" ht="12.5">
      <c r="A421" s="3"/>
      <c r="B421" s="3"/>
      <c r="C421" s="3"/>
      <c r="D421" s="110"/>
      <c r="E421" s="110"/>
      <c r="F421" s="110"/>
      <c r="G421" s="110"/>
      <c r="H421" s="110"/>
      <c r="I421" s="1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110"/>
      <c r="Y421" s="3"/>
    </row>
    <row r="422" spans="1:25" ht="12.5">
      <c r="A422" s="3"/>
      <c r="B422" s="3"/>
      <c r="C422" s="3"/>
      <c r="D422" s="110"/>
      <c r="E422" s="110"/>
      <c r="F422" s="110"/>
      <c r="G422" s="110"/>
      <c r="H422" s="110"/>
      <c r="I422" s="1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110"/>
      <c r="Y422" s="3"/>
    </row>
    <row r="423" spans="1:25" ht="12.5">
      <c r="A423" s="3"/>
      <c r="B423" s="3"/>
      <c r="C423" s="3"/>
      <c r="D423" s="110"/>
      <c r="E423" s="110"/>
      <c r="F423" s="110"/>
      <c r="G423" s="110"/>
      <c r="H423" s="110"/>
      <c r="I423" s="1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110"/>
      <c r="Y423" s="3"/>
    </row>
    <row r="424" spans="1:25" ht="12.5">
      <c r="A424" s="3"/>
      <c r="B424" s="3"/>
      <c r="C424" s="3"/>
      <c r="D424" s="110"/>
      <c r="E424" s="110"/>
      <c r="F424" s="110"/>
      <c r="G424" s="110"/>
      <c r="H424" s="110"/>
      <c r="I424" s="1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110"/>
      <c r="Y424" s="3"/>
    </row>
    <row r="425" spans="1:25" ht="12.5">
      <c r="A425" s="3"/>
      <c r="B425" s="3"/>
      <c r="C425" s="3"/>
      <c r="D425" s="110"/>
      <c r="E425" s="110"/>
      <c r="F425" s="110"/>
      <c r="G425" s="110"/>
      <c r="H425" s="110"/>
      <c r="I425" s="1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110"/>
      <c r="Y425" s="3"/>
    </row>
    <row r="426" spans="1:25" ht="12.5">
      <c r="A426" s="3"/>
      <c r="B426" s="3"/>
      <c r="C426" s="3"/>
      <c r="D426" s="110"/>
      <c r="E426" s="110"/>
      <c r="F426" s="110"/>
      <c r="G426" s="110"/>
      <c r="H426" s="110"/>
      <c r="I426" s="11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110"/>
      <c r="Y426" s="3"/>
    </row>
    <row r="427" spans="1:25" ht="12.5">
      <c r="A427" s="3"/>
      <c r="B427" s="3"/>
      <c r="C427" s="3"/>
      <c r="D427" s="110"/>
      <c r="E427" s="110"/>
      <c r="F427" s="110"/>
      <c r="G427" s="110"/>
      <c r="H427" s="110"/>
      <c r="I427" s="1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110"/>
      <c r="Y427" s="3"/>
    </row>
    <row r="428" spans="1:25" ht="12.5">
      <c r="A428" s="3"/>
      <c r="B428" s="3"/>
      <c r="C428" s="3"/>
      <c r="D428" s="110"/>
      <c r="E428" s="110"/>
      <c r="F428" s="110"/>
      <c r="G428" s="110"/>
      <c r="H428" s="110"/>
      <c r="I428" s="1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110"/>
      <c r="Y428" s="3"/>
    </row>
    <row r="429" spans="1:25" ht="12.5">
      <c r="A429" s="3"/>
      <c r="B429" s="3"/>
      <c r="C429" s="3"/>
      <c r="D429" s="110"/>
      <c r="E429" s="110"/>
      <c r="F429" s="110"/>
      <c r="G429" s="110"/>
      <c r="H429" s="110"/>
      <c r="I429" s="1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110"/>
      <c r="Y429" s="3"/>
    </row>
    <row r="430" spans="1:25" ht="12.5">
      <c r="A430" s="3"/>
      <c r="B430" s="3"/>
      <c r="C430" s="3"/>
      <c r="D430" s="110"/>
      <c r="E430" s="110"/>
      <c r="F430" s="110"/>
      <c r="G430" s="110"/>
      <c r="H430" s="110"/>
      <c r="I430" s="1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110"/>
      <c r="Y430" s="3"/>
    </row>
    <row r="431" spans="1:25" ht="12.5">
      <c r="A431" s="3"/>
      <c r="B431" s="3"/>
      <c r="C431" s="3"/>
      <c r="D431" s="110"/>
      <c r="E431" s="110"/>
      <c r="F431" s="110"/>
      <c r="G431" s="110"/>
      <c r="H431" s="110"/>
      <c r="I431" s="1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110"/>
      <c r="Y431" s="3"/>
    </row>
    <row r="432" spans="1:25" ht="12.5">
      <c r="A432" s="3"/>
      <c r="B432" s="3"/>
      <c r="C432" s="3"/>
      <c r="D432" s="110"/>
      <c r="E432" s="110"/>
      <c r="F432" s="110"/>
      <c r="G432" s="110"/>
      <c r="H432" s="110"/>
      <c r="I432" s="11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110"/>
      <c r="Y432" s="3"/>
    </row>
    <row r="433" spans="1:25" ht="12.5">
      <c r="A433" s="3"/>
      <c r="B433" s="3"/>
      <c r="C433" s="3"/>
      <c r="D433" s="110"/>
      <c r="E433" s="110"/>
      <c r="F433" s="110"/>
      <c r="G433" s="110"/>
      <c r="H433" s="110"/>
      <c r="I433" s="11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110"/>
      <c r="Y433" s="3"/>
    </row>
    <row r="434" spans="1:25" ht="12.5">
      <c r="A434" s="3"/>
      <c r="B434" s="3"/>
      <c r="C434" s="3"/>
      <c r="D434" s="110"/>
      <c r="E434" s="110"/>
      <c r="F434" s="110"/>
      <c r="G434" s="110"/>
      <c r="H434" s="110"/>
      <c r="I434" s="1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110"/>
      <c r="Y434" s="3"/>
    </row>
    <row r="435" spans="1:25" ht="12.5">
      <c r="A435" s="3"/>
      <c r="B435" s="3"/>
      <c r="C435" s="3"/>
      <c r="D435" s="110"/>
      <c r="E435" s="110"/>
      <c r="F435" s="110"/>
      <c r="G435" s="110"/>
      <c r="H435" s="110"/>
      <c r="I435" s="1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110"/>
      <c r="Y435" s="3"/>
    </row>
    <row r="436" spans="1:25" ht="12.5">
      <c r="A436" s="3"/>
      <c r="B436" s="3"/>
      <c r="C436" s="3"/>
      <c r="D436" s="110"/>
      <c r="E436" s="110"/>
      <c r="F436" s="110"/>
      <c r="G436" s="110"/>
      <c r="H436" s="110"/>
      <c r="I436" s="11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110"/>
      <c r="Y436" s="3"/>
    </row>
    <row r="437" spans="1:25" ht="12.5">
      <c r="A437" s="3"/>
      <c r="B437" s="3"/>
      <c r="C437" s="3"/>
      <c r="D437" s="110"/>
      <c r="E437" s="110"/>
      <c r="F437" s="110"/>
      <c r="G437" s="110"/>
      <c r="H437" s="110"/>
      <c r="I437" s="11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110"/>
      <c r="Y437" s="3"/>
    </row>
    <row r="438" spans="1:25" ht="12.5">
      <c r="A438" s="3"/>
      <c r="B438" s="3"/>
      <c r="C438" s="3"/>
      <c r="D438" s="110"/>
      <c r="E438" s="110"/>
      <c r="F438" s="110"/>
      <c r="G438" s="110"/>
      <c r="H438" s="110"/>
      <c r="I438" s="1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110"/>
      <c r="Y438" s="3"/>
    </row>
    <row r="439" spans="1:25" ht="12.5">
      <c r="A439" s="3"/>
      <c r="B439" s="3"/>
      <c r="C439" s="3"/>
      <c r="D439" s="110"/>
      <c r="E439" s="110"/>
      <c r="F439" s="110"/>
      <c r="G439" s="110"/>
      <c r="H439" s="110"/>
      <c r="I439" s="1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110"/>
      <c r="Y439" s="3"/>
    </row>
    <row r="440" spans="1:25" ht="12.5">
      <c r="A440" s="3"/>
      <c r="B440" s="3"/>
      <c r="C440" s="3"/>
      <c r="D440" s="110"/>
      <c r="E440" s="110"/>
      <c r="F440" s="110"/>
      <c r="G440" s="110"/>
      <c r="H440" s="110"/>
      <c r="I440" s="1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110"/>
      <c r="Y440" s="3"/>
    </row>
    <row r="441" spans="1:25" ht="12.5">
      <c r="A441" s="3"/>
      <c r="B441" s="3"/>
      <c r="C441" s="3"/>
      <c r="D441" s="110"/>
      <c r="E441" s="110"/>
      <c r="F441" s="110"/>
      <c r="G441" s="110"/>
      <c r="H441" s="110"/>
      <c r="I441" s="1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110"/>
      <c r="Y441" s="3"/>
    </row>
    <row r="442" spans="1:25" ht="12.5">
      <c r="A442" s="3"/>
      <c r="B442" s="3"/>
      <c r="C442" s="3"/>
      <c r="D442" s="110"/>
      <c r="E442" s="110"/>
      <c r="F442" s="110"/>
      <c r="G442" s="110"/>
      <c r="H442" s="110"/>
      <c r="I442" s="1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110"/>
      <c r="Y442" s="3"/>
    </row>
    <row r="443" spans="1:25" ht="12.5">
      <c r="A443" s="3"/>
      <c r="B443" s="3"/>
      <c r="C443" s="3"/>
      <c r="D443" s="110"/>
      <c r="E443" s="110"/>
      <c r="F443" s="110"/>
      <c r="G443" s="110"/>
      <c r="H443" s="110"/>
      <c r="I443" s="1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110"/>
      <c r="Y443" s="3"/>
    </row>
    <row r="444" spans="1:25" ht="12.5">
      <c r="A444" s="3"/>
      <c r="B444" s="3"/>
      <c r="C444" s="3"/>
      <c r="D444" s="110"/>
      <c r="E444" s="110"/>
      <c r="F444" s="110"/>
      <c r="G444" s="110"/>
      <c r="H444" s="110"/>
      <c r="I444" s="1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110"/>
      <c r="Y444" s="3"/>
    </row>
    <row r="445" spans="1:25" ht="12.5">
      <c r="A445" s="3"/>
      <c r="B445" s="3"/>
      <c r="C445" s="3"/>
      <c r="D445" s="110"/>
      <c r="E445" s="110"/>
      <c r="F445" s="110"/>
      <c r="G445" s="110"/>
      <c r="H445" s="110"/>
      <c r="I445" s="1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110"/>
      <c r="Y445" s="3"/>
    </row>
    <row r="446" spans="1:25" ht="12.5">
      <c r="A446" s="3"/>
      <c r="B446" s="3"/>
      <c r="C446" s="3"/>
      <c r="D446" s="110"/>
      <c r="E446" s="110"/>
      <c r="F446" s="110"/>
      <c r="G446" s="110"/>
      <c r="H446" s="110"/>
      <c r="I446" s="1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110"/>
      <c r="Y446" s="3"/>
    </row>
    <row r="447" spans="1:25" ht="12.5">
      <c r="A447" s="3"/>
      <c r="B447" s="3"/>
      <c r="C447" s="3"/>
      <c r="D447" s="110"/>
      <c r="E447" s="110"/>
      <c r="F447" s="110"/>
      <c r="G447" s="110"/>
      <c r="H447" s="110"/>
      <c r="I447" s="1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110"/>
      <c r="Y447" s="3"/>
    </row>
    <row r="448" spans="1:25" ht="12.5">
      <c r="A448" s="3"/>
      <c r="B448" s="3"/>
      <c r="C448" s="3"/>
      <c r="D448" s="110"/>
      <c r="E448" s="110"/>
      <c r="F448" s="110"/>
      <c r="G448" s="110"/>
      <c r="H448" s="110"/>
      <c r="I448" s="1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110"/>
      <c r="Y448" s="3"/>
    </row>
    <row r="449" spans="1:25" ht="12.5">
      <c r="A449" s="3"/>
      <c r="B449" s="3"/>
      <c r="C449" s="3"/>
      <c r="D449" s="110"/>
      <c r="E449" s="110"/>
      <c r="F449" s="110"/>
      <c r="G449" s="110"/>
      <c r="H449" s="110"/>
      <c r="I449" s="1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110"/>
      <c r="Y449" s="3"/>
    </row>
    <row r="450" spans="1:25" ht="12.5">
      <c r="A450" s="3"/>
      <c r="B450" s="3"/>
      <c r="C450" s="3"/>
      <c r="D450" s="110"/>
      <c r="E450" s="110"/>
      <c r="F450" s="110"/>
      <c r="G450" s="110"/>
      <c r="H450" s="110"/>
      <c r="I450" s="1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110"/>
      <c r="Y450" s="3"/>
    </row>
    <row r="451" spans="1:25" ht="12.5">
      <c r="A451" s="3"/>
      <c r="B451" s="3"/>
      <c r="C451" s="3"/>
      <c r="D451" s="110"/>
      <c r="E451" s="110"/>
      <c r="F451" s="110"/>
      <c r="G451" s="110"/>
      <c r="H451" s="110"/>
      <c r="I451" s="1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110"/>
      <c r="Y451" s="3"/>
    </row>
    <row r="452" spans="1:25" ht="12.5">
      <c r="A452" s="3"/>
      <c r="B452" s="3"/>
      <c r="C452" s="3"/>
      <c r="D452" s="110"/>
      <c r="E452" s="110"/>
      <c r="F452" s="110"/>
      <c r="G452" s="110"/>
      <c r="H452" s="110"/>
      <c r="I452" s="1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110"/>
      <c r="Y452" s="3"/>
    </row>
    <row r="453" spans="1:25" ht="12.5">
      <c r="A453" s="3"/>
      <c r="B453" s="3"/>
      <c r="C453" s="3"/>
      <c r="D453" s="110"/>
      <c r="E453" s="110"/>
      <c r="F453" s="110"/>
      <c r="G453" s="110"/>
      <c r="H453" s="110"/>
      <c r="I453" s="1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110"/>
      <c r="Y453" s="3"/>
    </row>
    <row r="454" spans="1:25" ht="12.5">
      <c r="A454" s="3"/>
      <c r="B454" s="3"/>
      <c r="C454" s="3"/>
      <c r="D454" s="110"/>
      <c r="E454" s="110"/>
      <c r="F454" s="110"/>
      <c r="G454" s="110"/>
      <c r="H454" s="110"/>
      <c r="I454" s="11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110"/>
      <c r="Y454" s="3"/>
    </row>
    <row r="455" spans="1:25" ht="12.5">
      <c r="A455" s="3"/>
      <c r="B455" s="3"/>
      <c r="C455" s="3"/>
      <c r="D455" s="110"/>
      <c r="E455" s="110"/>
      <c r="F455" s="110"/>
      <c r="G455" s="110"/>
      <c r="H455" s="110"/>
      <c r="I455" s="11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110"/>
      <c r="Y455" s="3"/>
    </row>
    <row r="456" spans="1:25" ht="12.5">
      <c r="A456" s="3"/>
      <c r="B456" s="3"/>
      <c r="C456" s="3"/>
      <c r="D456" s="110"/>
      <c r="E456" s="110"/>
      <c r="F456" s="110"/>
      <c r="G456" s="110"/>
      <c r="H456" s="110"/>
      <c r="I456" s="11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110"/>
      <c r="Y456" s="3"/>
    </row>
    <row r="457" spans="1:25" ht="12.5">
      <c r="A457" s="3"/>
      <c r="B457" s="3"/>
      <c r="C457" s="3"/>
      <c r="D457" s="110"/>
      <c r="E457" s="110"/>
      <c r="F457" s="110"/>
      <c r="G457" s="110"/>
      <c r="H457" s="110"/>
      <c r="I457" s="11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110"/>
      <c r="Y457" s="3"/>
    </row>
    <row r="458" spans="1:25" ht="12.5">
      <c r="A458" s="3"/>
      <c r="B458" s="3"/>
      <c r="C458" s="3"/>
      <c r="D458" s="110"/>
      <c r="E458" s="110"/>
      <c r="F458" s="110"/>
      <c r="G458" s="110"/>
      <c r="H458" s="110"/>
      <c r="I458" s="1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110"/>
      <c r="Y458" s="3"/>
    </row>
    <row r="459" spans="1:25" ht="12.5">
      <c r="A459" s="3"/>
      <c r="B459" s="3"/>
      <c r="C459" s="3"/>
      <c r="D459" s="110"/>
      <c r="E459" s="110"/>
      <c r="F459" s="110"/>
      <c r="G459" s="110"/>
      <c r="H459" s="110"/>
      <c r="I459" s="1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110"/>
      <c r="Y459" s="3"/>
    </row>
    <row r="460" spans="1:25" ht="12.5">
      <c r="A460" s="3"/>
      <c r="B460" s="3"/>
      <c r="C460" s="3"/>
      <c r="D460" s="110"/>
      <c r="E460" s="110"/>
      <c r="F460" s="110"/>
      <c r="G460" s="110"/>
      <c r="H460" s="110"/>
      <c r="I460" s="1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110"/>
      <c r="Y460" s="3"/>
    </row>
    <row r="461" spans="1:25" ht="12.5">
      <c r="A461" s="3"/>
      <c r="B461" s="3"/>
      <c r="C461" s="3"/>
      <c r="D461" s="110"/>
      <c r="E461" s="110"/>
      <c r="F461" s="110"/>
      <c r="G461" s="110"/>
      <c r="H461" s="110"/>
      <c r="I461" s="1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110"/>
      <c r="Y461" s="3"/>
    </row>
    <row r="462" spans="1:25" ht="12.5">
      <c r="A462" s="3"/>
      <c r="B462" s="3"/>
      <c r="C462" s="3"/>
      <c r="D462" s="110"/>
      <c r="E462" s="110"/>
      <c r="F462" s="110"/>
      <c r="G462" s="110"/>
      <c r="H462" s="110"/>
      <c r="I462" s="1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110"/>
      <c r="Y462" s="3"/>
    </row>
    <row r="463" spans="1:25" ht="12.5">
      <c r="A463" s="3"/>
      <c r="B463" s="3"/>
      <c r="C463" s="3"/>
      <c r="D463" s="110"/>
      <c r="E463" s="110"/>
      <c r="F463" s="110"/>
      <c r="G463" s="110"/>
      <c r="H463" s="110"/>
      <c r="I463" s="1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110"/>
      <c r="Y463" s="3"/>
    </row>
    <row r="464" spans="1:25" ht="12.5">
      <c r="A464" s="3"/>
      <c r="B464" s="3"/>
      <c r="C464" s="3"/>
      <c r="D464" s="110"/>
      <c r="E464" s="110"/>
      <c r="F464" s="110"/>
      <c r="G464" s="110"/>
      <c r="H464" s="110"/>
      <c r="I464" s="1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110"/>
      <c r="Y464" s="3"/>
    </row>
    <row r="465" spans="1:25" ht="12.5">
      <c r="A465" s="3"/>
      <c r="B465" s="3"/>
      <c r="C465" s="3"/>
      <c r="D465" s="110"/>
      <c r="E465" s="110"/>
      <c r="F465" s="110"/>
      <c r="G465" s="110"/>
      <c r="H465" s="110"/>
      <c r="I465" s="1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110"/>
      <c r="Y465" s="3"/>
    </row>
    <row r="466" spans="1:25" ht="12.5">
      <c r="A466" s="3"/>
      <c r="B466" s="3"/>
      <c r="C466" s="3"/>
      <c r="D466" s="110"/>
      <c r="E466" s="110"/>
      <c r="F466" s="110"/>
      <c r="G466" s="110"/>
      <c r="H466" s="110"/>
      <c r="I466" s="1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110"/>
      <c r="Y466" s="3"/>
    </row>
    <row r="467" spans="1:25" ht="12.5">
      <c r="A467" s="3"/>
      <c r="B467" s="3"/>
      <c r="C467" s="3"/>
      <c r="D467" s="110"/>
      <c r="E467" s="110"/>
      <c r="F467" s="110"/>
      <c r="G467" s="110"/>
      <c r="H467" s="110"/>
      <c r="I467" s="1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110"/>
      <c r="Y467" s="3"/>
    </row>
    <row r="468" spans="1:25" ht="12.5">
      <c r="A468" s="3"/>
      <c r="B468" s="3"/>
      <c r="C468" s="3"/>
      <c r="D468" s="110"/>
      <c r="E468" s="110"/>
      <c r="F468" s="110"/>
      <c r="G468" s="110"/>
      <c r="H468" s="110"/>
      <c r="I468" s="1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110"/>
      <c r="Y468" s="3"/>
    </row>
    <row r="469" spans="1:25" ht="12.5">
      <c r="A469" s="3"/>
      <c r="B469" s="3"/>
      <c r="C469" s="3"/>
      <c r="D469" s="110"/>
      <c r="E469" s="110"/>
      <c r="F469" s="110"/>
      <c r="G469" s="110"/>
      <c r="H469" s="110"/>
      <c r="I469" s="1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110"/>
      <c r="Y469" s="3"/>
    </row>
    <row r="470" spans="1:25" ht="12.5">
      <c r="A470" s="3"/>
      <c r="B470" s="3"/>
      <c r="C470" s="3"/>
      <c r="D470" s="110"/>
      <c r="E470" s="110"/>
      <c r="F470" s="110"/>
      <c r="G470" s="110"/>
      <c r="H470" s="110"/>
      <c r="I470" s="1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110"/>
      <c r="Y470" s="3"/>
    </row>
    <row r="471" spans="1:25" ht="12.5">
      <c r="A471" s="3"/>
      <c r="B471" s="3"/>
      <c r="C471" s="3"/>
      <c r="D471" s="110"/>
      <c r="E471" s="110"/>
      <c r="F471" s="110"/>
      <c r="G471" s="110"/>
      <c r="H471" s="110"/>
      <c r="I471" s="1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110"/>
      <c r="Y471" s="3"/>
    </row>
    <row r="472" spans="1:25" ht="12.5">
      <c r="A472" s="3"/>
      <c r="B472" s="3"/>
      <c r="C472" s="3"/>
      <c r="D472" s="110"/>
      <c r="E472" s="110"/>
      <c r="F472" s="110"/>
      <c r="G472" s="110"/>
      <c r="H472" s="110"/>
      <c r="I472" s="1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110"/>
      <c r="Y472" s="3"/>
    </row>
    <row r="473" spans="1:25" ht="12.5">
      <c r="A473" s="3"/>
      <c r="B473" s="3"/>
      <c r="C473" s="3"/>
      <c r="D473" s="110"/>
      <c r="E473" s="110"/>
      <c r="F473" s="110"/>
      <c r="G473" s="110"/>
      <c r="H473" s="110"/>
      <c r="I473" s="1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110"/>
      <c r="Y473" s="3"/>
    </row>
    <row r="474" spans="1:25" ht="12.5">
      <c r="A474" s="3"/>
      <c r="B474" s="3"/>
      <c r="C474" s="3"/>
      <c r="D474" s="110"/>
      <c r="E474" s="110"/>
      <c r="F474" s="110"/>
      <c r="G474" s="110"/>
      <c r="H474" s="110"/>
      <c r="I474" s="1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110"/>
      <c r="Y474" s="3"/>
    </row>
    <row r="475" spans="1:25" ht="12.5">
      <c r="A475" s="3"/>
      <c r="B475" s="3"/>
      <c r="C475" s="3"/>
      <c r="D475" s="110"/>
      <c r="E475" s="110"/>
      <c r="F475" s="110"/>
      <c r="G475" s="110"/>
      <c r="H475" s="110"/>
      <c r="I475" s="1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110"/>
      <c r="Y475" s="3"/>
    </row>
    <row r="476" spans="1:25" ht="12.5">
      <c r="A476" s="3"/>
      <c r="B476" s="3"/>
      <c r="C476" s="3"/>
      <c r="D476" s="110"/>
      <c r="E476" s="110"/>
      <c r="F476" s="110"/>
      <c r="G476" s="110"/>
      <c r="H476" s="110"/>
      <c r="I476" s="1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110"/>
      <c r="Y476" s="3"/>
    </row>
    <row r="477" spans="1:25" ht="12.5">
      <c r="A477" s="3"/>
      <c r="B477" s="3"/>
      <c r="C477" s="3"/>
      <c r="D477" s="110"/>
      <c r="E477" s="110"/>
      <c r="F477" s="110"/>
      <c r="G477" s="110"/>
      <c r="H477" s="110"/>
      <c r="I477" s="11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110"/>
      <c r="Y477" s="3"/>
    </row>
    <row r="478" spans="1:25" ht="12.5">
      <c r="A478" s="3"/>
      <c r="B478" s="3"/>
      <c r="C478" s="3"/>
      <c r="D478" s="110"/>
      <c r="E478" s="110"/>
      <c r="F478" s="110"/>
      <c r="G478" s="110"/>
      <c r="H478" s="110"/>
      <c r="I478" s="11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110"/>
      <c r="Y478" s="3"/>
    </row>
    <row r="479" spans="1:25" ht="12.5">
      <c r="A479" s="3"/>
      <c r="B479" s="3"/>
      <c r="C479" s="3"/>
      <c r="D479" s="110"/>
      <c r="E479" s="110"/>
      <c r="F479" s="110"/>
      <c r="G479" s="110"/>
      <c r="H479" s="110"/>
      <c r="I479" s="11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110"/>
      <c r="Y479" s="3"/>
    </row>
    <row r="480" spans="1:25" ht="12.5">
      <c r="A480" s="3"/>
      <c r="B480" s="3"/>
      <c r="C480" s="3"/>
      <c r="D480" s="110"/>
      <c r="E480" s="110"/>
      <c r="F480" s="110"/>
      <c r="G480" s="110"/>
      <c r="H480" s="110"/>
      <c r="I480" s="1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110"/>
      <c r="Y480" s="3"/>
    </row>
    <row r="481" spans="1:25" ht="12.5">
      <c r="A481" s="3"/>
      <c r="B481" s="3"/>
      <c r="C481" s="3"/>
      <c r="D481" s="110"/>
      <c r="E481" s="110"/>
      <c r="F481" s="110"/>
      <c r="G481" s="110"/>
      <c r="H481" s="110"/>
      <c r="I481" s="1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110"/>
      <c r="Y481" s="3"/>
    </row>
    <row r="482" spans="1:25" ht="12.5">
      <c r="A482" s="3"/>
      <c r="B482" s="3"/>
      <c r="C482" s="3"/>
      <c r="D482" s="110"/>
      <c r="E482" s="110"/>
      <c r="F482" s="110"/>
      <c r="G482" s="110"/>
      <c r="H482" s="110"/>
      <c r="I482" s="1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110"/>
      <c r="Y482" s="3"/>
    </row>
    <row r="483" spans="1:25" ht="12.5">
      <c r="A483" s="3"/>
      <c r="B483" s="3"/>
      <c r="C483" s="3"/>
      <c r="D483" s="110"/>
      <c r="E483" s="110"/>
      <c r="F483" s="110"/>
      <c r="G483" s="110"/>
      <c r="H483" s="110"/>
      <c r="I483" s="1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110"/>
      <c r="Y483" s="3"/>
    </row>
    <row r="484" spans="1:25" ht="12.5">
      <c r="A484" s="3"/>
      <c r="B484" s="3"/>
      <c r="C484" s="3"/>
      <c r="D484" s="110"/>
      <c r="E484" s="110"/>
      <c r="F484" s="110"/>
      <c r="G484" s="110"/>
      <c r="H484" s="110"/>
      <c r="I484" s="1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110"/>
      <c r="Y484" s="3"/>
    </row>
    <row r="485" spans="1:25" ht="12.5">
      <c r="A485" s="3"/>
      <c r="B485" s="3"/>
      <c r="C485" s="3"/>
      <c r="D485" s="110"/>
      <c r="E485" s="110"/>
      <c r="F485" s="110"/>
      <c r="G485" s="110"/>
      <c r="H485" s="110"/>
      <c r="I485" s="11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110"/>
      <c r="Y485" s="3"/>
    </row>
    <row r="486" spans="1:25" ht="12.5">
      <c r="A486" s="3"/>
      <c r="B486" s="3"/>
      <c r="C486" s="3"/>
      <c r="D486" s="110"/>
      <c r="E486" s="110"/>
      <c r="F486" s="110"/>
      <c r="G486" s="110"/>
      <c r="H486" s="110"/>
      <c r="I486" s="1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110"/>
      <c r="Y486" s="3"/>
    </row>
    <row r="487" spans="1:25" ht="12.5">
      <c r="A487" s="3"/>
      <c r="B487" s="3"/>
      <c r="C487" s="3"/>
      <c r="D487" s="110"/>
      <c r="E487" s="110"/>
      <c r="F487" s="110"/>
      <c r="G487" s="110"/>
      <c r="H487" s="110"/>
      <c r="I487" s="1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110"/>
      <c r="Y487" s="3"/>
    </row>
    <row r="488" spans="1:25" ht="12.5">
      <c r="A488" s="3"/>
      <c r="B488" s="3"/>
      <c r="C488" s="3"/>
      <c r="D488" s="110"/>
      <c r="E488" s="110"/>
      <c r="F488" s="110"/>
      <c r="G488" s="110"/>
      <c r="H488" s="110"/>
      <c r="I488" s="1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110"/>
      <c r="Y488" s="3"/>
    </row>
    <row r="489" spans="1:25" ht="12.5">
      <c r="A489" s="3"/>
      <c r="B489" s="3"/>
      <c r="C489" s="3"/>
      <c r="D489" s="110"/>
      <c r="E489" s="110"/>
      <c r="F489" s="110"/>
      <c r="G489" s="110"/>
      <c r="H489" s="110"/>
      <c r="I489" s="1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110"/>
      <c r="Y489" s="3"/>
    </row>
    <row r="490" spans="1:25" ht="12.5">
      <c r="A490" s="3"/>
      <c r="B490" s="3"/>
      <c r="C490" s="3"/>
      <c r="D490" s="110"/>
      <c r="E490" s="110"/>
      <c r="F490" s="110"/>
      <c r="G490" s="110"/>
      <c r="H490" s="110"/>
      <c r="I490" s="1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110"/>
      <c r="Y490" s="3"/>
    </row>
    <row r="491" spans="1:25" ht="12.5">
      <c r="A491" s="3"/>
      <c r="B491" s="3"/>
      <c r="C491" s="3"/>
      <c r="D491" s="110"/>
      <c r="E491" s="110"/>
      <c r="F491" s="110"/>
      <c r="G491" s="110"/>
      <c r="H491" s="110"/>
      <c r="I491" s="1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110"/>
      <c r="Y491" s="3"/>
    </row>
    <row r="492" spans="1:25" ht="12.5">
      <c r="A492" s="3"/>
      <c r="B492" s="3"/>
      <c r="C492" s="3"/>
      <c r="D492" s="110"/>
      <c r="E492" s="110"/>
      <c r="F492" s="110"/>
      <c r="G492" s="110"/>
      <c r="H492" s="110"/>
      <c r="I492" s="1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110"/>
      <c r="Y492" s="3"/>
    </row>
    <row r="493" spans="1:25" ht="12.5">
      <c r="A493" s="3"/>
      <c r="B493" s="3"/>
      <c r="C493" s="3"/>
      <c r="D493" s="110"/>
      <c r="E493" s="110"/>
      <c r="F493" s="110"/>
      <c r="G493" s="110"/>
      <c r="H493" s="110"/>
      <c r="I493" s="1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110"/>
      <c r="Y493" s="3"/>
    </row>
    <row r="494" spans="1:25" ht="12.5">
      <c r="A494" s="3"/>
      <c r="B494" s="3"/>
      <c r="C494" s="3"/>
      <c r="D494" s="110"/>
      <c r="E494" s="110"/>
      <c r="F494" s="110"/>
      <c r="G494" s="110"/>
      <c r="H494" s="110"/>
      <c r="I494" s="1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110"/>
      <c r="Y494" s="3"/>
    </row>
    <row r="495" spans="1:25" ht="12.5">
      <c r="A495" s="3"/>
      <c r="B495" s="3"/>
      <c r="C495" s="3"/>
      <c r="D495" s="110"/>
      <c r="E495" s="110"/>
      <c r="F495" s="110"/>
      <c r="G495" s="110"/>
      <c r="H495" s="110"/>
      <c r="I495" s="1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110"/>
      <c r="Y495" s="3"/>
    </row>
    <row r="496" spans="1:25" ht="12.5">
      <c r="A496" s="3"/>
      <c r="B496" s="3"/>
      <c r="C496" s="3"/>
      <c r="D496" s="110"/>
      <c r="E496" s="110"/>
      <c r="F496" s="110"/>
      <c r="G496" s="110"/>
      <c r="H496" s="110"/>
      <c r="I496" s="11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110"/>
      <c r="Y496" s="3"/>
    </row>
    <row r="497" spans="1:25" ht="12.5">
      <c r="A497" s="3"/>
      <c r="B497" s="3"/>
      <c r="C497" s="3"/>
      <c r="D497" s="110"/>
      <c r="E497" s="110"/>
      <c r="F497" s="110"/>
      <c r="G497" s="110"/>
      <c r="H497" s="110"/>
      <c r="I497" s="1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110"/>
      <c r="Y497" s="3"/>
    </row>
    <row r="498" spans="1:25" ht="12.5">
      <c r="A498" s="3"/>
      <c r="B498" s="3"/>
      <c r="C498" s="3"/>
      <c r="D498" s="110"/>
      <c r="E498" s="110"/>
      <c r="F498" s="110"/>
      <c r="G498" s="110"/>
      <c r="H498" s="110"/>
      <c r="I498" s="1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110"/>
      <c r="Y498" s="3"/>
    </row>
    <row r="499" spans="1:25" ht="12.5">
      <c r="A499" s="3"/>
      <c r="B499" s="3"/>
      <c r="C499" s="3"/>
      <c r="D499" s="110"/>
      <c r="E499" s="110"/>
      <c r="F499" s="110"/>
      <c r="G499" s="110"/>
      <c r="H499" s="110"/>
      <c r="I499" s="1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110"/>
      <c r="Y499" s="3"/>
    </row>
    <row r="500" spans="1:25" ht="12.5">
      <c r="A500" s="3"/>
      <c r="B500" s="3"/>
      <c r="C500" s="3"/>
      <c r="D500" s="110"/>
      <c r="E500" s="110"/>
      <c r="F500" s="110"/>
      <c r="G500" s="110"/>
      <c r="H500" s="110"/>
      <c r="I500" s="11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110"/>
      <c r="Y500" s="3"/>
    </row>
    <row r="501" spans="1:25" ht="12.5">
      <c r="A501" s="3"/>
      <c r="B501" s="3"/>
      <c r="C501" s="3"/>
      <c r="D501" s="110"/>
      <c r="E501" s="110"/>
      <c r="F501" s="110"/>
      <c r="G501" s="110"/>
      <c r="H501" s="110"/>
      <c r="I501" s="1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110"/>
      <c r="Y501" s="3"/>
    </row>
    <row r="502" spans="1:25" ht="12.5">
      <c r="A502" s="3"/>
      <c r="B502" s="3"/>
      <c r="C502" s="3"/>
      <c r="D502" s="110"/>
      <c r="E502" s="110"/>
      <c r="F502" s="110"/>
      <c r="G502" s="110"/>
      <c r="H502" s="110"/>
      <c r="I502" s="1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110"/>
      <c r="Y502" s="3"/>
    </row>
    <row r="503" spans="1:25" ht="12.5">
      <c r="A503" s="3"/>
      <c r="B503" s="3"/>
      <c r="C503" s="3"/>
      <c r="D503" s="110"/>
      <c r="E503" s="110"/>
      <c r="F503" s="110"/>
      <c r="G503" s="110"/>
      <c r="H503" s="110"/>
      <c r="I503" s="1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110"/>
      <c r="Y503" s="3"/>
    </row>
    <row r="504" spans="1:25" ht="12.5">
      <c r="A504" s="3"/>
      <c r="B504" s="3"/>
      <c r="C504" s="3"/>
      <c r="D504" s="110"/>
      <c r="E504" s="110"/>
      <c r="F504" s="110"/>
      <c r="G504" s="110"/>
      <c r="H504" s="110"/>
      <c r="I504" s="1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110"/>
      <c r="Y504" s="3"/>
    </row>
    <row r="505" spans="1:25" ht="12.5">
      <c r="A505" s="3"/>
      <c r="B505" s="3"/>
      <c r="C505" s="3"/>
      <c r="D505" s="110"/>
      <c r="E505" s="110"/>
      <c r="F505" s="110"/>
      <c r="G505" s="110"/>
      <c r="H505" s="110"/>
      <c r="I505" s="1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110"/>
      <c r="Y505" s="3"/>
    </row>
    <row r="506" spans="1:25" ht="12.5">
      <c r="A506" s="3"/>
      <c r="B506" s="3"/>
      <c r="C506" s="3"/>
      <c r="D506" s="110"/>
      <c r="E506" s="110"/>
      <c r="F506" s="110"/>
      <c r="G506" s="110"/>
      <c r="H506" s="110"/>
      <c r="I506" s="1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110"/>
      <c r="Y506" s="3"/>
    </row>
    <row r="507" spans="1:25" ht="12.5">
      <c r="A507" s="3"/>
      <c r="B507" s="3"/>
      <c r="C507" s="3"/>
      <c r="D507" s="110"/>
      <c r="E507" s="110"/>
      <c r="F507" s="110"/>
      <c r="G507" s="110"/>
      <c r="H507" s="110"/>
      <c r="I507" s="11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110"/>
      <c r="Y507" s="3"/>
    </row>
    <row r="508" spans="1:25" ht="12.5">
      <c r="A508" s="3"/>
      <c r="B508" s="3"/>
      <c r="C508" s="3"/>
      <c r="D508" s="110"/>
      <c r="E508" s="110"/>
      <c r="F508" s="110"/>
      <c r="G508" s="110"/>
      <c r="H508" s="110"/>
      <c r="I508" s="1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110"/>
      <c r="Y508" s="3"/>
    </row>
    <row r="509" spans="1:25" ht="12.5">
      <c r="A509" s="3"/>
      <c r="B509" s="3"/>
      <c r="C509" s="3"/>
      <c r="D509" s="110"/>
      <c r="E509" s="110"/>
      <c r="F509" s="110"/>
      <c r="G509" s="110"/>
      <c r="H509" s="110"/>
      <c r="I509" s="1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110"/>
      <c r="Y509" s="3"/>
    </row>
    <row r="510" spans="1:25" ht="12.5">
      <c r="A510" s="3"/>
      <c r="B510" s="3"/>
      <c r="C510" s="3"/>
      <c r="D510" s="110"/>
      <c r="E510" s="110"/>
      <c r="F510" s="110"/>
      <c r="G510" s="110"/>
      <c r="H510" s="110"/>
      <c r="I510" s="11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110"/>
      <c r="Y510" s="3"/>
    </row>
    <row r="511" spans="1:25" ht="12.5">
      <c r="A511" s="3"/>
      <c r="B511" s="3"/>
      <c r="C511" s="3"/>
      <c r="D511" s="110"/>
      <c r="E511" s="110"/>
      <c r="F511" s="110"/>
      <c r="G511" s="110"/>
      <c r="H511" s="110"/>
      <c r="I511" s="11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110"/>
      <c r="Y511" s="3"/>
    </row>
    <row r="512" spans="1:25" ht="12.5">
      <c r="A512" s="3"/>
      <c r="B512" s="3"/>
      <c r="C512" s="3"/>
      <c r="D512" s="110"/>
      <c r="E512" s="110"/>
      <c r="F512" s="110"/>
      <c r="G512" s="110"/>
      <c r="H512" s="110"/>
      <c r="I512" s="11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110"/>
      <c r="Y512" s="3"/>
    </row>
    <row r="513" spans="1:25" ht="12.5">
      <c r="A513" s="3"/>
      <c r="B513" s="3"/>
      <c r="C513" s="3"/>
      <c r="D513" s="110"/>
      <c r="E513" s="110"/>
      <c r="F513" s="110"/>
      <c r="G513" s="110"/>
      <c r="H513" s="110"/>
      <c r="I513" s="11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110"/>
      <c r="Y513" s="3"/>
    </row>
    <row r="514" spans="1:25" ht="12.5">
      <c r="A514" s="3"/>
      <c r="B514" s="3"/>
      <c r="C514" s="3"/>
      <c r="D514" s="110"/>
      <c r="E514" s="110"/>
      <c r="F514" s="110"/>
      <c r="G514" s="110"/>
      <c r="H514" s="110"/>
      <c r="I514" s="11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110"/>
      <c r="Y514" s="3"/>
    </row>
    <row r="515" spans="1:25" ht="12.5">
      <c r="A515" s="3"/>
      <c r="B515" s="3"/>
      <c r="C515" s="3"/>
      <c r="D515" s="110"/>
      <c r="E515" s="110"/>
      <c r="F515" s="110"/>
      <c r="G515" s="110"/>
      <c r="H515" s="110"/>
      <c r="I515" s="1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110"/>
      <c r="Y515" s="3"/>
    </row>
    <row r="516" spans="1:25" ht="12.5">
      <c r="A516" s="3"/>
      <c r="B516" s="3"/>
      <c r="C516" s="3"/>
      <c r="D516" s="110"/>
      <c r="E516" s="110"/>
      <c r="F516" s="110"/>
      <c r="G516" s="110"/>
      <c r="H516" s="110"/>
      <c r="I516" s="1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110"/>
      <c r="Y516" s="3"/>
    </row>
    <row r="517" spans="1:25" ht="12.5">
      <c r="A517" s="3"/>
      <c r="B517" s="3"/>
      <c r="C517" s="3"/>
      <c r="D517" s="110"/>
      <c r="E517" s="110"/>
      <c r="F517" s="110"/>
      <c r="G517" s="110"/>
      <c r="H517" s="110"/>
      <c r="I517" s="1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110"/>
      <c r="Y517" s="3"/>
    </row>
    <row r="518" spans="1:25" ht="12.5">
      <c r="A518" s="3"/>
      <c r="B518" s="3"/>
      <c r="C518" s="3"/>
      <c r="D518" s="110"/>
      <c r="E518" s="110"/>
      <c r="F518" s="110"/>
      <c r="G518" s="110"/>
      <c r="H518" s="110"/>
      <c r="I518" s="1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110"/>
      <c r="Y518" s="3"/>
    </row>
    <row r="519" spans="1:25" ht="12.5">
      <c r="A519" s="3"/>
      <c r="B519" s="3"/>
      <c r="C519" s="3"/>
      <c r="D519" s="110"/>
      <c r="E519" s="110"/>
      <c r="F519" s="110"/>
      <c r="G519" s="110"/>
      <c r="H519" s="110"/>
      <c r="I519" s="11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110"/>
      <c r="Y519" s="3"/>
    </row>
    <row r="520" spans="1:25" ht="12.5">
      <c r="A520" s="3"/>
      <c r="B520" s="3"/>
      <c r="C520" s="3"/>
      <c r="D520" s="110"/>
      <c r="E520" s="110"/>
      <c r="F520" s="110"/>
      <c r="G520" s="110"/>
      <c r="H520" s="110"/>
      <c r="I520" s="1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110"/>
      <c r="Y520" s="3"/>
    </row>
    <row r="521" spans="1:25" ht="12.5">
      <c r="A521" s="3"/>
      <c r="B521" s="3"/>
      <c r="C521" s="3"/>
      <c r="D521" s="110"/>
      <c r="E521" s="110"/>
      <c r="F521" s="110"/>
      <c r="G521" s="110"/>
      <c r="H521" s="110"/>
      <c r="I521" s="1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110"/>
      <c r="Y521" s="3"/>
    </row>
    <row r="522" spans="1:25" ht="12.5">
      <c r="A522" s="3"/>
      <c r="B522" s="3"/>
      <c r="C522" s="3"/>
      <c r="D522" s="110"/>
      <c r="E522" s="110"/>
      <c r="F522" s="110"/>
      <c r="G522" s="110"/>
      <c r="H522" s="110"/>
      <c r="I522" s="1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110"/>
      <c r="Y522" s="3"/>
    </row>
    <row r="523" spans="1:25" ht="12.5">
      <c r="A523" s="3"/>
      <c r="B523" s="3"/>
      <c r="C523" s="3"/>
      <c r="D523" s="110"/>
      <c r="E523" s="110"/>
      <c r="F523" s="110"/>
      <c r="G523" s="110"/>
      <c r="H523" s="110"/>
      <c r="I523" s="1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110"/>
      <c r="Y523" s="3"/>
    </row>
    <row r="524" spans="1:25" ht="12.5">
      <c r="A524" s="3"/>
      <c r="B524" s="3"/>
      <c r="C524" s="3"/>
      <c r="D524" s="110"/>
      <c r="E524" s="110"/>
      <c r="F524" s="110"/>
      <c r="G524" s="110"/>
      <c r="H524" s="110"/>
      <c r="I524" s="1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110"/>
      <c r="Y524" s="3"/>
    </row>
    <row r="525" spans="1:25" ht="12.5">
      <c r="A525" s="3"/>
      <c r="B525" s="3"/>
      <c r="C525" s="3"/>
      <c r="D525" s="110"/>
      <c r="E525" s="110"/>
      <c r="F525" s="110"/>
      <c r="G525" s="110"/>
      <c r="H525" s="110"/>
      <c r="I525" s="1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110"/>
      <c r="Y525" s="3"/>
    </row>
    <row r="526" spans="1:25" ht="12.5">
      <c r="A526" s="3"/>
      <c r="B526" s="3"/>
      <c r="C526" s="3"/>
      <c r="D526" s="110"/>
      <c r="E526" s="110"/>
      <c r="F526" s="110"/>
      <c r="G526" s="110"/>
      <c r="H526" s="110"/>
      <c r="I526" s="1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110"/>
      <c r="Y526" s="3"/>
    </row>
    <row r="527" spans="1:25" ht="12.5">
      <c r="A527" s="3"/>
      <c r="B527" s="3"/>
      <c r="C527" s="3"/>
      <c r="D527" s="110"/>
      <c r="E527" s="110"/>
      <c r="F527" s="110"/>
      <c r="G527" s="110"/>
      <c r="H527" s="110"/>
      <c r="I527" s="11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110"/>
      <c r="Y527" s="3"/>
    </row>
    <row r="528" spans="1:25" ht="12.5">
      <c r="A528" s="3"/>
      <c r="B528" s="3"/>
      <c r="C528" s="3"/>
      <c r="D528" s="110"/>
      <c r="E528" s="110"/>
      <c r="F528" s="110"/>
      <c r="G528" s="110"/>
      <c r="H528" s="110"/>
      <c r="I528" s="1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110"/>
      <c r="Y528" s="3"/>
    </row>
    <row r="529" spans="1:25" ht="12.5">
      <c r="A529" s="3"/>
      <c r="B529" s="3"/>
      <c r="C529" s="3"/>
      <c r="D529" s="110"/>
      <c r="E529" s="110"/>
      <c r="F529" s="110"/>
      <c r="G529" s="110"/>
      <c r="H529" s="110"/>
      <c r="I529" s="1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110"/>
      <c r="Y529" s="3"/>
    </row>
    <row r="530" spans="1:25" ht="12.5">
      <c r="A530" s="3"/>
      <c r="B530" s="3"/>
      <c r="C530" s="3"/>
      <c r="D530" s="110"/>
      <c r="E530" s="110"/>
      <c r="F530" s="110"/>
      <c r="G530" s="110"/>
      <c r="H530" s="110"/>
      <c r="I530" s="1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110"/>
      <c r="Y530" s="3"/>
    </row>
    <row r="531" spans="1:25" ht="12.5">
      <c r="A531" s="3"/>
      <c r="B531" s="3"/>
      <c r="C531" s="3"/>
      <c r="D531" s="110"/>
      <c r="E531" s="110"/>
      <c r="F531" s="110"/>
      <c r="G531" s="110"/>
      <c r="H531" s="110"/>
      <c r="I531" s="1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110"/>
      <c r="Y531" s="3"/>
    </row>
    <row r="532" spans="1:25" ht="12.5">
      <c r="A532" s="3"/>
      <c r="B532" s="3"/>
      <c r="C532" s="3"/>
      <c r="D532" s="110"/>
      <c r="E532" s="110"/>
      <c r="F532" s="110"/>
      <c r="G532" s="110"/>
      <c r="H532" s="110"/>
      <c r="I532" s="1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110"/>
      <c r="Y532" s="3"/>
    </row>
    <row r="533" spans="1:25" ht="12.5">
      <c r="A533" s="3"/>
      <c r="B533" s="3"/>
      <c r="C533" s="3"/>
      <c r="D533" s="110"/>
      <c r="E533" s="110"/>
      <c r="F533" s="110"/>
      <c r="G533" s="110"/>
      <c r="H533" s="110"/>
      <c r="I533" s="1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110"/>
      <c r="Y533" s="3"/>
    </row>
    <row r="534" spans="1:25" ht="12.5">
      <c r="A534" s="3"/>
      <c r="B534" s="3"/>
      <c r="C534" s="3"/>
      <c r="D534" s="110"/>
      <c r="E534" s="110"/>
      <c r="F534" s="110"/>
      <c r="G534" s="110"/>
      <c r="H534" s="110"/>
      <c r="I534" s="1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110"/>
      <c r="Y534" s="3"/>
    </row>
    <row r="535" spans="1:25" ht="12.5">
      <c r="A535" s="3"/>
      <c r="B535" s="3"/>
      <c r="C535" s="3"/>
      <c r="D535" s="110"/>
      <c r="E535" s="110"/>
      <c r="F535" s="110"/>
      <c r="G535" s="110"/>
      <c r="H535" s="110"/>
      <c r="I535" s="1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110"/>
      <c r="Y535" s="3"/>
    </row>
    <row r="536" spans="1:25" ht="12.5">
      <c r="A536" s="3"/>
      <c r="B536" s="3"/>
      <c r="C536" s="3"/>
      <c r="D536" s="110"/>
      <c r="E536" s="110"/>
      <c r="F536" s="110"/>
      <c r="G536" s="110"/>
      <c r="H536" s="110"/>
      <c r="I536" s="1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110"/>
      <c r="Y536" s="3"/>
    </row>
    <row r="537" spans="1:25" ht="12.5">
      <c r="A537" s="3"/>
      <c r="B537" s="3"/>
      <c r="C537" s="3"/>
      <c r="D537" s="110"/>
      <c r="E537" s="110"/>
      <c r="F537" s="110"/>
      <c r="G537" s="110"/>
      <c r="H537" s="110"/>
      <c r="I537" s="1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110"/>
      <c r="Y537" s="3"/>
    </row>
    <row r="538" spans="1:25" ht="12.5">
      <c r="A538" s="3"/>
      <c r="B538" s="3"/>
      <c r="C538" s="3"/>
      <c r="D538" s="110"/>
      <c r="E538" s="110"/>
      <c r="F538" s="110"/>
      <c r="G538" s="110"/>
      <c r="H538" s="110"/>
      <c r="I538" s="1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110"/>
      <c r="Y538" s="3"/>
    </row>
    <row r="539" spans="1:25" ht="12.5">
      <c r="A539" s="3"/>
      <c r="B539" s="3"/>
      <c r="C539" s="3"/>
      <c r="D539" s="110"/>
      <c r="E539" s="110"/>
      <c r="F539" s="110"/>
      <c r="G539" s="110"/>
      <c r="H539" s="110"/>
      <c r="I539" s="1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110"/>
      <c r="Y539" s="3"/>
    </row>
    <row r="540" spans="1:25" ht="12.5">
      <c r="A540" s="3"/>
      <c r="B540" s="3"/>
      <c r="C540" s="3"/>
      <c r="D540" s="110"/>
      <c r="E540" s="110"/>
      <c r="F540" s="110"/>
      <c r="G540" s="110"/>
      <c r="H540" s="110"/>
      <c r="I540" s="1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110"/>
      <c r="Y540" s="3"/>
    </row>
    <row r="541" spans="1:25" ht="12.5">
      <c r="A541" s="3"/>
      <c r="B541" s="3"/>
      <c r="C541" s="3"/>
      <c r="D541" s="110"/>
      <c r="E541" s="110"/>
      <c r="F541" s="110"/>
      <c r="G541" s="110"/>
      <c r="H541" s="110"/>
      <c r="I541" s="1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110"/>
      <c r="Y541" s="3"/>
    </row>
    <row r="542" spans="1:25" ht="12.5">
      <c r="A542" s="3"/>
      <c r="B542" s="3"/>
      <c r="C542" s="3"/>
      <c r="D542" s="110"/>
      <c r="E542" s="110"/>
      <c r="F542" s="110"/>
      <c r="G542" s="110"/>
      <c r="H542" s="110"/>
      <c r="I542" s="11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110"/>
      <c r="Y542" s="3"/>
    </row>
    <row r="543" spans="1:25" ht="12.5">
      <c r="A543" s="3"/>
      <c r="B543" s="3"/>
      <c r="C543" s="3"/>
      <c r="D543" s="110"/>
      <c r="E543" s="110"/>
      <c r="F543" s="110"/>
      <c r="G543" s="110"/>
      <c r="H543" s="110"/>
      <c r="I543" s="1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110"/>
      <c r="Y543" s="3"/>
    </row>
    <row r="544" spans="1:25" ht="12.5">
      <c r="A544" s="3"/>
      <c r="B544" s="3"/>
      <c r="C544" s="3"/>
      <c r="D544" s="110"/>
      <c r="E544" s="110"/>
      <c r="F544" s="110"/>
      <c r="G544" s="110"/>
      <c r="H544" s="110"/>
      <c r="I544" s="1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110"/>
      <c r="Y544" s="3"/>
    </row>
    <row r="545" spans="1:25" ht="12.5">
      <c r="A545" s="3"/>
      <c r="B545" s="3"/>
      <c r="C545" s="3"/>
      <c r="D545" s="110"/>
      <c r="E545" s="110"/>
      <c r="F545" s="110"/>
      <c r="G545" s="110"/>
      <c r="H545" s="110"/>
      <c r="I545" s="1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110"/>
      <c r="Y545" s="3"/>
    </row>
    <row r="546" spans="1:25" ht="12.5">
      <c r="A546" s="3"/>
      <c r="B546" s="3"/>
      <c r="C546" s="3"/>
      <c r="D546" s="110"/>
      <c r="E546" s="110"/>
      <c r="F546" s="110"/>
      <c r="G546" s="110"/>
      <c r="H546" s="110"/>
      <c r="I546" s="1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110"/>
      <c r="Y546" s="3"/>
    </row>
    <row r="547" spans="1:25" ht="12.5">
      <c r="A547" s="3"/>
      <c r="B547" s="3"/>
      <c r="C547" s="3"/>
      <c r="D547" s="110"/>
      <c r="E547" s="110"/>
      <c r="F547" s="110"/>
      <c r="G547" s="110"/>
      <c r="H547" s="110"/>
      <c r="I547" s="1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110"/>
      <c r="Y547" s="3"/>
    </row>
    <row r="548" spans="1:25" ht="12.5">
      <c r="A548" s="3"/>
      <c r="B548" s="3"/>
      <c r="C548" s="3"/>
      <c r="D548" s="110"/>
      <c r="E548" s="110"/>
      <c r="F548" s="110"/>
      <c r="G548" s="110"/>
      <c r="H548" s="110"/>
      <c r="I548" s="1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110"/>
      <c r="Y548" s="3"/>
    </row>
    <row r="549" spans="1:25" ht="12.5">
      <c r="A549" s="3"/>
      <c r="B549" s="3"/>
      <c r="C549" s="3"/>
      <c r="D549" s="110"/>
      <c r="E549" s="110"/>
      <c r="F549" s="110"/>
      <c r="G549" s="110"/>
      <c r="H549" s="110"/>
      <c r="I549" s="1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110"/>
      <c r="Y549" s="3"/>
    </row>
    <row r="550" spans="1:25" ht="12.5">
      <c r="A550" s="3"/>
      <c r="B550" s="3"/>
      <c r="C550" s="3"/>
      <c r="D550" s="110"/>
      <c r="E550" s="110"/>
      <c r="F550" s="110"/>
      <c r="G550" s="110"/>
      <c r="H550" s="110"/>
      <c r="I550" s="1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110"/>
      <c r="Y550" s="3"/>
    </row>
    <row r="551" spans="1:25" ht="12.5">
      <c r="A551" s="3"/>
      <c r="B551" s="3"/>
      <c r="C551" s="3"/>
      <c r="D551" s="110"/>
      <c r="E551" s="110"/>
      <c r="F551" s="110"/>
      <c r="G551" s="110"/>
      <c r="H551" s="110"/>
      <c r="I551" s="1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110"/>
      <c r="Y551" s="3"/>
    </row>
    <row r="552" spans="1:25" ht="12.5">
      <c r="A552" s="3"/>
      <c r="B552" s="3"/>
      <c r="C552" s="3"/>
      <c r="D552" s="110"/>
      <c r="E552" s="110"/>
      <c r="F552" s="110"/>
      <c r="G552" s="110"/>
      <c r="H552" s="110"/>
      <c r="I552" s="1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110"/>
      <c r="Y552" s="3"/>
    </row>
    <row r="553" spans="1:25" ht="12.5">
      <c r="A553" s="3"/>
      <c r="B553" s="3"/>
      <c r="C553" s="3"/>
      <c r="D553" s="110"/>
      <c r="E553" s="110"/>
      <c r="F553" s="110"/>
      <c r="G553" s="110"/>
      <c r="H553" s="110"/>
      <c r="I553" s="1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110"/>
      <c r="Y553" s="3"/>
    </row>
    <row r="554" spans="1:25" ht="12.5">
      <c r="A554" s="3"/>
      <c r="B554" s="3"/>
      <c r="C554" s="3"/>
      <c r="D554" s="110"/>
      <c r="E554" s="110"/>
      <c r="F554" s="110"/>
      <c r="G554" s="110"/>
      <c r="H554" s="110"/>
      <c r="I554" s="1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110"/>
      <c r="Y554" s="3"/>
    </row>
    <row r="555" spans="1:25" ht="12.5">
      <c r="A555" s="3"/>
      <c r="B555" s="3"/>
      <c r="C555" s="3"/>
      <c r="D555" s="110"/>
      <c r="E555" s="110"/>
      <c r="F555" s="110"/>
      <c r="G555" s="110"/>
      <c r="H555" s="110"/>
      <c r="I555" s="1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110"/>
      <c r="Y555" s="3"/>
    </row>
    <row r="556" spans="1:25" ht="12.5">
      <c r="A556" s="3"/>
      <c r="B556" s="3"/>
      <c r="C556" s="3"/>
      <c r="D556" s="110"/>
      <c r="E556" s="110"/>
      <c r="F556" s="110"/>
      <c r="G556" s="110"/>
      <c r="H556" s="110"/>
      <c r="I556" s="1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110"/>
      <c r="Y556" s="3"/>
    </row>
    <row r="557" spans="1:25" ht="12.5">
      <c r="A557" s="3"/>
      <c r="B557" s="3"/>
      <c r="C557" s="3"/>
      <c r="D557" s="110"/>
      <c r="E557" s="110"/>
      <c r="F557" s="110"/>
      <c r="G557" s="110"/>
      <c r="H557" s="110"/>
      <c r="I557" s="1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110"/>
      <c r="Y557" s="3"/>
    </row>
    <row r="558" spans="1:25" ht="12.5">
      <c r="A558" s="3"/>
      <c r="B558" s="3"/>
      <c r="C558" s="3"/>
      <c r="D558" s="110"/>
      <c r="E558" s="110"/>
      <c r="F558" s="110"/>
      <c r="G558" s="110"/>
      <c r="H558" s="110"/>
      <c r="I558" s="1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110"/>
      <c r="Y558" s="3"/>
    </row>
    <row r="559" spans="1:25" ht="12.5">
      <c r="A559" s="3"/>
      <c r="B559" s="3"/>
      <c r="C559" s="3"/>
      <c r="D559" s="110"/>
      <c r="E559" s="110"/>
      <c r="F559" s="110"/>
      <c r="G559" s="110"/>
      <c r="H559" s="110"/>
      <c r="I559" s="1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110"/>
      <c r="Y559" s="3"/>
    </row>
    <row r="560" spans="1:25" ht="12.5">
      <c r="A560" s="3"/>
      <c r="B560" s="3"/>
      <c r="C560" s="3"/>
      <c r="D560" s="110"/>
      <c r="E560" s="110"/>
      <c r="F560" s="110"/>
      <c r="G560" s="110"/>
      <c r="H560" s="110"/>
      <c r="I560" s="1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110"/>
      <c r="Y560" s="3"/>
    </row>
    <row r="561" spans="1:25" ht="12.5">
      <c r="A561" s="3"/>
      <c r="B561" s="3"/>
      <c r="C561" s="3"/>
      <c r="D561" s="110"/>
      <c r="E561" s="110"/>
      <c r="F561" s="110"/>
      <c r="G561" s="110"/>
      <c r="H561" s="110"/>
      <c r="I561" s="1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110"/>
      <c r="Y561" s="3"/>
    </row>
    <row r="562" spans="1:25" ht="12.5">
      <c r="A562" s="3"/>
      <c r="B562" s="3"/>
      <c r="C562" s="3"/>
      <c r="D562" s="110"/>
      <c r="E562" s="110"/>
      <c r="F562" s="110"/>
      <c r="G562" s="110"/>
      <c r="H562" s="110"/>
      <c r="I562" s="11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110"/>
      <c r="Y562" s="3"/>
    </row>
    <row r="563" spans="1:25" ht="12.5">
      <c r="A563" s="3"/>
      <c r="B563" s="3"/>
      <c r="C563" s="3"/>
      <c r="D563" s="110"/>
      <c r="E563" s="110"/>
      <c r="F563" s="110"/>
      <c r="G563" s="110"/>
      <c r="H563" s="110"/>
      <c r="I563" s="1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110"/>
      <c r="Y563" s="3"/>
    </row>
    <row r="564" spans="1:25" ht="12.5">
      <c r="A564" s="3"/>
      <c r="B564" s="3"/>
      <c r="C564" s="3"/>
      <c r="D564" s="110"/>
      <c r="E564" s="110"/>
      <c r="F564" s="110"/>
      <c r="G564" s="110"/>
      <c r="H564" s="110"/>
      <c r="I564" s="1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110"/>
      <c r="Y564" s="3"/>
    </row>
    <row r="565" spans="1:25" ht="12.5">
      <c r="A565" s="3"/>
      <c r="B565" s="3"/>
      <c r="C565" s="3"/>
      <c r="D565" s="110"/>
      <c r="E565" s="110"/>
      <c r="F565" s="110"/>
      <c r="G565" s="110"/>
      <c r="H565" s="110"/>
      <c r="I565" s="1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110"/>
      <c r="Y565" s="3"/>
    </row>
    <row r="566" spans="1:25" ht="12.5">
      <c r="A566" s="3"/>
      <c r="B566" s="3"/>
      <c r="C566" s="3"/>
      <c r="D566" s="110"/>
      <c r="E566" s="110"/>
      <c r="F566" s="110"/>
      <c r="G566" s="110"/>
      <c r="H566" s="110"/>
      <c r="I566" s="1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110"/>
      <c r="Y566" s="3"/>
    </row>
    <row r="567" spans="1:25" ht="12.5">
      <c r="A567" s="3"/>
      <c r="B567" s="3"/>
      <c r="C567" s="3"/>
      <c r="D567" s="110"/>
      <c r="E567" s="110"/>
      <c r="F567" s="110"/>
      <c r="G567" s="110"/>
      <c r="H567" s="110"/>
      <c r="I567" s="1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110"/>
      <c r="Y567" s="3"/>
    </row>
    <row r="568" spans="1:25" ht="12.5">
      <c r="A568" s="3"/>
      <c r="B568" s="3"/>
      <c r="C568" s="3"/>
      <c r="D568" s="110"/>
      <c r="E568" s="110"/>
      <c r="F568" s="110"/>
      <c r="G568" s="110"/>
      <c r="H568" s="110"/>
      <c r="I568" s="1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110"/>
      <c r="Y568" s="3"/>
    </row>
    <row r="569" spans="1:25" ht="12.5">
      <c r="A569" s="3"/>
      <c r="B569" s="3"/>
      <c r="C569" s="3"/>
      <c r="D569" s="110"/>
      <c r="E569" s="110"/>
      <c r="F569" s="110"/>
      <c r="G569" s="110"/>
      <c r="H569" s="110"/>
      <c r="I569" s="1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110"/>
      <c r="Y569" s="3"/>
    </row>
    <row r="570" spans="1:25" ht="12.5">
      <c r="A570" s="3"/>
      <c r="B570" s="3"/>
      <c r="C570" s="3"/>
      <c r="D570" s="110"/>
      <c r="E570" s="110"/>
      <c r="F570" s="110"/>
      <c r="G570" s="110"/>
      <c r="H570" s="110"/>
      <c r="I570" s="1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110"/>
      <c r="Y570" s="3"/>
    </row>
    <row r="571" spans="1:25" ht="12.5">
      <c r="A571" s="3"/>
      <c r="B571" s="3"/>
      <c r="C571" s="3"/>
      <c r="D571" s="110"/>
      <c r="E571" s="110"/>
      <c r="F571" s="110"/>
      <c r="G571" s="110"/>
      <c r="H571" s="110"/>
      <c r="I571" s="11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110"/>
      <c r="Y571" s="3"/>
    </row>
    <row r="572" spans="1:25" ht="12.5">
      <c r="A572" s="3"/>
      <c r="B572" s="3"/>
      <c r="C572" s="3"/>
      <c r="D572" s="110"/>
      <c r="E572" s="110"/>
      <c r="F572" s="110"/>
      <c r="G572" s="110"/>
      <c r="H572" s="110"/>
      <c r="I572" s="11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110"/>
      <c r="Y572" s="3"/>
    </row>
    <row r="573" spans="1:25" ht="12.5">
      <c r="A573" s="3"/>
      <c r="B573" s="3"/>
      <c r="C573" s="3"/>
      <c r="D573" s="110"/>
      <c r="E573" s="110"/>
      <c r="F573" s="110"/>
      <c r="G573" s="110"/>
      <c r="H573" s="110"/>
      <c r="I573" s="11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110"/>
      <c r="Y573" s="3"/>
    </row>
    <row r="574" spans="1:25" ht="12.5">
      <c r="A574" s="3"/>
      <c r="B574" s="3"/>
      <c r="C574" s="3"/>
      <c r="D574" s="110"/>
      <c r="E574" s="110"/>
      <c r="F574" s="110"/>
      <c r="G574" s="110"/>
      <c r="H574" s="110"/>
      <c r="I574" s="11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110"/>
      <c r="Y574" s="3"/>
    </row>
    <row r="575" spans="1:25" ht="12.5">
      <c r="A575" s="3"/>
      <c r="B575" s="3"/>
      <c r="C575" s="3"/>
      <c r="D575" s="110"/>
      <c r="E575" s="110"/>
      <c r="F575" s="110"/>
      <c r="G575" s="110"/>
      <c r="H575" s="110"/>
      <c r="I575" s="1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110"/>
      <c r="Y575" s="3"/>
    </row>
    <row r="576" spans="1:25" ht="12.5">
      <c r="A576" s="3"/>
      <c r="B576" s="3"/>
      <c r="C576" s="3"/>
      <c r="D576" s="110"/>
      <c r="E576" s="110"/>
      <c r="F576" s="110"/>
      <c r="G576" s="110"/>
      <c r="H576" s="110"/>
      <c r="I576" s="11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110"/>
      <c r="Y576" s="3"/>
    </row>
    <row r="577" spans="1:25" ht="12.5">
      <c r="A577" s="3"/>
      <c r="B577" s="3"/>
      <c r="C577" s="3"/>
      <c r="D577" s="110"/>
      <c r="E577" s="110"/>
      <c r="F577" s="110"/>
      <c r="G577" s="110"/>
      <c r="H577" s="110"/>
      <c r="I577" s="11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110"/>
      <c r="Y577" s="3"/>
    </row>
    <row r="578" spans="1:25" ht="12.5">
      <c r="A578" s="3"/>
      <c r="B578" s="3"/>
      <c r="C578" s="3"/>
      <c r="D578" s="110"/>
      <c r="E578" s="110"/>
      <c r="F578" s="110"/>
      <c r="G578" s="110"/>
      <c r="H578" s="110"/>
      <c r="I578" s="11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110"/>
      <c r="Y578" s="3"/>
    </row>
    <row r="579" spans="1:25" ht="12.5">
      <c r="A579" s="3"/>
      <c r="B579" s="3"/>
      <c r="C579" s="3"/>
      <c r="D579" s="110"/>
      <c r="E579" s="110"/>
      <c r="F579" s="110"/>
      <c r="G579" s="110"/>
      <c r="H579" s="110"/>
      <c r="I579" s="11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110"/>
      <c r="Y579" s="3"/>
    </row>
    <row r="580" spans="1:25" ht="12.5">
      <c r="A580" s="3"/>
      <c r="B580" s="3"/>
      <c r="C580" s="3"/>
      <c r="D580" s="110"/>
      <c r="E580" s="110"/>
      <c r="F580" s="110"/>
      <c r="G580" s="110"/>
      <c r="H580" s="110"/>
      <c r="I580" s="11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110"/>
      <c r="Y580" s="3"/>
    </row>
    <row r="581" spans="1:25" ht="12.5">
      <c r="A581" s="3"/>
      <c r="B581" s="3"/>
      <c r="C581" s="3"/>
      <c r="D581" s="110"/>
      <c r="E581" s="110"/>
      <c r="F581" s="110"/>
      <c r="G581" s="110"/>
      <c r="H581" s="110"/>
      <c r="I581" s="1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110"/>
      <c r="Y581" s="3"/>
    </row>
    <row r="582" spans="1:25" ht="12.5">
      <c r="A582" s="3"/>
      <c r="B582" s="3"/>
      <c r="C582" s="3"/>
      <c r="D582" s="110"/>
      <c r="E582" s="110"/>
      <c r="F582" s="110"/>
      <c r="G582" s="110"/>
      <c r="H582" s="110"/>
      <c r="I582" s="1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110"/>
      <c r="Y582" s="3"/>
    </row>
    <row r="583" spans="1:25" ht="12.5">
      <c r="A583" s="3"/>
      <c r="B583" s="3"/>
      <c r="C583" s="3"/>
      <c r="D583" s="110"/>
      <c r="E583" s="110"/>
      <c r="F583" s="110"/>
      <c r="G583" s="110"/>
      <c r="H583" s="110"/>
      <c r="I583" s="11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110"/>
      <c r="Y583" s="3"/>
    </row>
    <row r="584" spans="1:25" ht="12.5">
      <c r="A584" s="3"/>
      <c r="B584" s="3"/>
      <c r="C584" s="3"/>
      <c r="D584" s="110"/>
      <c r="E584" s="110"/>
      <c r="F584" s="110"/>
      <c r="G584" s="110"/>
      <c r="H584" s="110"/>
      <c r="I584" s="1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110"/>
      <c r="Y584" s="3"/>
    </row>
    <row r="585" spans="1:25" ht="12.5">
      <c r="A585" s="3"/>
      <c r="B585" s="3"/>
      <c r="C585" s="3"/>
      <c r="D585" s="110"/>
      <c r="E585" s="110"/>
      <c r="F585" s="110"/>
      <c r="G585" s="110"/>
      <c r="H585" s="110"/>
      <c r="I585" s="1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110"/>
      <c r="Y585" s="3"/>
    </row>
    <row r="586" spans="1:25" ht="12.5">
      <c r="A586" s="3"/>
      <c r="B586" s="3"/>
      <c r="C586" s="3"/>
      <c r="D586" s="110"/>
      <c r="E586" s="110"/>
      <c r="F586" s="110"/>
      <c r="G586" s="110"/>
      <c r="H586" s="110"/>
      <c r="I586" s="1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110"/>
      <c r="Y586" s="3"/>
    </row>
    <row r="587" spans="1:25" ht="12.5">
      <c r="A587" s="3"/>
      <c r="B587" s="3"/>
      <c r="C587" s="3"/>
      <c r="D587" s="110"/>
      <c r="E587" s="110"/>
      <c r="F587" s="110"/>
      <c r="G587" s="110"/>
      <c r="H587" s="110"/>
      <c r="I587" s="1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110"/>
      <c r="Y587" s="3"/>
    </row>
    <row r="588" spans="1:25" ht="12.5">
      <c r="A588" s="3"/>
      <c r="B588" s="3"/>
      <c r="C588" s="3"/>
      <c r="D588" s="110"/>
      <c r="E588" s="110"/>
      <c r="F588" s="110"/>
      <c r="G588" s="110"/>
      <c r="H588" s="110"/>
      <c r="I588" s="1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110"/>
      <c r="Y588" s="3"/>
    </row>
    <row r="589" spans="1:25" ht="12.5">
      <c r="A589" s="3"/>
      <c r="B589" s="3"/>
      <c r="C589" s="3"/>
      <c r="D589" s="110"/>
      <c r="E589" s="110"/>
      <c r="F589" s="110"/>
      <c r="G589" s="110"/>
      <c r="H589" s="110"/>
      <c r="I589" s="1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110"/>
      <c r="Y589" s="3"/>
    </row>
    <row r="590" spans="1:25" ht="12.5">
      <c r="A590" s="3"/>
      <c r="B590" s="3"/>
      <c r="C590" s="3"/>
      <c r="D590" s="110"/>
      <c r="E590" s="110"/>
      <c r="F590" s="110"/>
      <c r="G590" s="110"/>
      <c r="H590" s="110"/>
      <c r="I590" s="1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110"/>
      <c r="Y590" s="3"/>
    </row>
    <row r="591" spans="1:25" ht="12.5">
      <c r="A591" s="3"/>
      <c r="B591" s="3"/>
      <c r="C591" s="3"/>
      <c r="D591" s="110"/>
      <c r="E591" s="110"/>
      <c r="F591" s="110"/>
      <c r="G591" s="110"/>
      <c r="H591" s="110"/>
      <c r="I591" s="11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110"/>
      <c r="Y591" s="3"/>
    </row>
    <row r="592" spans="1:25" ht="12.5">
      <c r="A592" s="3"/>
      <c r="B592" s="3"/>
      <c r="C592" s="3"/>
      <c r="D592" s="110"/>
      <c r="E592" s="110"/>
      <c r="F592" s="110"/>
      <c r="G592" s="110"/>
      <c r="H592" s="110"/>
      <c r="I592" s="11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110"/>
      <c r="Y592" s="3"/>
    </row>
    <row r="593" spans="1:25" ht="12.5">
      <c r="A593" s="3"/>
      <c r="B593" s="3"/>
      <c r="C593" s="3"/>
      <c r="D593" s="110"/>
      <c r="E593" s="110"/>
      <c r="F593" s="110"/>
      <c r="G593" s="110"/>
      <c r="H593" s="110"/>
      <c r="I593" s="1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110"/>
      <c r="Y593" s="3"/>
    </row>
    <row r="594" spans="1:25" ht="12.5">
      <c r="A594" s="3"/>
      <c r="B594" s="3"/>
      <c r="C594" s="3"/>
      <c r="D594" s="110"/>
      <c r="E594" s="110"/>
      <c r="F594" s="110"/>
      <c r="G594" s="110"/>
      <c r="H594" s="110"/>
      <c r="I594" s="1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110"/>
      <c r="Y594" s="3"/>
    </row>
    <row r="595" spans="1:25" ht="12.5">
      <c r="A595" s="3"/>
      <c r="B595" s="3"/>
      <c r="C595" s="3"/>
      <c r="D595" s="110"/>
      <c r="E595" s="110"/>
      <c r="F595" s="110"/>
      <c r="G595" s="110"/>
      <c r="H595" s="110"/>
      <c r="I595" s="1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110"/>
      <c r="Y595" s="3"/>
    </row>
    <row r="596" spans="1:25" ht="12.5">
      <c r="A596" s="3"/>
      <c r="B596" s="3"/>
      <c r="C596" s="3"/>
      <c r="D596" s="110"/>
      <c r="E596" s="110"/>
      <c r="F596" s="110"/>
      <c r="G596" s="110"/>
      <c r="H596" s="110"/>
      <c r="I596" s="1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110"/>
      <c r="Y596" s="3"/>
    </row>
    <row r="597" spans="1:25" ht="12.5">
      <c r="A597" s="3"/>
      <c r="B597" s="3"/>
      <c r="C597" s="3"/>
      <c r="D597" s="110"/>
      <c r="E597" s="110"/>
      <c r="F597" s="110"/>
      <c r="G597" s="110"/>
      <c r="H597" s="110"/>
      <c r="I597" s="1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110"/>
      <c r="Y597" s="3"/>
    </row>
    <row r="598" spans="1:25" ht="12.5">
      <c r="A598" s="3"/>
      <c r="B598" s="3"/>
      <c r="C598" s="3"/>
      <c r="D598" s="110"/>
      <c r="E598" s="110"/>
      <c r="F598" s="110"/>
      <c r="G598" s="110"/>
      <c r="H598" s="110"/>
      <c r="I598" s="1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110"/>
      <c r="Y598" s="3"/>
    </row>
    <row r="599" spans="1:25" ht="12.5">
      <c r="A599" s="3"/>
      <c r="B599" s="3"/>
      <c r="C599" s="3"/>
      <c r="D599" s="110"/>
      <c r="E599" s="110"/>
      <c r="F599" s="110"/>
      <c r="G599" s="110"/>
      <c r="H599" s="110"/>
      <c r="I599" s="1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110"/>
      <c r="Y599" s="3"/>
    </row>
    <row r="600" spans="1:25" ht="12.5">
      <c r="A600" s="3"/>
      <c r="B600" s="3"/>
      <c r="C600" s="3"/>
      <c r="D600" s="110"/>
      <c r="E600" s="110"/>
      <c r="F600" s="110"/>
      <c r="G600" s="110"/>
      <c r="H600" s="110"/>
      <c r="I600" s="1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110"/>
      <c r="Y600" s="3"/>
    </row>
    <row r="601" spans="1:25" ht="12.5">
      <c r="A601" s="3"/>
      <c r="B601" s="3"/>
      <c r="C601" s="3"/>
      <c r="D601" s="110"/>
      <c r="E601" s="110"/>
      <c r="F601" s="110"/>
      <c r="G601" s="110"/>
      <c r="H601" s="110"/>
      <c r="I601" s="1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110"/>
      <c r="Y601" s="3"/>
    </row>
    <row r="602" spans="1:25" ht="12.5">
      <c r="A602" s="3"/>
      <c r="B602" s="3"/>
      <c r="C602" s="3"/>
      <c r="D602" s="110"/>
      <c r="E602" s="110"/>
      <c r="F602" s="110"/>
      <c r="G602" s="110"/>
      <c r="H602" s="110"/>
      <c r="I602" s="11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110"/>
      <c r="Y602" s="3"/>
    </row>
    <row r="603" spans="1:25" ht="12.5">
      <c r="A603" s="3"/>
      <c r="B603" s="3"/>
      <c r="C603" s="3"/>
      <c r="D603" s="110"/>
      <c r="E603" s="110"/>
      <c r="F603" s="110"/>
      <c r="G603" s="110"/>
      <c r="H603" s="110"/>
      <c r="I603" s="11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110"/>
      <c r="Y603" s="3"/>
    </row>
    <row r="604" spans="1:25" ht="12.5">
      <c r="A604" s="3"/>
      <c r="B604" s="3"/>
      <c r="C604" s="3"/>
      <c r="D604" s="110"/>
      <c r="E604" s="110"/>
      <c r="F604" s="110"/>
      <c r="G604" s="110"/>
      <c r="H604" s="110"/>
      <c r="I604" s="1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110"/>
      <c r="Y604" s="3"/>
    </row>
    <row r="605" spans="1:25" ht="12.5">
      <c r="A605" s="3"/>
      <c r="B605" s="3"/>
      <c r="C605" s="3"/>
      <c r="D605" s="110"/>
      <c r="E605" s="110"/>
      <c r="F605" s="110"/>
      <c r="G605" s="110"/>
      <c r="H605" s="110"/>
      <c r="I605" s="1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110"/>
      <c r="Y605" s="3"/>
    </row>
    <row r="606" spans="1:25" ht="12.5">
      <c r="A606" s="3"/>
      <c r="B606" s="3"/>
      <c r="C606" s="3"/>
      <c r="D606" s="110"/>
      <c r="E606" s="110"/>
      <c r="F606" s="110"/>
      <c r="G606" s="110"/>
      <c r="H606" s="110"/>
      <c r="I606" s="11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110"/>
      <c r="Y606" s="3"/>
    </row>
    <row r="607" spans="1:25" ht="12.5">
      <c r="A607" s="3"/>
      <c r="B607" s="3"/>
      <c r="C607" s="3"/>
      <c r="D607" s="110"/>
      <c r="E607" s="110"/>
      <c r="F607" s="110"/>
      <c r="G607" s="110"/>
      <c r="H607" s="110"/>
      <c r="I607" s="11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110"/>
      <c r="Y607" s="3"/>
    </row>
    <row r="608" spans="1:25" ht="12.5">
      <c r="A608" s="3"/>
      <c r="B608" s="3"/>
      <c r="C608" s="3"/>
      <c r="D608" s="110"/>
      <c r="E608" s="110"/>
      <c r="F608" s="110"/>
      <c r="G608" s="110"/>
      <c r="H608" s="110"/>
      <c r="I608" s="11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110"/>
      <c r="Y608" s="3"/>
    </row>
    <row r="609" spans="1:25" ht="12.5">
      <c r="A609" s="3"/>
      <c r="B609" s="3"/>
      <c r="C609" s="3"/>
      <c r="D609" s="110"/>
      <c r="E609" s="110"/>
      <c r="F609" s="110"/>
      <c r="G609" s="110"/>
      <c r="H609" s="110"/>
      <c r="I609" s="11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110"/>
      <c r="Y609" s="3"/>
    </row>
    <row r="610" spans="1:25" ht="12.5">
      <c r="A610" s="3"/>
      <c r="B610" s="3"/>
      <c r="C610" s="3"/>
      <c r="D610" s="110"/>
      <c r="E610" s="110"/>
      <c r="F610" s="110"/>
      <c r="G610" s="110"/>
      <c r="H610" s="110"/>
      <c r="I610" s="1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110"/>
      <c r="Y610" s="3"/>
    </row>
    <row r="611" spans="1:25" ht="12.5">
      <c r="A611" s="3"/>
      <c r="B611" s="3"/>
      <c r="C611" s="3"/>
      <c r="D611" s="110"/>
      <c r="E611" s="110"/>
      <c r="F611" s="110"/>
      <c r="G611" s="110"/>
      <c r="H611" s="110"/>
      <c r="I611" s="1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110"/>
      <c r="Y611" s="3"/>
    </row>
    <row r="612" spans="1:25" ht="12.5">
      <c r="A612" s="3"/>
      <c r="B612" s="3"/>
      <c r="C612" s="3"/>
      <c r="D612" s="110"/>
      <c r="E612" s="110"/>
      <c r="F612" s="110"/>
      <c r="G612" s="110"/>
      <c r="H612" s="110"/>
      <c r="I612" s="1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110"/>
      <c r="Y612" s="3"/>
    </row>
    <row r="613" spans="1:25" ht="12.5">
      <c r="A613" s="3"/>
      <c r="B613" s="3"/>
      <c r="C613" s="3"/>
      <c r="D613" s="110"/>
      <c r="E613" s="110"/>
      <c r="F613" s="110"/>
      <c r="G613" s="110"/>
      <c r="H613" s="110"/>
      <c r="I613" s="1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110"/>
      <c r="Y613" s="3"/>
    </row>
    <row r="614" spans="1:25" ht="12.5">
      <c r="A614" s="3"/>
      <c r="B614" s="3"/>
      <c r="C614" s="3"/>
      <c r="D614" s="110"/>
      <c r="E614" s="110"/>
      <c r="F614" s="110"/>
      <c r="G614" s="110"/>
      <c r="H614" s="110"/>
      <c r="I614" s="1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110"/>
      <c r="Y614" s="3"/>
    </row>
    <row r="615" spans="1:25" ht="12.5">
      <c r="A615" s="3"/>
      <c r="B615" s="3"/>
      <c r="C615" s="3"/>
      <c r="D615" s="110"/>
      <c r="E615" s="110"/>
      <c r="F615" s="110"/>
      <c r="G615" s="110"/>
      <c r="H615" s="110"/>
      <c r="I615" s="1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110"/>
      <c r="Y615" s="3"/>
    </row>
    <row r="616" spans="1:25" ht="12.5">
      <c r="A616" s="3"/>
      <c r="B616" s="3"/>
      <c r="C616" s="3"/>
      <c r="D616" s="110"/>
      <c r="E616" s="110"/>
      <c r="F616" s="110"/>
      <c r="G616" s="110"/>
      <c r="H616" s="110"/>
      <c r="I616" s="1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110"/>
      <c r="Y616" s="3"/>
    </row>
    <row r="617" spans="1:25" ht="12.5">
      <c r="A617" s="3"/>
      <c r="B617" s="3"/>
      <c r="C617" s="3"/>
      <c r="D617" s="110"/>
      <c r="E617" s="110"/>
      <c r="F617" s="110"/>
      <c r="G617" s="110"/>
      <c r="H617" s="110"/>
      <c r="I617" s="1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110"/>
      <c r="Y617" s="3"/>
    </row>
    <row r="618" spans="1:25" ht="12.5">
      <c r="A618" s="3"/>
      <c r="B618" s="3"/>
      <c r="C618" s="3"/>
      <c r="D618" s="110"/>
      <c r="E618" s="110"/>
      <c r="F618" s="110"/>
      <c r="G618" s="110"/>
      <c r="H618" s="110"/>
      <c r="I618" s="1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110"/>
      <c r="Y618" s="3"/>
    </row>
    <row r="619" spans="1:25" ht="12.5">
      <c r="A619" s="3"/>
      <c r="B619" s="3"/>
      <c r="C619" s="3"/>
      <c r="D619" s="110"/>
      <c r="E619" s="110"/>
      <c r="F619" s="110"/>
      <c r="G619" s="110"/>
      <c r="H619" s="110"/>
      <c r="I619" s="1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110"/>
      <c r="Y619" s="3"/>
    </row>
    <row r="620" spans="1:25" ht="12.5">
      <c r="A620" s="3"/>
      <c r="B620" s="3"/>
      <c r="C620" s="3"/>
      <c r="D620" s="110"/>
      <c r="E620" s="110"/>
      <c r="F620" s="110"/>
      <c r="G620" s="110"/>
      <c r="H620" s="110"/>
      <c r="I620" s="1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110"/>
      <c r="Y620" s="3"/>
    </row>
    <row r="621" spans="1:25" ht="12.5">
      <c r="A621" s="3"/>
      <c r="B621" s="3"/>
      <c r="C621" s="3"/>
      <c r="D621" s="110"/>
      <c r="E621" s="110"/>
      <c r="F621" s="110"/>
      <c r="G621" s="110"/>
      <c r="H621" s="110"/>
      <c r="I621" s="1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110"/>
      <c r="Y621" s="3"/>
    </row>
    <row r="622" spans="1:25" ht="12.5">
      <c r="A622" s="3"/>
      <c r="B622" s="3"/>
      <c r="C622" s="3"/>
      <c r="D622" s="110"/>
      <c r="E622" s="110"/>
      <c r="F622" s="110"/>
      <c r="G622" s="110"/>
      <c r="H622" s="110"/>
      <c r="I622" s="1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110"/>
      <c r="Y622" s="3"/>
    </row>
    <row r="623" spans="1:25" ht="12.5">
      <c r="A623" s="3"/>
      <c r="B623" s="3"/>
      <c r="C623" s="3"/>
      <c r="D623" s="110"/>
      <c r="E623" s="110"/>
      <c r="F623" s="110"/>
      <c r="G623" s="110"/>
      <c r="H623" s="110"/>
      <c r="I623" s="1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110"/>
      <c r="Y623" s="3"/>
    </row>
    <row r="624" spans="1:25" ht="12.5">
      <c r="A624" s="3"/>
      <c r="B624" s="3"/>
      <c r="C624" s="3"/>
      <c r="D624" s="110"/>
      <c r="E624" s="110"/>
      <c r="F624" s="110"/>
      <c r="G624" s="110"/>
      <c r="H624" s="110"/>
      <c r="I624" s="1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110"/>
      <c r="Y624" s="3"/>
    </row>
    <row r="625" spans="1:25" ht="12.5">
      <c r="A625" s="3"/>
      <c r="B625" s="3"/>
      <c r="C625" s="3"/>
      <c r="D625" s="110"/>
      <c r="E625" s="110"/>
      <c r="F625" s="110"/>
      <c r="G625" s="110"/>
      <c r="H625" s="110"/>
      <c r="I625" s="1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110"/>
      <c r="Y625" s="3"/>
    </row>
    <row r="626" spans="1:25" ht="12.5">
      <c r="A626" s="3"/>
      <c r="B626" s="3"/>
      <c r="C626" s="3"/>
      <c r="D626" s="110"/>
      <c r="E626" s="110"/>
      <c r="F626" s="110"/>
      <c r="G626" s="110"/>
      <c r="H626" s="110"/>
      <c r="I626" s="1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110"/>
      <c r="Y626" s="3"/>
    </row>
    <row r="627" spans="1:25" ht="12.5">
      <c r="A627" s="3"/>
      <c r="B627" s="3"/>
      <c r="C627" s="3"/>
      <c r="D627" s="110"/>
      <c r="E627" s="110"/>
      <c r="F627" s="110"/>
      <c r="G627" s="110"/>
      <c r="H627" s="110"/>
      <c r="I627" s="1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110"/>
      <c r="Y627" s="3"/>
    </row>
    <row r="628" spans="1:25" ht="12.5">
      <c r="A628" s="3"/>
      <c r="B628" s="3"/>
      <c r="C628" s="3"/>
      <c r="D628" s="110"/>
      <c r="E628" s="110"/>
      <c r="F628" s="110"/>
      <c r="G628" s="110"/>
      <c r="H628" s="110"/>
      <c r="I628" s="11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110"/>
      <c r="Y628" s="3"/>
    </row>
    <row r="629" spans="1:25" ht="12.5">
      <c r="A629" s="3"/>
      <c r="B629" s="3"/>
      <c r="C629" s="3"/>
      <c r="D629" s="110"/>
      <c r="E629" s="110"/>
      <c r="F629" s="110"/>
      <c r="G629" s="110"/>
      <c r="H629" s="110"/>
      <c r="I629" s="1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110"/>
      <c r="Y629" s="3"/>
    </row>
    <row r="630" spans="1:25" ht="12.5">
      <c r="A630" s="3"/>
      <c r="B630" s="3"/>
      <c r="C630" s="3"/>
      <c r="D630" s="110"/>
      <c r="E630" s="110"/>
      <c r="F630" s="110"/>
      <c r="G630" s="110"/>
      <c r="H630" s="110"/>
      <c r="I630" s="1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110"/>
      <c r="Y630" s="3"/>
    </row>
    <row r="631" spans="1:25" ht="12.5">
      <c r="A631" s="3"/>
      <c r="B631" s="3"/>
      <c r="C631" s="3"/>
      <c r="D631" s="110"/>
      <c r="E631" s="110"/>
      <c r="F631" s="110"/>
      <c r="G631" s="110"/>
      <c r="H631" s="110"/>
      <c r="I631" s="11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110"/>
      <c r="Y631" s="3"/>
    </row>
    <row r="632" spans="1:25" ht="12.5">
      <c r="A632" s="3"/>
      <c r="B632" s="3"/>
      <c r="C632" s="3"/>
      <c r="D632" s="110"/>
      <c r="E632" s="110"/>
      <c r="F632" s="110"/>
      <c r="G632" s="110"/>
      <c r="H632" s="110"/>
      <c r="I632" s="11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110"/>
      <c r="Y632" s="3"/>
    </row>
    <row r="633" spans="1:25" ht="12.5">
      <c r="A633" s="3"/>
      <c r="B633" s="3"/>
      <c r="C633" s="3"/>
      <c r="D633" s="110"/>
      <c r="E633" s="110"/>
      <c r="F633" s="110"/>
      <c r="G633" s="110"/>
      <c r="H633" s="110"/>
      <c r="I633" s="11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110"/>
      <c r="Y633" s="3"/>
    </row>
    <row r="634" spans="1:25" ht="12.5">
      <c r="A634" s="3"/>
      <c r="B634" s="3"/>
      <c r="C634" s="3"/>
      <c r="D634" s="110"/>
      <c r="E634" s="110"/>
      <c r="F634" s="110"/>
      <c r="G634" s="110"/>
      <c r="H634" s="110"/>
      <c r="I634" s="11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110"/>
      <c r="Y634" s="3"/>
    </row>
    <row r="635" spans="1:25" ht="12.5">
      <c r="A635" s="3"/>
      <c r="B635" s="3"/>
      <c r="C635" s="3"/>
      <c r="D635" s="110"/>
      <c r="E635" s="110"/>
      <c r="F635" s="110"/>
      <c r="G635" s="110"/>
      <c r="H635" s="110"/>
      <c r="I635" s="11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110"/>
      <c r="Y635" s="3"/>
    </row>
    <row r="636" spans="1:25" ht="12.5">
      <c r="A636" s="3"/>
      <c r="B636" s="3"/>
      <c r="C636" s="3"/>
      <c r="D636" s="110"/>
      <c r="E636" s="110"/>
      <c r="F636" s="110"/>
      <c r="G636" s="110"/>
      <c r="H636" s="110"/>
      <c r="I636" s="11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110"/>
      <c r="Y636" s="3"/>
    </row>
    <row r="637" spans="1:25" ht="12.5">
      <c r="A637" s="3"/>
      <c r="B637" s="3"/>
      <c r="C637" s="3"/>
      <c r="D637" s="110"/>
      <c r="E637" s="110"/>
      <c r="F637" s="110"/>
      <c r="G637" s="110"/>
      <c r="H637" s="110"/>
      <c r="I637" s="11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110"/>
      <c r="Y637" s="3"/>
    </row>
    <row r="638" spans="1:25" ht="12.5">
      <c r="A638" s="3"/>
      <c r="B638" s="3"/>
      <c r="C638" s="3"/>
      <c r="D638" s="110"/>
      <c r="E638" s="110"/>
      <c r="F638" s="110"/>
      <c r="G638" s="110"/>
      <c r="H638" s="110"/>
      <c r="I638" s="11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110"/>
      <c r="Y638" s="3"/>
    </row>
    <row r="639" spans="1:25" ht="12.5">
      <c r="A639" s="3"/>
      <c r="B639" s="3"/>
      <c r="C639" s="3"/>
      <c r="D639" s="110"/>
      <c r="E639" s="110"/>
      <c r="F639" s="110"/>
      <c r="G639" s="110"/>
      <c r="H639" s="110"/>
      <c r="I639" s="11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110"/>
      <c r="Y639" s="3"/>
    </row>
    <row r="640" spans="1:25" ht="12.5">
      <c r="A640" s="3"/>
      <c r="B640" s="3"/>
      <c r="C640" s="3"/>
      <c r="D640" s="110"/>
      <c r="E640" s="110"/>
      <c r="F640" s="110"/>
      <c r="G640" s="110"/>
      <c r="H640" s="110"/>
      <c r="I640" s="11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110"/>
      <c r="Y640" s="3"/>
    </row>
    <row r="641" spans="1:25" ht="12.5">
      <c r="A641" s="3"/>
      <c r="B641" s="3"/>
      <c r="C641" s="3"/>
      <c r="D641" s="110"/>
      <c r="E641" s="110"/>
      <c r="F641" s="110"/>
      <c r="G641" s="110"/>
      <c r="H641" s="110"/>
      <c r="I641" s="11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110"/>
      <c r="Y641" s="3"/>
    </row>
    <row r="642" spans="1:25" ht="12.5">
      <c r="A642" s="3"/>
      <c r="B642" s="3"/>
      <c r="C642" s="3"/>
      <c r="D642" s="110"/>
      <c r="E642" s="110"/>
      <c r="F642" s="110"/>
      <c r="G642" s="110"/>
      <c r="H642" s="110"/>
      <c r="I642" s="11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110"/>
      <c r="Y642" s="3"/>
    </row>
    <row r="643" spans="1:25" ht="12.5">
      <c r="A643" s="3"/>
      <c r="B643" s="3"/>
      <c r="C643" s="3"/>
      <c r="D643" s="110"/>
      <c r="E643" s="110"/>
      <c r="F643" s="110"/>
      <c r="G643" s="110"/>
      <c r="H643" s="110"/>
      <c r="I643" s="11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110"/>
      <c r="Y643" s="3"/>
    </row>
    <row r="644" spans="1:25" ht="12.5">
      <c r="A644" s="3"/>
      <c r="B644" s="3"/>
      <c r="C644" s="3"/>
      <c r="D644" s="110"/>
      <c r="E644" s="110"/>
      <c r="F644" s="110"/>
      <c r="G644" s="110"/>
      <c r="H644" s="110"/>
      <c r="I644" s="11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110"/>
      <c r="Y644" s="3"/>
    </row>
    <row r="645" spans="1:25" ht="12.5">
      <c r="A645" s="3"/>
      <c r="B645" s="3"/>
      <c r="C645" s="3"/>
      <c r="D645" s="110"/>
      <c r="E645" s="110"/>
      <c r="F645" s="110"/>
      <c r="G645" s="110"/>
      <c r="H645" s="110"/>
      <c r="I645" s="11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110"/>
      <c r="Y645" s="3"/>
    </row>
    <row r="646" spans="1:25" ht="12.5">
      <c r="A646" s="3"/>
      <c r="B646" s="3"/>
      <c r="C646" s="3"/>
      <c r="D646" s="110"/>
      <c r="E646" s="110"/>
      <c r="F646" s="110"/>
      <c r="G646" s="110"/>
      <c r="H646" s="110"/>
      <c r="I646" s="11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110"/>
      <c r="Y646" s="3"/>
    </row>
    <row r="647" spans="1:25" ht="12.5">
      <c r="A647" s="3"/>
      <c r="B647" s="3"/>
      <c r="C647" s="3"/>
      <c r="D647" s="110"/>
      <c r="E647" s="110"/>
      <c r="F647" s="110"/>
      <c r="G647" s="110"/>
      <c r="H647" s="110"/>
      <c r="I647" s="11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110"/>
      <c r="Y647" s="3"/>
    </row>
    <row r="648" spans="1:25" ht="12.5">
      <c r="A648" s="3"/>
      <c r="B648" s="3"/>
      <c r="C648" s="3"/>
      <c r="D648" s="110"/>
      <c r="E648" s="110"/>
      <c r="F648" s="110"/>
      <c r="G648" s="110"/>
      <c r="H648" s="110"/>
      <c r="I648" s="11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110"/>
      <c r="Y648" s="3"/>
    </row>
    <row r="649" spans="1:25" ht="12.5">
      <c r="A649" s="3"/>
      <c r="B649" s="3"/>
      <c r="C649" s="3"/>
      <c r="D649" s="110"/>
      <c r="E649" s="110"/>
      <c r="F649" s="110"/>
      <c r="G649" s="110"/>
      <c r="H649" s="110"/>
      <c r="I649" s="11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110"/>
      <c r="Y649" s="3"/>
    </row>
    <row r="650" spans="1:25" ht="12.5">
      <c r="A650" s="3"/>
      <c r="B650" s="3"/>
      <c r="C650" s="3"/>
      <c r="D650" s="110"/>
      <c r="E650" s="110"/>
      <c r="F650" s="110"/>
      <c r="G650" s="110"/>
      <c r="H650" s="110"/>
      <c r="I650" s="11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110"/>
      <c r="Y650" s="3"/>
    </row>
    <row r="651" spans="1:25" ht="12.5">
      <c r="A651" s="3"/>
      <c r="B651" s="3"/>
      <c r="C651" s="3"/>
      <c r="D651" s="110"/>
      <c r="E651" s="110"/>
      <c r="F651" s="110"/>
      <c r="G651" s="110"/>
      <c r="H651" s="110"/>
      <c r="I651" s="11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110"/>
      <c r="Y651" s="3"/>
    </row>
    <row r="652" spans="1:25" ht="12.5">
      <c r="A652" s="3"/>
      <c r="B652" s="3"/>
      <c r="C652" s="3"/>
      <c r="D652" s="110"/>
      <c r="E652" s="110"/>
      <c r="F652" s="110"/>
      <c r="G652" s="110"/>
      <c r="H652" s="110"/>
      <c r="I652" s="11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110"/>
      <c r="Y652" s="3"/>
    </row>
    <row r="653" spans="1:25" ht="12.5">
      <c r="A653" s="3"/>
      <c r="B653" s="3"/>
      <c r="C653" s="3"/>
      <c r="D653" s="110"/>
      <c r="E653" s="110"/>
      <c r="F653" s="110"/>
      <c r="G653" s="110"/>
      <c r="H653" s="110"/>
      <c r="I653" s="11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110"/>
      <c r="Y653" s="3"/>
    </row>
    <row r="654" spans="1:25" ht="12.5">
      <c r="A654" s="3"/>
      <c r="B654" s="3"/>
      <c r="C654" s="3"/>
      <c r="D654" s="110"/>
      <c r="E654" s="110"/>
      <c r="F654" s="110"/>
      <c r="G654" s="110"/>
      <c r="H654" s="110"/>
      <c r="I654" s="11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110"/>
      <c r="Y654" s="3"/>
    </row>
    <row r="655" spans="1:25" ht="12.5">
      <c r="A655" s="3"/>
      <c r="B655" s="3"/>
      <c r="C655" s="3"/>
      <c r="D655" s="110"/>
      <c r="E655" s="110"/>
      <c r="F655" s="110"/>
      <c r="G655" s="110"/>
      <c r="H655" s="110"/>
      <c r="I655" s="11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110"/>
      <c r="Y655" s="3"/>
    </row>
    <row r="656" spans="1:25" ht="12.5">
      <c r="A656" s="3"/>
      <c r="B656" s="3"/>
      <c r="C656" s="3"/>
      <c r="D656" s="110"/>
      <c r="E656" s="110"/>
      <c r="F656" s="110"/>
      <c r="G656" s="110"/>
      <c r="H656" s="110"/>
      <c r="I656" s="11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110"/>
      <c r="Y656" s="3"/>
    </row>
    <row r="657" spans="1:25" ht="12.5">
      <c r="A657" s="3"/>
      <c r="B657" s="3"/>
      <c r="C657" s="3"/>
      <c r="D657" s="110"/>
      <c r="E657" s="110"/>
      <c r="F657" s="110"/>
      <c r="G657" s="110"/>
      <c r="H657" s="110"/>
      <c r="I657" s="11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110"/>
      <c r="Y657" s="3"/>
    </row>
    <row r="658" spans="1:25" ht="12.5">
      <c r="A658" s="3"/>
      <c r="B658" s="3"/>
      <c r="C658" s="3"/>
      <c r="D658" s="110"/>
      <c r="E658" s="110"/>
      <c r="F658" s="110"/>
      <c r="G658" s="110"/>
      <c r="H658" s="110"/>
      <c r="I658" s="11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110"/>
      <c r="Y658" s="3"/>
    </row>
    <row r="659" spans="1:25" ht="12.5">
      <c r="A659" s="3"/>
      <c r="B659" s="3"/>
      <c r="C659" s="3"/>
      <c r="D659" s="110"/>
      <c r="E659" s="110"/>
      <c r="F659" s="110"/>
      <c r="G659" s="110"/>
      <c r="H659" s="110"/>
      <c r="I659" s="11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110"/>
      <c r="Y659" s="3"/>
    </row>
    <row r="660" spans="1:25" ht="12.5">
      <c r="A660" s="3"/>
      <c r="B660" s="3"/>
      <c r="C660" s="3"/>
      <c r="D660" s="110"/>
      <c r="E660" s="110"/>
      <c r="F660" s="110"/>
      <c r="G660" s="110"/>
      <c r="H660" s="110"/>
      <c r="I660" s="11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110"/>
      <c r="Y660" s="3"/>
    </row>
    <row r="661" spans="1:25" ht="12.5">
      <c r="A661" s="3"/>
      <c r="B661" s="3"/>
      <c r="C661" s="3"/>
      <c r="D661" s="110"/>
      <c r="E661" s="110"/>
      <c r="F661" s="110"/>
      <c r="G661" s="110"/>
      <c r="H661" s="110"/>
      <c r="I661" s="11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110"/>
      <c r="Y661" s="3"/>
    </row>
    <row r="662" spans="1:25" ht="12.5">
      <c r="A662" s="3"/>
      <c r="B662" s="3"/>
      <c r="C662" s="3"/>
      <c r="D662" s="110"/>
      <c r="E662" s="110"/>
      <c r="F662" s="110"/>
      <c r="G662" s="110"/>
      <c r="H662" s="110"/>
      <c r="I662" s="11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110"/>
      <c r="Y662" s="3"/>
    </row>
    <row r="663" spans="1:25" ht="12.5">
      <c r="A663" s="3"/>
      <c r="B663" s="3"/>
      <c r="C663" s="3"/>
      <c r="D663" s="110"/>
      <c r="E663" s="110"/>
      <c r="F663" s="110"/>
      <c r="G663" s="110"/>
      <c r="H663" s="110"/>
      <c r="I663" s="11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110"/>
      <c r="Y663" s="3"/>
    </row>
    <row r="664" spans="1:25" ht="12.5">
      <c r="A664" s="3"/>
      <c r="B664" s="3"/>
      <c r="C664" s="3"/>
      <c r="D664" s="110"/>
      <c r="E664" s="110"/>
      <c r="F664" s="110"/>
      <c r="G664" s="110"/>
      <c r="H664" s="110"/>
      <c r="I664" s="11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110"/>
      <c r="Y664" s="3"/>
    </row>
    <row r="665" spans="1:25" ht="12.5">
      <c r="A665" s="3"/>
      <c r="B665" s="3"/>
      <c r="C665" s="3"/>
      <c r="D665" s="110"/>
      <c r="E665" s="110"/>
      <c r="F665" s="110"/>
      <c r="G665" s="110"/>
      <c r="H665" s="110"/>
      <c r="I665" s="11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110"/>
      <c r="Y665" s="3"/>
    </row>
    <row r="666" spans="1:25" ht="12.5">
      <c r="A666" s="3"/>
      <c r="B666" s="3"/>
      <c r="C666" s="3"/>
      <c r="D666" s="110"/>
      <c r="E666" s="110"/>
      <c r="F666" s="110"/>
      <c r="G666" s="110"/>
      <c r="H666" s="110"/>
      <c r="I666" s="11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110"/>
      <c r="Y666" s="3"/>
    </row>
    <row r="667" spans="1:25" ht="12.5">
      <c r="A667" s="3"/>
      <c r="B667" s="3"/>
      <c r="C667" s="3"/>
      <c r="D667" s="110"/>
      <c r="E667" s="110"/>
      <c r="F667" s="110"/>
      <c r="G667" s="110"/>
      <c r="H667" s="110"/>
      <c r="I667" s="11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110"/>
      <c r="Y667" s="3"/>
    </row>
    <row r="668" spans="1:25" ht="12.5">
      <c r="A668" s="3"/>
      <c r="B668" s="3"/>
      <c r="C668" s="3"/>
      <c r="D668" s="110"/>
      <c r="E668" s="110"/>
      <c r="F668" s="110"/>
      <c r="G668" s="110"/>
      <c r="H668" s="110"/>
      <c r="I668" s="11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110"/>
      <c r="Y668" s="3"/>
    </row>
    <row r="669" spans="1:25" ht="12.5">
      <c r="A669" s="3"/>
      <c r="B669" s="3"/>
      <c r="C669" s="3"/>
      <c r="D669" s="110"/>
      <c r="E669" s="110"/>
      <c r="F669" s="110"/>
      <c r="G669" s="110"/>
      <c r="H669" s="110"/>
      <c r="I669" s="11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110"/>
      <c r="Y669" s="3"/>
    </row>
    <row r="670" spans="1:25" ht="12.5">
      <c r="A670" s="3"/>
      <c r="B670" s="3"/>
      <c r="C670" s="3"/>
      <c r="D670" s="110"/>
      <c r="E670" s="110"/>
      <c r="F670" s="110"/>
      <c r="G670" s="110"/>
      <c r="H670" s="110"/>
      <c r="I670" s="11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110"/>
      <c r="Y670" s="3"/>
    </row>
    <row r="671" spans="1:25" ht="12.5">
      <c r="A671" s="3"/>
      <c r="B671" s="3"/>
      <c r="C671" s="3"/>
      <c r="D671" s="110"/>
      <c r="E671" s="110"/>
      <c r="F671" s="110"/>
      <c r="G671" s="110"/>
      <c r="H671" s="110"/>
      <c r="I671" s="11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110"/>
      <c r="Y671" s="3"/>
    </row>
    <row r="672" spans="1:25" ht="12.5">
      <c r="A672" s="3"/>
      <c r="B672" s="3"/>
      <c r="C672" s="3"/>
      <c r="D672" s="110"/>
      <c r="E672" s="110"/>
      <c r="F672" s="110"/>
      <c r="G672" s="110"/>
      <c r="H672" s="110"/>
      <c r="I672" s="11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110"/>
      <c r="Y672" s="3"/>
    </row>
    <row r="673" spans="1:25" ht="12.5">
      <c r="A673" s="3"/>
      <c r="B673" s="3"/>
      <c r="C673" s="3"/>
      <c r="D673" s="110"/>
      <c r="E673" s="110"/>
      <c r="F673" s="110"/>
      <c r="G673" s="110"/>
      <c r="H673" s="110"/>
      <c r="I673" s="11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110"/>
      <c r="Y673" s="3"/>
    </row>
    <row r="674" spans="1:25" ht="12.5">
      <c r="A674" s="3"/>
      <c r="B674" s="3"/>
      <c r="C674" s="3"/>
      <c r="D674" s="110"/>
      <c r="E674" s="110"/>
      <c r="F674" s="110"/>
      <c r="G674" s="110"/>
      <c r="H674" s="110"/>
      <c r="I674" s="11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110"/>
      <c r="Y674" s="3"/>
    </row>
    <row r="675" spans="1:25" ht="12.5">
      <c r="A675" s="3"/>
      <c r="B675" s="3"/>
      <c r="C675" s="3"/>
      <c r="D675" s="110"/>
      <c r="E675" s="110"/>
      <c r="F675" s="110"/>
      <c r="G675" s="110"/>
      <c r="H675" s="110"/>
      <c r="I675" s="11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110"/>
      <c r="Y675" s="3"/>
    </row>
    <row r="676" spans="1:25" ht="12.5">
      <c r="A676" s="3"/>
      <c r="B676" s="3"/>
      <c r="C676" s="3"/>
      <c r="D676" s="110"/>
      <c r="E676" s="110"/>
      <c r="F676" s="110"/>
      <c r="G676" s="110"/>
      <c r="H676" s="110"/>
      <c r="I676" s="11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110"/>
      <c r="Y676" s="3"/>
    </row>
    <row r="677" spans="1:25" ht="12.5">
      <c r="A677" s="3"/>
      <c r="B677" s="3"/>
      <c r="C677" s="3"/>
      <c r="D677" s="110"/>
      <c r="E677" s="110"/>
      <c r="F677" s="110"/>
      <c r="G677" s="110"/>
      <c r="H677" s="110"/>
      <c r="I677" s="11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110"/>
      <c r="Y677" s="3"/>
    </row>
    <row r="678" spans="1:25" ht="12.5">
      <c r="A678" s="3"/>
      <c r="B678" s="3"/>
      <c r="C678" s="3"/>
      <c r="D678" s="110"/>
      <c r="E678" s="110"/>
      <c r="F678" s="110"/>
      <c r="G678" s="110"/>
      <c r="H678" s="110"/>
      <c r="I678" s="11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110"/>
      <c r="Y678" s="3"/>
    </row>
    <row r="679" spans="1:25" ht="12.5">
      <c r="A679" s="3"/>
      <c r="B679" s="3"/>
      <c r="C679" s="3"/>
      <c r="D679" s="110"/>
      <c r="E679" s="110"/>
      <c r="F679" s="110"/>
      <c r="G679" s="110"/>
      <c r="H679" s="110"/>
      <c r="I679" s="11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110"/>
      <c r="Y679" s="3"/>
    </row>
    <row r="680" spans="1:25" ht="12.5">
      <c r="A680" s="3"/>
      <c r="B680" s="3"/>
      <c r="C680" s="3"/>
      <c r="D680" s="110"/>
      <c r="E680" s="110"/>
      <c r="F680" s="110"/>
      <c r="G680" s="110"/>
      <c r="H680" s="110"/>
      <c r="I680" s="11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110"/>
      <c r="Y680" s="3"/>
    </row>
    <row r="681" spans="1:25" ht="12.5">
      <c r="A681" s="3"/>
      <c r="B681" s="3"/>
      <c r="C681" s="3"/>
      <c r="D681" s="110"/>
      <c r="E681" s="110"/>
      <c r="F681" s="110"/>
      <c r="G681" s="110"/>
      <c r="H681" s="110"/>
      <c r="I681" s="11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110"/>
      <c r="Y681" s="3"/>
    </row>
    <row r="682" spans="1:25" ht="12.5">
      <c r="A682" s="3"/>
      <c r="B682" s="3"/>
      <c r="C682" s="3"/>
      <c r="D682" s="110"/>
      <c r="E682" s="110"/>
      <c r="F682" s="110"/>
      <c r="G682" s="110"/>
      <c r="H682" s="110"/>
      <c r="I682" s="11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110"/>
      <c r="Y682" s="3"/>
    </row>
    <row r="683" spans="1:25" ht="12.5">
      <c r="A683" s="3"/>
      <c r="B683" s="3"/>
      <c r="C683" s="3"/>
      <c r="D683" s="110"/>
      <c r="E683" s="110"/>
      <c r="F683" s="110"/>
      <c r="G683" s="110"/>
      <c r="H683" s="110"/>
      <c r="I683" s="11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110"/>
      <c r="Y683" s="3"/>
    </row>
    <row r="684" spans="1:25" ht="12.5">
      <c r="A684" s="3"/>
      <c r="B684" s="3"/>
      <c r="C684" s="3"/>
      <c r="D684" s="110"/>
      <c r="E684" s="110"/>
      <c r="F684" s="110"/>
      <c r="G684" s="110"/>
      <c r="H684" s="110"/>
      <c r="I684" s="11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110"/>
      <c r="Y684" s="3"/>
    </row>
    <row r="685" spans="1:25" ht="12.5">
      <c r="A685" s="3"/>
      <c r="B685" s="3"/>
      <c r="C685" s="3"/>
      <c r="D685" s="110"/>
      <c r="E685" s="110"/>
      <c r="F685" s="110"/>
      <c r="G685" s="110"/>
      <c r="H685" s="110"/>
      <c r="I685" s="11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110"/>
      <c r="Y685" s="3"/>
    </row>
    <row r="686" spans="1:25" ht="12.5">
      <c r="A686" s="3"/>
      <c r="B686" s="3"/>
      <c r="C686" s="3"/>
      <c r="D686" s="110"/>
      <c r="E686" s="110"/>
      <c r="F686" s="110"/>
      <c r="G686" s="110"/>
      <c r="H686" s="110"/>
      <c r="I686" s="11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110"/>
      <c r="Y686" s="3"/>
    </row>
    <row r="687" spans="1:25" ht="12.5">
      <c r="A687" s="3"/>
      <c r="B687" s="3"/>
      <c r="C687" s="3"/>
      <c r="D687" s="110"/>
      <c r="E687" s="110"/>
      <c r="F687" s="110"/>
      <c r="G687" s="110"/>
      <c r="H687" s="110"/>
      <c r="I687" s="11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110"/>
      <c r="Y687" s="3"/>
    </row>
    <row r="688" spans="1:25" ht="12.5">
      <c r="A688" s="3"/>
      <c r="B688" s="3"/>
      <c r="C688" s="3"/>
      <c r="D688" s="110"/>
      <c r="E688" s="110"/>
      <c r="F688" s="110"/>
      <c r="G688" s="110"/>
      <c r="H688" s="110"/>
      <c r="I688" s="11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110"/>
      <c r="Y688" s="3"/>
    </row>
    <row r="689" spans="1:25" ht="12.5">
      <c r="A689" s="3"/>
      <c r="B689" s="3"/>
      <c r="C689" s="3"/>
      <c r="D689" s="110"/>
      <c r="E689" s="110"/>
      <c r="F689" s="110"/>
      <c r="G689" s="110"/>
      <c r="H689" s="110"/>
      <c r="I689" s="11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110"/>
      <c r="Y689" s="3"/>
    </row>
    <row r="690" spans="1:25" ht="12.5">
      <c r="A690" s="3"/>
      <c r="B690" s="3"/>
      <c r="C690" s="3"/>
      <c r="D690" s="110"/>
      <c r="E690" s="110"/>
      <c r="F690" s="110"/>
      <c r="G690" s="110"/>
      <c r="H690" s="110"/>
      <c r="I690" s="11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110"/>
      <c r="Y690" s="3"/>
    </row>
    <row r="691" spans="1:25" ht="12.5">
      <c r="A691" s="3"/>
      <c r="B691" s="3"/>
      <c r="C691" s="3"/>
      <c r="D691" s="110"/>
      <c r="E691" s="110"/>
      <c r="F691" s="110"/>
      <c r="G691" s="110"/>
      <c r="H691" s="110"/>
      <c r="I691" s="11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110"/>
      <c r="Y691" s="3"/>
    </row>
    <row r="692" spans="1:25" ht="12.5">
      <c r="A692" s="3"/>
      <c r="B692" s="3"/>
      <c r="C692" s="3"/>
      <c r="D692" s="110"/>
      <c r="E692" s="110"/>
      <c r="F692" s="110"/>
      <c r="G692" s="110"/>
      <c r="H692" s="110"/>
      <c r="I692" s="11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110"/>
      <c r="Y692" s="3"/>
    </row>
    <row r="693" spans="1:25" ht="12.5">
      <c r="A693" s="3"/>
      <c r="B693" s="3"/>
      <c r="C693" s="3"/>
      <c r="D693" s="110"/>
      <c r="E693" s="110"/>
      <c r="F693" s="110"/>
      <c r="G693" s="110"/>
      <c r="H693" s="110"/>
      <c r="I693" s="11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110"/>
      <c r="Y693" s="3"/>
    </row>
    <row r="694" spans="1:25" ht="12.5">
      <c r="A694" s="3"/>
      <c r="B694" s="3"/>
      <c r="C694" s="3"/>
      <c r="D694" s="110"/>
      <c r="E694" s="110"/>
      <c r="F694" s="110"/>
      <c r="G694" s="110"/>
      <c r="H694" s="110"/>
      <c r="I694" s="11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110"/>
      <c r="Y694" s="3"/>
    </row>
    <row r="695" spans="1:25" ht="12.5">
      <c r="A695" s="3"/>
      <c r="B695" s="3"/>
      <c r="C695" s="3"/>
      <c r="D695" s="110"/>
      <c r="E695" s="110"/>
      <c r="F695" s="110"/>
      <c r="G695" s="110"/>
      <c r="H695" s="110"/>
      <c r="I695" s="11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110"/>
      <c r="Y695" s="3"/>
    </row>
    <row r="696" spans="1:25" ht="12.5">
      <c r="A696" s="3"/>
      <c r="B696" s="3"/>
      <c r="C696" s="3"/>
      <c r="D696" s="110"/>
      <c r="E696" s="110"/>
      <c r="F696" s="110"/>
      <c r="G696" s="110"/>
      <c r="H696" s="110"/>
      <c r="I696" s="11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110"/>
      <c r="Y696" s="3"/>
    </row>
    <row r="697" spans="1:25" ht="12.5">
      <c r="A697" s="3"/>
      <c r="B697" s="3"/>
      <c r="C697" s="3"/>
      <c r="D697" s="110"/>
      <c r="E697" s="110"/>
      <c r="F697" s="110"/>
      <c r="G697" s="110"/>
      <c r="H697" s="110"/>
      <c r="I697" s="11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110"/>
      <c r="Y697" s="3"/>
    </row>
    <row r="698" spans="1:25" ht="12.5">
      <c r="A698" s="3"/>
      <c r="B698" s="3"/>
      <c r="C698" s="3"/>
      <c r="D698" s="110"/>
      <c r="E698" s="110"/>
      <c r="F698" s="110"/>
      <c r="G698" s="110"/>
      <c r="H698" s="110"/>
      <c r="I698" s="11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110"/>
      <c r="Y698" s="3"/>
    </row>
    <row r="699" spans="1:25" ht="12.5">
      <c r="A699" s="3"/>
      <c r="B699" s="3"/>
      <c r="C699" s="3"/>
      <c r="D699" s="110"/>
      <c r="E699" s="110"/>
      <c r="F699" s="110"/>
      <c r="G699" s="110"/>
      <c r="H699" s="110"/>
      <c r="I699" s="11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110"/>
      <c r="Y699" s="3"/>
    </row>
    <row r="700" spans="1:25" ht="12.5">
      <c r="A700" s="3"/>
      <c r="B700" s="3"/>
      <c r="C700" s="3"/>
      <c r="D700" s="110"/>
      <c r="E700" s="110"/>
      <c r="F700" s="110"/>
      <c r="G700" s="110"/>
      <c r="H700" s="110"/>
      <c r="I700" s="11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110"/>
      <c r="Y700" s="3"/>
    </row>
    <row r="701" spans="1:25" ht="12.5">
      <c r="A701" s="3"/>
      <c r="B701" s="3"/>
      <c r="C701" s="3"/>
      <c r="D701" s="110"/>
      <c r="E701" s="110"/>
      <c r="F701" s="110"/>
      <c r="G701" s="110"/>
      <c r="H701" s="110"/>
      <c r="I701" s="11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110"/>
      <c r="Y701" s="3"/>
    </row>
    <row r="702" spans="1:25" ht="12.5">
      <c r="A702" s="3"/>
      <c r="B702" s="3"/>
      <c r="C702" s="3"/>
      <c r="D702" s="110"/>
      <c r="E702" s="110"/>
      <c r="F702" s="110"/>
      <c r="G702" s="110"/>
      <c r="H702" s="110"/>
      <c r="I702" s="11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110"/>
      <c r="Y702" s="3"/>
    </row>
    <row r="703" spans="1:25" ht="12.5">
      <c r="A703" s="3"/>
      <c r="B703" s="3"/>
      <c r="C703" s="3"/>
      <c r="D703" s="110"/>
      <c r="E703" s="110"/>
      <c r="F703" s="110"/>
      <c r="G703" s="110"/>
      <c r="H703" s="110"/>
      <c r="I703" s="11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110"/>
      <c r="Y703" s="3"/>
    </row>
    <row r="704" spans="1:25" ht="12.5">
      <c r="A704" s="3"/>
      <c r="B704" s="3"/>
      <c r="C704" s="3"/>
      <c r="D704" s="110"/>
      <c r="E704" s="110"/>
      <c r="F704" s="110"/>
      <c r="G704" s="110"/>
      <c r="H704" s="110"/>
      <c r="I704" s="11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110"/>
      <c r="Y704" s="3"/>
    </row>
    <row r="705" spans="1:25" ht="12.5">
      <c r="A705" s="3"/>
      <c r="B705" s="3"/>
      <c r="C705" s="3"/>
      <c r="D705" s="110"/>
      <c r="E705" s="110"/>
      <c r="F705" s="110"/>
      <c r="G705" s="110"/>
      <c r="H705" s="110"/>
      <c r="I705" s="11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110"/>
      <c r="Y705" s="3"/>
    </row>
    <row r="706" spans="1:25" ht="12.5">
      <c r="A706" s="3"/>
      <c r="B706" s="3"/>
      <c r="C706" s="3"/>
      <c r="D706" s="110"/>
      <c r="E706" s="110"/>
      <c r="F706" s="110"/>
      <c r="G706" s="110"/>
      <c r="H706" s="110"/>
      <c r="I706" s="11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110"/>
      <c r="Y706" s="3"/>
    </row>
    <row r="707" spans="1:25" ht="12.5">
      <c r="A707" s="3"/>
      <c r="B707" s="3"/>
      <c r="C707" s="3"/>
      <c r="D707" s="110"/>
      <c r="E707" s="110"/>
      <c r="F707" s="110"/>
      <c r="G707" s="110"/>
      <c r="H707" s="110"/>
      <c r="I707" s="11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110"/>
      <c r="Y707" s="3"/>
    </row>
    <row r="708" spans="1:25" ht="12.5">
      <c r="A708" s="3"/>
      <c r="B708" s="3"/>
      <c r="C708" s="3"/>
      <c r="D708" s="110"/>
      <c r="E708" s="110"/>
      <c r="F708" s="110"/>
      <c r="G708" s="110"/>
      <c r="H708" s="110"/>
      <c r="I708" s="11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110"/>
      <c r="Y708" s="3"/>
    </row>
    <row r="709" spans="1:25" ht="12.5">
      <c r="A709" s="3"/>
      <c r="B709" s="3"/>
      <c r="C709" s="3"/>
      <c r="D709" s="110"/>
      <c r="E709" s="110"/>
      <c r="F709" s="110"/>
      <c r="G709" s="110"/>
      <c r="H709" s="110"/>
      <c r="I709" s="11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110"/>
      <c r="Y709" s="3"/>
    </row>
    <row r="710" spans="1:25" ht="12.5">
      <c r="A710" s="3"/>
      <c r="B710" s="3"/>
      <c r="C710" s="3"/>
      <c r="D710" s="110"/>
      <c r="E710" s="110"/>
      <c r="F710" s="110"/>
      <c r="G710" s="110"/>
      <c r="H710" s="110"/>
      <c r="I710" s="11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110"/>
      <c r="Y710" s="3"/>
    </row>
    <row r="711" spans="1:25" ht="12.5">
      <c r="A711" s="3"/>
      <c r="B711" s="3"/>
      <c r="C711" s="3"/>
      <c r="D711" s="110"/>
      <c r="E711" s="110"/>
      <c r="F711" s="110"/>
      <c r="G711" s="110"/>
      <c r="H711" s="110"/>
      <c r="I711" s="11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110"/>
      <c r="Y711" s="3"/>
    </row>
    <row r="712" spans="1:25" ht="12.5">
      <c r="A712" s="3"/>
      <c r="B712" s="3"/>
      <c r="C712" s="3"/>
      <c r="D712" s="110"/>
      <c r="E712" s="110"/>
      <c r="F712" s="110"/>
      <c r="G712" s="110"/>
      <c r="H712" s="110"/>
      <c r="I712" s="11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110"/>
      <c r="Y712" s="3"/>
    </row>
    <row r="713" spans="1:25" ht="12.5">
      <c r="A713" s="3"/>
      <c r="B713" s="3"/>
      <c r="C713" s="3"/>
      <c r="D713" s="110"/>
      <c r="E713" s="110"/>
      <c r="F713" s="110"/>
      <c r="G713" s="110"/>
      <c r="H713" s="110"/>
      <c r="I713" s="11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110"/>
      <c r="Y713" s="3"/>
    </row>
    <row r="714" spans="1:25" ht="12.5">
      <c r="A714" s="3"/>
      <c r="B714" s="3"/>
      <c r="C714" s="3"/>
      <c r="D714" s="110"/>
      <c r="E714" s="110"/>
      <c r="F714" s="110"/>
      <c r="G714" s="110"/>
      <c r="H714" s="110"/>
      <c r="I714" s="11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110"/>
      <c r="Y714" s="3"/>
    </row>
    <row r="715" spans="1:25" ht="12.5">
      <c r="A715" s="3"/>
      <c r="B715" s="3"/>
      <c r="C715" s="3"/>
      <c r="D715" s="110"/>
      <c r="E715" s="110"/>
      <c r="F715" s="110"/>
      <c r="G715" s="110"/>
      <c r="H715" s="110"/>
      <c r="I715" s="11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110"/>
      <c r="Y715" s="3"/>
    </row>
    <row r="716" spans="1:25" ht="12.5">
      <c r="A716" s="3"/>
      <c r="B716" s="3"/>
      <c r="C716" s="3"/>
      <c r="D716" s="110"/>
      <c r="E716" s="110"/>
      <c r="F716" s="110"/>
      <c r="G716" s="110"/>
      <c r="H716" s="110"/>
      <c r="I716" s="11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110"/>
      <c r="Y716" s="3"/>
    </row>
    <row r="717" spans="1:25" ht="12.5">
      <c r="A717" s="3"/>
      <c r="B717" s="3"/>
      <c r="C717" s="3"/>
      <c r="D717" s="110"/>
      <c r="E717" s="110"/>
      <c r="F717" s="110"/>
      <c r="G717" s="110"/>
      <c r="H717" s="110"/>
      <c r="I717" s="11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110"/>
      <c r="Y717" s="3"/>
    </row>
    <row r="718" spans="1:25" ht="12.5">
      <c r="A718" s="3"/>
      <c r="B718" s="3"/>
      <c r="C718" s="3"/>
      <c r="D718" s="110"/>
      <c r="E718" s="110"/>
      <c r="F718" s="110"/>
      <c r="G718" s="110"/>
      <c r="H718" s="110"/>
      <c r="I718" s="11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110"/>
      <c r="Y718" s="3"/>
    </row>
    <row r="719" spans="1:25" ht="12.5">
      <c r="A719" s="3"/>
      <c r="B719" s="3"/>
      <c r="C719" s="3"/>
      <c r="D719" s="110"/>
      <c r="E719" s="110"/>
      <c r="F719" s="110"/>
      <c r="G719" s="110"/>
      <c r="H719" s="110"/>
      <c r="I719" s="11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110"/>
      <c r="Y719" s="3"/>
    </row>
    <row r="720" spans="1:25" ht="12.5">
      <c r="A720" s="3"/>
      <c r="B720" s="3"/>
      <c r="C720" s="3"/>
      <c r="D720" s="110"/>
      <c r="E720" s="110"/>
      <c r="F720" s="110"/>
      <c r="G720" s="110"/>
      <c r="H720" s="110"/>
      <c r="I720" s="11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110"/>
      <c r="Y720" s="3"/>
    </row>
    <row r="721" spans="1:25" ht="12.5">
      <c r="A721" s="3"/>
      <c r="B721" s="3"/>
      <c r="C721" s="3"/>
      <c r="D721" s="110"/>
      <c r="E721" s="110"/>
      <c r="F721" s="110"/>
      <c r="G721" s="110"/>
      <c r="H721" s="110"/>
      <c r="I721" s="11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110"/>
      <c r="Y721" s="3"/>
    </row>
    <row r="722" spans="1:25" ht="12.5">
      <c r="A722" s="3"/>
      <c r="B722" s="3"/>
      <c r="C722" s="3"/>
      <c r="D722" s="110"/>
      <c r="E722" s="110"/>
      <c r="F722" s="110"/>
      <c r="G722" s="110"/>
      <c r="H722" s="110"/>
      <c r="I722" s="11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110"/>
      <c r="Y722" s="3"/>
    </row>
    <row r="723" spans="1:25" ht="12.5">
      <c r="A723" s="3"/>
      <c r="B723" s="3"/>
      <c r="C723" s="3"/>
      <c r="D723" s="110"/>
      <c r="E723" s="110"/>
      <c r="F723" s="110"/>
      <c r="G723" s="110"/>
      <c r="H723" s="110"/>
      <c r="I723" s="11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110"/>
      <c r="Y723" s="3"/>
    </row>
    <row r="724" spans="1:25" ht="12.5">
      <c r="A724" s="3"/>
      <c r="B724" s="3"/>
      <c r="C724" s="3"/>
      <c r="D724" s="110"/>
      <c r="E724" s="110"/>
      <c r="F724" s="110"/>
      <c r="G724" s="110"/>
      <c r="H724" s="110"/>
      <c r="I724" s="11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110"/>
      <c r="Y724" s="3"/>
    </row>
    <row r="725" spans="1:25" ht="12.5">
      <c r="A725" s="3"/>
      <c r="B725" s="3"/>
      <c r="C725" s="3"/>
      <c r="D725" s="110"/>
      <c r="E725" s="110"/>
      <c r="F725" s="110"/>
      <c r="G725" s="110"/>
      <c r="H725" s="110"/>
      <c r="I725" s="11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110"/>
      <c r="Y725" s="3"/>
    </row>
    <row r="726" spans="1:25" ht="12.5">
      <c r="A726" s="3"/>
      <c r="B726" s="3"/>
      <c r="C726" s="3"/>
      <c r="D726" s="110"/>
      <c r="E726" s="110"/>
      <c r="F726" s="110"/>
      <c r="G726" s="110"/>
      <c r="H726" s="110"/>
      <c r="I726" s="11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110"/>
      <c r="Y726" s="3"/>
    </row>
    <row r="727" spans="1:25" ht="12.5">
      <c r="A727" s="3"/>
      <c r="B727" s="3"/>
      <c r="C727" s="3"/>
      <c r="D727" s="110"/>
      <c r="E727" s="110"/>
      <c r="F727" s="110"/>
      <c r="G727" s="110"/>
      <c r="H727" s="110"/>
      <c r="I727" s="11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110"/>
      <c r="Y727" s="3"/>
    </row>
    <row r="728" spans="1:25" ht="12.5">
      <c r="A728" s="3"/>
      <c r="B728" s="3"/>
      <c r="C728" s="3"/>
      <c r="D728" s="110"/>
      <c r="E728" s="110"/>
      <c r="F728" s="110"/>
      <c r="G728" s="110"/>
      <c r="H728" s="110"/>
      <c r="I728" s="11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110"/>
      <c r="Y728" s="3"/>
    </row>
    <row r="729" spans="1:25" ht="12.5">
      <c r="A729" s="3"/>
      <c r="B729" s="3"/>
      <c r="C729" s="3"/>
      <c r="D729" s="110"/>
      <c r="E729" s="110"/>
      <c r="F729" s="110"/>
      <c r="G729" s="110"/>
      <c r="H729" s="110"/>
      <c r="I729" s="11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110"/>
      <c r="Y729" s="3"/>
    </row>
    <row r="730" spans="1:25" ht="12.5">
      <c r="A730" s="3"/>
      <c r="B730" s="3"/>
      <c r="C730" s="3"/>
      <c r="D730" s="110"/>
      <c r="E730" s="110"/>
      <c r="F730" s="110"/>
      <c r="G730" s="110"/>
      <c r="H730" s="110"/>
      <c r="I730" s="11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110"/>
      <c r="Y730" s="3"/>
    </row>
    <row r="731" spans="1:25" ht="12.5">
      <c r="A731" s="3"/>
      <c r="B731" s="3"/>
      <c r="C731" s="3"/>
      <c r="D731" s="110"/>
      <c r="E731" s="110"/>
      <c r="F731" s="110"/>
      <c r="G731" s="110"/>
      <c r="H731" s="110"/>
      <c r="I731" s="11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110"/>
      <c r="Y731" s="3"/>
    </row>
    <row r="732" spans="1:25" ht="12.5">
      <c r="A732" s="3"/>
      <c r="B732" s="3"/>
      <c r="C732" s="3"/>
      <c r="D732" s="110"/>
      <c r="E732" s="110"/>
      <c r="F732" s="110"/>
      <c r="G732" s="110"/>
      <c r="H732" s="110"/>
      <c r="I732" s="11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110"/>
      <c r="Y732" s="3"/>
    </row>
    <row r="733" spans="1:25" ht="12.5">
      <c r="A733" s="3"/>
      <c r="B733" s="3"/>
      <c r="C733" s="3"/>
      <c r="D733" s="110"/>
      <c r="E733" s="110"/>
      <c r="F733" s="110"/>
      <c r="G733" s="110"/>
      <c r="H733" s="110"/>
      <c r="I733" s="11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110"/>
      <c r="Y733" s="3"/>
    </row>
    <row r="734" spans="1:25" ht="12.5">
      <c r="A734" s="3"/>
      <c r="B734" s="3"/>
      <c r="C734" s="3"/>
      <c r="D734" s="110"/>
      <c r="E734" s="110"/>
      <c r="F734" s="110"/>
      <c r="G734" s="110"/>
      <c r="H734" s="110"/>
      <c r="I734" s="11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110"/>
      <c r="Y734" s="3"/>
    </row>
    <row r="735" spans="1:25" ht="12.5">
      <c r="A735" s="3"/>
      <c r="B735" s="3"/>
      <c r="C735" s="3"/>
      <c r="D735" s="110"/>
      <c r="E735" s="110"/>
      <c r="F735" s="110"/>
      <c r="G735" s="110"/>
      <c r="H735" s="110"/>
      <c r="I735" s="11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110"/>
      <c r="Y735" s="3"/>
    </row>
    <row r="736" spans="1:25" ht="12.5">
      <c r="A736" s="3"/>
      <c r="B736" s="3"/>
      <c r="C736" s="3"/>
      <c r="D736" s="110"/>
      <c r="E736" s="110"/>
      <c r="F736" s="110"/>
      <c r="G736" s="110"/>
      <c r="H736" s="110"/>
      <c r="I736" s="11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110"/>
      <c r="Y736" s="3"/>
    </row>
    <row r="737" spans="1:25" ht="12.5">
      <c r="A737" s="3"/>
      <c r="B737" s="3"/>
      <c r="C737" s="3"/>
      <c r="D737" s="110"/>
      <c r="E737" s="110"/>
      <c r="F737" s="110"/>
      <c r="G737" s="110"/>
      <c r="H737" s="110"/>
      <c r="I737" s="11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110"/>
      <c r="Y737" s="3"/>
    </row>
    <row r="738" spans="1:25" ht="12.5">
      <c r="A738" s="3"/>
      <c r="B738" s="3"/>
      <c r="C738" s="3"/>
      <c r="D738" s="110"/>
      <c r="E738" s="110"/>
      <c r="F738" s="110"/>
      <c r="G738" s="110"/>
      <c r="H738" s="110"/>
      <c r="I738" s="11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110"/>
      <c r="Y738" s="3"/>
    </row>
    <row r="739" spans="1:25" ht="12.5">
      <c r="A739" s="3"/>
      <c r="B739" s="3"/>
      <c r="C739" s="3"/>
      <c r="D739" s="110"/>
      <c r="E739" s="110"/>
      <c r="F739" s="110"/>
      <c r="G739" s="110"/>
      <c r="H739" s="110"/>
      <c r="I739" s="11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110"/>
      <c r="Y739" s="3"/>
    </row>
    <row r="740" spans="1:25" ht="12.5">
      <c r="A740" s="3"/>
      <c r="B740" s="3"/>
      <c r="C740" s="3"/>
      <c r="D740" s="110"/>
      <c r="E740" s="110"/>
      <c r="F740" s="110"/>
      <c r="G740" s="110"/>
      <c r="H740" s="110"/>
      <c r="I740" s="11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110"/>
      <c r="Y740" s="3"/>
    </row>
    <row r="741" spans="1:25" ht="12.5">
      <c r="A741" s="3"/>
      <c r="B741" s="3"/>
      <c r="C741" s="3"/>
      <c r="D741" s="110"/>
      <c r="E741" s="110"/>
      <c r="F741" s="110"/>
      <c r="G741" s="110"/>
      <c r="H741" s="110"/>
      <c r="I741" s="11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110"/>
      <c r="Y741" s="3"/>
    </row>
    <row r="742" spans="1:25" ht="12.5">
      <c r="A742" s="3"/>
      <c r="B742" s="3"/>
      <c r="C742" s="3"/>
      <c r="D742" s="110"/>
      <c r="E742" s="110"/>
      <c r="F742" s="110"/>
      <c r="G742" s="110"/>
      <c r="H742" s="110"/>
      <c r="I742" s="11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110"/>
      <c r="Y742" s="3"/>
    </row>
    <row r="743" spans="1:25" ht="12.5">
      <c r="A743" s="3"/>
      <c r="B743" s="3"/>
      <c r="C743" s="3"/>
      <c r="D743" s="110"/>
      <c r="E743" s="110"/>
      <c r="F743" s="110"/>
      <c r="G743" s="110"/>
      <c r="H743" s="110"/>
      <c r="I743" s="11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110"/>
      <c r="Y743" s="3"/>
    </row>
    <row r="744" spans="1:25" ht="12.5">
      <c r="A744" s="3"/>
      <c r="B744" s="3"/>
      <c r="C744" s="3"/>
      <c r="D744" s="110"/>
      <c r="E744" s="110"/>
      <c r="F744" s="110"/>
      <c r="G744" s="110"/>
      <c r="H744" s="110"/>
      <c r="I744" s="11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110"/>
      <c r="Y744" s="3"/>
    </row>
    <row r="745" spans="1:25" ht="12.5">
      <c r="A745" s="3"/>
      <c r="B745" s="3"/>
      <c r="C745" s="3"/>
      <c r="D745" s="110"/>
      <c r="E745" s="110"/>
      <c r="F745" s="110"/>
      <c r="G745" s="110"/>
      <c r="H745" s="110"/>
      <c r="I745" s="11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110"/>
      <c r="Y745" s="3"/>
    </row>
    <row r="746" spans="1:25" ht="12.5">
      <c r="A746" s="3"/>
      <c r="B746" s="3"/>
      <c r="C746" s="3"/>
      <c r="D746" s="110"/>
      <c r="E746" s="110"/>
      <c r="F746" s="110"/>
      <c r="G746" s="110"/>
      <c r="H746" s="110"/>
      <c r="I746" s="11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110"/>
      <c r="Y746" s="3"/>
    </row>
    <row r="747" spans="1:25" ht="12.5">
      <c r="A747" s="3"/>
      <c r="B747" s="3"/>
      <c r="C747" s="3"/>
      <c r="D747" s="110"/>
      <c r="E747" s="110"/>
      <c r="F747" s="110"/>
      <c r="G747" s="110"/>
      <c r="H747" s="110"/>
      <c r="I747" s="11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110"/>
      <c r="Y747" s="3"/>
    </row>
    <row r="748" spans="1:25" ht="12.5">
      <c r="A748" s="3"/>
      <c r="B748" s="3"/>
      <c r="C748" s="3"/>
      <c r="D748" s="110"/>
      <c r="E748" s="110"/>
      <c r="F748" s="110"/>
      <c r="G748" s="110"/>
      <c r="H748" s="110"/>
      <c r="I748" s="11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110"/>
      <c r="Y748" s="3"/>
    </row>
    <row r="749" spans="1:25" ht="12.5">
      <c r="A749" s="3"/>
      <c r="B749" s="3"/>
      <c r="C749" s="3"/>
      <c r="D749" s="110"/>
      <c r="E749" s="110"/>
      <c r="F749" s="110"/>
      <c r="G749" s="110"/>
      <c r="H749" s="110"/>
      <c r="I749" s="11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110"/>
      <c r="Y749" s="3"/>
    </row>
    <row r="750" spans="1:25" ht="12.5">
      <c r="A750" s="3"/>
      <c r="B750" s="3"/>
      <c r="C750" s="3"/>
      <c r="D750" s="110"/>
      <c r="E750" s="110"/>
      <c r="F750" s="110"/>
      <c r="G750" s="110"/>
      <c r="H750" s="110"/>
      <c r="I750" s="11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110"/>
      <c r="Y750" s="3"/>
    </row>
    <row r="751" spans="1:25" ht="12.5">
      <c r="A751" s="3"/>
      <c r="B751" s="3"/>
      <c r="C751" s="3"/>
      <c r="D751" s="110"/>
      <c r="E751" s="110"/>
      <c r="F751" s="110"/>
      <c r="G751" s="110"/>
      <c r="H751" s="110"/>
      <c r="I751" s="11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110"/>
      <c r="Y751" s="3"/>
    </row>
    <row r="752" spans="1:25" ht="12.5">
      <c r="A752" s="3"/>
      <c r="B752" s="3"/>
      <c r="C752" s="3"/>
      <c r="D752" s="110"/>
      <c r="E752" s="110"/>
      <c r="F752" s="110"/>
      <c r="G752" s="110"/>
      <c r="H752" s="110"/>
      <c r="I752" s="11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110"/>
      <c r="Y752" s="3"/>
    </row>
    <row r="753" spans="1:25" ht="12.5">
      <c r="A753" s="3"/>
      <c r="B753" s="3"/>
      <c r="C753" s="3"/>
      <c r="D753" s="110"/>
      <c r="E753" s="110"/>
      <c r="F753" s="110"/>
      <c r="G753" s="110"/>
      <c r="H753" s="110"/>
      <c r="I753" s="11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110"/>
      <c r="Y753" s="3"/>
    </row>
    <row r="754" spans="1:25" ht="12.5">
      <c r="A754" s="3"/>
      <c r="B754" s="3"/>
      <c r="C754" s="3"/>
      <c r="D754" s="110"/>
      <c r="E754" s="110"/>
      <c r="F754" s="110"/>
      <c r="G754" s="110"/>
      <c r="H754" s="110"/>
      <c r="I754" s="11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110"/>
      <c r="Y754" s="3"/>
    </row>
    <row r="755" spans="1:25" ht="12.5">
      <c r="A755" s="3"/>
      <c r="B755" s="3"/>
      <c r="C755" s="3"/>
      <c r="D755" s="110"/>
      <c r="E755" s="110"/>
      <c r="F755" s="110"/>
      <c r="G755" s="110"/>
      <c r="H755" s="110"/>
      <c r="I755" s="11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110"/>
      <c r="Y755" s="3"/>
    </row>
    <row r="756" spans="1:25" ht="12.5">
      <c r="A756" s="3"/>
      <c r="B756" s="3"/>
      <c r="C756" s="3"/>
      <c r="D756" s="110"/>
      <c r="E756" s="110"/>
      <c r="F756" s="110"/>
      <c r="G756" s="110"/>
      <c r="H756" s="110"/>
      <c r="I756" s="11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110"/>
      <c r="Y756" s="3"/>
    </row>
    <row r="757" spans="1:25" ht="12.5">
      <c r="A757" s="3"/>
      <c r="B757" s="3"/>
      <c r="C757" s="3"/>
      <c r="D757" s="110"/>
      <c r="E757" s="110"/>
      <c r="F757" s="110"/>
      <c r="G757" s="110"/>
      <c r="H757" s="110"/>
      <c r="I757" s="11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110"/>
      <c r="Y757" s="3"/>
    </row>
    <row r="758" spans="1:25" ht="12.5">
      <c r="A758" s="3"/>
      <c r="B758" s="3"/>
      <c r="C758" s="3"/>
      <c r="D758" s="110"/>
      <c r="E758" s="110"/>
      <c r="F758" s="110"/>
      <c r="G758" s="110"/>
      <c r="H758" s="110"/>
      <c r="I758" s="11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110"/>
      <c r="Y758" s="3"/>
    </row>
    <row r="759" spans="1:25" ht="12.5">
      <c r="A759" s="3"/>
      <c r="B759" s="3"/>
      <c r="C759" s="3"/>
      <c r="D759" s="110"/>
      <c r="E759" s="110"/>
      <c r="F759" s="110"/>
      <c r="G759" s="110"/>
      <c r="H759" s="110"/>
      <c r="I759" s="11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110"/>
      <c r="Y759" s="3"/>
    </row>
    <row r="760" spans="1:25" ht="12.5">
      <c r="A760" s="3"/>
      <c r="B760" s="3"/>
      <c r="C760" s="3"/>
      <c r="D760" s="110"/>
      <c r="E760" s="110"/>
      <c r="F760" s="110"/>
      <c r="G760" s="110"/>
      <c r="H760" s="110"/>
      <c r="I760" s="11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110"/>
      <c r="Y760" s="3"/>
    </row>
    <row r="761" spans="1:25" ht="12.5">
      <c r="A761" s="3"/>
      <c r="B761" s="3"/>
      <c r="C761" s="3"/>
      <c r="D761" s="110"/>
      <c r="E761" s="110"/>
      <c r="F761" s="110"/>
      <c r="G761" s="110"/>
      <c r="H761" s="110"/>
      <c r="I761" s="11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110"/>
      <c r="Y761" s="3"/>
    </row>
    <row r="762" spans="1:25" ht="12.5">
      <c r="A762" s="3"/>
      <c r="B762" s="3"/>
      <c r="C762" s="3"/>
      <c r="D762" s="110"/>
      <c r="E762" s="110"/>
      <c r="F762" s="110"/>
      <c r="G762" s="110"/>
      <c r="H762" s="110"/>
      <c r="I762" s="11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110"/>
      <c r="Y762" s="3"/>
    </row>
    <row r="763" spans="1:25" ht="12.5">
      <c r="A763" s="3"/>
      <c r="B763" s="3"/>
      <c r="C763" s="3"/>
      <c r="D763" s="110"/>
      <c r="E763" s="110"/>
      <c r="F763" s="110"/>
      <c r="G763" s="110"/>
      <c r="H763" s="110"/>
      <c r="I763" s="11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110"/>
      <c r="Y763" s="3"/>
    </row>
    <row r="764" spans="1:25" ht="12.5">
      <c r="A764" s="3"/>
      <c r="B764" s="3"/>
      <c r="C764" s="3"/>
      <c r="D764" s="110"/>
      <c r="E764" s="110"/>
      <c r="F764" s="110"/>
      <c r="G764" s="110"/>
      <c r="H764" s="110"/>
      <c r="I764" s="11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110"/>
      <c r="Y764" s="3"/>
    </row>
    <row r="765" spans="1:25" ht="12.5">
      <c r="A765" s="3"/>
      <c r="B765" s="3"/>
      <c r="C765" s="3"/>
      <c r="D765" s="110"/>
      <c r="E765" s="110"/>
      <c r="F765" s="110"/>
      <c r="G765" s="110"/>
      <c r="H765" s="110"/>
      <c r="I765" s="11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110"/>
      <c r="Y765" s="3"/>
    </row>
    <row r="766" spans="1:25" ht="12.5">
      <c r="A766" s="3"/>
      <c r="B766" s="3"/>
      <c r="C766" s="3"/>
      <c r="D766" s="110"/>
      <c r="E766" s="110"/>
      <c r="F766" s="110"/>
      <c r="G766" s="110"/>
      <c r="H766" s="110"/>
      <c r="I766" s="11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110"/>
      <c r="Y766" s="3"/>
    </row>
    <row r="767" spans="1:25" ht="12.5">
      <c r="A767" s="3"/>
      <c r="B767" s="3"/>
      <c r="C767" s="3"/>
      <c r="D767" s="110"/>
      <c r="E767" s="110"/>
      <c r="F767" s="110"/>
      <c r="G767" s="110"/>
      <c r="H767" s="110"/>
      <c r="I767" s="11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110"/>
      <c r="Y767" s="3"/>
    </row>
    <row r="768" spans="1:25" ht="12.5">
      <c r="A768" s="3"/>
      <c r="B768" s="3"/>
      <c r="C768" s="3"/>
      <c r="D768" s="110"/>
      <c r="E768" s="110"/>
      <c r="F768" s="110"/>
      <c r="G768" s="110"/>
      <c r="H768" s="110"/>
      <c r="I768" s="11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110"/>
      <c r="Y768" s="3"/>
    </row>
    <row r="769" spans="1:25" ht="12.5">
      <c r="A769" s="3"/>
      <c r="B769" s="3"/>
      <c r="C769" s="3"/>
      <c r="D769" s="110"/>
      <c r="E769" s="110"/>
      <c r="F769" s="110"/>
      <c r="G769" s="110"/>
      <c r="H769" s="110"/>
      <c r="I769" s="11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110"/>
      <c r="Y769" s="3"/>
    </row>
    <row r="770" spans="1:25" ht="12.5">
      <c r="A770" s="3"/>
      <c r="B770" s="3"/>
      <c r="C770" s="3"/>
      <c r="D770" s="110"/>
      <c r="E770" s="110"/>
      <c r="F770" s="110"/>
      <c r="G770" s="110"/>
      <c r="H770" s="110"/>
      <c r="I770" s="11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110"/>
      <c r="Y770" s="3"/>
    </row>
    <row r="771" spans="1:25" ht="12.5">
      <c r="A771" s="3"/>
      <c r="B771" s="3"/>
      <c r="C771" s="3"/>
      <c r="D771" s="110"/>
      <c r="E771" s="110"/>
      <c r="F771" s="110"/>
      <c r="G771" s="110"/>
      <c r="H771" s="110"/>
      <c r="I771" s="11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110"/>
      <c r="Y771" s="3"/>
    </row>
    <row r="772" spans="1:25" ht="12.5">
      <c r="A772" s="3"/>
      <c r="B772" s="3"/>
      <c r="C772" s="3"/>
      <c r="D772" s="110"/>
      <c r="E772" s="110"/>
      <c r="F772" s="110"/>
      <c r="G772" s="110"/>
      <c r="H772" s="110"/>
      <c r="I772" s="11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110"/>
      <c r="Y772" s="3"/>
    </row>
    <row r="773" spans="1:25" ht="12.5">
      <c r="A773" s="3"/>
      <c r="B773" s="3"/>
      <c r="C773" s="3"/>
      <c r="D773" s="110"/>
      <c r="E773" s="110"/>
      <c r="F773" s="110"/>
      <c r="G773" s="110"/>
      <c r="H773" s="110"/>
      <c r="I773" s="11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110"/>
      <c r="Y773" s="3"/>
    </row>
    <row r="774" spans="1:25" ht="12.5">
      <c r="A774" s="3"/>
      <c r="B774" s="3"/>
      <c r="C774" s="3"/>
      <c r="D774" s="110"/>
      <c r="E774" s="110"/>
      <c r="F774" s="110"/>
      <c r="G774" s="110"/>
      <c r="H774" s="110"/>
      <c r="I774" s="11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110"/>
      <c r="Y774" s="3"/>
    </row>
    <row r="775" spans="1:25" ht="12.5">
      <c r="A775" s="3"/>
      <c r="B775" s="3"/>
      <c r="C775" s="3"/>
      <c r="D775" s="110"/>
      <c r="E775" s="110"/>
      <c r="F775" s="110"/>
      <c r="G775" s="110"/>
      <c r="H775" s="110"/>
      <c r="I775" s="11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110"/>
      <c r="Y775" s="3"/>
    </row>
    <row r="776" spans="1:25" ht="12.5">
      <c r="A776" s="3"/>
      <c r="B776" s="3"/>
      <c r="C776" s="3"/>
      <c r="D776" s="110"/>
      <c r="E776" s="110"/>
      <c r="F776" s="110"/>
      <c r="G776" s="110"/>
      <c r="H776" s="110"/>
      <c r="I776" s="11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110"/>
      <c r="Y776" s="3"/>
    </row>
    <row r="777" spans="1:25" ht="12.5">
      <c r="A777" s="3"/>
      <c r="B777" s="3"/>
      <c r="C777" s="3"/>
      <c r="D777" s="110"/>
      <c r="E777" s="110"/>
      <c r="F777" s="110"/>
      <c r="G777" s="110"/>
      <c r="H777" s="110"/>
      <c r="I777" s="11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110"/>
      <c r="Y777" s="3"/>
    </row>
    <row r="778" spans="1:25" ht="12.5">
      <c r="A778" s="3"/>
      <c r="B778" s="3"/>
      <c r="C778" s="3"/>
      <c r="D778" s="110"/>
      <c r="E778" s="110"/>
      <c r="F778" s="110"/>
      <c r="G778" s="110"/>
      <c r="H778" s="110"/>
      <c r="I778" s="11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110"/>
      <c r="Y778" s="3"/>
    </row>
    <row r="779" spans="1:25" ht="12.5">
      <c r="A779" s="3"/>
      <c r="B779" s="3"/>
      <c r="C779" s="3"/>
      <c r="D779" s="110"/>
      <c r="E779" s="110"/>
      <c r="F779" s="110"/>
      <c r="G779" s="110"/>
      <c r="H779" s="110"/>
      <c r="I779" s="11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110"/>
      <c r="Y779" s="3"/>
    </row>
    <row r="780" spans="1:25" ht="12.5">
      <c r="A780" s="3"/>
      <c r="B780" s="3"/>
      <c r="C780" s="3"/>
      <c r="D780" s="110"/>
      <c r="E780" s="110"/>
      <c r="F780" s="110"/>
      <c r="G780" s="110"/>
      <c r="H780" s="110"/>
      <c r="I780" s="11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110"/>
      <c r="Y780" s="3"/>
    </row>
    <row r="781" spans="1:25" ht="12.5">
      <c r="A781" s="3"/>
      <c r="B781" s="3"/>
      <c r="C781" s="3"/>
      <c r="D781" s="110"/>
      <c r="E781" s="110"/>
      <c r="F781" s="110"/>
      <c r="G781" s="110"/>
      <c r="H781" s="110"/>
      <c r="I781" s="11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110"/>
      <c r="Y781" s="3"/>
    </row>
    <row r="782" spans="1:25" ht="12.5">
      <c r="A782" s="3"/>
      <c r="B782" s="3"/>
      <c r="C782" s="3"/>
      <c r="D782" s="110"/>
      <c r="E782" s="110"/>
      <c r="F782" s="110"/>
      <c r="G782" s="110"/>
      <c r="H782" s="110"/>
      <c r="I782" s="11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110"/>
      <c r="Y782" s="3"/>
    </row>
    <row r="783" spans="1:25" ht="12.5">
      <c r="A783" s="3"/>
      <c r="B783" s="3"/>
      <c r="C783" s="3"/>
      <c r="D783" s="110"/>
      <c r="E783" s="110"/>
      <c r="F783" s="110"/>
      <c r="G783" s="110"/>
      <c r="H783" s="110"/>
      <c r="I783" s="11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110"/>
      <c r="Y783" s="3"/>
    </row>
    <row r="784" spans="1:25" ht="12.5">
      <c r="A784" s="3"/>
      <c r="B784" s="3"/>
      <c r="C784" s="3"/>
      <c r="D784" s="110"/>
      <c r="E784" s="110"/>
      <c r="F784" s="110"/>
      <c r="G784" s="110"/>
      <c r="H784" s="110"/>
      <c r="I784" s="11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110"/>
      <c r="Y784" s="3"/>
    </row>
    <row r="785" spans="1:25" ht="12.5">
      <c r="A785" s="3"/>
      <c r="B785" s="3"/>
      <c r="C785" s="3"/>
      <c r="D785" s="110"/>
      <c r="E785" s="110"/>
      <c r="F785" s="110"/>
      <c r="G785" s="110"/>
      <c r="H785" s="110"/>
      <c r="I785" s="1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110"/>
      <c r="Y785" s="3"/>
    </row>
    <row r="786" spans="1:25" ht="12.5">
      <c r="A786" s="3"/>
      <c r="B786" s="3"/>
      <c r="C786" s="3"/>
      <c r="D786" s="110"/>
      <c r="E786" s="110"/>
      <c r="F786" s="110"/>
      <c r="G786" s="110"/>
      <c r="H786" s="110"/>
      <c r="I786" s="1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110"/>
      <c r="Y786" s="3"/>
    </row>
    <row r="787" spans="1:25" ht="12.5">
      <c r="A787" s="3"/>
      <c r="B787" s="3"/>
      <c r="C787" s="3"/>
      <c r="D787" s="110"/>
      <c r="E787" s="110"/>
      <c r="F787" s="110"/>
      <c r="G787" s="110"/>
      <c r="H787" s="110"/>
      <c r="I787" s="1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110"/>
      <c r="Y787" s="3"/>
    </row>
    <row r="788" spans="1:25" ht="12.5">
      <c r="A788" s="3"/>
      <c r="B788" s="3"/>
      <c r="C788" s="3"/>
      <c r="D788" s="110"/>
      <c r="E788" s="110"/>
      <c r="F788" s="110"/>
      <c r="G788" s="110"/>
      <c r="H788" s="110"/>
      <c r="I788" s="1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110"/>
      <c r="Y788" s="3"/>
    </row>
    <row r="789" spans="1:25" ht="12.5">
      <c r="A789" s="3"/>
      <c r="B789" s="3"/>
      <c r="C789" s="3"/>
      <c r="D789" s="110"/>
      <c r="E789" s="110"/>
      <c r="F789" s="110"/>
      <c r="G789" s="110"/>
      <c r="H789" s="110"/>
      <c r="I789" s="1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110"/>
      <c r="Y789" s="3"/>
    </row>
    <row r="790" spans="1:25" ht="12.5">
      <c r="A790" s="3"/>
      <c r="B790" s="3"/>
      <c r="C790" s="3"/>
      <c r="D790" s="110"/>
      <c r="E790" s="110"/>
      <c r="F790" s="110"/>
      <c r="G790" s="110"/>
      <c r="H790" s="110"/>
      <c r="I790" s="1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110"/>
      <c r="Y790" s="3"/>
    </row>
    <row r="791" spans="1:25" ht="12.5">
      <c r="A791" s="3"/>
      <c r="B791" s="3"/>
      <c r="C791" s="3"/>
      <c r="D791" s="110"/>
      <c r="E791" s="110"/>
      <c r="F791" s="110"/>
      <c r="G791" s="110"/>
      <c r="H791" s="110"/>
      <c r="I791" s="1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110"/>
      <c r="Y791" s="3"/>
    </row>
    <row r="792" spans="1:25" ht="12.5">
      <c r="A792" s="3"/>
      <c r="B792" s="3"/>
      <c r="C792" s="3"/>
      <c r="D792" s="110"/>
      <c r="E792" s="110"/>
      <c r="F792" s="110"/>
      <c r="G792" s="110"/>
      <c r="H792" s="110"/>
      <c r="I792" s="1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110"/>
      <c r="Y792" s="3"/>
    </row>
    <row r="793" spans="1:25" ht="12.5">
      <c r="A793" s="3"/>
      <c r="B793" s="3"/>
      <c r="C793" s="3"/>
      <c r="D793" s="110"/>
      <c r="E793" s="110"/>
      <c r="F793" s="110"/>
      <c r="G793" s="110"/>
      <c r="H793" s="110"/>
      <c r="I793" s="1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110"/>
      <c r="Y793" s="3"/>
    </row>
    <row r="794" spans="1:25" ht="12.5">
      <c r="A794" s="3"/>
      <c r="B794" s="3"/>
      <c r="C794" s="3"/>
      <c r="D794" s="110"/>
      <c r="E794" s="110"/>
      <c r="F794" s="110"/>
      <c r="G794" s="110"/>
      <c r="H794" s="110"/>
      <c r="I794" s="1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110"/>
      <c r="Y794" s="3"/>
    </row>
    <row r="795" spans="1:25" ht="12.5">
      <c r="A795" s="3"/>
      <c r="B795" s="3"/>
      <c r="C795" s="3"/>
      <c r="D795" s="110"/>
      <c r="E795" s="110"/>
      <c r="F795" s="110"/>
      <c r="G795" s="110"/>
      <c r="H795" s="110"/>
      <c r="I795" s="1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110"/>
      <c r="Y795" s="3"/>
    </row>
    <row r="796" spans="1:25" ht="12.5">
      <c r="A796" s="3"/>
      <c r="B796" s="3"/>
      <c r="C796" s="3"/>
      <c r="D796" s="110"/>
      <c r="E796" s="110"/>
      <c r="F796" s="110"/>
      <c r="G796" s="110"/>
      <c r="H796" s="110"/>
      <c r="I796" s="1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110"/>
      <c r="Y796" s="3"/>
    </row>
    <row r="797" spans="1:25" ht="12.5">
      <c r="A797" s="3"/>
      <c r="B797" s="3"/>
      <c r="C797" s="3"/>
      <c r="D797" s="110"/>
      <c r="E797" s="110"/>
      <c r="F797" s="110"/>
      <c r="G797" s="110"/>
      <c r="H797" s="110"/>
      <c r="I797" s="1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110"/>
      <c r="Y797" s="3"/>
    </row>
    <row r="798" spans="1:25" ht="12.5">
      <c r="A798" s="3"/>
      <c r="B798" s="3"/>
      <c r="C798" s="3"/>
      <c r="D798" s="110"/>
      <c r="E798" s="110"/>
      <c r="F798" s="110"/>
      <c r="G798" s="110"/>
      <c r="H798" s="110"/>
      <c r="I798" s="1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110"/>
      <c r="Y798" s="3"/>
    </row>
    <row r="799" spans="1:25" ht="12.5">
      <c r="A799" s="3"/>
      <c r="B799" s="3"/>
      <c r="C799" s="3"/>
      <c r="D799" s="110"/>
      <c r="E799" s="110"/>
      <c r="F799" s="110"/>
      <c r="G799" s="110"/>
      <c r="H799" s="110"/>
      <c r="I799" s="1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110"/>
      <c r="Y799" s="3"/>
    </row>
    <row r="800" spans="1:25" ht="12.5">
      <c r="A800" s="3"/>
      <c r="B800" s="3"/>
      <c r="C800" s="3"/>
      <c r="D800" s="110"/>
      <c r="E800" s="110"/>
      <c r="F800" s="110"/>
      <c r="G800" s="110"/>
      <c r="H800" s="110"/>
      <c r="I800" s="1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110"/>
      <c r="Y800" s="3"/>
    </row>
    <row r="801" spans="1:25" ht="12.5">
      <c r="A801" s="3"/>
      <c r="B801" s="3"/>
      <c r="C801" s="3"/>
      <c r="D801" s="110"/>
      <c r="E801" s="110"/>
      <c r="F801" s="110"/>
      <c r="G801" s="110"/>
      <c r="H801" s="110"/>
      <c r="I801" s="1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110"/>
      <c r="Y801" s="3"/>
    </row>
    <row r="802" spans="1:25" ht="12.5">
      <c r="A802" s="3"/>
      <c r="B802" s="3"/>
      <c r="C802" s="3"/>
      <c r="D802" s="110"/>
      <c r="E802" s="110"/>
      <c r="F802" s="110"/>
      <c r="G802" s="110"/>
      <c r="H802" s="110"/>
      <c r="I802" s="1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110"/>
      <c r="Y802" s="3"/>
    </row>
    <row r="803" spans="1:25" ht="12.5">
      <c r="A803" s="3"/>
      <c r="B803" s="3"/>
      <c r="C803" s="3"/>
      <c r="D803" s="110"/>
      <c r="E803" s="110"/>
      <c r="F803" s="110"/>
      <c r="G803" s="110"/>
      <c r="H803" s="110"/>
      <c r="I803" s="1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110"/>
      <c r="Y803" s="3"/>
    </row>
    <row r="804" spans="1:25" ht="12.5">
      <c r="A804" s="3"/>
      <c r="B804" s="3"/>
      <c r="C804" s="3"/>
      <c r="D804" s="110"/>
      <c r="E804" s="110"/>
      <c r="F804" s="110"/>
      <c r="G804" s="110"/>
      <c r="H804" s="110"/>
      <c r="I804" s="1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110"/>
      <c r="Y804" s="3"/>
    </row>
    <row r="805" spans="1:25" ht="12.5">
      <c r="A805" s="3"/>
      <c r="B805" s="3"/>
      <c r="C805" s="3"/>
      <c r="D805" s="110"/>
      <c r="E805" s="110"/>
      <c r="F805" s="110"/>
      <c r="G805" s="110"/>
      <c r="H805" s="110"/>
      <c r="I805" s="11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110"/>
      <c r="Y805" s="3"/>
    </row>
    <row r="806" spans="1:25" ht="12.5">
      <c r="A806" s="3"/>
      <c r="B806" s="3"/>
      <c r="C806" s="3"/>
      <c r="D806" s="110"/>
      <c r="E806" s="110"/>
      <c r="F806" s="110"/>
      <c r="G806" s="110"/>
      <c r="H806" s="110"/>
      <c r="I806" s="1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110"/>
      <c r="Y806" s="3"/>
    </row>
    <row r="807" spans="1:25" ht="12.5">
      <c r="A807" s="3"/>
      <c r="B807" s="3"/>
      <c r="C807" s="3"/>
      <c r="D807" s="110"/>
      <c r="E807" s="110"/>
      <c r="F807" s="110"/>
      <c r="G807" s="110"/>
      <c r="H807" s="110"/>
      <c r="I807" s="1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110"/>
      <c r="Y807" s="3"/>
    </row>
    <row r="808" spans="1:25" ht="12.5">
      <c r="A808" s="3"/>
      <c r="B808" s="3"/>
      <c r="C808" s="3"/>
      <c r="D808" s="110"/>
      <c r="E808" s="110"/>
      <c r="F808" s="110"/>
      <c r="G808" s="110"/>
      <c r="H808" s="110"/>
      <c r="I808" s="1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110"/>
      <c r="Y808" s="3"/>
    </row>
    <row r="809" spans="1:25" ht="12.5">
      <c r="A809" s="3"/>
      <c r="B809" s="3"/>
      <c r="C809" s="3"/>
      <c r="D809" s="110"/>
      <c r="E809" s="110"/>
      <c r="F809" s="110"/>
      <c r="G809" s="110"/>
      <c r="H809" s="110"/>
      <c r="I809" s="1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110"/>
      <c r="Y809" s="3"/>
    </row>
    <row r="810" spans="1:25" ht="12.5">
      <c r="A810" s="3"/>
      <c r="B810" s="3"/>
      <c r="C810" s="3"/>
      <c r="D810" s="110"/>
      <c r="E810" s="110"/>
      <c r="F810" s="110"/>
      <c r="G810" s="110"/>
      <c r="H810" s="110"/>
      <c r="I810" s="1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110"/>
      <c r="Y810" s="3"/>
    </row>
    <row r="811" spans="1:25" ht="12.5">
      <c r="A811" s="3"/>
      <c r="B811" s="3"/>
      <c r="C811" s="3"/>
      <c r="D811" s="110"/>
      <c r="E811" s="110"/>
      <c r="F811" s="110"/>
      <c r="G811" s="110"/>
      <c r="H811" s="110"/>
      <c r="I811" s="1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110"/>
      <c r="Y811" s="3"/>
    </row>
    <row r="812" spans="1:25" ht="12.5">
      <c r="A812" s="3"/>
      <c r="B812" s="3"/>
      <c r="C812" s="3"/>
      <c r="D812" s="110"/>
      <c r="E812" s="110"/>
      <c r="F812" s="110"/>
      <c r="G812" s="110"/>
      <c r="H812" s="110"/>
      <c r="I812" s="1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110"/>
      <c r="Y812" s="3"/>
    </row>
    <row r="813" spans="1:25" ht="12.5">
      <c r="A813" s="3"/>
      <c r="B813" s="3"/>
      <c r="C813" s="3"/>
      <c r="D813" s="110"/>
      <c r="E813" s="110"/>
      <c r="F813" s="110"/>
      <c r="G813" s="110"/>
      <c r="H813" s="110"/>
      <c r="I813" s="1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110"/>
      <c r="Y813" s="3"/>
    </row>
    <row r="814" spans="1:25" ht="12.5">
      <c r="A814" s="3"/>
      <c r="B814" s="3"/>
      <c r="C814" s="3"/>
      <c r="D814" s="110"/>
      <c r="E814" s="110"/>
      <c r="F814" s="110"/>
      <c r="G814" s="110"/>
      <c r="H814" s="110"/>
      <c r="I814" s="1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110"/>
      <c r="Y814" s="3"/>
    </row>
    <row r="815" spans="1:25" ht="12.5">
      <c r="A815" s="3"/>
      <c r="B815" s="3"/>
      <c r="C815" s="3"/>
      <c r="D815" s="110"/>
      <c r="E815" s="110"/>
      <c r="F815" s="110"/>
      <c r="G815" s="110"/>
      <c r="H815" s="110"/>
      <c r="I815" s="1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110"/>
      <c r="Y815" s="3"/>
    </row>
    <row r="816" spans="1:25" ht="12.5">
      <c r="A816" s="3"/>
      <c r="B816" s="3"/>
      <c r="C816" s="3"/>
      <c r="D816" s="110"/>
      <c r="E816" s="110"/>
      <c r="F816" s="110"/>
      <c r="G816" s="110"/>
      <c r="H816" s="110"/>
      <c r="I816" s="1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110"/>
      <c r="Y816" s="3"/>
    </row>
    <row r="817" spans="1:25" ht="12.5">
      <c r="A817" s="3"/>
      <c r="B817" s="3"/>
      <c r="C817" s="3"/>
      <c r="D817" s="110"/>
      <c r="E817" s="110"/>
      <c r="F817" s="110"/>
      <c r="G817" s="110"/>
      <c r="H817" s="110"/>
      <c r="I817" s="1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110"/>
      <c r="Y817" s="3"/>
    </row>
    <row r="818" spans="1:25" ht="12.5">
      <c r="A818" s="3"/>
      <c r="B818" s="3"/>
      <c r="C818" s="3"/>
      <c r="D818" s="110"/>
      <c r="E818" s="110"/>
      <c r="F818" s="110"/>
      <c r="G818" s="110"/>
      <c r="H818" s="110"/>
      <c r="I818" s="1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110"/>
      <c r="Y818" s="3"/>
    </row>
    <row r="819" spans="1:25" ht="12.5">
      <c r="A819" s="3"/>
      <c r="B819" s="3"/>
      <c r="C819" s="3"/>
      <c r="D819" s="110"/>
      <c r="E819" s="110"/>
      <c r="F819" s="110"/>
      <c r="G819" s="110"/>
      <c r="H819" s="110"/>
      <c r="I819" s="1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110"/>
      <c r="Y819" s="3"/>
    </row>
    <row r="820" spans="1:25" ht="12.5">
      <c r="A820" s="3"/>
      <c r="B820" s="3"/>
      <c r="C820" s="3"/>
      <c r="D820" s="110"/>
      <c r="E820" s="110"/>
      <c r="F820" s="110"/>
      <c r="G820" s="110"/>
      <c r="H820" s="110"/>
      <c r="I820" s="11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110"/>
      <c r="Y820" s="3"/>
    </row>
    <row r="821" spans="1:25" ht="12.5">
      <c r="A821" s="3"/>
      <c r="B821" s="3"/>
      <c r="C821" s="3"/>
      <c r="D821" s="110"/>
      <c r="E821" s="110"/>
      <c r="F821" s="110"/>
      <c r="G821" s="110"/>
      <c r="H821" s="110"/>
      <c r="I821" s="1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110"/>
      <c r="Y821" s="3"/>
    </row>
    <row r="822" spans="1:25" ht="12.5">
      <c r="A822" s="3"/>
      <c r="B822" s="3"/>
      <c r="C822" s="3"/>
      <c r="D822" s="110"/>
      <c r="E822" s="110"/>
      <c r="F822" s="110"/>
      <c r="G822" s="110"/>
      <c r="H822" s="110"/>
      <c r="I822" s="1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110"/>
      <c r="Y822" s="3"/>
    </row>
    <row r="823" spans="1:25" ht="12.5">
      <c r="A823" s="3"/>
      <c r="B823" s="3"/>
      <c r="C823" s="3"/>
      <c r="D823" s="110"/>
      <c r="E823" s="110"/>
      <c r="F823" s="110"/>
      <c r="G823" s="110"/>
      <c r="H823" s="110"/>
      <c r="I823" s="1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110"/>
      <c r="Y823" s="3"/>
    </row>
    <row r="824" spans="1:25" ht="12.5">
      <c r="A824" s="3"/>
      <c r="B824" s="3"/>
      <c r="C824" s="3"/>
      <c r="D824" s="110"/>
      <c r="E824" s="110"/>
      <c r="F824" s="110"/>
      <c r="G824" s="110"/>
      <c r="H824" s="110"/>
      <c r="I824" s="1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110"/>
      <c r="Y824" s="3"/>
    </row>
    <row r="825" spans="1:25" ht="12.5">
      <c r="A825" s="3"/>
      <c r="B825" s="3"/>
      <c r="C825" s="3"/>
      <c r="D825" s="110"/>
      <c r="E825" s="110"/>
      <c r="F825" s="110"/>
      <c r="G825" s="110"/>
      <c r="H825" s="110"/>
      <c r="I825" s="1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110"/>
      <c r="Y825" s="3"/>
    </row>
    <row r="826" spans="1:25" ht="12.5">
      <c r="A826" s="3"/>
      <c r="B826" s="3"/>
      <c r="C826" s="3"/>
      <c r="D826" s="110"/>
      <c r="E826" s="110"/>
      <c r="F826" s="110"/>
      <c r="G826" s="110"/>
      <c r="H826" s="110"/>
      <c r="I826" s="1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110"/>
      <c r="Y826" s="3"/>
    </row>
    <row r="827" spans="1:25" ht="12.5">
      <c r="A827" s="3"/>
      <c r="B827" s="3"/>
      <c r="C827" s="3"/>
      <c r="D827" s="110"/>
      <c r="E827" s="110"/>
      <c r="F827" s="110"/>
      <c r="G827" s="110"/>
      <c r="H827" s="110"/>
      <c r="I827" s="1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110"/>
      <c r="Y827" s="3"/>
    </row>
    <row r="828" spans="1:25" ht="12.5">
      <c r="A828" s="3"/>
      <c r="B828" s="3"/>
      <c r="C828" s="3"/>
      <c r="D828" s="110"/>
      <c r="E828" s="110"/>
      <c r="F828" s="110"/>
      <c r="G828" s="110"/>
      <c r="H828" s="110"/>
      <c r="I828" s="1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110"/>
      <c r="Y828" s="3"/>
    </row>
    <row r="829" spans="1:25" ht="12.5">
      <c r="A829" s="3"/>
      <c r="B829" s="3"/>
      <c r="C829" s="3"/>
      <c r="D829" s="110"/>
      <c r="E829" s="110"/>
      <c r="F829" s="110"/>
      <c r="G829" s="110"/>
      <c r="H829" s="110"/>
      <c r="I829" s="1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110"/>
      <c r="Y829" s="3"/>
    </row>
    <row r="830" spans="1:25" ht="12.5">
      <c r="A830" s="3"/>
      <c r="B830" s="3"/>
      <c r="C830" s="3"/>
      <c r="D830" s="110"/>
      <c r="E830" s="110"/>
      <c r="F830" s="110"/>
      <c r="G830" s="110"/>
      <c r="H830" s="110"/>
      <c r="I830" s="1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110"/>
      <c r="Y830" s="3"/>
    </row>
    <row r="831" spans="1:25" ht="12.5">
      <c r="A831" s="3"/>
      <c r="B831" s="3"/>
      <c r="C831" s="3"/>
      <c r="D831" s="110"/>
      <c r="E831" s="110"/>
      <c r="F831" s="110"/>
      <c r="G831" s="110"/>
      <c r="H831" s="110"/>
      <c r="I831" s="1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110"/>
      <c r="Y831" s="3"/>
    </row>
    <row r="832" spans="1:25" ht="12.5">
      <c r="A832" s="3"/>
      <c r="B832" s="3"/>
      <c r="C832" s="3"/>
      <c r="D832" s="110"/>
      <c r="E832" s="110"/>
      <c r="F832" s="110"/>
      <c r="G832" s="110"/>
      <c r="H832" s="110"/>
      <c r="I832" s="1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110"/>
      <c r="Y832" s="3"/>
    </row>
    <row r="833" spans="1:25" ht="12.5">
      <c r="A833" s="3"/>
      <c r="B833" s="3"/>
      <c r="C833" s="3"/>
      <c r="D833" s="110"/>
      <c r="E833" s="110"/>
      <c r="F833" s="110"/>
      <c r="G833" s="110"/>
      <c r="H833" s="110"/>
      <c r="I833" s="11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110"/>
      <c r="Y833" s="3"/>
    </row>
    <row r="834" spans="1:25" ht="12.5">
      <c r="A834" s="3"/>
      <c r="B834" s="3"/>
      <c r="C834" s="3"/>
      <c r="D834" s="110"/>
      <c r="E834" s="110"/>
      <c r="F834" s="110"/>
      <c r="G834" s="110"/>
      <c r="H834" s="110"/>
      <c r="I834" s="1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110"/>
      <c r="Y834" s="3"/>
    </row>
    <row r="835" spans="1:25" ht="12.5">
      <c r="A835" s="3"/>
      <c r="B835" s="3"/>
      <c r="C835" s="3"/>
      <c r="D835" s="110"/>
      <c r="E835" s="110"/>
      <c r="F835" s="110"/>
      <c r="G835" s="110"/>
      <c r="H835" s="110"/>
      <c r="I835" s="1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110"/>
      <c r="Y835" s="3"/>
    </row>
    <row r="836" spans="1:25" ht="12.5">
      <c r="A836" s="3"/>
      <c r="B836" s="3"/>
      <c r="C836" s="3"/>
      <c r="D836" s="110"/>
      <c r="E836" s="110"/>
      <c r="F836" s="110"/>
      <c r="G836" s="110"/>
      <c r="H836" s="110"/>
      <c r="I836" s="1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110"/>
      <c r="Y836" s="3"/>
    </row>
    <row r="837" spans="1:25" ht="12.5">
      <c r="A837" s="3"/>
      <c r="B837" s="3"/>
      <c r="C837" s="3"/>
      <c r="D837" s="110"/>
      <c r="E837" s="110"/>
      <c r="F837" s="110"/>
      <c r="G837" s="110"/>
      <c r="H837" s="110"/>
      <c r="I837" s="1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110"/>
      <c r="Y837" s="3"/>
    </row>
    <row r="838" spans="1:25" ht="12.5">
      <c r="A838" s="3"/>
      <c r="B838" s="3"/>
      <c r="C838" s="3"/>
      <c r="D838" s="110"/>
      <c r="E838" s="110"/>
      <c r="F838" s="110"/>
      <c r="G838" s="110"/>
      <c r="H838" s="110"/>
      <c r="I838" s="1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110"/>
      <c r="Y838" s="3"/>
    </row>
    <row r="839" spans="1:25" ht="12.5">
      <c r="A839" s="3"/>
      <c r="B839" s="3"/>
      <c r="C839" s="3"/>
      <c r="D839" s="110"/>
      <c r="E839" s="110"/>
      <c r="F839" s="110"/>
      <c r="G839" s="110"/>
      <c r="H839" s="110"/>
      <c r="I839" s="1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110"/>
      <c r="Y839" s="3"/>
    </row>
    <row r="840" spans="1:25" ht="12.5">
      <c r="A840" s="3"/>
      <c r="B840" s="3"/>
      <c r="C840" s="3"/>
      <c r="D840" s="110"/>
      <c r="E840" s="110"/>
      <c r="F840" s="110"/>
      <c r="G840" s="110"/>
      <c r="H840" s="110"/>
      <c r="I840" s="1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110"/>
      <c r="Y840" s="3"/>
    </row>
    <row r="841" spans="1:25" ht="12.5">
      <c r="A841" s="3"/>
      <c r="B841" s="3"/>
      <c r="C841" s="3"/>
      <c r="D841" s="110"/>
      <c r="E841" s="110"/>
      <c r="F841" s="110"/>
      <c r="G841" s="110"/>
      <c r="H841" s="110"/>
      <c r="I841" s="1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110"/>
      <c r="Y841" s="3"/>
    </row>
    <row r="842" spans="1:25" ht="12.5">
      <c r="A842" s="3"/>
      <c r="B842" s="3"/>
      <c r="C842" s="3"/>
      <c r="D842" s="110"/>
      <c r="E842" s="110"/>
      <c r="F842" s="110"/>
      <c r="G842" s="110"/>
      <c r="H842" s="110"/>
      <c r="I842" s="1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110"/>
      <c r="Y842" s="3"/>
    </row>
    <row r="843" spans="1:25" ht="12.5">
      <c r="A843" s="3"/>
      <c r="B843" s="3"/>
      <c r="C843" s="3"/>
      <c r="D843" s="110"/>
      <c r="E843" s="110"/>
      <c r="F843" s="110"/>
      <c r="G843" s="110"/>
      <c r="H843" s="110"/>
      <c r="I843" s="1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110"/>
      <c r="Y843" s="3"/>
    </row>
    <row r="844" spans="1:25" ht="12.5">
      <c r="A844" s="3"/>
      <c r="B844" s="3"/>
      <c r="C844" s="3"/>
      <c r="D844" s="110"/>
      <c r="E844" s="110"/>
      <c r="F844" s="110"/>
      <c r="G844" s="110"/>
      <c r="H844" s="110"/>
      <c r="I844" s="1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110"/>
      <c r="Y844" s="3"/>
    </row>
    <row r="845" spans="1:25" ht="12.5">
      <c r="A845" s="3"/>
      <c r="B845" s="3"/>
      <c r="C845" s="3"/>
      <c r="D845" s="110"/>
      <c r="E845" s="110"/>
      <c r="F845" s="110"/>
      <c r="G845" s="110"/>
      <c r="H845" s="110"/>
      <c r="I845" s="1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110"/>
      <c r="Y845" s="3"/>
    </row>
    <row r="846" spans="1:25" ht="12.5">
      <c r="A846" s="3"/>
      <c r="B846" s="3"/>
      <c r="C846" s="3"/>
      <c r="D846" s="110"/>
      <c r="E846" s="110"/>
      <c r="F846" s="110"/>
      <c r="G846" s="110"/>
      <c r="H846" s="110"/>
      <c r="I846" s="1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110"/>
      <c r="Y846" s="3"/>
    </row>
    <row r="847" spans="1:25" ht="12.5">
      <c r="A847" s="3"/>
      <c r="B847" s="3"/>
      <c r="C847" s="3"/>
      <c r="D847" s="110"/>
      <c r="E847" s="110"/>
      <c r="F847" s="110"/>
      <c r="G847" s="110"/>
      <c r="H847" s="110"/>
      <c r="I847" s="1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110"/>
      <c r="Y847" s="3"/>
    </row>
    <row r="848" spans="1:25" ht="12.5">
      <c r="A848" s="3"/>
      <c r="B848" s="3"/>
      <c r="C848" s="3"/>
      <c r="D848" s="110"/>
      <c r="E848" s="110"/>
      <c r="F848" s="110"/>
      <c r="G848" s="110"/>
      <c r="H848" s="110"/>
      <c r="I848" s="1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110"/>
      <c r="Y848" s="3"/>
    </row>
    <row r="849" spans="1:25" ht="12.5">
      <c r="A849" s="3"/>
      <c r="B849" s="3"/>
      <c r="C849" s="3"/>
      <c r="D849" s="110"/>
      <c r="E849" s="110"/>
      <c r="F849" s="110"/>
      <c r="G849" s="110"/>
      <c r="H849" s="110"/>
      <c r="I849" s="1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110"/>
      <c r="Y849" s="3"/>
    </row>
    <row r="850" spans="1:25" ht="12.5">
      <c r="A850" s="3"/>
      <c r="B850" s="3"/>
      <c r="C850" s="3"/>
      <c r="D850" s="110"/>
      <c r="E850" s="110"/>
      <c r="F850" s="110"/>
      <c r="G850" s="110"/>
      <c r="H850" s="110"/>
      <c r="I850" s="1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110"/>
      <c r="Y850" s="3"/>
    </row>
    <row r="851" spans="1:25" ht="12.5">
      <c r="A851" s="3"/>
      <c r="B851" s="3"/>
      <c r="C851" s="3"/>
      <c r="D851" s="110"/>
      <c r="E851" s="110"/>
      <c r="F851" s="110"/>
      <c r="G851" s="110"/>
      <c r="H851" s="110"/>
      <c r="I851" s="11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110"/>
      <c r="Y851" s="3"/>
    </row>
    <row r="852" spans="1:25" ht="12.5">
      <c r="A852" s="3"/>
      <c r="B852" s="3"/>
      <c r="C852" s="3"/>
      <c r="D852" s="110"/>
      <c r="E852" s="110"/>
      <c r="F852" s="110"/>
      <c r="G852" s="110"/>
      <c r="H852" s="110"/>
      <c r="I852" s="1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110"/>
      <c r="Y852" s="3"/>
    </row>
    <row r="853" spans="1:25" ht="12.5">
      <c r="A853" s="3"/>
      <c r="B853" s="3"/>
      <c r="C853" s="3"/>
      <c r="D853" s="110"/>
      <c r="E853" s="110"/>
      <c r="F853" s="110"/>
      <c r="G853" s="110"/>
      <c r="H853" s="110"/>
      <c r="I853" s="1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110"/>
      <c r="Y853" s="3"/>
    </row>
    <row r="854" spans="1:25" ht="12.5">
      <c r="A854" s="3"/>
      <c r="B854" s="3"/>
      <c r="C854" s="3"/>
      <c r="D854" s="110"/>
      <c r="E854" s="110"/>
      <c r="F854" s="110"/>
      <c r="G854" s="110"/>
      <c r="H854" s="110"/>
      <c r="I854" s="1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110"/>
      <c r="Y854" s="3"/>
    </row>
    <row r="855" spans="1:25" ht="12.5">
      <c r="A855" s="3"/>
      <c r="B855" s="3"/>
      <c r="C855" s="3"/>
      <c r="D855" s="110"/>
      <c r="E855" s="110"/>
      <c r="F855" s="110"/>
      <c r="G855" s="110"/>
      <c r="H855" s="110"/>
      <c r="I855" s="1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110"/>
      <c r="Y855" s="3"/>
    </row>
    <row r="856" spans="1:25" ht="12.5">
      <c r="A856" s="3"/>
      <c r="B856" s="3"/>
      <c r="C856" s="3"/>
      <c r="D856" s="110"/>
      <c r="E856" s="110"/>
      <c r="F856" s="110"/>
      <c r="G856" s="110"/>
      <c r="H856" s="110"/>
      <c r="I856" s="1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110"/>
      <c r="Y856" s="3"/>
    </row>
    <row r="857" spans="1:25" ht="12.5">
      <c r="A857" s="3"/>
      <c r="B857" s="3"/>
      <c r="C857" s="3"/>
      <c r="D857" s="110"/>
      <c r="E857" s="110"/>
      <c r="F857" s="110"/>
      <c r="G857" s="110"/>
      <c r="H857" s="110"/>
      <c r="I857" s="1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110"/>
      <c r="Y857" s="3"/>
    </row>
    <row r="858" spans="1:25" ht="12.5">
      <c r="A858" s="3"/>
      <c r="B858" s="3"/>
      <c r="C858" s="3"/>
      <c r="D858" s="110"/>
      <c r="E858" s="110"/>
      <c r="F858" s="110"/>
      <c r="G858" s="110"/>
      <c r="H858" s="110"/>
      <c r="I858" s="1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110"/>
      <c r="Y858" s="3"/>
    </row>
    <row r="859" spans="1:25" ht="12.5">
      <c r="A859" s="3"/>
      <c r="B859" s="3"/>
      <c r="C859" s="3"/>
      <c r="D859" s="110"/>
      <c r="E859" s="110"/>
      <c r="F859" s="110"/>
      <c r="G859" s="110"/>
      <c r="H859" s="110"/>
      <c r="I859" s="1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110"/>
      <c r="Y859" s="3"/>
    </row>
    <row r="860" spans="1:25" ht="12.5">
      <c r="A860" s="3"/>
      <c r="B860" s="3"/>
      <c r="C860" s="3"/>
      <c r="D860" s="110"/>
      <c r="E860" s="110"/>
      <c r="F860" s="110"/>
      <c r="G860" s="110"/>
      <c r="H860" s="110"/>
      <c r="I860" s="1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110"/>
      <c r="Y860" s="3"/>
    </row>
    <row r="861" spans="1:25" ht="12.5">
      <c r="A861" s="3"/>
      <c r="B861" s="3"/>
      <c r="C861" s="3"/>
      <c r="D861" s="110"/>
      <c r="E861" s="110"/>
      <c r="F861" s="110"/>
      <c r="G861" s="110"/>
      <c r="H861" s="110"/>
      <c r="I861" s="1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110"/>
      <c r="Y861" s="3"/>
    </row>
    <row r="862" spans="1:25" ht="12.5">
      <c r="A862" s="3"/>
      <c r="B862" s="3"/>
      <c r="C862" s="3"/>
      <c r="D862" s="110"/>
      <c r="E862" s="110"/>
      <c r="F862" s="110"/>
      <c r="G862" s="110"/>
      <c r="H862" s="110"/>
      <c r="I862" s="1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110"/>
      <c r="Y862" s="3"/>
    </row>
    <row r="863" spans="1:25" ht="12.5">
      <c r="A863" s="3"/>
      <c r="B863" s="3"/>
      <c r="C863" s="3"/>
      <c r="D863" s="110"/>
      <c r="E863" s="110"/>
      <c r="F863" s="110"/>
      <c r="G863" s="110"/>
      <c r="H863" s="110"/>
      <c r="I863" s="1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110"/>
      <c r="Y863" s="3"/>
    </row>
    <row r="864" spans="1:25" ht="12.5">
      <c r="A864" s="3"/>
      <c r="B864" s="3"/>
      <c r="C864" s="3"/>
      <c r="D864" s="110"/>
      <c r="E864" s="110"/>
      <c r="F864" s="110"/>
      <c r="G864" s="110"/>
      <c r="H864" s="110"/>
      <c r="I864" s="1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110"/>
      <c r="Y864" s="3"/>
    </row>
    <row r="865" spans="1:25" ht="12.5">
      <c r="A865" s="3"/>
      <c r="B865" s="3"/>
      <c r="C865" s="3"/>
      <c r="D865" s="110"/>
      <c r="E865" s="110"/>
      <c r="F865" s="110"/>
      <c r="G865" s="110"/>
      <c r="H865" s="110"/>
      <c r="I865" s="1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110"/>
      <c r="Y865" s="3"/>
    </row>
    <row r="866" spans="1:25" ht="12.5">
      <c r="A866" s="3"/>
      <c r="B866" s="3"/>
      <c r="C866" s="3"/>
      <c r="D866" s="110"/>
      <c r="E866" s="110"/>
      <c r="F866" s="110"/>
      <c r="G866" s="110"/>
      <c r="H866" s="110"/>
      <c r="I866" s="1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110"/>
      <c r="Y866" s="3"/>
    </row>
    <row r="867" spans="1:25" ht="12.5">
      <c r="A867" s="3"/>
      <c r="B867" s="3"/>
      <c r="C867" s="3"/>
      <c r="D867" s="110"/>
      <c r="E867" s="110"/>
      <c r="F867" s="110"/>
      <c r="G867" s="110"/>
      <c r="H867" s="110"/>
      <c r="I867" s="1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110"/>
      <c r="Y867" s="3"/>
    </row>
    <row r="868" spans="1:25" ht="12.5">
      <c r="A868" s="3"/>
      <c r="B868" s="3"/>
      <c r="C868" s="3"/>
      <c r="D868" s="110"/>
      <c r="E868" s="110"/>
      <c r="F868" s="110"/>
      <c r="G868" s="110"/>
      <c r="H868" s="110"/>
      <c r="I868" s="1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110"/>
      <c r="Y868" s="3"/>
    </row>
    <row r="869" spans="1:25" ht="12.5">
      <c r="A869" s="3"/>
      <c r="B869" s="3"/>
      <c r="C869" s="3"/>
      <c r="D869" s="110"/>
      <c r="E869" s="110"/>
      <c r="F869" s="110"/>
      <c r="G869" s="110"/>
      <c r="H869" s="110"/>
      <c r="I869" s="1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110"/>
      <c r="Y869" s="3"/>
    </row>
    <row r="870" spans="1:25" ht="12.5">
      <c r="A870" s="3"/>
      <c r="B870" s="3"/>
      <c r="C870" s="3"/>
      <c r="D870" s="110"/>
      <c r="E870" s="110"/>
      <c r="F870" s="110"/>
      <c r="G870" s="110"/>
      <c r="H870" s="110"/>
      <c r="I870" s="1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110"/>
      <c r="Y870" s="3"/>
    </row>
    <row r="871" spans="1:25" ht="12.5">
      <c r="A871" s="3"/>
      <c r="B871" s="3"/>
      <c r="C871" s="3"/>
      <c r="D871" s="110"/>
      <c r="E871" s="110"/>
      <c r="F871" s="110"/>
      <c r="G871" s="110"/>
      <c r="H871" s="110"/>
      <c r="I871" s="11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110"/>
      <c r="Y871" s="3"/>
    </row>
    <row r="872" spans="1:25" ht="12.5">
      <c r="A872" s="3"/>
      <c r="B872" s="3"/>
      <c r="C872" s="3"/>
      <c r="D872" s="110"/>
      <c r="E872" s="110"/>
      <c r="F872" s="110"/>
      <c r="G872" s="110"/>
      <c r="H872" s="110"/>
      <c r="I872" s="1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110"/>
      <c r="Y872" s="3"/>
    </row>
    <row r="873" spans="1:25" ht="12.5">
      <c r="A873" s="3"/>
      <c r="B873" s="3"/>
      <c r="C873" s="3"/>
      <c r="D873" s="110"/>
      <c r="E873" s="110"/>
      <c r="F873" s="110"/>
      <c r="G873" s="110"/>
      <c r="H873" s="110"/>
      <c r="I873" s="1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110"/>
      <c r="Y873" s="3"/>
    </row>
    <row r="874" spans="1:25" ht="12.5">
      <c r="A874" s="3"/>
      <c r="B874" s="3"/>
      <c r="C874" s="3"/>
      <c r="D874" s="110"/>
      <c r="E874" s="110"/>
      <c r="F874" s="110"/>
      <c r="G874" s="110"/>
      <c r="H874" s="110"/>
      <c r="I874" s="1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110"/>
      <c r="Y874" s="3"/>
    </row>
    <row r="875" spans="1:25" ht="12.5">
      <c r="A875" s="3"/>
      <c r="B875" s="3"/>
      <c r="C875" s="3"/>
      <c r="D875" s="110"/>
      <c r="E875" s="110"/>
      <c r="F875" s="110"/>
      <c r="G875" s="110"/>
      <c r="H875" s="110"/>
      <c r="I875" s="1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110"/>
      <c r="Y875" s="3"/>
    </row>
    <row r="876" spans="1:25" ht="12.5">
      <c r="A876" s="3"/>
      <c r="B876" s="3"/>
      <c r="C876" s="3"/>
      <c r="D876" s="110"/>
      <c r="E876" s="110"/>
      <c r="F876" s="110"/>
      <c r="G876" s="110"/>
      <c r="H876" s="110"/>
      <c r="I876" s="1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110"/>
      <c r="Y876" s="3"/>
    </row>
    <row r="877" spans="1:25" ht="12.5">
      <c r="A877" s="3"/>
      <c r="B877" s="3"/>
      <c r="C877" s="3"/>
      <c r="D877" s="110"/>
      <c r="E877" s="110"/>
      <c r="F877" s="110"/>
      <c r="G877" s="110"/>
      <c r="H877" s="110"/>
      <c r="I877" s="1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110"/>
      <c r="Y877" s="3"/>
    </row>
    <row r="878" spans="1:25" ht="12.5">
      <c r="A878" s="3"/>
      <c r="B878" s="3"/>
      <c r="C878" s="3"/>
      <c r="D878" s="110"/>
      <c r="E878" s="110"/>
      <c r="F878" s="110"/>
      <c r="G878" s="110"/>
      <c r="H878" s="110"/>
      <c r="I878" s="1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110"/>
      <c r="Y878" s="3"/>
    </row>
    <row r="879" spans="1:25" ht="12.5">
      <c r="A879" s="3"/>
      <c r="B879" s="3"/>
      <c r="C879" s="3"/>
      <c r="D879" s="110"/>
      <c r="E879" s="110"/>
      <c r="F879" s="110"/>
      <c r="G879" s="110"/>
      <c r="H879" s="110"/>
      <c r="I879" s="1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110"/>
      <c r="Y879" s="3"/>
    </row>
    <row r="880" spans="1:25" ht="12.5">
      <c r="A880" s="3"/>
      <c r="B880" s="3"/>
      <c r="C880" s="3"/>
      <c r="D880" s="110"/>
      <c r="E880" s="110"/>
      <c r="F880" s="110"/>
      <c r="G880" s="110"/>
      <c r="H880" s="110"/>
      <c r="I880" s="1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110"/>
      <c r="Y880" s="3"/>
    </row>
    <row r="881" spans="1:25" ht="12.5">
      <c r="A881" s="3"/>
      <c r="B881" s="3"/>
      <c r="C881" s="3"/>
      <c r="D881" s="110"/>
      <c r="E881" s="110"/>
      <c r="F881" s="110"/>
      <c r="G881" s="110"/>
      <c r="H881" s="110"/>
      <c r="I881" s="1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110"/>
      <c r="Y881" s="3"/>
    </row>
    <row r="882" spans="1:25" ht="12.5">
      <c r="A882" s="3"/>
      <c r="B882" s="3"/>
      <c r="C882" s="3"/>
      <c r="D882" s="110"/>
      <c r="E882" s="110"/>
      <c r="F882" s="110"/>
      <c r="G882" s="110"/>
      <c r="H882" s="110"/>
      <c r="I882" s="1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110"/>
      <c r="Y882" s="3"/>
    </row>
    <row r="883" spans="1:25" ht="12.5">
      <c r="A883" s="3"/>
      <c r="B883" s="3"/>
      <c r="C883" s="3"/>
      <c r="D883" s="110"/>
      <c r="E883" s="110"/>
      <c r="F883" s="110"/>
      <c r="G883" s="110"/>
      <c r="H883" s="110"/>
      <c r="I883" s="1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110"/>
      <c r="Y883" s="3"/>
    </row>
    <row r="884" spans="1:25" ht="12.5">
      <c r="A884" s="3"/>
      <c r="B884" s="3"/>
      <c r="C884" s="3"/>
      <c r="D884" s="110"/>
      <c r="E884" s="110"/>
      <c r="F884" s="110"/>
      <c r="G884" s="110"/>
      <c r="H884" s="110"/>
      <c r="I884" s="1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110"/>
      <c r="Y884" s="3"/>
    </row>
    <row r="885" spans="1:25" ht="12.5">
      <c r="A885" s="3"/>
      <c r="B885" s="3"/>
      <c r="C885" s="3"/>
      <c r="D885" s="110"/>
      <c r="E885" s="110"/>
      <c r="F885" s="110"/>
      <c r="G885" s="110"/>
      <c r="H885" s="110"/>
      <c r="I885" s="1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110"/>
      <c r="Y885" s="3"/>
    </row>
    <row r="886" spans="1:25" ht="12.5">
      <c r="A886" s="3"/>
      <c r="B886" s="3"/>
      <c r="C886" s="3"/>
      <c r="D886" s="110"/>
      <c r="E886" s="110"/>
      <c r="F886" s="110"/>
      <c r="G886" s="110"/>
      <c r="H886" s="110"/>
      <c r="I886" s="1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110"/>
      <c r="Y886" s="3"/>
    </row>
    <row r="887" spans="1:25" ht="12.5">
      <c r="A887" s="3"/>
      <c r="B887" s="3"/>
      <c r="C887" s="3"/>
      <c r="D887" s="110"/>
      <c r="E887" s="110"/>
      <c r="F887" s="110"/>
      <c r="G887" s="110"/>
      <c r="H887" s="110"/>
      <c r="I887" s="1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110"/>
      <c r="Y887" s="3"/>
    </row>
    <row r="888" spans="1:25" ht="12.5">
      <c r="A888" s="3"/>
      <c r="B888" s="3"/>
      <c r="C888" s="3"/>
      <c r="D888" s="110"/>
      <c r="E888" s="110"/>
      <c r="F888" s="110"/>
      <c r="G888" s="110"/>
      <c r="H888" s="110"/>
      <c r="I888" s="1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110"/>
      <c r="Y888" s="3"/>
    </row>
    <row r="889" spans="1:25" ht="12.5">
      <c r="A889" s="3"/>
      <c r="B889" s="3"/>
      <c r="C889" s="3"/>
      <c r="D889" s="110"/>
      <c r="E889" s="110"/>
      <c r="F889" s="110"/>
      <c r="G889" s="110"/>
      <c r="H889" s="110"/>
      <c r="I889" s="1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110"/>
      <c r="Y889" s="3"/>
    </row>
    <row r="890" spans="1:25" ht="12.5">
      <c r="A890" s="3"/>
      <c r="B890" s="3"/>
      <c r="C890" s="3"/>
      <c r="D890" s="110"/>
      <c r="E890" s="110"/>
      <c r="F890" s="110"/>
      <c r="G890" s="110"/>
      <c r="H890" s="110"/>
      <c r="I890" s="1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110"/>
      <c r="Y890" s="3"/>
    </row>
    <row r="891" spans="1:25" ht="12.5">
      <c r="A891" s="3"/>
      <c r="B891" s="3"/>
      <c r="C891" s="3"/>
      <c r="D891" s="110"/>
      <c r="E891" s="110"/>
      <c r="F891" s="110"/>
      <c r="G891" s="110"/>
      <c r="H891" s="110"/>
      <c r="I891" s="1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110"/>
      <c r="Y891" s="3"/>
    </row>
    <row r="892" spans="1:25" ht="12.5">
      <c r="A892" s="3"/>
      <c r="B892" s="3"/>
      <c r="C892" s="3"/>
      <c r="D892" s="110"/>
      <c r="E892" s="110"/>
      <c r="F892" s="110"/>
      <c r="G892" s="110"/>
      <c r="H892" s="110"/>
      <c r="I892" s="1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110"/>
      <c r="Y892" s="3"/>
    </row>
    <row r="893" spans="1:25" ht="12.5">
      <c r="A893" s="3"/>
      <c r="B893" s="3"/>
      <c r="C893" s="3"/>
      <c r="D893" s="110"/>
      <c r="E893" s="110"/>
      <c r="F893" s="110"/>
      <c r="G893" s="110"/>
      <c r="H893" s="110"/>
      <c r="I893" s="11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110"/>
      <c r="Y893" s="3"/>
    </row>
    <row r="894" spans="1:25" ht="12.5">
      <c r="A894" s="3"/>
      <c r="B894" s="3"/>
      <c r="C894" s="3"/>
      <c r="D894" s="110"/>
      <c r="E894" s="110"/>
      <c r="F894" s="110"/>
      <c r="G894" s="110"/>
      <c r="H894" s="110"/>
      <c r="I894" s="1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110"/>
      <c r="Y894" s="3"/>
    </row>
    <row r="895" spans="1:25" ht="12.5">
      <c r="A895" s="3"/>
      <c r="B895" s="3"/>
      <c r="C895" s="3"/>
      <c r="D895" s="110"/>
      <c r="E895" s="110"/>
      <c r="F895" s="110"/>
      <c r="G895" s="110"/>
      <c r="H895" s="110"/>
      <c r="I895" s="1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110"/>
      <c r="Y895" s="3"/>
    </row>
    <row r="896" spans="1:25" ht="12.5">
      <c r="A896" s="3"/>
      <c r="B896" s="3"/>
      <c r="C896" s="3"/>
      <c r="D896" s="110"/>
      <c r="E896" s="110"/>
      <c r="F896" s="110"/>
      <c r="G896" s="110"/>
      <c r="H896" s="110"/>
      <c r="I896" s="1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110"/>
      <c r="Y896" s="3"/>
    </row>
    <row r="897" spans="1:25" ht="12.5">
      <c r="A897" s="3"/>
      <c r="B897" s="3"/>
      <c r="C897" s="3"/>
      <c r="D897" s="110"/>
      <c r="E897" s="110"/>
      <c r="F897" s="110"/>
      <c r="G897" s="110"/>
      <c r="H897" s="110"/>
      <c r="I897" s="1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110"/>
      <c r="Y897" s="3"/>
    </row>
    <row r="898" spans="1:25" ht="12.5">
      <c r="A898" s="3"/>
      <c r="B898" s="3"/>
      <c r="C898" s="3"/>
      <c r="D898" s="110"/>
      <c r="E898" s="110"/>
      <c r="F898" s="110"/>
      <c r="G898" s="110"/>
      <c r="H898" s="110"/>
      <c r="I898" s="1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110"/>
      <c r="Y898" s="3"/>
    </row>
    <row r="899" spans="1:25" ht="12.5">
      <c r="A899" s="3"/>
      <c r="B899" s="3"/>
      <c r="C899" s="3"/>
      <c r="D899" s="110"/>
      <c r="E899" s="110"/>
      <c r="F899" s="110"/>
      <c r="G899" s="110"/>
      <c r="H899" s="110"/>
      <c r="I899" s="1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110"/>
      <c r="Y899" s="3"/>
    </row>
    <row r="900" spans="1:25" ht="12.5">
      <c r="A900" s="3"/>
      <c r="B900" s="3"/>
      <c r="C900" s="3"/>
      <c r="D900" s="110"/>
      <c r="E900" s="110"/>
      <c r="F900" s="110"/>
      <c r="G900" s="110"/>
      <c r="H900" s="110"/>
      <c r="I900" s="1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110"/>
      <c r="Y900" s="3"/>
    </row>
    <row r="901" spans="1:25" ht="12.5">
      <c r="A901" s="3"/>
      <c r="B901" s="3"/>
      <c r="C901" s="3"/>
      <c r="D901" s="110"/>
      <c r="E901" s="110"/>
      <c r="F901" s="110"/>
      <c r="G901" s="110"/>
      <c r="H901" s="110"/>
      <c r="I901" s="1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110"/>
      <c r="Y901" s="3"/>
    </row>
    <row r="902" spans="1:25" ht="12.5">
      <c r="A902" s="3"/>
      <c r="B902" s="3"/>
      <c r="C902" s="3"/>
      <c r="D902" s="110"/>
      <c r="E902" s="110"/>
      <c r="F902" s="110"/>
      <c r="G902" s="110"/>
      <c r="H902" s="110"/>
      <c r="I902" s="1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110"/>
      <c r="Y902" s="3"/>
    </row>
    <row r="903" spans="1:25" ht="12.5">
      <c r="A903" s="3"/>
      <c r="B903" s="3"/>
      <c r="C903" s="3"/>
      <c r="D903" s="110"/>
      <c r="E903" s="110"/>
      <c r="F903" s="110"/>
      <c r="G903" s="110"/>
      <c r="H903" s="110"/>
      <c r="I903" s="1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110"/>
      <c r="Y903" s="3"/>
    </row>
    <row r="904" spans="1:25" ht="12.5">
      <c r="A904" s="3"/>
      <c r="B904" s="3"/>
      <c r="C904" s="3"/>
      <c r="D904" s="110"/>
      <c r="E904" s="110"/>
      <c r="F904" s="110"/>
      <c r="G904" s="110"/>
      <c r="H904" s="110"/>
      <c r="I904" s="1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110"/>
      <c r="Y904" s="3"/>
    </row>
    <row r="905" spans="1:25" ht="12.5">
      <c r="A905" s="3"/>
      <c r="B905" s="3"/>
      <c r="C905" s="3"/>
      <c r="D905" s="110"/>
      <c r="E905" s="110"/>
      <c r="F905" s="110"/>
      <c r="G905" s="110"/>
      <c r="H905" s="110"/>
      <c r="I905" s="1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110"/>
      <c r="Y905" s="3"/>
    </row>
    <row r="906" spans="1:25" ht="12.5">
      <c r="A906" s="3"/>
      <c r="B906" s="3"/>
      <c r="C906" s="3"/>
      <c r="D906" s="110"/>
      <c r="E906" s="110"/>
      <c r="F906" s="110"/>
      <c r="G906" s="110"/>
      <c r="H906" s="110"/>
      <c r="I906" s="1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110"/>
      <c r="Y906" s="3"/>
    </row>
    <row r="907" spans="1:25" ht="12.5">
      <c r="A907" s="3"/>
      <c r="B907" s="3"/>
      <c r="C907" s="3"/>
      <c r="D907" s="110"/>
      <c r="E907" s="110"/>
      <c r="F907" s="110"/>
      <c r="G907" s="110"/>
      <c r="H907" s="110"/>
      <c r="I907" s="1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110"/>
      <c r="Y907" s="3"/>
    </row>
    <row r="908" spans="1:25" ht="12.5">
      <c r="A908" s="3"/>
      <c r="B908" s="3"/>
      <c r="C908" s="3"/>
      <c r="D908" s="110"/>
      <c r="E908" s="110"/>
      <c r="F908" s="110"/>
      <c r="G908" s="110"/>
      <c r="H908" s="110"/>
      <c r="I908" s="1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110"/>
      <c r="Y908" s="3"/>
    </row>
    <row r="909" spans="1:25" ht="12.5">
      <c r="A909" s="3"/>
      <c r="B909" s="3"/>
      <c r="C909" s="3"/>
      <c r="D909" s="110"/>
      <c r="E909" s="110"/>
      <c r="F909" s="110"/>
      <c r="G909" s="110"/>
      <c r="H909" s="110"/>
      <c r="I909" s="1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110"/>
      <c r="Y909" s="3"/>
    </row>
    <row r="910" spans="1:25" ht="12.5">
      <c r="A910" s="3"/>
      <c r="B910" s="3"/>
      <c r="C910" s="3"/>
      <c r="D910" s="110"/>
      <c r="E910" s="110"/>
      <c r="F910" s="110"/>
      <c r="G910" s="110"/>
      <c r="H910" s="110"/>
      <c r="I910" s="1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110"/>
      <c r="Y910" s="3"/>
    </row>
    <row r="911" spans="1:25" ht="12.5">
      <c r="A911" s="3"/>
      <c r="B911" s="3"/>
      <c r="C911" s="3"/>
      <c r="D911" s="110"/>
      <c r="E911" s="110"/>
      <c r="F911" s="110"/>
      <c r="G911" s="110"/>
      <c r="H911" s="110"/>
      <c r="I911" s="1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110"/>
      <c r="Y911" s="3"/>
    </row>
    <row r="912" spans="1:25" ht="12.5">
      <c r="A912" s="3"/>
      <c r="B912" s="3"/>
      <c r="C912" s="3"/>
      <c r="D912" s="110"/>
      <c r="E912" s="110"/>
      <c r="F912" s="110"/>
      <c r="G912" s="110"/>
      <c r="H912" s="110"/>
      <c r="I912" s="1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110"/>
      <c r="Y912" s="3"/>
    </row>
    <row r="913" spans="1:25" ht="12.5">
      <c r="A913" s="3"/>
      <c r="B913" s="3"/>
      <c r="C913" s="3"/>
      <c r="D913" s="110"/>
      <c r="E913" s="110"/>
      <c r="F913" s="110"/>
      <c r="G913" s="110"/>
      <c r="H913" s="110"/>
      <c r="I913" s="11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110"/>
      <c r="Y913" s="3"/>
    </row>
    <row r="914" spans="1:25" ht="12.5">
      <c r="A914" s="3"/>
      <c r="B914" s="3"/>
      <c r="C914" s="3"/>
      <c r="D914" s="110"/>
      <c r="E914" s="110"/>
      <c r="F914" s="110"/>
      <c r="G914" s="110"/>
      <c r="H914" s="110"/>
      <c r="I914" s="1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110"/>
      <c r="Y914" s="3"/>
    </row>
    <row r="915" spans="1:25" ht="12.5">
      <c r="A915" s="3"/>
      <c r="B915" s="3"/>
      <c r="C915" s="3"/>
      <c r="D915" s="110"/>
      <c r="E915" s="110"/>
      <c r="F915" s="110"/>
      <c r="G915" s="110"/>
      <c r="H915" s="110"/>
      <c r="I915" s="1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110"/>
      <c r="Y915" s="3"/>
    </row>
    <row r="916" spans="1:25" ht="12.5">
      <c r="A916" s="3"/>
      <c r="B916" s="3"/>
      <c r="C916" s="3"/>
      <c r="D916" s="110"/>
      <c r="E916" s="110"/>
      <c r="F916" s="110"/>
      <c r="G916" s="110"/>
      <c r="H916" s="110"/>
      <c r="I916" s="1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110"/>
      <c r="Y916" s="3"/>
    </row>
    <row r="917" spans="1:25" ht="12.5">
      <c r="A917" s="3"/>
      <c r="B917" s="3"/>
      <c r="C917" s="3"/>
      <c r="D917" s="110"/>
      <c r="E917" s="110"/>
      <c r="F917" s="110"/>
      <c r="G917" s="110"/>
      <c r="H917" s="110"/>
      <c r="I917" s="1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110"/>
      <c r="Y917" s="3"/>
    </row>
    <row r="918" spans="1:25" ht="12.5">
      <c r="A918" s="3"/>
      <c r="B918" s="3"/>
      <c r="C918" s="3"/>
      <c r="D918" s="110"/>
      <c r="E918" s="110"/>
      <c r="F918" s="110"/>
      <c r="G918" s="110"/>
      <c r="H918" s="110"/>
      <c r="I918" s="1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110"/>
      <c r="Y918" s="3"/>
    </row>
    <row r="919" spans="1:25" ht="12.5">
      <c r="A919" s="3"/>
      <c r="B919" s="3"/>
      <c r="C919" s="3"/>
      <c r="D919" s="110"/>
      <c r="E919" s="110"/>
      <c r="F919" s="110"/>
      <c r="G919" s="110"/>
      <c r="H919" s="110"/>
      <c r="I919" s="1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110"/>
      <c r="Y919" s="3"/>
    </row>
    <row r="920" spans="1:25" ht="12.5">
      <c r="A920" s="3"/>
      <c r="B920" s="3"/>
      <c r="C920" s="3"/>
      <c r="D920" s="110"/>
      <c r="E920" s="110"/>
      <c r="F920" s="110"/>
      <c r="G920" s="110"/>
      <c r="H920" s="110"/>
      <c r="I920" s="1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110"/>
      <c r="Y920" s="3"/>
    </row>
    <row r="921" spans="1:25" ht="12.5">
      <c r="A921" s="3"/>
      <c r="B921" s="3"/>
      <c r="C921" s="3"/>
      <c r="D921" s="110"/>
      <c r="E921" s="110"/>
      <c r="F921" s="110"/>
      <c r="G921" s="110"/>
      <c r="H921" s="110"/>
      <c r="I921" s="1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110"/>
      <c r="Y921" s="3"/>
    </row>
    <row r="922" spans="1:25" ht="12.5">
      <c r="A922" s="3"/>
      <c r="B922" s="3"/>
      <c r="C922" s="3"/>
      <c r="D922" s="110"/>
      <c r="E922" s="110"/>
      <c r="F922" s="110"/>
      <c r="G922" s="110"/>
      <c r="H922" s="110"/>
      <c r="I922" s="1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110"/>
      <c r="Y922" s="3"/>
    </row>
    <row r="923" spans="1:25" ht="12.5">
      <c r="A923" s="3"/>
      <c r="B923" s="3"/>
      <c r="C923" s="3"/>
      <c r="D923" s="110"/>
      <c r="E923" s="110"/>
      <c r="F923" s="110"/>
      <c r="G923" s="110"/>
      <c r="H923" s="110"/>
      <c r="I923" s="1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110"/>
      <c r="Y923" s="3"/>
    </row>
    <row r="924" spans="1:25" ht="12.5">
      <c r="A924" s="3"/>
      <c r="B924" s="3"/>
      <c r="C924" s="3"/>
      <c r="D924" s="110"/>
      <c r="E924" s="110"/>
      <c r="F924" s="110"/>
      <c r="G924" s="110"/>
      <c r="H924" s="110"/>
      <c r="I924" s="1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110"/>
      <c r="Y924" s="3"/>
    </row>
    <row r="925" spans="1:25" ht="12.5">
      <c r="A925" s="3"/>
      <c r="B925" s="3"/>
      <c r="C925" s="3"/>
      <c r="D925" s="110"/>
      <c r="E925" s="110"/>
      <c r="F925" s="110"/>
      <c r="G925" s="110"/>
      <c r="H925" s="110"/>
      <c r="I925" s="1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110"/>
      <c r="Y925" s="3"/>
    </row>
    <row r="926" spans="1:25" ht="12.5">
      <c r="A926" s="3"/>
      <c r="B926" s="3"/>
      <c r="C926" s="3"/>
      <c r="D926" s="110"/>
      <c r="E926" s="110"/>
      <c r="F926" s="110"/>
      <c r="G926" s="110"/>
      <c r="H926" s="110"/>
      <c r="I926" s="1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110"/>
      <c r="Y926" s="3"/>
    </row>
    <row r="927" spans="1:25" ht="12.5">
      <c r="A927" s="3"/>
      <c r="B927" s="3"/>
      <c r="C927" s="3"/>
      <c r="D927" s="110"/>
      <c r="E927" s="110"/>
      <c r="F927" s="110"/>
      <c r="G927" s="110"/>
      <c r="H927" s="110"/>
      <c r="I927" s="1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110"/>
      <c r="Y927" s="3"/>
    </row>
    <row r="928" spans="1:25" ht="12.5">
      <c r="A928" s="3"/>
      <c r="B928" s="3"/>
      <c r="C928" s="3"/>
      <c r="D928" s="110"/>
      <c r="E928" s="110"/>
      <c r="F928" s="110"/>
      <c r="G928" s="110"/>
      <c r="H928" s="110"/>
      <c r="I928" s="11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110"/>
      <c r="Y928" s="3"/>
    </row>
    <row r="929" spans="1:25" ht="12.5">
      <c r="A929" s="3"/>
      <c r="B929" s="3"/>
      <c r="C929" s="3"/>
      <c r="D929" s="110"/>
      <c r="E929" s="110"/>
      <c r="F929" s="110"/>
      <c r="G929" s="110"/>
      <c r="H929" s="110"/>
      <c r="I929" s="1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110"/>
      <c r="Y929" s="3"/>
    </row>
    <row r="930" spans="1:25" ht="12.5">
      <c r="A930" s="3"/>
      <c r="B930" s="3"/>
      <c r="C930" s="3"/>
      <c r="D930" s="110"/>
      <c r="E930" s="110"/>
      <c r="F930" s="110"/>
      <c r="G930" s="110"/>
      <c r="H930" s="110"/>
      <c r="I930" s="1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110"/>
      <c r="Y930" s="3"/>
    </row>
    <row r="931" spans="1:25" ht="12.5">
      <c r="A931" s="3"/>
      <c r="B931" s="3"/>
      <c r="C931" s="3"/>
      <c r="D931" s="110"/>
      <c r="E931" s="110"/>
      <c r="F931" s="110"/>
      <c r="G931" s="110"/>
      <c r="H931" s="110"/>
      <c r="I931" s="1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110"/>
      <c r="Y931" s="3"/>
    </row>
    <row r="932" spans="1:25" ht="12.5">
      <c r="A932" s="3"/>
      <c r="B932" s="3"/>
      <c r="C932" s="3"/>
      <c r="D932" s="110"/>
      <c r="E932" s="110"/>
      <c r="F932" s="110"/>
      <c r="G932" s="110"/>
      <c r="H932" s="110"/>
      <c r="I932" s="1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110"/>
      <c r="Y932" s="3"/>
    </row>
    <row r="933" spans="1:25" ht="12.5">
      <c r="A933" s="3"/>
      <c r="B933" s="3"/>
      <c r="C933" s="3"/>
      <c r="D933" s="110"/>
      <c r="E933" s="110"/>
      <c r="F933" s="110"/>
      <c r="G933" s="110"/>
      <c r="H933" s="110"/>
      <c r="I933" s="1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110"/>
      <c r="Y933" s="3"/>
    </row>
    <row r="934" spans="1:25" ht="12.5">
      <c r="A934" s="3"/>
      <c r="B934" s="3"/>
      <c r="C934" s="3"/>
      <c r="D934" s="110"/>
      <c r="E934" s="110"/>
      <c r="F934" s="110"/>
      <c r="G934" s="110"/>
      <c r="H934" s="110"/>
      <c r="I934" s="1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110"/>
      <c r="Y934" s="3"/>
    </row>
    <row r="935" spans="1:25" ht="12.5">
      <c r="A935" s="3"/>
      <c r="B935" s="3"/>
      <c r="C935" s="3"/>
      <c r="D935" s="110"/>
      <c r="E935" s="110"/>
      <c r="F935" s="110"/>
      <c r="G935" s="110"/>
      <c r="H935" s="110"/>
      <c r="I935" s="1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110"/>
      <c r="Y935" s="3"/>
    </row>
    <row r="936" spans="1:25" ht="12.5">
      <c r="A936" s="3"/>
      <c r="B936" s="3"/>
      <c r="C936" s="3"/>
      <c r="D936" s="110"/>
      <c r="E936" s="110"/>
      <c r="F936" s="110"/>
      <c r="G936" s="110"/>
      <c r="H936" s="110"/>
      <c r="I936" s="1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110"/>
      <c r="Y936" s="3"/>
    </row>
    <row r="937" spans="1:25" ht="12.5">
      <c r="A937" s="3"/>
      <c r="B937" s="3"/>
      <c r="C937" s="3"/>
      <c r="D937" s="110"/>
      <c r="E937" s="110"/>
      <c r="F937" s="110"/>
      <c r="G937" s="110"/>
      <c r="H937" s="110"/>
      <c r="I937" s="1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110"/>
      <c r="Y937" s="3"/>
    </row>
    <row r="938" spans="1:25" ht="12.5">
      <c r="A938" s="3"/>
      <c r="B938" s="3"/>
      <c r="C938" s="3"/>
      <c r="D938" s="110"/>
      <c r="E938" s="110"/>
      <c r="F938" s="110"/>
      <c r="G938" s="110"/>
      <c r="H938" s="110"/>
      <c r="I938" s="1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110"/>
      <c r="Y938" s="3"/>
    </row>
    <row r="939" spans="1:25" ht="12.5">
      <c r="A939" s="3"/>
      <c r="B939" s="3"/>
      <c r="C939" s="3"/>
      <c r="D939" s="110"/>
      <c r="E939" s="110"/>
      <c r="F939" s="110"/>
      <c r="G939" s="110"/>
      <c r="H939" s="110"/>
      <c r="I939" s="11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110"/>
      <c r="Y939" s="3"/>
    </row>
    <row r="940" spans="1:25" ht="12.5">
      <c r="A940" s="3"/>
      <c r="B940" s="3"/>
      <c r="C940" s="3"/>
      <c r="D940" s="110"/>
      <c r="E940" s="110"/>
      <c r="F940" s="110"/>
      <c r="G940" s="110"/>
      <c r="H940" s="110"/>
      <c r="I940" s="1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110"/>
      <c r="Y940" s="3"/>
    </row>
    <row r="941" spans="1:25" ht="12.5">
      <c r="A941" s="3"/>
      <c r="B941" s="3"/>
      <c r="C941" s="3"/>
      <c r="D941" s="110"/>
      <c r="E941" s="110"/>
      <c r="F941" s="110"/>
      <c r="G941" s="110"/>
      <c r="H941" s="110"/>
      <c r="I941" s="1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110"/>
      <c r="Y941" s="3"/>
    </row>
    <row r="942" spans="1:25" ht="12.5">
      <c r="A942" s="3"/>
      <c r="B942" s="3"/>
      <c r="C942" s="3"/>
      <c r="D942" s="110"/>
      <c r="E942" s="110"/>
      <c r="F942" s="110"/>
      <c r="G942" s="110"/>
      <c r="H942" s="110"/>
      <c r="I942" s="1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110"/>
      <c r="Y942" s="3"/>
    </row>
    <row r="943" spans="1:25" ht="12.5">
      <c r="A943" s="3"/>
      <c r="B943" s="3"/>
      <c r="C943" s="3"/>
      <c r="D943" s="110"/>
      <c r="E943" s="110"/>
      <c r="F943" s="110"/>
      <c r="G943" s="110"/>
      <c r="H943" s="110"/>
      <c r="I943" s="1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110"/>
      <c r="Y943" s="3"/>
    </row>
    <row r="944" spans="1:25" ht="12.5">
      <c r="A944" s="3"/>
      <c r="B944" s="3"/>
      <c r="C944" s="3"/>
      <c r="D944" s="110"/>
      <c r="E944" s="110"/>
      <c r="F944" s="110"/>
      <c r="G944" s="110"/>
      <c r="H944" s="110"/>
      <c r="I944" s="1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110"/>
      <c r="Y944" s="3"/>
    </row>
    <row r="945" spans="1:25" ht="12.5">
      <c r="A945" s="3"/>
      <c r="B945" s="3"/>
      <c r="C945" s="3"/>
      <c r="D945" s="110"/>
      <c r="E945" s="110"/>
      <c r="F945" s="110"/>
      <c r="G945" s="110"/>
      <c r="H945" s="110"/>
      <c r="I945" s="1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110"/>
      <c r="Y945" s="3"/>
    </row>
    <row r="946" spans="1:25" ht="12.5">
      <c r="A946" s="3"/>
      <c r="B946" s="3"/>
      <c r="C946" s="3"/>
      <c r="D946" s="110"/>
      <c r="E946" s="110"/>
      <c r="F946" s="110"/>
      <c r="G946" s="110"/>
      <c r="H946" s="110"/>
      <c r="I946" s="1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110"/>
      <c r="Y946" s="3"/>
    </row>
    <row r="947" spans="1:25" ht="12.5">
      <c r="A947" s="3"/>
      <c r="B947" s="3"/>
      <c r="C947" s="3"/>
      <c r="D947" s="110"/>
      <c r="E947" s="110"/>
      <c r="F947" s="110"/>
      <c r="G947" s="110"/>
      <c r="H947" s="110"/>
      <c r="I947" s="1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110"/>
      <c r="Y947" s="3"/>
    </row>
    <row r="948" spans="1:25" ht="12.5">
      <c r="A948" s="3"/>
      <c r="B948" s="3"/>
      <c r="C948" s="3"/>
      <c r="D948" s="110"/>
      <c r="E948" s="110"/>
      <c r="F948" s="110"/>
      <c r="G948" s="110"/>
      <c r="H948" s="110"/>
      <c r="I948" s="1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110"/>
      <c r="Y948" s="3"/>
    </row>
    <row r="949" spans="1:25" ht="12.5">
      <c r="A949" s="3"/>
      <c r="B949" s="3"/>
      <c r="C949" s="3"/>
      <c r="D949" s="110"/>
      <c r="E949" s="110"/>
      <c r="F949" s="110"/>
      <c r="G949" s="110"/>
      <c r="H949" s="110"/>
      <c r="I949" s="1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110"/>
      <c r="Y949" s="3"/>
    </row>
    <row r="950" spans="1:25" ht="12.5">
      <c r="A950" s="3"/>
      <c r="B950" s="3"/>
      <c r="C950" s="3"/>
      <c r="D950" s="110"/>
      <c r="E950" s="110"/>
      <c r="F950" s="110"/>
      <c r="G950" s="110"/>
      <c r="H950" s="110"/>
      <c r="I950" s="1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110"/>
      <c r="Y950" s="3"/>
    </row>
    <row r="951" spans="1:25" ht="12.5">
      <c r="A951" s="3"/>
      <c r="B951" s="3"/>
      <c r="C951" s="3"/>
      <c r="D951" s="110"/>
      <c r="E951" s="110"/>
      <c r="F951" s="110"/>
      <c r="G951" s="110"/>
      <c r="H951" s="110"/>
      <c r="I951" s="1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110"/>
      <c r="Y951" s="3"/>
    </row>
    <row r="952" spans="1:25" ht="12.5">
      <c r="A952" s="3"/>
      <c r="B952" s="3"/>
      <c r="C952" s="3"/>
      <c r="D952" s="110"/>
      <c r="E952" s="110"/>
      <c r="F952" s="110"/>
      <c r="G952" s="110"/>
      <c r="H952" s="110"/>
      <c r="I952" s="1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110"/>
      <c r="Y952" s="3"/>
    </row>
    <row r="953" spans="1:25" ht="12.5">
      <c r="A953" s="3"/>
      <c r="B953" s="3"/>
      <c r="C953" s="3"/>
      <c r="D953" s="110"/>
      <c r="E953" s="110"/>
      <c r="F953" s="110"/>
      <c r="G953" s="110"/>
      <c r="H953" s="110"/>
      <c r="I953" s="1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110"/>
      <c r="Y953" s="3"/>
    </row>
    <row r="954" spans="1:25" ht="12.5">
      <c r="A954" s="3"/>
      <c r="B954" s="3"/>
      <c r="C954" s="3"/>
      <c r="D954" s="110"/>
      <c r="E954" s="110"/>
      <c r="F954" s="110"/>
      <c r="G954" s="110"/>
      <c r="H954" s="110"/>
      <c r="I954" s="1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110"/>
      <c r="Y954" s="3"/>
    </row>
    <row r="955" spans="1:25" ht="12.5">
      <c r="A955" s="3"/>
      <c r="B955" s="3"/>
      <c r="C955" s="3"/>
      <c r="D955" s="110"/>
      <c r="E955" s="110"/>
      <c r="F955" s="110"/>
      <c r="G955" s="110"/>
      <c r="H955" s="110"/>
      <c r="I955" s="1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110"/>
      <c r="Y955" s="3"/>
    </row>
    <row r="956" spans="1:25" ht="12.5">
      <c r="A956" s="3"/>
      <c r="B956" s="3"/>
      <c r="C956" s="3"/>
      <c r="D956" s="110"/>
      <c r="E956" s="110"/>
      <c r="F956" s="110"/>
      <c r="G956" s="110"/>
      <c r="H956" s="110"/>
      <c r="I956" s="1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110"/>
      <c r="Y956" s="3"/>
    </row>
    <row r="957" spans="1:25" ht="12.5">
      <c r="A957" s="3"/>
      <c r="B957" s="3"/>
      <c r="C957" s="3"/>
      <c r="D957" s="110"/>
      <c r="E957" s="110"/>
      <c r="F957" s="110"/>
      <c r="G957" s="110"/>
      <c r="H957" s="110"/>
      <c r="I957" s="1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110"/>
      <c r="Y957" s="3"/>
    </row>
    <row r="958" spans="1:25" ht="12.5">
      <c r="A958" s="3"/>
      <c r="B958" s="3"/>
      <c r="C958" s="3"/>
      <c r="D958" s="110"/>
      <c r="E958" s="110"/>
      <c r="F958" s="110"/>
      <c r="G958" s="110"/>
      <c r="H958" s="110"/>
      <c r="I958" s="1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110"/>
      <c r="Y958" s="3"/>
    </row>
    <row r="959" spans="1:25" ht="12.5">
      <c r="A959" s="3"/>
      <c r="B959" s="3"/>
      <c r="C959" s="3"/>
      <c r="D959" s="110"/>
      <c r="E959" s="110"/>
      <c r="F959" s="110"/>
      <c r="G959" s="110"/>
      <c r="H959" s="110"/>
      <c r="I959" s="1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110"/>
      <c r="Y959" s="3"/>
    </row>
    <row r="960" spans="1:25" ht="12.5">
      <c r="A960" s="3"/>
      <c r="B960" s="3"/>
      <c r="C960" s="3"/>
      <c r="D960" s="110"/>
      <c r="E960" s="110"/>
      <c r="F960" s="110"/>
      <c r="G960" s="110"/>
      <c r="H960" s="110"/>
      <c r="I960" s="1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110"/>
      <c r="Y960" s="3"/>
    </row>
    <row r="961" spans="1:25" ht="12.5">
      <c r="A961" s="3"/>
      <c r="B961" s="3"/>
      <c r="C961" s="3"/>
      <c r="D961" s="110"/>
      <c r="E961" s="110"/>
      <c r="F961" s="110"/>
      <c r="G961" s="110"/>
      <c r="H961" s="110"/>
      <c r="I961" s="1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110"/>
      <c r="Y961" s="3"/>
    </row>
    <row r="962" spans="1:25" ht="12.5">
      <c r="A962" s="3"/>
      <c r="B962" s="3"/>
      <c r="C962" s="3"/>
      <c r="D962" s="110"/>
      <c r="E962" s="110"/>
      <c r="F962" s="110"/>
      <c r="G962" s="110"/>
      <c r="H962" s="110"/>
      <c r="I962" s="1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110"/>
      <c r="Y962" s="3"/>
    </row>
    <row r="963" spans="1:25" ht="12.5">
      <c r="A963" s="3"/>
      <c r="B963" s="3"/>
      <c r="C963" s="3"/>
      <c r="D963" s="110"/>
      <c r="E963" s="110"/>
      <c r="F963" s="110"/>
      <c r="G963" s="110"/>
      <c r="H963" s="110"/>
      <c r="I963" s="1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110"/>
      <c r="Y963" s="3"/>
    </row>
    <row r="964" spans="1:25" ht="12.5">
      <c r="A964" s="3"/>
      <c r="B964" s="3"/>
      <c r="C964" s="3"/>
      <c r="D964" s="110"/>
      <c r="E964" s="110"/>
      <c r="F964" s="110"/>
      <c r="G964" s="110"/>
      <c r="H964" s="110"/>
      <c r="I964" s="1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110"/>
      <c r="Y964" s="3"/>
    </row>
    <row r="965" spans="1:25" ht="12.5">
      <c r="A965" s="3"/>
      <c r="B965" s="3"/>
      <c r="C965" s="3"/>
      <c r="D965" s="110"/>
      <c r="E965" s="110"/>
      <c r="F965" s="110"/>
      <c r="G965" s="110"/>
      <c r="H965" s="110"/>
      <c r="I965" s="1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110"/>
      <c r="Y965" s="3"/>
    </row>
    <row r="966" spans="1:25" ht="12.5">
      <c r="A966" s="3"/>
      <c r="B966" s="3"/>
      <c r="C966" s="3"/>
      <c r="D966" s="110"/>
      <c r="E966" s="110"/>
      <c r="F966" s="110"/>
      <c r="G966" s="110"/>
      <c r="H966" s="110"/>
      <c r="I966" s="11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110"/>
      <c r="Y966" s="3"/>
    </row>
    <row r="967" spans="1:25" ht="12.5">
      <c r="A967" s="3"/>
      <c r="B967" s="3"/>
      <c r="C967" s="3"/>
      <c r="D967" s="110"/>
      <c r="E967" s="110"/>
      <c r="F967" s="110"/>
      <c r="G967" s="110"/>
      <c r="H967" s="110"/>
      <c r="I967" s="11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110"/>
      <c r="Y967" s="3"/>
    </row>
    <row r="968" spans="1:25" ht="12.5">
      <c r="A968" s="3"/>
      <c r="B968" s="3"/>
      <c r="C968" s="3"/>
      <c r="D968" s="110"/>
      <c r="E968" s="110"/>
      <c r="F968" s="110"/>
      <c r="G968" s="110"/>
      <c r="H968" s="110"/>
      <c r="I968" s="11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110"/>
      <c r="Y968" s="3"/>
    </row>
    <row r="969" spans="1:25" ht="12.5">
      <c r="A969" s="3"/>
      <c r="B969" s="3"/>
      <c r="C969" s="3"/>
      <c r="D969" s="110"/>
      <c r="E969" s="110"/>
      <c r="F969" s="110"/>
      <c r="G969" s="110"/>
      <c r="H969" s="110"/>
      <c r="I969" s="11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110"/>
      <c r="Y969" s="3"/>
    </row>
    <row r="970" spans="1:25" ht="12.5">
      <c r="A970" s="3"/>
      <c r="B970" s="3"/>
      <c r="C970" s="3"/>
      <c r="D970" s="110"/>
      <c r="E970" s="110"/>
      <c r="F970" s="110"/>
      <c r="G970" s="110"/>
      <c r="H970" s="110"/>
      <c r="I970" s="11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110"/>
      <c r="Y970" s="3"/>
    </row>
    <row r="971" spans="1:25" ht="12.5">
      <c r="A971" s="3"/>
      <c r="B971" s="3"/>
      <c r="C971" s="3"/>
      <c r="D971" s="110"/>
      <c r="E971" s="110"/>
      <c r="F971" s="110"/>
      <c r="G971" s="110"/>
      <c r="H971" s="110"/>
      <c r="I971" s="1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110"/>
      <c r="Y971" s="3"/>
    </row>
    <row r="972" spans="1:25" ht="12.5">
      <c r="A972" s="3"/>
      <c r="B972" s="3"/>
      <c r="C972" s="3"/>
      <c r="D972" s="110"/>
      <c r="E972" s="110"/>
      <c r="F972" s="110"/>
      <c r="G972" s="110"/>
      <c r="H972" s="110"/>
      <c r="I972" s="1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110"/>
      <c r="Y972" s="3"/>
    </row>
    <row r="973" spans="1:25" ht="12.5">
      <c r="A973" s="3"/>
      <c r="B973" s="3"/>
      <c r="C973" s="3"/>
      <c r="D973" s="110"/>
      <c r="E973" s="110"/>
      <c r="F973" s="110"/>
      <c r="G973" s="110"/>
      <c r="H973" s="110"/>
      <c r="I973" s="1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110"/>
      <c r="Y973" s="3"/>
    </row>
    <row r="974" spans="1:25" ht="12.5">
      <c r="A974" s="3"/>
      <c r="B974" s="3"/>
      <c r="C974" s="3"/>
      <c r="D974" s="110"/>
      <c r="E974" s="110"/>
      <c r="F974" s="110"/>
      <c r="G974" s="110"/>
      <c r="H974" s="110"/>
      <c r="I974" s="1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110"/>
      <c r="Y974" s="3"/>
    </row>
    <row r="975" spans="1:25" ht="12.5">
      <c r="A975" s="3"/>
      <c r="B975" s="3"/>
      <c r="C975" s="3"/>
      <c r="D975" s="110"/>
      <c r="E975" s="110"/>
      <c r="F975" s="110"/>
      <c r="G975" s="110"/>
      <c r="H975" s="110"/>
      <c r="I975" s="1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110"/>
      <c r="Y975" s="3"/>
    </row>
    <row r="976" spans="1:25" ht="12.5">
      <c r="A976" s="3"/>
      <c r="B976" s="3"/>
      <c r="C976" s="3"/>
      <c r="D976" s="110"/>
      <c r="E976" s="110"/>
      <c r="F976" s="110"/>
      <c r="G976" s="110"/>
      <c r="H976" s="110"/>
      <c r="I976" s="11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110"/>
      <c r="Y976" s="3"/>
    </row>
    <row r="977" spans="1:25" ht="12.5">
      <c r="A977" s="3"/>
      <c r="B977" s="3"/>
      <c r="C977" s="3"/>
      <c r="D977" s="110"/>
      <c r="E977" s="110"/>
      <c r="F977" s="110"/>
      <c r="G977" s="110"/>
      <c r="H977" s="110"/>
      <c r="I977" s="1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110"/>
      <c r="Y977" s="3"/>
    </row>
    <row r="978" spans="1:25" ht="12.5">
      <c r="A978" s="3"/>
      <c r="B978" s="3"/>
      <c r="C978" s="3"/>
      <c r="D978" s="110"/>
      <c r="E978" s="110"/>
      <c r="F978" s="110"/>
      <c r="G978" s="110"/>
      <c r="H978" s="110"/>
      <c r="I978" s="1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110"/>
      <c r="Y978" s="3"/>
    </row>
    <row r="979" spans="1:25" ht="12.5">
      <c r="A979" s="3"/>
      <c r="B979" s="3"/>
      <c r="C979" s="3"/>
      <c r="D979" s="110"/>
      <c r="E979" s="110"/>
      <c r="F979" s="110"/>
      <c r="G979" s="110"/>
      <c r="H979" s="110"/>
      <c r="I979" s="1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110"/>
      <c r="Y979" s="3"/>
    </row>
    <row r="980" spans="1:25" ht="12.5">
      <c r="A980" s="3"/>
      <c r="B980" s="3"/>
      <c r="C980" s="3"/>
      <c r="D980" s="110"/>
      <c r="E980" s="110"/>
      <c r="F980" s="110"/>
      <c r="G980" s="110"/>
      <c r="H980" s="110"/>
      <c r="I980" s="1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110"/>
      <c r="Y980" s="3"/>
    </row>
    <row r="981" spans="1:25" ht="12.5">
      <c r="A981" s="3"/>
      <c r="B981" s="3"/>
      <c r="C981" s="3"/>
      <c r="D981" s="110"/>
      <c r="E981" s="110"/>
      <c r="F981" s="110"/>
      <c r="G981" s="110"/>
      <c r="H981" s="110"/>
      <c r="I981" s="1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110"/>
      <c r="Y981" s="3"/>
    </row>
    <row r="982" spans="1:25" ht="12.5">
      <c r="A982" s="3"/>
      <c r="B982" s="3"/>
      <c r="C982" s="3"/>
      <c r="D982" s="110"/>
      <c r="E982" s="110"/>
      <c r="F982" s="110"/>
      <c r="G982" s="110"/>
      <c r="H982" s="110"/>
      <c r="I982" s="1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110"/>
      <c r="Y982" s="3"/>
    </row>
    <row r="983" spans="1:25" ht="12.5">
      <c r="A983" s="3"/>
      <c r="B983" s="3"/>
      <c r="C983" s="3"/>
      <c r="D983" s="110"/>
      <c r="E983" s="110"/>
      <c r="F983" s="110"/>
      <c r="G983" s="110"/>
      <c r="H983" s="110"/>
      <c r="I983" s="1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110"/>
      <c r="Y983" s="3"/>
    </row>
    <row r="984" spans="1:25" ht="12.5">
      <c r="A984" s="3"/>
      <c r="B984" s="3"/>
      <c r="C984" s="3"/>
      <c r="D984" s="110"/>
      <c r="E984" s="110"/>
      <c r="F984" s="110"/>
      <c r="G984" s="110"/>
      <c r="H984" s="110"/>
      <c r="I984" s="1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110"/>
      <c r="Y984" s="3"/>
    </row>
    <row r="985" spans="1:25" ht="12.5">
      <c r="A985" s="3"/>
      <c r="B985" s="3"/>
      <c r="C985" s="3"/>
      <c r="D985" s="110"/>
      <c r="E985" s="110"/>
      <c r="F985" s="110"/>
      <c r="G985" s="110"/>
      <c r="H985" s="110"/>
      <c r="I985" s="1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110"/>
      <c r="Y985" s="3"/>
    </row>
    <row r="986" spans="1:25" ht="12.5">
      <c r="A986" s="3"/>
      <c r="B986" s="3"/>
      <c r="C986" s="3"/>
      <c r="D986" s="110"/>
      <c r="E986" s="110"/>
      <c r="F986" s="110"/>
      <c r="G986" s="110"/>
      <c r="H986" s="110"/>
      <c r="I986" s="1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110"/>
      <c r="Y986" s="3"/>
    </row>
    <row r="987" spans="1:25" ht="12.5">
      <c r="A987" s="3"/>
      <c r="B987" s="3"/>
      <c r="C987" s="3"/>
      <c r="D987" s="110"/>
      <c r="E987" s="110"/>
      <c r="F987" s="110"/>
      <c r="G987" s="110"/>
      <c r="H987" s="110"/>
      <c r="I987" s="1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110"/>
      <c r="Y987" s="3"/>
    </row>
    <row r="988" spans="1:25" ht="12.5">
      <c r="A988" s="3"/>
      <c r="B988" s="3"/>
      <c r="C988" s="3"/>
      <c r="D988" s="110"/>
      <c r="E988" s="110"/>
      <c r="F988" s="110"/>
      <c r="G988" s="110"/>
      <c r="H988" s="110"/>
      <c r="I988" s="1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110"/>
      <c r="Y988" s="3"/>
    </row>
    <row r="989" spans="1:25" ht="12.5">
      <c r="A989" s="3"/>
      <c r="B989" s="3"/>
      <c r="C989" s="3"/>
      <c r="D989" s="110"/>
      <c r="E989" s="110"/>
      <c r="F989" s="110"/>
      <c r="G989" s="110"/>
      <c r="H989" s="110"/>
      <c r="I989" s="1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110"/>
      <c r="Y989" s="3"/>
    </row>
    <row r="990" spans="1:25" ht="12.5">
      <c r="A990" s="3"/>
      <c r="B990" s="3"/>
      <c r="C990" s="3"/>
      <c r="D990" s="110"/>
      <c r="E990" s="110"/>
      <c r="F990" s="110"/>
      <c r="G990" s="110"/>
      <c r="H990" s="110"/>
      <c r="I990" s="1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110"/>
      <c r="Y990" s="3"/>
    </row>
    <row r="991" spans="1:25" ht="12.5">
      <c r="A991" s="3"/>
      <c r="B991" s="3"/>
      <c r="C991" s="3"/>
      <c r="D991" s="110"/>
      <c r="E991" s="110"/>
      <c r="F991" s="110"/>
      <c r="G991" s="110"/>
      <c r="H991" s="110"/>
      <c r="I991" s="1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110"/>
      <c r="Y991" s="3"/>
    </row>
    <row r="992" spans="1:25" ht="12.5">
      <c r="A992" s="3"/>
      <c r="B992" s="3"/>
      <c r="C992" s="3"/>
      <c r="D992" s="110"/>
      <c r="E992" s="110"/>
      <c r="F992" s="110"/>
      <c r="G992" s="110"/>
      <c r="H992" s="110"/>
      <c r="I992" s="1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110"/>
      <c r="Y992" s="3"/>
    </row>
    <row r="993" spans="1:25" ht="12.5">
      <c r="A993" s="3"/>
      <c r="B993" s="3"/>
      <c r="C993" s="3"/>
      <c r="D993" s="110"/>
      <c r="E993" s="110"/>
      <c r="F993" s="110"/>
      <c r="G993" s="110"/>
      <c r="H993" s="110"/>
      <c r="I993" s="1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110"/>
      <c r="Y993" s="3"/>
    </row>
    <row r="994" spans="1:25" ht="12.5">
      <c r="A994" s="3"/>
      <c r="B994" s="3"/>
      <c r="C994" s="3"/>
      <c r="D994" s="110"/>
      <c r="E994" s="110"/>
      <c r="F994" s="110"/>
      <c r="G994" s="110"/>
      <c r="H994" s="110"/>
      <c r="I994" s="1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110"/>
      <c r="Y994" s="3"/>
    </row>
    <row r="995" spans="1:25" ht="12.5">
      <c r="A995" s="3"/>
      <c r="B995" s="3"/>
      <c r="C995" s="3"/>
      <c r="D995" s="110"/>
      <c r="E995" s="110"/>
      <c r="F995" s="110"/>
      <c r="G995" s="110"/>
      <c r="H995" s="110"/>
      <c r="I995" s="1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110"/>
      <c r="Y995" s="3"/>
    </row>
    <row r="996" spans="1:25" ht="12.5">
      <c r="A996" s="3"/>
      <c r="B996" s="3"/>
      <c r="C996" s="3"/>
      <c r="D996" s="110"/>
      <c r="E996" s="110"/>
      <c r="F996" s="110"/>
      <c r="G996" s="110"/>
      <c r="H996" s="110"/>
      <c r="I996" s="1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110"/>
      <c r="Y996" s="3"/>
    </row>
    <row r="997" spans="1:25" ht="12.5">
      <c r="A997" s="3"/>
      <c r="B997" s="3"/>
      <c r="C997" s="3"/>
      <c r="D997" s="110"/>
      <c r="E997" s="110"/>
      <c r="F997" s="110"/>
      <c r="G997" s="110"/>
      <c r="H997" s="110"/>
      <c r="I997" s="1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110"/>
      <c r="Y997" s="3"/>
    </row>
    <row r="998" spans="1:25" ht="12.5">
      <c r="A998" s="3"/>
      <c r="B998" s="3"/>
      <c r="C998" s="3"/>
      <c r="D998" s="110"/>
      <c r="E998" s="110"/>
      <c r="F998" s="110"/>
      <c r="G998" s="110"/>
      <c r="H998" s="110"/>
      <c r="I998" s="1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110"/>
      <c r="Y998" s="3"/>
    </row>
    <row r="999" spans="1:25" ht="12.5">
      <c r="A999" s="3"/>
      <c r="B999" s="3"/>
      <c r="C999" s="3"/>
      <c r="D999" s="110"/>
      <c r="E999" s="110"/>
      <c r="F999" s="110"/>
      <c r="G999" s="110"/>
      <c r="H999" s="110"/>
      <c r="I999" s="1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110"/>
      <c r="Y999" s="3"/>
    </row>
    <row r="1000" spans="1:25" ht="12.5">
      <c r="A1000" s="3"/>
      <c r="B1000" s="3"/>
      <c r="C1000" s="3"/>
      <c r="D1000" s="110"/>
      <c r="E1000" s="110"/>
      <c r="F1000" s="110"/>
      <c r="G1000" s="110"/>
      <c r="H1000" s="110"/>
      <c r="I1000" s="1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110"/>
      <c r="Y1000" s="3"/>
    </row>
    <row r="1001" spans="1:25" ht="12.5">
      <c r="A1001" s="3"/>
      <c r="B1001" s="3"/>
      <c r="C1001" s="3"/>
      <c r="D1001" s="110"/>
      <c r="E1001" s="110"/>
      <c r="F1001" s="110"/>
      <c r="G1001" s="110"/>
      <c r="H1001" s="110"/>
      <c r="I1001" s="1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110"/>
      <c r="Y1001" s="3"/>
    </row>
    <row r="1002" spans="1:25" ht="12.5">
      <c r="A1002" s="3"/>
      <c r="B1002" s="3"/>
      <c r="C1002" s="3"/>
      <c r="D1002" s="110"/>
      <c r="E1002" s="110"/>
      <c r="F1002" s="110"/>
      <c r="G1002" s="110"/>
      <c r="H1002" s="110"/>
      <c r="I1002" s="1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110"/>
      <c r="Y1002" s="3"/>
    </row>
    <row r="1003" spans="1:25" ht="12.5">
      <c r="A1003" s="3"/>
      <c r="B1003" s="3"/>
      <c r="C1003" s="3"/>
      <c r="D1003" s="110"/>
      <c r="E1003" s="110"/>
      <c r="F1003" s="110"/>
      <c r="G1003" s="110"/>
      <c r="H1003" s="110"/>
      <c r="I1003" s="11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110"/>
      <c r="Y1003" s="3"/>
    </row>
    <row r="1004" spans="1:25" ht="12.5">
      <c r="A1004" s="3"/>
      <c r="B1004" s="3"/>
      <c r="C1004" s="3"/>
      <c r="D1004" s="110"/>
      <c r="E1004" s="110"/>
      <c r="F1004" s="110"/>
      <c r="G1004" s="110"/>
      <c r="H1004" s="110"/>
      <c r="I1004" s="1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110"/>
      <c r="Y1004" s="3"/>
    </row>
    <row r="1005" spans="1:25" ht="12.5">
      <c r="A1005" s="3"/>
      <c r="B1005" s="3"/>
      <c r="C1005" s="3"/>
      <c r="D1005" s="110"/>
      <c r="E1005" s="110"/>
      <c r="F1005" s="110"/>
      <c r="G1005" s="110"/>
      <c r="H1005" s="110"/>
      <c r="I1005" s="1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110"/>
      <c r="Y1005" s="3"/>
    </row>
    <row r="1006" spans="1:25" ht="12.5">
      <c r="A1006" s="3"/>
      <c r="B1006" s="3"/>
      <c r="C1006" s="3"/>
      <c r="D1006" s="110"/>
      <c r="E1006" s="110"/>
      <c r="F1006" s="110"/>
      <c r="G1006" s="110"/>
      <c r="H1006" s="110"/>
      <c r="I1006" s="1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110"/>
      <c r="Y1006" s="3"/>
    </row>
    <row r="1007" spans="1:25" ht="12.5">
      <c r="A1007" s="3"/>
      <c r="B1007" s="3"/>
      <c r="C1007" s="3"/>
      <c r="D1007" s="110"/>
      <c r="E1007" s="110"/>
      <c r="F1007" s="110"/>
      <c r="G1007" s="110"/>
      <c r="H1007" s="110"/>
      <c r="I1007" s="1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110"/>
      <c r="Y1007" s="3"/>
    </row>
    <row r="1008" spans="1:25" ht="12.5">
      <c r="A1008" s="3"/>
      <c r="B1008" s="3"/>
      <c r="C1008" s="3"/>
      <c r="D1008" s="110"/>
      <c r="E1008" s="110"/>
      <c r="F1008" s="110"/>
      <c r="G1008" s="110"/>
      <c r="H1008" s="110"/>
      <c r="I1008" s="1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110"/>
      <c r="Y1008" s="3"/>
    </row>
    <row r="1009" spans="1:25" ht="12.5">
      <c r="A1009" s="3"/>
      <c r="B1009" s="3"/>
      <c r="C1009" s="3"/>
      <c r="D1009" s="110"/>
      <c r="E1009" s="110"/>
      <c r="F1009" s="110"/>
      <c r="G1009" s="110"/>
      <c r="H1009" s="110"/>
      <c r="I1009" s="1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110"/>
      <c r="Y1009" s="3"/>
    </row>
    <row r="1010" spans="1:25" ht="12.5">
      <c r="A1010" s="3"/>
      <c r="B1010" s="3"/>
      <c r="C1010" s="3"/>
      <c r="D1010" s="110"/>
      <c r="E1010" s="110"/>
      <c r="F1010" s="110"/>
      <c r="G1010" s="110"/>
      <c r="H1010" s="110"/>
      <c r="I1010" s="1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110"/>
      <c r="Y1010" s="3"/>
    </row>
    <row r="1011" spans="1:25" ht="12.5">
      <c r="A1011" s="3"/>
      <c r="B1011" s="3"/>
      <c r="C1011" s="3"/>
      <c r="D1011" s="110"/>
      <c r="E1011" s="110"/>
      <c r="F1011" s="110"/>
      <c r="G1011" s="110"/>
      <c r="H1011" s="110"/>
      <c r="I1011" s="1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110"/>
      <c r="Y1011" s="3"/>
    </row>
    <row r="1012" spans="1:25" ht="12.5">
      <c r="A1012" s="3"/>
      <c r="B1012" s="3"/>
      <c r="C1012" s="3"/>
      <c r="D1012" s="110"/>
      <c r="E1012" s="110"/>
      <c r="F1012" s="110"/>
      <c r="G1012" s="110"/>
      <c r="H1012" s="110"/>
      <c r="I1012" s="1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110"/>
      <c r="Y1012" s="3"/>
    </row>
    <row r="1013" spans="1:25" ht="12.5">
      <c r="A1013" s="3"/>
      <c r="B1013" s="3"/>
      <c r="C1013" s="3"/>
      <c r="D1013" s="110"/>
      <c r="E1013" s="110"/>
      <c r="F1013" s="110"/>
      <c r="G1013" s="110"/>
      <c r="H1013" s="110"/>
      <c r="I1013" s="1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110"/>
      <c r="Y1013" s="3"/>
    </row>
    <row r="1014" spans="1:25" ht="12.5">
      <c r="A1014" s="3"/>
      <c r="B1014" s="3"/>
      <c r="C1014" s="3"/>
      <c r="D1014" s="110"/>
      <c r="E1014" s="110"/>
      <c r="F1014" s="110"/>
      <c r="G1014" s="110"/>
      <c r="H1014" s="110"/>
      <c r="I1014" s="1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110"/>
      <c r="Y1014" s="3"/>
    </row>
    <row r="1015" spans="1:25" ht="12.5">
      <c r="A1015" s="3"/>
      <c r="B1015" s="3"/>
      <c r="C1015" s="3"/>
      <c r="D1015" s="110"/>
      <c r="E1015" s="110"/>
      <c r="F1015" s="110"/>
      <c r="G1015" s="110"/>
      <c r="H1015" s="110"/>
      <c r="I1015" s="1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110"/>
      <c r="Y1015" s="3"/>
    </row>
    <row r="1016" spans="1:25" ht="12.5">
      <c r="A1016" s="3"/>
      <c r="B1016" s="3"/>
      <c r="C1016" s="3"/>
      <c r="D1016" s="110"/>
      <c r="E1016" s="110"/>
      <c r="F1016" s="110"/>
      <c r="G1016" s="110"/>
      <c r="H1016" s="110"/>
      <c r="I1016" s="1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110"/>
      <c r="Y1016" s="3"/>
    </row>
    <row r="1017" spans="1:25" ht="12.5">
      <c r="A1017" s="3"/>
      <c r="B1017" s="3"/>
      <c r="C1017" s="3"/>
      <c r="D1017" s="110"/>
      <c r="E1017" s="110"/>
      <c r="F1017" s="110"/>
      <c r="G1017" s="110"/>
      <c r="H1017" s="110"/>
      <c r="I1017" s="1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110"/>
      <c r="Y1017" s="3"/>
    </row>
    <row r="1018" spans="1:25" ht="12.5">
      <c r="A1018" s="3"/>
      <c r="B1018" s="3"/>
      <c r="C1018" s="3"/>
      <c r="D1018" s="110"/>
      <c r="E1018" s="110"/>
      <c r="F1018" s="110"/>
      <c r="G1018" s="110"/>
      <c r="H1018" s="110"/>
      <c r="I1018" s="1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110"/>
      <c r="Y1018" s="3"/>
    </row>
    <row r="1019" spans="1:25" ht="12.5">
      <c r="A1019" s="3"/>
      <c r="B1019" s="3"/>
      <c r="C1019" s="3"/>
      <c r="D1019" s="110"/>
      <c r="E1019" s="110"/>
      <c r="F1019" s="110"/>
      <c r="G1019" s="110"/>
      <c r="H1019" s="110"/>
      <c r="I1019" s="1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110"/>
      <c r="Y1019" s="3"/>
    </row>
    <row r="1020" spans="1:25" ht="12.5">
      <c r="A1020" s="3"/>
      <c r="B1020" s="3"/>
      <c r="C1020" s="3"/>
      <c r="D1020" s="110"/>
      <c r="E1020" s="110"/>
      <c r="F1020" s="110"/>
      <c r="G1020" s="110"/>
      <c r="H1020" s="110"/>
      <c r="I1020" s="1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110"/>
      <c r="Y1020" s="3"/>
    </row>
    <row r="1021" spans="1:25" ht="12.5">
      <c r="A1021" s="3"/>
      <c r="B1021" s="3"/>
      <c r="C1021" s="3"/>
      <c r="D1021" s="110"/>
      <c r="E1021" s="110"/>
      <c r="F1021" s="110"/>
      <c r="G1021" s="110"/>
      <c r="H1021" s="110"/>
      <c r="I1021" s="1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110"/>
      <c r="Y1021" s="3"/>
    </row>
    <row r="1022" spans="1:25" ht="12.5">
      <c r="A1022" s="3"/>
      <c r="B1022" s="3"/>
      <c r="C1022" s="3"/>
      <c r="D1022" s="110"/>
      <c r="E1022" s="110"/>
      <c r="F1022" s="110"/>
      <c r="G1022" s="110"/>
      <c r="H1022" s="110"/>
      <c r="I1022" s="1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110"/>
      <c r="Y1022" s="3"/>
    </row>
    <row r="1023" spans="1:25" ht="12.5">
      <c r="A1023" s="3"/>
      <c r="B1023" s="3"/>
      <c r="C1023" s="3"/>
      <c r="D1023" s="110"/>
      <c r="E1023" s="110"/>
      <c r="F1023" s="110"/>
      <c r="G1023" s="110"/>
      <c r="H1023" s="110"/>
      <c r="I1023" s="1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110"/>
      <c r="Y1023" s="3"/>
    </row>
    <row r="1024" spans="1:25" ht="12.5">
      <c r="A1024" s="3"/>
      <c r="B1024" s="3"/>
      <c r="C1024" s="3"/>
      <c r="D1024" s="110"/>
      <c r="E1024" s="110"/>
      <c r="F1024" s="110"/>
      <c r="G1024" s="110"/>
      <c r="H1024" s="110"/>
      <c r="I1024" s="1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110"/>
      <c r="Y1024" s="3"/>
    </row>
    <row r="1025" spans="1:25" ht="12.5">
      <c r="A1025" s="3"/>
      <c r="B1025" s="3"/>
      <c r="C1025" s="3"/>
      <c r="D1025" s="110"/>
      <c r="E1025" s="110"/>
      <c r="F1025" s="110"/>
      <c r="G1025" s="110"/>
      <c r="H1025" s="110"/>
      <c r="I1025" s="1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110"/>
      <c r="Y1025" s="3"/>
    </row>
    <row r="1026" spans="1:25" ht="12.5">
      <c r="A1026" s="3"/>
      <c r="B1026" s="3"/>
      <c r="C1026" s="3"/>
      <c r="D1026" s="110"/>
      <c r="E1026" s="110"/>
      <c r="F1026" s="110"/>
      <c r="G1026" s="110"/>
      <c r="H1026" s="110"/>
      <c r="I1026" s="1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110"/>
      <c r="Y1026" s="3"/>
    </row>
    <row r="1027" spans="1:25" ht="12.5">
      <c r="A1027" s="3"/>
      <c r="B1027" s="3"/>
      <c r="C1027" s="3"/>
      <c r="D1027" s="110"/>
      <c r="E1027" s="110"/>
      <c r="F1027" s="110"/>
      <c r="G1027" s="110"/>
      <c r="H1027" s="110"/>
      <c r="I1027" s="1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110"/>
      <c r="Y1027" s="3"/>
    </row>
    <row r="1028" spans="1:25" ht="12.5">
      <c r="A1028" s="3"/>
      <c r="B1028" s="3"/>
      <c r="C1028" s="3"/>
      <c r="D1028" s="110"/>
      <c r="E1028" s="110"/>
      <c r="F1028" s="110"/>
      <c r="G1028" s="110"/>
      <c r="H1028" s="110"/>
      <c r="I1028" s="1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110"/>
      <c r="Y1028" s="3"/>
    </row>
    <row r="1029" spans="1:25" ht="12.5">
      <c r="A1029" s="3"/>
      <c r="B1029" s="3"/>
      <c r="C1029" s="3"/>
      <c r="D1029" s="110"/>
      <c r="E1029" s="110"/>
      <c r="F1029" s="110"/>
      <c r="G1029" s="110"/>
      <c r="H1029" s="110"/>
      <c r="I1029" s="1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110"/>
      <c r="Y1029" s="3"/>
    </row>
    <row r="1030" spans="1:25" ht="12.5">
      <c r="A1030" s="3"/>
      <c r="B1030" s="3"/>
      <c r="C1030" s="3"/>
      <c r="D1030" s="110"/>
      <c r="E1030" s="110"/>
      <c r="F1030" s="110"/>
      <c r="G1030" s="110"/>
      <c r="H1030" s="110"/>
      <c r="I1030" s="1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110"/>
      <c r="Y1030" s="3"/>
    </row>
    <row r="1031" spans="1:25" ht="12.5">
      <c r="A1031" s="3"/>
      <c r="B1031" s="3"/>
      <c r="C1031" s="3"/>
      <c r="D1031" s="110"/>
      <c r="E1031" s="110"/>
      <c r="F1031" s="110"/>
      <c r="G1031" s="110"/>
      <c r="H1031" s="110"/>
      <c r="I1031" s="11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110"/>
      <c r="Y1031" s="3"/>
    </row>
    <row r="1032" spans="1:25" ht="12.5">
      <c r="A1032" s="3"/>
      <c r="B1032" s="3"/>
      <c r="C1032" s="3"/>
      <c r="D1032" s="110"/>
      <c r="E1032" s="110"/>
      <c r="F1032" s="110"/>
      <c r="G1032" s="110"/>
      <c r="H1032" s="110"/>
      <c r="I1032" s="1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110"/>
      <c r="Y1032" s="3"/>
    </row>
    <row r="1033" spans="1:25" ht="12.5">
      <c r="A1033" s="3"/>
      <c r="B1033" s="3"/>
      <c r="C1033" s="3"/>
      <c r="D1033" s="110"/>
      <c r="E1033" s="110"/>
      <c r="F1033" s="110"/>
      <c r="G1033" s="110"/>
      <c r="H1033" s="110"/>
      <c r="I1033" s="1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110"/>
      <c r="Y1033" s="3"/>
    </row>
    <row r="1034" spans="1:25" ht="12.5">
      <c r="A1034" s="3"/>
      <c r="B1034" s="3"/>
      <c r="C1034" s="3"/>
      <c r="D1034" s="110"/>
      <c r="E1034" s="110"/>
      <c r="F1034" s="110"/>
      <c r="G1034" s="110"/>
      <c r="H1034" s="110"/>
      <c r="I1034" s="1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110"/>
      <c r="Y1034" s="3"/>
    </row>
    <row r="1035" spans="1:25" ht="12.5">
      <c r="A1035" s="3"/>
      <c r="B1035" s="3"/>
      <c r="C1035" s="3"/>
      <c r="D1035" s="110"/>
      <c r="E1035" s="110"/>
      <c r="F1035" s="110"/>
      <c r="G1035" s="110"/>
      <c r="H1035" s="110"/>
      <c r="I1035" s="1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110"/>
      <c r="Y1035" s="3"/>
    </row>
    <row r="1036" spans="1:25" ht="12.5">
      <c r="A1036" s="3"/>
      <c r="B1036" s="3"/>
      <c r="C1036" s="3"/>
      <c r="D1036" s="110"/>
      <c r="E1036" s="110"/>
      <c r="F1036" s="110"/>
      <c r="G1036" s="110"/>
      <c r="H1036" s="110"/>
      <c r="I1036" s="11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110"/>
      <c r="Y1036" s="3"/>
    </row>
    <row r="1037" spans="1:25" ht="12.5">
      <c r="A1037" s="3"/>
      <c r="B1037" s="3"/>
      <c r="C1037" s="3"/>
      <c r="D1037" s="110"/>
      <c r="E1037" s="110"/>
      <c r="F1037" s="110"/>
      <c r="G1037" s="110"/>
      <c r="H1037" s="110"/>
      <c r="I1037" s="1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110"/>
      <c r="Y1037" s="3"/>
    </row>
    <row r="1038" spans="1:25" ht="12.5">
      <c r="A1038" s="3"/>
      <c r="B1038" s="3"/>
      <c r="C1038" s="3"/>
      <c r="D1038" s="110"/>
      <c r="E1038" s="110"/>
      <c r="F1038" s="110"/>
      <c r="G1038" s="110"/>
      <c r="H1038" s="110"/>
      <c r="I1038" s="1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110"/>
      <c r="Y1038" s="3"/>
    </row>
    <row r="1039" spans="1:25" ht="12.5">
      <c r="A1039" s="3"/>
      <c r="B1039" s="3"/>
      <c r="C1039" s="3"/>
      <c r="D1039" s="110"/>
      <c r="E1039" s="110"/>
      <c r="F1039" s="110"/>
      <c r="G1039" s="110"/>
      <c r="H1039" s="110"/>
      <c r="I1039" s="1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110"/>
      <c r="Y1039" s="3"/>
    </row>
    <row r="1040" spans="1:25" ht="12.5">
      <c r="A1040" s="3"/>
      <c r="B1040" s="3"/>
      <c r="C1040" s="3"/>
      <c r="D1040" s="110"/>
      <c r="E1040" s="110"/>
      <c r="F1040" s="110"/>
      <c r="G1040" s="110"/>
      <c r="H1040" s="110"/>
      <c r="I1040" s="1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110"/>
      <c r="Y1040" s="3"/>
    </row>
    <row r="1041" spans="1:25" ht="12.5">
      <c r="A1041" s="3"/>
      <c r="B1041" s="3"/>
      <c r="C1041" s="3"/>
      <c r="D1041" s="110"/>
      <c r="E1041" s="110"/>
      <c r="F1041" s="110"/>
      <c r="G1041" s="110"/>
      <c r="H1041" s="110"/>
      <c r="I1041" s="1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110"/>
      <c r="Y1041" s="3"/>
    </row>
    <row r="1042" spans="1:25" ht="12.5">
      <c r="A1042" s="3"/>
      <c r="B1042" s="3"/>
      <c r="C1042" s="3"/>
      <c r="D1042" s="110"/>
      <c r="E1042" s="110"/>
      <c r="F1042" s="110"/>
      <c r="G1042" s="110"/>
      <c r="H1042" s="110"/>
      <c r="I1042" s="1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110"/>
      <c r="Y1042" s="3"/>
    </row>
    <row r="1043" spans="1:25" ht="12.5">
      <c r="A1043" s="3"/>
      <c r="B1043" s="3"/>
      <c r="C1043" s="3"/>
      <c r="D1043" s="110"/>
      <c r="E1043" s="110"/>
      <c r="F1043" s="110"/>
      <c r="G1043" s="110"/>
      <c r="H1043" s="110"/>
      <c r="I1043" s="1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110"/>
      <c r="Y1043" s="3"/>
    </row>
    <row r="1044" spans="1:25" ht="12.5">
      <c r="A1044" s="3"/>
      <c r="B1044" s="3"/>
      <c r="C1044" s="3"/>
      <c r="D1044" s="110"/>
      <c r="E1044" s="110"/>
      <c r="F1044" s="110"/>
      <c r="G1044" s="110"/>
      <c r="H1044" s="110"/>
      <c r="I1044" s="1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110"/>
      <c r="Y1044" s="3"/>
    </row>
    <row r="1045" spans="1:25" ht="12.5">
      <c r="A1045" s="3"/>
      <c r="B1045" s="3"/>
      <c r="C1045" s="3"/>
      <c r="D1045" s="110"/>
      <c r="E1045" s="110"/>
      <c r="F1045" s="110"/>
      <c r="G1045" s="110"/>
      <c r="H1045" s="110"/>
      <c r="I1045" s="1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110"/>
      <c r="Y1045" s="3"/>
    </row>
    <row r="1046" spans="1:25" ht="12.5">
      <c r="A1046" s="3"/>
      <c r="B1046" s="3"/>
      <c r="C1046" s="3"/>
      <c r="D1046" s="110"/>
      <c r="E1046" s="110"/>
      <c r="F1046" s="110"/>
      <c r="G1046" s="110"/>
      <c r="H1046" s="110"/>
      <c r="I1046" s="1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110"/>
      <c r="Y1046" s="3"/>
    </row>
    <row r="1047" spans="1:25" ht="12.5">
      <c r="A1047" s="3"/>
      <c r="B1047" s="3"/>
      <c r="C1047" s="3"/>
      <c r="D1047" s="110"/>
      <c r="E1047" s="110"/>
      <c r="F1047" s="110"/>
      <c r="G1047" s="110"/>
      <c r="H1047" s="110"/>
      <c r="I1047" s="1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110"/>
      <c r="Y1047" s="3"/>
    </row>
    <row r="1048" spans="1:25" ht="12.5">
      <c r="A1048" s="3"/>
      <c r="B1048" s="3"/>
      <c r="C1048" s="3"/>
      <c r="D1048" s="110"/>
      <c r="E1048" s="110"/>
      <c r="F1048" s="110"/>
      <c r="G1048" s="110"/>
      <c r="H1048" s="110"/>
      <c r="I1048" s="1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110"/>
      <c r="Y1048" s="3"/>
    </row>
    <row r="1049" spans="1:25" ht="12.5">
      <c r="A1049" s="3"/>
      <c r="B1049" s="3"/>
      <c r="C1049" s="3"/>
      <c r="D1049" s="110"/>
      <c r="E1049" s="110"/>
      <c r="F1049" s="110"/>
      <c r="G1049" s="110"/>
      <c r="H1049" s="110"/>
      <c r="I1049" s="1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110"/>
      <c r="Y1049" s="3"/>
    </row>
    <row r="1050" spans="1:25" ht="12.5">
      <c r="A1050" s="3"/>
      <c r="B1050" s="3"/>
      <c r="C1050" s="3"/>
      <c r="D1050" s="110"/>
      <c r="E1050" s="110"/>
      <c r="F1050" s="110"/>
      <c r="G1050" s="110"/>
      <c r="H1050" s="110"/>
      <c r="I1050" s="1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110"/>
      <c r="Y1050" s="3"/>
    </row>
    <row r="1051" spans="1:25" ht="12.5">
      <c r="A1051" s="3"/>
      <c r="B1051" s="3"/>
      <c r="C1051" s="3"/>
      <c r="D1051" s="110"/>
      <c r="E1051" s="110"/>
      <c r="F1051" s="110"/>
      <c r="G1051" s="110"/>
      <c r="H1051" s="110"/>
      <c r="I1051" s="1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110"/>
      <c r="Y1051" s="3"/>
    </row>
    <row r="1052" spans="1:25" ht="12.5">
      <c r="A1052" s="3"/>
      <c r="B1052" s="3"/>
      <c r="C1052" s="3"/>
      <c r="D1052" s="110"/>
      <c r="E1052" s="110"/>
      <c r="F1052" s="110"/>
      <c r="G1052" s="110"/>
      <c r="H1052" s="110"/>
      <c r="I1052" s="1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110"/>
      <c r="Y1052" s="3"/>
    </row>
    <row r="1053" spans="1:25" ht="12.5">
      <c r="A1053" s="3"/>
      <c r="B1053" s="3"/>
      <c r="C1053" s="3"/>
      <c r="D1053" s="110"/>
      <c r="E1053" s="110"/>
      <c r="F1053" s="110"/>
      <c r="G1053" s="110"/>
      <c r="H1053" s="110"/>
      <c r="I1053" s="1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110"/>
      <c r="Y1053" s="3"/>
    </row>
    <row r="1054" spans="1:25" ht="12.5">
      <c r="A1054" s="3"/>
      <c r="B1054" s="3"/>
      <c r="C1054" s="3"/>
      <c r="D1054" s="110"/>
      <c r="E1054" s="110"/>
      <c r="F1054" s="110"/>
      <c r="G1054" s="110"/>
      <c r="H1054" s="110"/>
      <c r="I1054" s="1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110"/>
      <c r="Y1054" s="3"/>
    </row>
    <row r="1055" spans="1:25" ht="12.5">
      <c r="A1055" s="3"/>
      <c r="B1055" s="3"/>
      <c r="C1055" s="3"/>
      <c r="D1055" s="110"/>
      <c r="E1055" s="110"/>
      <c r="F1055" s="110"/>
      <c r="G1055" s="110"/>
      <c r="H1055" s="110"/>
      <c r="I1055" s="1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110"/>
      <c r="Y1055" s="3"/>
    </row>
    <row r="1056" spans="1:25" ht="12.5">
      <c r="A1056" s="3"/>
      <c r="B1056" s="3"/>
      <c r="C1056" s="3"/>
      <c r="D1056" s="110"/>
      <c r="E1056" s="110"/>
      <c r="F1056" s="110"/>
      <c r="G1056" s="110"/>
      <c r="H1056" s="110"/>
      <c r="I1056" s="1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110"/>
      <c r="Y1056" s="3"/>
    </row>
    <row r="1057" spans="1:25" ht="12.5">
      <c r="A1057" s="3"/>
      <c r="B1057" s="3"/>
      <c r="C1057" s="3"/>
      <c r="D1057" s="110"/>
      <c r="E1057" s="110"/>
      <c r="F1057" s="110"/>
      <c r="G1057" s="110"/>
      <c r="H1057" s="110"/>
      <c r="I1057" s="1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110"/>
      <c r="Y1057" s="3"/>
    </row>
    <row r="1058" spans="1:25" ht="12.5">
      <c r="A1058" s="3"/>
      <c r="B1058" s="3"/>
      <c r="C1058" s="3"/>
      <c r="D1058" s="110"/>
      <c r="E1058" s="110"/>
      <c r="F1058" s="110"/>
      <c r="G1058" s="110"/>
      <c r="H1058" s="110"/>
      <c r="I1058" s="1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110"/>
      <c r="Y1058" s="3"/>
    </row>
    <row r="1059" spans="1:25" ht="12.5">
      <c r="A1059" s="3"/>
      <c r="B1059" s="3"/>
      <c r="C1059" s="3"/>
      <c r="D1059" s="110"/>
      <c r="E1059" s="110"/>
      <c r="F1059" s="110"/>
      <c r="G1059" s="110"/>
      <c r="H1059" s="110"/>
      <c r="I1059" s="1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110"/>
      <c r="Y1059" s="3"/>
    </row>
    <row r="1060" spans="1:25" ht="12.5">
      <c r="A1060" s="3"/>
      <c r="B1060" s="3"/>
      <c r="C1060" s="3"/>
      <c r="D1060" s="110"/>
      <c r="E1060" s="110"/>
      <c r="F1060" s="110"/>
      <c r="G1060" s="110"/>
      <c r="H1060" s="110"/>
      <c r="I1060" s="1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110"/>
      <c r="Y1060" s="3"/>
    </row>
    <row r="1061" spans="1:25" ht="12.5">
      <c r="A1061" s="3"/>
      <c r="B1061" s="3"/>
      <c r="C1061" s="3"/>
      <c r="D1061" s="110"/>
      <c r="E1061" s="110"/>
      <c r="F1061" s="110"/>
      <c r="G1061" s="110"/>
      <c r="H1061" s="110"/>
      <c r="I1061" s="1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110"/>
      <c r="Y1061" s="3"/>
    </row>
    <row r="1062" spans="1:25" ht="12.5">
      <c r="A1062" s="3"/>
      <c r="B1062" s="3"/>
      <c r="C1062" s="3"/>
      <c r="D1062" s="110"/>
      <c r="E1062" s="110"/>
      <c r="F1062" s="110"/>
      <c r="G1062" s="110"/>
      <c r="H1062" s="110"/>
      <c r="I1062" s="1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110"/>
      <c r="Y1062" s="3"/>
    </row>
    <row r="1063" spans="1:25" ht="12.5">
      <c r="A1063" s="3"/>
      <c r="B1063" s="3"/>
      <c r="C1063" s="3"/>
      <c r="D1063" s="110"/>
      <c r="E1063" s="110"/>
      <c r="F1063" s="110"/>
      <c r="G1063" s="110"/>
      <c r="H1063" s="110"/>
      <c r="I1063" s="1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110"/>
      <c r="Y1063" s="3"/>
    </row>
    <row r="1064" spans="1:25" ht="12.5">
      <c r="A1064" s="3"/>
      <c r="B1064" s="3"/>
      <c r="C1064" s="3"/>
      <c r="D1064" s="110"/>
      <c r="E1064" s="110"/>
      <c r="F1064" s="110"/>
      <c r="G1064" s="110"/>
      <c r="H1064" s="110"/>
      <c r="I1064" s="1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110"/>
      <c r="Y1064" s="3"/>
    </row>
    <row r="1065" spans="1:25" ht="12.5">
      <c r="A1065" s="3"/>
      <c r="B1065" s="3"/>
      <c r="C1065" s="3"/>
      <c r="D1065" s="110"/>
      <c r="E1065" s="110"/>
      <c r="F1065" s="110"/>
      <c r="G1065" s="110"/>
      <c r="H1065" s="110"/>
      <c r="I1065" s="1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110"/>
      <c r="Y1065" s="3"/>
    </row>
    <row r="1066" spans="1:25" ht="12.5">
      <c r="A1066" s="3"/>
      <c r="B1066" s="3"/>
      <c r="C1066" s="3"/>
      <c r="D1066" s="110"/>
      <c r="E1066" s="110"/>
      <c r="F1066" s="110"/>
      <c r="G1066" s="110"/>
      <c r="H1066" s="110"/>
      <c r="I1066" s="1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110"/>
      <c r="Y1066" s="3"/>
    </row>
    <row r="1067" spans="1:25" ht="12.5">
      <c r="A1067" s="3"/>
      <c r="B1067" s="3"/>
      <c r="C1067" s="3"/>
      <c r="D1067" s="110"/>
      <c r="E1067" s="110"/>
      <c r="F1067" s="110"/>
      <c r="G1067" s="110"/>
      <c r="H1067" s="110"/>
      <c r="I1067" s="1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110"/>
      <c r="Y1067" s="3"/>
    </row>
    <row r="1068" spans="1:25" ht="12.5">
      <c r="A1068" s="3"/>
      <c r="B1068" s="3"/>
      <c r="C1068" s="3"/>
      <c r="D1068" s="110"/>
      <c r="E1068" s="110"/>
      <c r="F1068" s="110"/>
      <c r="G1068" s="110"/>
      <c r="H1068" s="110"/>
      <c r="I1068" s="1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110"/>
      <c r="Y1068" s="3"/>
    </row>
    <row r="1069" spans="1:25" ht="12.5">
      <c r="A1069" s="3"/>
      <c r="B1069" s="3"/>
      <c r="C1069" s="3"/>
      <c r="D1069" s="110"/>
      <c r="E1069" s="110"/>
      <c r="F1069" s="110"/>
      <c r="G1069" s="110"/>
      <c r="H1069" s="110"/>
      <c r="I1069" s="1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110"/>
      <c r="Y1069" s="3"/>
    </row>
    <row r="1070" spans="1:25" ht="12.5">
      <c r="A1070" s="3"/>
      <c r="B1070" s="3"/>
      <c r="C1070" s="3"/>
      <c r="D1070" s="110"/>
      <c r="E1070" s="110"/>
      <c r="F1070" s="110"/>
      <c r="G1070" s="110"/>
      <c r="H1070" s="110"/>
      <c r="I1070" s="11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110"/>
      <c r="Y1070" s="3"/>
    </row>
    <row r="1071" spans="1:25" ht="12.5">
      <c r="A1071" s="3"/>
      <c r="B1071" s="3"/>
      <c r="C1071" s="3"/>
      <c r="D1071" s="110"/>
      <c r="E1071" s="110"/>
      <c r="F1071" s="110"/>
      <c r="G1071" s="110"/>
      <c r="H1071" s="110"/>
      <c r="I1071" s="11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110"/>
      <c r="Y1071" s="3"/>
    </row>
    <row r="1072" spans="1:25" ht="12.5">
      <c r="A1072" s="3"/>
      <c r="B1072" s="3"/>
      <c r="C1072" s="3"/>
      <c r="D1072" s="110"/>
      <c r="E1072" s="110"/>
      <c r="F1072" s="110"/>
      <c r="G1072" s="110"/>
      <c r="H1072" s="110"/>
      <c r="I1072" s="11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110"/>
      <c r="Y1072" s="3"/>
    </row>
    <row r="1073" spans="1:25" ht="12.5">
      <c r="A1073" s="3"/>
      <c r="B1073" s="3"/>
      <c r="C1073" s="3"/>
      <c r="D1073" s="110"/>
      <c r="E1073" s="110"/>
      <c r="F1073" s="110"/>
      <c r="G1073" s="110"/>
      <c r="H1073" s="110"/>
      <c r="I1073" s="1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110"/>
      <c r="Y1073" s="3"/>
    </row>
    <row r="1074" spans="1:25" ht="12.5">
      <c r="A1074" s="3"/>
      <c r="B1074" s="3"/>
      <c r="C1074" s="3"/>
      <c r="D1074" s="110"/>
      <c r="E1074" s="110"/>
      <c r="F1074" s="110"/>
      <c r="G1074" s="110"/>
      <c r="H1074" s="110"/>
      <c r="I1074" s="1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110"/>
      <c r="Y1074" s="3"/>
    </row>
    <row r="1075" spans="1:25" ht="12.5">
      <c r="A1075" s="3"/>
      <c r="B1075" s="3"/>
      <c r="C1075" s="3"/>
      <c r="D1075" s="110"/>
      <c r="E1075" s="110"/>
      <c r="F1075" s="110"/>
      <c r="G1075" s="110"/>
      <c r="H1075" s="110"/>
      <c r="I1075" s="11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110"/>
      <c r="Y1075" s="3"/>
    </row>
    <row r="1076" spans="1:25" ht="12.5">
      <c r="A1076" s="3"/>
      <c r="B1076" s="3"/>
      <c r="C1076" s="3"/>
      <c r="D1076" s="110"/>
      <c r="E1076" s="110"/>
      <c r="F1076" s="110"/>
      <c r="G1076" s="110"/>
      <c r="H1076" s="110"/>
      <c r="I1076" s="1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110"/>
      <c r="Y1076" s="3"/>
    </row>
    <row r="1077" spans="1:25" ht="12.5">
      <c r="A1077" s="3"/>
      <c r="B1077" s="3"/>
      <c r="C1077" s="3"/>
      <c r="D1077" s="110"/>
      <c r="E1077" s="110"/>
      <c r="F1077" s="110"/>
      <c r="G1077" s="110"/>
      <c r="H1077" s="110"/>
      <c r="I1077" s="1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110"/>
      <c r="Y1077" s="3"/>
    </row>
    <row r="1078" spans="1:25" ht="12.5">
      <c r="A1078" s="3"/>
      <c r="B1078" s="3"/>
      <c r="C1078" s="3"/>
      <c r="D1078" s="110"/>
      <c r="E1078" s="110"/>
      <c r="F1078" s="110"/>
      <c r="G1078" s="110"/>
      <c r="H1078" s="110"/>
      <c r="I1078" s="1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110"/>
      <c r="Y1078" s="3"/>
    </row>
    <row r="1079" spans="1:25" ht="12.5">
      <c r="A1079" s="3"/>
      <c r="B1079" s="3"/>
      <c r="C1079" s="3"/>
      <c r="D1079" s="110"/>
      <c r="E1079" s="110"/>
      <c r="F1079" s="110"/>
      <c r="G1079" s="110"/>
      <c r="H1079" s="110"/>
      <c r="I1079" s="1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110"/>
      <c r="Y1079" s="3"/>
    </row>
    <row r="1080" spans="1:25" ht="12.5">
      <c r="A1080" s="3"/>
      <c r="B1080" s="3"/>
      <c r="C1080" s="3"/>
      <c r="D1080" s="110"/>
      <c r="E1080" s="110"/>
      <c r="F1080" s="110"/>
      <c r="G1080" s="110"/>
      <c r="H1080" s="110"/>
      <c r="I1080" s="1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110"/>
      <c r="Y1080" s="3"/>
    </row>
    <row r="1081" spans="1:25" ht="12.5">
      <c r="A1081" s="3"/>
      <c r="B1081" s="3"/>
      <c r="C1081" s="3"/>
      <c r="D1081" s="110"/>
      <c r="E1081" s="110"/>
      <c r="F1081" s="110"/>
      <c r="G1081" s="110"/>
      <c r="H1081" s="110"/>
      <c r="I1081" s="1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110"/>
      <c r="Y1081" s="3"/>
    </row>
    <row r="1082" spans="1:25" ht="12.5">
      <c r="A1082" s="3"/>
      <c r="B1082" s="3"/>
      <c r="C1082" s="3"/>
      <c r="D1082" s="110"/>
      <c r="E1082" s="110"/>
      <c r="F1082" s="110"/>
      <c r="G1082" s="110"/>
      <c r="H1082" s="110"/>
      <c r="I1082" s="1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110"/>
      <c r="Y1082" s="3"/>
    </row>
    <row r="1083" spans="1:25" ht="12.5">
      <c r="A1083" s="3"/>
      <c r="B1083" s="3"/>
      <c r="C1083" s="3"/>
      <c r="D1083" s="110"/>
      <c r="E1083" s="110"/>
      <c r="F1083" s="110"/>
      <c r="G1083" s="110"/>
      <c r="H1083" s="110"/>
      <c r="I1083" s="1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110"/>
      <c r="Y1083" s="3"/>
    </row>
    <row r="1084" spans="1:25" ht="12.5">
      <c r="A1084" s="3"/>
      <c r="B1084" s="3"/>
      <c r="C1084" s="3"/>
      <c r="D1084" s="110"/>
      <c r="E1084" s="110"/>
      <c r="F1084" s="110"/>
      <c r="G1084" s="110"/>
      <c r="H1084" s="110"/>
      <c r="I1084" s="1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110"/>
      <c r="Y1084" s="3"/>
    </row>
    <row r="1085" spans="1:25" ht="12.5">
      <c r="A1085" s="3"/>
      <c r="B1085" s="3"/>
      <c r="C1085" s="3"/>
      <c r="D1085" s="110"/>
      <c r="E1085" s="110"/>
      <c r="F1085" s="110"/>
      <c r="G1085" s="110"/>
      <c r="H1085" s="110"/>
      <c r="I1085" s="1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110"/>
      <c r="Y1085" s="3"/>
    </row>
    <row r="1086" spans="1:25" ht="12.5">
      <c r="A1086" s="3"/>
      <c r="B1086" s="3"/>
      <c r="C1086" s="3"/>
      <c r="D1086" s="110"/>
      <c r="E1086" s="110"/>
      <c r="F1086" s="110"/>
      <c r="G1086" s="110"/>
      <c r="H1086" s="110"/>
      <c r="I1086" s="1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110"/>
      <c r="Y1086" s="3"/>
    </row>
    <row r="1087" spans="1:25" ht="12.5">
      <c r="A1087" s="3"/>
      <c r="B1087" s="3"/>
      <c r="C1087" s="3"/>
      <c r="D1087" s="110"/>
      <c r="E1087" s="110"/>
      <c r="F1087" s="110"/>
      <c r="G1087" s="110"/>
      <c r="H1087" s="110"/>
      <c r="I1087" s="1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110"/>
      <c r="Y1087" s="3"/>
    </row>
    <row r="1088" spans="1:25" ht="12.5">
      <c r="A1088" s="3"/>
      <c r="B1088" s="3"/>
      <c r="C1088" s="3"/>
      <c r="D1088" s="110"/>
      <c r="E1088" s="110"/>
      <c r="F1088" s="110"/>
      <c r="G1088" s="110"/>
      <c r="H1088" s="110"/>
      <c r="I1088" s="1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110"/>
      <c r="Y1088" s="3"/>
    </row>
    <row r="1089" spans="1:25" ht="12.5">
      <c r="A1089" s="3"/>
      <c r="B1089" s="3"/>
      <c r="C1089" s="3"/>
      <c r="D1089" s="110"/>
      <c r="E1089" s="110"/>
      <c r="F1089" s="110"/>
      <c r="G1089" s="110"/>
      <c r="H1089" s="110"/>
      <c r="I1089" s="1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110"/>
      <c r="Y1089" s="3"/>
    </row>
    <row r="1090" spans="1:25" ht="12.5">
      <c r="A1090" s="3"/>
      <c r="B1090" s="3"/>
      <c r="C1090" s="3"/>
      <c r="D1090" s="110"/>
      <c r="E1090" s="110"/>
      <c r="F1090" s="110"/>
      <c r="G1090" s="110"/>
      <c r="H1090" s="110"/>
      <c r="I1090" s="1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110"/>
      <c r="Y1090" s="3"/>
    </row>
    <row r="1091" spans="1:25" ht="12.5">
      <c r="A1091" s="3"/>
      <c r="B1091" s="3"/>
      <c r="C1091" s="3"/>
      <c r="D1091" s="110"/>
      <c r="E1091" s="110"/>
      <c r="F1091" s="110"/>
      <c r="G1091" s="110"/>
      <c r="H1091" s="110"/>
      <c r="I1091" s="1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110"/>
      <c r="Y1091" s="3"/>
    </row>
    <row r="1092" spans="1:25" ht="12.5">
      <c r="A1092" s="3"/>
      <c r="B1092" s="3"/>
      <c r="C1092" s="3"/>
      <c r="D1092" s="110"/>
      <c r="E1092" s="110"/>
      <c r="F1092" s="110"/>
      <c r="G1092" s="110"/>
      <c r="H1092" s="110"/>
      <c r="I1092" s="1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110"/>
      <c r="Y1092" s="3"/>
    </row>
    <row r="1093" spans="1:25" ht="12.5">
      <c r="A1093" s="3"/>
      <c r="B1093" s="3"/>
      <c r="C1093" s="3"/>
      <c r="D1093" s="110"/>
      <c r="E1093" s="110"/>
      <c r="F1093" s="110"/>
      <c r="G1093" s="110"/>
      <c r="H1093" s="110"/>
      <c r="I1093" s="1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110"/>
      <c r="Y1093" s="3"/>
    </row>
    <row r="1094" spans="1:25" ht="12.5">
      <c r="A1094" s="3"/>
      <c r="B1094" s="3"/>
      <c r="C1094" s="3"/>
      <c r="D1094" s="110"/>
      <c r="E1094" s="110"/>
      <c r="F1094" s="110"/>
      <c r="G1094" s="110"/>
      <c r="H1094" s="110"/>
      <c r="I1094" s="1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110"/>
      <c r="Y1094" s="3"/>
    </row>
    <row r="1095" spans="1:25" ht="12.5">
      <c r="A1095" s="3"/>
      <c r="B1095" s="3"/>
      <c r="C1095" s="3"/>
      <c r="D1095" s="110"/>
      <c r="E1095" s="110"/>
      <c r="F1095" s="110"/>
      <c r="G1095" s="110"/>
      <c r="H1095" s="110"/>
      <c r="I1095" s="1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110"/>
      <c r="Y1095" s="3"/>
    </row>
    <row r="1096" spans="1:25" ht="12.5">
      <c r="A1096" s="3"/>
      <c r="B1096" s="3"/>
      <c r="C1096" s="3"/>
      <c r="D1096" s="110"/>
      <c r="E1096" s="110"/>
      <c r="F1096" s="110"/>
      <c r="G1096" s="110"/>
      <c r="H1096" s="110"/>
      <c r="I1096" s="1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110"/>
      <c r="Y1096" s="3"/>
    </row>
    <row r="1097" spans="1:25" ht="12.5">
      <c r="A1097" s="3"/>
      <c r="B1097" s="3"/>
      <c r="C1097" s="3"/>
      <c r="D1097" s="110"/>
      <c r="E1097" s="110"/>
      <c r="F1097" s="110"/>
      <c r="G1097" s="110"/>
      <c r="H1097" s="110"/>
      <c r="I1097" s="1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110"/>
      <c r="Y1097" s="3"/>
    </row>
    <row r="1098" spans="1:25" ht="12.5">
      <c r="A1098" s="3"/>
      <c r="B1098" s="3"/>
      <c r="C1098" s="3"/>
      <c r="D1098" s="110"/>
      <c r="E1098" s="110"/>
      <c r="F1098" s="110"/>
      <c r="G1098" s="110"/>
      <c r="H1098" s="110"/>
      <c r="I1098" s="1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110"/>
      <c r="Y1098" s="3"/>
    </row>
    <row r="1099" spans="1:25" ht="12.5">
      <c r="A1099" s="3"/>
      <c r="B1099" s="3"/>
      <c r="C1099" s="3"/>
      <c r="D1099" s="110"/>
      <c r="E1099" s="110"/>
      <c r="F1099" s="110"/>
      <c r="G1099" s="110"/>
      <c r="H1099" s="110"/>
      <c r="I1099" s="11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110"/>
      <c r="Y1099" s="3"/>
    </row>
    <row r="1100" spans="1:25" ht="12.5">
      <c r="A1100" s="3"/>
      <c r="B1100" s="3"/>
      <c r="C1100" s="3"/>
      <c r="D1100" s="110"/>
      <c r="E1100" s="110"/>
      <c r="F1100" s="110"/>
      <c r="G1100" s="110"/>
      <c r="H1100" s="110"/>
      <c r="I1100" s="11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110"/>
      <c r="Y1100" s="3"/>
    </row>
    <row r="1101" spans="1:25" ht="12.5">
      <c r="A1101" s="3"/>
      <c r="B1101" s="3"/>
      <c r="C1101" s="3"/>
      <c r="D1101" s="110"/>
      <c r="E1101" s="110"/>
      <c r="F1101" s="110"/>
      <c r="G1101" s="110"/>
      <c r="H1101" s="110"/>
      <c r="I1101" s="11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110"/>
      <c r="Y1101" s="3"/>
    </row>
    <row r="1102" spans="1:25" ht="12.5">
      <c r="A1102" s="3"/>
      <c r="B1102" s="3"/>
      <c r="C1102" s="3"/>
      <c r="D1102" s="110"/>
      <c r="E1102" s="110"/>
      <c r="F1102" s="110"/>
      <c r="G1102" s="110"/>
      <c r="H1102" s="110"/>
      <c r="I1102" s="1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110"/>
      <c r="Y1102" s="3"/>
    </row>
    <row r="1103" spans="1:25" ht="12.5">
      <c r="A1103" s="3"/>
      <c r="B1103" s="3"/>
      <c r="C1103" s="3"/>
      <c r="D1103" s="110"/>
      <c r="E1103" s="110"/>
      <c r="F1103" s="110"/>
      <c r="G1103" s="110"/>
      <c r="H1103" s="110"/>
      <c r="I1103" s="1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110"/>
      <c r="Y1103" s="3"/>
    </row>
    <row r="1104" spans="1:25" ht="12.5">
      <c r="A1104" s="3"/>
      <c r="B1104" s="3"/>
      <c r="C1104" s="3"/>
      <c r="D1104" s="110"/>
      <c r="E1104" s="110"/>
      <c r="F1104" s="110"/>
      <c r="G1104" s="110"/>
      <c r="H1104" s="110"/>
      <c r="I1104" s="11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110"/>
      <c r="Y1104" s="3"/>
    </row>
    <row r="1105" spans="1:25" ht="12.5">
      <c r="A1105" s="3"/>
      <c r="B1105" s="3"/>
      <c r="C1105" s="3"/>
      <c r="D1105" s="110"/>
      <c r="E1105" s="110"/>
      <c r="F1105" s="110"/>
      <c r="G1105" s="110"/>
      <c r="H1105" s="110"/>
      <c r="I1105" s="11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110"/>
      <c r="Y1105" s="3"/>
    </row>
    <row r="1106" spans="1:25" ht="12.5">
      <c r="A1106" s="3"/>
      <c r="B1106" s="3"/>
      <c r="C1106" s="3"/>
      <c r="D1106" s="110"/>
      <c r="E1106" s="110"/>
      <c r="F1106" s="110"/>
      <c r="G1106" s="110"/>
      <c r="H1106" s="110"/>
      <c r="I1106" s="11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110"/>
      <c r="Y1106" s="3"/>
    </row>
    <row r="1107" spans="1:25" ht="12.5">
      <c r="A1107" s="3"/>
      <c r="B1107" s="3"/>
      <c r="C1107" s="3"/>
      <c r="D1107" s="110"/>
      <c r="E1107" s="110"/>
      <c r="F1107" s="110"/>
      <c r="G1107" s="110"/>
      <c r="H1107" s="110"/>
      <c r="I1107" s="11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110"/>
      <c r="Y1107" s="3"/>
    </row>
    <row r="1108" spans="1:25" ht="12.5">
      <c r="A1108" s="3"/>
      <c r="B1108" s="3"/>
      <c r="C1108" s="3"/>
      <c r="D1108" s="110"/>
      <c r="E1108" s="110"/>
      <c r="F1108" s="110"/>
      <c r="G1108" s="110"/>
      <c r="H1108" s="110"/>
      <c r="I1108" s="11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110"/>
      <c r="Y1108" s="3"/>
    </row>
    <row r="1109" spans="1:25" ht="12.5">
      <c r="A1109" s="3"/>
      <c r="B1109" s="3"/>
      <c r="C1109" s="3"/>
      <c r="D1109" s="110"/>
      <c r="E1109" s="110"/>
      <c r="F1109" s="110"/>
      <c r="G1109" s="110"/>
      <c r="H1109" s="110"/>
      <c r="I1109" s="11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110"/>
      <c r="Y1109" s="3"/>
    </row>
    <row r="1110" spans="1:25" ht="12.5">
      <c r="A1110" s="3"/>
      <c r="B1110" s="3"/>
      <c r="C1110" s="3"/>
      <c r="D1110" s="110"/>
      <c r="E1110" s="110"/>
      <c r="F1110" s="110"/>
      <c r="G1110" s="110"/>
      <c r="H1110" s="110"/>
      <c r="I1110" s="111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110"/>
      <c r="Y1110" s="3"/>
    </row>
    <row r="1111" spans="1:25" ht="12.5">
      <c r="A1111" s="3"/>
      <c r="B1111" s="3"/>
      <c r="C1111" s="3"/>
      <c r="D1111" s="110"/>
      <c r="E1111" s="110"/>
      <c r="F1111" s="110"/>
      <c r="G1111" s="110"/>
      <c r="H1111" s="110"/>
      <c r="I1111" s="111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110"/>
      <c r="Y1111" s="3"/>
    </row>
    <row r="1112" spans="1:25" ht="12.5">
      <c r="A1112" s="3"/>
      <c r="B1112" s="3"/>
      <c r="C1112" s="3"/>
      <c r="D1112" s="110"/>
      <c r="E1112" s="110"/>
      <c r="F1112" s="110"/>
      <c r="G1112" s="110"/>
      <c r="H1112" s="110"/>
      <c r="I1112" s="111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110"/>
      <c r="Y1112" s="3"/>
    </row>
    <row r="1113" spans="1:25" ht="12.5">
      <c r="A1113" s="3"/>
      <c r="B1113" s="3"/>
      <c r="C1113" s="3"/>
      <c r="D1113" s="110"/>
      <c r="E1113" s="110"/>
      <c r="F1113" s="110"/>
      <c r="G1113" s="110"/>
      <c r="H1113" s="110"/>
      <c r="I1113" s="111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110"/>
      <c r="Y1113" s="3"/>
    </row>
    <row r="1114" spans="1:25" ht="12.5">
      <c r="A1114" s="3"/>
      <c r="B1114" s="3"/>
      <c r="C1114" s="3"/>
      <c r="D1114" s="110"/>
      <c r="E1114" s="110"/>
      <c r="F1114" s="110"/>
      <c r="G1114" s="110"/>
      <c r="H1114" s="110"/>
      <c r="I1114" s="111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110"/>
      <c r="Y1114" s="3"/>
    </row>
    <row r="1115" spans="1:25" ht="12.5">
      <c r="A1115" s="3"/>
      <c r="B1115" s="3"/>
      <c r="C1115" s="3"/>
      <c r="D1115" s="110"/>
      <c r="E1115" s="110"/>
      <c r="F1115" s="110"/>
      <c r="G1115" s="110"/>
      <c r="H1115" s="110"/>
      <c r="I1115" s="111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110"/>
      <c r="Y1115" s="3"/>
    </row>
    <row r="1116" spans="1:25" ht="12.5">
      <c r="A1116" s="3"/>
      <c r="B1116" s="3"/>
      <c r="C1116" s="3"/>
      <c r="D1116" s="110"/>
      <c r="E1116" s="110"/>
      <c r="F1116" s="110"/>
      <c r="G1116" s="110"/>
      <c r="H1116" s="110"/>
      <c r="I1116" s="111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110"/>
      <c r="Y1116" s="3"/>
    </row>
    <row r="1117" spans="1:25" ht="12.5">
      <c r="A1117" s="3"/>
      <c r="B1117" s="3"/>
      <c r="C1117" s="3"/>
      <c r="D1117" s="110"/>
      <c r="E1117" s="110"/>
      <c r="F1117" s="110"/>
      <c r="G1117" s="110"/>
      <c r="H1117" s="110"/>
      <c r="I1117" s="111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110"/>
      <c r="Y1117" s="3"/>
    </row>
    <row r="1118" spans="1:25" ht="12.5">
      <c r="A1118" s="3"/>
      <c r="B1118" s="3"/>
      <c r="C1118" s="3"/>
      <c r="D1118" s="110"/>
      <c r="E1118" s="110"/>
      <c r="F1118" s="110"/>
      <c r="G1118" s="110"/>
      <c r="H1118" s="110"/>
      <c r="I1118" s="111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110"/>
      <c r="Y1118" s="3"/>
    </row>
    <row r="1119" spans="1:25" ht="12.5">
      <c r="A1119" s="3"/>
      <c r="B1119" s="3"/>
      <c r="C1119" s="3"/>
      <c r="D1119" s="110"/>
      <c r="E1119" s="110"/>
      <c r="F1119" s="110"/>
      <c r="G1119" s="110"/>
      <c r="H1119" s="110"/>
      <c r="I1119" s="111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110"/>
      <c r="Y1119" s="3"/>
    </row>
    <row r="1120" spans="1:25" ht="12.5">
      <c r="A1120" s="3"/>
      <c r="B1120" s="3"/>
      <c r="C1120" s="3"/>
      <c r="D1120" s="110"/>
      <c r="E1120" s="110"/>
      <c r="F1120" s="110"/>
      <c r="G1120" s="110"/>
      <c r="H1120" s="110"/>
      <c r="I1120" s="111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110"/>
      <c r="Y1120" s="3"/>
    </row>
    <row r="1121" spans="1:25" ht="12.5">
      <c r="A1121" s="3"/>
      <c r="B1121" s="3"/>
      <c r="C1121" s="3"/>
      <c r="D1121" s="110"/>
      <c r="E1121" s="110"/>
      <c r="F1121" s="110"/>
      <c r="G1121" s="110"/>
      <c r="H1121" s="110"/>
      <c r="I1121" s="111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110"/>
      <c r="Y1121" s="3"/>
    </row>
  </sheetData>
  <mergeCells count="136">
    <mergeCell ref="B159:C159"/>
    <mergeCell ref="K159:L159"/>
    <mergeCell ref="U159:V159"/>
    <mergeCell ref="B160:C160"/>
    <mergeCell ref="K160:L160"/>
    <mergeCell ref="U160:V160"/>
    <mergeCell ref="H122:H128"/>
    <mergeCell ref="X122:X128"/>
    <mergeCell ref="X131:X152"/>
    <mergeCell ref="B158:C158"/>
    <mergeCell ref="K158:L158"/>
    <mergeCell ref="U158:V158"/>
    <mergeCell ref="G112:G121"/>
    <mergeCell ref="H112:H121"/>
    <mergeCell ref="X112:X119"/>
    <mergeCell ref="A122:A128"/>
    <mergeCell ref="B122:B128"/>
    <mergeCell ref="C122:C128"/>
    <mergeCell ref="D122:D128"/>
    <mergeCell ref="E122:E128"/>
    <mergeCell ref="F122:F128"/>
    <mergeCell ref="G122:G128"/>
    <mergeCell ref="A112:A121"/>
    <mergeCell ref="B112:B121"/>
    <mergeCell ref="C112:C121"/>
    <mergeCell ref="D112:D121"/>
    <mergeCell ref="E112:E121"/>
    <mergeCell ref="F112:F121"/>
    <mergeCell ref="A100:A111"/>
    <mergeCell ref="B100:B111"/>
    <mergeCell ref="C100:C111"/>
    <mergeCell ref="D100:D111"/>
    <mergeCell ref="E100:E111"/>
    <mergeCell ref="F100:F111"/>
    <mergeCell ref="G100:G111"/>
    <mergeCell ref="H100:H111"/>
    <mergeCell ref="X100:X110"/>
    <mergeCell ref="Y72:Y85"/>
    <mergeCell ref="A86:A99"/>
    <mergeCell ref="B86:B99"/>
    <mergeCell ref="C86:C99"/>
    <mergeCell ref="D86:D99"/>
    <mergeCell ref="E86:E99"/>
    <mergeCell ref="F86:F99"/>
    <mergeCell ref="G86:G99"/>
    <mergeCell ref="H86:H99"/>
    <mergeCell ref="X86:X97"/>
    <mergeCell ref="A72:A85"/>
    <mergeCell ref="B72:B85"/>
    <mergeCell ref="C72:C85"/>
    <mergeCell ref="D72:D85"/>
    <mergeCell ref="E72:E85"/>
    <mergeCell ref="F72:F85"/>
    <mergeCell ref="G72:G85"/>
    <mergeCell ref="H72:H85"/>
    <mergeCell ref="X72:X85"/>
    <mergeCell ref="Y59:Y63"/>
    <mergeCell ref="A64:A71"/>
    <mergeCell ref="B64:B71"/>
    <mergeCell ref="C64:C71"/>
    <mergeCell ref="D64:D71"/>
    <mergeCell ref="E64:E71"/>
    <mergeCell ref="F64:F71"/>
    <mergeCell ref="G64:G71"/>
    <mergeCell ref="H64:H71"/>
    <mergeCell ref="X64:X71"/>
    <mergeCell ref="Y64:Y71"/>
    <mergeCell ref="A59:A63"/>
    <mergeCell ref="B59:B63"/>
    <mergeCell ref="C59:C63"/>
    <mergeCell ref="D59:D63"/>
    <mergeCell ref="E59:E63"/>
    <mergeCell ref="F59:F63"/>
    <mergeCell ref="G59:G63"/>
    <mergeCell ref="H59:H63"/>
    <mergeCell ref="X59:X63"/>
    <mergeCell ref="Y34:Y45"/>
    <mergeCell ref="A46:A58"/>
    <mergeCell ref="B46:B58"/>
    <mergeCell ref="C46:C58"/>
    <mergeCell ref="D46:D58"/>
    <mergeCell ref="E46:E58"/>
    <mergeCell ref="F46:F58"/>
    <mergeCell ref="G46:G58"/>
    <mergeCell ref="H46:H58"/>
    <mergeCell ref="X46:X57"/>
    <mergeCell ref="Y50:Y58"/>
    <mergeCell ref="A31:A45"/>
    <mergeCell ref="B31:B45"/>
    <mergeCell ref="C31:C45"/>
    <mergeCell ref="D31:D45"/>
    <mergeCell ref="E31:E45"/>
    <mergeCell ref="F31:F45"/>
    <mergeCell ref="G31:G45"/>
    <mergeCell ref="H31:H45"/>
    <mergeCell ref="X31:X45"/>
    <mergeCell ref="C7:C8"/>
    <mergeCell ref="D7:D8"/>
    <mergeCell ref="E7:E8"/>
    <mergeCell ref="F7:F8"/>
    <mergeCell ref="X11:X18"/>
    <mergeCell ref="Y11:Y18"/>
    <mergeCell ref="A19:A30"/>
    <mergeCell ref="B19:B30"/>
    <mergeCell ref="C19:C30"/>
    <mergeCell ref="D19:D30"/>
    <mergeCell ref="E19:E30"/>
    <mergeCell ref="F19:F30"/>
    <mergeCell ref="G19:G30"/>
    <mergeCell ref="H19:H30"/>
    <mergeCell ref="X19:X30"/>
    <mergeCell ref="Y19:Y30"/>
    <mergeCell ref="A1:J1"/>
    <mergeCell ref="A2:J2"/>
    <mergeCell ref="A3:J3"/>
    <mergeCell ref="A4:J4"/>
    <mergeCell ref="U5:X6"/>
    <mergeCell ref="A5:I6"/>
    <mergeCell ref="W7:W8"/>
    <mergeCell ref="X7:X8"/>
    <mergeCell ref="A11:A18"/>
    <mergeCell ref="B11:B18"/>
    <mergeCell ref="C11:C18"/>
    <mergeCell ref="D11:D18"/>
    <mergeCell ref="E11:E18"/>
    <mergeCell ref="F11:F18"/>
    <mergeCell ref="G11:G18"/>
    <mergeCell ref="H11:H18"/>
    <mergeCell ref="G7:G8"/>
    <mergeCell ref="H7:H8"/>
    <mergeCell ref="I7:I8"/>
    <mergeCell ref="J7:T7"/>
    <mergeCell ref="U7:U8"/>
    <mergeCell ref="V7:V8"/>
    <mergeCell ref="A7:A8"/>
    <mergeCell ref="B7:B8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D1DC-0006-4248-8C0F-29E4A862F180}">
  <sheetPr codeName="Sheet8">
    <outlinePr summaryBelow="0" summaryRight="0"/>
    <pageSetUpPr fitToPage="1"/>
  </sheetPr>
  <dimension ref="A1:Y1127"/>
  <sheetViews>
    <sheetView tabSelected="1" topLeftCell="A4" zoomScale="80" zoomScaleNormal="80" workbookViewId="0">
      <pane xSplit="9" ySplit="6" topLeftCell="T136" activePane="bottomRight" state="frozen"/>
      <selection activeCell="A4" sqref="A4"/>
      <selection pane="topRight" activeCell="I4" sqref="I4"/>
      <selection pane="bottomLeft" activeCell="A10" sqref="A10"/>
      <selection pane="bottomRight" activeCell="W80" sqref="W80"/>
    </sheetView>
  </sheetViews>
  <sheetFormatPr defaultColWidth="12.6328125" defaultRowHeight="15.75" customHeight="1"/>
  <cols>
    <col min="1" max="1" width="12.6328125" style="37"/>
    <col min="2" max="2" width="25.90625" style="37" customWidth="1"/>
    <col min="3" max="3" width="15" style="37" customWidth="1"/>
    <col min="4" max="8" width="12.6328125" style="176" customWidth="1"/>
    <col min="9" max="9" width="12.6328125" style="36" customWidth="1"/>
    <col min="10" max="17" width="12.6328125" style="37" customWidth="1"/>
    <col min="18" max="18" width="16.54296875" style="37" customWidth="1"/>
    <col min="19" max="19" width="21.08984375" style="37" customWidth="1"/>
    <col min="20" max="20" width="14.08984375" style="37" customWidth="1"/>
    <col min="21" max="23" width="12.6328125" style="37"/>
    <col min="24" max="24" width="13.7265625" style="176" customWidth="1"/>
    <col min="25" max="25" width="10.453125" style="37" customWidth="1"/>
    <col min="26" max="16384" width="12.6328125" style="37"/>
  </cols>
  <sheetData>
    <row r="1" spans="1:25" ht="15.75" customHeight="1">
      <c r="A1" s="193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5"/>
      <c r="Y1" s="156"/>
    </row>
    <row r="2" spans="1:25" ht="14">
      <c r="A2" s="194" t="s">
        <v>1</v>
      </c>
      <c r="B2" s="191"/>
      <c r="C2" s="191"/>
      <c r="D2" s="191"/>
      <c r="E2" s="191"/>
      <c r="F2" s="191"/>
      <c r="G2" s="191"/>
      <c r="H2" s="191"/>
      <c r="I2" s="191"/>
      <c r="J2" s="191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5"/>
      <c r="Y2" s="156"/>
    </row>
    <row r="3" spans="1:25" ht="14">
      <c r="A3" s="194" t="s">
        <v>2</v>
      </c>
      <c r="B3" s="191"/>
      <c r="C3" s="191"/>
      <c r="D3" s="191"/>
      <c r="E3" s="191"/>
      <c r="F3" s="191"/>
      <c r="G3" s="191"/>
      <c r="H3" s="191"/>
      <c r="I3" s="191"/>
      <c r="J3" s="191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5"/>
      <c r="Y3" s="156"/>
    </row>
    <row r="4" spans="1:25" ht="14">
      <c r="A4" s="194" t="s">
        <v>3</v>
      </c>
      <c r="B4" s="191"/>
      <c r="C4" s="191"/>
      <c r="D4" s="191"/>
      <c r="E4" s="191"/>
      <c r="F4" s="191"/>
      <c r="G4" s="191"/>
      <c r="H4" s="191"/>
      <c r="I4" s="191"/>
      <c r="J4" s="191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5"/>
      <c r="Y4" s="156"/>
    </row>
    <row r="5" spans="1:25" ht="12.5" customHeight="1">
      <c r="A5" s="195" t="s">
        <v>242</v>
      </c>
      <c r="B5" s="195"/>
      <c r="C5" s="195"/>
      <c r="D5" s="195"/>
      <c r="E5" s="195"/>
      <c r="F5" s="195"/>
      <c r="G5" s="195"/>
      <c r="H5" s="195"/>
      <c r="I5" s="195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96" t="s">
        <v>232</v>
      </c>
      <c r="V5" s="197"/>
      <c r="W5" s="197"/>
      <c r="X5" s="197"/>
      <c r="Y5" s="156"/>
    </row>
    <row r="6" spans="1:25" ht="12.5">
      <c r="A6" s="195"/>
      <c r="B6" s="195"/>
      <c r="C6" s="195"/>
      <c r="D6" s="195"/>
      <c r="E6" s="195"/>
      <c r="F6" s="195"/>
      <c r="G6" s="195"/>
      <c r="H6" s="195"/>
      <c r="I6" s="195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97"/>
      <c r="V6" s="197"/>
      <c r="W6" s="197"/>
      <c r="X6" s="197"/>
      <c r="Y6" s="156"/>
    </row>
    <row r="7" spans="1:25" ht="14.5" customHeight="1">
      <c r="A7" s="199" t="s">
        <v>6</v>
      </c>
      <c r="B7" s="190" t="s">
        <v>7</v>
      </c>
      <c r="C7" s="190" t="s">
        <v>8</v>
      </c>
      <c r="D7" s="190" t="s">
        <v>9</v>
      </c>
      <c r="E7" s="190" t="s">
        <v>10</v>
      </c>
      <c r="F7" s="190" t="s">
        <v>11</v>
      </c>
      <c r="G7" s="190" t="s">
        <v>12</v>
      </c>
      <c r="H7" s="190" t="s">
        <v>13</v>
      </c>
      <c r="I7" s="198" t="s">
        <v>14</v>
      </c>
      <c r="J7" s="19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0" t="s">
        <v>201</v>
      </c>
      <c r="V7" s="190" t="s">
        <v>16</v>
      </c>
      <c r="W7" s="190" t="s">
        <v>17</v>
      </c>
      <c r="X7" s="190" t="s">
        <v>18</v>
      </c>
      <c r="Y7" s="156"/>
    </row>
    <row r="8" spans="1:25" ht="39" customHeight="1">
      <c r="A8" s="191"/>
      <c r="B8" s="191"/>
      <c r="C8" s="191"/>
      <c r="D8" s="192"/>
      <c r="E8" s="190"/>
      <c r="F8" s="190"/>
      <c r="G8" s="190"/>
      <c r="H8" s="190"/>
      <c r="I8" s="198"/>
      <c r="J8" s="153" t="s">
        <v>19</v>
      </c>
      <c r="K8" s="153" t="s">
        <v>20</v>
      </c>
      <c r="L8" s="153" t="s">
        <v>21</v>
      </c>
      <c r="M8" s="153" t="s">
        <v>22</v>
      </c>
      <c r="N8" s="153" t="s">
        <v>23</v>
      </c>
      <c r="O8" s="153" t="s">
        <v>24</v>
      </c>
      <c r="P8" s="153" t="s">
        <v>25</v>
      </c>
      <c r="Q8" s="153" t="s">
        <v>26</v>
      </c>
      <c r="R8" s="153" t="s">
        <v>27</v>
      </c>
      <c r="S8" s="153" t="s">
        <v>28</v>
      </c>
      <c r="T8" s="153" t="s">
        <v>29</v>
      </c>
      <c r="U8" s="191"/>
      <c r="V8" s="191"/>
      <c r="W8" s="190"/>
      <c r="X8" s="192"/>
      <c r="Y8" s="156"/>
    </row>
    <row r="9" spans="1:25" ht="13">
      <c r="A9" s="158"/>
      <c r="B9" s="132"/>
      <c r="C9" s="132"/>
      <c r="D9" s="159">
        <f>SUM(D10:D163)</f>
        <v>91434616</v>
      </c>
      <c r="E9" s="159">
        <f>SUM(E10:E163)</f>
        <v>17919231</v>
      </c>
      <c r="F9" s="159">
        <f>SUM(F10:F163)</f>
        <v>9400000</v>
      </c>
      <c r="G9" s="159">
        <f>SUM(G10:G163)</f>
        <v>11820000</v>
      </c>
      <c r="H9" s="159"/>
      <c r="I9" s="159"/>
      <c r="J9" s="159">
        <f t="shared" ref="J9:Q9" si="0">J18+J28+J41+J54+J73+J78+J91+J103+J115</f>
        <v>1079</v>
      </c>
      <c r="K9" s="159">
        <f t="shared" si="0"/>
        <v>4228800000</v>
      </c>
      <c r="L9" s="159">
        <f t="shared" si="0"/>
        <v>5338568305.0537634</v>
      </c>
      <c r="M9" s="159">
        <f t="shared" si="0"/>
        <v>4868007768</v>
      </c>
      <c r="N9" s="159">
        <f t="shared" si="0"/>
        <v>267750450</v>
      </c>
      <c r="O9" s="159">
        <f t="shared" si="0"/>
        <v>15659700</v>
      </c>
      <c r="P9" s="159">
        <f t="shared" si="0"/>
        <v>5151417918</v>
      </c>
      <c r="Q9" s="159">
        <f t="shared" si="0"/>
        <v>1369649466.6666665</v>
      </c>
      <c r="R9" s="160">
        <f>Q9/L9</f>
        <v>0.25655744918915541</v>
      </c>
      <c r="S9" s="159">
        <f>S18+S28+S41+S54+S73+S78+S91+S103+S115</f>
        <v>112074193.54838708</v>
      </c>
      <c r="T9" s="159">
        <f>T18+T28+T41+T54+T73+T78+T91+T103+T115</f>
        <v>3941997931.7813263</v>
      </c>
      <c r="U9" s="159">
        <f>(T9/K9)*100</f>
        <v>93.2178852577877</v>
      </c>
      <c r="V9" s="159">
        <f>U9*109000/90</f>
        <v>112897.21658998732</v>
      </c>
      <c r="W9" s="159">
        <f>W18+W28+W41+W54+W73+W78+W91+W103+W115+W126+W133</f>
        <v>146302949.8385368</v>
      </c>
      <c r="X9" s="159"/>
      <c r="Y9" s="156"/>
    </row>
    <row r="10" spans="1:25" ht="21.5" customHeight="1">
      <c r="A10" s="161" t="s">
        <v>30</v>
      </c>
      <c r="B10" s="162" t="s">
        <v>31</v>
      </c>
      <c r="C10" s="162" t="s">
        <v>32</v>
      </c>
      <c r="D10" s="16">
        <v>10000000</v>
      </c>
      <c r="E10" s="16">
        <v>500000</v>
      </c>
      <c r="F10" s="16">
        <v>700000</v>
      </c>
      <c r="G10" s="16">
        <f>774*10000</f>
        <v>7740000</v>
      </c>
      <c r="H10" s="16">
        <v>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16"/>
      <c r="W10" s="16"/>
      <c r="X10" s="16">
        <f>D10+F10+E10+G10</f>
        <v>18940000</v>
      </c>
      <c r="Y10" s="163"/>
    </row>
    <row r="11" spans="1:25" ht="14">
      <c r="A11" s="179" t="s">
        <v>33</v>
      </c>
      <c r="B11" s="178" t="s">
        <v>42</v>
      </c>
      <c r="C11" s="178" t="s">
        <v>43</v>
      </c>
      <c r="D11" s="177">
        <v>10000000</v>
      </c>
      <c r="E11" s="177">
        <v>500000</v>
      </c>
      <c r="F11" s="177">
        <v>700000</v>
      </c>
      <c r="G11" s="177">
        <f>408*10000</f>
        <v>4080000</v>
      </c>
      <c r="H11" s="177"/>
      <c r="I11" s="26"/>
      <c r="J11" s="26"/>
      <c r="K11" s="26"/>
      <c r="L11" s="164"/>
      <c r="M11" s="26"/>
      <c r="N11" s="26"/>
      <c r="O11" s="26"/>
      <c r="P11" s="26">
        <f>SUM(M11:O11)</f>
        <v>0</v>
      </c>
      <c r="Q11" s="26"/>
      <c r="R11" s="45"/>
      <c r="S11" s="26"/>
      <c r="T11" s="26"/>
      <c r="U11" s="46"/>
      <c r="V11" s="16"/>
      <c r="W11" s="16"/>
      <c r="X11" s="177">
        <f>W18+D11+F11+G11+H11+E11</f>
        <v>15280000</v>
      </c>
      <c r="Y11" s="178"/>
    </row>
    <row r="12" spans="1:25" ht="14">
      <c r="A12" s="179"/>
      <c r="B12" s="178" t="str">
        <f>B11</f>
        <v>Trần Quang Huy</v>
      </c>
      <c r="C12" s="178"/>
      <c r="D12" s="177"/>
      <c r="E12" s="177"/>
      <c r="F12" s="177"/>
      <c r="G12" s="177"/>
      <c r="H12" s="177"/>
      <c r="I12" s="26"/>
      <c r="J12" s="26"/>
      <c r="K12" s="26"/>
      <c r="L12" s="165"/>
      <c r="M12" s="26"/>
      <c r="N12" s="26"/>
      <c r="O12" s="26"/>
      <c r="P12" s="26">
        <f>SUM(M12:O12)</f>
        <v>0</v>
      </c>
      <c r="Q12" s="26"/>
      <c r="R12" s="45"/>
      <c r="S12" s="26"/>
      <c r="T12" s="26"/>
      <c r="U12" s="46"/>
      <c r="V12" s="16"/>
      <c r="W12" s="16"/>
      <c r="X12" s="178"/>
      <c r="Y12" s="178"/>
    </row>
    <row r="13" spans="1:25" ht="12.5">
      <c r="A13" s="179"/>
      <c r="B13" s="178" t="str">
        <f>B12</f>
        <v>Trần Quang Huy</v>
      </c>
      <c r="C13" s="178"/>
      <c r="D13" s="177"/>
      <c r="E13" s="177"/>
      <c r="F13" s="177"/>
      <c r="G13" s="177"/>
      <c r="H13" s="177"/>
      <c r="L13" s="26"/>
      <c r="M13" s="26"/>
      <c r="N13" s="26"/>
      <c r="O13" s="26"/>
      <c r="P13" s="26">
        <f t="shared" ref="P13:P17" si="1">SUM(M13:O13)</f>
        <v>0</v>
      </c>
      <c r="Q13" s="26"/>
      <c r="R13" s="45"/>
      <c r="S13" s="26"/>
      <c r="T13" s="26"/>
      <c r="U13" s="46"/>
      <c r="V13" s="16"/>
      <c r="W13" s="16"/>
      <c r="X13" s="178"/>
      <c r="Y13" s="178"/>
    </row>
    <row r="14" spans="1:25" ht="12.5">
      <c r="A14" s="179"/>
      <c r="B14" s="178" t="str">
        <f>B13</f>
        <v>Trần Quang Huy</v>
      </c>
      <c r="C14" s="178"/>
      <c r="D14" s="177"/>
      <c r="E14" s="177"/>
      <c r="F14" s="177"/>
      <c r="G14" s="177"/>
      <c r="H14" s="177"/>
      <c r="L14" s="26"/>
      <c r="M14" s="26"/>
      <c r="N14" s="26"/>
      <c r="O14" s="26"/>
      <c r="P14" s="26">
        <f t="shared" si="1"/>
        <v>0</v>
      </c>
      <c r="Q14" s="26"/>
      <c r="R14" s="45"/>
      <c r="S14" s="26"/>
      <c r="T14" s="26"/>
      <c r="U14" s="46"/>
      <c r="V14" s="16"/>
      <c r="W14" s="16"/>
      <c r="X14" s="178"/>
      <c r="Y14" s="178"/>
    </row>
    <row r="15" spans="1:25" ht="12.5">
      <c r="A15" s="179"/>
      <c r="B15" s="178" t="str">
        <f>B14</f>
        <v>Trần Quang Huy</v>
      </c>
      <c r="C15" s="178"/>
      <c r="D15" s="177"/>
      <c r="E15" s="177"/>
      <c r="F15" s="177"/>
      <c r="G15" s="177"/>
      <c r="H15" s="177"/>
      <c r="L15" s="26"/>
      <c r="M15" s="26"/>
      <c r="N15" s="26"/>
      <c r="O15" s="26"/>
      <c r="P15" s="26">
        <f>SUM(M15:O15)</f>
        <v>0</v>
      </c>
      <c r="Q15" s="26"/>
      <c r="R15" s="45"/>
      <c r="S15" s="26"/>
      <c r="T15" s="26"/>
      <c r="U15" s="46"/>
      <c r="V15" s="16"/>
      <c r="W15" s="16"/>
      <c r="X15" s="178"/>
      <c r="Y15" s="178"/>
    </row>
    <row r="16" spans="1:25" ht="12.5">
      <c r="A16" s="179"/>
      <c r="B16" s="178"/>
      <c r="C16" s="178"/>
      <c r="D16" s="177"/>
      <c r="E16" s="177"/>
      <c r="F16" s="177"/>
      <c r="G16" s="177"/>
      <c r="H16" s="177"/>
      <c r="L16" s="26"/>
      <c r="M16" s="26"/>
      <c r="N16" s="26"/>
      <c r="O16" s="26"/>
      <c r="P16" s="26">
        <f t="shared" si="1"/>
        <v>0</v>
      </c>
      <c r="Q16" s="26"/>
      <c r="R16" s="45"/>
      <c r="S16" s="26"/>
      <c r="T16" s="26"/>
      <c r="U16" s="46"/>
      <c r="V16" s="16"/>
      <c r="W16" s="16"/>
      <c r="X16" s="178"/>
      <c r="Y16" s="178"/>
    </row>
    <row r="17" spans="1:25" ht="12.5">
      <c r="A17" s="179"/>
      <c r="B17" s="178"/>
      <c r="C17" s="178"/>
      <c r="D17" s="177"/>
      <c r="E17" s="177"/>
      <c r="F17" s="177"/>
      <c r="G17" s="177"/>
      <c r="H17" s="177"/>
      <c r="L17" s="26"/>
      <c r="M17" s="26"/>
      <c r="N17" s="26"/>
      <c r="O17" s="26"/>
      <c r="P17" s="26">
        <f t="shared" si="1"/>
        <v>0</v>
      </c>
      <c r="Q17" s="26"/>
      <c r="R17" s="45"/>
      <c r="S17" s="26"/>
      <c r="T17" s="26"/>
      <c r="U17" s="46"/>
      <c r="V17" s="16"/>
      <c r="W17" s="16"/>
      <c r="X17" s="178"/>
      <c r="Y17" s="178"/>
    </row>
    <row r="18" spans="1:25" ht="13">
      <c r="A18" s="179"/>
      <c r="B18" s="178" t="str">
        <f>B15</f>
        <v>Trần Quang Huy</v>
      </c>
      <c r="C18" s="178"/>
      <c r="D18" s="177"/>
      <c r="E18" s="177"/>
      <c r="F18" s="177"/>
      <c r="G18" s="177"/>
      <c r="H18" s="177"/>
      <c r="I18" s="51"/>
      <c r="J18" s="52">
        <f>SUM(J11:J17)</f>
        <v>0</v>
      </c>
      <c r="K18" s="52">
        <f>SUM(K11:K17)</f>
        <v>0</v>
      </c>
      <c r="L18" s="52">
        <f>SUM(L11:L17)</f>
        <v>0</v>
      </c>
      <c r="M18" s="52">
        <f t="shared" ref="M18:N18" si="2">SUM(M11:M17)</f>
        <v>0</v>
      </c>
      <c r="N18" s="52">
        <f t="shared" si="2"/>
        <v>0</v>
      </c>
      <c r="O18" s="52">
        <f>SUM(O11:O17)</f>
        <v>0</v>
      </c>
      <c r="P18" s="52">
        <f>SUM(P11:P17)</f>
        <v>0</v>
      </c>
      <c r="Q18" s="52">
        <f>SUM(Q11:Q17)</f>
        <v>0</v>
      </c>
      <c r="R18" s="53"/>
      <c r="S18" s="52">
        <f>SUM(S11:S17)</f>
        <v>0</v>
      </c>
      <c r="T18" s="54">
        <f>SUM(T11:T17)</f>
        <v>0</v>
      </c>
      <c r="U18" s="55"/>
      <c r="V18" s="52"/>
      <c r="W18" s="52">
        <f>SUM(W11:W17)</f>
        <v>0</v>
      </c>
      <c r="X18" s="178"/>
      <c r="Y18" s="178"/>
    </row>
    <row r="19" spans="1:25" ht="13" customHeight="1">
      <c r="A19" s="179" t="s">
        <v>41</v>
      </c>
      <c r="B19" s="180" t="s">
        <v>47</v>
      </c>
      <c r="C19" s="178" t="s">
        <v>35</v>
      </c>
      <c r="D19" s="177"/>
      <c r="E19" s="177">
        <v>500000</v>
      </c>
      <c r="F19" s="177">
        <v>500000</v>
      </c>
      <c r="G19" s="177">
        <v>0</v>
      </c>
      <c r="H19" s="177">
        <v>2000000</v>
      </c>
      <c r="I19" s="26" t="s">
        <v>48</v>
      </c>
      <c r="J19" s="56">
        <v>22</v>
      </c>
      <c r="K19" s="56">
        <v>103000000</v>
      </c>
      <c r="L19" s="26">
        <f>141896000-4500000</f>
        <v>137396000</v>
      </c>
      <c r="M19" s="26">
        <f>137386000-4500000</f>
        <v>132886000</v>
      </c>
      <c r="N19" s="26">
        <v>4059000</v>
      </c>
      <c r="O19" s="26">
        <v>0</v>
      </c>
      <c r="P19" s="26">
        <f>SUM(M19:O19)</f>
        <v>136945000</v>
      </c>
      <c r="Q19" s="26">
        <v>40996000</v>
      </c>
      <c r="R19" s="45">
        <f t="shared" ref="R19:R75" si="3">Q19/L19</f>
        <v>0.29837840985181519</v>
      </c>
      <c r="S19" s="26">
        <v>1016129.0322580645</v>
      </c>
      <c r="T19" s="26">
        <f>P19-(P19*R19)+S19</f>
        <v>97099697.695101231</v>
      </c>
      <c r="U19" s="46">
        <f>(T19/K19)*100</f>
        <v>94.271551160292461</v>
      </c>
      <c r="V19" s="16">
        <f>U19*119000/95</f>
        <v>118087.52197973477</v>
      </c>
      <c r="W19" s="16">
        <f>V19*J19</f>
        <v>2597925.4835541649</v>
      </c>
      <c r="X19" s="177">
        <f>W28+D19+F19+G19+H19+E19</f>
        <v>19152297.123016596</v>
      </c>
      <c r="Y19" s="180"/>
    </row>
    <row r="20" spans="1:25" ht="13" customHeight="1">
      <c r="A20" s="179"/>
      <c r="B20" s="180"/>
      <c r="C20" s="178"/>
      <c r="D20" s="177"/>
      <c r="E20" s="177"/>
      <c r="F20" s="177"/>
      <c r="G20" s="177"/>
      <c r="H20" s="177"/>
      <c r="I20" s="26" t="s">
        <v>49</v>
      </c>
      <c r="J20" s="26">
        <v>8</v>
      </c>
      <c r="K20" s="26">
        <v>32800000</v>
      </c>
      <c r="L20" s="26">
        <v>34510000</v>
      </c>
      <c r="M20" s="26">
        <v>32642000</v>
      </c>
      <c r="N20" s="26">
        <v>1861200</v>
      </c>
      <c r="O20" s="26">
        <v>0</v>
      </c>
      <c r="P20" s="26">
        <f t="shared" ref="P20:P27" si="4">SUM(M20:O20)</f>
        <v>34503200</v>
      </c>
      <c r="Q20" s="26">
        <v>7910000</v>
      </c>
      <c r="R20" s="45">
        <f t="shared" si="3"/>
        <v>0.22920892494929007</v>
      </c>
      <c r="S20" s="26">
        <v>3625806.4516129033</v>
      </c>
      <c r="T20" s="26">
        <f t="shared" ref="T20:T27" si="5">P20-(P20*R20)+S20</f>
        <v>30220565.072302558</v>
      </c>
      <c r="U20" s="46">
        <f t="shared" ref="U20:U27" si="6">(T20/K20)*100</f>
        <v>92.135869122873643</v>
      </c>
      <c r="V20" s="16">
        <f>U20*110000/90</f>
        <v>112610.50670573444</v>
      </c>
      <c r="W20" s="16">
        <f t="shared" ref="W20:W26" si="7">V20*J20</f>
        <v>900884.05364587554</v>
      </c>
      <c r="X20" s="177"/>
      <c r="Y20" s="180"/>
    </row>
    <row r="21" spans="1:25" ht="13" customHeight="1">
      <c r="A21" s="179"/>
      <c r="B21" s="180"/>
      <c r="C21" s="178"/>
      <c r="D21" s="177"/>
      <c r="E21" s="177"/>
      <c r="F21" s="177"/>
      <c r="G21" s="177"/>
      <c r="H21" s="177"/>
      <c r="I21" s="26" t="s">
        <v>51</v>
      </c>
      <c r="J21" s="26">
        <v>17</v>
      </c>
      <c r="K21" s="26">
        <v>42000000</v>
      </c>
      <c r="L21" s="26">
        <f>57794666.6666667-2500000</f>
        <v>55294666.666666701</v>
      </c>
      <c r="M21" s="26">
        <f>57762334-2500000</f>
        <v>55262334</v>
      </c>
      <c r="N21" s="26">
        <v>0</v>
      </c>
      <c r="O21" s="26">
        <v>0</v>
      </c>
      <c r="P21" s="26">
        <f t="shared" si="4"/>
        <v>55262334</v>
      </c>
      <c r="Q21" s="26">
        <v>14394666.666666666</v>
      </c>
      <c r="R21" s="45">
        <f t="shared" si="3"/>
        <v>0.26032649321212398</v>
      </c>
      <c r="S21" s="26"/>
      <c r="T21" s="26">
        <f t="shared" si="5"/>
        <v>40876084.383062869</v>
      </c>
      <c r="U21" s="46">
        <f t="shared" si="6"/>
        <v>97.324010435863968</v>
      </c>
      <c r="V21" s="16">
        <f>U21*120000/95</f>
        <v>122935.59212951238</v>
      </c>
      <c r="W21" s="16">
        <f t="shared" si="7"/>
        <v>2089905.0662017106</v>
      </c>
      <c r="X21" s="177"/>
      <c r="Y21" s="180"/>
    </row>
    <row r="22" spans="1:25" ht="13" customHeight="1">
      <c r="A22" s="179"/>
      <c r="B22" s="180" t="str">
        <f>B19</f>
        <v>Nguyễn Thị Thương Huyền</v>
      </c>
      <c r="C22" s="178"/>
      <c r="D22" s="177"/>
      <c r="E22" s="177"/>
      <c r="F22" s="177"/>
      <c r="G22" s="177"/>
      <c r="H22" s="177"/>
      <c r="I22" s="26" t="s">
        <v>52</v>
      </c>
      <c r="J22" s="26">
        <v>9</v>
      </c>
      <c r="K22" s="26">
        <v>31500000</v>
      </c>
      <c r="L22" s="26">
        <v>43328000</v>
      </c>
      <c r="M22" s="26">
        <v>43328000</v>
      </c>
      <c r="N22" s="26">
        <v>0</v>
      </c>
      <c r="O22" s="26">
        <v>0</v>
      </c>
      <c r="P22" s="26">
        <f t="shared" si="4"/>
        <v>43328000</v>
      </c>
      <c r="Q22" s="26">
        <v>11828000</v>
      </c>
      <c r="R22" s="45">
        <f t="shared" si="3"/>
        <v>0.27298744460856722</v>
      </c>
      <c r="S22" s="26"/>
      <c r="T22" s="26">
        <f t="shared" si="5"/>
        <v>31500000</v>
      </c>
      <c r="U22" s="46">
        <f t="shared" si="6"/>
        <v>100</v>
      </c>
      <c r="V22" s="16">
        <f>U22*130000/100</f>
        <v>130000</v>
      </c>
      <c r="W22" s="16">
        <f t="shared" si="7"/>
        <v>1170000</v>
      </c>
      <c r="X22" s="178"/>
      <c r="Y22" s="180"/>
    </row>
    <row r="23" spans="1:25" ht="13" customHeight="1">
      <c r="A23" s="179"/>
      <c r="B23" s="180" t="str">
        <f>B22</f>
        <v>Nguyễn Thị Thương Huyền</v>
      </c>
      <c r="C23" s="178"/>
      <c r="D23" s="177"/>
      <c r="E23" s="177"/>
      <c r="F23" s="177"/>
      <c r="G23" s="177"/>
      <c r="H23" s="177"/>
      <c r="I23" s="26" t="s">
        <v>53</v>
      </c>
      <c r="J23" s="26">
        <v>10</v>
      </c>
      <c r="K23" s="26">
        <v>36200000</v>
      </c>
      <c r="L23" s="26">
        <v>50261000</v>
      </c>
      <c r="M23" s="26">
        <v>47261000</v>
      </c>
      <c r="N23" s="26">
        <v>2700000</v>
      </c>
      <c r="O23" s="26">
        <v>0</v>
      </c>
      <c r="P23" s="26">
        <f t="shared" si="4"/>
        <v>49961000</v>
      </c>
      <c r="Q23" s="26">
        <v>14561000</v>
      </c>
      <c r="R23" s="45">
        <f t="shared" si="3"/>
        <v>0.28970772567199221</v>
      </c>
      <c r="S23" s="26"/>
      <c r="T23" s="26">
        <f t="shared" si="5"/>
        <v>35486912.317701593</v>
      </c>
      <c r="U23" s="46">
        <f t="shared" si="6"/>
        <v>98.030144524037553</v>
      </c>
      <c r="V23" s="16">
        <f>U23*130000/100</f>
        <v>127439.18788124881</v>
      </c>
      <c r="W23" s="16">
        <f t="shared" si="7"/>
        <v>1274391.8788124882</v>
      </c>
      <c r="X23" s="178"/>
      <c r="Y23" s="180"/>
    </row>
    <row r="24" spans="1:25" ht="13" customHeight="1">
      <c r="A24" s="179"/>
      <c r="B24" s="180"/>
      <c r="C24" s="178"/>
      <c r="D24" s="177"/>
      <c r="E24" s="177"/>
      <c r="F24" s="177"/>
      <c r="G24" s="177"/>
      <c r="H24" s="177"/>
      <c r="I24" s="26" t="s">
        <v>55</v>
      </c>
      <c r="J24" s="26">
        <v>16</v>
      </c>
      <c r="K24" s="26">
        <v>65300000</v>
      </c>
      <c r="L24" s="26">
        <v>82144000</v>
      </c>
      <c r="M24" s="26">
        <v>82092000</v>
      </c>
      <c r="N24" s="26">
        <v>0</v>
      </c>
      <c r="O24" s="26">
        <v>0</v>
      </c>
      <c r="P24" s="26">
        <f t="shared" si="4"/>
        <v>82092000</v>
      </c>
      <c r="Q24" s="26">
        <v>21244000</v>
      </c>
      <c r="R24" s="45">
        <f t="shared" si="3"/>
        <v>0.25861901051811453</v>
      </c>
      <c r="S24" s="26">
        <v>1103225.8064516129</v>
      </c>
      <c r="T24" s="26">
        <f t="shared" si="5"/>
        <v>61964673.994998552</v>
      </c>
      <c r="U24" s="46">
        <f t="shared" si="6"/>
        <v>94.892303208267307</v>
      </c>
      <c r="V24" s="16">
        <f>U24*119000/95</f>
        <v>118865.0955977243</v>
      </c>
      <c r="W24" s="16">
        <f t="shared" si="7"/>
        <v>1901841.5295635888</v>
      </c>
      <c r="X24" s="178"/>
      <c r="Y24" s="180"/>
    </row>
    <row r="25" spans="1:25" ht="13" customHeight="1">
      <c r="A25" s="179"/>
      <c r="B25" s="180"/>
      <c r="C25" s="178"/>
      <c r="D25" s="177"/>
      <c r="E25" s="177"/>
      <c r="F25" s="177"/>
      <c r="G25" s="177"/>
      <c r="H25" s="177"/>
      <c r="I25" s="26" t="s">
        <v>93</v>
      </c>
      <c r="J25" s="26">
        <v>10</v>
      </c>
      <c r="K25" s="26">
        <v>47000000</v>
      </c>
      <c r="L25" s="26">
        <v>60465000</v>
      </c>
      <c r="M25" s="26">
        <v>60465000</v>
      </c>
      <c r="N25" s="26">
        <v>0</v>
      </c>
      <c r="O25" s="26">
        <v>0</v>
      </c>
      <c r="P25" s="26">
        <f t="shared" si="4"/>
        <v>60465000</v>
      </c>
      <c r="Q25" s="26">
        <v>14165000</v>
      </c>
      <c r="R25" s="45">
        <f t="shared" si="3"/>
        <v>0.23426775820722731</v>
      </c>
      <c r="S25" s="26"/>
      <c r="T25" s="26">
        <f t="shared" si="5"/>
        <v>46300000</v>
      </c>
      <c r="U25" s="46">
        <f t="shared" si="6"/>
        <v>98.510638297872347</v>
      </c>
      <c r="V25" s="16">
        <f>U25*130000/100</f>
        <v>128063.82978723405</v>
      </c>
      <c r="W25" s="16">
        <f t="shared" si="7"/>
        <v>1280638.2978723405</v>
      </c>
      <c r="X25" s="178"/>
      <c r="Y25" s="180"/>
    </row>
    <row r="26" spans="1:25" ht="13" customHeight="1">
      <c r="A26" s="179"/>
      <c r="B26" s="180"/>
      <c r="C26" s="178"/>
      <c r="D26" s="177"/>
      <c r="E26" s="177"/>
      <c r="F26" s="177"/>
      <c r="G26" s="177"/>
      <c r="H26" s="177"/>
      <c r="I26" s="26" t="s">
        <v>197</v>
      </c>
      <c r="J26" s="26">
        <v>17</v>
      </c>
      <c r="K26" s="26">
        <v>76700000</v>
      </c>
      <c r="L26" s="26">
        <f>94204000+4500000</f>
        <v>98704000</v>
      </c>
      <c r="M26" s="26">
        <f>88073000+4500000</f>
        <v>92573000</v>
      </c>
      <c r="N26" s="26">
        <v>0</v>
      </c>
      <c r="O26" s="26">
        <v>0</v>
      </c>
      <c r="P26" s="26">
        <f t="shared" si="4"/>
        <v>92573000</v>
      </c>
      <c r="Q26" s="26">
        <v>24216000</v>
      </c>
      <c r="R26" s="45">
        <f t="shared" si="3"/>
        <v>0.24533960123196627</v>
      </c>
      <c r="S26" s="26">
        <v>2635483.8709677421</v>
      </c>
      <c r="T26" s="26">
        <f t="shared" si="5"/>
        <v>72496660.966120929</v>
      </c>
      <c r="U26" s="46">
        <f t="shared" si="6"/>
        <v>94.519766579036414</v>
      </c>
      <c r="V26" s="16">
        <f>U26*119000/95</f>
        <v>118398.44445163509</v>
      </c>
      <c r="W26" s="16">
        <f t="shared" si="7"/>
        <v>2012773.5556777965</v>
      </c>
      <c r="X26" s="178"/>
      <c r="Y26" s="180"/>
    </row>
    <row r="27" spans="1:25" ht="13" customHeight="1">
      <c r="A27" s="179"/>
      <c r="B27" s="180"/>
      <c r="C27" s="178"/>
      <c r="D27" s="177"/>
      <c r="E27" s="177"/>
      <c r="F27" s="177"/>
      <c r="G27" s="177"/>
      <c r="H27" s="177"/>
      <c r="I27" s="26" t="s">
        <v>209</v>
      </c>
      <c r="J27" s="26">
        <v>26</v>
      </c>
      <c r="K27" s="26">
        <v>104700000</v>
      </c>
      <c r="L27" s="26">
        <v>129907600</v>
      </c>
      <c r="M27" s="26">
        <v>127707600</v>
      </c>
      <c r="N27" s="26">
        <v>1980000</v>
      </c>
      <c r="O27" s="26">
        <v>0</v>
      </c>
      <c r="P27" s="26">
        <f t="shared" si="4"/>
        <v>129687600</v>
      </c>
      <c r="Q27" s="26">
        <v>33407600</v>
      </c>
      <c r="R27" s="45">
        <f t="shared" si="3"/>
        <v>0.25716432294954261</v>
      </c>
      <c r="S27" s="26"/>
      <c r="T27" s="26">
        <f t="shared" si="5"/>
        <v>96336576.151048899</v>
      </c>
      <c r="U27" s="46">
        <f t="shared" si="6"/>
        <v>92.012011605586338</v>
      </c>
      <c r="V27" s="16">
        <f>U27*110000/90</f>
        <v>112459.12529571663</v>
      </c>
      <c r="W27" s="16">
        <f>V27*J27</f>
        <v>2923937.2576886322</v>
      </c>
      <c r="X27" s="178"/>
      <c r="Y27" s="180"/>
    </row>
    <row r="28" spans="1:25" ht="13" customHeight="1">
      <c r="A28" s="179"/>
      <c r="B28" s="180" t="e">
        <f>#REF!</f>
        <v>#REF!</v>
      </c>
      <c r="C28" s="178"/>
      <c r="D28" s="177"/>
      <c r="E28" s="177"/>
      <c r="F28" s="177"/>
      <c r="G28" s="177"/>
      <c r="H28" s="177"/>
      <c r="I28" s="59">
        <v>9</v>
      </c>
      <c r="J28" s="52">
        <f t="shared" ref="J28:Q28" si="8">SUM(J19:J27)</f>
        <v>135</v>
      </c>
      <c r="K28" s="52">
        <f t="shared" si="8"/>
        <v>539200000</v>
      </c>
      <c r="L28" s="52">
        <f t="shared" si="8"/>
        <v>692010266.66666675</v>
      </c>
      <c r="M28" s="52">
        <f t="shared" si="8"/>
        <v>674216934</v>
      </c>
      <c r="N28" s="52">
        <f t="shared" si="8"/>
        <v>10600200</v>
      </c>
      <c r="O28" s="52">
        <f t="shared" si="8"/>
        <v>0</v>
      </c>
      <c r="P28" s="52">
        <f t="shared" si="8"/>
        <v>684817134</v>
      </c>
      <c r="Q28" s="52">
        <f t="shared" si="8"/>
        <v>182722266.66666666</v>
      </c>
      <c r="R28" s="61"/>
      <c r="S28" s="52">
        <f>SUM(S19:S27)</f>
        <v>8380645.1612903234</v>
      </c>
      <c r="T28" s="54">
        <f>SUM(T19:T27)</f>
        <v>512281170.58033669</v>
      </c>
      <c r="U28" s="55">
        <f>(T28/K28)*100</f>
        <v>95.007635493385891</v>
      </c>
      <c r="V28" s="62"/>
      <c r="W28" s="62">
        <f>SUM(W19:W27)</f>
        <v>16152297.123016596</v>
      </c>
      <c r="X28" s="178"/>
      <c r="Y28" s="180"/>
    </row>
    <row r="29" spans="1:25" ht="13" customHeight="1">
      <c r="A29" s="179" t="s">
        <v>46</v>
      </c>
      <c r="B29" s="180" t="s">
        <v>57</v>
      </c>
      <c r="C29" s="178" t="s">
        <v>35</v>
      </c>
      <c r="D29" s="177">
        <v>0</v>
      </c>
      <c r="E29" s="177">
        <v>500000</v>
      </c>
      <c r="F29" s="177">
        <f>500000</f>
        <v>500000</v>
      </c>
      <c r="G29" s="177">
        <v>0</v>
      </c>
      <c r="H29" s="177"/>
      <c r="I29" s="36" t="s">
        <v>129</v>
      </c>
      <c r="J29" s="26">
        <v>12</v>
      </c>
      <c r="K29" s="26">
        <v>48900000</v>
      </c>
      <c r="L29" s="56">
        <v>58998000</v>
      </c>
      <c r="M29" s="56">
        <v>47816000</v>
      </c>
      <c r="N29" s="37">
        <v>225000</v>
      </c>
      <c r="O29" s="37">
        <v>0</v>
      </c>
      <c r="P29" s="26">
        <f t="shared" ref="P29" si="9">SUM(M29:O29)</f>
        <v>48041000</v>
      </c>
      <c r="Q29" s="56">
        <v>14898000</v>
      </c>
      <c r="R29" s="45">
        <f t="shared" ref="R29" si="10">Q29/L29</f>
        <v>0.25251703447574492</v>
      </c>
      <c r="S29" s="56">
        <v>1129032.2580645161</v>
      </c>
      <c r="T29" s="26">
        <f t="shared" ref="T29" si="11">P29-(P29*R29)+S29</f>
        <v>37038861.404815257</v>
      </c>
      <c r="U29" s="46">
        <f t="shared" ref="U29" si="12">(T29/K29)*100</f>
        <v>75.744092852382934</v>
      </c>
      <c r="V29" s="16">
        <f>U29*75000/75</f>
        <v>75744.092852382935</v>
      </c>
      <c r="W29" s="16">
        <f t="shared" ref="W29:W40" si="13">V29*J29</f>
        <v>908929.11422859528</v>
      </c>
      <c r="X29" s="177">
        <f>W41+D29+F29+G29+E29</f>
        <v>21953086.255497735</v>
      </c>
      <c r="Y29" s="138"/>
    </row>
    <row r="30" spans="1:25" ht="13" customHeight="1">
      <c r="A30" s="179"/>
      <c r="B30" s="180"/>
      <c r="C30" s="178"/>
      <c r="D30" s="177"/>
      <c r="E30" s="177"/>
      <c r="F30" s="177"/>
      <c r="G30" s="177"/>
      <c r="H30" s="177"/>
      <c r="I30" s="26" t="s">
        <v>58</v>
      </c>
      <c r="J30" s="26">
        <v>18</v>
      </c>
      <c r="K30" s="26">
        <v>84700000</v>
      </c>
      <c r="L30" s="26">
        <f>115487000-4900000</f>
        <v>110587000</v>
      </c>
      <c r="M30" s="136">
        <f>100954000-4900000</f>
        <v>96054000</v>
      </c>
      <c r="N30" s="26">
        <v>11923200</v>
      </c>
      <c r="O30" s="26">
        <v>0</v>
      </c>
      <c r="P30" s="26">
        <f>SUM(M30:O30)</f>
        <v>107977200</v>
      </c>
      <c r="Q30" s="26">
        <v>29107000</v>
      </c>
      <c r="R30" s="45">
        <f>Q30/L30</f>
        <v>0.26320453579534664</v>
      </c>
      <c r="S30" s="26"/>
      <c r="T30" s="26">
        <f>P30-(P30*R30)+S30</f>
        <v>79557111.197518691</v>
      </c>
      <c r="U30" s="46">
        <f>(T30/K30)*100</f>
        <v>93.928112393764678</v>
      </c>
      <c r="V30" s="16">
        <f>U30*119000/95</f>
        <v>117657.31973534734</v>
      </c>
      <c r="W30" s="16">
        <f t="shared" si="13"/>
        <v>2117831.7552362522</v>
      </c>
      <c r="X30" s="177"/>
      <c r="Y30" s="138"/>
    </row>
    <row r="31" spans="1:25" ht="13" customHeight="1">
      <c r="A31" s="179"/>
      <c r="B31" s="180"/>
      <c r="C31" s="178"/>
      <c r="D31" s="177"/>
      <c r="E31" s="177"/>
      <c r="F31" s="177"/>
      <c r="G31" s="177"/>
      <c r="H31" s="177"/>
      <c r="I31" s="26" t="s">
        <v>60</v>
      </c>
      <c r="J31" s="26">
        <v>14</v>
      </c>
      <c r="K31" s="26">
        <v>54800000</v>
      </c>
      <c r="L31" s="26">
        <f>78993903.3225807-7250000-3650000-1338613</f>
        <v>66755290.322580695</v>
      </c>
      <c r="M31" s="136">
        <f>54175000-7250000-3650000-1338613</f>
        <v>41936387</v>
      </c>
      <c r="N31" s="26">
        <v>20322900</v>
      </c>
      <c r="O31" s="26">
        <v>996799.99999999988</v>
      </c>
      <c r="P31" s="26">
        <f t="shared" ref="P31:P40" si="14">SUM(M31:O31)</f>
        <v>63256087</v>
      </c>
      <c r="Q31" s="26">
        <v>14728000</v>
      </c>
      <c r="R31" s="45">
        <f t="shared" si="3"/>
        <v>0.22062670881708524</v>
      </c>
      <c r="S31" s="26"/>
      <c r="T31" s="26">
        <f t="shared" ref="T31:T89" si="15">P31-(P31*R31)+S31</f>
        <v>49300104.712542787</v>
      </c>
      <c r="U31" s="46">
        <f t="shared" ref="U31:U39" si="16">(T31/K31)*100</f>
        <v>89.963694730917496</v>
      </c>
      <c r="V31" s="16">
        <f>U31*109000/90</f>
        <v>108956.0302852223</v>
      </c>
      <c r="W31" s="16">
        <f t="shared" si="13"/>
        <v>1525384.4239931121</v>
      </c>
      <c r="X31" s="177"/>
      <c r="Y31" s="180"/>
    </row>
    <row r="32" spans="1:25" ht="13" customHeight="1">
      <c r="A32" s="179"/>
      <c r="B32" s="180"/>
      <c r="C32" s="178"/>
      <c r="D32" s="177"/>
      <c r="E32" s="177"/>
      <c r="F32" s="177"/>
      <c r="G32" s="177"/>
      <c r="H32" s="177"/>
      <c r="I32" s="26" t="s">
        <v>61</v>
      </c>
      <c r="J32" s="26">
        <v>13</v>
      </c>
      <c r="K32" s="26">
        <v>49600000</v>
      </c>
      <c r="L32" s="26">
        <v>64397000</v>
      </c>
      <c r="M32" s="136">
        <v>55872000</v>
      </c>
      <c r="N32" s="26">
        <v>7672500</v>
      </c>
      <c r="O32" s="26">
        <v>0</v>
      </c>
      <c r="P32" s="26">
        <f t="shared" si="14"/>
        <v>63544500</v>
      </c>
      <c r="Q32" s="26">
        <v>16892000</v>
      </c>
      <c r="R32" s="45">
        <f t="shared" si="3"/>
        <v>0.26231035607248787</v>
      </c>
      <c r="S32" s="26"/>
      <c r="T32" s="26">
        <f t="shared" si="15"/>
        <v>46876119.578551799</v>
      </c>
      <c r="U32" s="46">
        <f t="shared" si="16"/>
        <v>94.508305601918948</v>
      </c>
      <c r="V32" s="16">
        <f>U32*119000/95</f>
        <v>118384.08806977216</v>
      </c>
      <c r="W32" s="16">
        <f t="shared" si="13"/>
        <v>1538993.144907038</v>
      </c>
      <c r="X32" s="177"/>
      <c r="Y32" s="180"/>
    </row>
    <row r="33" spans="1:25" ht="13" customHeight="1">
      <c r="A33" s="179"/>
      <c r="B33" s="180"/>
      <c r="C33" s="178"/>
      <c r="D33" s="177"/>
      <c r="E33" s="177"/>
      <c r="F33" s="177"/>
      <c r="G33" s="177"/>
      <c r="H33" s="177"/>
      <c r="I33" s="26" t="s">
        <v>62</v>
      </c>
      <c r="J33" s="26">
        <v>13</v>
      </c>
      <c r="K33" s="26">
        <v>46800000</v>
      </c>
      <c r="L33" s="26">
        <v>62273000</v>
      </c>
      <c r="M33" s="136">
        <v>57139000</v>
      </c>
      <c r="N33" s="26">
        <v>4807800</v>
      </c>
      <c r="O33" s="26">
        <v>0</v>
      </c>
      <c r="P33" s="26">
        <f t="shared" si="14"/>
        <v>61946800</v>
      </c>
      <c r="Q33" s="26">
        <v>17573000</v>
      </c>
      <c r="R33" s="45">
        <f t="shared" si="3"/>
        <v>0.28219292470251955</v>
      </c>
      <c r="S33" s="26">
        <v>1000000</v>
      </c>
      <c r="T33" s="26">
        <f t="shared" si="15"/>
        <v>45465851.332037963</v>
      </c>
      <c r="U33" s="46">
        <f t="shared" si="16"/>
        <v>97.149254982987102</v>
      </c>
      <c r="V33" s="16">
        <f>U33*120000/95</f>
        <v>122714.84839956266</v>
      </c>
      <c r="W33" s="16">
        <f t="shared" si="13"/>
        <v>1595293.0291943145</v>
      </c>
      <c r="X33" s="177"/>
      <c r="Y33" s="180"/>
    </row>
    <row r="34" spans="1:25" ht="13" customHeight="1">
      <c r="A34" s="179"/>
      <c r="B34" s="180"/>
      <c r="C34" s="178"/>
      <c r="D34" s="177"/>
      <c r="E34" s="177"/>
      <c r="F34" s="177"/>
      <c r="G34" s="177"/>
      <c r="H34" s="177"/>
      <c r="I34" s="26" t="s">
        <v>63</v>
      </c>
      <c r="J34" s="26">
        <v>10</v>
      </c>
      <c r="K34" s="26">
        <v>30000000</v>
      </c>
      <c r="L34" s="26">
        <v>37669000</v>
      </c>
      <c r="M34" s="136">
        <v>33465000</v>
      </c>
      <c r="N34" s="26">
        <v>3783600</v>
      </c>
      <c r="O34" s="26">
        <v>0</v>
      </c>
      <c r="P34" s="26">
        <f t="shared" si="14"/>
        <v>37248600</v>
      </c>
      <c r="Q34" s="26">
        <v>9369000</v>
      </c>
      <c r="R34" s="45">
        <f t="shared" si="3"/>
        <v>0.24871910589609494</v>
      </c>
      <c r="S34" s="26"/>
      <c r="T34" s="26">
        <f>P34-(P34*R34)+S34</f>
        <v>27984161.51211872</v>
      </c>
      <c r="U34" s="46">
        <f t="shared" si="16"/>
        <v>93.280538373729058</v>
      </c>
      <c r="V34" s="16">
        <f>U34*119000/95</f>
        <v>116846.14806814482</v>
      </c>
      <c r="W34" s="16">
        <f t="shared" si="13"/>
        <v>1168461.4806814482</v>
      </c>
      <c r="X34" s="177"/>
      <c r="Y34" s="180"/>
    </row>
    <row r="35" spans="1:25" ht="13" customHeight="1">
      <c r="A35" s="179"/>
      <c r="B35" s="180"/>
      <c r="C35" s="178"/>
      <c r="D35" s="177"/>
      <c r="E35" s="177"/>
      <c r="F35" s="177"/>
      <c r="G35" s="177"/>
      <c r="H35" s="177"/>
      <c r="I35" s="26" t="s">
        <v>64</v>
      </c>
      <c r="J35" s="26">
        <f>18+1</f>
        <v>19</v>
      </c>
      <c r="K35" s="26">
        <v>87300000</v>
      </c>
      <c r="L35" s="26">
        <f>111847000+4400000</f>
        <v>116247000</v>
      </c>
      <c r="M35" s="136">
        <f>104686000+4400000</f>
        <v>109086000</v>
      </c>
      <c r="N35" s="26">
        <v>1647900</v>
      </c>
      <c r="O35" s="26">
        <v>118999.99999999999</v>
      </c>
      <c r="P35" s="26">
        <f>SUM(M35:O35)</f>
        <v>110852900</v>
      </c>
      <c r="Q35" s="26">
        <v>29447000</v>
      </c>
      <c r="R35" s="45">
        <f t="shared" si="3"/>
        <v>0.25331406401885642</v>
      </c>
      <c r="S35" s="26">
        <v>4600000</v>
      </c>
      <c r="T35" s="26">
        <f t="shared" si="15"/>
        <v>87372301.392724112</v>
      </c>
      <c r="U35" s="46">
        <f t="shared" si="16"/>
        <v>100.08281946474698</v>
      </c>
      <c r="V35" s="16">
        <f>U35*130000/100</f>
        <v>130107.66530417107</v>
      </c>
      <c r="W35" s="16">
        <f t="shared" si="13"/>
        <v>2472045.6407792503</v>
      </c>
      <c r="X35" s="177"/>
      <c r="Y35" s="180"/>
    </row>
    <row r="36" spans="1:25" ht="14">
      <c r="A36" s="179"/>
      <c r="B36" s="180"/>
      <c r="C36" s="178"/>
      <c r="D36" s="177"/>
      <c r="E36" s="177"/>
      <c r="F36" s="177"/>
      <c r="G36" s="177"/>
      <c r="H36" s="177"/>
      <c r="I36" s="26" t="s">
        <v>65</v>
      </c>
      <c r="J36" s="26">
        <v>15</v>
      </c>
      <c r="K36" s="26">
        <v>57400000</v>
      </c>
      <c r="L36" s="26">
        <v>67488200</v>
      </c>
      <c r="M36" s="136">
        <v>67116200</v>
      </c>
      <c r="N36" s="26">
        <v>334800</v>
      </c>
      <c r="O36" s="26">
        <v>0</v>
      </c>
      <c r="P36" s="26">
        <f t="shared" si="14"/>
        <v>67451000</v>
      </c>
      <c r="Q36" s="26">
        <v>19688200</v>
      </c>
      <c r="R36" s="45">
        <f t="shared" si="3"/>
        <v>0.29172803541952519</v>
      </c>
      <c r="S36" s="26">
        <v>3145161.2903225808</v>
      </c>
      <c r="T36" s="26">
        <f t="shared" si="15"/>
        <v>50918813.573240183</v>
      </c>
      <c r="U36" s="46">
        <f t="shared" si="16"/>
        <v>88.708734448153621</v>
      </c>
      <c r="V36" s="16">
        <f>U36*109000/90</f>
        <v>107436.13394276384</v>
      </c>
      <c r="W36" s="16">
        <f t="shared" si="13"/>
        <v>1611542.0091414577</v>
      </c>
      <c r="X36" s="177"/>
      <c r="Y36" s="180"/>
    </row>
    <row r="37" spans="1:25" ht="14">
      <c r="A37" s="179"/>
      <c r="B37" s="180"/>
      <c r="C37" s="178"/>
      <c r="D37" s="177"/>
      <c r="E37" s="177"/>
      <c r="F37" s="177"/>
      <c r="G37" s="177"/>
      <c r="H37" s="177"/>
      <c r="I37" s="26" t="s">
        <v>66</v>
      </c>
      <c r="J37" s="26">
        <v>9</v>
      </c>
      <c r="K37" s="26">
        <v>27100000</v>
      </c>
      <c r="L37" s="26">
        <v>32234871</v>
      </c>
      <c r="M37" s="136">
        <v>30260000</v>
      </c>
      <c r="N37" s="26">
        <v>0</v>
      </c>
      <c r="O37" s="26">
        <v>0</v>
      </c>
      <c r="P37" s="26">
        <f t="shared" si="14"/>
        <v>30260000</v>
      </c>
      <c r="Q37" s="26">
        <v>9132000</v>
      </c>
      <c r="R37" s="45">
        <f>Q37/L37</f>
        <v>0.28329568931732346</v>
      </c>
      <c r="S37" s="26">
        <v>3548387.0967741935</v>
      </c>
      <c r="T37" s="26">
        <f t="shared" si="15"/>
        <v>25235859.538031984</v>
      </c>
      <c r="U37" s="46">
        <f t="shared" si="16"/>
        <v>93.121252907867103</v>
      </c>
      <c r="V37" s="16">
        <f>U37*119000/95</f>
        <v>116646.62206353879</v>
      </c>
      <c r="W37" s="16">
        <f t="shared" si="13"/>
        <v>1049819.5985718491</v>
      </c>
      <c r="X37" s="177"/>
      <c r="Y37" s="180"/>
    </row>
    <row r="38" spans="1:25" ht="14">
      <c r="A38" s="179"/>
      <c r="B38" s="180"/>
      <c r="C38" s="178"/>
      <c r="D38" s="177"/>
      <c r="E38" s="177"/>
      <c r="F38" s="177"/>
      <c r="G38" s="177"/>
      <c r="H38" s="177"/>
      <c r="I38" s="26" t="s">
        <v>67</v>
      </c>
      <c r="J38" s="26">
        <v>18</v>
      </c>
      <c r="K38" s="26">
        <f>4500000*18</f>
        <v>81000000</v>
      </c>
      <c r="L38" s="26">
        <f>116215000-8800000</f>
        <v>107415000</v>
      </c>
      <c r="M38" s="136">
        <f>106202000-8800000</f>
        <v>97402000</v>
      </c>
      <c r="N38" s="26">
        <v>1299600</v>
      </c>
      <c r="O38" s="26">
        <v>1589000</v>
      </c>
      <c r="P38" s="26">
        <f t="shared" si="14"/>
        <v>100290600</v>
      </c>
      <c r="Q38" s="26">
        <v>28335000</v>
      </c>
      <c r="R38" s="45">
        <f t="shared" si="3"/>
        <v>0.2637899734673928</v>
      </c>
      <c r="S38" s="26">
        <v>3193548.3870967738</v>
      </c>
      <c r="T38" s="26">
        <f t="shared" si="15"/>
        <v>77028493.67406787</v>
      </c>
      <c r="U38" s="46">
        <f t="shared" si="16"/>
        <v>95.096905770454171</v>
      </c>
      <c r="V38" s="16">
        <f>U38*120000/95</f>
        <v>120122.40728899474</v>
      </c>
      <c r="W38" s="16">
        <f t="shared" si="13"/>
        <v>2162203.3312019054</v>
      </c>
      <c r="X38" s="177"/>
      <c r="Y38" s="180"/>
    </row>
    <row r="39" spans="1:25" ht="14">
      <c r="A39" s="179"/>
      <c r="B39" s="180"/>
      <c r="C39" s="178"/>
      <c r="D39" s="177"/>
      <c r="E39" s="177"/>
      <c r="F39" s="177"/>
      <c r="G39" s="177"/>
      <c r="H39" s="177"/>
      <c r="I39" s="26" t="s">
        <v>95</v>
      </c>
      <c r="J39" s="26">
        <v>22</v>
      </c>
      <c r="K39" s="26">
        <v>102700000</v>
      </c>
      <c r="L39" s="26">
        <f>135941500-6500000</f>
        <v>129441500</v>
      </c>
      <c r="M39" s="136">
        <f>118940500-6500000</f>
        <v>112440500</v>
      </c>
      <c r="N39" s="26">
        <v>6395400</v>
      </c>
      <c r="O39" s="26">
        <v>0</v>
      </c>
      <c r="P39" s="26">
        <f t="shared" si="14"/>
        <v>118835900</v>
      </c>
      <c r="Q39" s="26">
        <v>31541500</v>
      </c>
      <c r="R39" s="45">
        <f t="shared" si="3"/>
        <v>0.24367378313755636</v>
      </c>
      <c r="S39" s="26">
        <f>4700000+2000000</f>
        <v>6700000</v>
      </c>
      <c r="T39" s="26">
        <f t="shared" si="15"/>
        <v>96578706.674443662</v>
      </c>
      <c r="U39" s="46">
        <f t="shared" si="16"/>
        <v>94.03963648923434</v>
      </c>
      <c r="V39" s="16">
        <f>U39*119000/95</f>
        <v>117797.01833914616</v>
      </c>
      <c r="W39" s="16">
        <f t="shared" si="13"/>
        <v>2591534.4034612156</v>
      </c>
      <c r="X39" s="177"/>
      <c r="Y39" s="180"/>
    </row>
    <row r="40" spans="1:25" ht="14">
      <c r="A40" s="179"/>
      <c r="B40" s="180"/>
      <c r="C40" s="178"/>
      <c r="D40" s="177"/>
      <c r="E40" s="177"/>
      <c r="F40" s="177"/>
      <c r="G40" s="177"/>
      <c r="H40" s="177"/>
      <c r="I40" s="26" t="s">
        <v>199</v>
      </c>
      <c r="J40" s="26">
        <v>17</v>
      </c>
      <c r="K40" s="26">
        <v>77500000</v>
      </c>
      <c r="L40" s="26">
        <v>97220000</v>
      </c>
      <c r="M40" s="136">
        <v>91430000</v>
      </c>
      <c r="N40" s="26">
        <v>372600</v>
      </c>
      <c r="O40" s="26">
        <v>0</v>
      </c>
      <c r="P40" s="26">
        <f t="shared" si="14"/>
        <v>91802600</v>
      </c>
      <c r="Q40" s="26">
        <v>18640000</v>
      </c>
      <c r="R40" s="45">
        <f>Q40/L40</f>
        <v>0.19173009668792429</v>
      </c>
      <c r="S40" s="26">
        <v>3335483.8709677421</v>
      </c>
      <c r="T40" s="26">
        <f>P40-(P40*R40)+S40</f>
        <v>77536762.496764898</v>
      </c>
      <c r="U40" s="46">
        <f>(T40/K40)*100</f>
        <v>100.04743547969663</v>
      </c>
      <c r="V40" s="16">
        <f>U40*130000/100</f>
        <v>130061.66612360561</v>
      </c>
      <c r="W40" s="16">
        <f t="shared" si="13"/>
        <v>2211048.3241012953</v>
      </c>
      <c r="X40" s="177"/>
      <c r="Y40" s="180"/>
    </row>
    <row r="41" spans="1:25" ht="13" customHeight="1">
      <c r="A41" s="179"/>
      <c r="B41" s="180"/>
      <c r="C41" s="178"/>
      <c r="D41" s="177"/>
      <c r="E41" s="177"/>
      <c r="F41" s="177"/>
      <c r="G41" s="177"/>
      <c r="H41" s="177"/>
      <c r="I41" s="59">
        <v>12</v>
      </c>
      <c r="J41" s="52">
        <f t="shared" ref="J41:Q41" si="17">SUM(J29:J40)</f>
        <v>180</v>
      </c>
      <c r="K41" s="52">
        <f t="shared" si="17"/>
        <v>747800000</v>
      </c>
      <c r="L41" s="52">
        <f t="shared" si="17"/>
        <v>950725861.3225807</v>
      </c>
      <c r="M41" s="52">
        <f t="shared" si="17"/>
        <v>840017087</v>
      </c>
      <c r="N41" s="52">
        <f t="shared" si="17"/>
        <v>58785300</v>
      </c>
      <c r="O41" s="52">
        <f t="shared" si="17"/>
        <v>2704800</v>
      </c>
      <c r="P41" s="52">
        <f t="shared" si="17"/>
        <v>901507187</v>
      </c>
      <c r="Q41" s="52">
        <f t="shared" si="17"/>
        <v>239350700</v>
      </c>
      <c r="R41" s="61"/>
      <c r="S41" s="52">
        <f>SUM(S29:S40)</f>
        <v>26651612.903225806</v>
      </c>
      <c r="T41" s="52">
        <f>SUM(T29:T40)</f>
        <v>700893147.0868578</v>
      </c>
      <c r="U41" s="55">
        <f>(T41/K41)*100</f>
        <v>93.727353180911706</v>
      </c>
      <c r="V41" s="52"/>
      <c r="W41" s="62">
        <f>SUM(W29:W40)</f>
        <v>20953086.255497735</v>
      </c>
      <c r="X41" s="177"/>
      <c r="Y41" s="180"/>
    </row>
    <row r="42" spans="1:25" ht="13" customHeight="1">
      <c r="A42" s="179" t="s">
        <v>56</v>
      </c>
      <c r="B42" s="180" t="s">
        <v>73</v>
      </c>
      <c r="C42" s="178" t="s">
        <v>35</v>
      </c>
      <c r="D42" s="177">
        <v>0</v>
      </c>
      <c r="E42" s="177">
        <v>500000</v>
      </c>
      <c r="F42" s="177">
        <v>500000</v>
      </c>
      <c r="G42" s="177">
        <v>0</v>
      </c>
      <c r="H42" s="177"/>
      <c r="I42" s="26" t="s">
        <v>36</v>
      </c>
      <c r="J42" s="116">
        <v>19</v>
      </c>
      <c r="K42" s="116">
        <v>69600000</v>
      </c>
      <c r="L42" s="72">
        <v>92794000</v>
      </c>
      <c r="M42" s="72">
        <v>81895000</v>
      </c>
      <c r="N42" s="72">
        <v>9809100</v>
      </c>
      <c r="O42" s="72">
        <v>0</v>
      </c>
      <c r="P42" s="26">
        <f>SUM(M42:O42)</f>
        <v>91704100</v>
      </c>
      <c r="Q42" s="56">
        <v>27794000</v>
      </c>
      <c r="R42" s="45">
        <f>Q42/L42</f>
        <v>0.29952367609974784</v>
      </c>
      <c r="S42" s="56"/>
      <c r="T42" s="26">
        <f>P42-(P42*R42)+S42</f>
        <v>64236550.854581118</v>
      </c>
      <c r="U42" s="46">
        <f>(T42/K42)*100</f>
        <v>92.293894906007353</v>
      </c>
      <c r="V42" s="16">
        <f>U42*110000/90</f>
        <v>112803.64932956453</v>
      </c>
      <c r="W42" s="16">
        <f>V42*J42</f>
        <v>2143269.3372617261</v>
      </c>
      <c r="X42" s="177">
        <f>W54+D42+F42+G42+E42</f>
        <v>22686577.664825168</v>
      </c>
      <c r="Y42" s="138"/>
    </row>
    <row r="43" spans="1:25" ht="13" customHeight="1">
      <c r="A43" s="179"/>
      <c r="B43" s="180"/>
      <c r="C43" s="178"/>
      <c r="D43" s="177"/>
      <c r="E43" s="177"/>
      <c r="F43" s="177"/>
      <c r="G43" s="177"/>
      <c r="H43" s="177"/>
      <c r="I43" s="26" t="s">
        <v>37</v>
      </c>
      <c r="J43" s="116">
        <v>19</v>
      </c>
      <c r="K43" s="116">
        <v>77000000</v>
      </c>
      <c r="L43" s="72">
        <v>90549000</v>
      </c>
      <c r="M43" s="72">
        <v>87549000</v>
      </c>
      <c r="N43" s="72">
        <v>2700000</v>
      </c>
      <c r="O43" s="72">
        <v>0</v>
      </c>
      <c r="P43" s="26">
        <f t="shared" ref="P43:P53" si="18">SUM(M43:O43)</f>
        <v>90249000</v>
      </c>
      <c r="Q43" s="56">
        <v>29149000</v>
      </c>
      <c r="R43" s="45">
        <f t="shared" ref="R43:R52" si="19">Q43/L43</f>
        <v>0.3219141017570597</v>
      </c>
      <c r="S43" s="56">
        <v>7419354.8387096766</v>
      </c>
      <c r="T43" s="26">
        <f>P43-(P43*R43)+S43</f>
        <v>68615929.0692368</v>
      </c>
      <c r="U43" s="46">
        <f>(T43/K43)*100</f>
        <v>89.111596193814023</v>
      </c>
      <c r="V43" s="16">
        <f>U43*109000/90</f>
        <v>107924.04427917475</v>
      </c>
      <c r="W43" s="16">
        <f t="shared" ref="W43:W53" si="20">V43*J43</f>
        <v>2050556.8413043201</v>
      </c>
      <c r="X43" s="177"/>
      <c r="Y43" s="138"/>
    </row>
    <row r="44" spans="1:25" ht="13" customHeight="1">
      <c r="A44" s="179"/>
      <c r="B44" s="180"/>
      <c r="C44" s="178"/>
      <c r="D44" s="177"/>
      <c r="E44" s="177"/>
      <c r="F44" s="177"/>
      <c r="G44" s="177"/>
      <c r="H44" s="177"/>
      <c r="I44" s="26" t="s">
        <v>74</v>
      </c>
      <c r="J44" s="116">
        <v>19</v>
      </c>
      <c r="K44" s="116">
        <v>61300000</v>
      </c>
      <c r="L44" s="72">
        <f>87128000-3600000</f>
        <v>83528000</v>
      </c>
      <c r="M44" s="72">
        <f>72744000-3600000</f>
        <v>69144000</v>
      </c>
      <c r="N44" s="72">
        <v>4762800</v>
      </c>
      <c r="O44" s="72">
        <v>0</v>
      </c>
      <c r="P44" s="26">
        <f t="shared" si="18"/>
        <v>73906800</v>
      </c>
      <c r="Q44" s="56">
        <v>24128000</v>
      </c>
      <c r="R44" s="45">
        <f t="shared" si="19"/>
        <v>0.288861220189637</v>
      </c>
      <c r="S44" s="56">
        <f>1238709.67741935+3300000</f>
        <v>4538709.6774193496</v>
      </c>
      <c r="T44" s="26">
        <f t="shared" ref="T44:T51" si="21">P44-(P44*R44)+S44</f>
        <v>57096701.249107882</v>
      </c>
      <c r="U44" s="46">
        <f t="shared" ref="U44:U89" si="22">(T44/K44)*100</f>
        <v>93.143068921872569</v>
      </c>
      <c r="V44" s="16">
        <f>U44*119000/95</f>
        <v>116673.94949160879</v>
      </c>
      <c r="W44" s="16">
        <f t="shared" si="20"/>
        <v>2216805.040340567</v>
      </c>
      <c r="X44" s="177"/>
      <c r="Y44" s="138"/>
    </row>
    <row r="45" spans="1:25" ht="13" customHeight="1">
      <c r="A45" s="179"/>
      <c r="B45" s="180"/>
      <c r="C45" s="178"/>
      <c r="D45" s="177"/>
      <c r="E45" s="177"/>
      <c r="F45" s="177"/>
      <c r="G45" s="177"/>
      <c r="H45" s="177"/>
      <c r="I45" s="26" t="s">
        <v>44</v>
      </c>
      <c r="J45" s="116">
        <v>50</v>
      </c>
      <c r="K45" s="116">
        <v>167100000</v>
      </c>
      <c r="L45" s="72">
        <f>230572000-13100000</f>
        <v>217472000</v>
      </c>
      <c r="M45" s="72">
        <f>208111000-13100000</f>
        <v>195011000</v>
      </c>
      <c r="N45" s="72">
        <v>10479600</v>
      </c>
      <c r="O45" s="72">
        <v>3495800</v>
      </c>
      <c r="P45" s="26">
        <f t="shared" si="18"/>
        <v>208986400</v>
      </c>
      <c r="Q45" s="56">
        <v>63872000</v>
      </c>
      <c r="R45" s="45">
        <f t="shared" si="19"/>
        <v>0.29370217775161861</v>
      </c>
      <c r="S45" s="56">
        <v>2083870.9677419355</v>
      </c>
      <c r="T45" s="26">
        <f t="shared" si="21"/>
        <v>149690510.16727108</v>
      </c>
      <c r="U45" s="46">
        <f t="shared" si="22"/>
        <v>89.581394474728341</v>
      </c>
      <c r="V45" s="16">
        <f>U45*109000/90</f>
        <v>108493.02219717098</v>
      </c>
      <c r="W45" s="16">
        <f t="shared" si="20"/>
        <v>5424651.1098585492</v>
      </c>
      <c r="X45" s="177"/>
      <c r="Y45" s="138"/>
    </row>
    <row r="46" spans="1:25" ht="12.5">
      <c r="A46" s="179"/>
      <c r="B46" s="180"/>
      <c r="C46" s="178"/>
      <c r="D46" s="177"/>
      <c r="E46" s="177"/>
      <c r="F46" s="177"/>
      <c r="G46" s="177"/>
      <c r="H46" s="177"/>
      <c r="I46" s="26" t="s">
        <v>91</v>
      </c>
      <c r="J46" s="26">
        <v>11</v>
      </c>
      <c r="K46" s="26">
        <v>47700000</v>
      </c>
      <c r="L46" s="26">
        <v>57991000</v>
      </c>
      <c r="M46" s="26">
        <v>57991000</v>
      </c>
      <c r="N46" s="26">
        <v>0</v>
      </c>
      <c r="O46" s="26">
        <v>0</v>
      </c>
      <c r="P46" s="26">
        <f t="shared" si="18"/>
        <v>57991000</v>
      </c>
      <c r="Q46" s="26">
        <v>13791000</v>
      </c>
      <c r="R46" s="45">
        <f t="shared" si="19"/>
        <v>0.23781276404959389</v>
      </c>
      <c r="S46" s="26"/>
      <c r="T46" s="26">
        <f t="shared" si="21"/>
        <v>44200000</v>
      </c>
      <c r="U46" s="46">
        <f t="shared" si="22"/>
        <v>92.662473794549271</v>
      </c>
      <c r="V46" s="16">
        <f>U46*119000/95</f>
        <v>116071.9408584354</v>
      </c>
      <c r="W46" s="16">
        <f t="shared" si="20"/>
        <v>1276791.3494427893</v>
      </c>
      <c r="X46" s="177"/>
      <c r="Y46" s="180"/>
    </row>
    <row r="47" spans="1:25" ht="12.5">
      <c r="A47" s="179"/>
      <c r="B47" s="180"/>
      <c r="C47" s="178"/>
      <c r="D47" s="177"/>
      <c r="E47" s="177"/>
      <c r="F47" s="177"/>
      <c r="G47" s="177"/>
      <c r="H47" s="177"/>
      <c r="I47" s="26" t="s">
        <v>92</v>
      </c>
      <c r="J47" s="26">
        <v>7</v>
      </c>
      <c r="K47" s="26">
        <v>17500000</v>
      </c>
      <c r="L47" s="26">
        <v>22964000</v>
      </c>
      <c r="M47" s="26">
        <v>21148000</v>
      </c>
      <c r="N47" s="26">
        <v>1634400</v>
      </c>
      <c r="O47" s="26">
        <v>0</v>
      </c>
      <c r="P47" s="26">
        <f t="shared" si="18"/>
        <v>22782400</v>
      </c>
      <c r="Q47" s="26">
        <v>6564000</v>
      </c>
      <c r="R47" s="45">
        <f t="shared" si="19"/>
        <v>0.2858387040585264</v>
      </c>
      <c r="S47" s="26"/>
      <c r="T47" s="26">
        <f t="shared" si="21"/>
        <v>16270308.308657028</v>
      </c>
      <c r="U47" s="46">
        <f t="shared" si="22"/>
        <v>92.97319033518302</v>
      </c>
      <c r="V47" s="16">
        <f>U47*119000/95</f>
        <v>116461.15420933452</v>
      </c>
      <c r="W47" s="16">
        <f t="shared" si="20"/>
        <v>815228.07946534164</v>
      </c>
      <c r="X47" s="177"/>
      <c r="Y47" s="180"/>
    </row>
    <row r="48" spans="1:25" ht="12.5">
      <c r="A48" s="179"/>
      <c r="B48" s="180"/>
      <c r="C48" s="178"/>
      <c r="D48" s="177"/>
      <c r="E48" s="177"/>
      <c r="F48" s="177"/>
      <c r="G48" s="177"/>
      <c r="H48" s="177"/>
      <c r="I48" s="26" t="s">
        <v>94</v>
      </c>
      <c r="J48" s="26">
        <v>11</v>
      </c>
      <c r="K48" s="26">
        <v>43400000</v>
      </c>
      <c r="L48" s="26">
        <v>56578000</v>
      </c>
      <c r="M48" s="26">
        <v>51698000</v>
      </c>
      <c r="N48" s="26">
        <v>0</v>
      </c>
      <c r="O48" s="26">
        <v>0</v>
      </c>
      <c r="P48" s="26">
        <f t="shared" si="18"/>
        <v>51698000</v>
      </c>
      <c r="Q48" s="26">
        <v>14878000</v>
      </c>
      <c r="R48" s="45">
        <f t="shared" si="19"/>
        <v>0.26296440312488956</v>
      </c>
      <c r="S48" s="26">
        <v>2967741.935483871</v>
      </c>
      <c r="T48" s="26">
        <f t="shared" si="21"/>
        <v>41071008.222733334</v>
      </c>
      <c r="U48" s="46">
        <f t="shared" si="22"/>
        <v>94.633659499385558</v>
      </c>
      <c r="V48" s="16">
        <f>U48*119000/95</f>
        <v>118541.11032028297</v>
      </c>
      <c r="W48" s="16">
        <f t="shared" si="20"/>
        <v>1303952.2135231127</v>
      </c>
      <c r="X48" s="177"/>
      <c r="Y48" s="180"/>
    </row>
    <row r="49" spans="1:25" ht="12.5">
      <c r="A49" s="179"/>
      <c r="B49" s="180"/>
      <c r="C49" s="178"/>
      <c r="D49" s="177"/>
      <c r="E49" s="177"/>
      <c r="F49" s="177"/>
      <c r="G49" s="177"/>
      <c r="H49" s="177"/>
      <c r="I49" s="26" t="s">
        <v>80</v>
      </c>
      <c r="J49" s="26">
        <v>17</v>
      </c>
      <c r="K49" s="26">
        <v>77700000</v>
      </c>
      <c r="L49" s="26">
        <f>115177000-10700000</f>
        <v>104477000</v>
      </c>
      <c r="M49" s="26">
        <f>115235000-10700000</f>
        <v>104535000</v>
      </c>
      <c r="N49" s="26">
        <v>0</v>
      </c>
      <c r="O49" s="26">
        <v>0</v>
      </c>
      <c r="P49" s="26">
        <f t="shared" si="18"/>
        <v>104535000</v>
      </c>
      <c r="Q49" s="26">
        <v>29627000</v>
      </c>
      <c r="R49" s="45">
        <f t="shared" si="19"/>
        <v>0.2835743752213406</v>
      </c>
      <c r="S49" s="26"/>
      <c r="T49" s="26">
        <f t="shared" si="21"/>
        <v>74891552.686237156</v>
      </c>
      <c r="U49" s="46">
        <f t="shared" si="22"/>
        <v>96.385524692711911</v>
      </c>
      <c r="V49" s="16">
        <f>U49*120000/95</f>
        <v>121750.1364539519</v>
      </c>
      <c r="W49" s="16">
        <f t="shared" si="20"/>
        <v>2069752.3197171823</v>
      </c>
      <c r="X49" s="177"/>
      <c r="Y49" s="180"/>
    </row>
    <row r="50" spans="1:25" ht="12.5">
      <c r="A50" s="179"/>
      <c r="B50" s="180"/>
      <c r="C50" s="178"/>
      <c r="D50" s="177"/>
      <c r="E50" s="177"/>
      <c r="F50" s="177"/>
      <c r="G50" s="177"/>
      <c r="H50" s="177"/>
      <c r="I50" s="26" t="s">
        <v>81</v>
      </c>
      <c r="J50" s="37">
        <v>7</v>
      </c>
      <c r="K50" s="26">
        <v>18700000</v>
      </c>
      <c r="L50" s="26">
        <v>27064500</v>
      </c>
      <c r="M50" s="26">
        <v>27064500</v>
      </c>
      <c r="N50" s="26">
        <v>0</v>
      </c>
      <c r="O50" s="26">
        <v>0</v>
      </c>
      <c r="P50" s="26">
        <f t="shared" si="18"/>
        <v>27064500</v>
      </c>
      <c r="Q50" s="26">
        <v>7764500</v>
      </c>
      <c r="R50" s="45">
        <f t="shared" si="19"/>
        <v>0.28688872877754995</v>
      </c>
      <c r="S50" s="26"/>
      <c r="T50" s="26">
        <f t="shared" si="21"/>
        <v>19300000</v>
      </c>
      <c r="U50" s="46">
        <f t="shared" si="22"/>
        <v>103.20855614973262</v>
      </c>
      <c r="V50" s="16">
        <f>U50*130000/100</f>
        <v>134171.1229946524</v>
      </c>
      <c r="W50" s="16">
        <f t="shared" si="20"/>
        <v>939197.8609625668</v>
      </c>
      <c r="X50" s="177"/>
      <c r="Y50" s="180"/>
    </row>
    <row r="51" spans="1:25" ht="12.5">
      <c r="A51" s="179"/>
      <c r="B51" s="180"/>
      <c r="C51" s="178"/>
      <c r="D51" s="177"/>
      <c r="E51" s="177"/>
      <c r="F51" s="177"/>
      <c r="G51" s="177"/>
      <c r="H51" s="177"/>
      <c r="I51" s="26" t="s">
        <v>82</v>
      </c>
      <c r="J51" s="37">
        <v>16</v>
      </c>
      <c r="K51" s="26">
        <v>69400000</v>
      </c>
      <c r="L51" s="26">
        <f>90064000-4200000</f>
        <v>85864000</v>
      </c>
      <c r="M51" s="26">
        <f>85224000-4200000</f>
        <v>81024000</v>
      </c>
      <c r="N51" s="26">
        <v>4356000</v>
      </c>
      <c r="O51" s="26">
        <v>0</v>
      </c>
      <c r="P51" s="26">
        <f>SUM(M51:O51)</f>
        <v>85380000</v>
      </c>
      <c r="Q51" s="26">
        <v>17981000</v>
      </c>
      <c r="R51" s="45">
        <f t="shared" si="19"/>
        <v>0.20941255939625456</v>
      </c>
      <c r="S51" s="26"/>
      <c r="T51" s="26">
        <f t="shared" si="21"/>
        <v>67500355.678747788</v>
      </c>
      <c r="U51" s="46">
        <f t="shared" si="22"/>
        <v>97.262760344016982</v>
      </c>
      <c r="V51" s="16">
        <f>U51*130000/100</f>
        <v>126441.58844722208</v>
      </c>
      <c r="W51" s="16">
        <f t="shared" si="20"/>
        <v>2023065.4151555533</v>
      </c>
      <c r="X51" s="177"/>
      <c r="Y51" s="180"/>
    </row>
    <row r="52" spans="1:25" ht="12.5">
      <c r="A52" s="179"/>
      <c r="B52" s="180"/>
      <c r="C52" s="178"/>
      <c r="D52" s="177"/>
      <c r="E52" s="177"/>
      <c r="F52" s="177"/>
      <c r="G52" s="177"/>
      <c r="H52" s="177"/>
      <c r="I52" s="26" t="s">
        <v>76</v>
      </c>
      <c r="J52" s="26">
        <v>10</v>
      </c>
      <c r="K52" s="26">
        <v>54100000</v>
      </c>
      <c r="L52" s="26">
        <v>48537000</v>
      </c>
      <c r="M52" s="26">
        <v>42175000</v>
      </c>
      <c r="N52" s="26">
        <v>2700000</v>
      </c>
      <c r="O52" s="26">
        <v>2353400</v>
      </c>
      <c r="P52" s="26">
        <f t="shared" si="18"/>
        <v>47228400</v>
      </c>
      <c r="Q52" s="26">
        <v>11737000</v>
      </c>
      <c r="R52" s="45">
        <f t="shared" si="19"/>
        <v>0.24181552217895627</v>
      </c>
      <c r="S52" s="26">
        <v>6535483.8709677421</v>
      </c>
      <c r="T52" s="26">
        <f>P52-(P52*R52)+S52</f>
        <v>42343323.663291126</v>
      </c>
      <c r="U52" s="46">
        <f t="shared" si="22"/>
        <v>78.268620449706333</v>
      </c>
      <c r="V52" s="16">
        <f>U52*84000/80</f>
        <v>82182.051472191655</v>
      </c>
      <c r="W52" s="16">
        <f t="shared" si="20"/>
        <v>821820.51472191652</v>
      </c>
      <c r="X52" s="177"/>
      <c r="Y52" s="180"/>
    </row>
    <row r="53" spans="1:25" ht="12.5">
      <c r="A53" s="179"/>
      <c r="B53" s="180"/>
      <c r="C53" s="178"/>
      <c r="D53" s="177"/>
      <c r="E53" s="177"/>
      <c r="F53" s="177"/>
      <c r="G53" s="177"/>
      <c r="H53" s="177"/>
      <c r="I53" s="26" t="s">
        <v>198</v>
      </c>
      <c r="J53" s="26">
        <v>5</v>
      </c>
      <c r="K53" s="26">
        <v>27500000</v>
      </c>
      <c r="L53" s="26">
        <f>28493000+5300000</f>
        <v>33793000</v>
      </c>
      <c r="M53" s="26">
        <f>25802000+5300000</f>
        <v>31102000</v>
      </c>
      <c r="N53" s="26">
        <v>2421900</v>
      </c>
      <c r="O53" s="26">
        <v>0</v>
      </c>
      <c r="P53" s="26">
        <f t="shared" si="18"/>
        <v>33523900</v>
      </c>
      <c r="Q53" s="26">
        <v>7393000</v>
      </c>
      <c r="R53" s="45">
        <f>Q53/L53</f>
        <v>0.2187731186932205</v>
      </c>
      <c r="S53" s="26"/>
      <c r="T53" s="26">
        <f>P53-(P53*R53)+S53</f>
        <v>26189771.846240345</v>
      </c>
      <c r="U53" s="46">
        <f>(T53/K53)*100</f>
        <v>95.23553398632852</v>
      </c>
      <c r="V53" s="16">
        <f>U53*120000/95</f>
        <v>120297.51661430972</v>
      </c>
      <c r="W53" s="16">
        <f t="shared" si="20"/>
        <v>601487.58307154861</v>
      </c>
      <c r="X53" s="177"/>
      <c r="Y53" s="180"/>
    </row>
    <row r="54" spans="1:25" ht="13">
      <c r="A54" s="179"/>
      <c r="B54" s="180"/>
      <c r="C54" s="178"/>
      <c r="D54" s="177"/>
      <c r="E54" s="177"/>
      <c r="F54" s="177"/>
      <c r="G54" s="177"/>
      <c r="H54" s="177"/>
      <c r="I54" s="59">
        <v>12</v>
      </c>
      <c r="J54" s="54">
        <f>SUM(J42:J53)</f>
        <v>191</v>
      </c>
      <c r="K54" s="54">
        <f>SUM(K42:K53)</f>
        <v>731000000</v>
      </c>
      <c r="L54" s="54">
        <f t="shared" ref="L54:P54" si="23">SUM(L42:L53)</f>
        <v>921611500</v>
      </c>
      <c r="M54" s="54">
        <f t="shared" si="23"/>
        <v>850336500</v>
      </c>
      <c r="N54" s="54">
        <f t="shared" si="23"/>
        <v>38863800</v>
      </c>
      <c r="O54" s="54">
        <f t="shared" si="23"/>
        <v>5849200</v>
      </c>
      <c r="P54" s="54">
        <f t="shared" si="23"/>
        <v>895049500</v>
      </c>
      <c r="Q54" s="54">
        <f>SUM(Q42:Q53)</f>
        <v>254678500</v>
      </c>
      <c r="R54" s="54"/>
      <c r="S54" s="54">
        <f>SUM(S42:S53)</f>
        <v>23545161.290322576</v>
      </c>
      <c r="T54" s="54">
        <f>SUM(T42:T53)</f>
        <v>671406011.74610364</v>
      </c>
      <c r="U54" s="55">
        <f>(T54/K54)*100</f>
        <v>91.847607626005967</v>
      </c>
      <c r="V54" s="54"/>
      <c r="W54" s="54">
        <f>SUM(W42:W53)</f>
        <v>21686577.664825168</v>
      </c>
      <c r="X54" s="177"/>
      <c r="Y54" s="180"/>
    </row>
    <row r="55" spans="1:25" ht="12.5">
      <c r="A55" s="179"/>
      <c r="B55" s="180" t="s">
        <v>230</v>
      </c>
      <c r="C55" s="178" t="s">
        <v>35</v>
      </c>
      <c r="D55" s="177"/>
      <c r="E55" s="177">
        <v>500000</v>
      </c>
      <c r="F55" s="177">
        <v>500000</v>
      </c>
      <c r="G55" s="177"/>
      <c r="H55" s="177"/>
      <c r="I55" s="26" t="s">
        <v>50</v>
      </c>
      <c r="J55" s="26">
        <v>9</v>
      </c>
      <c r="K55" s="26">
        <v>37500000</v>
      </c>
      <c r="L55" s="26">
        <v>45168000</v>
      </c>
      <c r="M55" s="26">
        <v>38424000</v>
      </c>
      <c r="N55" s="26">
        <v>6085800</v>
      </c>
      <c r="O55" s="26">
        <v>0</v>
      </c>
      <c r="P55" s="26">
        <f>SUM(M55:O55)</f>
        <v>44509800</v>
      </c>
      <c r="Q55" s="26">
        <v>11268000</v>
      </c>
      <c r="R55" s="45">
        <f>Q55/L55</f>
        <v>0.24946865037194474</v>
      </c>
      <c r="S55" s="26"/>
      <c r="T55" s="26">
        <f>P55-(P55*R55)+S55</f>
        <v>33406000.265674815</v>
      </c>
      <c r="U55" s="46">
        <f>(T55/K55)*100</f>
        <v>89.082667375132843</v>
      </c>
      <c r="V55" s="16">
        <f>U55*99000/90</f>
        <v>97990.934112646122</v>
      </c>
      <c r="W55" s="16">
        <f>V55*J55</f>
        <v>881918.40701381513</v>
      </c>
      <c r="X55" s="177">
        <f>E55+F55+W60</f>
        <v>5956551.0071786251</v>
      </c>
      <c r="Y55" s="138"/>
    </row>
    <row r="56" spans="1:25" ht="12.5">
      <c r="A56" s="179"/>
      <c r="B56" s="180"/>
      <c r="C56" s="178"/>
      <c r="D56" s="177"/>
      <c r="E56" s="177"/>
      <c r="F56" s="177"/>
      <c r="G56" s="177"/>
      <c r="H56" s="177"/>
      <c r="I56" s="26" t="s">
        <v>54</v>
      </c>
      <c r="J56" s="26">
        <v>15</v>
      </c>
      <c r="K56" s="26">
        <v>61200000</v>
      </c>
      <c r="L56" s="26">
        <f>80162800-7600000</f>
        <v>72562800</v>
      </c>
      <c r="M56" s="26">
        <f>51812800-7600000</f>
        <v>44212800</v>
      </c>
      <c r="N56" s="26">
        <v>19158300</v>
      </c>
      <c r="O56" s="26">
        <v>930999.99999999988</v>
      </c>
      <c r="P56" s="26">
        <f t="shared" ref="P56:P59" si="24">SUM(M56:O56)</f>
        <v>64302100</v>
      </c>
      <c r="Q56" s="26">
        <v>14762800</v>
      </c>
      <c r="R56" s="45">
        <f t="shared" ref="R56:R65" si="25">Q56/L56</f>
        <v>0.20344859900665355</v>
      </c>
      <c r="S56" s="26">
        <f>1470967.74193548+500000</f>
        <v>1970967.7419354799</v>
      </c>
      <c r="T56" s="26">
        <f t="shared" ref="T56:T65" si="26">P56-(P56*R56)+S56</f>
        <v>53190895.583749741</v>
      </c>
      <c r="U56" s="46">
        <f t="shared" ref="U56:U65" si="27">(T56/K56)*100</f>
        <v>86.913228078022456</v>
      </c>
      <c r="V56" s="16">
        <f>U56*90000/85</f>
        <v>92025.770906141421</v>
      </c>
      <c r="W56" s="16">
        <f t="shared" ref="W56:W65" si="28">V56*J56</f>
        <v>1380386.5635921212</v>
      </c>
      <c r="X56" s="178"/>
      <c r="Y56" s="138"/>
    </row>
    <row r="57" spans="1:25" ht="12.5">
      <c r="A57" s="179"/>
      <c r="B57" s="180"/>
      <c r="C57" s="178"/>
      <c r="D57" s="177"/>
      <c r="E57" s="177"/>
      <c r="F57" s="177"/>
      <c r="G57" s="177"/>
      <c r="H57" s="177"/>
      <c r="I57" s="26" t="s">
        <v>38</v>
      </c>
      <c r="J57" s="26">
        <v>6</v>
      </c>
      <c r="K57" s="26">
        <v>26100000</v>
      </c>
      <c r="L57" s="26">
        <f>33175000-4000000</f>
        <v>29175000</v>
      </c>
      <c r="M57" s="26">
        <f>32975000-4000000</f>
        <v>28975000</v>
      </c>
      <c r="N57" s="26">
        <v>0</v>
      </c>
      <c r="O57" s="26">
        <v>0</v>
      </c>
      <c r="P57" s="26">
        <f t="shared" si="24"/>
        <v>28975000</v>
      </c>
      <c r="Q57" s="26">
        <v>5875000</v>
      </c>
      <c r="R57" s="45">
        <f t="shared" si="25"/>
        <v>0.20137103684661525</v>
      </c>
      <c r="S57" s="26"/>
      <c r="T57" s="26">
        <f t="shared" si="26"/>
        <v>23140274.207369324</v>
      </c>
      <c r="U57" s="46">
        <f t="shared" si="27"/>
        <v>88.660054434365222</v>
      </c>
      <c r="V57" s="16">
        <f>U57*99000/90</f>
        <v>97526.059877801745</v>
      </c>
      <c r="W57" s="16">
        <f t="shared" si="28"/>
        <v>585156.35926681047</v>
      </c>
      <c r="X57" s="178"/>
      <c r="Y57" s="138"/>
    </row>
    <row r="58" spans="1:25" ht="12.5">
      <c r="A58" s="179"/>
      <c r="B58" s="180"/>
      <c r="C58" s="178"/>
      <c r="D58" s="177"/>
      <c r="E58" s="177"/>
      <c r="F58" s="177"/>
      <c r="G58" s="177"/>
      <c r="H58" s="177"/>
      <c r="I58" s="26" t="s">
        <v>39</v>
      </c>
      <c r="J58" s="26">
        <v>13</v>
      </c>
      <c r="K58" s="26">
        <v>48000000</v>
      </c>
      <c r="L58" s="26">
        <v>58740710</v>
      </c>
      <c r="M58" s="26">
        <v>54543710</v>
      </c>
      <c r="N58" s="26">
        <v>0</v>
      </c>
      <c r="O58" s="26">
        <v>466899.99999999994</v>
      </c>
      <c r="P58" s="26">
        <f t="shared" si="24"/>
        <v>55010610</v>
      </c>
      <c r="Q58" s="26">
        <v>12527000</v>
      </c>
      <c r="R58" s="45">
        <f t="shared" si="25"/>
        <v>0.2132592541016273</v>
      </c>
      <c r="S58" s="26">
        <v>2145161.2903225804</v>
      </c>
      <c r="T58" s="26">
        <f t="shared" si="26"/>
        <v>45424249.634047061</v>
      </c>
      <c r="U58" s="46">
        <f t="shared" si="27"/>
        <v>94.633853404264713</v>
      </c>
      <c r="V58" s="16">
        <f>U58*109000/95</f>
        <v>108579.89495857741</v>
      </c>
      <c r="W58" s="16">
        <f t="shared" si="28"/>
        <v>1411538.6344615063</v>
      </c>
      <c r="X58" s="178"/>
      <c r="Y58" s="138"/>
    </row>
    <row r="59" spans="1:25" ht="12.5">
      <c r="A59" s="179"/>
      <c r="B59" s="180"/>
      <c r="C59" s="178"/>
      <c r="D59" s="177"/>
      <c r="E59" s="177"/>
      <c r="F59" s="177"/>
      <c r="G59" s="177"/>
      <c r="H59" s="177"/>
      <c r="I59" s="26" t="s">
        <v>59</v>
      </c>
      <c r="J59" s="26">
        <f>7+1</f>
        <v>8</v>
      </c>
      <c r="K59" s="26">
        <f>27000000+8500000</f>
        <v>35500000</v>
      </c>
      <c r="L59" s="26">
        <v>40238000</v>
      </c>
      <c r="M59" s="26">
        <v>31552000</v>
      </c>
      <c r="N59" s="26">
        <v>3909600</v>
      </c>
      <c r="O59" s="26">
        <v>0</v>
      </c>
      <c r="P59" s="26">
        <f t="shared" si="24"/>
        <v>35461600</v>
      </c>
      <c r="Q59" s="26">
        <v>7938000</v>
      </c>
      <c r="R59" s="45">
        <f t="shared" si="25"/>
        <v>0.19727620657090314</v>
      </c>
      <c r="S59" s="26">
        <v>1096774.1935483871</v>
      </c>
      <c r="T59" s="26">
        <f t="shared" si="26"/>
        <v>29562644.266613651</v>
      </c>
      <c r="U59" s="46">
        <f t="shared" si="27"/>
        <v>83.275054272151124</v>
      </c>
      <c r="V59" s="16">
        <f>U59*89000/85</f>
        <v>87193.880355546469</v>
      </c>
      <c r="W59" s="16">
        <f t="shared" si="28"/>
        <v>697551.04284437175</v>
      </c>
      <c r="X59" s="178"/>
      <c r="Y59" s="138"/>
    </row>
    <row r="60" spans="1:25" ht="13">
      <c r="A60" s="179"/>
      <c r="B60" s="180"/>
      <c r="C60" s="178"/>
      <c r="D60" s="177"/>
      <c r="E60" s="177"/>
      <c r="F60" s="177"/>
      <c r="G60" s="177"/>
      <c r="H60" s="177"/>
      <c r="I60" s="59">
        <v>5</v>
      </c>
      <c r="J60" s="54">
        <f>SUM(J55:J59)</f>
        <v>51</v>
      </c>
      <c r="K60" s="54">
        <f t="shared" ref="K60:N60" si="29">SUM(K55:K59)</f>
        <v>208300000</v>
      </c>
      <c r="L60" s="54">
        <f t="shared" si="29"/>
        <v>245884510</v>
      </c>
      <c r="M60" s="54">
        <f t="shared" si="29"/>
        <v>197707510</v>
      </c>
      <c r="N60" s="54">
        <f t="shared" si="29"/>
        <v>29153700</v>
      </c>
      <c r="O60" s="54">
        <f>SUM(O55:O59)</f>
        <v>1397899.9999999998</v>
      </c>
      <c r="P60" s="54">
        <f>SUM(P55:P59)</f>
        <v>228259110</v>
      </c>
      <c r="Q60" s="54">
        <f>SUM(Q55:Q59)</f>
        <v>52370800</v>
      </c>
      <c r="R60" s="54"/>
      <c r="S60" s="54">
        <f>SUM(S55:S59)</f>
        <v>5212903.2258064477</v>
      </c>
      <c r="T60" s="54">
        <f>SUM(T55:T59)</f>
        <v>184724063.95745462</v>
      </c>
      <c r="U60" s="55">
        <f>(T60/K60)*100</f>
        <v>88.681739777942695</v>
      </c>
      <c r="V60" s="54"/>
      <c r="W60" s="54">
        <f>SUM(W55:W59)</f>
        <v>4956551.0071786251</v>
      </c>
      <c r="X60" s="178"/>
      <c r="Y60" s="138"/>
    </row>
    <row r="61" spans="1:25" ht="12.5">
      <c r="A61" s="179"/>
      <c r="B61" s="180" t="s">
        <v>231</v>
      </c>
      <c r="C61" s="178" t="s">
        <v>35</v>
      </c>
      <c r="D61" s="177"/>
      <c r="E61" s="177">
        <v>500000</v>
      </c>
      <c r="F61" s="177">
        <v>500000</v>
      </c>
      <c r="G61" s="177"/>
      <c r="H61" s="177"/>
      <c r="I61" s="26" t="s">
        <v>115</v>
      </c>
      <c r="J61" s="26">
        <v>9</v>
      </c>
      <c r="K61" s="26">
        <v>39200000</v>
      </c>
      <c r="L61" s="26">
        <v>40617000</v>
      </c>
      <c r="M61" s="26">
        <v>40617000</v>
      </c>
      <c r="N61" s="26">
        <v>0</v>
      </c>
      <c r="O61" s="26">
        <v>0</v>
      </c>
      <c r="P61" s="26">
        <f>SUM(M61:O61)</f>
        <v>40617000</v>
      </c>
      <c r="Q61" s="26">
        <v>9117000</v>
      </c>
      <c r="R61" s="45">
        <f t="shared" si="25"/>
        <v>0.22446266341679591</v>
      </c>
      <c r="S61" s="26">
        <v>2167741.935483871</v>
      </c>
      <c r="T61" s="26">
        <f t="shared" si="26"/>
        <v>33667741.935483873</v>
      </c>
      <c r="U61" s="46">
        <f t="shared" si="27"/>
        <v>85.887096774193552</v>
      </c>
      <c r="V61" s="16">
        <f>U61*90000/85</f>
        <v>90939.278937381401</v>
      </c>
      <c r="W61" s="16">
        <f t="shared" si="28"/>
        <v>818453.51043643267</v>
      </c>
      <c r="X61" s="181">
        <f>E61+F61+W66</f>
        <v>5399022.9351489674</v>
      </c>
      <c r="Y61" s="138"/>
    </row>
    <row r="62" spans="1:25" ht="12.5">
      <c r="A62" s="179"/>
      <c r="B62" s="180"/>
      <c r="C62" s="178"/>
      <c r="D62" s="177"/>
      <c r="E62" s="177"/>
      <c r="F62" s="177"/>
      <c r="G62" s="177"/>
      <c r="H62" s="177"/>
      <c r="I62" s="36" t="s">
        <v>116</v>
      </c>
      <c r="J62" s="26">
        <v>11</v>
      </c>
      <c r="K62" s="26">
        <v>43800000</v>
      </c>
      <c r="L62" s="26">
        <v>58329000</v>
      </c>
      <c r="M62" s="26">
        <v>57689000</v>
      </c>
      <c r="N62" s="26">
        <v>558000</v>
      </c>
      <c r="O62" s="26">
        <v>0</v>
      </c>
      <c r="P62" s="26">
        <f t="shared" ref="P62:P65" si="30">SUM(M62:O62)</f>
        <v>58247000</v>
      </c>
      <c r="Q62" s="26">
        <v>18229000</v>
      </c>
      <c r="R62" s="45">
        <f t="shared" si="25"/>
        <v>0.31252035865521438</v>
      </c>
      <c r="S62" s="26"/>
      <c r="T62" s="26">
        <f t="shared" si="26"/>
        <v>40043626.66940973</v>
      </c>
      <c r="U62" s="46">
        <f t="shared" si="27"/>
        <v>91.42380518130075</v>
      </c>
      <c r="V62" s="16">
        <f>U62*100000/90</f>
        <v>101582.00575700084</v>
      </c>
      <c r="W62" s="16">
        <f t="shared" si="28"/>
        <v>1117402.0633270091</v>
      </c>
      <c r="X62" s="182"/>
      <c r="Y62" s="138"/>
    </row>
    <row r="63" spans="1:25" ht="12.5">
      <c r="A63" s="179"/>
      <c r="B63" s="180"/>
      <c r="C63" s="178"/>
      <c r="D63" s="177"/>
      <c r="E63" s="177"/>
      <c r="F63" s="177"/>
      <c r="G63" s="177"/>
      <c r="H63" s="177"/>
      <c r="I63" s="26" t="s">
        <v>99</v>
      </c>
      <c r="J63" s="26">
        <v>8</v>
      </c>
      <c r="K63" s="26">
        <v>35000000</v>
      </c>
      <c r="L63" s="26">
        <f>44615000-4200000</f>
        <v>40415000</v>
      </c>
      <c r="M63" s="26">
        <f>35995000-4200000</f>
        <v>31795000</v>
      </c>
      <c r="N63" s="26">
        <v>5958000</v>
      </c>
      <c r="O63" s="26">
        <v>1400000</v>
      </c>
      <c r="P63" s="26">
        <f t="shared" si="30"/>
        <v>39153000</v>
      </c>
      <c r="Q63" s="26">
        <v>8115000</v>
      </c>
      <c r="R63" s="45">
        <f t="shared" si="25"/>
        <v>0.20079178522825683</v>
      </c>
      <c r="S63" s="26"/>
      <c r="T63" s="26">
        <f t="shared" si="26"/>
        <v>31291399.23295806</v>
      </c>
      <c r="U63" s="46">
        <f t="shared" si="27"/>
        <v>89.403997808451592</v>
      </c>
      <c r="V63" s="16">
        <f>U63*99000/90</f>
        <v>98344.397589296743</v>
      </c>
      <c r="W63" s="16">
        <f t="shared" si="28"/>
        <v>786755.18071437394</v>
      </c>
      <c r="X63" s="182"/>
      <c r="Y63" s="138"/>
    </row>
    <row r="64" spans="1:25" ht="12.5">
      <c r="A64" s="179"/>
      <c r="B64" s="180"/>
      <c r="C64" s="178"/>
      <c r="D64" s="177"/>
      <c r="E64" s="177"/>
      <c r="F64" s="177"/>
      <c r="G64" s="177"/>
      <c r="H64" s="177"/>
      <c r="I64" s="26" t="s">
        <v>100</v>
      </c>
      <c r="J64" s="26">
        <v>8</v>
      </c>
      <c r="K64" s="26">
        <v>35000000</v>
      </c>
      <c r="L64" s="26">
        <v>38173000</v>
      </c>
      <c r="M64" s="26">
        <v>42273000</v>
      </c>
      <c r="N64" s="26">
        <v>0</v>
      </c>
      <c r="O64" s="26">
        <v>0</v>
      </c>
      <c r="P64" s="26">
        <f t="shared" si="30"/>
        <v>42273000</v>
      </c>
      <c r="Q64" s="26">
        <v>9073000</v>
      </c>
      <c r="R64" s="45">
        <f t="shared" si="25"/>
        <v>0.23768108348832945</v>
      </c>
      <c r="S64" s="26">
        <v>2709677.4193548388</v>
      </c>
      <c r="T64" s="26">
        <f t="shared" si="26"/>
        <v>34935184.977052689</v>
      </c>
      <c r="U64" s="46">
        <f t="shared" si="27"/>
        <v>99.814814220150538</v>
      </c>
      <c r="V64" s="16">
        <f>U64*120000/100</f>
        <v>119777.77706418066</v>
      </c>
      <c r="W64" s="16">
        <f t="shared" si="28"/>
        <v>958222.21651344525</v>
      </c>
      <c r="X64" s="182"/>
      <c r="Y64" s="138"/>
    </row>
    <row r="65" spans="1:25" ht="12.5">
      <c r="A65" s="179"/>
      <c r="B65" s="180"/>
      <c r="C65" s="178"/>
      <c r="D65" s="177"/>
      <c r="E65" s="177"/>
      <c r="F65" s="177"/>
      <c r="G65" s="177"/>
      <c r="H65" s="177"/>
      <c r="I65" s="26" t="s">
        <v>101</v>
      </c>
      <c r="J65" s="26">
        <v>7</v>
      </c>
      <c r="K65" s="26">
        <v>24800000</v>
      </c>
      <c r="L65" s="26">
        <f>35780000-3200000</f>
        <v>32580000</v>
      </c>
      <c r="M65" s="26">
        <f>35780000-3200000</f>
        <v>32580000</v>
      </c>
      <c r="N65" s="26">
        <v>0</v>
      </c>
      <c r="O65" s="26">
        <v>0</v>
      </c>
      <c r="P65" s="26">
        <f t="shared" si="30"/>
        <v>32580000</v>
      </c>
      <c r="Q65" s="26">
        <v>9680000</v>
      </c>
      <c r="R65" s="45">
        <f t="shared" si="25"/>
        <v>0.29711479435236343</v>
      </c>
      <c r="S65" s="26"/>
      <c r="T65" s="26">
        <f t="shared" si="26"/>
        <v>22900000</v>
      </c>
      <c r="U65" s="46">
        <f t="shared" si="27"/>
        <v>92.338709677419345</v>
      </c>
      <c r="V65" s="16">
        <f>U65*100000/90</f>
        <v>102598.56630824372</v>
      </c>
      <c r="W65" s="16">
        <f t="shared" si="28"/>
        <v>718189.96415770613</v>
      </c>
      <c r="X65" s="182"/>
      <c r="Y65" s="138"/>
    </row>
    <row r="66" spans="1:25" ht="13">
      <c r="A66" s="179"/>
      <c r="B66" s="180"/>
      <c r="C66" s="178"/>
      <c r="D66" s="177"/>
      <c r="E66" s="177"/>
      <c r="F66" s="177"/>
      <c r="G66" s="177"/>
      <c r="H66" s="177"/>
      <c r="I66" s="59">
        <v>5</v>
      </c>
      <c r="J66" s="54">
        <f>SUM(J61:J65)</f>
        <v>43</v>
      </c>
      <c r="K66" s="54">
        <f t="shared" ref="K66:Q66" si="31">SUM(K61:K65)</f>
        <v>177800000</v>
      </c>
      <c r="L66" s="54">
        <f t="shared" si="31"/>
        <v>210114000</v>
      </c>
      <c r="M66" s="54">
        <f t="shared" si="31"/>
        <v>204954000</v>
      </c>
      <c r="N66" s="54">
        <f t="shared" si="31"/>
        <v>6516000</v>
      </c>
      <c r="O66" s="54">
        <f t="shared" si="31"/>
        <v>1400000</v>
      </c>
      <c r="P66" s="54">
        <f t="shared" si="31"/>
        <v>212870000</v>
      </c>
      <c r="Q66" s="54">
        <f t="shared" si="31"/>
        <v>54214000</v>
      </c>
      <c r="R66" s="54"/>
      <c r="S66" s="54">
        <f>SUM(S61:S65)</f>
        <v>4877419.3548387103</v>
      </c>
      <c r="T66" s="54">
        <f>SUM(T61:T65)</f>
        <v>162837952.81490433</v>
      </c>
      <c r="U66" s="55">
        <f>(T66/K66)*100</f>
        <v>91.584900345840452</v>
      </c>
      <c r="V66" s="54"/>
      <c r="W66" s="54">
        <f>SUM(W61:W65)</f>
        <v>4399022.9351489674</v>
      </c>
      <c r="X66" s="183"/>
      <c r="Y66" s="138"/>
    </row>
    <row r="67" spans="1:25" ht="13" customHeight="1">
      <c r="A67" s="179"/>
      <c r="B67" s="180" t="s">
        <v>98</v>
      </c>
      <c r="C67" s="178" t="s">
        <v>35</v>
      </c>
      <c r="D67" s="177"/>
      <c r="E67" s="177">
        <v>500000</v>
      </c>
      <c r="F67" s="177">
        <v>500000</v>
      </c>
      <c r="G67" s="177"/>
      <c r="H67" s="177"/>
      <c r="I67" s="26" t="s">
        <v>88</v>
      </c>
      <c r="J67" s="26">
        <v>10</v>
      </c>
      <c r="K67" s="26">
        <v>43200000</v>
      </c>
      <c r="L67" s="26">
        <f>56639903.2258065-4200000</f>
        <v>52439903.225806497</v>
      </c>
      <c r="M67" s="26">
        <f>46248000-4200000</f>
        <v>42048000</v>
      </c>
      <c r="N67" s="26">
        <v>9318600</v>
      </c>
      <c r="O67" s="26">
        <v>0</v>
      </c>
      <c r="P67" s="26">
        <f t="shared" ref="P67:P69" si="32">SUM(M67:O67)</f>
        <v>51366600</v>
      </c>
      <c r="Q67" s="26">
        <v>11527000</v>
      </c>
      <c r="R67" s="45">
        <f t="shared" si="3"/>
        <v>0.21981352540573307</v>
      </c>
      <c r="S67" s="26"/>
      <c r="T67" s="26">
        <f t="shared" si="15"/>
        <v>40075526.565893874</v>
      </c>
      <c r="U67" s="46">
        <f>(T67/K67)*100</f>
        <v>92.767422606235812</v>
      </c>
      <c r="V67" s="16">
        <f>U67*119000/95</f>
        <v>116203.40305412696</v>
      </c>
      <c r="W67" s="16">
        <f t="shared" ref="W67:W72" si="33">V67*J67</f>
        <v>1162034.0305412696</v>
      </c>
      <c r="X67" s="177">
        <f>W73+E67+F67</f>
        <v>8069427.0552110793</v>
      </c>
      <c r="Y67" s="180"/>
    </row>
    <row r="68" spans="1:25" ht="13" customHeight="1">
      <c r="A68" s="179"/>
      <c r="B68" s="180"/>
      <c r="C68" s="178"/>
      <c r="D68" s="177"/>
      <c r="E68" s="177"/>
      <c r="F68" s="177"/>
      <c r="G68" s="177"/>
      <c r="H68" s="177"/>
      <c r="I68" s="26" t="s">
        <v>89</v>
      </c>
      <c r="J68" s="26">
        <v>11</v>
      </c>
      <c r="K68" s="26">
        <v>47100000</v>
      </c>
      <c r="L68" s="26">
        <f>60625000-3800000</f>
        <v>56825000</v>
      </c>
      <c r="M68" s="26">
        <f>49257000-3800000</f>
        <v>45457000</v>
      </c>
      <c r="N68" s="26">
        <v>7888500</v>
      </c>
      <c r="O68" s="26">
        <v>1821400</v>
      </c>
      <c r="P68" s="26">
        <f t="shared" si="32"/>
        <v>55166900</v>
      </c>
      <c r="Q68" s="26">
        <v>13725000</v>
      </c>
      <c r="R68" s="45">
        <f t="shared" si="3"/>
        <v>0.24153101627804663</v>
      </c>
      <c r="S68" s="26"/>
      <c r="T68" s="26">
        <f t="shared" si="15"/>
        <v>41842382.57809063</v>
      </c>
      <c r="U68" s="46">
        <f>(T68/K68)*100</f>
        <v>88.837330314417471</v>
      </c>
      <c r="V68" s="16">
        <f>U68*109000/90</f>
        <v>107591.87782523893</v>
      </c>
      <c r="W68" s="16">
        <f t="shared" si="33"/>
        <v>1183510.6560776283</v>
      </c>
      <c r="X68" s="178"/>
      <c r="Y68" s="180"/>
    </row>
    <row r="69" spans="1:25" ht="13" customHeight="1">
      <c r="A69" s="179"/>
      <c r="B69" s="180"/>
      <c r="C69" s="178"/>
      <c r="D69" s="177"/>
      <c r="E69" s="177"/>
      <c r="F69" s="177"/>
      <c r="G69" s="177"/>
      <c r="H69" s="177"/>
      <c r="I69" s="26" t="s">
        <v>90</v>
      </c>
      <c r="J69" s="26">
        <v>8</v>
      </c>
      <c r="K69" s="26">
        <v>31700000</v>
      </c>
      <c r="L69" s="26">
        <f>45555000-3800000</f>
        <v>41755000</v>
      </c>
      <c r="M69" s="26">
        <f>40767000-3800000</f>
        <v>36967000</v>
      </c>
      <c r="N69" s="26">
        <v>3654000</v>
      </c>
      <c r="O69" s="26">
        <v>1209600</v>
      </c>
      <c r="P69" s="26">
        <f t="shared" si="32"/>
        <v>41830600</v>
      </c>
      <c r="Q69" s="26">
        <v>11355000</v>
      </c>
      <c r="R69" s="45">
        <f t="shared" si="3"/>
        <v>0.27194347982277572</v>
      </c>
      <c r="S69" s="26">
        <v>735483.87096774194</v>
      </c>
      <c r="T69" s="26">
        <f t="shared" si="15"/>
        <v>31190524.943893138</v>
      </c>
      <c r="U69" s="46">
        <f>(T69/K69)*100</f>
        <v>98.392823166855322</v>
      </c>
      <c r="V69" s="16">
        <f>U69*130000/100</f>
        <v>127910.67011691192</v>
      </c>
      <c r="W69" s="16">
        <f t="shared" si="33"/>
        <v>1023285.3609352953</v>
      </c>
      <c r="X69" s="178"/>
      <c r="Y69" s="180"/>
    </row>
    <row r="70" spans="1:25" ht="12.5">
      <c r="A70" s="179"/>
      <c r="B70" s="180"/>
      <c r="C70" s="178"/>
      <c r="D70" s="177"/>
      <c r="E70" s="177"/>
      <c r="F70" s="177"/>
      <c r="G70" s="177"/>
      <c r="H70" s="177"/>
      <c r="I70" s="26" t="s">
        <v>224</v>
      </c>
      <c r="J70" s="26">
        <v>10</v>
      </c>
      <c r="K70" s="26">
        <v>30600000</v>
      </c>
      <c r="L70" s="26">
        <f>40042000-3000000</f>
        <v>37042000</v>
      </c>
      <c r="M70" s="26">
        <f>37657000-3000000</f>
        <v>34657000</v>
      </c>
      <c r="N70" s="26">
        <v>2021400</v>
      </c>
      <c r="O70" s="26">
        <v>98000</v>
      </c>
      <c r="P70" s="26">
        <f>SUM(M70:O70)</f>
        <v>36776400</v>
      </c>
      <c r="Q70" s="26">
        <v>7612000</v>
      </c>
      <c r="R70" s="45">
        <f t="shared" si="3"/>
        <v>0.2054964634738945</v>
      </c>
      <c r="S70" s="26"/>
      <c r="T70" s="26">
        <f>P70-(P70*R70)+S70</f>
        <v>29218979.860698666</v>
      </c>
      <c r="U70" s="46">
        <f t="shared" si="22"/>
        <v>95.486862289864931</v>
      </c>
      <c r="V70" s="16">
        <f>U70*120000/95</f>
        <v>120614.98394509254</v>
      </c>
      <c r="W70" s="16">
        <f t="shared" si="33"/>
        <v>1206149.8394509254</v>
      </c>
      <c r="X70" s="178"/>
      <c r="Y70" s="180"/>
    </row>
    <row r="71" spans="1:25" ht="12.5">
      <c r="A71" s="179"/>
      <c r="B71" s="180"/>
      <c r="C71" s="178"/>
      <c r="D71" s="177"/>
      <c r="E71" s="177"/>
      <c r="F71" s="177"/>
      <c r="G71" s="177"/>
      <c r="H71" s="177"/>
      <c r="I71" s="26" t="s">
        <v>228</v>
      </c>
      <c r="J71" s="26">
        <v>9</v>
      </c>
      <c r="K71" s="26">
        <v>31500000</v>
      </c>
      <c r="L71" s="26">
        <v>38361000</v>
      </c>
      <c r="M71" s="26">
        <v>30372000</v>
      </c>
      <c r="N71" s="26">
        <v>7154100</v>
      </c>
      <c r="O71" s="26">
        <v>0</v>
      </c>
      <c r="P71" s="26">
        <f t="shared" ref="P71:P72" si="34">SUM(M71:O71)</f>
        <v>37526100</v>
      </c>
      <c r="Q71" s="26">
        <v>7361000</v>
      </c>
      <c r="R71" s="45">
        <f t="shared" si="3"/>
        <v>0.19188759417116341</v>
      </c>
      <c r="S71" s="26"/>
      <c r="T71" s="26">
        <f t="shared" ref="T71:T72" si="35">P71-(P71*R71)+S71</f>
        <v>30325306.952373505</v>
      </c>
      <c r="U71" s="46">
        <f t="shared" si="22"/>
        <v>96.27081572182064</v>
      </c>
      <c r="V71" s="16">
        <f>U71*120000/95</f>
        <v>121605.24091177344</v>
      </c>
      <c r="W71" s="16">
        <f t="shared" si="33"/>
        <v>1094447.1682059609</v>
      </c>
      <c r="X71" s="178"/>
      <c r="Y71" s="180"/>
    </row>
    <row r="72" spans="1:25" ht="12.5">
      <c r="A72" s="179"/>
      <c r="B72" s="180"/>
      <c r="C72" s="178"/>
      <c r="D72" s="177"/>
      <c r="E72" s="177"/>
      <c r="F72" s="177"/>
      <c r="G72" s="177"/>
      <c r="H72" s="177"/>
      <c r="I72" s="26" t="s">
        <v>240</v>
      </c>
      <c r="J72" s="26">
        <v>14</v>
      </c>
      <c r="K72" s="26"/>
      <c r="L72" s="26"/>
      <c r="M72" s="26"/>
      <c r="N72" s="26"/>
      <c r="O72" s="26"/>
      <c r="P72" s="26">
        <f t="shared" si="34"/>
        <v>0</v>
      </c>
      <c r="Q72" s="26"/>
      <c r="R72" s="45"/>
      <c r="S72" s="26"/>
      <c r="T72" s="26">
        <f t="shared" si="35"/>
        <v>0</v>
      </c>
      <c r="U72" s="46"/>
      <c r="V72" s="16">
        <v>100000</v>
      </c>
      <c r="W72" s="16">
        <f t="shared" si="33"/>
        <v>1400000</v>
      </c>
      <c r="X72" s="178"/>
      <c r="Y72" s="180"/>
    </row>
    <row r="73" spans="1:25" ht="13" customHeight="1">
      <c r="A73" s="179"/>
      <c r="B73" s="180" t="e">
        <f>#REF!</f>
        <v>#REF!</v>
      </c>
      <c r="C73" s="178"/>
      <c r="D73" s="177"/>
      <c r="E73" s="177"/>
      <c r="F73" s="177"/>
      <c r="G73" s="177"/>
      <c r="H73" s="177"/>
      <c r="I73" s="59">
        <v>6</v>
      </c>
      <c r="J73" s="52">
        <f>SUM(J67:J72)</f>
        <v>62</v>
      </c>
      <c r="K73" s="52">
        <f t="shared" ref="K73:Q73" si="36">SUM(K67:K72)</f>
        <v>184100000</v>
      </c>
      <c r="L73" s="52">
        <f t="shared" si="36"/>
        <v>226422903.2258065</v>
      </c>
      <c r="M73" s="52">
        <f t="shared" si="36"/>
        <v>189501000</v>
      </c>
      <c r="N73" s="52">
        <f t="shared" si="36"/>
        <v>30036600</v>
      </c>
      <c r="O73" s="52">
        <f t="shared" si="36"/>
        <v>3129000</v>
      </c>
      <c r="P73" s="52">
        <f>SUM(P67:P72)</f>
        <v>222666600</v>
      </c>
      <c r="Q73" s="52">
        <f t="shared" si="36"/>
        <v>51580000</v>
      </c>
      <c r="R73" s="61"/>
      <c r="S73" s="52">
        <f>SUM(S67:S72)</f>
        <v>735483.87096774194</v>
      </c>
      <c r="T73" s="52">
        <f>SUM(T67:T72)</f>
        <v>172652720.90094981</v>
      </c>
      <c r="U73" s="55">
        <f>(T73/K73)*100</f>
        <v>93.78203199399772</v>
      </c>
      <c r="V73" s="62"/>
      <c r="W73" s="62">
        <f>SUM(W67:W72)</f>
        <v>7069427.0552110793</v>
      </c>
      <c r="X73" s="178"/>
      <c r="Y73" s="180"/>
    </row>
    <row r="74" spans="1:25" ht="12.5">
      <c r="A74" s="179"/>
      <c r="B74" s="180" t="s">
        <v>78</v>
      </c>
      <c r="C74" s="178"/>
      <c r="D74" s="177"/>
      <c r="E74" s="177">
        <v>500000</v>
      </c>
      <c r="F74" s="177">
        <v>500000</v>
      </c>
      <c r="G74" s="177"/>
      <c r="H74" s="177"/>
      <c r="I74" s="26" t="s">
        <v>102</v>
      </c>
      <c r="J74" s="26">
        <v>14</v>
      </c>
      <c r="K74" s="26">
        <v>49800000</v>
      </c>
      <c r="L74" s="26">
        <f>65457900-3400000</f>
        <v>62057900</v>
      </c>
      <c r="M74" s="26">
        <f>65488000-3400000</f>
        <v>62088000</v>
      </c>
      <c r="N74" s="26">
        <v>0</v>
      </c>
      <c r="O74" s="26">
        <v>0</v>
      </c>
      <c r="P74" s="26">
        <f t="shared" ref="P74:P76" si="37">SUM(M74:O74)</f>
        <v>62088000</v>
      </c>
      <c r="Q74" s="26">
        <v>14190900</v>
      </c>
      <c r="R74" s="45">
        <f t="shared" si="3"/>
        <v>0.22867193379086304</v>
      </c>
      <c r="S74" s="26">
        <v>1354838.7096774192</v>
      </c>
      <c r="T74" s="26">
        <f t="shared" si="15"/>
        <v>49245055.684470318</v>
      </c>
      <c r="U74" s="46">
        <f t="shared" si="22"/>
        <v>98.885653984880165</v>
      </c>
      <c r="V74" s="16">
        <f>U74*120000/100</f>
        <v>118662.7847818562</v>
      </c>
      <c r="W74" s="16">
        <f t="shared" ref="W74:W76" si="38">V74*J74</f>
        <v>1661278.9869459867</v>
      </c>
      <c r="X74" s="177">
        <f>E74+F74+W78</f>
        <v>4666190.6713461224</v>
      </c>
      <c r="Y74" s="180"/>
    </row>
    <row r="75" spans="1:25" ht="12.5">
      <c r="A75" s="179"/>
      <c r="B75" s="180"/>
      <c r="C75" s="178"/>
      <c r="D75" s="177"/>
      <c r="E75" s="177"/>
      <c r="F75" s="177"/>
      <c r="G75" s="177"/>
      <c r="H75" s="177"/>
      <c r="I75" s="26" t="s">
        <v>103</v>
      </c>
      <c r="J75" s="26">
        <v>10</v>
      </c>
      <c r="K75" s="26">
        <v>45000000</v>
      </c>
      <c r="L75" s="26">
        <v>55685000</v>
      </c>
      <c r="M75" s="26">
        <v>49225000</v>
      </c>
      <c r="N75" s="26">
        <v>5814000</v>
      </c>
      <c r="O75" s="26">
        <v>0</v>
      </c>
      <c r="P75" s="26">
        <f t="shared" si="37"/>
        <v>55039000</v>
      </c>
      <c r="Q75" s="26">
        <v>13885000</v>
      </c>
      <c r="R75" s="45">
        <f t="shared" si="3"/>
        <v>0.24934901679087726</v>
      </c>
      <c r="S75" s="26">
        <v>1625806.4516129033</v>
      </c>
      <c r="T75" s="26">
        <f t="shared" si="15"/>
        <v>42940885.916459814</v>
      </c>
      <c r="U75" s="46">
        <f>(T75/K75)*100</f>
        <v>95.424190925466263</v>
      </c>
      <c r="V75" s="16">
        <f>U75*110000/95</f>
        <v>110491.16844001357</v>
      </c>
      <c r="W75" s="16">
        <f t="shared" si="38"/>
        <v>1104911.6844001357</v>
      </c>
      <c r="X75" s="178"/>
      <c r="Y75" s="180"/>
    </row>
    <row r="76" spans="1:25" ht="12.5">
      <c r="A76" s="179"/>
      <c r="B76" s="180"/>
      <c r="C76" s="178"/>
      <c r="D76" s="177"/>
      <c r="E76" s="177"/>
      <c r="F76" s="177"/>
      <c r="G76" s="177"/>
      <c r="H76" s="177"/>
      <c r="I76" s="26" t="s">
        <v>241</v>
      </c>
      <c r="J76" s="26">
        <v>9</v>
      </c>
      <c r="K76" s="26"/>
      <c r="L76" s="26"/>
      <c r="M76" s="26"/>
      <c r="N76" s="26"/>
      <c r="O76" s="26"/>
      <c r="P76" s="26">
        <f t="shared" si="37"/>
        <v>0</v>
      </c>
      <c r="Q76" s="26"/>
      <c r="R76" s="45"/>
      <c r="S76" s="26"/>
      <c r="T76" s="26">
        <f t="shared" si="15"/>
        <v>0</v>
      </c>
      <c r="U76" s="46"/>
      <c r="V76" s="16">
        <v>100000</v>
      </c>
      <c r="W76" s="16">
        <f t="shared" si="38"/>
        <v>900000</v>
      </c>
      <c r="X76" s="178"/>
      <c r="Y76" s="180"/>
    </row>
    <row r="77" spans="1:25" ht="12.5">
      <c r="A77" s="179"/>
      <c r="B77" s="180"/>
      <c r="C77" s="178"/>
      <c r="D77" s="177"/>
      <c r="E77" s="177"/>
      <c r="F77" s="177"/>
      <c r="G77" s="177"/>
      <c r="H77" s="177"/>
      <c r="I77" s="26"/>
      <c r="J77" s="26"/>
      <c r="K77" s="26"/>
      <c r="L77" s="26"/>
      <c r="M77" s="26"/>
      <c r="N77" s="26"/>
      <c r="O77" s="26"/>
      <c r="P77" s="26"/>
      <c r="Q77" s="26"/>
      <c r="R77" s="45"/>
      <c r="S77" s="26"/>
      <c r="T77" s="26"/>
      <c r="U77" s="46"/>
      <c r="V77" s="16"/>
      <c r="W77" s="16">
        <f>V77*J77</f>
        <v>0</v>
      </c>
      <c r="X77" s="178"/>
      <c r="Y77" s="180"/>
    </row>
    <row r="78" spans="1:25" ht="13" customHeight="1">
      <c r="A78" s="179"/>
      <c r="B78" s="180" t="e">
        <f>#REF!</f>
        <v>#REF!</v>
      </c>
      <c r="C78" s="178"/>
      <c r="D78" s="177"/>
      <c r="E78" s="177"/>
      <c r="F78" s="177"/>
      <c r="G78" s="177"/>
      <c r="H78" s="177"/>
      <c r="I78" s="59">
        <v>3</v>
      </c>
      <c r="J78" s="52">
        <f>SUM(J74:J77)</f>
        <v>33</v>
      </c>
      <c r="K78" s="52">
        <f t="shared" ref="K78:Q78" si="39">SUM(K74:K76)</f>
        <v>94800000</v>
      </c>
      <c r="L78" s="52">
        <f t="shared" si="39"/>
        <v>117742900</v>
      </c>
      <c r="M78" s="52">
        <f t="shared" si="39"/>
        <v>111313000</v>
      </c>
      <c r="N78" s="52">
        <f t="shared" si="39"/>
        <v>5814000</v>
      </c>
      <c r="O78" s="52">
        <f t="shared" si="39"/>
        <v>0</v>
      </c>
      <c r="P78" s="52">
        <f t="shared" si="39"/>
        <v>117127000</v>
      </c>
      <c r="Q78" s="52">
        <f t="shared" si="39"/>
        <v>28075900</v>
      </c>
      <c r="R78" s="61"/>
      <c r="S78" s="54">
        <f>SUM(S74:S76)</f>
        <v>2980645.1612903224</v>
      </c>
      <c r="T78" s="54">
        <f>SUM(T74:T76)</f>
        <v>92185941.600930125</v>
      </c>
      <c r="U78" s="55">
        <f>(T78/K78)*100</f>
        <v>97.242554431360901</v>
      </c>
      <c r="V78" s="62"/>
      <c r="W78" s="62">
        <f>SUM(W74:W77)</f>
        <v>3666190.6713461224</v>
      </c>
      <c r="X78" s="178"/>
      <c r="Y78" s="180"/>
    </row>
    <row r="79" spans="1:25" ht="13" customHeight="1">
      <c r="A79" s="179" t="s">
        <v>77</v>
      </c>
      <c r="B79" s="180" t="s">
        <v>113</v>
      </c>
      <c r="C79" s="178" t="s">
        <v>35</v>
      </c>
      <c r="D79" s="177"/>
      <c r="E79" s="177">
        <v>500000</v>
      </c>
      <c r="F79" s="177">
        <v>500000</v>
      </c>
      <c r="G79" s="177"/>
      <c r="H79" s="177"/>
      <c r="I79" s="26" t="s">
        <v>114</v>
      </c>
      <c r="J79" s="26">
        <v>9</v>
      </c>
      <c r="K79" s="26">
        <v>47300000</v>
      </c>
      <c r="L79" s="26">
        <f>73919800-18000000</f>
        <v>55919800</v>
      </c>
      <c r="M79" s="26">
        <f>58520000-18000000</f>
        <v>40520000</v>
      </c>
      <c r="N79" s="26">
        <v>13860000</v>
      </c>
      <c r="O79" s="26">
        <v>0</v>
      </c>
      <c r="P79" s="26">
        <f t="shared" ref="P79:P89" si="40">SUM(M79:O79)</f>
        <v>54380000</v>
      </c>
      <c r="Q79" s="26">
        <v>12503800</v>
      </c>
      <c r="R79" s="45">
        <f t="shared" ref="R79:R89" si="41">Q79/L79</f>
        <v>0.22360237339904648</v>
      </c>
      <c r="S79" s="166"/>
      <c r="T79" s="26">
        <f t="shared" si="15"/>
        <v>42220502.934559852</v>
      </c>
      <c r="U79" s="46">
        <f t="shared" si="22"/>
        <v>89.261105569893985</v>
      </c>
      <c r="V79" s="16">
        <f>U79*109000/90</f>
        <v>108105.1167457605</v>
      </c>
      <c r="W79" s="16">
        <f t="shared" ref="W79:W90" si="42">V79*J79</f>
        <v>972946.05071184458</v>
      </c>
      <c r="X79" s="177">
        <f>W91+D79+F79+G79+H79+E79</f>
        <v>20903023.61454244</v>
      </c>
      <c r="Y79" s="180"/>
    </row>
    <row r="80" spans="1:25" ht="13" customHeight="1">
      <c r="A80" s="179"/>
      <c r="B80" s="180"/>
      <c r="C80" s="178"/>
      <c r="D80" s="177"/>
      <c r="E80" s="177"/>
      <c r="F80" s="177"/>
      <c r="G80" s="177"/>
      <c r="H80" s="177"/>
      <c r="I80" s="26" t="s">
        <v>70</v>
      </c>
      <c r="J80" s="26">
        <v>38</v>
      </c>
      <c r="K80" s="26">
        <v>143100000</v>
      </c>
      <c r="L80" s="26">
        <f>186684000-3600000</f>
        <v>183084000</v>
      </c>
      <c r="M80" s="26">
        <f>172680000-3600000</f>
        <v>169080000</v>
      </c>
      <c r="N80" s="26">
        <v>4424400</v>
      </c>
      <c r="O80" s="26">
        <v>0</v>
      </c>
      <c r="P80" s="26">
        <f t="shared" si="40"/>
        <v>173504400</v>
      </c>
      <c r="Q80" s="26">
        <v>46250000</v>
      </c>
      <c r="R80" s="45">
        <f t="shared" si="41"/>
        <v>0.2526162854208997</v>
      </c>
      <c r="S80" s="97">
        <v>3948387.0967741935</v>
      </c>
      <c r="T80" s="26">
        <f t="shared" si="15"/>
        <v>133622750.06459224</v>
      </c>
      <c r="U80" s="46">
        <f t="shared" si="22"/>
        <v>93.377183832698989</v>
      </c>
      <c r="V80" s="16">
        <f>U80*119000/95</f>
        <v>116967.20922201242</v>
      </c>
      <c r="W80" s="16">
        <f t="shared" si="42"/>
        <v>4444753.950436472</v>
      </c>
      <c r="X80" s="177"/>
      <c r="Y80" s="180"/>
    </row>
    <row r="81" spans="1:25" ht="12.5">
      <c r="A81" s="179"/>
      <c r="B81" s="180"/>
      <c r="C81" s="178"/>
      <c r="D81" s="177"/>
      <c r="E81" s="177"/>
      <c r="F81" s="177"/>
      <c r="G81" s="177"/>
      <c r="H81" s="177"/>
      <c r="I81" s="26" t="s">
        <v>117</v>
      </c>
      <c r="J81" s="26">
        <v>24</v>
      </c>
      <c r="K81" s="26">
        <v>78000000</v>
      </c>
      <c r="L81" s="26">
        <v>101578000</v>
      </c>
      <c r="M81" s="26">
        <v>83130000</v>
      </c>
      <c r="N81" s="26">
        <v>3031200</v>
      </c>
      <c r="O81" s="26">
        <v>0</v>
      </c>
      <c r="P81" s="26">
        <f t="shared" si="40"/>
        <v>86161200</v>
      </c>
      <c r="Q81" s="26">
        <v>30278000</v>
      </c>
      <c r="R81" s="45">
        <f t="shared" si="41"/>
        <v>0.29807635511626535</v>
      </c>
      <c r="S81" s="97">
        <f>2787096.77419355+1600000</f>
        <v>4387096.7741935495</v>
      </c>
      <c r="T81" s="26">
        <f t="shared" si="15"/>
        <v>64865680.325749986</v>
      </c>
      <c r="U81" s="46">
        <f t="shared" si="22"/>
        <v>83.161128622756394</v>
      </c>
      <c r="V81" s="16">
        <f>U81*94000/85</f>
        <v>91966.424594577649</v>
      </c>
      <c r="W81" s="16">
        <f t="shared" si="42"/>
        <v>2207194.1902698637</v>
      </c>
      <c r="X81" s="178"/>
      <c r="Y81" s="180"/>
    </row>
    <row r="82" spans="1:25" ht="12.5">
      <c r="A82" s="179"/>
      <c r="B82" s="180"/>
      <c r="C82" s="178"/>
      <c r="D82" s="177"/>
      <c r="E82" s="177"/>
      <c r="F82" s="177"/>
      <c r="G82" s="177"/>
      <c r="H82" s="177"/>
      <c r="I82" s="26" t="s">
        <v>118</v>
      </c>
      <c r="J82" s="26">
        <v>13</v>
      </c>
      <c r="K82" s="26">
        <v>60800000</v>
      </c>
      <c r="L82" s="26">
        <f>108646000-35200000</f>
        <v>73446000</v>
      </c>
      <c r="M82" s="26">
        <f>99382000-35200000</f>
        <v>64182000</v>
      </c>
      <c r="N82" s="26">
        <v>3909600</v>
      </c>
      <c r="O82" s="26">
        <v>0</v>
      </c>
      <c r="P82" s="26">
        <f t="shared" si="40"/>
        <v>68091600</v>
      </c>
      <c r="Q82" s="26">
        <v>15846000</v>
      </c>
      <c r="R82" s="45">
        <f t="shared" si="41"/>
        <v>0.21575034719385672</v>
      </c>
      <c r="S82" s="97">
        <v>1470967.7419354839</v>
      </c>
      <c r="T82" s="26">
        <f t="shared" si="15"/>
        <v>54871781.400950268</v>
      </c>
      <c r="U82" s="46">
        <f t="shared" si="22"/>
        <v>90.249640462089246</v>
      </c>
      <c r="V82" s="16">
        <f>U82*110000/90</f>
        <v>110305.11612033129</v>
      </c>
      <c r="W82" s="16">
        <f t="shared" si="42"/>
        <v>1433966.5095643068</v>
      </c>
      <c r="X82" s="178"/>
      <c r="Y82" s="180"/>
    </row>
    <row r="83" spans="1:25" ht="12.5">
      <c r="A83" s="179"/>
      <c r="B83" s="180"/>
      <c r="C83" s="178"/>
      <c r="D83" s="177"/>
      <c r="E83" s="177"/>
      <c r="F83" s="177"/>
      <c r="G83" s="177"/>
      <c r="H83" s="177"/>
      <c r="I83" s="26" t="s">
        <v>119</v>
      </c>
      <c r="J83" s="26">
        <v>7</v>
      </c>
      <c r="K83" s="26">
        <v>23200000</v>
      </c>
      <c r="L83" s="26">
        <v>30072000</v>
      </c>
      <c r="M83" s="26">
        <v>22080000</v>
      </c>
      <c r="N83" s="26">
        <v>4095000</v>
      </c>
      <c r="O83" s="26">
        <v>0</v>
      </c>
      <c r="P83" s="26">
        <f t="shared" si="40"/>
        <v>26175000</v>
      </c>
      <c r="Q83" s="26">
        <v>8572000</v>
      </c>
      <c r="R83" s="45">
        <f t="shared" si="41"/>
        <v>0.28504921521681298</v>
      </c>
      <c r="S83" s="97">
        <v>1754838.7096774194</v>
      </c>
      <c r="T83" s="26">
        <f t="shared" si="15"/>
        <v>20468675.50137734</v>
      </c>
      <c r="U83" s="46">
        <f t="shared" si="22"/>
        <v>88.227049574902324</v>
      </c>
      <c r="V83" s="16">
        <f>U83*109000/90</f>
        <v>106852.76004071505</v>
      </c>
      <c r="W83" s="16">
        <f t="shared" si="42"/>
        <v>747969.32028500526</v>
      </c>
      <c r="X83" s="178"/>
      <c r="Y83" s="180"/>
    </row>
    <row r="84" spans="1:25" ht="14">
      <c r="A84" s="179"/>
      <c r="B84" s="180"/>
      <c r="C84" s="178"/>
      <c r="D84" s="177"/>
      <c r="E84" s="177"/>
      <c r="F84" s="177"/>
      <c r="G84" s="177"/>
      <c r="H84" s="177"/>
      <c r="I84" s="26" t="s">
        <v>120</v>
      </c>
      <c r="J84" s="26">
        <v>18</v>
      </c>
      <c r="K84" s="26">
        <v>57800000</v>
      </c>
      <c r="L84" s="26">
        <f>64433000+6200000</f>
        <v>70633000</v>
      </c>
      <c r="M84" s="26">
        <f>54923000+6200000</f>
        <v>61123000</v>
      </c>
      <c r="N84" s="26">
        <v>3895200</v>
      </c>
      <c r="O84" s="26">
        <v>0</v>
      </c>
      <c r="P84" s="26">
        <f t="shared" si="40"/>
        <v>65018200</v>
      </c>
      <c r="Q84" s="26">
        <v>18733000</v>
      </c>
      <c r="R84" s="45">
        <f t="shared" si="41"/>
        <v>0.26521597553551457</v>
      </c>
      <c r="S84" s="164">
        <v>3200000</v>
      </c>
      <c r="T84" s="26">
        <f t="shared" si="15"/>
        <v>50974334.659436807</v>
      </c>
      <c r="U84" s="46">
        <f t="shared" si="22"/>
        <v>88.190890414250532</v>
      </c>
      <c r="V84" s="16">
        <f>U84*109000/90</f>
        <v>106808.96727948121</v>
      </c>
      <c r="W84" s="16">
        <f t="shared" si="42"/>
        <v>1922561.4110306618</v>
      </c>
      <c r="X84" s="178"/>
      <c r="Y84" s="180"/>
    </row>
    <row r="85" spans="1:25" ht="12.5">
      <c r="A85" s="179"/>
      <c r="B85" s="180"/>
      <c r="C85" s="178"/>
      <c r="D85" s="177"/>
      <c r="E85" s="177"/>
      <c r="F85" s="177"/>
      <c r="G85" s="177"/>
      <c r="H85" s="177"/>
      <c r="I85" s="26" t="s">
        <v>121</v>
      </c>
      <c r="J85" s="26">
        <v>9</v>
      </c>
      <c r="K85" s="26">
        <v>39000000</v>
      </c>
      <c r="L85" s="26">
        <f>52510000-4200000</f>
        <v>48310000</v>
      </c>
      <c r="M85" s="26">
        <f>52510000-4200000</f>
        <v>48310000</v>
      </c>
      <c r="N85" s="26">
        <v>0</v>
      </c>
      <c r="O85" s="26">
        <v>0</v>
      </c>
      <c r="P85" s="26">
        <f t="shared" si="40"/>
        <v>48310000</v>
      </c>
      <c r="Q85" s="26">
        <v>9910000</v>
      </c>
      <c r="R85" s="45">
        <f t="shared" si="41"/>
        <v>0.20513351273028357</v>
      </c>
      <c r="S85" s="97"/>
      <c r="T85" s="26">
        <f t="shared" si="15"/>
        <v>38400000</v>
      </c>
      <c r="U85" s="46">
        <f t="shared" si="22"/>
        <v>98.461538461538467</v>
      </c>
      <c r="V85" s="16">
        <f>U85*130000/100</f>
        <v>128000</v>
      </c>
      <c r="W85" s="16">
        <f t="shared" si="42"/>
        <v>1152000</v>
      </c>
      <c r="X85" s="178"/>
      <c r="Y85" s="180"/>
    </row>
    <row r="86" spans="1:25" ht="12.5">
      <c r="A86" s="179"/>
      <c r="B86" s="180"/>
      <c r="C86" s="178"/>
      <c r="D86" s="177"/>
      <c r="E86" s="177"/>
      <c r="F86" s="177"/>
      <c r="G86" s="177"/>
      <c r="H86" s="177"/>
      <c r="I86" s="26" t="s">
        <v>122</v>
      </c>
      <c r="J86" s="26">
        <v>15</v>
      </c>
      <c r="K86" s="26">
        <v>56900000</v>
      </c>
      <c r="L86" s="26">
        <f>72022419-5500000</f>
        <v>66522419</v>
      </c>
      <c r="M86" s="26">
        <f>62538419-5500000</f>
        <v>57038419</v>
      </c>
      <c r="N86" s="26">
        <v>4680000</v>
      </c>
      <c r="O86" s="26">
        <v>175000</v>
      </c>
      <c r="P86" s="26">
        <f t="shared" si="40"/>
        <v>61893419</v>
      </c>
      <c r="Q86" s="26">
        <v>16304000</v>
      </c>
      <c r="R86" s="45">
        <f t="shared" si="41"/>
        <v>0.2450903055705175</v>
      </c>
      <c r="S86" s="97">
        <v>4222580.6451612897</v>
      </c>
      <c r="T86" s="26">
        <f t="shared" si="15"/>
        <v>50946522.669647217</v>
      </c>
      <c r="U86" s="46">
        <f t="shared" si="22"/>
        <v>89.536946695337818</v>
      </c>
      <c r="V86" s="16">
        <f>U86*109000/90</f>
        <v>108439.19099768692</v>
      </c>
      <c r="W86" s="16">
        <f t="shared" si="42"/>
        <v>1626587.8649653038</v>
      </c>
      <c r="X86" s="178"/>
      <c r="Y86" s="180"/>
    </row>
    <row r="87" spans="1:25" ht="12.5">
      <c r="A87" s="179"/>
      <c r="B87" s="180"/>
      <c r="C87" s="178"/>
      <c r="D87" s="177"/>
      <c r="E87" s="177"/>
      <c r="F87" s="177"/>
      <c r="G87" s="177"/>
      <c r="H87" s="177"/>
      <c r="I87" s="26" t="s">
        <v>123</v>
      </c>
      <c r="J87" s="26">
        <v>7</v>
      </c>
      <c r="K87" s="26">
        <v>19000000</v>
      </c>
      <c r="L87" s="26">
        <v>25022000</v>
      </c>
      <c r="M87" s="26">
        <v>25022000</v>
      </c>
      <c r="N87" s="26">
        <v>0</v>
      </c>
      <c r="O87" s="26">
        <v>0</v>
      </c>
      <c r="P87" s="26">
        <f t="shared" si="40"/>
        <v>25022000</v>
      </c>
      <c r="Q87" s="26">
        <v>6422000</v>
      </c>
      <c r="R87" s="45">
        <f t="shared" si="41"/>
        <v>0.2566541443529694</v>
      </c>
      <c r="S87" s="97"/>
      <c r="T87" s="26">
        <f t="shared" si="15"/>
        <v>18600000</v>
      </c>
      <c r="U87" s="46">
        <f t="shared" si="22"/>
        <v>97.894736842105274</v>
      </c>
      <c r="V87" s="16">
        <f>U87*130000/100</f>
        <v>127263.15789473687</v>
      </c>
      <c r="W87" s="16">
        <f t="shared" si="42"/>
        <v>890842.1052631581</v>
      </c>
      <c r="X87" s="178"/>
      <c r="Y87" s="180"/>
    </row>
    <row r="88" spans="1:25" ht="15.5">
      <c r="A88" s="179"/>
      <c r="B88" s="180"/>
      <c r="C88" s="178"/>
      <c r="D88" s="177"/>
      <c r="E88" s="177"/>
      <c r="F88" s="177"/>
      <c r="G88" s="177"/>
      <c r="H88" s="177"/>
      <c r="I88" s="26" t="s">
        <v>124</v>
      </c>
      <c r="J88" s="26">
        <v>9</v>
      </c>
      <c r="K88" s="26">
        <v>40500000</v>
      </c>
      <c r="L88" s="26">
        <v>46354200</v>
      </c>
      <c r="M88" s="26">
        <v>46354000</v>
      </c>
      <c r="N88" s="26">
        <v>0</v>
      </c>
      <c r="O88" s="26">
        <v>0</v>
      </c>
      <c r="P88" s="26">
        <f t="shared" si="40"/>
        <v>46354000</v>
      </c>
      <c r="Q88" s="26">
        <v>10854200</v>
      </c>
      <c r="R88" s="45">
        <f t="shared" si="41"/>
        <v>0.23415785408873413</v>
      </c>
      <c r="S88" s="99"/>
      <c r="T88" s="26">
        <f t="shared" si="15"/>
        <v>35499846.831570819</v>
      </c>
      <c r="U88" s="46">
        <f t="shared" si="22"/>
        <v>87.65394279400202</v>
      </c>
      <c r="V88" s="16">
        <f>U88*109000/90</f>
        <v>106158.66405051357</v>
      </c>
      <c r="W88" s="16">
        <f t="shared" si="42"/>
        <v>955427.97645462211</v>
      </c>
      <c r="X88" s="178"/>
      <c r="Y88" s="180"/>
    </row>
    <row r="89" spans="1:25" ht="12.5">
      <c r="A89" s="179"/>
      <c r="B89" s="180"/>
      <c r="C89" s="178"/>
      <c r="D89" s="177"/>
      <c r="E89" s="177"/>
      <c r="F89" s="177"/>
      <c r="G89" s="177"/>
      <c r="H89" s="177"/>
      <c r="I89" s="26" t="s">
        <v>126</v>
      </c>
      <c r="J89" s="37">
        <v>15</v>
      </c>
      <c r="K89" s="26">
        <v>67300000</v>
      </c>
      <c r="L89" s="26">
        <v>96642000</v>
      </c>
      <c r="M89" s="26">
        <v>88912000</v>
      </c>
      <c r="N89" s="26">
        <v>6957000</v>
      </c>
      <c r="O89" s="26">
        <v>0</v>
      </c>
      <c r="P89" s="26">
        <f t="shared" si="40"/>
        <v>95869000</v>
      </c>
      <c r="Q89" s="26">
        <v>28842000</v>
      </c>
      <c r="R89" s="45">
        <f t="shared" si="41"/>
        <v>0.29844167132302724</v>
      </c>
      <c r="S89" s="97"/>
      <c r="T89" s="26">
        <f t="shared" si="15"/>
        <v>67257695.411932707</v>
      </c>
      <c r="U89" s="46">
        <f t="shared" si="22"/>
        <v>99.93714028518977</v>
      </c>
      <c r="V89" s="16">
        <f>U89*130000/100</f>
        <v>129918.28237074669</v>
      </c>
      <c r="W89" s="16">
        <f t="shared" si="42"/>
        <v>1948774.2355612004</v>
      </c>
      <c r="X89" s="178"/>
      <c r="Y89" s="180"/>
    </row>
    <row r="90" spans="1:25" ht="12.5">
      <c r="A90" s="179"/>
      <c r="B90" s="180"/>
      <c r="C90" s="178"/>
      <c r="D90" s="177"/>
      <c r="E90" s="177"/>
      <c r="F90" s="177"/>
      <c r="G90" s="177"/>
      <c r="H90" s="177"/>
      <c r="I90" s="36" t="s">
        <v>243</v>
      </c>
      <c r="J90" s="37">
        <v>16</v>
      </c>
      <c r="V90" s="105">
        <v>100000</v>
      </c>
      <c r="W90" s="16">
        <f t="shared" si="42"/>
        <v>1600000</v>
      </c>
      <c r="X90" s="178"/>
      <c r="Y90" s="180"/>
    </row>
    <row r="91" spans="1:25" ht="13">
      <c r="A91" s="179"/>
      <c r="B91" s="180"/>
      <c r="C91" s="178"/>
      <c r="D91" s="177"/>
      <c r="E91" s="177"/>
      <c r="F91" s="177"/>
      <c r="G91" s="177"/>
      <c r="H91" s="177"/>
      <c r="I91" s="59">
        <v>12</v>
      </c>
      <c r="J91" s="52">
        <f>SUM(J79:J90)</f>
        <v>180</v>
      </c>
      <c r="K91" s="52">
        <f t="shared" ref="K91:Q91" si="43">SUM(K79:K90)</f>
        <v>632900000</v>
      </c>
      <c r="L91" s="52">
        <f t="shared" si="43"/>
        <v>797583419</v>
      </c>
      <c r="M91" s="52">
        <f t="shared" si="43"/>
        <v>705751419</v>
      </c>
      <c r="N91" s="52">
        <f t="shared" si="43"/>
        <v>44852400</v>
      </c>
      <c r="O91" s="52">
        <f t="shared" si="43"/>
        <v>175000</v>
      </c>
      <c r="P91" s="52">
        <f t="shared" si="43"/>
        <v>750778819</v>
      </c>
      <c r="Q91" s="52">
        <f t="shared" si="43"/>
        <v>204515000</v>
      </c>
      <c r="R91" s="61"/>
      <c r="S91" s="52">
        <f>SUM(S79:S89)</f>
        <v>18983870.967741936</v>
      </c>
      <c r="T91" s="52">
        <f>SUM(T79:T90)</f>
        <v>577727789.79981732</v>
      </c>
      <c r="U91" s="55">
        <f>(T91/K91)*100</f>
        <v>91.282633875780903</v>
      </c>
      <c r="V91" s="74"/>
      <c r="W91" s="52">
        <f>SUM(W79:W90)</f>
        <v>19903023.61454244</v>
      </c>
      <c r="X91" s="178"/>
      <c r="Y91" s="180"/>
    </row>
    <row r="92" spans="1:25" ht="12.5">
      <c r="A92" s="179" t="s">
        <v>84</v>
      </c>
      <c r="B92" s="180" t="s">
        <v>128</v>
      </c>
      <c r="C92" s="178" t="s">
        <v>35</v>
      </c>
      <c r="D92" s="177"/>
      <c r="E92" s="177">
        <v>500000</v>
      </c>
      <c r="F92" s="177">
        <v>500000</v>
      </c>
      <c r="G92" s="177"/>
      <c r="H92" s="177"/>
      <c r="I92" s="26" t="s">
        <v>130</v>
      </c>
      <c r="J92" s="26">
        <v>8</v>
      </c>
      <c r="K92" s="26">
        <v>30400000</v>
      </c>
      <c r="L92" s="56">
        <f>39248000-3700000</f>
        <v>35548000</v>
      </c>
      <c r="M92" s="56">
        <f>26746000-3700000</f>
        <v>23046000</v>
      </c>
      <c r="N92" s="56">
        <v>8013600</v>
      </c>
      <c r="O92" s="56">
        <v>0</v>
      </c>
      <c r="P92" s="26">
        <f>SUM(M92:O92)</f>
        <v>31059600</v>
      </c>
      <c r="Q92" s="56">
        <v>9198000</v>
      </c>
      <c r="R92" s="45">
        <f t="shared" ref="R92:R101" si="44">Q92/L92</f>
        <v>0.25874873410599752</v>
      </c>
      <c r="S92" s="56">
        <v>2193548.3870967743</v>
      </c>
      <c r="T92" s="26">
        <f>P92-(P92*R92)+S92</f>
        <v>25216516.205258135</v>
      </c>
      <c r="U92" s="46">
        <f>(T92/K92)*100</f>
        <v>82.949066464664924</v>
      </c>
      <c r="V92" s="16">
        <f>U92*94000/85</f>
        <v>91731.908796217671</v>
      </c>
      <c r="W92" s="16">
        <f>V92*J92</f>
        <v>733855.27036974137</v>
      </c>
      <c r="X92" s="177">
        <f>W103+D92+G92+F92+H92+E92</f>
        <v>19249226.69293585</v>
      </c>
      <c r="Y92" s="138"/>
    </row>
    <row r="93" spans="1:25" ht="12.5">
      <c r="A93" s="179"/>
      <c r="B93" s="180"/>
      <c r="C93" s="178"/>
      <c r="D93" s="177"/>
      <c r="E93" s="177"/>
      <c r="F93" s="177"/>
      <c r="G93" s="177"/>
      <c r="H93" s="177"/>
      <c r="I93" s="26" t="s">
        <v>131</v>
      </c>
      <c r="J93" s="26">
        <v>6</v>
      </c>
      <c r="K93" s="26">
        <v>37500000</v>
      </c>
      <c r="L93" s="56">
        <f>47939354.8387097-5400000</f>
        <v>42539354.838709697</v>
      </c>
      <c r="M93" s="56">
        <f>47960000-5400000</f>
        <v>42560000</v>
      </c>
      <c r="N93" s="56">
        <v>0</v>
      </c>
      <c r="O93" s="56">
        <v>0</v>
      </c>
      <c r="P93" s="26">
        <f>SUM(M93:O93)</f>
        <v>42560000</v>
      </c>
      <c r="Q93" s="56">
        <v>7320000</v>
      </c>
      <c r="R93" s="45">
        <f t="shared" si="44"/>
        <v>0.17207595243872839</v>
      </c>
      <c r="S93" s="56"/>
      <c r="T93" s="26">
        <f t="shared" ref="T93:T101" si="45">P93-(P93*R93)+S93</f>
        <v>35236447.464207724</v>
      </c>
      <c r="U93" s="46">
        <f>(T93/K93)*100</f>
        <v>93.963859904553928</v>
      </c>
      <c r="V93" s="16">
        <f>U93*119000/95</f>
        <v>117702.09819623071</v>
      </c>
      <c r="W93" s="16">
        <f t="shared" ref="W93:W101" si="46">V93*J93</f>
        <v>706212.58917738427</v>
      </c>
      <c r="X93" s="177"/>
      <c r="Y93" s="138"/>
    </row>
    <row r="94" spans="1:25" ht="12.5">
      <c r="A94" s="179"/>
      <c r="B94" s="180"/>
      <c r="C94" s="178"/>
      <c r="D94" s="177"/>
      <c r="E94" s="177"/>
      <c r="F94" s="177"/>
      <c r="G94" s="177"/>
      <c r="H94" s="177"/>
      <c r="I94" s="26" t="s">
        <v>132</v>
      </c>
      <c r="J94" s="26">
        <v>17</v>
      </c>
      <c r="K94" s="26">
        <v>54500000</v>
      </c>
      <c r="L94" s="56">
        <f>78005000-9300000</f>
        <v>68705000</v>
      </c>
      <c r="M94" s="56">
        <f>73346000-9300000</f>
        <v>64046000</v>
      </c>
      <c r="N94" s="56">
        <v>3096000</v>
      </c>
      <c r="O94" s="56">
        <v>0</v>
      </c>
      <c r="P94" s="26">
        <f>SUM(M94:O94)</f>
        <v>67142000</v>
      </c>
      <c r="Q94" s="56">
        <v>15278000</v>
      </c>
      <c r="R94" s="45">
        <f t="shared" si="44"/>
        <v>0.22237100647696675</v>
      </c>
      <c r="S94" s="56"/>
      <c r="T94" s="26">
        <f t="shared" si="45"/>
        <v>52211565.883123502</v>
      </c>
      <c r="U94" s="46">
        <f>(T94/K94)*100</f>
        <v>95.801038317657799</v>
      </c>
      <c r="V94" s="16">
        <f>U94*120000/95</f>
        <v>121011.83787493617</v>
      </c>
      <c r="W94" s="16">
        <f t="shared" si="46"/>
        <v>2057201.2438739149</v>
      </c>
      <c r="X94" s="177"/>
      <c r="Y94" s="138"/>
    </row>
    <row r="95" spans="1:25" ht="12.5">
      <c r="A95" s="179"/>
      <c r="B95" s="180"/>
      <c r="C95" s="178"/>
      <c r="D95" s="177"/>
      <c r="E95" s="177"/>
      <c r="F95" s="177"/>
      <c r="G95" s="177"/>
      <c r="H95" s="177"/>
      <c r="I95" s="26" t="s">
        <v>40</v>
      </c>
      <c r="J95" s="26">
        <v>10</v>
      </c>
      <c r="K95" s="26">
        <v>40000000</v>
      </c>
      <c r="L95" s="56">
        <v>53419000</v>
      </c>
      <c r="M95" s="56">
        <v>53419000</v>
      </c>
      <c r="N95" s="56">
        <v>0</v>
      </c>
      <c r="O95" s="56">
        <v>0</v>
      </c>
      <c r="P95" s="26">
        <f t="shared" ref="P95:P96" si="47">SUM(M95:O95)</f>
        <v>53419000</v>
      </c>
      <c r="Q95" s="56">
        <v>13819000</v>
      </c>
      <c r="R95" s="45">
        <f t="shared" si="44"/>
        <v>0.25869072801812087</v>
      </c>
      <c r="S95" s="56"/>
      <c r="T95" s="26">
        <f t="shared" si="45"/>
        <v>39600000</v>
      </c>
      <c r="U95" s="46">
        <f t="shared" ref="U95:U97" si="48">(T95/K95)*100</f>
        <v>99</v>
      </c>
      <c r="V95" s="16">
        <f>U95*130000/100</f>
        <v>128700</v>
      </c>
      <c r="W95" s="16">
        <f t="shared" si="46"/>
        <v>1287000</v>
      </c>
      <c r="X95" s="177"/>
      <c r="Y95" s="138"/>
    </row>
    <row r="96" spans="1:25" ht="12.5">
      <c r="A96" s="179"/>
      <c r="B96" s="180"/>
      <c r="C96" s="178"/>
      <c r="D96" s="177"/>
      <c r="E96" s="177"/>
      <c r="F96" s="177"/>
      <c r="G96" s="177"/>
      <c r="H96" s="177"/>
      <c r="I96" s="26" t="s">
        <v>71</v>
      </c>
      <c r="J96" s="26">
        <v>12</v>
      </c>
      <c r="K96" s="26">
        <v>57600000</v>
      </c>
      <c r="L96" s="56">
        <v>75172500</v>
      </c>
      <c r="M96" s="56">
        <v>71490226</v>
      </c>
      <c r="N96" s="56">
        <v>3313350</v>
      </c>
      <c r="O96" s="56">
        <v>0</v>
      </c>
      <c r="P96" s="26">
        <f t="shared" si="47"/>
        <v>74803576</v>
      </c>
      <c r="Q96" s="56">
        <v>21172500</v>
      </c>
      <c r="R96" s="45">
        <f t="shared" si="44"/>
        <v>0.28165219994013768</v>
      </c>
      <c r="S96" s="56"/>
      <c r="T96" s="26">
        <f t="shared" si="45"/>
        <v>53734984.256210715</v>
      </c>
      <c r="U96" s="46">
        <f t="shared" si="48"/>
        <v>93.289903222588038</v>
      </c>
      <c r="V96" s="16">
        <f>U96*119000/95</f>
        <v>116857.87877355765</v>
      </c>
      <c r="W96" s="16">
        <f t="shared" si="46"/>
        <v>1402294.5452826917</v>
      </c>
      <c r="X96" s="177"/>
      <c r="Y96" s="138"/>
    </row>
    <row r="97" spans="1:25" ht="12.5">
      <c r="A97" s="179"/>
      <c r="B97" s="180"/>
      <c r="C97" s="178"/>
      <c r="D97" s="177"/>
      <c r="E97" s="177"/>
      <c r="F97" s="177"/>
      <c r="G97" s="177"/>
      <c r="H97" s="177"/>
      <c r="I97" s="26" t="s">
        <v>133</v>
      </c>
      <c r="J97" s="56">
        <v>18</v>
      </c>
      <c r="K97" s="56">
        <v>64200000</v>
      </c>
      <c r="L97" s="56">
        <v>84142000</v>
      </c>
      <c r="M97" s="56">
        <v>76814000</v>
      </c>
      <c r="N97" s="56">
        <v>6595200</v>
      </c>
      <c r="O97" s="56">
        <v>0</v>
      </c>
      <c r="P97" s="26">
        <f>SUM(M97:O97)</f>
        <v>83409200</v>
      </c>
      <c r="Q97" s="56">
        <v>23512000</v>
      </c>
      <c r="R97" s="45">
        <f t="shared" si="44"/>
        <v>0.27943238810582111</v>
      </c>
      <c r="S97" s="56"/>
      <c r="T97" s="26">
        <f t="shared" si="45"/>
        <v>60101968.054003946</v>
      </c>
      <c r="U97" s="46">
        <f t="shared" si="48"/>
        <v>93.616772669788077</v>
      </c>
      <c r="V97" s="16">
        <f>U97*119000/95</f>
        <v>117267.32576531348</v>
      </c>
      <c r="W97" s="16">
        <f t="shared" si="46"/>
        <v>2110811.8637756426</v>
      </c>
      <c r="X97" s="177"/>
      <c r="Y97" s="138"/>
    </row>
    <row r="98" spans="1:25" ht="12.5">
      <c r="A98" s="179"/>
      <c r="B98" s="180"/>
      <c r="C98" s="178"/>
      <c r="D98" s="177"/>
      <c r="E98" s="177"/>
      <c r="F98" s="177"/>
      <c r="G98" s="177"/>
      <c r="H98" s="177"/>
      <c r="I98" s="26" t="s">
        <v>134</v>
      </c>
      <c r="J98" s="56">
        <v>10</v>
      </c>
      <c r="K98" s="56">
        <v>35200000</v>
      </c>
      <c r="L98" s="56">
        <v>45203000</v>
      </c>
      <c r="M98" s="56">
        <v>45203000</v>
      </c>
      <c r="N98" s="56">
        <v>0</v>
      </c>
      <c r="O98" s="56">
        <v>0</v>
      </c>
      <c r="P98" s="26">
        <f t="shared" ref="P98:P101" si="49">SUM(M98:O98)</f>
        <v>45203000</v>
      </c>
      <c r="Q98" s="56">
        <v>10103000</v>
      </c>
      <c r="R98" s="45">
        <f t="shared" si="44"/>
        <v>0.22350286485410262</v>
      </c>
      <c r="S98" s="56"/>
      <c r="T98" s="26">
        <f t="shared" si="45"/>
        <v>35100000</v>
      </c>
      <c r="U98" s="46">
        <f>(T98/K98)*100</f>
        <v>99.715909090909093</v>
      </c>
      <c r="V98" s="16">
        <f>U98*130000/100</f>
        <v>129630.68181818182</v>
      </c>
      <c r="W98" s="16">
        <f t="shared" si="46"/>
        <v>1296306.8181818184</v>
      </c>
      <c r="X98" s="177"/>
      <c r="Y98" s="138"/>
    </row>
    <row r="99" spans="1:25" ht="13">
      <c r="A99" s="179"/>
      <c r="B99" s="180"/>
      <c r="C99" s="178"/>
      <c r="D99" s="177"/>
      <c r="E99" s="177"/>
      <c r="F99" s="177"/>
      <c r="G99" s="177"/>
      <c r="H99" s="177"/>
      <c r="I99" s="26" t="s">
        <v>135</v>
      </c>
      <c r="J99" s="56">
        <v>26</v>
      </c>
      <c r="K99" s="56">
        <v>140500000</v>
      </c>
      <c r="L99" s="56">
        <f>181247000-5300000</f>
        <v>175947000</v>
      </c>
      <c r="M99" s="56">
        <f>163405000-5300000</f>
        <v>158105000</v>
      </c>
      <c r="N99" s="56">
        <v>9166500</v>
      </c>
      <c r="O99" s="56">
        <v>1157800</v>
      </c>
      <c r="P99" s="26">
        <f t="shared" si="49"/>
        <v>168429300</v>
      </c>
      <c r="Q99" s="56">
        <v>39447000</v>
      </c>
      <c r="R99" s="45">
        <f t="shared" si="44"/>
        <v>0.22419819604767344</v>
      </c>
      <c r="S99" s="72">
        <v>5000000</v>
      </c>
      <c r="T99" s="26">
        <f t="shared" si="45"/>
        <v>135667754.7784276</v>
      </c>
      <c r="U99" s="46">
        <f>(T99/K99)*100</f>
        <v>96.560679557599713</v>
      </c>
      <c r="V99" s="16">
        <f>U99*120000/95</f>
        <v>121971.38470433648</v>
      </c>
      <c r="W99" s="16">
        <f t="shared" si="46"/>
        <v>3171256.0023127487</v>
      </c>
      <c r="X99" s="177"/>
      <c r="Y99" s="138"/>
    </row>
    <row r="100" spans="1:25" ht="13">
      <c r="A100" s="179"/>
      <c r="B100" s="180"/>
      <c r="C100" s="178"/>
      <c r="D100" s="177"/>
      <c r="E100" s="177"/>
      <c r="F100" s="177"/>
      <c r="G100" s="177"/>
      <c r="H100" s="177"/>
      <c r="I100" s="26" t="s">
        <v>136</v>
      </c>
      <c r="J100" s="56">
        <v>18</v>
      </c>
      <c r="K100" s="56">
        <v>74900000</v>
      </c>
      <c r="L100" s="56">
        <f>98110000-4000000</f>
        <v>94110000</v>
      </c>
      <c r="M100" s="56">
        <f>91848002-4000000</f>
        <v>87848002</v>
      </c>
      <c r="N100" s="56">
        <v>5616000</v>
      </c>
      <c r="O100" s="56">
        <v>0</v>
      </c>
      <c r="P100" s="26">
        <f t="shared" si="49"/>
        <v>93464002</v>
      </c>
      <c r="Q100" s="72">
        <v>20570000</v>
      </c>
      <c r="R100" s="45">
        <f t="shared" si="44"/>
        <v>0.21857400913824249</v>
      </c>
      <c r="S100" s="56"/>
      <c r="T100" s="26">
        <f t="shared" si="45"/>
        <v>73035200.372755289</v>
      </c>
      <c r="U100" s="46">
        <f>(T100/K100)*100</f>
        <v>97.510280871502388</v>
      </c>
      <c r="V100" s="16">
        <f>U100*130000/100</f>
        <v>126763.3651329531</v>
      </c>
      <c r="W100" s="16">
        <f t="shared" si="46"/>
        <v>2281740.5723931557</v>
      </c>
      <c r="X100" s="177"/>
      <c r="Y100" s="138"/>
    </row>
    <row r="101" spans="1:25" ht="13">
      <c r="A101" s="179"/>
      <c r="B101" s="180"/>
      <c r="C101" s="178"/>
      <c r="D101" s="177"/>
      <c r="E101" s="177"/>
      <c r="F101" s="177"/>
      <c r="G101" s="177"/>
      <c r="H101" s="177"/>
      <c r="I101" s="26" t="s">
        <v>137</v>
      </c>
      <c r="J101" s="56">
        <v>27</v>
      </c>
      <c r="K101" s="56">
        <v>115900000</v>
      </c>
      <c r="L101" s="56">
        <f>138503000-4500000</f>
        <v>134003000</v>
      </c>
      <c r="M101" s="56">
        <f>139654000-4500000</f>
        <v>135154000</v>
      </c>
      <c r="N101" s="56">
        <v>0</v>
      </c>
      <c r="O101" s="56">
        <v>0</v>
      </c>
      <c r="P101" s="26">
        <f t="shared" si="49"/>
        <v>135154000</v>
      </c>
      <c r="Q101" s="72">
        <v>29435000</v>
      </c>
      <c r="R101" s="45">
        <f t="shared" si="44"/>
        <v>0.21965926135982031</v>
      </c>
      <c r="S101" s="56">
        <v>4280645.1612903224</v>
      </c>
      <c r="T101" s="26">
        <f t="shared" si="45"/>
        <v>109746817.35146517</v>
      </c>
      <c r="U101" s="46">
        <f>(T101/K101)*100</f>
        <v>94.690955436984609</v>
      </c>
      <c r="V101" s="16">
        <f>U101*119000/95</f>
        <v>118612.88102106492</v>
      </c>
      <c r="W101" s="16">
        <f t="shared" si="46"/>
        <v>3202547.7875687531</v>
      </c>
      <c r="X101" s="177"/>
      <c r="Y101" s="138"/>
    </row>
    <row r="102" spans="1:25" ht="12.5">
      <c r="A102" s="179"/>
      <c r="B102" s="180"/>
      <c r="C102" s="178"/>
      <c r="D102" s="177"/>
      <c r="E102" s="177"/>
      <c r="F102" s="177"/>
      <c r="G102" s="177"/>
      <c r="H102" s="177"/>
      <c r="I102" s="37"/>
      <c r="X102" s="16"/>
      <c r="Y102" s="138"/>
    </row>
    <row r="103" spans="1:25" ht="13">
      <c r="A103" s="179"/>
      <c r="B103" s="180"/>
      <c r="C103" s="178"/>
      <c r="D103" s="177"/>
      <c r="E103" s="177"/>
      <c r="F103" s="177"/>
      <c r="G103" s="177"/>
      <c r="H103" s="177"/>
      <c r="I103" s="59">
        <v>10</v>
      </c>
      <c r="J103" s="52">
        <f t="shared" ref="J103:Q103" si="50">SUM(J92:J101)</f>
        <v>152</v>
      </c>
      <c r="K103" s="52">
        <f t="shared" si="50"/>
        <v>650700000</v>
      </c>
      <c r="L103" s="52">
        <f t="shared" si="50"/>
        <v>808788854.83870971</v>
      </c>
      <c r="M103" s="52">
        <f t="shared" si="50"/>
        <v>757685228</v>
      </c>
      <c r="N103" s="52">
        <f t="shared" si="50"/>
        <v>35800650</v>
      </c>
      <c r="O103" s="52">
        <f t="shared" si="50"/>
        <v>1157800</v>
      </c>
      <c r="P103" s="52">
        <f t="shared" si="50"/>
        <v>794643678</v>
      </c>
      <c r="Q103" s="52">
        <f t="shared" si="50"/>
        <v>189854500</v>
      </c>
      <c r="R103" s="61"/>
      <c r="S103" s="52">
        <f>SUM(S92:S101)</f>
        <v>11474193.548387095</v>
      </c>
      <c r="T103" s="52">
        <f>SUM(T92:T101)</f>
        <v>619651254.36545205</v>
      </c>
      <c r="U103" s="55">
        <f>(T103/K103)*100</f>
        <v>95.228408539334879</v>
      </c>
      <c r="V103" s="74"/>
      <c r="W103" s="52">
        <f>SUM(W92:W101)</f>
        <v>18249226.69293585</v>
      </c>
      <c r="X103" s="24"/>
      <c r="Y103" s="138"/>
    </row>
    <row r="104" spans="1:25" ht="13" customHeight="1">
      <c r="A104" s="179" t="s">
        <v>97</v>
      </c>
      <c r="B104" s="180" t="s">
        <v>139</v>
      </c>
      <c r="C104" s="178" t="s">
        <v>35</v>
      </c>
      <c r="D104" s="177"/>
      <c r="E104" s="177">
        <v>500000</v>
      </c>
      <c r="F104" s="177">
        <v>500000</v>
      </c>
      <c r="G104" s="177"/>
      <c r="H104" s="177"/>
      <c r="I104" s="26" t="s">
        <v>140</v>
      </c>
      <c r="J104" s="26">
        <v>9</v>
      </c>
      <c r="K104" s="26">
        <v>29000000</v>
      </c>
      <c r="L104" s="56">
        <v>35208000</v>
      </c>
      <c r="M104" s="56">
        <v>35208000</v>
      </c>
      <c r="N104" s="56">
        <v>0</v>
      </c>
      <c r="O104" s="56">
        <v>0</v>
      </c>
      <c r="P104" s="26">
        <f>SUM(M104:O104)</f>
        <v>35208000</v>
      </c>
      <c r="Q104" s="56">
        <v>10108000</v>
      </c>
      <c r="R104" s="45">
        <f>Q104/L104</f>
        <v>0.28709384230856622</v>
      </c>
      <c r="S104" s="56"/>
      <c r="T104" s="26">
        <f>P104-(P104*R104)+S104</f>
        <v>25100000</v>
      </c>
      <c r="U104" s="46">
        <f t="shared" ref="U104:U114" si="51">(T104/K104)*100</f>
        <v>86.551724137931032</v>
      </c>
      <c r="V104" s="16">
        <f>U104*100000/85</f>
        <v>101825.55780933064</v>
      </c>
      <c r="W104" s="16">
        <f>V104*J104</f>
        <v>916430.02028397575</v>
      </c>
      <c r="X104" s="177">
        <f>D104+F104+G104+H104+W115+E104</f>
        <v>17638512.263581056</v>
      </c>
      <c r="Y104" s="138"/>
    </row>
    <row r="105" spans="1:25" ht="13" customHeight="1">
      <c r="A105" s="179"/>
      <c r="B105" s="180"/>
      <c r="C105" s="178"/>
      <c r="D105" s="177"/>
      <c r="E105" s="177"/>
      <c r="F105" s="177"/>
      <c r="G105" s="177"/>
      <c r="H105" s="177"/>
      <c r="I105" s="26" t="s">
        <v>141</v>
      </c>
      <c r="J105" s="26">
        <v>8</v>
      </c>
      <c r="K105" s="26">
        <v>30600000</v>
      </c>
      <c r="L105" s="56">
        <v>39018000</v>
      </c>
      <c r="M105" s="56">
        <v>38958000</v>
      </c>
      <c r="N105" s="56">
        <v>54000</v>
      </c>
      <c r="O105" s="56">
        <v>0</v>
      </c>
      <c r="P105" s="26">
        <f t="shared" ref="P105:P114" si="52">SUM(M105:O105)</f>
        <v>39012000</v>
      </c>
      <c r="Q105" s="56">
        <v>10208000</v>
      </c>
      <c r="R105" s="45">
        <f t="shared" ref="R105:R125" si="53">Q105/L105</f>
        <v>0.26162284074017123</v>
      </c>
      <c r="S105" s="56"/>
      <c r="T105" s="26">
        <f t="shared" ref="T105:T114" si="54">P105-(P105*R105)+S105</f>
        <v>28805569.737044439</v>
      </c>
      <c r="U105" s="46">
        <f t="shared" si="51"/>
        <v>94.135848813870709</v>
      </c>
      <c r="V105" s="16">
        <f>U105*119000/95</f>
        <v>117917.53693526961</v>
      </c>
      <c r="W105" s="16">
        <f t="shared" ref="W105:W114" si="55">V105*J105</f>
        <v>943340.29548215691</v>
      </c>
      <c r="X105" s="177"/>
      <c r="Y105" s="138"/>
    </row>
    <row r="106" spans="1:25" ht="13" customHeight="1">
      <c r="A106" s="179"/>
      <c r="B106" s="180"/>
      <c r="C106" s="178"/>
      <c r="D106" s="177"/>
      <c r="E106" s="177"/>
      <c r="F106" s="177"/>
      <c r="G106" s="177"/>
      <c r="H106" s="177"/>
      <c r="I106" s="26" t="s">
        <v>142</v>
      </c>
      <c r="J106" s="26">
        <v>11</v>
      </c>
      <c r="K106" s="26">
        <v>37400000</v>
      </c>
      <c r="L106" s="56">
        <v>45940000</v>
      </c>
      <c r="M106" s="56">
        <v>40176000</v>
      </c>
      <c r="N106" s="56">
        <v>4705200</v>
      </c>
      <c r="O106" s="56">
        <v>0</v>
      </c>
      <c r="P106" s="26">
        <f t="shared" si="52"/>
        <v>44881200</v>
      </c>
      <c r="Q106" s="56">
        <v>12640000</v>
      </c>
      <c r="R106" s="45">
        <f t="shared" si="53"/>
        <v>0.27514148889856332</v>
      </c>
      <c r="S106" s="56"/>
      <c r="T106" s="26">
        <f t="shared" si="54"/>
        <v>32532519.8084458</v>
      </c>
      <c r="U106" s="46">
        <f t="shared" si="51"/>
        <v>86.985347081405877</v>
      </c>
      <c r="V106" s="16">
        <f>U106*100000/85</f>
        <v>102335.70244871279</v>
      </c>
      <c r="W106" s="16">
        <f t="shared" si="55"/>
        <v>1125692.7269358407</v>
      </c>
      <c r="X106" s="177"/>
      <c r="Y106" s="138"/>
    </row>
    <row r="107" spans="1:25" ht="13" customHeight="1">
      <c r="A107" s="179"/>
      <c r="B107" s="180"/>
      <c r="C107" s="178"/>
      <c r="D107" s="177"/>
      <c r="E107" s="177"/>
      <c r="F107" s="177"/>
      <c r="G107" s="177"/>
      <c r="H107" s="177"/>
      <c r="I107" s="26" t="s">
        <v>143</v>
      </c>
      <c r="J107" s="26">
        <v>15</v>
      </c>
      <c r="K107" s="26">
        <v>56600000</v>
      </c>
      <c r="L107" s="56">
        <f>71096000+5000000</f>
        <v>76096000</v>
      </c>
      <c r="M107" s="56">
        <f>71096000+5000000</f>
        <v>76096000</v>
      </c>
      <c r="N107" s="56">
        <v>0</v>
      </c>
      <c r="O107" s="56">
        <v>0</v>
      </c>
      <c r="P107" s="26">
        <f t="shared" si="52"/>
        <v>76096000</v>
      </c>
      <c r="Q107" s="56">
        <v>21396000</v>
      </c>
      <c r="R107" s="45">
        <f t="shared" si="53"/>
        <v>0.28117115222876365</v>
      </c>
      <c r="S107" s="56"/>
      <c r="T107" s="26">
        <f t="shared" si="54"/>
        <v>54700000</v>
      </c>
      <c r="U107" s="46">
        <f t="shared" si="51"/>
        <v>96.643109540636047</v>
      </c>
      <c r="V107" s="16">
        <f>U107*120000/95</f>
        <v>122075.50678817184</v>
      </c>
      <c r="W107" s="16">
        <f t="shared" si="55"/>
        <v>1831132.6018225776</v>
      </c>
      <c r="X107" s="177"/>
      <c r="Y107" s="138"/>
    </row>
    <row r="108" spans="1:25" ht="13" customHeight="1">
      <c r="A108" s="179"/>
      <c r="B108" s="180"/>
      <c r="C108" s="178"/>
      <c r="D108" s="177"/>
      <c r="E108" s="177"/>
      <c r="F108" s="177"/>
      <c r="G108" s="177"/>
      <c r="H108" s="177"/>
      <c r="I108" s="26" t="s">
        <v>144</v>
      </c>
      <c r="J108" s="26">
        <v>17</v>
      </c>
      <c r="K108" s="26">
        <v>61600000</v>
      </c>
      <c r="L108" s="56">
        <f>80212000-3800000</f>
        <v>76412000</v>
      </c>
      <c r="M108" s="56">
        <f>71822000-3800000</f>
        <v>68022000</v>
      </c>
      <c r="N108" s="56">
        <v>3780000</v>
      </c>
      <c r="O108" s="56">
        <v>0</v>
      </c>
      <c r="P108" s="26">
        <f t="shared" si="52"/>
        <v>71802000</v>
      </c>
      <c r="Q108" s="56">
        <v>22312000</v>
      </c>
      <c r="R108" s="45">
        <f t="shared" si="53"/>
        <v>0.2919960215672931</v>
      </c>
      <c r="S108" s="56">
        <v>3758064.5161290322</v>
      </c>
      <c r="T108" s="26">
        <f t="shared" si="54"/>
        <v>54594166.175554253</v>
      </c>
      <c r="U108" s="46">
        <f t="shared" si="51"/>
        <v>88.626893142133525</v>
      </c>
      <c r="V108" s="16">
        <f>U108*109000/90</f>
        <v>107337.01502769504</v>
      </c>
      <c r="W108" s="16">
        <f t="shared" si="55"/>
        <v>1824729.2554708158</v>
      </c>
      <c r="X108" s="177"/>
      <c r="Y108" s="138"/>
    </row>
    <row r="109" spans="1:25" ht="13" customHeight="1">
      <c r="A109" s="179"/>
      <c r="B109" s="180"/>
      <c r="C109" s="178"/>
      <c r="D109" s="177"/>
      <c r="E109" s="177"/>
      <c r="F109" s="177"/>
      <c r="G109" s="177"/>
      <c r="H109" s="177"/>
      <c r="I109" s="26" t="s">
        <v>145</v>
      </c>
      <c r="J109" s="26">
        <v>18</v>
      </c>
      <c r="K109" s="26">
        <v>75300000</v>
      </c>
      <c r="L109" s="56">
        <v>95437000</v>
      </c>
      <c r="M109" s="56">
        <v>95437000</v>
      </c>
      <c r="N109" s="56">
        <v>0</v>
      </c>
      <c r="O109" s="56">
        <v>0</v>
      </c>
      <c r="P109" s="26">
        <f t="shared" si="52"/>
        <v>95437000</v>
      </c>
      <c r="Q109" s="56">
        <v>24237000</v>
      </c>
      <c r="R109" s="45">
        <f t="shared" si="53"/>
        <v>0.25395810849041778</v>
      </c>
      <c r="S109" s="56"/>
      <c r="T109" s="26">
        <f t="shared" si="54"/>
        <v>71200000</v>
      </c>
      <c r="U109" s="46">
        <f t="shared" si="51"/>
        <v>94.55511288180611</v>
      </c>
      <c r="V109" s="16">
        <f>U109*119000/95</f>
        <v>118442.72034668345</v>
      </c>
      <c r="W109" s="16">
        <f t="shared" si="55"/>
        <v>2131968.9662403022</v>
      </c>
      <c r="X109" s="177"/>
      <c r="Y109" s="138"/>
    </row>
    <row r="110" spans="1:25" ht="13" customHeight="1">
      <c r="A110" s="179"/>
      <c r="B110" s="180"/>
      <c r="C110" s="178"/>
      <c r="D110" s="177"/>
      <c r="E110" s="177"/>
      <c r="F110" s="177"/>
      <c r="G110" s="177"/>
      <c r="H110" s="177"/>
      <c r="I110" s="26" t="s">
        <v>146</v>
      </c>
      <c r="J110" s="26">
        <v>13</v>
      </c>
      <c r="K110" s="26">
        <v>54700000</v>
      </c>
      <c r="L110" s="56">
        <v>84805000</v>
      </c>
      <c r="M110" s="56">
        <v>71463000</v>
      </c>
      <c r="N110" s="56">
        <v>6592500</v>
      </c>
      <c r="O110" s="56">
        <v>700000</v>
      </c>
      <c r="P110" s="26">
        <f t="shared" si="52"/>
        <v>78755500</v>
      </c>
      <c r="Q110" s="56">
        <v>31705000</v>
      </c>
      <c r="R110" s="45">
        <f t="shared" si="53"/>
        <v>0.37385767348623311</v>
      </c>
      <c r="S110" s="56">
        <v>2303225.8064516131</v>
      </c>
      <c r="T110" s="26">
        <f t="shared" si="54"/>
        <v>51615377.802206583</v>
      </c>
      <c r="U110" s="46">
        <f t="shared" si="51"/>
        <v>94.360836932735978</v>
      </c>
      <c r="V110" s="16">
        <f>U110*119000/95</f>
        <v>118199.36415784822</v>
      </c>
      <c r="W110" s="16">
        <f t="shared" si="55"/>
        <v>1536591.7340520269</v>
      </c>
      <c r="X110" s="177"/>
      <c r="Y110" s="138"/>
    </row>
    <row r="111" spans="1:25" ht="13" customHeight="1">
      <c r="A111" s="179"/>
      <c r="B111" s="180"/>
      <c r="C111" s="178"/>
      <c r="D111" s="177"/>
      <c r="E111" s="177"/>
      <c r="F111" s="177"/>
      <c r="G111" s="177"/>
      <c r="H111" s="177"/>
      <c r="I111" s="26" t="s">
        <v>147</v>
      </c>
      <c r="J111" s="26">
        <v>8</v>
      </c>
      <c r="K111" s="26">
        <v>34000000</v>
      </c>
      <c r="L111" s="56">
        <f>48185600-3800000</f>
        <v>44385600</v>
      </c>
      <c r="M111" s="56">
        <f>43655600-3800000</f>
        <v>39855600</v>
      </c>
      <c r="N111" s="56">
        <v>4077000</v>
      </c>
      <c r="O111" s="56">
        <v>0</v>
      </c>
      <c r="P111" s="26">
        <f t="shared" si="52"/>
        <v>43932600</v>
      </c>
      <c r="Q111" s="56">
        <v>12085600</v>
      </c>
      <c r="R111" s="45">
        <f>Q111/L111</f>
        <v>0.27228650733571247</v>
      </c>
      <c r="S111" s="56"/>
      <c r="T111" s="26">
        <f t="shared" si="54"/>
        <v>31970345.787823081</v>
      </c>
      <c r="U111" s="46">
        <f t="shared" si="51"/>
        <v>94.030428787714953</v>
      </c>
      <c r="V111" s="16">
        <f>U111*119000/95</f>
        <v>117785.48448145346</v>
      </c>
      <c r="W111" s="16">
        <f t="shared" si="55"/>
        <v>942283.87585162767</v>
      </c>
      <c r="X111" s="177"/>
      <c r="Y111" s="138"/>
    </row>
    <row r="112" spans="1:25" ht="13" customHeight="1">
      <c r="A112" s="179"/>
      <c r="B112" s="180"/>
      <c r="C112" s="178"/>
      <c r="D112" s="177"/>
      <c r="E112" s="177"/>
      <c r="F112" s="177"/>
      <c r="G112" s="177"/>
      <c r="H112" s="177"/>
      <c r="I112" s="36" t="s">
        <v>148</v>
      </c>
      <c r="J112" s="37">
        <v>9</v>
      </c>
      <c r="K112" s="26">
        <v>30900000</v>
      </c>
      <c r="L112" s="56">
        <v>41249000</v>
      </c>
      <c r="M112" s="56">
        <v>41249000</v>
      </c>
      <c r="N112" s="56">
        <v>0</v>
      </c>
      <c r="O112" s="56">
        <v>0</v>
      </c>
      <c r="P112" s="26">
        <f t="shared" si="52"/>
        <v>41249000</v>
      </c>
      <c r="Q112" s="56">
        <v>10449000</v>
      </c>
      <c r="R112" s="45">
        <f t="shared" si="53"/>
        <v>0.2533152318844093</v>
      </c>
      <c r="S112" s="56"/>
      <c r="T112" s="26">
        <f t="shared" si="54"/>
        <v>30800000</v>
      </c>
      <c r="U112" s="46">
        <f t="shared" si="51"/>
        <v>99.676375404530745</v>
      </c>
      <c r="V112" s="16">
        <f>U112*130000/100</f>
        <v>129579.28802588997</v>
      </c>
      <c r="W112" s="16">
        <f t="shared" si="55"/>
        <v>1166213.5922330096</v>
      </c>
      <c r="X112" s="177"/>
      <c r="Y112" s="138"/>
    </row>
    <row r="113" spans="1:25" ht="13" customHeight="1">
      <c r="A113" s="179"/>
      <c r="B113" s="180"/>
      <c r="C113" s="178"/>
      <c r="D113" s="177"/>
      <c r="E113" s="177"/>
      <c r="F113" s="177"/>
      <c r="G113" s="177"/>
      <c r="H113" s="177"/>
      <c r="I113" s="36" t="s">
        <v>189</v>
      </c>
      <c r="J113" s="37">
        <v>15</v>
      </c>
      <c r="K113" s="26">
        <v>61200000</v>
      </c>
      <c r="L113" s="56">
        <f>80248000-4100000</f>
        <v>76148000</v>
      </c>
      <c r="M113" s="56">
        <f>66736000-4100000</f>
        <v>62636000</v>
      </c>
      <c r="N113" s="56">
        <v>8370000</v>
      </c>
      <c r="O113" s="56">
        <v>0</v>
      </c>
      <c r="P113" s="26">
        <f t="shared" si="52"/>
        <v>71006000</v>
      </c>
      <c r="Q113" s="56">
        <f>21735500-2887500</f>
        <v>18848000</v>
      </c>
      <c r="R113" s="45">
        <f t="shared" si="53"/>
        <v>0.24751799128013868</v>
      </c>
      <c r="S113" s="56">
        <v>3648387.0967741935</v>
      </c>
      <c r="T113" s="26">
        <f t="shared" si="54"/>
        <v>57079124.607936665</v>
      </c>
      <c r="U113" s="46">
        <f t="shared" si="51"/>
        <v>93.26654347702069</v>
      </c>
      <c r="V113" s="16">
        <f>U113*119000/95</f>
        <v>116828.61761858381</v>
      </c>
      <c r="W113" s="16">
        <f t="shared" si="55"/>
        <v>1752429.2642787572</v>
      </c>
      <c r="X113" s="177"/>
      <c r="Y113" s="138"/>
    </row>
    <row r="114" spans="1:25" ht="13" customHeight="1">
      <c r="A114" s="179"/>
      <c r="B114" s="180"/>
      <c r="C114" s="178"/>
      <c r="D114" s="177"/>
      <c r="E114" s="177"/>
      <c r="F114" s="177"/>
      <c r="G114" s="177"/>
      <c r="H114" s="177"/>
      <c r="I114" s="36" t="s">
        <v>200</v>
      </c>
      <c r="J114" s="37">
        <v>23</v>
      </c>
      <c r="K114" s="26">
        <v>177000000</v>
      </c>
      <c r="L114" s="56">
        <f>194484000+14500000</f>
        <v>208984000</v>
      </c>
      <c r="M114" s="56">
        <f>155586000+14500000</f>
        <v>170086000</v>
      </c>
      <c r="N114" s="56">
        <v>15418800</v>
      </c>
      <c r="O114" s="56">
        <v>1943899.9999999998</v>
      </c>
      <c r="P114" s="26">
        <f t="shared" si="52"/>
        <v>187448700</v>
      </c>
      <c r="Q114" s="56">
        <v>44884000</v>
      </c>
      <c r="R114" s="45">
        <f t="shared" si="53"/>
        <v>0.21477242276920722</v>
      </c>
      <c r="S114" s="56">
        <f>8612903.22580645+1000000</f>
        <v>9612903.2258064505</v>
      </c>
      <c r="T114" s="26">
        <f t="shared" si="54"/>
        <v>156802791.78186816</v>
      </c>
      <c r="U114" s="46">
        <f t="shared" si="51"/>
        <v>88.58914789936054</v>
      </c>
      <c r="V114" s="16">
        <f>U114*109000/90</f>
        <v>107291.3013447811</v>
      </c>
      <c r="W114" s="16">
        <f t="shared" si="55"/>
        <v>2467699.9309299653</v>
      </c>
      <c r="X114" s="177"/>
      <c r="Y114" s="138"/>
    </row>
    <row r="115" spans="1:25" ht="13" customHeight="1">
      <c r="A115" s="179"/>
      <c r="B115" s="180"/>
      <c r="C115" s="178"/>
      <c r="D115" s="177"/>
      <c r="E115" s="177"/>
      <c r="F115" s="177"/>
      <c r="G115" s="177"/>
      <c r="H115" s="177"/>
      <c r="I115" s="51">
        <v>11</v>
      </c>
      <c r="J115" s="52">
        <f>SUM(J104:J114)</f>
        <v>146</v>
      </c>
      <c r="K115" s="52">
        <f>SUM(K104:K114)</f>
        <v>648300000</v>
      </c>
      <c r="L115" s="52">
        <f>SUM(L104:L114)</f>
        <v>823682600</v>
      </c>
      <c r="M115" s="52">
        <f t="shared" ref="M115:N115" si="56">SUM(M104:M114)</f>
        <v>739186600</v>
      </c>
      <c r="N115" s="52">
        <f t="shared" si="56"/>
        <v>42997500</v>
      </c>
      <c r="O115" s="52">
        <f>SUM(O104:O114)</f>
        <v>2643900</v>
      </c>
      <c r="P115" s="52">
        <f>SUM(P104:P114)</f>
        <v>784828000</v>
      </c>
      <c r="Q115" s="52">
        <f>SUM(Q104:Q114)</f>
        <v>218872600</v>
      </c>
      <c r="R115" s="53"/>
      <c r="S115" s="52">
        <f>SUM(S104:S114)</f>
        <v>19322580.645161286</v>
      </c>
      <c r="T115" s="52">
        <f>SUM(T104:T114)</f>
        <v>595199895.70087898</v>
      </c>
      <c r="U115" s="55">
        <f>(T115/K115)*100</f>
        <v>91.80933143619913</v>
      </c>
      <c r="V115" s="59"/>
      <c r="W115" s="104">
        <f>SUM(W104:W114)</f>
        <v>16638512.263581056</v>
      </c>
      <c r="X115" s="16"/>
      <c r="Y115" s="138"/>
    </row>
    <row r="116" spans="1:25" ht="13">
      <c r="A116" s="179"/>
      <c r="B116" s="180" t="s">
        <v>221</v>
      </c>
      <c r="C116" s="178" t="s">
        <v>35</v>
      </c>
      <c r="D116" s="177"/>
      <c r="E116" s="177">
        <v>500000</v>
      </c>
      <c r="F116" s="177">
        <v>500000</v>
      </c>
      <c r="G116" s="177"/>
      <c r="H116" s="177"/>
      <c r="I116" s="36" t="s">
        <v>106</v>
      </c>
      <c r="J116" s="26">
        <v>10</v>
      </c>
      <c r="K116" s="26">
        <v>41000000</v>
      </c>
      <c r="L116" s="56">
        <v>50861000</v>
      </c>
      <c r="M116" s="56">
        <v>45397000</v>
      </c>
      <c r="N116" s="56">
        <v>0</v>
      </c>
      <c r="O116" s="56">
        <v>0</v>
      </c>
      <c r="P116" s="56">
        <f>SUM(M116:O116)</f>
        <v>45397000</v>
      </c>
      <c r="Q116" s="56">
        <v>13161000</v>
      </c>
      <c r="R116" s="45">
        <f t="shared" si="53"/>
        <v>0.258764082499361</v>
      </c>
      <c r="S116" s="72">
        <v>3658064.5161290322</v>
      </c>
      <c r="T116" s="26">
        <f>P116-(P116*R116)+S116</f>
        <v>37307951.462905541</v>
      </c>
      <c r="U116" s="46">
        <f>(T116/K116)*100</f>
        <v>90.995003568062288</v>
      </c>
      <c r="V116" s="16">
        <f>U116*100000/90</f>
        <v>101105.5595200692</v>
      </c>
      <c r="W116" s="16">
        <f>V116*J116</f>
        <v>1011055.5952006921</v>
      </c>
      <c r="X116" s="177">
        <f>E116+F116+W126</f>
        <v>15267463.811913056</v>
      </c>
      <c r="Y116" s="138"/>
    </row>
    <row r="117" spans="1:25" ht="12.5">
      <c r="A117" s="179"/>
      <c r="B117" s="180"/>
      <c r="C117" s="178"/>
      <c r="D117" s="177"/>
      <c r="E117" s="177"/>
      <c r="F117" s="177"/>
      <c r="G117" s="177"/>
      <c r="H117" s="177"/>
      <c r="I117" s="36" t="s">
        <v>107</v>
      </c>
      <c r="J117" s="26">
        <v>16</v>
      </c>
      <c r="K117" s="26">
        <v>60200000</v>
      </c>
      <c r="L117" s="56">
        <f>85860000-3700000</f>
        <v>82160000</v>
      </c>
      <c r="M117" s="56">
        <f>64429000-3700000</f>
        <v>60729000</v>
      </c>
      <c r="N117" s="56">
        <v>14841900</v>
      </c>
      <c r="O117" s="56">
        <v>907200</v>
      </c>
      <c r="P117" s="56">
        <f t="shared" ref="P117:P125" si="57">SUM(M117:O117)</f>
        <v>76478100</v>
      </c>
      <c r="Q117" s="56">
        <v>25260000</v>
      </c>
      <c r="R117" s="45">
        <f t="shared" si="53"/>
        <v>0.30744888023369038</v>
      </c>
      <c r="S117" s="56"/>
      <c r="T117" s="26">
        <f t="shared" ref="T117:T125" si="58">P117-(P117*R117)+S117</f>
        <v>52964993.792599805</v>
      </c>
      <c r="U117" s="46">
        <f t="shared" ref="U117:U125" si="59">(T117/K117)*100</f>
        <v>87.981717263454826</v>
      </c>
      <c r="V117" s="16">
        <f>U117*99000/90</f>
        <v>96779.888989800325</v>
      </c>
      <c r="W117" s="16">
        <f t="shared" ref="W117:W125" si="60">V117*J117</f>
        <v>1548478.2238368052</v>
      </c>
      <c r="X117" s="177"/>
      <c r="Y117" s="138"/>
    </row>
    <row r="118" spans="1:25" ht="13">
      <c r="A118" s="179"/>
      <c r="B118" s="180"/>
      <c r="C118" s="178"/>
      <c r="D118" s="177"/>
      <c r="E118" s="177"/>
      <c r="F118" s="177"/>
      <c r="G118" s="177"/>
      <c r="H118" s="177"/>
      <c r="I118" s="36" t="s">
        <v>108</v>
      </c>
      <c r="J118" s="26">
        <v>20</v>
      </c>
      <c r="K118" s="26">
        <v>75900000</v>
      </c>
      <c r="L118" s="56">
        <f>110896800-7500000</f>
        <v>103396800</v>
      </c>
      <c r="M118" s="56">
        <f>108810800-7500000</f>
        <v>101310800</v>
      </c>
      <c r="N118" s="56">
        <v>1881000</v>
      </c>
      <c r="O118" s="56">
        <v>0</v>
      </c>
      <c r="P118" s="56">
        <f t="shared" si="57"/>
        <v>103191800</v>
      </c>
      <c r="Q118" s="56">
        <v>28196800</v>
      </c>
      <c r="R118" s="45">
        <f t="shared" si="53"/>
        <v>0.27270476455751047</v>
      </c>
      <c r="S118" s="72"/>
      <c r="T118" s="26">
        <f t="shared" si="58"/>
        <v>75050904.476734295</v>
      </c>
      <c r="U118" s="46">
        <f t="shared" si="59"/>
        <v>98.881297070796165</v>
      </c>
      <c r="V118" s="16">
        <f>U118*120000/100</f>
        <v>118657.55648495541</v>
      </c>
      <c r="W118" s="16">
        <f t="shared" si="60"/>
        <v>2373151.1296991082</v>
      </c>
      <c r="X118" s="177"/>
      <c r="Y118" s="138"/>
    </row>
    <row r="119" spans="1:25" ht="13">
      <c r="A119" s="179"/>
      <c r="B119" s="180"/>
      <c r="C119" s="178"/>
      <c r="D119" s="177"/>
      <c r="E119" s="177"/>
      <c r="F119" s="177"/>
      <c r="G119" s="177"/>
      <c r="H119" s="177"/>
      <c r="I119" s="36" t="s">
        <v>86</v>
      </c>
      <c r="J119" s="26">
        <v>8</v>
      </c>
      <c r="K119" s="26">
        <v>31200000</v>
      </c>
      <c r="L119" s="56">
        <f>36634000+4500000</f>
        <v>41134000</v>
      </c>
      <c r="M119" s="56">
        <f>36520000+4500000</f>
        <v>41020000</v>
      </c>
      <c r="N119" s="56">
        <v>102600</v>
      </c>
      <c r="O119" s="56">
        <v>0</v>
      </c>
      <c r="P119" s="56">
        <f t="shared" si="57"/>
        <v>41122600</v>
      </c>
      <c r="Q119" s="56">
        <v>12334000</v>
      </c>
      <c r="R119" s="45">
        <f t="shared" si="53"/>
        <v>0.29984927310740506</v>
      </c>
      <c r="S119" s="72"/>
      <c r="T119" s="26">
        <f t="shared" si="58"/>
        <v>28792018.281713426</v>
      </c>
      <c r="U119" s="46">
        <f t="shared" si="59"/>
        <v>92.282109877286615</v>
      </c>
      <c r="V119" s="16">
        <f>U119*100000/90</f>
        <v>102535.67764142956</v>
      </c>
      <c r="W119" s="16">
        <f t="shared" si="60"/>
        <v>820285.42113143648</v>
      </c>
      <c r="X119" s="177"/>
      <c r="Y119" s="138"/>
    </row>
    <row r="120" spans="1:25" ht="12.5">
      <c r="A120" s="179"/>
      <c r="B120" s="180"/>
      <c r="C120" s="178"/>
      <c r="D120" s="177"/>
      <c r="E120" s="177"/>
      <c r="F120" s="177"/>
      <c r="G120" s="177"/>
      <c r="H120" s="177"/>
      <c r="I120" s="36" t="s">
        <v>109</v>
      </c>
      <c r="J120" s="26">
        <v>21</v>
      </c>
      <c r="K120" s="26">
        <v>71500000</v>
      </c>
      <c r="L120" s="56">
        <v>92945000</v>
      </c>
      <c r="M120" s="56">
        <v>79062000</v>
      </c>
      <c r="N120" s="56">
        <v>0</v>
      </c>
      <c r="O120" s="56">
        <v>1061900</v>
      </c>
      <c r="P120" s="56">
        <f t="shared" si="57"/>
        <v>80123900</v>
      </c>
      <c r="Q120" s="56">
        <v>25365000</v>
      </c>
      <c r="R120" s="45">
        <f t="shared" si="53"/>
        <v>0.27290332992630051</v>
      </c>
      <c r="S120" s="56">
        <v>7751612.9032258065</v>
      </c>
      <c r="T120" s="26">
        <f t="shared" si="58"/>
        <v>66009433.786543898</v>
      </c>
      <c r="U120" s="46">
        <f t="shared" si="59"/>
        <v>92.32088641474671</v>
      </c>
      <c r="V120" s="16">
        <f>U120*100000/90</f>
        <v>102578.7626830519</v>
      </c>
      <c r="W120" s="16">
        <f t="shared" si="60"/>
        <v>2154154.01634409</v>
      </c>
      <c r="X120" s="177"/>
      <c r="Y120" s="138"/>
    </row>
    <row r="121" spans="1:25" ht="13">
      <c r="A121" s="179"/>
      <c r="B121" s="180"/>
      <c r="C121" s="178"/>
      <c r="D121" s="177"/>
      <c r="E121" s="177"/>
      <c r="F121" s="177"/>
      <c r="G121" s="177"/>
      <c r="H121" s="177"/>
      <c r="I121" s="36" t="s">
        <v>110</v>
      </c>
      <c r="J121" s="26">
        <v>11</v>
      </c>
      <c r="K121" s="26">
        <v>50300000</v>
      </c>
      <c r="L121" s="56">
        <f>65688000-2420000</f>
        <v>63268000</v>
      </c>
      <c r="M121" s="56">
        <f>65688000-2420000</f>
        <v>63268000</v>
      </c>
      <c r="N121" s="56">
        <v>0</v>
      </c>
      <c r="O121" s="56">
        <v>0</v>
      </c>
      <c r="P121" s="56">
        <f t="shared" si="57"/>
        <v>63268000</v>
      </c>
      <c r="Q121" s="56">
        <v>15568000</v>
      </c>
      <c r="R121" s="45">
        <f t="shared" si="53"/>
        <v>0.24606436113042929</v>
      </c>
      <c r="S121" s="72"/>
      <c r="T121" s="26">
        <f t="shared" si="58"/>
        <v>47700000</v>
      </c>
      <c r="U121" s="46">
        <f t="shared" si="59"/>
        <v>94.831013916500993</v>
      </c>
      <c r="V121" s="16">
        <f>U121*109000/95</f>
        <v>108806.11070419587</v>
      </c>
      <c r="W121" s="16">
        <f t="shared" si="60"/>
        <v>1196867.2177461546</v>
      </c>
      <c r="X121" s="177"/>
      <c r="Y121" s="138"/>
    </row>
    <row r="122" spans="1:25" ht="13">
      <c r="A122" s="179"/>
      <c r="B122" s="180"/>
      <c r="C122" s="178"/>
      <c r="D122" s="177"/>
      <c r="E122" s="177"/>
      <c r="F122" s="177"/>
      <c r="G122" s="177"/>
      <c r="H122" s="177"/>
      <c r="I122" s="26" t="s">
        <v>111</v>
      </c>
      <c r="J122" s="26">
        <v>9</v>
      </c>
      <c r="K122" s="26">
        <v>27800000</v>
      </c>
      <c r="L122" s="56">
        <v>35861000</v>
      </c>
      <c r="M122" s="56">
        <v>31824000</v>
      </c>
      <c r="N122" s="56">
        <v>0</v>
      </c>
      <c r="O122" s="56">
        <v>0</v>
      </c>
      <c r="P122" s="56">
        <f t="shared" si="57"/>
        <v>31824000</v>
      </c>
      <c r="Q122" s="56">
        <v>9161000</v>
      </c>
      <c r="R122" s="45">
        <f t="shared" si="53"/>
        <v>0.25545857616909734</v>
      </c>
      <c r="S122" s="72"/>
      <c r="T122" s="26">
        <f t="shared" si="58"/>
        <v>23694286.271994647</v>
      </c>
      <c r="U122" s="46">
        <f t="shared" si="59"/>
        <v>85.23124558271455</v>
      </c>
      <c r="V122" s="16">
        <f>U122*90000/85</f>
        <v>90244.848264050699</v>
      </c>
      <c r="W122" s="16">
        <f t="shared" si="60"/>
        <v>812203.63437645626</v>
      </c>
      <c r="X122" s="177"/>
      <c r="Y122" s="138"/>
    </row>
    <row r="123" spans="1:25" ht="12.5">
      <c r="A123" s="179"/>
      <c r="B123" s="180"/>
      <c r="C123" s="178"/>
      <c r="D123" s="177"/>
      <c r="E123" s="177"/>
      <c r="F123" s="177"/>
      <c r="G123" s="177"/>
      <c r="H123" s="177"/>
      <c r="I123" s="36" t="s">
        <v>96</v>
      </c>
      <c r="J123" s="26">
        <v>10</v>
      </c>
      <c r="K123" s="26">
        <v>41300000</v>
      </c>
      <c r="L123" s="56">
        <f>53349794-864194</f>
        <v>52485600</v>
      </c>
      <c r="M123" s="56">
        <f>52385000-864194</f>
        <v>51520806</v>
      </c>
      <c r="N123" s="56">
        <v>867600</v>
      </c>
      <c r="O123" s="56">
        <v>0</v>
      </c>
      <c r="P123" s="56">
        <f t="shared" si="57"/>
        <v>52388406</v>
      </c>
      <c r="Q123" s="56">
        <v>12485600</v>
      </c>
      <c r="R123" s="45">
        <f t="shared" si="53"/>
        <v>0.23788620116755835</v>
      </c>
      <c r="S123" s="56"/>
      <c r="T123" s="26">
        <f t="shared" si="58"/>
        <v>39925927.111436278</v>
      </c>
      <c r="U123" s="46">
        <f t="shared" si="59"/>
        <v>96.672947001056357</v>
      </c>
      <c r="V123" s="16">
        <f>U123*110000/95</f>
        <v>111937.09652753893</v>
      </c>
      <c r="W123" s="16">
        <f t="shared" si="60"/>
        <v>1119370.9652753894</v>
      </c>
      <c r="X123" s="177"/>
      <c r="Y123" s="138"/>
    </row>
    <row r="124" spans="1:25" ht="13">
      <c r="A124" s="179"/>
      <c r="B124" s="180"/>
      <c r="C124" s="178"/>
      <c r="D124" s="177"/>
      <c r="E124" s="177"/>
      <c r="F124" s="177"/>
      <c r="G124" s="177"/>
      <c r="H124" s="177"/>
      <c r="I124" s="36" t="s">
        <v>208</v>
      </c>
      <c r="J124" s="26">
        <v>13</v>
      </c>
      <c r="K124" s="26">
        <v>67000000</v>
      </c>
      <c r="L124" s="56">
        <v>86054000</v>
      </c>
      <c r="M124" s="56">
        <v>76506000</v>
      </c>
      <c r="N124" s="56">
        <v>2851200</v>
      </c>
      <c r="O124" s="56">
        <v>0</v>
      </c>
      <c r="P124" s="56">
        <f t="shared" si="57"/>
        <v>79357200</v>
      </c>
      <c r="Q124" s="56">
        <v>20454000</v>
      </c>
      <c r="R124" s="45">
        <f t="shared" si="53"/>
        <v>0.23768796337183629</v>
      </c>
      <c r="S124" s="72"/>
      <c r="T124" s="26">
        <f t="shared" si="58"/>
        <v>60494948.753108516</v>
      </c>
      <c r="U124" s="46">
        <f t="shared" si="59"/>
        <v>90.290968288221663</v>
      </c>
      <c r="V124" s="16">
        <f>U124*100000/90</f>
        <v>100323.29809802407</v>
      </c>
      <c r="W124" s="16">
        <f t="shared" si="60"/>
        <v>1304202.8752743129</v>
      </c>
      <c r="X124" s="177"/>
      <c r="Y124" s="138"/>
    </row>
    <row r="125" spans="1:25" ht="13">
      <c r="A125" s="179"/>
      <c r="B125" s="180"/>
      <c r="C125" s="178"/>
      <c r="D125" s="177"/>
      <c r="E125" s="177"/>
      <c r="F125" s="177"/>
      <c r="G125" s="177"/>
      <c r="H125" s="177"/>
      <c r="I125" s="36" t="s">
        <v>227</v>
      </c>
      <c r="J125" s="26">
        <v>20</v>
      </c>
      <c r="K125" s="26">
        <v>74400000</v>
      </c>
      <c r="L125" s="56">
        <f>88015667+3300000-4700000</f>
        <v>86615667</v>
      </c>
      <c r="M125" s="56">
        <f>69766000+3300000-4700000</f>
        <v>68366000</v>
      </c>
      <c r="N125" s="56">
        <v>5822100</v>
      </c>
      <c r="O125" s="56">
        <v>3438400</v>
      </c>
      <c r="P125" s="56">
        <f t="shared" si="57"/>
        <v>77626500</v>
      </c>
      <c r="Q125" s="56">
        <v>17158000</v>
      </c>
      <c r="R125" s="45">
        <f t="shared" si="53"/>
        <v>0.1980934927165082</v>
      </c>
      <c r="S125" s="72">
        <v>2941935.4838709678</v>
      </c>
      <c r="T125" s="26">
        <f t="shared" si="58"/>
        <v>65191130.971512944</v>
      </c>
      <c r="U125" s="46">
        <f t="shared" si="59"/>
        <v>87.622487864936744</v>
      </c>
      <c r="V125" s="16">
        <f>U125*99000/90</f>
        <v>96384.73665143043</v>
      </c>
      <c r="W125" s="16">
        <f t="shared" si="60"/>
        <v>1927694.7330286086</v>
      </c>
      <c r="X125" s="16"/>
      <c r="Y125" s="138"/>
    </row>
    <row r="126" spans="1:25" ht="13">
      <c r="A126" s="179"/>
      <c r="B126" s="180"/>
      <c r="C126" s="178"/>
      <c r="D126" s="177"/>
      <c r="E126" s="177"/>
      <c r="F126" s="177"/>
      <c r="G126" s="177"/>
      <c r="H126" s="177"/>
      <c r="I126" s="59">
        <v>10</v>
      </c>
      <c r="J126" s="52">
        <f>SUM(J116:J125)</f>
        <v>138</v>
      </c>
      <c r="K126" s="52">
        <f>SUM(K116:K125)</f>
        <v>540600000</v>
      </c>
      <c r="L126" s="52">
        <f>SUM(L116:L125)</f>
        <v>694781067</v>
      </c>
      <c r="M126" s="52">
        <f t="shared" ref="M126:N126" si="61">SUM(M116:M125)</f>
        <v>619003606</v>
      </c>
      <c r="N126" s="52">
        <f t="shared" si="61"/>
        <v>26366400</v>
      </c>
      <c r="O126" s="52">
        <f>SUM(O116:O125)</f>
        <v>5407500</v>
      </c>
      <c r="P126" s="52">
        <f>SUM(P116:P125)</f>
        <v>650777506</v>
      </c>
      <c r="Q126" s="52">
        <f>SUM(Q116:Q125)</f>
        <v>179143400</v>
      </c>
      <c r="R126" s="52"/>
      <c r="S126" s="52">
        <f>SUM(S116:S125)</f>
        <v>14351612.903225807</v>
      </c>
      <c r="T126" s="52">
        <f>SUM(T116:T125)</f>
        <v>497131594.90854931</v>
      </c>
      <c r="U126" s="55">
        <f>(T126/K126)*100</f>
        <v>91.959229542831906</v>
      </c>
      <c r="V126" s="59"/>
      <c r="W126" s="104">
        <f>SUM(W116:W125)</f>
        <v>14267463.811913056</v>
      </c>
      <c r="X126" s="16"/>
      <c r="Y126" s="138"/>
    </row>
    <row r="127" spans="1:25" ht="13">
      <c r="A127" s="179"/>
      <c r="B127" s="180" t="s">
        <v>222</v>
      </c>
      <c r="C127" s="178" t="s">
        <v>35</v>
      </c>
      <c r="D127" s="177"/>
      <c r="E127" s="177">
        <v>500000</v>
      </c>
      <c r="F127" s="177">
        <v>500000</v>
      </c>
      <c r="G127" s="177"/>
      <c r="H127" s="177"/>
      <c r="I127" s="36" t="s">
        <v>75</v>
      </c>
      <c r="J127" s="26">
        <v>22</v>
      </c>
      <c r="K127" s="26">
        <v>69800000</v>
      </c>
      <c r="L127" s="56">
        <f>98959161-9400000</f>
        <v>89559161</v>
      </c>
      <c r="M127" s="56">
        <f>70214000-9400000</f>
        <v>60814000</v>
      </c>
      <c r="N127" s="56">
        <v>25931700</v>
      </c>
      <c r="O127" s="56">
        <v>0</v>
      </c>
      <c r="P127" s="56">
        <f>SUM(M127:O127)</f>
        <v>86745700</v>
      </c>
      <c r="Q127" s="56">
        <v>23314000</v>
      </c>
      <c r="R127" s="45">
        <f>Q127/L127</f>
        <v>0.26031954452990019</v>
      </c>
      <c r="S127" s="72"/>
      <c r="T127" s="26">
        <f>P127-(P127*R127)+S127</f>
        <v>64164098.886072636</v>
      </c>
      <c r="U127" s="46">
        <f>(T127/K127)*100</f>
        <v>91.925643103255922</v>
      </c>
      <c r="V127" s="16">
        <f>U127*100000/90</f>
        <v>102139.60344806215</v>
      </c>
      <c r="W127" s="16">
        <f>V127*J127</f>
        <v>2247071.2758573671</v>
      </c>
      <c r="X127" s="177">
        <f>E127+F127+W133</f>
        <v>8717144.6856677085</v>
      </c>
      <c r="Y127" s="138"/>
    </row>
    <row r="128" spans="1:25" ht="13">
      <c r="A128" s="179"/>
      <c r="B128" s="180"/>
      <c r="C128" s="178"/>
      <c r="D128" s="177"/>
      <c r="E128" s="177"/>
      <c r="F128" s="177"/>
      <c r="G128" s="177"/>
      <c r="H128" s="177"/>
      <c r="I128" s="36" t="s">
        <v>87</v>
      </c>
      <c r="J128" s="26">
        <v>9</v>
      </c>
      <c r="K128" s="26">
        <v>21200000</v>
      </c>
      <c r="L128" s="56">
        <v>27162000</v>
      </c>
      <c r="M128" s="56">
        <v>24174000</v>
      </c>
      <c r="N128" s="56">
        <v>0</v>
      </c>
      <c r="O128" s="56">
        <v>0</v>
      </c>
      <c r="P128" s="56">
        <f t="shared" ref="P128:P132" si="62">SUM(M128:O128)</f>
        <v>24174000</v>
      </c>
      <c r="Q128" s="56">
        <v>7162000</v>
      </c>
      <c r="R128" s="45">
        <f t="shared" ref="R128:R132" si="63">Q128/L128</f>
        <v>0.26367719608276269</v>
      </c>
      <c r="S128" s="72"/>
      <c r="T128" s="26">
        <f t="shared" ref="T128:T132" si="64">P128-(P128*R128)+S128</f>
        <v>17799867.461895294</v>
      </c>
      <c r="U128" s="46">
        <f t="shared" ref="U128:U132" si="65">(T128/K128)*100</f>
        <v>83.961638971204223</v>
      </c>
      <c r="V128" s="16">
        <f>U128*89000/85</f>
        <v>87912.774922790297</v>
      </c>
      <c r="W128" s="16">
        <f t="shared" ref="W128:W132" si="66">V128*J128</f>
        <v>791214.97430511261</v>
      </c>
      <c r="X128" s="177"/>
      <c r="Y128" s="138"/>
    </row>
    <row r="129" spans="1:25" ht="12.5">
      <c r="A129" s="179"/>
      <c r="B129" s="180"/>
      <c r="C129" s="178"/>
      <c r="D129" s="177"/>
      <c r="E129" s="177"/>
      <c r="F129" s="177"/>
      <c r="G129" s="177"/>
      <c r="H129" s="177"/>
      <c r="I129" s="36" t="s">
        <v>79</v>
      </c>
      <c r="J129" s="26">
        <v>8</v>
      </c>
      <c r="K129" s="26">
        <v>17200000</v>
      </c>
      <c r="L129" s="56">
        <v>26560000.000000004</v>
      </c>
      <c r="M129" s="56">
        <v>26560334</v>
      </c>
      <c r="N129" s="56">
        <v>0</v>
      </c>
      <c r="O129" s="56">
        <v>0</v>
      </c>
      <c r="P129" s="56">
        <f t="shared" si="62"/>
        <v>26560334</v>
      </c>
      <c r="Q129" s="56">
        <v>9760000</v>
      </c>
      <c r="R129" s="45">
        <f t="shared" si="63"/>
        <v>0.36746987951807225</v>
      </c>
      <c r="S129" s="56"/>
      <c r="T129" s="26">
        <f t="shared" si="64"/>
        <v>16800211.265060242</v>
      </c>
      <c r="U129" s="46">
        <f t="shared" si="65"/>
        <v>97.67564688988513</v>
      </c>
      <c r="V129" s="16">
        <f>U129*120000/100</f>
        <v>117210.77626786215</v>
      </c>
      <c r="W129" s="16">
        <f t="shared" si="66"/>
        <v>937686.21014289721</v>
      </c>
      <c r="X129" s="177"/>
      <c r="Y129" s="138"/>
    </row>
    <row r="130" spans="1:25" ht="13" customHeight="1">
      <c r="A130" s="179"/>
      <c r="B130" s="180"/>
      <c r="C130" s="178"/>
      <c r="D130" s="177"/>
      <c r="E130" s="177"/>
      <c r="F130" s="177"/>
      <c r="G130" s="177"/>
      <c r="H130" s="177"/>
      <c r="I130" s="36" t="s">
        <v>45</v>
      </c>
      <c r="J130" s="26">
        <v>14</v>
      </c>
      <c r="K130" s="26">
        <v>45300000</v>
      </c>
      <c r="L130" s="56">
        <f>59910000-300000</f>
        <v>59610000</v>
      </c>
      <c r="M130" s="56">
        <f>59910000-300000</f>
        <v>59610000</v>
      </c>
      <c r="N130" s="56">
        <v>0</v>
      </c>
      <c r="O130" s="56">
        <v>0</v>
      </c>
      <c r="P130" s="56">
        <f t="shared" si="62"/>
        <v>59610000</v>
      </c>
      <c r="Q130" s="56">
        <v>16610000</v>
      </c>
      <c r="R130" s="45">
        <f t="shared" si="63"/>
        <v>0.27864452273108536</v>
      </c>
      <c r="S130" s="72"/>
      <c r="T130" s="26">
        <f t="shared" si="64"/>
        <v>43000000</v>
      </c>
      <c r="U130" s="46">
        <f t="shared" si="65"/>
        <v>94.92273730684326</v>
      </c>
      <c r="V130" s="16">
        <f>U130*109000/95</f>
        <v>108911.35122574648</v>
      </c>
      <c r="W130" s="16">
        <f t="shared" si="66"/>
        <v>1524758.9171604507</v>
      </c>
      <c r="X130" s="177"/>
      <c r="Y130" s="138"/>
    </row>
    <row r="131" spans="1:25" ht="13" customHeight="1">
      <c r="A131" s="179"/>
      <c r="B131" s="180"/>
      <c r="C131" s="178"/>
      <c r="D131" s="177"/>
      <c r="E131" s="177"/>
      <c r="F131" s="177"/>
      <c r="G131" s="177"/>
      <c r="H131" s="177"/>
      <c r="I131" s="36" t="s">
        <v>83</v>
      </c>
      <c r="J131" s="37">
        <v>9</v>
      </c>
      <c r="K131" s="26">
        <v>35000000</v>
      </c>
      <c r="L131" s="56">
        <v>44594000</v>
      </c>
      <c r="M131" s="56">
        <v>38843000</v>
      </c>
      <c r="N131" s="56">
        <v>5175900</v>
      </c>
      <c r="O131" s="56">
        <v>0</v>
      </c>
      <c r="P131" s="56">
        <f t="shared" si="62"/>
        <v>44018900</v>
      </c>
      <c r="Q131" s="56">
        <v>10494000</v>
      </c>
      <c r="R131" s="45">
        <f t="shared" si="63"/>
        <v>0.23532313764183521</v>
      </c>
      <c r="S131" s="72">
        <f>1348387.09677419+2000000</f>
        <v>3348387.0967741897</v>
      </c>
      <c r="T131" s="26">
        <f t="shared" si="64"/>
        <v>37008621.433232009</v>
      </c>
      <c r="U131" s="46">
        <f t="shared" si="65"/>
        <v>105.73891838066289</v>
      </c>
      <c r="V131" s="16">
        <f>U131*120000/100</f>
        <v>126886.70205679548</v>
      </c>
      <c r="W131" s="16">
        <f t="shared" si="66"/>
        <v>1141980.3185111592</v>
      </c>
      <c r="X131" s="177"/>
      <c r="Y131" s="138"/>
    </row>
    <row r="132" spans="1:25" ht="13" customHeight="1">
      <c r="A132" s="179"/>
      <c r="B132" s="180"/>
      <c r="C132" s="178"/>
      <c r="D132" s="177"/>
      <c r="E132" s="177"/>
      <c r="F132" s="177"/>
      <c r="G132" s="177"/>
      <c r="H132" s="177"/>
      <c r="I132" s="36" t="s">
        <v>229</v>
      </c>
      <c r="J132" s="37">
        <v>9</v>
      </c>
      <c r="K132" s="26">
        <v>38800000</v>
      </c>
      <c r="L132" s="56">
        <f>50435000-500000-1680000</f>
        <v>48255000</v>
      </c>
      <c r="M132" s="56">
        <f>50435000-500000-1680000</f>
        <v>48255000</v>
      </c>
      <c r="N132" s="56">
        <v>0</v>
      </c>
      <c r="O132" s="56">
        <v>0</v>
      </c>
      <c r="P132" s="56">
        <f t="shared" si="62"/>
        <v>48255000</v>
      </c>
      <c r="Q132" s="56">
        <v>9655000</v>
      </c>
      <c r="R132" s="45">
        <f t="shared" si="63"/>
        <v>0.20008289296445964</v>
      </c>
      <c r="S132" s="72"/>
      <c r="T132" s="26">
        <f t="shared" si="64"/>
        <v>38600000</v>
      </c>
      <c r="U132" s="46">
        <f t="shared" si="65"/>
        <v>99.484536082474222</v>
      </c>
      <c r="V132" s="16">
        <f>U132*120000/100</f>
        <v>119381.44329896907</v>
      </c>
      <c r="W132" s="16">
        <f t="shared" si="66"/>
        <v>1074432.9896907215</v>
      </c>
      <c r="X132" s="177"/>
      <c r="Y132" s="138"/>
    </row>
    <row r="133" spans="1:25" ht="13" customHeight="1">
      <c r="A133" s="179"/>
      <c r="B133" s="180"/>
      <c r="C133" s="178"/>
      <c r="D133" s="177"/>
      <c r="E133" s="177"/>
      <c r="F133" s="177"/>
      <c r="G133" s="177"/>
      <c r="H133" s="177"/>
      <c r="I133" s="59">
        <v>6</v>
      </c>
      <c r="J133" s="52">
        <f>SUM(J127:J132)</f>
        <v>71</v>
      </c>
      <c r="K133" s="52">
        <f>SUM(K127:K132)</f>
        <v>227300000</v>
      </c>
      <c r="L133" s="52">
        <f t="shared" ref="L133:P133" si="67">SUM(L127:L132)</f>
        <v>295740161</v>
      </c>
      <c r="M133" s="52">
        <f t="shared" si="67"/>
        <v>258256334</v>
      </c>
      <c r="N133" s="52">
        <f t="shared" si="67"/>
        <v>31107600</v>
      </c>
      <c r="O133" s="52">
        <f t="shared" si="67"/>
        <v>0</v>
      </c>
      <c r="P133" s="52">
        <f t="shared" si="67"/>
        <v>289363934</v>
      </c>
      <c r="Q133" s="52">
        <f>SUM(Q127:Q132)</f>
        <v>76995000</v>
      </c>
      <c r="R133" s="52"/>
      <c r="S133" s="52">
        <f>SUM(S127:S132)</f>
        <v>3348387.0967741897</v>
      </c>
      <c r="T133" s="52">
        <f>SUM(T127:T132)</f>
        <v>217372799.04626018</v>
      </c>
      <c r="U133" s="55">
        <f>(T133/K133)*100</f>
        <v>95.632555673673636</v>
      </c>
      <c r="V133" s="59"/>
      <c r="W133" s="104">
        <f>SUM(W127:W132)</f>
        <v>7717144.6856677085</v>
      </c>
      <c r="X133" s="177"/>
      <c r="Y133" s="138"/>
    </row>
    <row r="134" spans="1:25" ht="13" customHeight="1">
      <c r="A134" s="141"/>
      <c r="B134" s="138"/>
      <c r="C134" s="24"/>
      <c r="D134" s="16"/>
      <c r="E134" s="16"/>
      <c r="F134" s="16"/>
      <c r="G134" s="16"/>
      <c r="H134" s="16"/>
      <c r="I134" s="167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168"/>
      <c r="V134" s="167"/>
      <c r="W134" s="169"/>
      <c r="X134" s="16"/>
      <c r="Y134" s="138"/>
    </row>
    <row r="135" spans="1:25" ht="13" customHeight="1">
      <c r="A135" s="141"/>
      <c r="B135" s="138"/>
      <c r="C135" s="24"/>
      <c r="D135" s="16"/>
      <c r="E135" s="16"/>
      <c r="F135" s="16"/>
      <c r="G135" s="16"/>
      <c r="H135" s="16"/>
      <c r="I135" s="167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168"/>
      <c r="V135" s="167"/>
      <c r="W135" s="169"/>
      <c r="X135" s="16"/>
      <c r="Y135" s="138"/>
    </row>
    <row r="136" spans="1:25" ht="12.5" customHeight="1">
      <c r="A136" s="141" t="s">
        <v>104</v>
      </c>
      <c r="B136" s="170" t="s">
        <v>152</v>
      </c>
      <c r="C136" s="24" t="s">
        <v>153</v>
      </c>
      <c r="D136" s="16">
        <v>10000000</v>
      </c>
      <c r="E136" s="16">
        <v>500000</v>
      </c>
      <c r="F136" s="16">
        <v>500000</v>
      </c>
      <c r="G136" s="16"/>
      <c r="H136" s="1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16"/>
      <c r="W136" s="16">
        <f>D136+E136+F136</f>
        <v>11000000</v>
      </c>
      <c r="X136" s="187">
        <f>SUM(W136:W158)</f>
        <v>66453847</v>
      </c>
      <c r="Y136" s="163"/>
    </row>
    <row r="137" spans="1:25" ht="12.5" customHeight="1">
      <c r="A137" s="141" t="s">
        <v>112</v>
      </c>
      <c r="B137" s="170" t="s">
        <v>155</v>
      </c>
      <c r="C137" s="24" t="s">
        <v>156</v>
      </c>
      <c r="D137" s="16">
        <v>5000000</v>
      </c>
      <c r="E137" s="16">
        <v>500000</v>
      </c>
      <c r="F137" s="16">
        <v>500000</v>
      </c>
      <c r="G137" s="16"/>
      <c r="H137" s="1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16"/>
      <c r="W137" s="16">
        <f t="shared" ref="W137:W163" si="68">D137+E137+F137</f>
        <v>6000000</v>
      </c>
      <c r="X137" s="187"/>
      <c r="Y137" s="163"/>
    </row>
    <row r="138" spans="1:25" ht="12.5" customHeight="1">
      <c r="A138" s="141" t="s">
        <v>127</v>
      </c>
      <c r="B138" s="170" t="s">
        <v>158</v>
      </c>
      <c r="C138" s="24" t="s">
        <v>159</v>
      </c>
      <c r="D138" s="16">
        <f>1900000-500000</f>
        <v>1400000</v>
      </c>
      <c r="E138" s="16">
        <v>500000</v>
      </c>
      <c r="F138" s="16"/>
      <c r="G138" s="16"/>
      <c r="H138" s="1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16"/>
      <c r="W138" s="16">
        <f t="shared" si="68"/>
        <v>1900000</v>
      </c>
      <c r="X138" s="187"/>
      <c r="Y138" s="163"/>
    </row>
    <row r="139" spans="1:25" ht="12.5" customHeight="1">
      <c r="A139" s="141" t="s">
        <v>138</v>
      </c>
      <c r="B139" s="170" t="s">
        <v>161</v>
      </c>
      <c r="C139" s="24" t="s">
        <v>159</v>
      </c>
      <c r="D139" s="16">
        <v>3000000</v>
      </c>
      <c r="E139" s="16">
        <v>500000</v>
      </c>
      <c r="F139" s="16">
        <v>500000</v>
      </c>
      <c r="G139" s="16"/>
      <c r="H139" s="1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16"/>
      <c r="W139" s="16">
        <f t="shared" si="68"/>
        <v>4000000</v>
      </c>
      <c r="X139" s="187"/>
      <c r="Y139" s="163"/>
    </row>
    <row r="140" spans="1:25" ht="12.5" customHeight="1">
      <c r="A140" s="141" t="s">
        <v>149</v>
      </c>
      <c r="B140" s="170" t="s">
        <v>194</v>
      </c>
      <c r="C140" s="24" t="s">
        <v>159</v>
      </c>
      <c r="D140" s="16">
        <f>2403846-480769</f>
        <v>1923077</v>
      </c>
      <c r="E140" s="16">
        <v>480769</v>
      </c>
      <c r="F140" s="16"/>
      <c r="G140" s="16"/>
      <c r="H140" s="1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16"/>
      <c r="W140" s="16">
        <f t="shared" si="68"/>
        <v>2403846</v>
      </c>
      <c r="X140" s="187"/>
      <c r="Y140" s="163"/>
    </row>
    <row r="141" spans="1:25" ht="13">
      <c r="A141" s="141" t="s">
        <v>151</v>
      </c>
      <c r="B141" s="171" t="s">
        <v>245</v>
      </c>
      <c r="C141" s="24" t="s">
        <v>159</v>
      </c>
      <c r="D141" s="16">
        <v>1500000</v>
      </c>
      <c r="E141" s="16"/>
      <c r="F141" s="16"/>
      <c r="G141" s="16"/>
      <c r="H141" s="1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16"/>
      <c r="W141" s="16">
        <f t="shared" si="68"/>
        <v>1500000</v>
      </c>
      <c r="X141" s="187"/>
      <c r="Y141" s="172">
        <f>SUM(D136:D158)+865385</f>
        <v>57300001</v>
      </c>
    </row>
    <row r="142" spans="1:25" ht="12.5" customHeight="1">
      <c r="A142" s="141" t="s">
        <v>154</v>
      </c>
      <c r="B142" s="171" t="s">
        <v>166</v>
      </c>
      <c r="C142" s="24" t="s">
        <v>159</v>
      </c>
      <c r="D142" s="16">
        <v>2500000</v>
      </c>
      <c r="E142" s="16">
        <v>500000</v>
      </c>
      <c r="F142" s="16"/>
      <c r="G142" s="16"/>
      <c r="H142" s="1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16"/>
      <c r="W142" s="16">
        <f t="shared" si="68"/>
        <v>3000000</v>
      </c>
      <c r="X142" s="187"/>
      <c r="Y142" s="163"/>
    </row>
    <row r="143" spans="1:25" ht="12.5" customHeight="1">
      <c r="A143" s="141" t="s">
        <v>157</v>
      </c>
      <c r="B143" s="171" t="s">
        <v>168</v>
      </c>
      <c r="C143" s="24" t="s">
        <v>159</v>
      </c>
      <c r="D143" s="16">
        <f>2653846-500000</f>
        <v>2153846</v>
      </c>
      <c r="E143" s="16">
        <v>500000</v>
      </c>
      <c r="F143" s="16"/>
      <c r="G143" s="16"/>
      <c r="H143" s="1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16"/>
      <c r="W143" s="16">
        <f t="shared" si="68"/>
        <v>2653846</v>
      </c>
      <c r="X143" s="187"/>
      <c r="Y143" s="163"/>
    </row>
    <row r="144" spans="1:25" ht="12.5" customHeight="1">
      <c r="A144" s="141" t="s">
        <v>160</v>
      </c>
      <c r="B144" s="171" t="s">
        <v>170</v>
      </c>
      <c r="C144" s="24" t="s">
        <v>159</v>
      </c>
      <c r="D144" s="16">
        <v>2500000</v>
      </c>
      <c r="E144" s="16">
        <v>500000</v>
      </c>
      <c r="F144" s="16"/>
      <c r="G144" s="16"/>
      <c r="H144" s="1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16"/>
      <c r="W144" s="16">
        <f t="shared" si="68"/>
        <v>3000000</v>
      </c>
      <c r="X144" s="187"/>
      <c r="Y144" s="163"/>
    </row>
    <row r="145" spans="1:25" ht="12.5" customHeight="1">
      <c r="A145" s="141" t="s">
        <v>162</v>
      </c>
      <c r="B145" s="171" t="s">
        <v>246</v>
      </c>
      <c r="C145" s="24" t="s">
        <v>159</v>
      </c>
      <c r="D145" s="16">
        <v>1500000</v>
      </c>
      <c r="E145" s="16"/>
      <c r="F145" s="16"/>
      <c r="G145" s="16"/>
      <c r="H145" s="1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16"/>
      <c r="W145" s="16">
        <f t="shared" si="68"/>
        <v>1500000</v>
      </c>
      <c r="X145" s="187"/>
      <c r="Y145" s="163"/>
    </row>
    <row r="146" spans="1:25" ht="12.5" customHeight="1">
      <c r="A146" s="141" t="s">
        <v>163</v>
      </c>
      <c r="B146" s="171" t="s">
        <v>247</v>
      </c>
      <c r="C146" s="24" t="s">
        <v>159</v>
      </c>
      <c r="D146" s="16">
        <v>1500000</v>
      </c>
      <c r="E146" s="16"/>
      <c r="F146" s="16"/>
      <c r="G146" s="16"/>
      <c r="H146" s="1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16"/>
      <c r="W146" s="16">
        <f t="shared" si="68"/>
        <v>1500000</v>
      </c>
      <c r="X146" s="187"/>
      <c r="Y146" s="163"/>
    </row>
    <row r="147" spans="1:25" ht="13" customHeight="1">
      <c r="A147" s="141" t="s">
        <v>165</v>
      </c>
      <c r="B147" s="171" t="s">
        <v>210</v>
      </c>
      <c r="C147" s="24" t="s">
        <v>159</v>
      </c>
      <c r="D147" s="16">
        <f>1269231-423077</f>
        <v>846154</v>
      </c>
      <c r="E147" s="16">
        <v>423077</v>
      </c>
      <c r="F147" s="16"/>
      <c r="G147" s="16"/>
      <c r="H147" s="1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16"/>
      <c r="W147" s="16">
        <f t="shared" si="68"/>
        <v>1269231</v>
      </c>
      <c r="X147" s="187"/>
      <c r="Y147" s="163"/>
    </row>
    <row r="148" spans="1:25" ht="13" customHeight="1">
      <c r="A148" s="141" t="s">
        <v>167</v>
      </c>
      <c r="B148" s="171" t="s">
        <v>216</v>
      </c>
      <c r="C148" s="24" t="s">
        <v>159</v>
      </c>
      <c r="D148" s="16">
        <f>1442308-288462</f>
        <v>1153846</v>
      </c>
      <c r="E148" s="16">
        <v>288462</v>
      </c>
      <c r="F148" s="16"/>
      <c r="G148" s="16"/>
      <c r="H148" s="1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16"/>
      <c r="W148" s="16">
        <f t="shared" si="68"/>
        <v>1442308</v>
      </c>
      <c r="X148" s="187"/>
      <c r="Y148" s="163"/>
    </row>
    <row r="149" spans="1:25" ht="13" customHeight="1">
      <c r="A149" s="141" t="s">
        <v>169</v>
      </c>
      <c r="B149" s="171" t="s">
        <v>226</v>
      </c>
      <c r="C149" s="24" t="s">
        <v>159</v>
      </c>
      <c r="D149" s="16">
        <f>1923077-384615</f>
        <v>1538462</v>
      </c>
      <c r="E149" s="16">
        <v>384615</v>
      </c>
      <c r="F149" s="16"/>
      <c r="G149" s="16"/>
      <c r="H149" s="1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16"/>
      <c r="W149" s="16">
        <f t="shared" si="68"/>
        <v>1923077</v>
      </c>
      <c r="X149" s="187"/>
      <c r="Y149" s="163"/>
    </row>
    <row r="150" spans="1:25" ht="13" customHeight="1">
      <c r="A150" s="141" t="s">
        <v>171</v>
      </c>
      <c r="B150" s="171" t="s">
        <v>212</v>
      </c>
      <c r="C150" s="24" t="s">
        <v>159</v>
      </c>
      <c r="D150" s="16">
        <v>4000000</v>
      </c>
      <c r="E150" s="16">
        <v>500000</v>
      </c>
      <c r="F150" s="16"/>
      <c r="G150" s="16"/>
      <c r="H150" s="1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16"/>
      <c r="W150" s="16">
        <f t="shared" si="68"/>
        <v>4500000</v>
      </c>
      <c r="X150" s="187"/>
      <c r="Y150" s="163"/>
    </row>
    <row r="151" spans="1:25" ht="13" customHeight="1">
      <c r="A151" s="141" t="s">
        <v>173</v>
      </c>
      <c r="B151" s="171" t="s">
        <v>213</v>
      </c>
      <c r="C151" s="24" t="s">
        <v>159</v>
      </c>
      <c r="D151" s="16">
        <f>2019231-403846</f>
        <v>1615385</v>
      </c>
      <c r="E151" s="16">
        <v>403846</v>
      </c>
      <c r="F151" s="16"/>
      <c r="G151" s="16"/>
      <c r="H151" s="1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16"/>
      <c r="W151" s="16">
        <f t="shared" si="68"/>
        <v>2019231</v>
      </c>
      <c r="X151" s="187"/>
      <c r="Y151" s="163"/>
    </row>
    <row r="152" spans="1:25" ht="13" customHeight="1">
      <c r="A152" s="141" t="s">
        <v>175</v>
      </c>
      <c r="B152" s="171" t="s">
        <v>238</v>
      </c>
      <c r="C152" s="24" t="s">
        <v>159</v>
      </c>
      <c r="D152" s="16">
        <f>1169231-307692</f>
        <v>861539</v>
      </c>
      <c r="E152" s="16">
        <v>307692</v>
      </c>
      <c r="F152" s="16"/>
      <c r="G152" s="16"/>
      <c r="H152" s="1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16"/>
      <c r="W152" s="16">
        <f t="shared" si="68"/>
        <v>1169231</v>
      </c>
      <c r="X152" s="187"/>
      <c r="Y152" s="163"/>
    </row>
    <row r="153" spans="1:25" ht="13" customHeight="1">
      <c r="A153" s="141" t="s">
        <v>178</v>
      </c>
      <c r="B153" s="171" t="s">
        <v>235</v>
      </c>
      <c r="C153" s="24" t="s">
        <v>159</v>
      </c>
      <c r="D153" s="16">
        <v>2000000</v>
      </c>
      <c r="E153" s="16">
        <v>500000</v>
      </c>
      <c r="F153" s="16"/>
      <c r="G153" s="16"/>
      <c r="H153" s="1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16"/>
      <c r="W153" s="16">
        <f t="shared" si="68"/>
        <v>2500000</v>
      </c>
      <c r="X153" s="187"/>
      <c r="Y153" s="163"/>
    </row>
    <row r="154" spans="1:25" ht="13" customHeight="1">
      <c r="A154" s="141" t="s">
        <v>181</v>
      </c>
      <c r="B154" s="171" t="s">
        <v>218</v>
      </c>
      <c r="C154" s="24" t="s">
        <v>159</v>
      </c>
      <c r="D154" s="16">
        <v>4000000</v>
      </c>
      <c r="E154" s="16">
        <v>500000</v>
      </c>
      <c r="F154" s="16"/>
      <c r="G154" s="16"/>
      <c r="H154" s="1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16"/>
      <c r="W154" s="16">
        <f t="shared" si="68"/>
        <v>4500000</v>
      </c>
      <c r="X154" s="187"/>
      <c r="Y154" s="163"/>
    </row>
    <row r="155" spans="1:25" ht="13" customHeight="1">
      <c r="A155" s="141"/>
      <c r="B155" s="171" t="s">
        <v>244</v>
      </c>
      <c r="C155" s="24" t="s">
        <v>159</v>
      </c>
      <c r="D155" s="16">
        <v>1096154</v>
      </c>
      <c r="E155" s="16"/>
      <c r="F155" s="16"/>
      <c r="G155" s="16"/>
      <c r="H155" s="1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16"/>
      <c r="W155" s="16">
        <f t="shared" si="68"/>
        <v>1096154</v>
      </c>
      <c r="X155" s="187"/>
      <c r="Y155" s="163"/>
    </row>
    <row r="156" spans="1:25" ht="13" customHeight="1">
      <c r="A156" s="141"/>
      <c r="B156" s="171" t="s">
        <v>239</v>
      </c>
      <c r="C156" s="24" t="s">
        <v>159</v>
      </c>
      <c r="D156" s="16">
        <f>2211538-442308</f>
        <v>1769230</v>
      </c>
      <c r="E156" s="16">
        <v>442308</v>
      </c>
      <c r="F156" s="16"/>
      <c r="G156" s="16"/>
      <c r="H156" s="1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16"/>
      <c r="W156" s="16">
        <f t="shared" si="68"/>
        <v>2211538</v>
      </c>
      <c r="X156" s="187"/>
      <c r="Y156" s="163"/>
    </row>
    <row r="157" spans="1:25" ht="13" customHeight="1">
      <c r="A157" s="141"/>
      <c r="B157" s="171" t="s">
        <v>248</v>
      </c>
      <c r="C157" s="24" t="s">
        <v>159</v>
      </c>
      <c r="D157" s="16">
        <f>865385-288462</f>
        <v>576923</v>
      </c>
      <c r="E157" s="16">
        <v>288462</v>
      </c>
      <c r="F157" s="16"/>
      <c r="G157" s="16"/>
      <c r="H157" s="1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16"/>
      <c r="W157" s="16">
        <f t="shared" si="68"/>
        <v>865385</v>
      </c>
      <c r="X157" s="187"/>
      <c r="Y157" s="163"/>
    </row>
    <row r="158" spans="1:25" ht="13" customHeight="1">
      <c r="A158" s="141" t="s">
        <v>184</v>
      </c>
      <c r="B158" s="171" t="s">
        <v>196</v>
      </c>
      <c r="C158" s="24" t="s">
        <v>159</v>
      </c>
      <c r="D158" s="16">
        <v>4000000</v>
      </c>
      <c r="E158" s="16">
        <v>500000</v>
      </c>
      <c r="F158" s="16"/>
      <c r="G158" s="16"/>
      <c r="H158" s="1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16"/>
      <c r="W158" s="16">
        <f t="shared" si="68"/>
        <v>4500000</v>
      </c>
      <c r="X158" s="187"/>
      <c r="Y158" s="163"/>
    </row>
    <row r="159" spans="1:25" ht="12.5">
      <c r="A159" s="141" t="s">
        <v>190</v>
      </c>
      <c r="B159" s="162" t="s">
        <v>176</v>
      </c>
      <c r="C159" s="162" t="s">
        <v>177</v>
      </c>
      <c r="D159" s="16">
        <v>12000000</v>
      </c>
      <c r="E159" s="16"/>
      <c r="F159" s="16"/>
      <c r="G159" s="16"/>
      <c r="H159" s="1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16"/>
      <c r="W159" s="16">
        <f t="shared" si="68"/>
        <v>12000000</v>
      </c>
      <c r="X159" s="16">
        <f>D159+F159+G159+H159</f>
        <v>12000000</v>
      </c>
      <c r="Y159" s="163"/>
    </row>
    <row r="160" spans="1:25" ht="12.5">
      <c r="A160" s="141" t="s">
        <v>191</v>
      </c>
      <c r="B160" s="162" t="s">
        <v>179</v>
      </c>
      <c r="C160" s="162" t="s">
        <v>180</v>
      </c>
      <c r="D160" s="16"/>
      <c r="E160" s="16">
        <v>500000</v>
      </c>
      <c r="F160" s="16"/>
      <c r="G160" s="16"/>
      <c r="H160" s="1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16"/>
      <c r="W160" s="16">
        <f t="shared" si="68"/>
        <v>500000</v>
      </c>
      <c r="X160" s="16">
        <f>D160+F160+G160+H160</f>
        <v>0</v>
      </c>
      <c r="Y160" s="163"/>
    </row>
    <row r="161" spans="1:25" ht="12.5">
      <c r="A161" s="141" t="s">
        <v>195</v>
      </c>
      <c r="B161" s="162" t="s">
        <v>69</v>
      </c>
      <c r="C161" s="162" t="s">
        <v>205</v>
      </c>
      <c r="D161" s="16">
        <v>3000000</v>
      </c>
      <c r="E161" s="16">
        <v>500000</v>
      </c>
      <c r="F161" s="16">
        <v>500000</v>
      </c>
      <c r="G161" s="16"/>
      <c r="H161" s="1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16"/>
      <c r="W161" s="16">
        <f t="shared" si="68"/>
        <v>4000000</v>
      </c>
      <c r="X161" s="16"/>
      <c r="Y161" s="163"/>
    </row>
    <row r="162" spans="1:25" ht="12.5">
      <c r="A162" s="141" t="s">
        <v>219</v>
      </c>
      <c r="B162" s="162" t="s">
        <v>182</v>
      </c>
      <c r="C162" s="162" t="s">
        <v>183</v>
      </c>
      <c r="D162" s="16"/>
      <c r="E162" s="16">
        <v>700000</v>
      </c>
      <c r="F162" s="16"/>
      <c r="G162" s="16"/>
      <c r="H162" s="1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16"/>
      <c r="W162" s="16">
        <f t="shared" si="68"/>
        <v>700000</v>
      </c>
      <c r="X162" s="16"/>
      <c r="Y162" s="163"/>
    </row>
    <row r="163" spans="1:25" ht="12.5">
      <c r="A163" s="141" t="s">
        <v>220</v>
      </c>
      <c r="B163" s="162" t="s">
        <v>185</v>
      </c>
      <c r="C163" s="162" t="s">
        <v>183</v>
      </c>
      <c r="D163" s="16"/>
      <c r="E163" s="16">
        <v>700000</v>
      </c>
      <c r="F163" s="16"/>
      <c r="G163" s="16"/>
      <c r="H163" s="1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16"/>
      <c r="W163" s="16">
        <f t="shared" si="68"/>
        <v>700000</v>
      </c>
      <c r="X163" s="16"/>
      <c r="Y163" s="163"/>
    </row>
    <row r="164" spans="1:25" ht="13">
      <c r="A164" s="173"/>
      <c r="B164" s="188"/>
      <c r="C164" s="185"/>
      <c r="D164" s="24"/>
      <c r="E164" s="24"/>
      <c r="F164" s="24"/>
      <c r="G164" s="24"/>
      <c r="H164" s="24"/>
      <c r="I164" s="174"/>
      <c r="J164" s="156"/>
      <c r="K164" s="186"/>
      <c r="L164" s="185"/>
      <c r="T164" s="156"/>
      <c r="U164" s="189" t="s">
        <v>186</v>
      </c>
      <c r="V164" s="185"/>
      <c r="X164" s="24"/>
      <c r="Y164" s="156"/>
    </row>
    <row r="165" spans="1:25" ht="13">
      <c r="A165" s="173"/>
      <c r="B165" s="184"/>
      <c r="C165" s="185"/>
      <c r="D165" s="24"/>
      <c r="E165" s="24"/>
      <c r="F165" s="24"/>
      <c r="G165" s="24"/>
      <c r="H165" s="24"/>
      <c r="I165" s="174"/>
      <c r="J165" s="156"/>
      <c r="K165" s="184"/>
      <c r="L165" s="185"/>
      <c r="T165" s="156"/>
      <c r="U165" s="184" t="s">
        <v>187</v>
      </c>
      <c r="V165" s="185"/>
      <c r="X165" s="24"/>
      <c r="Y165" s="156"/>
    </row>
    <row r="166" spans="1:25" ht="13">
      <c r="A166" s="173"/>
      <c r="B166" s="186"/>
      <c r="C166" s="185"/>
      <c r="D166" s="24"/>
      <c r="E166" s="24"/>
      <c r="F166" s="24"/>
      <c r="G166" s="24"/>
      <c r="H166" s="24"/>
      <c r="I166" s="174"/>
      <c r="J166" s="156"/>
      <c r="K166" s="186"/>
      <c r="L166" s="185"/>
      <c r="T166" s="156"/>
      <c r="U166" s="186" t="s">
        <v>188</v>
      </c>
      <c r="V166" s="185"/>
      <c r="X166" s="24"/>
      <c r="Y166" s="156"/>
    </row>
    <row r="167" spans="1:25" ht="12.5">
      <c r="A167" s="173"/>
      <c r="B167" s="156"/>
      <c r="C167" s="156"/>
      <c r="D167" s="24"/>
      <c r="E167" s="24"/>
      <c r="F167" s="24"/>
      <c r="G167" s="24"/>
      <c r="H167" s="24"/>
      <c r="I167" s="174"/>
      <c r="J167" s="156"/>
      <c r="K167" s="156"/>
      <c r="L167" s="156">
        <v>1</v>
      </c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24"/>
      <c r="Y167" s="156"/>
    </row>
    <row r="168" spans="1:25" ht="12.5">
      <c r="A168" s="173"/>
      <c r="B168" s="156"/>
      <c r="C168" s="156"/>
      <c r="D168" s="24"/>
      <c r="E168" s="24"/>
      <c r="F168" s="24"/>
      <c r="G168" s="24"/>
      <c r="H168" s="24"/>
      <c r="I168" s="174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24"/>
      <c r="Y168" s="156"/>
    </row>
    <row r="169" spans="1:25" ht="12.5">
      <c r="A169" s="173"/>
      <c r="B169" s="156"/>
      <c r="C169" s="156"/>
      <c r="D169" s="24"/>
      <c r="E169" s="24"/>
      <c r="F169" s="24"/>
      <c r="G169" s="24"/>
      <c r="H169" s="24"/>
      <c r="I169" s="174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63"/>
      <c r="V169" s="156"/>
      <c r="W169" s="156"/>
      <c r="X169" s="24"/>
      <c r="Y169" s="156"/>
    </row>
    <row r="170" spans="1:25" ht="12.5">
      <c r="A170" s="173"/>
      <c r="B170" s="156"/>
      <c r="C170" s="156"/>
      <c r="D170" s="24"/>
      <c r="E170" s="24"/>
      <c r="F170" s="24"/>
      <c r="G170" s="24"/>
      <c r="H170" s="24"/>
      <c r="I170" s="174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75"/>
      <c r="V170" s="156"/>
      <c r="W170" s="156"/>
      <c r="X170" s="24"/>
      <c r="Y170" s="156"/>
    </row>
    <row r="171" spans="1:25" ht="12.5">
      <c r="A171" s="173"/>
      <c r="B171" s="156"/>
      <c r="C171" s="156"/>
      <c r="D171" s="24"/>
      <c r="E171" s="24"/>
      <c r="F171" s="24"/>
      <c r="G171" s="24"/>
      <c r="H171" s="24"/>
      <c r="I171" s="174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24"/>
      <c r="Y171" s="156"/>
    </row>
    <row r="172" spans="1:25" ht="12.5">
      <c r="A172" s="173"/>
      <c r="B172" s="156"/>
      <c r="C172" s="156"/>
      <c r="D172" s="24"/>
      <c r="E172" s="24"/>
      <c r="F172" s="24"/>
      <c r="G172" s="24"/>
      <c r="H172" s="24"/>
      <c r="I172" s="174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24"/>
      <c r="Y172" s="156"/>
    </row>
    <row r="173" spans="1:25" ht="12.5">
      <c r="A173" s="173"/>
      <c r="B173" s="156"/>
      <c r="C173" s="156"/>
      <c r="D173" s="24"/>
      <c r="E173" s="24"/>
      <c r="F173" s="24"/>
      <c r="G173" s="24"/>
      <c r="H173" s="24"/>
      <c r="I173" s="174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24"/>
      <c r="Y173" s="156"/>
    </row>
    <row r="174" spans="1:25" ht="12.5">
      <c r="A174" s="173"/>
      <c r="B174" s="156"/>
      <c r="C174" s="156"/>
      <c r="D174" s="24"/>
      <c r="E174" s="24"/>
      <c r="F174" s="24"/>
      <c r="G174" s="24"/>
      <c r="H174" s="24"/>
      <c r="I174" s="174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24"/>
      <c r="Y174" s="156"/>
    </row>
    <row r="175" spans="1:25" ht="12.5">
      <c r="A175" s="173"/>
      <c r="B175" s="156"/>
      <c r="C175" s="156"/>
      <c r="D175" s="24"/>
      <c r="E175" s="24"/>
      <c r="F175" s="24"/>
      <c r="G175" s="24"/>
      <c r="H175" s="24"/>
      <c r="I175" s="174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24"/>
      <c r="Y175" s="156"/>
    </row>
    <row r="176" spans="1:25" ht="12.5">
      <c r="A176" s="173"/>
      <c r="B176" s="156"/>
      <c r="C176" s="156"/>
      <c r="D176" s="24"/>
      <c r="E176" s="24"/>
      <c r="F176" s="24"/>
      <c r="G176" s="24"/>
      <c r="H176" s="24"/>
      <c r="I176" s="174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24"/>
      <c r="Y176" s="156"/>
    </row>
    <row r="177" spans="1:25" ht="12.5">
      <c r="A177" s="173"/>
      <c r="B177" s="156"/>
      <c r="C177" s="156"/>
      <c r="D177" s="24"/>
      <c r="E177" s="24"/>
      <c r="F177" s="24"/>
      <c r="G177" s="24"/>
      <c r="H177" s="24"/>
      <c r="I177" s="174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24"/>
      <c r="Y177" s="156"/>
    </row>
    <row r="178" spans="1:25" ht="12.5">
      <c r="A178" s="173"/>
      <c r="B178" s="156"/>
      <c r="C178" s="156"/>
      <c r="D178" s="24"/>
      <c r="E178" s="24"/>
      <c r="F178" s="24"/>
      <c r="G178" s="24"/>
      <c r="H178" s="24"/>
      <c r="I178" s="174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24"/>
      <c r="Y178" s="156"/>
    </row>
    <row r="179" spans="1:25" ht="12.5">
      <c r="A179" s="173"/>
      <c r="B179" s="156"/>
      <c r="C179" s="156"/>
      <c r="D179" s="24"/>
      <c r="E179" s="24"/>
      <c r="F179" s="24"/>
      <c r="G179" s="24"/>
      <c r="H179" s="24"/>
      <c r="I179" s="174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24"/>
      <c r="Y179" s="156"/>
    </row>
    <row r="180" spans="1:25" ht="12.5">
      <c r="A180" s="173"/>
      <c r="B180" s="156"/>
      <c r="C180" s="156"/>
      <c r="D180" s="24"/>
      <c r="E180" s="24"/>
      <c r="F180" s="24"/>
      <c r="G180" s="24"/>
      <c r="H180" s="24"/>
      <c r="I180" s="174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24"/>
      <c r="Y180" s="156"/>
    </row>
    <row r="181" spans="1:25" ht="12.5">
      <c r="A181" s="173"/>
      <c r="B181" s="156"/>
      <c r="C181" s="156"/>
      <c r="D181" s="24"/>
      <c r="E181" s="24"/>
      <c r="F181" s="24"/>
      <c r="G181" s="24"/>
      <c r="H181" s="24"/>
      <c r="I181" s="174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24"/>
      <c r="Y181" s="156"/>
    </row>
    <row r="182" spans="1:25" ht="12.5">
      <c r="A182" s="173"/>
      <c r="B182" s="156"/>
      <c r="C182" s="156"/>
      <c r="D182" s="24"/>
      <c r="E182" s="24"/>
      <c r="F182" s="24"/>
      <c r="G182" s="24"/>
      <c r="H182" s="24"/>
      <c r="I182" s="174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24"/>
      <c r="Y182" s="156"/>
    </row>
    <row r="183" spans="1:25" ht="12.5">
      <c r="A183" s="173"/>
      <c r="B183" s="156"/>
      <c r="C183" s="156"/>
      <c r="D183" s="24"/>
      <c r="E183" s="24"/>
      <c r="F183" s="24"/>
      <c r="G183" s="24"/>
      <c r="H183" s="24"/>
      <c r="I183" s="174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24"/>
      <c r="Y183" s="156"/>
    </row>
    <row r="184" spans="1:25" ht="12.5">
      <c r="A184" s="173"/>
      <c r="B184" s="156"/>
      <c r="C184" s="156"/>
      <c r="D184" s="24"/>
      <c r="E184" s="24"/>
      <c r="F184" s="24"/>
      <c r="G184" s="24"/>
      <c r="H184" s="24"/>
      <c r="I184" s="174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24"/>
      <c r="Y184" s="156"/>
    </row>
    <row r="185" spans="1:25" ht="12.5">
      <c r="A185" s="173"/>
      <c r="B185" s="156"/>
      <c r="C185" s="156"/>
      <c r="D185" s="24"/>
      <c r="E185" s="24"/>
      <c r="F185" s="24"/>
      <c r="G185" s="24"/>
      <c r="H185" s="24"/>
      <c r="I185" s="174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24"/>
      <c r="Y185" s="156"/>
    </row>
    <row r="186" spans="1:25" ht="12.5">
      <c r="A186" s="173"/>
      <c r="B186" s="156"/>
      <c r="C186" s="156"/>
      <c r="D186" s="24"/>
      <c r="E186" s="24"/>
      <c r="F186" s="24"/>
      <c r="G186" s="24"/>
      <c r="H186" s="24"/>
      <c r="I186" s="174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24"/>
      <c r="Y186" s="156"/>
    </row>
    <row r="187" spans="1:25" ht="12.5">
      <c r="A187" s="173"/>
      <c r="B187" s="156"/>
      <c r="C187" s="156"/>
      <c r="D187" s="24"/>
      <c r="E187" s="24"/>
      <c r="F187" s="24"/>
      <c r="G187" s="24"/>
      <c r="H187" s="24"/>
      <c r="I187" s="174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24"/>
      <c r="Y187" s="156"/>
    </row>
    <row r="188" spans="1:25" ht="12.5">
      <c r="A188" s="173"/>
      <c r="B188" s="156"/>
      <c r="C188" s="156"/>
      <c r="D188" s="24"/>
      <c r="E188" s="24"/>
      <c r="F188" s="24"/>
      <c r="G188" s="24"/>
      <c r="H188" s="24"/>
      <c r="I188" s="174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24"/>
      <c r="Y188" s="156"/>
    </row>
    <row r="189" spans="1:25" ht="12.5">
      <c r="A189" s="173"/>
      <c r="B189" s="156"/>
      <c r="C189" s="156"/>
      <c r="D189" s="24"/>
      <c r="E189" s="24"/>
      <c r="F189" s="24"/>
      <c r="G189" s="24"/>
      <c r="H189" s="24"/>
      <c r="I189" s="174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24"/>
      <c r="Y189" s="156"/>
    </row>
    <row r="190" spans="1:25" ht="12.5">
      <c r="A190" s="173"/>
      <c r="B190" s="156"/>
      <c r="C190" s="156"/>
      <c r="D190" s="24"/>
      <c r="E190" s="24"/>
      <c r="F190" s="24"/>
      <c r="G190" s="24"/>
      <c r="H190" s="24"/>
      <c r="I190" s="174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24"/>
      <c r="Y190" s="156"/>
    </row>
    <row r="191" spans="1:25" ht="12.5">
      <c r="A191" s="173"/>
      <c r="B191" s="156"/>
      <c r="C191" s="156"/>
      <c r="D191" s="24"/>
      <c r="E191" s="24"/>
      <c r="F191" s="24"/>
      <c r="G191" s="24"/>
      <c r="H191" s="24"/>
      <c r="I191" s="174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24"/>
      <c r="Y191" s="156"/>
    </row>
    <row r="192" spans="1:25" ht="12.5">
      <c r="A192" s="173"/>
      <c r="B192" s="156"/>
      <c r="C192" s="156"/>
      <c r="D192" s="24"/>
      <c r="E192" s="24"/>
      <c r="F192" s="24"/>
      <c r="G192" s="24"/>
      <c r="H192" s="24"/>
      <c r="I192" s="174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24"/>
      <c r="Y192" s="156"/>
    </row>
    <row r="193" spans="1:25" ht="12.5">
      <c r="A193" s="173"/>
      <c r="B193" s="156"/>
      <c r="C193" s="156"/>
      <c r="D193" s="24"/>
      <c r="E193" s="24"/>
      <c r="F193" s="24"/>
      <c r="G193" s="24"/>
      <c r="H193" s="24"/>
      <c r="I193" s="174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24"/>
      <c r="Y193" s="156"/>
    </row>
    <row r="194" spans="1:25" ht="12.5">
      <c r="A194" s="173"/>
      <c r="B194" s="156"/>
      <c r="C194" s="156"/>
      <c r="D194" s="24"/>
      <c r="E194" s="24"/>
      <c r="F194" s="24"/>
      <c r="G194" s="24"/>
      <c r="H194" s="24"/>
      <c r="I194" s="174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24"/>
      <c r="Y194" s="156"/>
    </row>
    <row r="195" spans="1:25" ht="12.5">
      <c r="A195" s="173"/>
      <c r="B195" s="156"/>
      <c r="C195" s="156"/>
      <c r="D195" s="24"/>
      <c r="E195" s="24"/>
      <c r="F195" s="24"/>
      <c r="G195" s="24"/>
      <c r="H195" s="24"/>
      <c r="I195" s="174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24"/>
      <c r="Y195" s="156"/>
    </row>
    <row r="196" spans="1:25" ht="12.5">
      <c r="A196" s="173"/>
      <c r="B196" s="156"/>
      <c r="C196" s="156"/>
      <c r="D196" s="24"/>
      <c r="E196" s="24"/>
      <c r="F196" s="24"/>
      <c r="G196" s="24"/>
      <c r="H196" s="24"/>
      <c r="I196" s="174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24"/>
      <c r="Y196" s="156"/>
    </row>
    <row r="197" spans="1:25" ht="12.5">
      <c r="A197" s="173"/>
      <c r="B197" s="156"/>
      <c r="C197" s="156"/>
      <c r="D197" s="24"/>
      <c r="E197" s="24"/>
      <c r="F197" s="24"/>
      <c r="G197" s="24"/>
      <c r="H197" s="24"/>
      <c r="I197" s="174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24"/>
      <c r="Y197" s="156"/>
    </row>
    <row r="198" spans="1:25" ht="12.5">
      <c r="A198" s="173"/>
      <c r="B198" s="156"/>
      <c r="C198" s="156"/>
      <c r="D198" s="24"/>
      <c r="E198" s="24"/>
      <c r="F198" s="24"/>
      <c r="G198" s="24"/>
      <c r="H198" s="24"/>
      <c r="I198" s="174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24"/>
      <c r="Y198" s="156"/>
    </row>
    <row r="199" spans="1:25" ht="12.5">
      <c r="A199" s="173"/>
      <c r="B199" s="156"/>
      <c r="C199" s="156"/>
      <c r="D199" s="24"/>
      <c r="E199" s="24"/>
      <c r="F199" s="24"/>
      <c r="G199" s="24"/>
      <c r="H199" s="24"/>
      <c r="I199" s="174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24"/>
      <c r="Y199" s="156"/>
    </row>
    <row r="200" spans="1:25" ht="12.5">
      <c r="A200" s="173"/>
      <c r="B200" s="156"/>
      <c r="C200" s="156"/>
      <c r="D200" s="24"/>
      <c r="E200" s="24"/>
      <c r="F200" s="24"/>
      <c r="G200" s="24"/>
      <c r="H200" s="24"/>
      <c r="I200" s="174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24"/>
      <c r="Y200" s="156"/>
    </row>
    <row r="201" spans="1:25" ht="12.5">
      <c r="A201" s="173"/>
      <c r="B201" s="156"/>
      <c r="C201" s="156"/>
      <c r="D201" s="24"/>
      <c r="E201" s="24"/>
      <c r="F201" s="24"/>
      <c r="G201" s="24"/>
      <c r="H201" s="24"/>
      <c r="I201" s="174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24"/>
      <c r="Y201" s="156"/>
    </row>
    <row r="202" spans="1:25" ht="12.5">
      <c r="A202" s="173"/>
      <c r="B202" s="156"/>
      <c r="C202" s="156"/>
      <c r="D202" s="24"/>
      <c r="E202" s="24"/>
      <c r="F202" s="24"/>
      <c r="G202" s="24"/>
      <c r="H202" s="24"/>
      <c r="I202" s="174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24"/>
      <c r="Y202" s="156"/>
    </row>
    <row r="203" spans="1:25" ht="12.5">
      <c r="A203" s="173"/>
      <c r="B203" s="156"/>
      <c r="C203" s="156"/>
      <c r="D203" s="24"/>
      <c r="E203" s="24"/>
      <c r="F203" s="24"/>
      <c r="G203" s="24"/>
      <c r="H203" s="24"/>
      <c r="I203" s="174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24"/>
      <c r="Y203" s="156"/>
    </row>
    <row r="204" spans="1:25" ht="12.5">
      <c r="A204" s="173"/>
      <c r="B204" s="156"/>
      <c r="C204" s="156"/>
      <c r="D204" s="24"/>
      <c r="E204" s="24"/>
      <c r="F204" s="24"/>
      <c r="G204" s="24"/>
      <c r="H204" s="24"/>
      <c r="I204" s="174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24"/>
      <c r="Y204" s="156"/>
    </row>
    <row r="205" spans="1:25" ht="12.5">
      <c r="A205" s="173"/>
      <c r="B205" s="156"/>
      <c r="C205" s="156"/>
      <c r="D205" s="24"/>
      <c r="E205" s="24"/>
      <c r="F205" s="24"/>
      <c r="G205" s="24"/>
      <c r="H205" s="24"/>
      <c r="I205" s="174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24"/>
      <c r="Y205" s="156"/>
    </row>
    <row r="206" spans="1:25" ht="12.5">
      <c r="A206" s="173"/>
      <c r="B206" s="156"/>
      <c r="C206" s="156"/>
      <c r="D206" s="24"/>
      <c r="E206" s="24"/>
      <c r="F206" s="24"/>
      <c r="G206" s="24"/>
      <c r="H206" s="24"/>
      <c r="I206" s="174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24"/>
      <c r="Y206" s="156"/>
    </row>
    <row r="207" spans="1:25" ht="12.5">
      <c r="A207" s="173"/>
      <c r="B207" s="156"/>
      <c r="C207" s="156"/>
      <c r="D207" s="24"/>
      <c r="E207" s="24"/>
      <c r="F207" s="24"/>
      <c r="G207" s="24"/>
      <c r="H207" s="24"/>
      <c r="I207" s="174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24"/>
      <c r="Y207" s="156"/>
    </row>
    <row r="208" spans="1:25" ht="12.5">
      <c r="A208" s="173"/>
      <c r="B208" s="156"/>
      <c r="C208" s="156"/>
      <c r="D208" s="24"/>
      <c r="E208" s="24"/>
      <c r="F208" s="24"/>
      <c r="G208" s="24"/>
      <c r="H208" s="24"/>
      <c r="I208" s="174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24"/>
      <c r="Y208" s="156"/>
    </row>
    <row r="209" spans="1:25" ht="12.5">
      <c r="A209" s="173"/>
      <c r="B209" s="156"/>
      <c r="C209" s="156"/>
      <c r="D209" s="24"/>
      <c r="E209" s="24"/>
      <c r="F209" s="24"/>
      <c r="G209" s="24"/>
      <c r="H209" s="24"/>
      <c r="I209" s="174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24"/>
      <c r="Y209" s="156"/>
    </row>
    <row r="210" spans="1:25" ht="12.5">
      <c r="A210" s="173"/>
      <c r="B210" s="156"/>
      <c r="C210" s="156"/>
      <c r="D210" s="24"/>
      <c r="E210" s="24"/>
      <c r="F210" s="24"/>
      <c r="G210" s="24"/>
      <c r="H210" s="24"/>
      <c r="I210" s="174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24"/>
      <c r="Y210" s="156"/>
    </row>
    <row r="211" spans="1:25" ht="12.5">
      <c r="A211" s="173"/>
      <c r="B211" s="156"/>
      <c r="C211" s="156"/>
      <c r="D211" s="24"/>
      <c r="E211" s="24"/>
      <c r="F211" s="24"/>
      <c r="G211" s="24"/>
      <c r="H211" s="24"/>
      <c r="I211" s="174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24"/>
      <c r="Y211" s="156"/>
    </row>
    <row r="212" spans="1:25" ht="12.5">
      <c r="A212" s="173"/>
      <c r="B212" s="156"/>
      <c r="C212" s="156"/>
      <c r="D212" s="24"/>
      <c r="E212" s="24"/>
      <c r="F212" s="24"/>
      <c r="G212" s="24"/>
      <c r="H212" s="24"/>
      <c r="I212" s="174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24"/>
      <c r="Y212" s="156"/>
    </row>
    <row r="213" spans="1:25" ht="12.5">
      <c r="A213" s="173"/>
      <c r="B213" s="156"/>
      <c r="C213" s="156"/>
      <c r="D213" s="24"/>
      <c r="E213" s="24"/>
      <c r="F213" s="24"/>
      <c r="G213" s="24"/>
      <c r="H213" s="24"/>
      <c r="I213" s="174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24"/>
      <c r="Y213" s="156"/>
    </row>
    <row r="214" spans="1:25" ht="12.5">
      <c r="A214" s="173"/>
      <c r="B214" s="156"/>
      <c r="C214" s="156"/>
      <c r="D214" s="24"/>
      <c r="E214" s="24"/>
      <c r="F214" s="24"/>
      <c r="G214" s="24"/>
      <c r="H214" s="24"/>
      <c r="I214" s="174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24"/>
      <c r="Y214" s="156"/>
    </row>
    <row r="215" spans="1:25" ht="12.5">
      <c r="A215" s="173"/>
      <c r="B215" s="156"/>
      <c r="C215" s="156"/>
      <c r="D215" s="24"/>
      <c r="E215" s="24"/>
      <c r="F215" s="24"/>
      <c r="G215" s="24"/>
      <c r="H215" s="24"/>
      <c r="I215" s="174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24"/>
      <c r="Y215" s="156"/>
    </row>
    <row r="216" spans="1:25" ht="12.5">
      <c r="A216" s="173"/>
      <c r="B216" s="156"/>
      <c r="C216" s="156"/>
      <c r="D216" s="24"/>
      <c r="E216" s="24"/>
      <c r="F216" s="24"/>
      <c r="G216" s="24"/>
      <c r="H216" s="24"/>
      <c r="I216" s="174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24"/>
      <c r="Y216" s="156"/>
    </row>
    <row r="217" spans="1:25" ht="12.5">
      <c r="A217" s="173"/>
      <c r="B217" s="156"/>
      <c r="C217" s="156"/>
      <c r="D217" s="24"/>
      <c r="E217" s="24"/>
      <c r="F217" s="24"/>
      <c r="G217" s="24"/>
      <c r="H217" s="24"/>
      <c r="I217" s="174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24"/>
      <c r="Y217" s="156"/>
    </row>
    <row r="218" spans="1:25" ht="12.5">
      <c r="A218" s="173"/>
      <c r="B218" s="156"/>
      <c r="C218" s="156"/>
      <c r="D218" s="24"/>
      <c r="E218" s="24"/>
      <c r="F218" s="24"/>
      <c r="G218" s="24"/>
      <c r="H218" s="24"/>
      <c r="I218" s="174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24"/>
      <c r="Y218" s="156"/>
    </row>
    <row r="219" spans="1:25" ht="12.5">
      <c r="A219" s="173"/>
      <c r="B219" s="156"/>
      <c r="C219" s="156"/>
      <c r="D219" s="24"/>
      <c r="E219" s="24"/>
      <c r="F219" s="24"/>
      <c r="G219" s="24"/>
      <c r="H219" s="24"/>
      <c r="I219" s="174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24"/>
      <c r="Y219" s="156"/>
    </row>
    <row r="220" spans="1:25" ht="12.5">
      <c r="A220" s="173"/>
      <c r="B220" s="156"/>
      <c r="C220" s="156"/>
      <c r="D220" s="24"/>
      <c r="E220" s="24"/>
      <c r="F220" s="24"/>
      <c r="G220" s="24"/>
      <c r="H220" s="24"/>
      <c r="I220" s="174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24"/>
      <c r="Y220" s="156"/>
    </row>
    <row r="221" spans="1:25" ht="12.5">
      <c r="A221" s="173"/>
      <c r="B221" s="156"/>
      <c r="C221" s="156"/>
      <c r="D221" s="24"/>
      <c r="E221" s="24"/>
      <c r="F221" s="24"/>
      <c r="G221" s="24"/>
      <c r="H221" s="24"/>
      <c r="I221" s="174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24"/>
      <c r="Y221" s="156"/>
    </row>
    <row r="222" spans="1:25" ht="12.5">
      <c r="A222" s="173"/>
      <c r="B222" s="156"/>
      <c r="C222" s="156"/>
      <c r="D222" s="24"/>
      <c r="E222" s="24"/>
      <c r="F222" s="24"/>
      <c r="G222" s="24"/>
      <c r="H222" s="24"/>
      <c r="I222" s="174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24"/>
      <c r="Y222" s="156"/>
    </row>
    <row r="223" spans="1:25" ht="12.5">
      <c r="A223" s="173"/>
      <c r="B223" s="156"/>
      <c r="C223" s="156"/>
      <c r="D223" s="24"/>
      <c r="E223" s="24"/>
      <c r="F223" s="24"/>
      <c r="G223" s="24"/>
      <c r="H223" s="24"/>
      <c r="I223" s="174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24"/>
      <c r="Y223" s="156"/>
    </row>
    <row r="224" spans="1:25" ht="12.5">
      <c r="A224" s="173"/>
      <c r="B224" s="156"/>
      <c r="C224" s="156"/>
      <c r="D224" s="24"/>
      <c r="E224" s="24"/>
      <c r="F224" s="24"/>
      <c r="G224" s="24"/>
      <c r="H224" s="24"/>
      <c r="I224" s="174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24"/>
      <c r="Y224" s="156"/>
    </row>
    <row r="225" spans="1:25" ht="12.5">
      <c r="A225" s="173"/>
      <c r="B225" s="156"/>
      <c r="C225" s="156"/>
      <c r="D225" s="24"/>
      <c r="E225" s="24"/>
      <c r="F225" s="24"/>
      <c r="G225" s="24"/>
      <c r="H225" s="24"/>
      <c r="I225" s="174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24"/>
      <c r="Y225" s="156"/>
    </row>
    <row r="226" spans="1:25" ht="12.5">
      <c r="A226" s="173"/>
      <c r="B226" s="156"/>
      <c r="C226" s="156"/>
      <c r="D226" s="24"/>
      <c r="E226" s="24"/>
      <c r="F226" s="24"/>
      <c r="G226" s="24"/>
      <c r="H226" s="24"/>
      <c r="I226" s="174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24"/>
      <c r="Y226" s="156"/>
    </row>
    <row r="227" spans="1:25" ht="12.5">
      <c r="A227" s="173"/>
      <c r="B227" s="156"/>
      <c r="C227" s="156"/>
      <c r="D227" s="24"/>
      <c r="E227" s="24"/>
      <c r="F227" s="24"/>
      <c r="G227" s="24"/>
      <c r="H227" s="24"/>
      <c r="I227" s="174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24"/>
      <c r="Y227" s="156"/>
    </row>
    <row r="228" spans="1:25" ht="12.5">
      <c r="A228" s="173"/>
      <c r="B228" s="156"/>
      <c r="C228" s="156"/>
      <c r="D228" s="24"/>
      <c r="E228" s="24"/>
      <c r="F228" s="24"/>
      <c r="G228" s="24"/>
      <c r="H228" s="24"/>
      <c r="I228" s="174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24"/>
      <c r="Y228" s="156"/>
    </row>
    <row r="229" spans="1:25" ht="12.5">
      <c r="A229" s="173"/>
      <c r="B229" s="156"/>
      <c r="C229" s="156"/>
      <c r="D229" s="24"/>
      <c r="E229" s="24"/>
      <c r="F229" s="24"/>
      <c r="G229" s="24"/>
      <c r="H229" s="24"/>
      <c r="I229" s="174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24"/>
      <c r="Y229" s="156"/>
    </row>
    <row r="230" spans="1:25" ht="12.5">
      <c r="A230" s="173"/>
      <c r="B230" s="156"/>
      <c r="C230" s="156"/>
      <c r="D230" s="24"/>
      <c r="E230" s="24"/>
      <c r="F230" s="24"/>
      <c r="G230" s="24"/>
      <c r="H230" s="24"/>
      <c r="I230" s="174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24"/>
      <c r="Y230" s="156"/>
    </row>
    <row r="231" spans="1:25" ht="12.5">
      <c r="A231" s="173"/>
      <c r="B231" s="156"/>
      <c r="C231" s="156"/>
      <c r="D231" s="24"/>
      <c r="E231" s="24"/>
      <c r="F231" s="24"/>
      <c r="G231" s="24"/>
      <c r="H231" s="24"/>
      <c r="I231" s="174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24"/>
      <c r="Y231" s="156"/>
    </row>
    <row r="232" spans="1:25" ht="12.5">
      <c r="A232" s="173"/>
      <c r="B232" s="156"/>
      <c r="C232" s="156"/>
      <c r="D232" s="24"/>
      <c r="E232" s="24"/>
      <c r="F232" s="24"/>
      <c r="G232" s="24"/>
      <c r="H232" s="24"/>
      <c r="I232" s="174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24"/>
      <c r="Y232" s="156"/>
    </row>
    <row r="233" spans="1:25" ht="12.5">
      <c r="A233" s="173"/>
      <c r="B233" s="156"/>
      <c r="C233" s="156"/>
      <c r="D233" s="24"/>
      <c r="E233" s="24"/>
      <c r="F233" s="24"/>
      <c r="G233" s="24"/>
      <c r="H233" s="24"/>
      <c r="I233" s="174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24"/>
      <c r="Y233" s="156"/>
    </row>
    <row r="234" spans="1:25" ht="12.5">
      <c r="A234" s="173"/>
      <c r="B234" s="156"/>
      <c r="C234" s="156"/>
      <c r="D234" s="24"/>
      <c r="E234" s="24"/>
      <c r="F234" s="24"/>
      <c r="G234" s="24"/>
      <c r="H234" s="24"/>
      <c r="I234" s="174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24"/>
      <c r="Y234" s="156"/>
    </row>
    <row r="235" spans="1:25" ht="12.5">
      <c r="A235" s="173"/>
      <c r="B235" s="156"/>
      <c r="C235" s="156"/>
      <c r="D235" s="24"/>
      <c r="E235" s="24"/>
      <c r="F235" s="24"/>
      <c r="G235" s="24"/>
      <c r="H235" s="24"/>
      <c r="I235" s="174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24"/>
      <c r="Y235" s="156"/>
    </row>
    <row r="236" spans="1:25" ht="12.5">
      <c r="A236" s="173"/>
      <c r="B236" s="156"/>
      <c r="C236" s="156"/>
      <c r="D236" s="24"/>
      <c r="E236" s="24"/>
      <c r="F236" s="24"/>
      <c r="G236" s="24"/>
      <c r="H236" s="24"/>
      <c r="I236" s="174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24"/>
      <c r="Y236" s="156"/>
    </row>
    <row r="237" spans="1:25" ht="12.5">
      <c r="A237" s="173"/>
      <c r="B237" s="156"/>
      <c r="C237" s="156"/>
      <c r="D237" s="24"/>
      <c r="E237" s="24"/>
      <c r="F237" s="24"/>
      <c r="G237" s="24"/>
      <c r="H237" s="24"/>
      <c r="I237" s="174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24"/>
      <c r="Y237" s="156"/>
    </row>
    <row r="238" spans="1:25" ht="12.5">
      <c r="A238" s="173"/>
      <c r="B238" s="156"/>
      <c r="C238" s="156"/>
      <c r="D238" s="24"/>
      <c r="E238" s="24"/>
      <c r="F238" s="24"/>
      <c r="G238" s="24"/>
      <c r="H238" s="24"/>
      <c r="I238" s="174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24"/>
      <c r="Y238" s="156"/>
    </row>
    <row r="239" spans="1:25" ht="12.5">
      <c r="A239" s="173"/>
      <c r="B239" s="156"/>
      <c r="C239" s="156"/>
      <c r="D239" s="24"/>
      <c r="E239" s="24"/>
      <c r="F239" s="24"/>
      <c r="G239" s="24"/>
      <c r="H239" s="24"/>
      <c r="I239" s="174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24"/>
      <c r="Y239" s="156"/>
    </row>
    <row r="240" spans="1:25" ht="12.5">
      <c r="A240" s="173"/>
      <c r="B240" s="156"/>
      <c r="C240" s="156"/>
      <c r="D240" s="24"/>
      <c r="E240" s="24"/>
      <c r="F240" s="24"/>
      <c r="G240" s="24"/>
      <c r="H240" s="24"/>
      <c r="I240" s="174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24"/>
      <c r="Y240" s="156"/>
    </row>
    <row r="241" spans="1:25" ht="12.5">
      <c r="A241" s="173"/>
      <c r="B241" s="156"/>
      <c r="C241" s="156"/>
      <c r="D241" s="24"/>
      <c r="E241" s="24"/>
      <c r="F241" s="24"/>
      <c r="G241" s="24"/>
      <c r="H241" s="24"/>
      <c r="I241" s="174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24"/>
      <c r="Y241" s="156"/>
    </row>
    <row r="242" spans="1:25" ht="12.5">
      <c r="A242" s="173"/>
      <c r="B242" s="156"/>
      <c r="C242" s="156"/>
      <c r="D242" s="24"/>
      <c r="E242" s="24"/>
      <c r="F242" s="24"/>
      <c r="G242" s="24"/>
      <c r="H242" s="24"/>
      <c r="I242" s="174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24"/>
      <c r="Y242" s="156"/>
    </row>
    <row r="243" spans="1:25" ht="12.5">
      <c r="A243" s="173"/>
      <c r="B243" s="156"/>
      <c r="C243" s="156"/>
      <c r="D243" s="24"/>
      <c r="E243" s="24"/>
      <c r="F243" s="24"/>
      <c r="G243" s="24"/>
      <c r="H243" s="24"/>
      <c r="I243" s="174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24"/>
      <c r="Y243" s="156"/>
    </row>
    <row r="244" spans="1:25" ht="12.5">
      <c r="A244" s="173"/>
      <c r="B244" s="156"/>
      <c r="C244" s="156"/>
      <c r="D244" s="24"/>
      <c r="E244" s="24"/>
      <c r="F244" s="24"/>
      <c r="G244" s="24"/>
      <c r="H244" s="24"/>
      <c r="I244" s="174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24"/>
      <c r="Y244" s="156"/>
    </row>
    <row r="245" spans="1:25" ht="12.5">
      <c r="A245" s="173"/>
      <c r="B245" s="156"/>
      <c r="C245" s="156"/>
      <c r="D245" s="24"/>
      <c r="E245" s="24"/>
      <c r="F245" s="24"/>
      <c r="G245" s="24"/>
      <c r="H245" s="24"/>
      <c r="I245" s="174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24"/>
      <c r="Y245" s="156"/>
    </row>
    <row r="246" spans="1:25" ht="12.5">
      <c r="A246" s="173"/>
      <c r="B246" s="156"/>
      <c r="C246" s="156"/>
      <c r="D246" s="24"/>
      <c r="E246" s="24"/>
      <c r="F246" s="24"/>
      <c r="G246" s="24"/>
      <c r="H246" s="24"/>
      <c r="I246" s="174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24"/>
      <c r="Y246" s="156"/>
    </row>
    <row r="247" spans="1:25" ht="12.5">
      <c r="A247" s="173"/>
      <c r="B247" s="156"/>
      <c r="C247" s="156"/>
      <c r="D247" s="24"/>
      <c r="E247" s="24"/>
      <c r="F247" s="24"/>
      <c r="G247" s="24"/>
      <c r="H247" s="24"/>
      <c r="I247" s="174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24"/>
      <c r="Y247" s="156"/>
    </row>
    <row r="248" spans="1:25" ht="12.5">
      <c r="A248" s="173"/>
      <c r="B248" s="156"/>
      <c r="C248" s="156"/>
      <c r="D248" s="24"/>
      <c r="E248" s="24"/>
      <c r="F248" s="24"/>
      <c r="G248" s="24"/>
      <c r="H248" s="24"/>
      <c r="I248" s="174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24"/>
      <c r="Y248" s="156"/>
    </row>
    <row r="249" spans="1:25" ht="12.5">
      <c r="A249" s="173"/>
      <c r="B249" s="156"/>
      <c r="C249" s="156"/>
      <c r="D249" s="24"/>
      <c r="E249" s="24"/>
      <c r="F249" s="24"/>
      <c r="G249" s="24"/>
      <c r="H249" s="24"/>
      <c r="I249" s="174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24"/>
      <c r="Y249" s="156"/>
    </row>
    <row r="250" spans="1:25" ht="12.5">
      <c r="A250" s="173"/>
      <c r="B250" s="156"/>
      <c r="C250" s="156"/>
      <c r="D250" s="24"/>
      <c r="E250" s="24"/>
      <c r="F250" s="24"/>
      <c r="G250" s="24"/>
      <c r="H250" s="24"/>
      <c r="I250" s="174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24"/>
      <c r="Y250" s="156"/>
    </row>
    <row r="251" spans="1:25" ht="12.5">
      <c r="A251" s="173"/>
      <c r="B251" s="156"/>
      <c r="C251" s="156"/>
      <c r="D251" s="24"/>
      <c r="E251" s="24"/>
      <c r="F251" s="24"/>
      <c r="G251" s="24"/>
      <c r="H251" s="24"/>
      <c r="I251" s="174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24"/>
      <c r="Y251" s="156"/>
    </row>
    <row r="252" spans="1:25" ht="12.5">
      <c r="A252" s="173"/>
      <c r="B252" s="156"/>
      <c r="C252" s="156"/>
      <c r="D252" s="24"/>
      <c r="E252" s="24"/>
      <c r="F252" s="24"/>
      <c r="G252" s="24"/>
      <c r="H252" s="24"/>
      <c r="I252" s="174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24"/>
      <c r="Y252" s="156"/>
    </row>
    <row r="253" spans="1:25" ht="12.5">
      <c r="A253" s="173"/>
      <c r="B253" s="156"/>
      <c r="C253" s="156"/>
      <c r="D253" s="24"/>
      <c r="E253" s="24"/>
      <c r="F253" s="24"/>
      <c r="G253" s="24"/>
      <c r="H253" s="24"/>
      <c r="I253" s="174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24"/>
      <c r="Y253" s="156"/>
    </row>
    <row r="254" spans="1:25" ht="12.5">
      <c r="A254" s="173"/>
      <c r="B254" s="156"/>
      <c r="C254" s="156"/>
      <c r="D254" s="24"/>
      <c r="E254" s="24"/>
      <c r="F254" s="24"/>
      <c r="G254" s="24"/>
      <c r="H254" s="24"/>
      <c r="I254" s="174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24"/>
      <c r="Y254" s="156"/>
    </row>
    <row r="255" spans="1:25" ht="12.5">
      <c r="A255" s="173"/>
      <c r="B255" s="156"/>
      <c r="C255" s="156"/>
      <c r="D255" s="24"/>
      <c r="E255" s="24"/>
      <c r="F255" s="24"/>
      <c r="G255" s="24"/>
      <c r="H255" s="24"/>
      <c r="I255" s="174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24"/>
      <c r="Y255" s="156"/>
    </row>
    <row r="256" spans="1:25" ht="12.5">
      <c r="A256" s="173"/>
      <c r="B256" s="156"/>
      <c r="C256" s="156"/>
      <c r="D256" s="24"/>
      <c r="E256" s="24"/>
      <c r="F256" s="24"/>
      <c r="G256" s="24"/>
      <c r="H256" s="24"/>
      <c r="I256" s="174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24"/>
      <c r="Y256" s="156"/>
    </row>
    <row r="257" spans="1:25" ht="12.5">
      <c r="A257" s="173"/>
      <c r="B257" s="156"/>
      <c r="C257" s="156"/>
      <c r="D257" s="24"/>
      <c r="E257" s="24"/>
      <c r="F257" s="24"/>
      <c r="G257" s="24"/>
      <c r="H257" s="24"/>
      <c r="I257" s="174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24"/>
      <c r="Y257" s="156"/>
    </row>
    <row r="258" spans="1:25" ht="12.5">
      <c r="A258" s="173"/>
      <c r="B258" s="156"/>
      <c r="C258" s="156"/>
      <c r="D258" s="24"/>
      <c r="E258" s="24"/>
      <c r="F258" s="24"/>
      <c r="G258" s="24"/>
      <c r="H258" s="24"/>
      <c r="I258" s="174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24"/>
      <c r="Y258" s="156"/>
    </row>
    <row r="259" spans="1:25" ht="12.5">
      <c r="A259" s="173"/>
      <c r="B259" s="156"/>
      <c r="C259" s="156"/>
      <c r="D259" s="24"/>
      <c r="E259" s="24"/>
      <c r="F259" s="24"/>
      <c r="G259" s="24"/>
      <c r="H259" s="24"/>
      <c r="I259" s="174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24"/>
      <c r="Y259" s="156"/>
    </row>
    <row r="260" spans="1:25" ht="12.5">
      <c r="A260" s="173"/>
      <c r="B260" s="156"/>
      <c r="C260" s="156"/>
      <c r="D260" s="24"/>
      <c r="E260" s="24"/>
      <c r="F260" s="24"/>
      <c r="G260" s="24"/>
      <c r="H260" s="24"/>
      <c r="I260" s="174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24"/>
      <c r="Y260" s="156"/>
    </row>
    <row r="261" spans="1:25" ht="12.5">
      <c r="A261" s="173"/>
      <c r="B261" s="156"/>
      <c r="C261" s="156"/>
      <c r="D261" s="24"/>
      <c r="E261" s="24"/>
      <c r="F261" s="24"/>
      <c r="G261" s="24"/>
      <c r="H261" s="24"/>
      <c r="I261" s="174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24"/>
      <c r="Y261" s="156"/>
    </row>
    <row r="262" spans="1:25" ht="12.5">
      <c r="A262" s="173"/>
      <c r="B262" s="156"/>
      <c r="C262" s="156"/>
      <c r="D262" s="24"/>
      <c r="E262" s="24"/>
      <c r="F262" s="24"/>
      <c r="G262" s="24"/>
      <c r="H262" s="24"/>
      <c r="I262" s="174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24"/>
      <c r="Y262" s="156"/>
    </row>
    <row r="263" spans="1:25" ht="12.5">
      <c r="A263" s="173"/>
      <c r="B263" s="156"/>
      <c r="C263" s="156"/>
      <c r="D263" s="24"/>
      <c r="E263" s="24"/>
      <c r="F263" s="24"/>
      <c r="G263" s="24"/>
      <c r="H263" s="24"/>
      <c r="I263" s="174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24"/>
      <c r="Y263" s="156"/>
    </row>
    <row r="264" spans="1:25" ht="12.5">
      <c r="A264" s="173"/>
      <c r="B264" s="156"/>
      <c r="C264" s="156"/>
      <c r="D264" s="24"/>
      <c r="E264" s="24"/>
      <c r="F264" s="24"/>
      <c r="G264" s="24"/>
      <c r="H264" s="24"/>
      <c r="I264" s="174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24"/>
      <c r="Y264" s="156"/>
    </row>
    <row r="265" spans="1:25" ht="12.5">
      <c r="A265" s="173"/>
      <c r="B265" s="156"/>
      <c r="C265" s="156"/>
      <c r="D265" s="24"/>
      <c r="E265" s="24"/>
      <c r="F265" s="24"/>
      <c r="G265" s="24"/>
      <c r="H265" s="24"/>
      <c r="I265" s="174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24"/>
      <c r="Y265" s="156"/>
    </row>
    <row r="266" spans="1:25" ht="12.5">
      <c r="A266" s="173"/>
      <c r="B266" s="156"/>
      <c r="C266" s="156"/>
      <c r="D266" s="24"/>
      <c r="E266" s="24"/>
      <c r="F266" s="24"/>
      <c r="G266" s="24"/>
      <c r="H266" s="24"/>
      <c r="I266" s="174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24"/>
      <c r="Y266" s="156"/>
    </row>
    <row r="267" spans="1:25" ht="12.5">
      <c r="A267" s="173"/>
      <c r="B267" s="156"/>
      <c r="C267" s="156"/>
      <c r="D267" s="24"/>
      <c r="E267" s="24"/>
      <c r="F267" s="24"/>
      <c r="G267" s="24"/>
      <c r="H267" s="24"/>
      <c r="I267" s="174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24"/>
      <c r="Y267" s="156"/>
    </row>
    <row r="268" spans="1:25" ht="12.5">
      <c r="A268" s="173"/>
      <c r="B268" s="156"/>
      <c r="C268" s="156"/>
      <c r="D268" s="24"/>
      <c r="E268" s="24"/>
      <c r="F268" s="24"/>
      <c r="G268" s="24"/>
      <c r="H268" s="24"/>
      <c r="I268" s="174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24"/>
      <c r="Y268" s="156"/>
    </row>
    <row r="269" spans="1:25" ht="12.5">
      <c r="A269" s="173"/>
      <c r="B269" s="156"/>
      <c r="C269" s="156"/>
      <c r="D269" s="24"/>
      <c r="E269" s="24"/>
      <c r="F269" s="24"/>
      <c r="G269" s="24"/>
      <c r="H269" s="24"/>
      <c r="I269" s="174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24"/>
      <c r="Y269" s="156"/>
    </row>
    <row r="270" spans="1:25" ht="12.5">
      <c r="A270" s="173"/>
      <c r="B270" s="156"/>
      <c r="C270" s="156"/>
      <c r="D270" s="24"/>
      <c r="E270" s="24"/>
      <c r="F270" s="24"/>
      <c r="G270" s="24"/>
      <c r="H270" s="24"/>
      <c r="I270" s="174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24"/>
      <c r="Y270" s="156"/>
    </row>
    <row r="271" spans="1:25" ht="12.5">
      <c r="A271" s="173"/>
      <c r="B271" s="156"/>
      <c r="C271" s="156"/>
      <c r="D271" s="24"/>
      <c r="E271" s="24"/>
      <c r="F271" s="24"/>
      <c r="G271" s="24"/>
      <c r="H271" s="24"/>
      <c r="I271" s="174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24"/>
      <c r="Y271" s="156"/>
    </row>
    <row r="272" spans="1:25" ht="12.5">
      <c r="A272" s="173"/>
      <c r="B272" s="156"/>
      <c r="C272" s="156"/>
      <c r="D272" s="24"/>
      <c r="E272" s="24"/>
      <c r="F272" s="24"/>
      <c r="G272" s="24"/>
      <c r="H272" s="24"/>
      <c r="I272" s="174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24"/>
      <c r="Y272" s="156"/>
    </row>
    <row r="273" spans="1:25" ht="12.5">
      <c r="A273" s="173"/>
      <c r="B273" s="156"/>
      <c r="C273" s="156"/>
      <c r="D273" s="24"/>
      <c r="E273" s="24"/>
      <c r="F273" s="24"/>
      <c r="G273" s="24"/>
      <c r="H273" s="24"/>
      <c r="I273" s="174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24"/>
      <c r="Y273" s="156"/>
    </row>
    <row r="274" spans="1:25" ht="12.5">
      <c r="A274" s="173"/>
      <c r="B274" s="156"/>
      <c r="C274" s="156"/>
      <c r="D274" s="24"/>
      <c r="E274" s="24"/>
      <c r="F274" s="24"/>
      <c r="G274" s="24"/>
      <c r="H274" s="24"/>
      <c r="I274" s="174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24"/>
      <c r="Y274" s="156"/>
    </row>
    <row r="275" spans="1:25" ht="12.5">
      <c r="A275" s="173"/>
      <c r="B275" s="156"/>
      <c r="C275" s="156"/>
      <c r="D275" s="24"/>
      <c r="E275" s="24"/>
      <c r="F275" s="24"/>
      <c r="G275" s="24"/>
      <c r="H275" s="24"/>
      <c r="I275" s="174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24"/>
      <c r="Y275" s="156"/>
    </row>
    <row r="276" spans="1:25" ht="12.5">
      <c r="A276" s="173"/>
      <c r="B276" s="156"/>
      <c r="C276" s="156"/>
      <c r="D276" s="24"/>
      <c r="E276" s="24"/>
      <c r="F276" s="24"/>
      <c r="G276" s="24"/>
      <c r="H276" s="24"/>
      <c r="I276" s="174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24"/>
      <c r="Y276" s="156"/>
    </row>
    <row r="277" spans="1:25" ht="12.5">
      <c r="A277" s="173"/>
      <c r="B277" s="156"/>
      <c r="C277" s="156"/>
      <c r="D277" s="24"/>
      <c r="E277" s="24"/>
      <c r="F277" s="24"/>
      <c r="G277" s="24"/>
      <c r="H277" s="24"/>
      <c r="I277" s="174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24"/>
      <c r="Y277" s="156"/>
    </row>
    <row r="278" spans="1:25" ht="12.5">
      <c r="A278" s="173"/>
      <c r="B278" s="156"/>
      <c r="C278" s="156"/>
      <c r="D278" s="24"/>
      <c r="E278" s="24"/>
      <c r="F278" s="24"/>
      <c r="G278" s="24"/>
      <c r="H278" s="24"/>
      <c r="I278" s="174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24"/>
      <c r="Y278" s="156"/>
    </row>
    <row r="279" spans="1:25" ht="12.5">
      <c r="A279" s="173"/>
      <c r="B279" s="156"/>
      <c r="C279" s="156"/>
      <c r="D279" s="24"/>
      <c r="E279" s="24"/>
      <c r="F279" s="24"/>
      <c r="G279" s="24"/>
      <c r="H279" s="24"/>
      <c r="I279" s="174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24"/>
      <c r="Y279" s="156"/>
    </row>
    <row r="280" spans="1:25" ht="12.5">
      <c r="A280" s="173"/>
      <c r="B280" s="156"/>
      <c r="C280" s="156"/>
      <c r="D280" s="24"/>
      <c r="E280" s="24"/>
      <c r="F280" s="24"/>
      <c r="G280" s="24"/>
      <c r="H280" s="24"/>
      <c r="I280" s="174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24"/>
      <c r="Y280" s="156"/>
    </row>
    <row r="281" spans="1:25" ht="12.5">
      <c r="A281" s="173"/>
      <c r="B281" s="156"/>
      <c r="C281" s="156"/>
      <c r="D281" s="24"/>
      <c r="E281" s="24"/>
      <c r="F281" s="24"/>
      <c r="G281" s="24"/>
      <c r="H281" s="24"/>
      <c r="I281" s="174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24"/>
      <c r="Y281" s="156"/>
    </row>
    <row r="282" spans="1:25" ht="12.5">
      <c r="A282" s="173"/>
      <c r="B282" s="156"/>
      <c r="C282" s="156"/>
      <c r="D282" s="24"/>
      <c r="E282" s="24"/>
      <c r="F282" s="24"/>
      <c r="G282" s="24"/>
      <c r="H282" s="24"/>
      <c r="I282" s="174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24"/>
      <c r="Y282" s="156"/>
    </row>
    <row r="283" spans="1:25" ht="12.5">
      <c r="A283" s="173"/>
      <c r="B283" s="156"/>
      <c r="C283" s="156"/>
      <c r="D283" s="24"/>
      <c r="E283" s="24"/>
      <c r="F283" s="24"/>
      <c r="G283" s="24"/>
      <c r="H283" s="24"/>
      <c r="I283" s="174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24"/>
      <c r="Y283" s="156"/>
    </row>
    <row r="284" spans="1:25" ht="12.5">
      <c r="A284" s="173"/>
      <c r="B284" s="156"/>
      <c r="C284" s="156"/>
      <c r="D284" s="24"/>
      <c r="E284" s="24"/>
      <c r="F284" s="24"/>
      <c r="G284" s="24"/>
      <c r="H284" s="24"/>
      <c r="I284" s="174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24"/>
      <c r="Y284" s="156"/>
    </row>
    <row r="285" spans="1:25" ht="12.5">
      <c r="A285" s="173"/>
      <c r="B285" s="156"/>
      <c r="C285" s="156"/>
      <c r="D285" s="24"/>
      <c r="E285" s="24"/>
      <c r="F285" s="24"/>
      <c r="G285" s="24"/>
      <c r="H285" s="24"/>
      <c r="I285" s="174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24"/>
      <c r="Y285" s="156"/>
    </row>
    <row r="286" spans="1:25" ht="12.5">
      <c r="A286" s="173"/>
      <c r="B286" s="156"/>
      <c r="C286" s="156"/>
      <c r="D286" s="24"/>
      <c r="E286" s="24"/>
      <c r="F286" s="24"/>
      <c r="G286" s="24"/>
      <c r="H286" s="24"/>
      <c r="I286" s="174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24"/>
      <c r="Y286" s="156"/>
    </row>
    <row r="287" spans="1:25" ht="12.5">
      <c r="A287" s="173"/>
      <c r="B287" s="156"/>
      <c r="C287" s="156"/>
      <c r="D287" s="24"/>
      <c r="E287" s="24"/>
      <c r="F287" s="24"/>
      <c r="G287" s="24"/>
      <c r="H287" s="24"/>
      <c r="I287" s="174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24"/>
      <c r="Y287" s="156"/>
    </row>
    <row r="288" spans="1:25" ht="12.5">
      <c r="A288" s="173"/>
      <c r="B288" s="156"/>
      <c r="C288" s="156"/>
      <c r="D288" s="24"/>
      <c r="E288" s="24"/>
      <c r="F288" s="24"/>
      <c r="G288" s="24"/>
      <c r="H288" s="24"/>
      <c r="I288" s="174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24"/>
      <c r="Y288" s="156"/>
    </row>
    <row r="289" spans="1:25" ht="12.5">
      <c r="A289" s="173"/>
      <c r="B289" s="156"/>
      <c r="C289" s="156"/>
      <c r="D289" s="24"/>
      <c r="E289" s="24"/>
      <c r="F289" s="24"/>
      <c r="G289" s="24"/>
      <c r="H289" s="24"/>
      <c r="I289" s="174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24"/>
      <c r="Y289" s="156"/>
    </row>
    <row r="290" spans="1:25" ht="12.5">
      <c r="A290" s="173"/>
      <c r="B290" s="156"/>
      <c r="C290" s="156"/>
      <c r="D290" s="24"/>
      <c r="E290" s="24"/>
      <c r="F290" s="24"/>
      <c r="G290" s="24"/>
      <c r="H290" s="24"/>
      <c r="I290" s="174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24"/>
      <c r="Y290" s="156"/>
    </row>
    <row r="291" spans="1:25" ht="12.5">
      <c r="A291" s="173"/>
      <c r="B291" s="156"/>
      <c r="C291" s="156"/>
      <c r="D291" s="24"/>
      <c r="E291" s="24"/>
      <c r="F291" s="24"/>
      <c r="G291" s="24"/>
      <c r="H291" s="24"/>
      <c r="I291" s="174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24"/>
      <c r="Y291" s="156"/>
    </row>
    <row r="292" spans="1:25" ht="12.5">
      <c r="A292" s="173"/>
      <c r="B292" s="156"/>
      <c r="C292" s="156"/>
      <c r="D292" s="24"/>
      <c r="E292" s="24"/>
      <c r="F292" s="24"/>
      <c r="G292" s="24"/>
      <c r="H292" s="24"/>
      <c r="I292" s="174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24"/>
      <c r="Y292" s="156"/>
    </row>
    <row r="293" spans="1:25" ht="12.5">
      <c r="A293" s="173"/>
      <c r="B293" s="156"/>
      <c r="C293" s="156"/>
      <c r="D293" s="24"/>
      <c r="E293" s="24"/>
      <c r="F293" s="24"/>
      <c r="G293" s="24"/>
      <c r="H293" s="24"/>
      <c r="I293" s="174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24"/>
      <c r="Y293" s="156"/>
    </row>
    <row r="294" spans="1:25" ht="12.5">
      <c r="A294" s="173"/>
      <c r="B294" s="156"/>
      <c r="C294" s="156"/>
      <c r="D294" s="24"/>
      <c r="E294" s="24"/>
      <c r="F294" s="24"/>
      <c r="G294" s="24"/>
      <c r="H294" s="24"/>
      <c r="I294" s="174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24"/>
      <c r="Y294" s="156"/>
    </row>
    <row r="295" spans="1:25" ht="12.5">
      <c r="A295" s="173"/>
      <c r="B295" s="156"/>
      <c r="C295" s="156"/>
      <c r="D295" s="24"/>
      <c r="E295" s="24"/>
      <c r="F295" s="24"/>
      <c r="G295" s="24"/>
      <c r="H295" s="24"/>
      <c r="I295" s="174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24"/>
      <c r="Y295" s="156"/>
    </row>
    <row r="296" spans="1:25" ht="12.5">
      <c r="A296" s="173"/>
      <c r="B296" s="156"/>
      <c r="C296" s="156"/>
      <c r="D296" s="24"/>
      <c r="E296" s="24"/>
      <c r="F296" s="24"/>
      <c r="G296" s="24"/>
      <c r="H296" s="24"/>
      <c r="I296" s="174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24"/>
      <c r="Y296" s="156"/>
    </row>
    <row r="297" spans="1:25" ht="12.5">
      <c r="A297" s="173"/>
      <c r="B297" s="156"/>
      <c r="C297" s="156"/>
      <c r="D297" s="24"/>
      <c r="E297" s="24"/>
      <c r="F297" s="24"/>
      <c r="G297" s="24"/>
      <c r="H297" s="24"/>
      <c r="I297" s="174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24"/>
      <c r="Y297" s="156"/>
    </row>
    <row r="298" spans="1:25" ht="12.5">
      <c r="A298" s="173"/>
      <c r="B298" s="156"/>
      <c r="C298" s="156"/>
      <c r="D298" s="24"/>
      <c r="E298" s="24"/>
      <c r="F298" s="24"/>
      <c r="G298" s="24"/>
      <c r="H298" s="24"/>
      <c r="I298" s="174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24"/>
      <c r="Y298" s="156"/>
    </row>
    <row r="299" spans="1:25" ht="12.5">
      <c r="A299" s="173"/>
      <c r="B299" s="156"/>
      <c r="C299" s="156"/>
      <c r="D299" s="24"/>
      <c r="E299" s="24"/>
      <c r="F299" s="24"/>
      <c r="G299" s="24"/>
      <c r="H299" s="24"/>
      <c r="I299" s="174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24"/>
      <c r="Y299" s="156"/>
    </row>
    <row r="300" spans="1:25" ht="12.5">
      <c r="A300" s="173"/>
      <c r="B300" s="156"/>
      <c r="C300" s="156"/>
      <c r="D300" s="24"/>
      <c r="E300" s="24"/>
      <c r="F300" s="24"/>
      <c r="G300" s="24"/>
      <c r="H300" s="24"/>
      <c r="I300" s="174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24"/>
      <c r="Y300" s="156"/>
    </row>
    <row r="301" spans="1:25" ht="12.5">
      <c r="A301" s="173"/>
      <c r="B301" s="156"/>
      <c r="C301" s="156"/>
      <c r="D301" s="24"/>
      <c r="E301" s="24"/>
      <c r="F301" s="24"/>
      <c r="G301" s="24"/>
      <c r="H301" s="24"/>
      <c r="I301" s="174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24"/>
      <c r="Y301" s="156"/>
    </row>
    <row r="302" spans="1:25" ht="12.5">
      <c r="A302" s="173"/>
      <c r="B302" s="156"/>
      <c r="C302" s="156"/>
      <c r="D302" s="24"/>
      <c r="E302" s="24"/>
      <c r="F302" s="24"/>
      <c r="G302" s="24"/>
      <c r="H302" s="24"/>
      <c r="I302" s="174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24"/>
      <c r="Y302" s="156"/>
    </row>
    <row r="303" spans="1:25" ht="12.5">
      <c r="A303" s="173"/>
      <c r="B303" s="156"/>
      <c r="C303" s="156"/>
      <c r="D303" s="24"/>
      <c r="E303" s="24"/>
      <c r="F303" s="24"/>
      <c r="G303" s="24"/>
      <c r="H303" s="24"/>
      <c r="I303" s="174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24"/>
      <c r="Y303" s="156"/>
    </row>
    <row r="304" spans="1:25" ht="12.5">
      <c r="A304" s="173"/>
      <c r="B304" s="156"/>
      <c r="C304" s="156"/>
      <c r="D304" s="24"/>
      <c r="E304" s="24"/>
      <c r="F304" s="24"/>
      <c r="G304" s="24"/>
      <c r="H304" s="24"/>
      <c r="I304" s="174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24"/>
      <c r="Y304" s="156"/>
    </row>
    <row r="305" spans="1:25" ht="12.5">
      <c r="A305" s="173"/>
      <c r="B305" s="156"/>
      <c r="C305" s="156"/>
      <c r="D305" s="24"/>
      <c r="E305" s="24"/>
      <c r="F305" s="24"/>
      <c r="G305" s="24"/>
      <c r="H305" s="24"/>
      <c r="I305" s="174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24"/>
      <c r="Y305" s="156"/>
    </row>
    <row r="306" spans="1:25" ht="12.5">
      <c r="A306" s="173"/>
      <c r="B306" s="156"/>
      <c r="C306" s="156"/>
      <c r="D306" s="24"/>
      <c r="E306" s="24"/>
      <c r="F306" s="24"/>
      <c r="G306" s="24"/>
      <c r="H306" s="24"/>
      <c r="I306" s="174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24"/>
      <c r="Y306" s="156"/>
    </row>
    <row r="307" spans="1:25" ht="12.5">
      <c r="A307" s="173"/>
      <c r="B307" s="156"/>
      <c r="C307" s="156"/>
      <c r="D307" s="24"/>
      <c r="E307" s="24"/>
      <c r="F307" s="24"/>
      <c r="G307" s="24"/>
      <c r="H307" s="24"/>
      <c r="I307" s="174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24"/>
      <c r="Y307" s="156"/>
    </row>
    <row r="308" spans="1:25" ht="12.5">
      <c r="A308" s="173"/>
      <c r="B308" s="156"/>
      <c r="C308" s="156"/>
      <c r="D308" s="24"/>
      <c r="E308" s="24"/>
      <c r="F308" s="24"/>
      <c r="G308" s="24"/>
      <c r="H308" s="24"/>
      <c r="I308" s="174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24"/>
      <c r="Y308" s="156"/>
    </row>
    <row r="309" spans="1:25" ht="12.5">
      <c r="A309" s="173"/>
      <c r="B309" s="156"/>
      <c r="C309" s="156"/>
      <c r="D309" s="24"/>
      <c r="E309" s="24"/>
      <c r="F309" s="24"/>
      <c r="G309" s="24"/>
      <c r="H309" s="24"/>
      <c r="I309" s="174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24"/>
      <c r="Y309" s="156"/>
    </row>
    <row r="310" spans="1:25" ht="12.5">
      <c r="A310" s="173"/>
      <c r="B310" s="156"/>
      <c r="C310" s="156"/>
      <c r="D310" s="24"/>
      <c r="E310" s="24"/>
      <c r="F310" s="24"/>
      <c r="G310" s="24"/>
      <c r="H310" s="24"/>
      <c r="I310" s="174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24"/>
      <c r="Y310" s="156"/>
    </row>
    <row r="311" spans="1:25" ht="12.5">
      <c r="A311" s="173"/>
      <c r="B311" s="156"/>
      <c r="C311" s="156"/>
      <c r="D311" s="24"/>
      <c r="E311" s="24"/>
      <c r="F311" s="24"/>
      <c r="G311" s="24"/>
      <c r="H311" s="24"/>
      <c r="I311" s="174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24"/>
      <c r="Y311" s="156"/>
    </row>
    <row r="312" spans="1:25" ht="12.5">
      <c r="A312" s="173"/>
      <c r="B312" s="156"/>
      <c r="C312" s="156"/>
      <c r="D312" s="24"/>
      <c r="E312" s="24"/>
      <c r="F312" s="24"/>
      <c r="G312" s="24"/>
      <c r="H312" s="24"/>
      <c r="I312" s="174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24"/>
      <c r="Y312" s="156"/>
    </row>
    <row r="313" spans="1:25" ht="12.5">
      <c r="A313" s="173"/>
      <c r="B313" s="156"/>
      <c r="C313" s="156"/>
      <c r="D313" s="24"/>
      <c r="E313" s="24"/>
      <c r="F313" s="24"/>
      <c r="G313" s="24"/>
      <c r="H313" s="24"/>
      <c r="I313" s="174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24"/>
      <c r="Y313" s="156"/>
    </row>
    <row r="314" spans="1:25" ht="12.5">
      <c r="A314" s="173"/>
      <c r="B314" s="156"/>
      <c r="C314" s="156"/>
      <c r="D314" s="24"/>
      <c r="E314" s="24"/>
      <c r="F314" s="24"/>
      <c r="G314" s="24"/>
      <c r="H314" s="24"/>
      <c r="I314" s="174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24"/>
      <c r="Y314" s="156"/>
    </row>
    <row r="315" spans="1:25" ht="12.5">
      <c r="A315" s="173"/>
      <c r="B315" s="156"/>
      <c r="C315" s="156"/>
      <c r="D315" s="24"/>
      <c r="E315" s="24"/>
      <c r="F315" s="24"/>
      <c r="G315" s="24"/>
      <c r="H315" s="24"/>
      <c r="I315" s="174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24"/>
      <c r="Y315" s="156"/>
    </row>
    <row r="316" spans="1:25" ht="12.5">
      <c r="A316" s="173"/>
      <c r="B316" s="156"/>
      <c r="C316" s="156"/>
      <c r="D316" s="24"/>
      <c r="E316" s="24"/>
      <c r="F316" s="24"/>
      <c r="G316" s="24"/>
      <c r="H316" s="24"/>
      <c r="I316" s="174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24"/>
      <c r="Y316" s="156"/>
    </row>
    <row r="317" spans="1:25" ht="12.5">
      <c r="A317" s="173"/>
      <c r="B317" s="156"/>
      <c r="C317" s="156"/>
      <c r="D317" s="24"/>
      <c r="E317" s="24"/>
      <c r="F317" s="24"/>
      <c r="G317" s="24"/>
      <c r="H317" s="24"/>
      <c r="I317" s="174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24"/>
      <c r="Y317" s="156"/>
    </row>
    <row r="318" spans="1:25" ht="12.5">
      <c r="A318" s="173"/>
      <c r="B318" s="156"/>
      <c r="C318" s="156"/>
      <c r="D318" s="24"/>
      <c r="E318" s="24"/>
      <c r="F318" s="24"/>
      <c r="G318" s="24"/>
      <c r="H318" s="24"/>
      <c r="I318" s="174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24"/>
      <c r="Y318" s="156"/>
    </row>
    <row r="319" spans="1:25" ht="12.5">
      <c r="A319" s="173"/>
      <c r="B319" s="156"/>
      <c r="C319" s="156"/>
      <c r="D319" s="24"/>
      <c r="E319" s="24"/>
      <c r="F319" s="24"/>
      <c r="G319" s="24"/>
      <c r="H319" s="24"/>
      <c r="I319" s="174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24"/>
      <c r="Y319" s="156"/>
    </row>
    <row r="320" spans="1:25" ht="12.5">
      <c r="A320" s="173"/>
      <c r="B320" s="156"/>
      <c r="C320" s="156"/>
      <c r="D320" s="24"/>
      <c r="E320" s="24"/>
      <c r="F320" s="24"/>
      <c r="G320" s="24"/>
      <c r="H320" s="24"/>
      <c r="I320" s="174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24"/>
      <c r="Y320" s="156"/>
    </row>
    <row r="321" spans="1:25" ht="12.5">
      <c r="A321" s="173"/>
      <c r="B321" s="156"/>
      <c r="C321" s="156"/>
      <c r="D321" s="24"/>
      <c r="E321" s="24"/>
      <c r="F321" s="24"/>
      <c r="G321" s="24"/>
      <c r="H321" s="24"/>
      <c r="I321" s="174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24"/>
      <c r="Y321" s="156"/>
    </row>
    <row r="322" spans="1:25" ht="12.5">
      <c r="A322" s="173"/>
      <c r="B322" s="156"/>
      <c r="C322" s="156"/>
      <c r="D322" s="24"/>
      <c r="E322" s="24"/>
      <c r="F322" s="24"/>
      <c r="G322" s="24"/>
      <c r="H322" s="24"/>
      <c r="I322" s="174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24"/>
      <c r="Y322" s="156"/>
    </row>
    <row r="323" spans="1:25" ht="12.5">
      <c r="A323" s="173"/>
      <c r="B323" s="156"/>
      <c r="C323" s="156"/>
      <c r="D323" s="24"/>
      <c r="E323" s="24"/>
      <c r="F323" s="24"/>
      <c r="G323" s="24"/>
      <c r="H323" s="24"/>
      <c r="I323" s="174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24"/>
      <c r="Y323" s="156"/>
    </row>
    <row r="324" spans="1:25" ht="12.5">
      <c r="A324" s="173"/>
      <c r="B324" s="156"/>
      <c r="C324" s="156"/>
      <c r="D324" s="24"/>
      <c r="E324" s="24"/>
      <c r="F324" s="24"/>
      <c r="G324" s="24"/>
      <c r="H324" s="24"/>
      <c r="I324" s="174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24"/>
      <c r="Y324" s="156"/>
    </row>
    <row r="325" spans="1:25" ht="12.5">
      <c r="A325" s="173"/>
      <c r="B325" s="156"/>
      <c r="C325" s="156"/>
      <c r="D325" s="24"/>
      <c r="E325" s="24"/>
      <c r="F325" s="24"/>
      <c r="G325" s="24"/>
      <c r="H325" s="24"/>
      <c r="I325" s="174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24"/>
      <c r="Y325" s="156"/>
    </row>
    <row r="326" spans="1:25" ht="12.5">
      <c r="A326" s="173"/>
      <c r="B326" s="156"/>
      <c r="C326" s="156"/>
      <c r="D326" s="24"/>
      <c r="E326" s="24"/>
      <c r="F326" s="24"/>
      <c r="G326" s="24"/>
      <c r="H326" s="24"/>
      <c r="I326" s="174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24"/>
      <c r="Y326" s="156"/>
    </row>
    <row r="327" spans="1:25" ht="12.5">
      <c r="A327" s="173"/>
      <c r="B327" s="156"/>
      <c r="C327" s="156"/>
      <c r="D327" s="24"/>
      <c r="E327" s="24"/>
      <c r="F327" s="24"/>
      <c r="G327" s="24"/>
      <c r="H327" s="24"/>
      <c r="I327" s="174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24"/>
      <c r="Y327" s="156"/>
    </row>
    <row r="328" spans="1:25" ht="12.5">
      <c r="A328" s="173"/>
      <c r="B328" s="156"/>
      <c r="C328" s="156"/>
      <c r="D328" s="24"/>
      <c r="E328" s="24"/>
      <c r="F328" s="24"/>
      <c r="G328" s="24"/>
      <c r="H328" s="24"/>
      <c r="I328" s="174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24"/>
      <c r="Y328" s="156"/>
    </row>
    <row r="329" spans="1:25" ht="12.5">
      <c r="A329" s="173"/>
      <c r="B329" s="156"/>
      <c r="C329" s="156"/>
      <c r="D329" s="24"/>
      <c r="E329" s="24"/>
      <c r="F329" s="24"/>
      <c r="G329" s="24"/>
      <c r="H329" s="24"/>
      <c r="I329" s="174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24"/>
      <c r="Y329" s="156"/>
    </row>
    <row r="330" spans="1:25" ht="12.5">
      <c r="A330" s="173"/>
      <c r="B330" s="156"/>
      <c r="C330" s="156"/>
      <c r="D330" s="24"/>
      <c r="E330" s="24"/>
      <c r="F330" s="24"/>
      <c r="G330" s="24"/>
      <c r="H330" s="24"/>
      <c r="I330" s="174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24"/>
      <c r="Y330" s="156"/>
    </row>
    <row r="331" spans="1:25" ht="12.5">
      <c r="A331" s="173"/>
      <c r="B331" s="156"/>
      <c r="C331" s="156"/>
      <c r="D331" s="24"/>
      <c r="E331" s="24"/>
      <c r="F331" s="24"/>
      <c r="G331" s="24"/>
      <c r="H331" s="24"/>
      <c r="I331" s="174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24"/>
      <c r="Y331" s="156"/>
    </row>
    <row r="332" spans="1:25" ht="12.5">
      <c r="A332" s="173"/>
      <c r="B332" s="156"/>
      <c r="C332" s="156"/>
      <c r="D332" s="24"/>
      <c r="E332" s="24"/>
      <c r="F332" s="24"/>
      <c r="G332" s="24"/>
      <c r="H332" s="24"/>
      <c r="I332" s="174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24"/>
      <c r="Y332" s="156"/>
    </row>
    <row r="333" spans="1:25" ht="12.5">
      <c r="A333" s="173"/>
      <c r="B333" s="156"/>
      <c r="C333" s="156"/>
      <c r="D333" s="24"/>
      <c r="E333" s="24"/>
      <c r="F333" s="24"/>
      <c r="G333" s="24"/>
      <c r="H333" s="24"/>
      <c r="I333" s="174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24"/>
      <c r="Y333" s="156"/>
    </row>
    <row r="334" spans="1:25" ht="12.5">
      <c r="A334" s="173"/>
      <c r="B334" s="156"/>
      <c r="C334" s="156"/>
      <c r="D334" s="24"/>
      <c r="E334" s="24"/>
      <c r="F334" s="24"/>
      <c r="G334" s="24"/>
      <c r="H334" s="24"/>
      <c r="I334" s="174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24"/>
      <c r="Y334" s="156"/>
    </row>
    <row r="335" spans="1:25" ht="12.5">
      <c r="A335" s="173"/>
      <c r="B335" s="156"/>
      <c r="C335" s="156"/>
      <c r="D335" s="24"/>
      <c r="E335" s="24"/>
      <c r="F335" s="24"/>
      <c r="G335" s="24"/>
      <c r="H335" s="24"/>
      <c r="I335" s="174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24"/>
      <c r="Y335" s="156"/>
    </row>
    <row r="336" spans="1:25" ht="12.5">
      <c r="A336" s="173"/>
      <c r="B336" s="156"/>
      <c r="C336" s="156"/>
      <c r="D336" s="24"/>
      <c r="E336" s="24"/>
      <c r="F336" s="24"/>
      <c r="G336" s="24"/>
      <c r="H336" s="24"/>
      <c r="I336" s="174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24"/>
      <c r="Y336" s="156"/>
    </row>
    <row r="337" spans="1:25" ht="12.5">
      <c r="A337" s="173"/>
      <c r="B337" s="156"/>
      <c r="C337" s="156"/>
      <c r="D337" s="24"/>
      <c r="E337" s="24"/>
      <c r="F337" s="24"/>
      <c r="G337" s="24"/>
      <c r="H337" s="24"/>
      <c r="I337" s="174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24"/>
      <c r="Y337" s="156"/>
    </row>
    <row r="338" spans="1:25" ht="12.5">
      <c r="A338" s="173"/>
      <c r="B338" s="156"/>
      <c r="C338" s="156"/>
      <c r="D338" s="24"/>
      <c r="E338" s="24"/>
      <c r="F338" s="24"/>
      <c r="G338" s="24"/>
      <c r="H338" s="24"/>
      <c r="I338" s="174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24"/>
      <c r="Y338" s="156"/>
    </row>
    <row r="339" spans="1:25" ht="12.5">
      <c r="A339" s="173"/>
      <c r="B339" s="156"/>
      <c r="C339" s="156"/>
      <c r="D339" s="24"/>
      <c r="E339" s="24"/>
      <c r="F339" s="24"/>
      <c r="G339" s="24"/>
      <c r="H339" s="24"/>
      <c r="I339" s="174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24"/>
      <c r="Y339" s="156"/>
    </row>
    <row r="340" spans="1:25" ht="12.5">
      <c r="A340" s="173"/>
      <c r="B340" s="156"/>
      <c r="C340" s="156"/>
      <c r="D340" s="24"/>
      <c r="E340" s="24"/>
      <c r="F340" s="24"/>
      <c r="G340" s="24"/>
      <c r="H340" s="24"/>
      <c r="I340" s="174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24"/>
      <c r="Y340" s="156"/>
    </row>
    <row r="341" spans="1:25" ht="12.5">
      <c r="A341" s="173"/>
      <c r="B341" s="156"/>
      <c r="C341" s="156"/>
      <c r="D341" s="24"/>
      <c r="E341" s="24"/>
      <c r="F341" s="24"/>
      <c r="G341" s="24"/>
      <c r="H341" s="24"/>
      <c r="I341" s="174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24"/>
      <c r="Y341" s="156"/>
    </row>
    <row r="342" spans="1:25" ht="12.5">
      <c r="A342" s="173"/>
      <c r="B342" s="156"/>
      <c r="C342" s="156"/>
      <c r="D342" s="24"/>
      <c r="E342" s="24"/>
      <c r="F342" s="24"/>
      <c r="G342" s="24"/>
      <c r="H342" s="24"/>
      <c r="I342" s="174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24"/>
      <c r="Y342" s="156"/>
    </row>
    <row r="343" spans="1:25" ht="12.5">
      <c r="A343" s="173"/>
      <c r="B343" s="156"/>
      <c r="C343" s="156"/>
      <c r="D343" s="24"/>
      <c r="E343" s="24"/>
      <c r="F343" s="24"/>
      <c r="G343" s="24"/>
      <c r="H343" s="24"/>
      <c r="I343" s="174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24"/>
      <c r="Y343" s="156"/>
    </row>
    <row r="344" spans="1:25" ht="12.5">
      <c r="A344" s="173"/>
      <c r="B344" s="156"/>
      <c r="C344" s="156"/>
      <c r="D344" s="24"/>
      <c r="E344" s="24"/>
      <c r="F344" s="24"/>
      <c r="G344" s="24"/>
      <c r="H344" s="24"/>
      <c r="I344" s="174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24"/>
      <c r="Y344" s="156"/>
    </row>
    <row r="345" spans="1:25" ht="12.5">
      <c r="A345" s="173"/>
      <c r="B345" s="156"/>
      <c r="C345" s="156"/>
      <c r="D345" s="24"/>
      <c r="E345" s="24"/>
      <c r="F345" s="24"/>
      <c r="G345" s="24"/>
      <c r="H345" s="24"/>
      <c r="I345" s="174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24"/>
      <c r="Y345" s="156"/>
    </row>
    <row r="346" spans="1:25" ht="12.5">
      <c r="A346" s="173"/>
      <c r="B346" s="156"/>
      <c r="C346" s="156"/>
      <c r="D346" s="24"/>
      <c r="E346" s="24"/>
      <c r="F346" s="24"/>
      <c r="G346" s="24"/>
      <c r="H346" s="24"/>
      <c r="I346" s="174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24"/>
      <c r="Y346" s="156"/>
    </row>
    <row r="347" spans="1:25" ht="12.5">
      <c r="A347" s="173"/>
      <c r="B347" s="156"/>
      <c r="C347" s="156"/>
      <c r="D347" s="24"/>
      <c r="E347" s="24"/>
      <c r="F347" s="24"/>
      <c r="G347" s="24"/>
      <c r="H347" s="24"/>
      <c r="I347" s="174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24"/>
      <c r="Y347" s="156"/>
    </row>
    <row r="348" spans="1:25" ht="12.5">
      <c r="A348" s="173"/>
      <c r="B348" s="156"/>
      <c r="C348" s="156"/>
      <c r="D348" s="24"/>
      <c r="E348" s="24"/>
      <c r="F348" s="24"/>
      <c r="G348" s="24"/>
      <c r="H348" s="24"/>
      <c r="I348" s="174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24"/>
      <c r="Y348" s="156"/>
    </row>
    <row r="349" spans="1:25" ht="12.5">
      <c r="A349" s="173"/>
      <c r="B349" s="156"/>
      <c r="C349" s="156"/>
      <c r="D349" s="24"/>
      <c r="E349" s="24"/>
      <c r="F349" s="24"/>
      <c r="G349" s="24"/>
      <c r="H349" s="24"/>
      <c r="I349" s="174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24"/>
      <c r="Y349" s="156"/>
    </row>
    <row r="350" spans="1:25" ht="12.5">
      <c r="A350" s="173"/>
      <c r="B350" s="156"/>
      <c r="C350" s="156"/>
      <c r="D350" s="24"/>
      <c r="E350" s="24"/>
      <c r="F350" s="24"/>
      <c r="G350" s="24"/>
      <c r="H350" s="24"/>
      <c r="I350" s="174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24"/>
      <c r="Y350" s="156"/>
    </row>
    <row r="351" spans="1:25" ht="12.5">
      <c r="A351" s="173"/>
      <c r="B351" s="156"/>
      <c r="C351" s="156"/>
      <c r="D351" s="24"/>
      <c r="E351" s="24"/>
      <c r="F351" s="24"/>
      <c r="G351" s="24"/>
      <c r="H351" s="24"/>
      <c r="I351" s="174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24"/>
      <c r="Y351" s="156"/>
    </row>
    <row r="352" spans="1:25" ht="12.5">
      <c r="A352" s="173"/>
      <c r="B352" s="156"/>
      <c r="C352" s="156"/>
      <c r="D352" s="24"/>
      <c r="E352" s="24"/>
      <c r="F352" s="24"/>
      <c r="G352" s="24"/>
      <c r="H352" s="24"/>
      <c r="I352" s="174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24"/>
      <c r="Y352" s="156"/>
    </row>
    <row r="353" spans="1:25" ht="12.5">
      <c r="A353" s="173"/>
      <c r="B353" s="156"/>
      <c r="C353" s="156"/>
      <c r="D353" s="24"/>
      <c r="E353" s="24"/>
      <c r="F353" s="24"/>
      <c r="G353" s="24"/>
      <c r="H353" s="24"/>
      <c r="I353" s="174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24"/>
      <c r="Y353" s="156"/>
    </row>
    <row r="354" spans="1:25" ht="12.5">
      <c r="A354" s="173"/>
      <c r="B354" s="156"/>
      <c r="C354" s="156"/>
      <c r="D354" s="24"/>
      <c r="E354" s="24"/>
      <c r="F354" s="24"/>
      <c r="G354" s="24"/>
      <c r="H354" s="24"/>
      <c r="I354" s="174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24"/>
      <c r="Y354" s="156"/>
    </row>
    <row r="355" spans="1:25" ht="12.5">
      <c r="A355" s="173"/>
      <c r="B355" s="156"/>
      <c r="C355" s="156"/>
      <c r="D355" s="24"/>
      <c r="E355" s="24"/>
      <c r="F355" s="24"/>
      <c r="G355" s="24"/>
      <c r="H355" s="24"/>
      <c r="I355" s="174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24"/>
      <c r="Y355" s="156"/>
    </row>
    <row r="356" spans="1:25" ht="12.5">
      <c r="A356" s="173"/>
      <c r="B356" s="156"/>
      <c r="C356" s="156"/>
      <c r="D356" s="24"/>
      <c r="E356" s="24"/>
      <c r="F356" s="24"/>
      <c r="G356" s="24"/>
      <c r="H356" s="24"/>
      <c r="I356" s="174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24"/>
      <c r="Y356" s="156"/>
    </row>
    <row r="357" spans="1:25" ht="12.5">
      <c r="A357" s="173"/>
      <c r="B357" s="156"/>
      <c r="C357" s="156"/>
      <c r="D357" s="24"/>
      <c r="E357" s="24"/>
      <c r="F357" s="24"/>
      <c r="G357" s="24"/>
      <c r="H357" s="24"/>
      <c r="I357" s="174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24"/>
      <c r="Y357" s="156"/>
    </row>
    <row r="358" spans="1:25" ht="12.5">
      <c r="A358" s="173"/>
      <c r="B358" s="156"/>
      <c r="C358" s="156"/>
      <c r="D358" s="24"/>
      <c r="E358" s="24"/>
      <c r="F358" s="24"/>
      <c r="G358" s="24"/>
      <c r="H358" s="24"/>
      <c r="I358" s="174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24"/>
      <c r="Y358" s="156"/>
    </row>
    <row r="359" spans="1:25" ht="12.5">
      <c r="A359" s="173"/>
      <c r="B359" s="156"/>
      <c r="C359" s="156"/>
      <c r="D359" s="24"/>
      <c r="E359" s="24"/>
      <c r="F359" s="24"/>
      <c r="G359" s="24"/>
      <c r="H359" s="24"/>
      <c r="I359" s="174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24"/>
      <c r="Y359" s="156"/>
    </row>
    <row r="360" spans="1:25" ht="12.5">
      <c r="A360" s="173"/>
      <c r="B360" s="156"/>
      <c r="C360" s="156"/>
      <c r="D360" s="24"/>
      <c r="E360" s="24"/>
      <c r="F360" s="24"/>
      <c r="G360" s="24"/>
      <c r="H360" s="24"/>
      <c r="I360" s="174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24"/>
      <c r="Y360" s="156"/>
    </row>
    <row r="361" spans="1:25" ht="12.5">
      <c r="A361" s="173"/>
      <c r="B361" s="156"/>
      <c r="C361" s="156"/>
      <c r="D361" s="24"/>
      <c r="E361" s="24"/>
      <c r="F361" s="24"/>
      <c r="G361" s="24"/>
      <c r="H361" s="24"/>
      <c r="I361" s="174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24"/>
      <c r="Y361" s="156"/>
    </row>
    <row r="362" spans="1:25" ht="12.5">
      <c r="A362" s="173"/>
      <c r="B362" s="156"/>
      <c r="C362" s="156"/>
      <c r="D362" s="24"/>
      <c r="E362" s="24"/>
      <c r="F362" s="24"/>
      <c r="G362" s="24"/>
      <c r="H362" s="24"/>
      <c r="I362" s="174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24"/>
      <c r="Y362" s="156"/>
    </row>
    <row r="363" spans="1:25" ht="12.5">
      <c r="A363" s="173"/>
      <c r="B363" s="156"/>
      <c r="C363" s="156"/>
      <c r="D363" s="24"/>
      <c r="E363" s="24"/>
      <c r="F363" s="24"/>
      <c r="G363" s="24"/>
      <c r="H363" s="24"/>
      <c r="I363" s="174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24"/>
      <c r="Y363" s="156"/>
    </row>
    <row r="364" spans="1:25" ht="12.5">
      <c r="A364" s="173"/>
      <c r="B364" s="156"/>
      <c r="C364" s="156"/>
      <c r="D364" s="24"/>
      <c r="E364" s="24"/>
      <c r="F364" s="24"/>
      <c r="G364" s="24"/>
      <c r="H364" s="24"/>
      <c r="I364" s="174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24"/>
      <c r="Y364" s="156"/>
    </row>
    <row r="365" spans="1:25" ht="12.5">
      <c r="A365" s="156"/>
      <c r="B365" s="156"/>
      <c r="C365" s="156"/>
      <c r="D365" s="24"/>
      <c r="E365" s="24"/>
      <c r="F365" s="24"/>
      <c r="G365" s="24"/>
      <c r="H365" s="24"/>
      <c r="I365" s="174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24"/>
      <c r="Y365" s="156"/>
    </row>
    <row r="366" spans="1:25" ht="12.5">
      <c r="A366" s="156"/>
      <c r="B366" s="156"/>
      <c r="C366" s="156"/>
      <c r="D366" s="24"/>
      <c r="E366" s="24"/>
      <c r="F366" s="24"/>
      <c r="G366" s="24"/>
      <c r="H366" s="24"/>
      <c r="I366" s="174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24"/>
      <c r="Y366" s="156"/>
    </row>
    <row r="367" spans="1:25" ht="12.5">
      <c r="A367" s="156"/>
      <c r="B367" s="156"/>
      <c r="C367" s="156"/>
      <c r="D367" s="24"/>
      <c r="E367" s="24"/>
      <c r="F367" s="24"/>
      <c r="G367" s="24"/>
      <c r="H367" s="24"/>
      <c r="I367" s="174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24"/>
      <c r="Y367" s="156"/>
    </row>
    <row r="368" spans="1:25" ht="12.5">
      <c r="A368" s="156"/>
      <c r="B368" s="156"/>
      <c r="C368" s="156"/>
      <c r="D368" s="24"/>
      <c r="E368" s="24"/>
      <c r="F368" s="24"/>
      <c r="G368" s="24"/>
      <c r="H368" s="24"/>
      <c r="I368" s="174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24"/>
      <c r="Y368" s="156"/>
    </row>
    <row r="369" spans="1:25" ht="12.5">
      <c r="A369" s="156"/>
      <c r="B369" s="156"/>
      <c r="C369" s="156"/>
      <c r="D369" s="24"/>
      <c r="E369" s="24"/>
      <c r="F369" s="24"/>
      <c r="G369" s="24"/>
      <c r="H369" s="24"/>
      <c r="I369" s="174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24"/>
      <c r="Y369" s="156"/>
    </row>
    <row r="370" spans="1:25" ht="12.5">
      <c r="A370" s="156"/>
      <c r="B370" s="156"/>
      <c r="C370" s="156"/>
      <c r="D370" s="24"/>
      <c r="E370" s="24"/>
      <c r="F370" s="24"/>
      <c r="G370" s="24"/>
      <c r="H370" s="24"/>
      <c r="I370" s="174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24"/>
      <c r="Y370" s="156"/>
    </row>
    <row r="371" spans="1:25" ht="12.5">
      <c r="A371" s="156"/>
      <c r="B371" s="156"/>
      <c r="C371" s="156"/>
      <c r="D371" s="24"/>
      <c r="E371" s="24"/>
      <c r="F371" s="24"/>
      <c r="G371" s="24"/>
      <c r="H371" s="24"/>
      <c r="I371" s="174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24"/>
      <c r="Y371" s="156"/>
    </row>
    <row r="372" spans="1:25" ht="12.5">
      <c r="A372" s="156"/>
      <c r="B372" s="156"/>
      <c r="C372" s="156"/>
      <c r="D372" s="24"/>
      <c r="E372" s="24"/>
      <c r="F372" s="24"/>
      <c r="G372" s="24"/>
      <c r="H372" s="24"/>
      <c r="I372" s="174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24"/>
      <c r="Y372" s="156"/>
    </row>
    <row r="373" spans="1:25" ht="12.5">
      <c r="A373" s="156"/>
      <c r="B373" s="156"/>
      <c r="C373" s="156"/>
      <c r="D373" s="24"/>
      <c r="E373" s="24"/>
      <c r="F373" s="24"/>
      <c r="G373" s="24"/>
      <c r="H373" s="24"/>
      <c r="I373" s="174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24"/>
      <c r="Y373" s="156"/>
    </row>
    <row r="374" spans="1:25" ht="12.5">
      <c r="A374" s="156"/>
      <c r="B374" s="156"/>
      <c r="C374" s="156"/>
      <c r="D374" s="24"/>
      <c r="E374" s="24"/>
      <c r="F374" s="24"/>
      <c r="G374" s="24"/>
      <c r="H374" s="24"/>
      <c r="I374" s="174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24"/>
      <c r="Y374" s="156"/>
    </row>
    <row r="375" spans="1:25" ht="12.5">
      <c r="A375" s="156"/>
      <c r="B375" s="156"/>
      <c r="C375" s="156"/>
      <c r="D375" s="24"/>
      <c r="E375" s="24"/>
      <c r="F375" s="24"/>
      <c r="G375" s="24"/>
      <c r="H375" s="24"/>
      <c r="I375" s="174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24"/>
      <c r="Y375" s="156"/>
    </row>
    <row r="376" spans="1:25" ht="12.5">
      <c r="A376" s="156"/>
      <c r="B376" s="156"/>
      <c r="C376" s="156"/>
      <c r="D376" s="24"/>
      <c r="E376" s="24"/>
      <c r="F376" s="24"/>
      <c r="G376" s="24"/>
      <c r="H376" s="24"/>
      <c r="I376" s="174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24"/>
      <c r="Y376" s="156"/>
    </row>
    <row r="377" spans="1:25" ht="12.5">
      <c r="A377" s="156"/>
      <c r="B377" s="156"/>
      <c r="C377" s="156"/>
      <c r="D377" s="24"/>
      <c r="E377" s="24"/>
      <c r="F377" s="24"/>
      <c r="G377" s="24"/>
      <c r="H377" s="24"/>
      <c r="I377" s="174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24"/>
      <c r="Y377" s="156"/>
    </row>
    <row r="378" spans="1:25" ht="12.5">
      <c r="A378" s="156"/>
      <c r="B378" s="156"/>
      <c r="C378" s="156"/>
      <c r="D378" s="24"/>
      <c r="E378" s="24"/>
      <c r="F378" s="24"/>
      <c r="G378" s="24"/>
      <c r="H378" s="24"/>
      <c r="I378" s="174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24"/>
      <c r="Y378" s="156"/>
    </row>
    <row r="379" spans="1:25" ht="12.5">
      <c r="A379" s="156"/>
      <c r="B379" s="156"/>
      <c r="C379" s="156"/>
      <c r="D379" s="24"/>
      <c r="E379" s="24"/>
      <c r="F379" s="24"/>
      <c r="G379" s="24"/>
      <c r="H379" s="24"/>
      <c r="I379" s="174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24"/>
      <c r="Y379" s="156"/>
    </row>
    <row r="380" spans="1:25" ht="12.5">
      <c r="A380" s="156"/>
      <c r="B380" s="156"/>
      <c r="C380" s="156"/>
      <c r="D380" s="24"/>
      <c r="E380" s="24"/>
      <c r="F380" s="24"/>
      <c r="G380" s="24"/>
      <c r="H380" s="24"/>
      <c r="I380" s="174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24"/>
      <c r="Y380" s="156"/>
    </row>
    <row r="381" spans="1:25" ht="12.5">
      <c r="A381" s="156"/>
      <c r="B381" s="156"/>
      <c r="C381" s="156"/>
      <c r="D381" s="24"/>
      <c r="E381" s="24"/>
      <c r="F381" s="24"/>
      <c r="G381" s="24"/>
      <c r="H381" s="24"/>
      <c r="I381" s="174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24"/>
      <c r="Y381" s="156"/>
    </row>
    <row r="382" spans="1:25" ht="12.5">
      <c r="A382" s="156"/>
      <c r="B382" s="156"/>
      <c r="C382" s="156"/>
      <c r="D382" s="24"/>
      <c r="E382" s="24"/>
      <c r="F382" s="24"/>
      <c r="G382" s="24"/>
      <c r="H382" s="24"/>
      <c r="I382" s="174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24"/>
      <c r="Y382" s="156"/>
    </row>
    <row r="383" spans="1:25" ht="12.5">
      <c r="A383" s="156"/>
      <c r="B383" s="156"/>
      <c r="C383" s="156"/>
      <c r="D383" s="24"/>
      <c r="E383" s="24"/>
      <c r="F383" s="24"/>
      <c r="G383" s="24"/>
      <c r="H383" s="24"/>
      <c r="I383" s="174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24"/>
      <c r="Y383" s="156"/>
    </row>
    <row r="384" spans="1:25" ht="12.5">
      <c r="A384" s="156"/>
      <c r="B384" s="156"/>
      <c r="C384" s="156"/>
      <c r="D384" s="24"/>
      <c r="E384" s="24"/>
      <c r="F384" s="24"/>
      <c r="G384" s="24"/>
      <c r="H384" s="24"/>
      <c r="I384" s="174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24"/>
      <c r="Y384" s="156"/>
    </row>
    <row r="385" spans="1:25" ht="12.5">
      <c r="A385" s="156"/>
      <c r="B385" s="156"/>
      <c r="C385" s="156"/>
      <c r="D385" s="24"/>
      <c r="E385" s="24"/>
      <c r="F385" s="24"/>
      <c r="G385" s="24"/>
      <c r="H385" s="24"/>
      <c r="I385" s="174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24"/>
      <c r="Y385" s="156"/>
    </row>
    <row r="386" spans="1:25" ht="12.5">
      <c r="A386" s="156"/>
      <c r="B386" s="156"/>
      <c r="C386" s="156"/>
      <c r="D386" s="24"/>
      <c r="E386" s="24"/>
      <c r="F386" s="24"/>
      <c r="G386" s="24"/>
      <c r="H386" s="24"/>
      <c r="I386" s="174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24"/>
      <c r="Y386" s="156"/>
    </row>
    <row r="387" spans="1:25" ht="12.5">
      <c r="A387" s="156"/>
      <c r="B387" s="156"/>
      <c r="C387" s="156"/>
      <c r="D387" s="24"/>
      <c r="E387" s="24"/>
      <c r="F387" s="24"/>
      <c r="G387" s="24"/>
      <c r="H387" s="24"/>
      <c r="I387" s="174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24"/>
      <c r="Y387" s="156"/>
    </row>
    <row r="388" spans="1:25" ht="12.5">
      <c r="A388" s="156"/>
      <c r="B388" s="156"/>
      <c r="C388" s="156"/>
      <c r="D388" s="24"/>
      <c r="E388" s="24"/>
      <c r="F388" s="24"/>
      <c r="G388" s="24"/>
      <c r="H388" s="24"/>
      <c r="I388" s="174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24"/>
      <c r="Y388" s="156"/>
    </row>
    <row r="389" spans="1:25" ht="12.5">
      <c r="A389" s="156"/>
      <c r="B389" s="156"/>
      <c r="C389" s="156"/>
      <c r="D389" s="24"/>
      <c r="E389" s="24"/>
      <c r="F389" s="24"/>
      <c r="G389" s="24"/>
      <c r="H389" s="24"/>
      <c r="I389" s="174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24"/>
      <c r="Y389" s="156"/>
    </row>
    <row r="390" spans="1:25" ht="12.5">
      <c r="A390" s="156"/>
      <c r="B390" s="156"/>
      <c r="C390" s="156"/>
      <c r="D390" s="24"/>
      <c r="E390" s="24"/>
      <c r="F390" s="24"/>
      <c r="G390" s="24"/>
      <c r="H390" s="24"/>
      <c r="I390" s="174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24"/>
      <c r="Y390" s="156"/>
    </row>
    <row r="391" spans="1:25" ht="12.5">
      <c r="A391" s="156"/>
      <c r="B391" s="156"/>
      <c r="C391" s="156"/>
      <c r="D391" s="24"/>
      <c r="E391" s="24"/>
      <c r="F391" s="24"/>
      <c r="G391" s="24"/>
      <c r="H391" s="24"/>
      <c r="I391" s="174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24"/>
      <c r="Y391" s="156"/>
    </row>
    <row r="392" spans="1:25" ht="12.5">
      <c r="A392" s="156"/>
      <c r="B392" s="156"/>
      <c r="C392" s="156"/>
      <c r="D392" s="24"/>
      <c r="E392" s="24"/>
      <c r="F392" s="24"/>
      <c r="G392" s="24"/>
      <c r="H392" s="24"/>
      <c r="I392" s="174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24"/>
      <c r="Y392" s="156"/>
    </row>
    <row r="393" spans="1:25" ht="12.5">
      <c r="A393" s="156"/>
      <c r="B393" s="156"/>
      <c r="C393" s="156"/>
      <c r="D393" s="24"/>
      <c r="E393" s="24"/>
      <c r="F393" s="24"/>
      <c r="G393" s="24"/>
      <c r="H393" s="24"/>
      <c r="I393" s="174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24"/>
      <c r="Y393" s="156"/>
    </row>
    <row r="394" spans="1:25" ht="12.5">
      <c r="A394" s="156"/>
      <c r="B394" s="156"/>
      <c r="C394" s="156"/>
      <c r="D394" s="24"/>
      <c r="E394" s="24"/>
      <c r="F394" s="24"/>
      <c r="G394" s="24"/>
      <c r="H394" s="24"/>
      <c r="I394" s="174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24"/>
      <c r="Y394" s="156"/>
    </row>
    <row r="395" spans="1:25" ht="12.5">
      <c r="A395" s="156"/>
      <c r="B395" s="156"/>
      <c r="C395" s="156"/>
      <c r="D395" s="24"/>
      <c r="E395" s="24"/>
      <c r="F395" s="24"/>
      <c r="G395" s="24"/>
      <c r="H395" s="24"/>
      <c r="I395" s="174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24"/>
      <c r="Y395" s="156"/>
    </row>
    <row r="396" spans="1:25" ht="12.5">
      <c r="A396" s="156"/>
      <c r="B396" s="156"/>
      <c r="C396" s="156"/>
      <c r="D396" s="24"/>
      <c r="E396" s="24"/>
      <c r="F396" s="24"/>
      <c r="G396" s="24"/>
      <c r="H396" s="24"/>
      <c r="I396" s="174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24"/>
      <c r="Y396" s="156"/>
    </row>
    <row r="397" spans="1:25" ht="12.5">
      <c r="A397" s="156"/>
      <c r="B397" s="156"/>
      <c r="C397" s="156"/>
      <c r="D397" s="24"/>
      <c r="E397" s="24"/>
      <c r="F397" s="24"/>
      <c r="G397" s="24"/>
      <c r="H397" s="24"/>
      <c r="I397" s="174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24"/>
      <c r="Y397" s="156"/>
    </row>
    <row r="398" spans="1:25" ht="12.5">
      <c r="A398" s="156"/>
      <c r="B398" s="156"/>
      <c r="C398" s="156"/>
      <c r="D398" s="24"/>
      <c r="E398" s="24"/>
      <c r="F398" s="24"/>
      <c r="G398" s="24"/>
      <c r="H398" s="24"/>
      <c r="I398" s="174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24"/>
      <c r="Y398" s="156"/>
    </row>
    <row r="399" spans="1:25" ht="12.5">
      <c r="A399" s="156"/>
      <c r="B399" s="156"/>
      <c r="C399" s="156"/>
      <c r="D399" s="24"/>
      <c r="E399" s="24"/>
      <c r="F399" s="24"/>
      <c r="G399" s="24"/>
      <c r="H399" s="24"/>
      <c r="I399" s="174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24"/>
      <c r="Y399" s="156"/>
    </row>
    <row r="400" spans="1:25" ht="12.5">
      <c r="A400" s="156"/>
      <c r="B400" s="156"/>
      <c r="C400" s="156"/>
      <c r="D400" s="24"/>
      <c r="E400" s="24"/>
      <c r="F400" s="24"/>
      <c r="G400" s="24"/>
      <c r="H400" s="24"/>
      <c r="I400" s="174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24"/>
      <c r="Y400" s="156"/>
    </row>
    <row r="401" spans="1:25" ht="12.5">
      <c r="A401" s="156"/>
      <c r="B401" s="156"/>
      <c r="C401" s="156"/>
      <c r="D401" s="24"/>
      <c r="E401" s="24"/>
      <c r="F401" s="24"/>
      <c r="G401" s="24"/>
      <c r="H401" s="24"/>
      <c r="I401" s="174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24"/>
      <c r="Y401" s="156"/>
    </row>
    <row r="402" spans="1:25" ht="12.5">
      <c r="A402" s="156"/>
      <c r="B402" s="156"/>
      <c r="C402" s="156"/>
      <c r="D402" s="24"/>
      <c r="E402" s="24"/>
      <c r="F402" s="24"/>
      <c r="G402" s="24"/>
      <c r="H402" s="24"/>
      <c r="I402" s="174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24"/>
      <c r="Y402" s="156"/>
    </row>
    <row r="403" spans="1:25" ht="12.5">
      <c r="A403" s="156"/>
      <c r="B403" s="156"/>
      <c r="C403" s="156"/>
      <c r="D403" s="24"/>
      <c r="E403" s="24"/>
      <c r="F403" s="24"/>
      <c r="G403" s="24"/>
      <c r="H403" s="24"/>
      <c r="I403" s="174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24"/>
      <c r="Y403" s="156"/>
    </row>
    <row r="404" spans="1:25" ht="12.5">
      <c r="A404" s="156"/>
      <c r="B404" s="156"/>
      <c r="C404" s="156"/>
      <c r="D404" s="24"/>
      <c r="E404" s="24"/>
      <c r="F404" s="24"/>
      <c r="G404" s="24"/>
      <c r="H404" s="24"/>
      <c r="I404" s="174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24"/>
      <c r="Y404" s="156"/>
    </row>
    <row r="405" spans="1:25" ht="12.5">
      <c r="A405" s="156"/>
      <c r="B405" s="156"/>
      <c r="C405" s="156"/>
      <c r="D405" s="24"/>
      <c r="E405" s="24"/>
      <c r="F405" s="24"/>
      <c r="G405" s="24"/>
      <c r="H405" s="24"/>
      <c r="I405" s="174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24"/>
      <c r="Y405" s="156"/>
    </row>
    <row r="406" spans="1:25" ht="12.5">
      <c r="A406" s="156"/>
      <c r="B406" s="156"/>
      <c r="C406" s="156"/>
      <c r="D406" s="24"/>
      <c r="E406" s="24"/>
      <c r="F406" s="24"/>
      <c r="G406" s="24"/>
      <c r="H406" s="24"/>
      <c r="I406" s="174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24"/>
      <c r="Y406" s="156"/>
    </row>
    <row r="407" spans="1:25" ht="12.5">
      <c r="A407" s="156"/>
      <c r="B407" s="156"/>
      <c r="C407" s="156"/>
      <c r="D407" s="24"/>
      <c r="E407" s="24"/>
      <c r="F407" s="24"/>
      <c r="G407" s="24"/>
      <c r="H407" s="24"/>
      <c r="I407" s="174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24"/>
      <c r="Y407" s="156"/>
    </row>
    <row r="408" spans="1:25" ht="12.5">
      <c r="A408" s="156"/>
      <c r="B408" s="156"/>
      <c r="C408" s="156"/>
      <c r="D408" s="24"/>
      <c r="E408" s="24"/>
      <c r="F408" s="24"/>
      <c r="G408" s="24"/>
      <c r="H408" s="24"/>
      <c r="I408" s="174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24"/>
      <c r="Y408" s="156"/>
    </row>
    <row r="409" spans="1:25" ht="12.5">
      <c r="A409" s="156"/>
      <c r="B409" s="156"/>
      <c r="C409" s="156"/>
      <c r="D409" s="24"/>
      <c r="E409" s="24"/>
      <c r="F409" s="24"/>
      <c r="G409" s="24"/>
      <c r="H409" s="24"/>
      <c r="I409" s="174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24"/>
      <c r="Y409" s="156"/>
    </row>
    <row r="410" spans="1:25" ht="12.5">
      <c r="A410" s="156"/>
      <c r="B410" s="156"/>
      <c r="C410" s="156"/>
      <c r="D410" s="24"/>
      <c r="E410" s="24"/>
      <c r="F410" s="24"/>
      <c r="G410" s="24"/>
      <c r="H410" s="24"/>
      <c r="I410" s="174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24"/>
      <c r="Y410" s="156"/>
    </row>
    <row r="411" spans="1:25" ht="12.5">
      <c r="A411" s="156"/>
      <c r="B411" s="156"/>
      <c r="C411" s="156"/>
      <c r="D411" s="24"/>
      <c r="E411" s="24"/>
      <c r="F411" s="24"/>
      <c r="G411" s="24"/>
      <c r="H411" s="24"/>
      <c r="I411" s="174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24"/>
      <c r="Y411" s="156"/>
    </row>
    <row r="412" spans="1:25" ht="12.5">
      <c r="A412" s="156"/>
      <c r="B412" s="156"/>
      <c r="C412" s="156"/>
      <c r="D412" s="24"/>
      <c r="E412" s="24"/>
      <c r="F412" s="24"/>
      <c r="G412" s="24"/>
      <c r="H412" s="24"/>
      <c r="I412" s="174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24"/>
      <c r="Y412" s="156"/>
    </row>
    <row r="413" spans="1:25" ht="12.5">
      <c r="A413" s="156"/>
      <c r="B413" s="156"/>
      <c r="C413" s="156"/>
      <c r="D413" s="24"/>
      <c r="E413" s="24"/>
      <c r="F413" s="24"/>
      <c r="G413" s="24"/>
      <c r="H413" s="24"/>
      <c r="I413" s="174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24"/>
      <c r="Y413" s="156"/>
    </row>
    <row r="414" spans="1:25" ht="12.5">
      <c r="A414" s="156"/>
      <c r="B414" s="156"/>
      <c r="C414" s="156"/>
      <c r="D414" s="24"/>
      <c r="E414" s="24"/>
      <c r="F414" s="24"/>
      <c r="G414" s="24"/>
      <c r="H414" s="24"/>
      <c r="I414" s="174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24"/>
      <c r="Y414" s="156"/>
    </row>
    <row r="415" spans="1:25" ht="12.5">
      <c r="A415" s="156"/>
      <c r="B415" s="156"/>
      <c r="C415" s="156"/>
      <c r="D415" s="24"/>
      <c r="E415" s="24"/>
      <c r="F415" s="24"/>
      <c r="G415" s="24"/>
      <c r="H415" s="24"/>
      <c r="I415" s="174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24"/>
      <c r="Y415" s="156"/>
    </row>
    <row r="416" spans="1:25" ht="12.5">
      <c r="A416" s="156"/>
      <c r="B416" s="156"/>
      <c r="C416" s="156"/>
      <c r="D416" s="24"/>
      <c r="E416" s="24"/>
      <c r="F416" s="24"/>
      <c r="G416" s="24"/>
      <c r="H416" s="24"/>
      <c r="I416" s="174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24"/>
      <c r="Y416" s="156"/>
    </row>
    <row r="417" spans="1:25" ht="12.5">
      <c r="A417" s="156"/>
      <c r="B417" s="156"/>
      <c r="C417" s="156"/>
      <c r="D417" s="24"/>
      <c r="E417" s="24"/>
      <c r="F417" s="24"/>
      <c r="G417" s="24"/>
      <c r="H417" s="24"/>
      <c r="I417" s="174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24"/>
      <c r="Y417" s="156"/>
    </row>
    <row r="418" spans="1:25" ht="12.5">
      <c r="A418" s="156"/>
      <c r="B418" s="156"/>
      <c r="C418" s="156"/>
      <c r="D418" s="24"/>
      <c r="E418" s="24"/>
      <c r="F418" s="24"/>
      <c r="G418" s="24"/>
      <c r="H418" s="24"/>
      <c r="I418" s="174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24"/>
      <c r="Y418" s="156"/>
    </row>
    <row r="419" spans="1:25" ht="12.5">
      <c r="A419" s="156"/>
      <c r="B419" s="156"/>
      <c r="C419" s="156"/>
      <c r="D419" s="24"/>
      <c r="E419" s="24"/>
      <c r="F419" s="24"/>
      <c r="G419" s="24"/>
      <c r="H419" s="24"/>
      <c r="I419" s="174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24"/>
      <c r="Y419" s="156"/>
    </row>
    <row r="420" spans="1:25" ht="12.5">
      <c r="A420" s="156"/>
      <c r="B420" s="156"/>
      <c r="C420" s="156"/>
      <c r="D420" s="24"/>
      <c r="E420" s="24"/>
      <c r="F420" s="24"/>
      <c r="G420" s="24"/>
      <c r="H420" s="24"/>
      <c r="I420" s="174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24"/>
      <c r="Y420" s="156"/>
    </row>
    <row r="421" spans="1:25" ht="12.5">
      <c r="A421" s="156"/>
      <c r="B421" s="156"/>
      <c r="C421" s="156"/>
      <c r="D421" s="24"/>
      <c r="E421" s="24"/>
      <c r="F421" s="24"/>
      <c r="G421" s="24"/>
      <c r="H421" s="24"/>
      <c r="I421" s="174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24"/>
      <c r="Y421" s="156"/>
    </row>
    <row r="422" spans="1:25" ht="12.5">
      <c r="A422" s="156"/>
      <c r="B422" s="156"/>
      <c r="C422" s="156"/>
      <c r="D422" s="24"/>
      <c r="E422" s="24"/>
      <c r="F422" s="24"/>
      <c r="G422" s="24"/>
      <c r="H422" s="24"/>
      <c r="I422" s="174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24"/>
      <c r="Y422" s="156"/>
    </row>
    <row r="423" spans="1:25" ht="12.5">
      <c r="A423" s="156"/>
      <c r="B423" s="156"/>
      <c r="C423" s="156"/>
      <c r="D423" s="24"/>
      <c r="E423" s="24"/>
      <c r="F423" s="24"/>
      <c r="G423" s="24"/>
      <c r="H423" s="24"/>
      <c r="I423" s="174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24"/>
      <c r="Y423" s="156"/>
    </row>
    <row r="424" spans="1:25" ht="12.5">
      <c r="A424" s="156"/>
      <c r="B424" s="156"/>
      <c r="C424" s="156"/>
      <c r="D424" s="24"/>
      <c r="E424" s="24"/>
      <c r="F424" s="24"/>
      <c r="G424" s="24"/>
      <c r="H424" s="24"/>
      <c r="I424" s="174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24"/>
      <c r="Y424" s="156"/>
    </row>
    <row r="425" spans="1:25" ht="12.5">
      <c r="A425" s="156"/>
      <c r="B425" s="156"/>
      <c r="C425" s="156"/>
      <c r="D425" s="24"/>
      <c r="E425" s="24"/>
      <c r="F425" s="24"/>
      <c r="G425" s="24"/>
      <c r="H425" s="24"/>
      <c r="I425" s="174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24"/>
      <c r="Y425" s="156"/>
    </row>
    <row r="426" spans="1:25" ht="12.5">
      <c r="A426" s="156"/>
      <c r="B426" s="156"/>
      <c r="C426" s="156"/>
      <c r="D426" s="24"/>
      <c r="E426" s="24"/>
      <c r="F426" s="24"/>
      <c r="G426" s="24"/>
      <c r="H426" s="24"/>
      <c r="I426" s="174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24"/>
      <c r="Y426" s="156"/>
    </row>
    <row r="427" spans="1:25" ht="12.5">
      <c r="A427" s="156"/>
      <c r="B427" s="156"/>
      <c r="C427" s="156"/>
      <c r="D427" s="24"/>
      <c r="E427" s="24"/>
      <c r="F427" s="24"/>
      <c r="G427" s="24"/>
      <c r="H427" s="24"/>
      <c r="I427" s="174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24"/>
      <c r="Y427" s="156"/>
    </row>
    <row r="428" spans="1:25" ht="12.5">
      <c r="A428" s="156"/>
      <c r="B428" s="156"/>
      <c r="C428" s="156"/>
      <c r="D428" s="24"/>
      <c r="E428" s="24"/>
      <c r="F428" s="24"/>
      <c r="G428" s="24"/>
      <c r="H428" s="24"/>
      <c r="I428" s="174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24"/>
      <c r="Y428" s="156"/>
    </row>
    <row r="429" spans="1:25" ht="12.5">
      <c r="A429" s="156"/>
      <c r="B429" s="156"/>
      <c r="C429" s="156"/>
      <c r="D429" s="24"/>
      <c r="E429" s="24"/>
      <c r="F429" s="24"/>
      <c r="G429" s="24"/>
      <c r="H429" s="24"/>
      <c r="I429" s="174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24"/>
      <c r="Y429" s="156"/>
    </row>
    <row r="430" spans="1:25" ht="12.5">
      <c r="A430" s="156"/>
      <c r="B430" s="156"/>
      <c r="C430" s="156"/>
      <c r="D430" s="24"/>
      <c r="E430" s="24"/>
      <c r="F430" s="24"/>
      <c r="G430" s="24"/>
      <c r="H430" s="24"/>
      <c r="I430" s="174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24"/>
      <c r="Y430" s="156"/>
    </row>
    <row r="431" spans="1:25" ht="12.5">
      <c r="A431" s="156"/>
      <c r="B431" s="156"/>
      <c r="C431" s="156"/>
      <c r="D431" s="24"/>
      <c r="E431" s="24"/>
      <c r="F431" s="24"/>
      <c r="G431" s="24"/>
      <c r="H431" s="24"/>
      <c r="I431" s="174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24"/>
      <c r="Y431" s="156"/>
    </row>
    <row r="432" spans="1:25" ht="12.5">
      <c r="A432" s="156"/>
      <c r="B432" s="156"/>
      <c r="C432" s="156"/>
      <c r="D432" s="24"/>
      <c r="E432" s="24"/>
      <c r="F432" s="24"/>
      <c r="G432" s="24"/>
      <c r="H432" s="24"/>
      <c r="I432" s="174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24"/>
      <c r="Y432" s="156"/>
    </row>
    <row r="433" spans="1:25" ht="12.5">
      <c r="A433" s="156"/>
      <c r="B433" s="156"/>
      <c r="C433" s="156"/>
      <c r="D433" s="24"/>
      <c r="E433" s="24"/>
      <c r="F433" s="24"/>
      <c r="G433" s="24"/>
      <c r="H433" s="24"/>
      <c r="I433" s="174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24"/>
      <c r="Y433" s="156"/>
    </row>
    <row r="434" spans="1:25" ht="12.5">
      <c r="A434" s="156"/>
      <c r="B434" s="156"/>
      <c r="C434" s="156"/>
      <c r="D434" s="24"/>
      <c r="E434" s="24"/>
      <c r="F434" s="24"/>
      <c r="G434" s="24"/>
      <c r="H434" s="24"/>
      <c r="I434" s="174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24"/>
      <c r="Y434" s="156"/>
    </row>
    <row r="435" spans="1:25" ht="12.5">
      <c r="A435" s="156"/>
      <c r="B435" s="156"/>
      <c r="C435" s="156"/>
      <c r="D435" s="24"/>
      <c r="E435" s="24"/>
      <c r="F435" s="24"/>
      <c r="G435" s="24"/>
      <c r="H435" s="24"/>
      <c r="I435" s="174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24"/>
      <c r="Y435" s="156"/>
    </row>
    <row r="436" spans="1:25" ht="12.5">
      <c r="A436" s="156"/>
      <c r="B436" s="156"/>
      <c r="C436" s="156"/>
      <c r="D436" s="24"/>
      <c r="E436" s="24"/>
      <c r="F436" s="24"/>
      <c r="G436" s="24"/>
      <c r="H436" s="24"/>
      <c r="I436" s="174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24"/>
      <c r="Y436" s="156"/>
    </row>
    <row r="437" spans="1:25" ht="12.5">
      <c r="A437" s="156"/>
      <c r="B437" s="156"/>
      <c r="C437" s="156"/>
      <c r="D437" s="24"/>
      <c r="E437" s="24"/>
      <c r="F437" s="24"/>
      <c r="G437" s="24"/>
      <c r="H437" s="24"/>
      <c r="I437" s="174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24"/>
      <c r="Y437" s="156"/>
    </row>
    <row r="438" spans="1:25" ht="12.5">
      <c r="A438" s="156"/>
      <c r="B438" s="156"/>
      <c r="C438" s="156"/>
      <c r="D438" s="24"/>
      <c r="E438" s="24"/>
      <c r="F438" s="24"/>
      <c r="G438" s="24"/>
      <c r="H438" s="24"/>
      <c r="I438" s="174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24"/>
      <c r="Y438" s="156"/>
    </row>
    <row r="439" spans="1:25" ht="12.5">
      <c r="A439" s="156"/>
      <c r="B439" s="156"/>
      <c r="C439" s="156"/>
      <c r="D439" s="24"/>
      <c r="E439" s="24"/>
      <c r="F439" s="24"/>
      <c r="G439" s="24"/>
      <c r="H439" s="24"/>
      <c r="I439" s="174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24"/>
      <c r="Y439" s="156"/>
    </row>
    <row r="440" spans="1:25" ht="12.5">
      <c r="A440" s="156"/>
      <c r="B440" s="156"/>
      <c r="C440" s="156"/>
      <c r="D440" s="24"/>
      <c r="E440" s="24"/>
      <c r="F440" s="24"/>
      <c r="G440" s="24"/>
      <c r="H440" s="24"/>
      <c r="I440" s="174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24"/>
      <c r="Y440" s="156"/>
    </row>
    <row r="441" spans="1:25" ht="12.5">
      <c r="A441" s="156"/>
      <c r="B441" s="156"/>
      <c r="C441" s="156"/>
      <c r="D441" s="24"/>
      <c r="E441" s="24"/>
      <c r="F441" s="24"/>
      <c r="G441" s="24"/>
      <c r="H441" s="24"/>
      <c r="I441" s="174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24"/>
      <c r="Y441" s="156"/>
    </row>
    <row r="442" spans="1:25" ht="12.5">
      <c r="A442" s="156"/>
      <c r="B442" s="156"/>
      <c r="C442" s="156"/>
      <c r="D442" s="24"/>
      <c r="E442" s="24"/>
      <c r="F442" s="24"/>
      <c r="G442" s="24"/>
      <c r="H442" s="24"/>
      <c r="I442" s="174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24"/>
      <c r="Y442" s="156"/>
    </row>
    <row r="443" spans="1:25" ht="12.5">
      <c r="A443" s="156"/>
      <c r="B443" s="156"/>
      <c r="C443" s="156"/>
      <c r="D443" s="24"/>
      <c r="E443" s="24"/>
      <c r="F443" s="24"/>
      <c r="G443" s="24"/>
      <c r="H443" s="24"/>
      <c r="I443" s="174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24"/>
      <c r="Y443" s="156"/>
    </row>
    <row r="444" spans="1:25" ht="12.5">
      <c r="A444" s="156"/>
      <c r="B444" s="156"/>
      <c r="C444" s="156"/>
      <c r="D444" s="24"/>
      <c r="E444" s="24"/>
      <c r="F444" s="24"/>
      <c r="G444" s="24"/>
      <c r="H444" s="24"/>
      <c r="I444" s="174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24"/>
      <c r="Y444" s="156"/>
    </row>
    <row r="445" spans="1:25" ht="12.5">
      <c r="A445" s="156"/>
      <c r="B445" s="156"/>
      <c r="C445" s="156"/>
      <c r="D445" s="24"/>
      <c r="E445" s="24"/>
      <c r="F445" s="24"/>
      <c r="G445" s="24"/>
      <c r="H445" s="24"/>
      <c r="I445" s="174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24"/>
      <c r="Y445" s="156"/>
    </row>
    <row r="446" spans="1:25" ht="12.5">
      <c r="A446" s="156"/>
      <c r="B446" s="156"/>
      <c r="C446" s="156"/>
      <c r="D446" s="24"/>
      <c r="E446" s="24"/>
      <c r="F446" s="24"/>
      <c r="G446" s="24"/>
      <c r="H446" s="24"/>
      <c r="I446" s="174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24"/>
      <c r="Y446" s="156"/>
    </row>
    <row r="447" spans="1:25" ht="12.5">
      <c r="A447" s="156"/>
      <c r="B447" s="156"/>
      <c r="C447" s="156"/>
      <c r="D447" s="24"/>
      <c r="E447" s="24"/>
      <c r="F447" s="24"/>
      <c r="G447" s="24"/>
      <c r="H447" s="24"/>
      <c r="I447" s="174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24"/>
      <c r="Y447" s="156"/>
    </row>
    <row r="448" spans="1:25" ht="12.5">
      <c r="A448" s="156"/>
      <c r="B448" s="156"/>
      <c r="C448" s="156"/>
      <c r="D448" s="24"/>
      <c r="E448" s="24"/>
      <c r="F448" s="24"/>
      <c r="G448" s="24"/>
      <c r="H448" s="24"/>
      <c r="I448" s="174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24"/>
      <c r="Y448" s="156"/>
    </row>
    <row r="449" spans="1:25" ht="12.5">
      <c r="A449" s="156"/>
      <c r="B449" s="156"/>
      <c r="C449" s="156"/>
      <c r="D449" s="24"/>
      <c r="E449" s="24"/>
      <c r="F449" s="24"/>
      <c r="G449" s="24"/>
      <c r="H449" s="24"/>
      <c r="I449" s="174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24"/>
      <c r="Y449" s="156"/>
    </row>
    <row r="450" spans="1:25" ht="12.5">
      <c r="A450" s="156"/>
      <c r="B450" s="156"/>
      <c r="C450" s="156"/>
      <c r="D450" s="24"/>
      <c r="E450" s="24"/>
      <c r="F450" s="24"/>
      <c r="G450" s="24"/>
      <c r="H450" s="24"/>
      <c r="I450" s="174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24"/>
      <c r="Y450" s="156"/>
    </row>
    <row r="451" spans="1:25" ht="12.5">
      <c r="A451" s="156"/>
      <c r="B451" s="156"/>
      <c r="C451" s="156"/>
      <c r="D451" s="24"/>
      <c r="E451" s="24"/>
      <c r="F451" s="24"/>
      <c r="G451" s="24"/>
      <c r="H451" s="24"/>
      <c r="I451" s="174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24"/>
      <c r="Y451" s="156"/>
    </row>
    <row r="452" spans="1:25" ht="12.5">
      <c r="A452" s="156"/>
      <c r="B452" s="156"/>
      <c r="C452" s="156"/>
      <c r="D452" s="24"/>
      <c r="E452" s="24"/>
      <c r="F452" s="24"/>
      <c r="G452" s="24"/>
      <c r="H452" s="24"/>
      <c r="I452" s="174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24"/>
      <c r="Y452" s="156"/>
    </row>
    <row r="453" spans="1:25" ht="12.5">
      <c r="A453" s="156"/>
      <c r="B453" s="156"/>
      <c r="C453" s="156"/>
      <c r="D453" s="24"/>
      <c r="E453" s="24"/>
      <c r="F453" s="24"/>
      <c r="G453" s="24"/>
      <c r="H453" s="24"/>
      <c r="I453" s="174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24"/>
      <c r="Y453" s="156"/>
    </row>
    <row r="454" spans="1:25" ht="12.5">
      <c r="A454" s="156"/>
      <c r="B454" s="156"/>
      <c r="C454" s="156"/>
      <c r="D454" s="24"/>
      <c r="E454" s="24"/>
      <c r="F454" s="24"/>
      <c r="G454" s="24"/>
      <c r="H454" s="24"/>
      <c r="I454" s="174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24"/>
      <c r="Y454" s="156"/>
    </row>
    <row r="455" spans="1:25" ht="12.5">
      <c r="A455" s="156"/>
      <c r="B455" s="156"/>
      <c r="C455" s="156"/>
      <c r="D455" s="24"/>
      <c r="E455" s="24"/>
      <c r="F455" s="24"/>
      <c r="G455" s="24"/>
      <c r="H455" s="24"/>
      <c r="I455" s="174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24"/>
      <c r="Y455" s="156"/>
    </row>
    <row r="456" spans="1:25" ht="12.5">
      <c r="A456" s="156"/>
      <c r="B456" s="156"/>
      <c r="C456" s="156"/>
      <c r="D456" s="24"/>
      <c r="E456" s="24"/>
      <c r="F456" s="24"/>
      <c r="G456" s="24"/>
      <c r="H456" s="24"/>
      <c r="I456" s="174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24"/>
      <c r="Y456" s="156"/>
    </row>
    <row r="457" spans="1:25" ht="12.5">
      <c r="A457" s="156"/>
      <c r="B457" s="156"/>
      <c r="C457" s="156"/>
      <c r="D457" s="24"/>
      <c r="E457" s="24"/>
      <c r="F457" s="24"/>
      <c r="G457" s="24"/>
      <c r="H457" s="24"/>
      <c r="I457" s="174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24"/>
      <c r="Y457" s="156"/>
    </row>
    <row r="458" spans="1:25" ht="12.5">
      <c r="A458" s="156"/>
      <c r="B458" s="156"/>
      <c r="C458" s="156"/>
      <c r="D458" s="24"/>
      <c r="E458" s="24"/>
      <c r="F458" s="24"/>
      <c r="G458" s="24"/>
      <c r="H458" s="24"/>
      <c r="I458" s="174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24"/>
      <c r="Y458" s="156"/>
    </row>
    <row r="459" spans="1:25" ht="12.5">
      <c r="A459" s="156"/>
      <c r="B459" s="156"/>
      <c r="C459" s="156"/>
      <c r="D459" s="24"/>
      <c r="E459" s="24"/>
      <c r="F459" s="24"/>
      <c r="G459" s="24"/>
      <c r="H459" s="24"/>
      <c r="I459" s="174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24"/>
      <c r="Y459" s="156"/>
    </row>
    <row r="460" spans="1:25" ht="12.5">
      <c r="A460" s="156"/>
      <c r="B460" s="156"/>
      <c r="C460" s="156"/>
      <c r="D460" s="24"/>
      <c r="E460" s="24"/>
      <c r="F460" s="24"/>
      <c r="G460" s="24"/>
      <c r="H460" s="24"/>
      <c r="I460" s="174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24"/>
      <c r="Y460" s="156"/>
    </row>
    <row r="461" spans="1:25" ht="12.5">
      <c r="A461" s="156"/>
      <c r="B461" s="156"/>
      <c r="C461" s="156"/>
      <c r="D461" s="24"/>
      <c r="E461" s="24"/>
      <c r="F461" s="24"/>
      <c r="G461" s="24"/>
      <c r="H461" s="24"/>
      <c r="I461" s="174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24"/>
      <c r="Y461" s="156"/>
    </row>
    <row r="462" spans="1:25" ht="12.5">
      <c r="A462" s="156"/>
      <c r="B462" s="156"/>
      <c r="C462" s="156"/>
      <c r="D462" s="24"/>
      <c r="E462" s="24"/>
      <c r="F462" s="24"/>
      <c r="G462" s="24"/>
      <c r="H462" s="24"/>
      <c r="I462" s="174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24"/>
      <c r="Y462" s="156"/>
    </row>
    <row r="463" spans="1:25" ht="12.5">
      <c r="A463" s="156"/>
      <c r="B463" s="156"/>
      <c r="C463" s="156"/>
      <c r="D463" s="24"/>
      <c r="E463" s="24"/>
      <c r="F463" s="24"/>
      <c r="G463" s="24"/>
      <c r="H463" s="24"/>
      <c r="I463" s="174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24"/>
      <c r="Y463" s="156"/>
    </row>
    <row r="464" spans="1:25" ht="12.5">
      <c r="A464" s="156"/>
      <c r="B464" s="156"/>
      <c r="C464" s="156"/>
      <c r="D464" s="24"/>
      <c r="E464" s="24"/>
      <c r="F464" s="24"/>
      <c r="G464" s="24"/>
      <c r="H464" s="24"/>
      <c r="I464" s="174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24"/>
      <c r="Y464" s="156"/>
    </row>
    <row r="465" spans="1:25" ht="12.5">
      <c r="A465" s="156"/>
      <c r="B465" s="156"/>
      <c r="C465" s="156"/>
      <c r="D465" s="24"/>
      <c r="E465" s="24"/>
      <c r="F465" s="24"/>
      <c r="G465" s="24"/>
      <c r="H465" s="24"/>
      <c r="I465" s="174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24"/>
      <c r="Y465" s="156"/>
    </row>
    <row r="466" spans="1:25" ht="12.5">
      <c r="A466" s="156"/>
      <c r="B466" s="156"/>
      <c r="C466" s="156"/>
      <c r="D466" s="24"/>
      <c r="E466" s="24"/>
      <c r="F466" s="24"/>
      <c r="G466" s="24"/>
      <c r="H466" s="24"/>
      <c r="I466" s="174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24"/>
      <c r="Y466" s="156"/>
    </row>
    <row r="467" spans="1:25" ht="12.5">
      <c r="A467" s="156"/>
      <c r="B467" s="156"/>
      <c r="C467" s="156"/>
      <c r="D467" s="24"/>
      <c r="E467" s="24"/>
      <c r="F467" s="24"/>
      <c r="G467" s="24"/>
      <c r="H467" s="24"/>
      <c r="I467" s="174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24"/>
      <c r="Y467" s="156"/>
    </row>
    <row r="468" spans="1:25" ht="12.5">
      <c r="A468" s="156"/>
      <c r="B468" s="156"/>
      <c r="C468" s="156"/>
      <c r="D468" s="24"/>
      <c r="E468" s="24"/>
      <c r="F468" s="24"/>
      <c r="G468" s="24"/>
      <c r="H468" s="24"/>
      <c r="I468" s="174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24"/>
      <c r="Y468" s="156"/>
    </row>
    <row r="469" spans="1:25" ht="12.5">
      <c r="A469" s="156"/>
      <c r="B469" s="156"/>
      <c r="C469" s="156"/>
      <c r="D469" s="24"/>
      <c r="E469" s="24"/>
      <c r="F469" s="24"/>
      <c r="G469" s="24"/>
      <c r="H469" s="24"/>
      <c r="I469" s="174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24"/>
      <c r="Y469" s="156"/>
    </row>
    <row r="470" spans="1:25" ht="12.5">
      <c r="A470" s="156"/>
      <c r="B470" s="156"/>
      <c r="C470" s="156"/>
      <c r="D470" s="24"/>
      <c r="E470" s="24"/>
      <c r="F470" s="24"/>
      <c r="G470" s="24"/>
      <c r="H470" s="24"/>
      <c r="I470" s="174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24"/>
      <c r="Y470" s="156"/>
    </row>
    <row r="471" spans="1:25" ht="12.5">
      <c r="A471" s="156"/>
      <c r="B471" s="156"/>
      <c r="C471" s="156"/>
      <c r="D471" s="24"/>
      <c r="E471" s="24"/>
      <c r="F471" s="24"/>
      <c r="G471" s="24"/>
      <c r="H471" s="24"/>
      <c r="I471" s="174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24"/>
      <c r="Y471" s="156"/>
    </row>
    <row r="472" spans="1:25" ht="12.5">
      <c r="A472" s="156"/>
      <c r="B472" s="156"/>
      <c r="C472" s="156"/>
      <c r="D472" s="24"/>
      <c r="E472" s="24"/>
      <c r="F472" s="24"/>
      <c r="G472" s="24"/>
      <c r="H472" s="24"/>
      <c r="I472" s="174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24"/>
      <c r="Y472" s="156"/>
    </row>
    <row r="473" spans="1:25" ht="12.5">
      <c r="A473" s="156"/>
      <c r="B473" s="156"/>
      <c r="C473" s="156"/>
      <c r="D473" s="24"/>
      <c r="E473" s="24"/>
      <c r="F473" s="24"/>
      <c r="G473" s="24"/>
      <c r="H473" s="24"/>
      <c r="I473" s="174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24"/>
      <c r="Y473" s="156"/>
    </row>
    <row r="474" spans="1:25" ht="12.5">
      <c r="A474" s="156"/>
      <c r="B474" s="156"/>
      <c r="C474" s="156"/>
      <c r="D474" s="24"/>
      <c r="E474" s="24"/>
      <c r="F474" s="24"/>
      <c r="G474" s="24"/>
      <c r="H474" s="24"/>
      <c r="I474" s="174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24"/>
      <c r="Y474" s="156"/>
    </row>
    <row r="475" spans="1:25" ht="12.5">
      <c r="A475" s="156"/>
      <c r="B475" s="156"/>
      <c r="C475" s="156"/>
      <c r="D475" s="24"/>
      <c r="E475" s="24"/>
      <c r="F475" s="24"/>
      <c r="G475" s="24"/>
      <c r="H475" s="24"/>
      <c r="I475" s="174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24"/>
      <c r="Y475" s="156"/>
    </row>
    <row r="476" spans="1:25" ht="12.5">
      <c r="A476" s="156"/>
      <c r="B476" s="156"/>
      <c r="C476" s="156"/>
      <c r="D476" s="24"/>
      <c r="E476" s="24"/>
      <c r="F476" s="24"/>
      <c r="G476" s="24"/>
      <c r="H476" s="24"/>
      <c r="I476" s="174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24"/>
      <c r="Y476" s="156"/>
    </row>
    <row r="477" spans="1:25" ht="12.5">
      <c r="A477" s="156"/>
      <c r="B477" s="156"/>
      <c r="C477" s="156"/>
      <c r="D477" s="24"/>
      <c r="E477" s="24"/>
      <c r="F477" s="24"/>
      <c r="G477" s="24"/>
      <c r="H477" s="24"/>
      <c r="I477" s="174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24"/>
      <c r="Y477" s="156"/>
    </row>
    <row r="478" spans="1:25" ht="12.5">
      <c r="A478" s="156"/>
      <c r="B478" s="156"/>
      <c r="C478" s="156"/>
      <c r="D478" s="24"/>
      <c r="E478" s="24"/>
      <c r="F478" s="24"/>
      <c r="G478" s="24"/>
      <c r="H478" s="24"/>
      <c r="I478" s="174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24"/>
      <c r="Y478" s="156"/>
    </row>
    <row r="479" spans="1:25" ht="12.5">
      <c r="A479" s="156"/>
      <c r="B479" s="156"/>
      <c r="C479" s="156"/>
      <c r="D479" s="24"/>
      <c r="E479" s="24"/>
      <c r="F479" s="24"/>
      <c r="G479" s="24"/>
      <c r="H479" s="24"/>
      <c r="I479" s="174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24"/>
      <c r="Y479" s="156"/>
    </row>
    <row r="480" spans="1:25" ht="12.5">
      <c r="A480" s="156"/>
      <c r="B480" s="156"/>
      <c r="C480" s="156"/>
      <c r="D480" s="24"/>
      <c r="E480" s="24"/>
      <c r="F480" s="24"/>
      <c r="G480" s="24"/>
      <c r="H480" s="24"/>
      <c r="I480" s="174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24"/>
      <c r="Y480" s="156"/>
    </row>
    <row r="481" spans="1:25" ht="12.5">
      <c r="A481" s="156"/>
      <c r="B481" s="156"/>
      <c r="C481" s="156"/>
      <c r="D481" s="24"/>
      <c r="E481" s="24"/>
      <c r="F481" s="24"/>
      <c r="G481" s="24"/>
      <c r="H481" s="24"/>
      <c r="I481" s="174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24"/>
      <c r="Y481" s="156"/>
    </row>
    <row r="482" spans="1:25" ht="12.5">
      <c r="A482" s="156"/>
      <c r="B482" s="156"/>
      <c r="C482" s="156"/>
      <c r="D482" s="24"/>
      <c r="E482" s="24"/>
      <c r="F482" s="24"/>
      <c r="G482" s="24"/>
      <c r="H482" s="24"/>
      <c r="I482" s="174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24"/>
      <c r="Y482" s="156"/>
    </row>
    <row r="483" spans="1:25" ht="12.5">
      <c r="A483" s="156"/>
      <c r="B483" s="156"/>
      <c r="C483" s="156"/>
      <c r="D483" s="24"/>
      <c r="E483" s="24"/>
      <c r="F483" s="24"/>
      <c r="G483" s="24"/>
      <c r="H483" s="24"/>
      <c r="I483" s="174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24"/>
      <c r="Y483" s="156"/>
    </row>
    <row r="484" spans="1:25" ht="12.5">
      <c r="A484" s="156"/>
      <c r="B484" s="156"/>
      <c r="C484" s="156"/>
      <c r="D484" s="24"/>
      <c r="E484" s="24"/>
      <c r="F484" s="24"/>
      <c r="G484" s="24"/>
      <c r="H484" s="24"/>
      <c r="I484" s="174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24"/>
      <c r="Y484" s="156"/>
    </row>
    <row r="485" spans="1:25" ht="12.5">
      <c r="A485" s="156"/>
      <c r="B485" s="156"/>
      <c r="C485" s="156"/>
      <c r="D485" s="24"/>
      <c r="E485" s="24"/>
      <c r="F485" s="24"/>
      <c r="G485" s="24"/>
      <c r="H485" s="24"/>
      <c r="I485" s="174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24"/>
      <c r="Y485" s="156"/>
    </row>
    <row r="486" spans="1:25" ht="12.5">
      <c r="A486" s="156"/>
      <c r="B486" s="156"/>
      <c r="C486" s="156"/>
      <c r="D486" s="24"/>
      <c r="E486" s="24"/>
      <c r="F486" s="24"/>
      <c r="G486" s="24"/>
      <c r="H486" s="24"/>
      <c r="I486" s="174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24"/>
      <c r="Y486" s="156"/>
    </row>
    <row r="487" spans="1:25" ht="12.5">
      <c r="A487" s="156"/>
      <c r="B487" s="156"/>
      <c r="C487" s="156"/>
      <c r="D487" s="24"/>
      <c r="E487" s="24"/>
      <c r="F487" s="24"/>
      <c r="G487" s="24"/>
      <c r="H487" s="24"/>
      <c r="I487" s="174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24"/>
      <c r="Y487" s="156"/>
    </row>
    <row r="488" spans="1:25" ht="12.5">
      <c r="A488" s="156"/>
      <c r="B488" s="156"/>
      <c r="C488" s="156"/>
      <c r="D488" s="24"/>
      <c r="E488" s="24"/>
      <c r="F488" s="24"/>
      <c r="G488" s="24"/>
      <c r="H488" s="24"/>
      <c r="I488" s="174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24"/>
      <c r="Y488" s="156"/>
    </row>
    <row r="489" spans="1:25" ht="12.5">
      <c r="A489" s="156"/>
      <c r="B489" s="156"/>
      <c r="C489" s="156"/>
      <c r="D489" s="24"/>
      <c r="E489" s="24"/>
      <c r="F489" s="24"/>
      <c r="G489" s="24"/>
      <c r="H489" s="24"/>
      <c r="I489" s="174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24"/>
      <c r="Y489" s="156"/>
    </row>
    <row r="490" spans="1:25" ht="12.5">
      <c r="A490" s="156"/>
      <c r="B490" s="156"/>
      <c r="C490" s="156"/>
      <c r="D490" s="24"/>
      <c r="E490" s="24"/>
      <c r="F490" s="24"/>
      <c r="G490" s="24"/>
      <c r="H490" s="24"/>
      <c r="I490" s="174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24"/>
      <c r="Y490" s="156"/>
    </row>
    <row r="491" spans="1:25" ht="12.5">
      <c r="A491" s="156"/>
      <c r="B491" s="156"/>
      <c r="C491" s="156"/>
      <c r="D491" s="24"/>
      <c r="E491" s="24"/>
      <c r="F491" s="24"/>
      <c r="G491" s="24"/>
      <c r="H491" s="24"/>
      <c r="I491" s="174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24"/>
      <c r="Y491" s="156"/>
    </row>
    <row r="492" spans="1:25" ht="12.5">
      <c r="A492" s="156"/>
      <c r="B492" s="156"/>
      <c r="C492" s="156"/>
      <c r="D492" s="24"/>
      <c r="E492" s="24"/>
      <c r="F492" s="24"/>
      <c r="G492" s="24"/>
      <c r="H492" s="24"/>
      <c r="I492" s="174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24"/>
      <c r="Y492" s="156"/>
    </row>
    <row r="493" spans="1:25" ht="12.5">
      <c r="A493" s="156"/>
      <c r="B493" s="156"/>
      <c r="C493" s="156"/>
      <c r="D493" s="24"/>
      <c r="E493" s="24"/>
      <c r="F493" s="24"/>
      <c r="G493" s="24"/>
      <c r="H493" s="24"/>
      <c r="I493" s="174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24"/>
      <c r="Y493" s="156"/>
    </row>
    <row r="494" spans="1:25" ht="12.5">
      <c r="A494" s="156"/>
      <c r="B494" s="156"/>
      <c r="C494" s="156"/>
      <c r="D494" s="24"/>
      <c r="E494" s="24"/>
      <c r="F494" s="24"/>
      <c r="G494" s="24"/>
      <c r="H494" s="24"/>
      <c r="I494" s="174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24"/>
      <c r="Y494" s="156"/>
    </row>
    <row r="495" spans="1:25" ht="12.5">
      <c r="A495" s="156"/>
      <c r="B495" s="156"/>
      <c r="C495" s="156"/>
      <c r="D495" s="24"/>
      <c r="E495" s="24"/>
      <c r="F495" s="24"/>
      <c r="G495" s="24"/>
      <c r="H495" s="24"/>
      <c r="I495" s="174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24"/>
      <c r="Y495" s="156"/>
    </row>
    <row r="496" spans="1:25" ht="12.5">
      <c r="A496" s="156"/>
      <c r="B496" s="156"/>
      <c r="C496" s="156"/>
      <c r="D496" s="24"/>
      <c r="E496" s="24"/>
      <c r="F496" s="24"/>
      <c r="G496" s="24"/>
      <c r="H496" s="24"/>
      <c r="I496" s="174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24"/>
      <c r="Y496" s="156"/>
    </row>
    <row r="497" spans="1:25" ht="12.5">
      <c r="A497" s="156"/>
      <c r="B497" s="156"/>
      <c r="C497" s="156"/>
      <c r="D497" s="24"/>
      <c r="E497" s="24"/>
      <c r="F497" s="24"/>
      <c r="G497" s="24"/>
      <c r="H497" s="24"/>
      <c r="I497" s="174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24"/>
      <c r="Y497" s="156"/>
    </row>
    <row r="498" spans="1:25" ht="12.5">
      <c r="A498" s="156"/>
      <c r="B498" s="156"/>
      <c r="C498" s="156"/>
      <c r="D498" s="24"/>
      <c r="E498" s="24"/>
      <c r="F498" s="24"/>
      <c r="G498" s="24"/>
      <c r="H498" s="24"/>
      <c r="I498" s="174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24"/>
      <c r="Y498" s="156"/>
    </row>
    <row r="499" spans="1:25" ht="12.5">
      <c r="A499" s="156"/>
      <c r="B499" s="156"/>
      <c r="C499" s="156"/>
      <c r="D499" s="24"/>
      <c r="E499" s="24"/>
      <c r="F499" s="24"/>
      <c r="G499" s="24"/>
      <c r="H499" s="24"/>
      <c r="I499" s="174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24"/>
      <c r="Y499" s="156"/>
    </row>
    <row r="500" spans="1:25" ht="12.5">
      <c r="A500" s="156"/>
      <c r="B500" s="156"/>
      <c r="C500" s="156"/>
      <c r="D500" s="24"/>
      <c r="E500" s="24"/>
      <c r="F500" s="24"/>
      <c r="G500" s="24"/>
      <c r="H500" s="24"/>
      <c r="I500" s="174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24"/>
      <c r="Y500" s="156"/>
    </row>
    <row r="501" spans="1:25" ht="12.5">
      <c r="A501" s="156"/>
      <c r="B501" s="156"/>
      <c r="C501" s="156"/>
      <c r="D501" s="24"/>
      <c r="E501" s="24"/>
      <c r="F501" s="24"/>
      <c r="G501" s="24"/>
      <c r="H501" s="24"/>
      <c r="I501" s="174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24"/>
      <c r="Y501" s="156"/>
    </row>
    <row r="502" spans="1:25" ht="12.5">
      <c r="A502" s="156"/>
      <c r="B502" s="156"/>
      <c r="C502" s="156"/>
      <c r="D502" s="24"/>
      <c r="E502" s="24"/>
      <c r="F502" s="24"/>
      <c r="G502" s="24"/>
      <c r="H502" s="24"/>
      <c r="I502" s="174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24"/>
      <c r="Y502" s="156"/>
    </row>
    <row r="503" spans="1:25" ht="12.5">
      <c r="A503" s="156"/>
      <c r="B503" s="156"/>
      <c r="C503" s="156"/>
      <c r="D503" s="24"/>
      <c r="E503" s="24"/>
      <c r="F503" s="24"/>
      <c r="G503" s="24"/>
      <c r="H503" s="24"/>
      <c r="I503" s="174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24"/>
      <c r="Y503" s="156"/>
    </row>
    <row r="504" spans="1:25" ht="12.5">
      <c r="A504" s="156"/>
      <c r="B504" s="156"/>
      <c r="C504" s="156"/>
      <c r="D504" s="24"/>
      <c r="E504" s="24"/>
      <c r="F504" s="24"/>
      <c r="G504" s="24"/>
      <c r="H504" s="24"/>
      <c r="I504" s="174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24"/>
      <c r="Y504" s="156"/>
    </row>
    <row r="505" spans="1:25" ht="12.5">
      <c r="A505" s="156"/>
      <c r="B505" s="156"/>
      <c r="C505" s="156"/>
      <c r="D505" s="24"/>
      <c r="E505" s="24"/>
      <c r="F505" s="24"/>
      <c r="G505" s="24"/>
      <c r="H505" s="24"/>
      <c r="I505" s="174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24"/>
      <c r="Y505" s="156"/>
    </row>
    <row r="506" spans="1:25" ht="12.5">
      <c r="A506" s="156"/>
      <c r="B506" s="156"/>
      <c r="C506" s="156"/>
      <c r="D506" s="24"/>
      <c r="E506" s="24"/>
      <c r="F506" s="24"/>
      <c r="G506" s="24"/>
      <c r="H506" s="24"/>
      <c r="I506" s="174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24"/>
      <c r="Y506" s="156"/>
    </row>
    <row r="507" spans="1:25" ht="12.5">
      <c r="A507" s="156"/>
      <c r="B507" s="156"/>
      <c r="C507" s="156"/>
      <c r="D507" s="24"/>
      <c r="E507" s="24"/>
      <c r="F507" s="24"/>
      <c r="G507" s="24"/>
      <c r="H507" s="24"/>
      <c r="I507" s="174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24"/>
      <c r="Y507" s="156"/>
    </row>
    <row r="508" spans="1:25" ht="12.5">
      <c r="A508" s="156"/>
      <c r="B508" s="156"/>
      <c r="C508" s="156"/>
      <c r="D508" s="24"/>
      <c r="E508" s="24"/>
      <c r="F508" s="24"/>
      <c r="G508" s="24"/>
      <c r="H508" s="24"/>
      <c r="I508" s="174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24"/>
      <c r="Y508" s="156"/>
    </row>
    <row r="509" spans="1:25" ht="12.5">
      <c r="A509" s="156"/>
      <c r="B509" s="156"/>
      <c r="C509" s="156"/>
      <c r="D509" s="24"/>
      <c r="E509" s="24"/>
      <c r="F509" s="24"/>
      <c r="G509" s="24"/>
      <c r="H509" s="24"/>
      <c r="I509" s="174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24"/>
      <c r="Y509" s="156"/>
    </row>
    <row r="510" spans="1:25" ht="12.5">
      <c r="A510" s="156"/>
      <c r="B510" s="156"/>
      <c r="C510" s="156"/>
      <c r="D510" s="24"/>
      <c r="E510" s="24"/>
      <c r="F510" s="24"/>
      <c r="G510" s="24"/>
      <c r="H510" s="24"/>
      <c r="I510" s="174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24"/>
      <c r="Y510" s="156"/>
    </row>
    <row r="511" spans="1:25" ht="12.5">
      <c r="A511" s="156"/>
      <c r="B511" s="156"/>
      <c r="C511" s="156"/>
      <c r="D511" s="24"/>
      <c r="E511" s="24"/>
      <c r="F511" s="24"/>
      <c r="G511" s="24"/>
      <c r="H511" s="24"/>
      <c r="I511" s="174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24"/>
      <c r="Y511" s="156"/>
    </row>
    <row r="512" spans="1:25" ht="12.5">
      <c r="A512" s="156"/>
      <c r="B512" s="156"/>
      <c r="C512" s="156"/>
      <c r="D512" s="24"/>
      <c r="E512" s="24"/>
      <c r="F512" s="24"/>
      <c r="G512" s="24"/>
      <c r="H512" s="24"/>
      <c r="I512" s="174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24"/>
      <c r="Y512" s="156"/>
    </row>
    <row r="513" spans="1:25" ht="12.5">
      <c r="A513" s="156"/>
      <c r="B513" s="156"/>
      <c r="C513" s="156"/>
      <c r="D513" s="24"/>
      <c r="E513" s="24"/>
      <c r="F513" s="24"/>
      <c r="G513" s="24"/>
      <c r="H513" s="24"/>
      <c r="I513" s="174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24"/>
      <c r="Y513" s="156"/>
    </row>
    <row r="514" spans="1:25" ht="12.5">
      <c r="A514" s="156"/>
      <c r="B514" s="156"/>
      <c r="C514" s="156"/>
      <c r="D514" s="24"/>
      <c r="E514" s="24"/>
      <c r="F514" s="24"/>
      <c r="G514" s="24"/>
      <c r="H514" s="24"/>
      <c r="I514" s="174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24"/>
      <c r="Y514" s="156"/>
    </row>
    <row r="515" spans="1:25" ht="12.5">
      <c r="A515" s="156"/>
      <c r="B515" s="156"/>
      <c r="C515" s="156"/>
      <c r="D515" s="24"/>
      <c r="E515" s="24"/>
      <c r="F515" s="24"/>
      <c r="G515" s="24"/>
      <c r="H515" s="24"/>
      <c r="I515" s="174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24"/>
      <c r="Y515" s="156"/>
    </row>
    <row r="516" spans="1:25" ht="12.5">
      <c r="A516" s="156"/>
      <c r="B516" s="156"/>
      <c r="C516" s="156"/>
      <c r="D516" s="24"/>
      <c r="E516" s="24"/>
      <c r="F516" s="24"/>
      <c r="G516" s="24"/>
      <c r="H516" s="24"/>
      <c r="I516" s="174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24"/>
      <c r="Y516" s="156"/>
    </row>
    <row r="517" spans="1:25" ht="12.5">
      <c r="A517" s="156"/>
      <c r="B517" s="156"/>
      <c r="C517" s="156"/>
      <c r="D517" s="24"/>
      <c r="E517" s="24"/>
      <c r="F517" s="24"/>
      <c r="G517" s="24"/>
      <c r="H517" s="24"/>
      <c r="I517" s="174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24"/>
      <c r="Y517" s="156"/>
    </row>
    <row r="518" spans="1:25" ht="12.5">
      <c r="A518" s="156"/>
      <c r="B518" s="156"/>
      <c r="C518" s="156"/>
      <c r="D518" s="24"/>
      <c r="E518" s="24"/>
      <c r="F518" s="24"/>
      <c r="G518" s="24"/>
      <c r="H518" s="24"/>
      <c r="I518" s="174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24"/>
      <c r="Y518" s="156"/>
    </row>
    <row r="519" spans="1:25" ht="12.5">
      <c r="A519" s="156"/>
      <c r="B519" s="156"/>
      <c r="C519" s="156"/>
      <c r="D519" s="24"/>
      <c r="E519" s="24"/>
      <c r="F519" s="24"/>
      <c r="G519" s="24"/>
      <c r="H519" s="24"/>
      <c r="I519" s="174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24"/>
      <c r="Y519" s="156"/>
    </row>
    <row r="520" spans="1:25" ht="12.5">
      <c r="A520" s="156"/>
      <c r="B520" s="156"/>
      <c r="C520" s="156"/>
      <c r="D520" s="24"/>
      <c r="E520" s="24"/>
      <c r="F520" s="24"/>
      <c r="G520" s="24"/>
      <c r="H520" s="24"/>
      <c r="I520" s="174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24"/>
      <c r="Y520" s="156"/>
    </row>
    <row r="521" spans="1:25" ht="12.5">
      <c r="A521" s="156"/>
      <c r="B521" s="156"/>
      <c r="C521" s="156"/>
      <c r="D521" s="24"/>
      <c r="E521" s="24"/>
      <c r="F521" s="24"/>
      <c r="G521" s="24"/>
      <c r="H521" s="24"/>
      <c r="I521" s="174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24"/>
      <c r="Y521" s="156"/>
    </row>
    <row r="522" spans="1:25" ht="12.5">
      <c r="A522" s="156"/>
      <c r="B522" s="156"/>
      <c r="C522" s="156"/>
      <c r="D522" s="24"/>
      <c r="E522" s="24"/>
      <c r="F522" s="24"/>
      <c r="G522" s="24"/>
      <c r="H522" s="24"/>
      <c r="I522" s="174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24"/>
      <c r="Y522" s="156"/>
    </row>
    <row r="523" spans="1:25" ht="12.5">
      <c r="A523" s="156"/>
      <c r="B523" s="156"/>
      <c r="C523" s="156"/>
      <c r="D523" s="24"/>
      <c r="E523" s="24"/>
      <c r="F523" s="24"/>
      <c r="G523" s="24"/>
      <c r="H523" s="24"/>
      <c r="I523" s="174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24"/>
      <c r="Y523" s="156"/>
    </row>
    <row r="524" spans="1:25" ht="12.5">
      <c r="A524" s="156"/>
      <c r="B524" s="156"/>
      <c r="C524" s="156"/>
      <c r="D524" s="24"/>
      <c r="E524" s="24"/>
      <c r="F524" s="24"/>
      <c r="G524" s="24"/>
      <c r="H524" s="24"/>
      <c r="I524" s="174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24"/>
      <c r="Y524" s="156"/>
    </row>
    <row r="525" spans="1:25" ht="12.5">
      <c r="A525" s="156"/>
      <c r="B525" s="156"/>
      <c r="C525" s="156"/>
      <c r="D525" s="24"/>
      <c r="E525" s="24"/>
      <c r="F525" s="24"/>
      <c r="G525" s="24"/>
      <c r="H525" s="24"/>
      <c r="I525" s="174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24"/>
      <c r="Y525" s="156"/>
    </row>
    <row r="526" spans="1:25" ht="12.5">
      <c r="A526" s="156"/>
      <c r="B526" s="156"/>
      <c r="C526" s="156"/>
      <c r="D526" s="24"/>
      <c r="E526" s="24"/>
      <c r="F526" s="24"/>
      <c r="G526" s="24"/>
      <c r="H526" s="24"/>
      <c r="I526" s="174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24"/>
      <c r="Y526" s="156"/>
    </row>
    <row r="527" spans="1:25" ht="12.5">
      <c r="A527" s="156"/>
      <c r="B527" s="156"/>
      <c r="C527" s="156"/>
      <c r="D527" s="24"/>
      <c r="E527" s="24"/>
      <c r="F527" s="24"/>
      <c r="G527" s="24"/>
      <c r="H527" s="24"/>
      <c r="I527" s="174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24"/>
      <c r="Y527" s="156"/>
    </row>
    <row r="528" spans="1:25" ht="12.5">
      <c r="A528" s="156"/>
      <c r="B528" s="156"/>
      <c r="C528" s="156"/>
      <c r="D528" s="24"/>
      <c r="E528" s="24"/>
      <c r="F528" s="24"/>
      <c r="G528" s="24"/>
      <c r="H528" s="24"/>
      <c r="I528" s="174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24"/>
      <c r="Y528" s="156"/>
    </row>
    <row r="529" spans="1:25" ht="12.5">
      <c r="A529" s="156"/>
      <c r="B529" s="156"/>
      <c r="C529" s="156"/>
      <c r="D529" s="24"/>
      <c r="E529" s="24"/>
      <c r="F529" s="24"/>
      <c r="G529" s="24"/>
      <c r="H529" s="24"/>
      <c r="I529" s="174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24"/>
      <c r="Y529" s="156"/>
    </row>
    <row r="530" spans="1:25" ht="12.5">
      <c r="A530" s="156"/>
      <c r="B530" s="156"/>
      <c r="C530" s="156"/>
      <c r="D530" s="24"/>
      <c r="E530" s="24"/>
      <c r="F530" s="24"/>
      <c r="G530" s="24"/>
      <c r="H530" s="24"/>
      <c r="I530" s="174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24"/>
      <c r="Y530" s="156"/>
    </row>
    <row r="531" spans="1:25" ht="12.5">
      <c r="A531" s="156"/>
      <c r="B531" s="156"/>
      <c r="C531" s="156"/>
      <c r="D531" s="24"/>
      <c r="E531" s="24"/>
      <c r="F531" s="24"/>
      <c r="G531" s="24"/>
      <c r="H531" s="24"/>
      <c r="I531" s="174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24"/>
      <c r="Y531" s="156"/>
    </row>
    <row r="532" spans="1:25" ht="12.5">
      <c r="A532" s="156"/>
      <c r="B532" s="156"/>
      <c r="C532" s="156"/>
      <c r="D532" s="24"/>
      <c r="E532" s="24"/>
      <c r="F532" s="24"/>
      <c r="G532" s="24"/>
      <c r="H532" s="24"/>
      <c r="I532" s="174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24"/>
      <c r="Y532" s="156"/>
    </row>
    <row r="533" spans="1:25" ht="12.5">
      <c r="A533" s="156"/>
      <c r="B533" s="156"/>
      <c r="C533" s="156"/>
      <c r="D533" s="24"/>
      <c r="E533" s="24"/>
      <c r="F533" s="24"/>
      <c r="G533" s="24"/>
      <c r="H533" s="24"/>
      <c r="I533" s="174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24"/>
      <c r="Y533" s="156"/>
    </row>
    <row r="534" spans="1:25" ht="12.5">
      <c r="A534" s="156"/>
      <c r="B534" s="156"/>
      <c r="C534" s="156"/>
      <c r="D534" s="24"/>
      <c r="E534" s="24"/>
      <c r="F534" s="24"/>
      <c r="G534" s="24"/>
      <c r="H534" s="24"/>
      <c r="I534" s="174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24"/>
      <c r="Y534" s="156"/>
    </row>
    <row r="535" spans="1:25" ht="12.5">
      <c r="A535" s="156"/>
      <c r="B535" s="156"/>
      <c r="C535" s="156"/>
      <c r="D535" s="24"/>
      <c r="E535" s="24"/>
      <c r="F535" s="24"/>
      <c r="G535" s="24"/>
      <c r="H535" s="24"/>
      <c r="I535" s="174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24"/>
      <c r="Y535" s="156"/>
    </row>
    <row r="536" spans="1:25" ht="12.5">
      <c r="A536" s="156"/>
      <c r="B536" s="156"/>
      <c r="C536" s="156"/>
      <c r="D536" s="24"/>
      <c r="E536" s="24"/>
      <c r="F536" s="24"/>
      <c r="G536" s="24"/>
      <c r="H536" s="24"/>
      <c r="I536" s="174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24"/>
      <c r="Y536" s="156"/>
    </row>
    <row r="537" spans="1:25" ht="12.5">
      <c r="A537" s="156"/>
      <c r="B537" s="156"/>
      <c r="C537" s="156"/>
      <c r="D537" s="24"/>
      <c r="E537" s="24"/>
      <c r="F537" s="24"/>
      <c r="G537" s="24"/>
      <c r="H537" s="24"/>
      <c r="I537" s="174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24"/>
      <c r="Y537" s="156"/>
    </row>
    <row r="538" spans="1:25" ht="12.5">
      <c r="A538" s="156"/>
      <c r="B538" s="156"/>
      <c r="C538" s="156"/>
      <c r="D538" s="24"/>
      <c r="E538" s="24"/>
      <c r="F538" s="24"/>
      <c r="G538" s="24"/>
      <c r="H538" s="24"/>
      <c r="I538" s="174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24"/>
      <c r="Y538" s="156"/>
    </row>
    <row r="539" spans="1:25" ht="12.5">
      <c r="A539" s="156"/>
      <c r="B539" s="156"/>
      <c r="C539" s="156"/>
      <c r="D539" s="24"/>
      <c r="E539" s="24"/>
      <c r="F539" s="24"/>
      <c r="G539" s="24"/>
      <c r="H539" s="24"/>
      <c r="I539" s="174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24"/>
      <c r="Y539" s="156"/>
    </row>
    <row r="540" spans="1:25" ht="12.5">
      <c r="A540" s="156"/>
      <c r="B540" s="156"/>
      <c r="C540" s="156"/>
      <c r="D540" s="24"/>
      <c r="E540" s="24"/>
      <c r="F540" s="24"/>
      <c r="G540" s="24"/>
      <c r="H540" s="24"/>
      <c r="I540" s="174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24"/>
      <c r="Y540" s="156"/>
    </row>
    <row r="541" spans="1:25" ht="12.5">
      <c r="A541" s="156"/>
      <c r="B541" s="156"/>
      <c r="C541" s="156"/>
      <c r="D541" s="24"/>
      <c r="E541" s="24"/>
      <c r="F541" s="24"/>
      <c r="G541" s="24"/>
      <c r="H541" s="24"/>
      <c r="I541" s="174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24"/>
      <c r="Y541" s="156"/>
    </row>
    <row r="542" spans="1:25" ht="12.5">
      <c r="A542" s="156"/>
      <c r="B542" s="156"/>
      <c r="C542" s="156"/>
      <c r="D542" s="24"/>
      <c r="E542" s="24"/>
      <c r="F542" s="24"/>
      <c r="G542" s="24"/>
      <c r="H542" s="24"/>
      <c r="I542" s="174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24"/>
      <c r="Y542" s="156"/>
    </row>
    <row r="543" spans="1:25" ht="12.5">
      <c r="A543" s="156"/>
      <c r="B543" s="156"/>
      <c r="C543" s="156"/>
      <c r="D543" s="24"/>
      <c r="E543" s="24"/>
      <c r="F543" s="24"/>
      <c r="G543" s="24"/>
      <c r="H543" s="24"/>
      <c r="I543" s="174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24"/>
      <c r="Y543" s="156"/>
    </row>
    <row r="544" spans="1:25" ht="12.5">
      <c r="A544" s="156"/>
      <c r="B544" s="156"/>
      <c r="C544" s="156"/>
      <c r="D544" s="24"/>
      <c r="E544" s="24"/>
      <c r="F544" s="24"/>
      <c r="G544" s="24"/>
      <c r="H544" s="24"/>
      <c r="I544" s="174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24"/>
      <c r="Y544" s="156"/>
    </row>
    <row r="545" spans="1:25" ht="12.5">
      <c r="A545" s="156"/>
      <c r="B545" s="156"/>
      <c r="C545" s="156"/>
      <c r="D545" s="24"/>
      <c r="E545" s="24"/>
      <c r="F545" s="24"/>
      <c r="G545" s="24"/>
      <c r="H545" s="24"/>
      <c r="I545" s="174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24"/>
      <c r="Y545" s="156"/>
    </row>
    <row r="546" spans="1:25" ht="12.5">
      <c r="A546" s="156"/>
      <c r="B546" s="156"/>
      <c r="C546" s="156"/>
      <c r="D546" s="24"/>
      <c r="E546" s="24"/>
      <c r="F546" s="24"/>
      <c r="G546" s="24"/>
      <c r="H546" s="24"/>
      <c r="I546" s="174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24"/>
      <c r="Y546" s="156"/>
    </row>
    <row r="547" spans="1:25" ht="12.5">
      <c r="A547" s="156"/>
      <c r="B547" s="156"/>
      <c r="C547" s="156"/>
      <c r="D547" s="24"/>
      <c r="E547" s="24"/>
      <c r="F547" s="24"/>
      <c r="G547" s="24"/>
      <c r="H547" s="24"/>
      <c r="I547" s="174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24"/>
      <c r="Y547" s="156"/>
    </row>
    <row r="548" spans="1:25" ht="12.5">
      <c r="A548" s="156"/>
      <c r="B548" s="156"/>
      <c r="C548" s="156"/>
      <c r="D548" s="24"/>
      <c r="E548" s="24"/>
      <c r="F548" s="24"/>
      <c r="G548" s="24"/>
      <c r="H548" s="24"/>
      <c r="I548" s="174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24"/>
      <c r="Y548" s="156"/>
    </row>
    <row r="549" spans="1:25" ht="12.5">
      <c r="A549" s="156"/>
      <c r="B549" s="156"/>
      <c r="C549" s="156"/>
      <c r="D549" s="24"/>
      <c r="E549" s="24"/>
      <c r="F549" s="24"/>
      <c r="G549" s="24"/>
      <c r="H549" s="24"/>
      <c r="I549" s="174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24"/>
      <c r="Y549" s="156"/>
    </row>
    <row r="550" spans="1:25" ht="12.5">
      <c r="A550" s="156"/>
      <c r="B550" s="156"/>
      <c r="C550" s="156"/>
      <c r="D550" s="24"/>
      <c r="E550" s="24"/>
      <c r="F550" s="24"/>
      <c r="G550" s="24"/>
      <c r="H550" s="24"/>
      <c r="I550" s="174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24"/>
      <c r="Y550" s="156"/>
    </row>
    <row r="551" spans="1:25" ht="12.5">
      <c r="A551" s="156"/>
      <c r="B551" s="156"/>
      <c r="C551" s="156"/>
      <c r="D551" s="24"/>
      <c r="E551" s="24"/>
      <c r="F551" s="24"/>
      <c r="G551" s="24"/>
      <c r="H551" s="24"/>
      <c r="I551" s="174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24"/>
      <c r="Y551" s="156"/>
    </row>
    <row r="552" spans="1:25" ht="12.5">
      <c r="A552" s="156"/>
      <c r="B552" s="156"/>
      <c r="C552" s="156"/>
      <c r="D552" s="24"/>
      <c r="E552" s="24"/>
      <c r="F552" s="24"/>
      <c r="G552" s="24"/>
      <c r="H552" s="24"/>
      <c r="I552" s="174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24"/>
      <c r="Y552" s="156"/>
    </row>
    <row r="553" spans="1:25" ht="12.5">
      <c r="A553" s="156"/>
      <c r="B553" s="156"/>
      <c r="C553" s="156"/>
      <c r="D553" s="24"/>
      <c r="E553" s="24"/>
      <c r="F553" s="24"/>
      <c r="G553" s="24"/>
      <c r="H553" s="24"/>
      <c r="I553" s="174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24"/>
      <c r="Y553" s="156"/>
    </row>
    <row r="554" spans="1:25" ht="12.5">
      <c r="A554" s="156"/>
      <c r="B554" s="156"/>
      <c r="C554" s="156"/>
      <c r="D554" s="24"/>
      <c r="E554" s="24"/>
      <c r="F554" s="24"/>
      <c r="G554" s="24"/>
      <c r="H554" s="24"/>
      <c r="I554" s="174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24"/>
      <c r="Y554" s="156"/>
    </row>
    <row r="555" spans="1:25" ht="12.5">
      <c r="A555" s="156"/>
      <c r="B555" s="156"/>
      <c r="C555" s="156"/>
      <c r="D555" s="24"/>
      <c r="E555" s="24"/>
      <c r="F555" s="24"/>
      <c r="G555" s="24"/>
      <c r="H555" s="24"/>
      <c r="I555" s="174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24"/>
      <c r="Y555" s="156"/>
    </row>
    <row r="556" spans="1:25" ht="12.5">
      <c r="A556" s="156"/>
      <c r="B556" s="156"/>
      <c r="C556" s="156"/>
      <c r="D556" s="24"/>
      <c r="E556" s="24"/>
      <c r="F556" s="24"/>
      <c r="G556" s="24"/>
      <c r="H556" s="24"/>
      <c r="I556" s="174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24"/>
      <c r="Y556" s="156"/>
    </row>
    <row r="557" spans="1:25" ht="12.5">
      <c r="A557" s="156"/>
      <c r="B557" s="156"/>
      <c r="C557" s="156"/>
      <c r="D557" s="24"/>
      <c r="E557" s="24"/>
      <c r="F557" s="24"/>
      <c r="G557" s="24"/>
      <c r="H557" s="24"/>
      <c r="I557" s="174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24"/>
      <c r="Y557" s="156"/>
    </row>
    <row r="558" spans="1:25" ht="12.5">
      <c r="A558" s="156"/>
      <c r="B558" s="156"/>
      <c r="C558" s="156"/>
      <c r="D558" s="24"/>
      <c r="E558" s="24"/>
      <c r="F558" s="24"/>
      <c r="G558" s="24"/>
      <c r="H558" s="24"/>
      <c r="I558" s="174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24"/>
      <c r="Y558" s="156"/>
    </row>
    <row r="559" spans="1:25" ht="12.5">
      <c r="A559" s="156"/>
      <c r="B559" s="156"/>
      <c r="C559" s="156"/>
      <c r="D559" s="24"/>
      <c r="E559" s="24"/>
      <c r="F559" s="24"/>
      <c r="G559" s="24"/>
      <c r="H559" s="24"/>
      <c r="I559" s="174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24"/>
      <c r="Y559" s="156"/>
    </row>
    <row r="560" spans="1:25" ht="12.5">
      <c r="A560" s="156"/>
      <c r="B560" s="156"/>
      <c r="C560" s="156"/>
      <c r="D560" s="24"/>
      <c r="E560" s="24"/>
      <c r="F560" s="24"/>
      <c r="G560" s="24"/>
      <c r="H560" s="24"/>
      <c r="I560" s="174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24"/>
      <c r="Y560" s="156"/>
    </row>
    <row r="561" spans="1:25" ht="12.5">
      <c r="A561" s="156"/>
      <c r="B561" s="156"/>
      <c r="C561" s="156"/>
      <c r="D561" s="24"/>
      <c r="E561" s="24"/>
      <c r="F561" s="24"/>
      <c r="G561" s="24"/>
      <c r="H561" s="24"/>
      <c r="I561" s="174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24"/>
      <c r="Y561" s="156"/>
    </row>
    <row r="562" spans="1:25" ht="12.5">
      <c r="A562" s="156"/>
      <c r="B562" s="156"/>
      <c r="C562" s="156"/>
      <c r="D562" s="24"/>
      <c r="E562" s="24"/>
      <c r="F562" s="24"/>
      <c r="G562" s="24"/>
      <c r="H562" s="24"/>
      <c r="I562" s="174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24"/>
      <c r="Y562" s="156"/>
    </row>
    <row r="563" spans="1:25" ht="12.5">
      <c r="A563" s="156"/>
      <c r="B563" s="156"/>
      <c r="C563" s="156"/>
      <c r="D563" s="24"/>
      <c r="E563" s="24"/>
      <c r="F563" s="24"/>
      <c r="G563" s="24"/>
      <c r="H563" s="24"/>
      <c r="I563" s="174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24"/>
      <c r="Y563" s="156"/>
    </row>
    <row r="564" spans="1:25" ht="12.5">
      <c r="A564" s="156"/>
      <c r="B564" s="156"/>
      <c r="C564" s="156"/>
      <c r="D564" s="24"/>
      <c r="E564" s="24"/>
      <c r="F564" s="24"/>
      <c r="G564" s="24"/>
      <c r="H564" s="24"/>
      <c r="I564" s="174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24"/>
      <c r="Y564" s="156"/>
    </row>
    <row r="565" spans="1:25" ht="12.5">
      <c r="A565" s="156"/>
      <c r="B565" s="156"/>
      <c r="C565" s="156"/>
      <c r="D565" s="24"/>
      <c r="E565" s="24"/>
      <c r="F565" s="24"/>
      <c r="G565" s="24"/>
      <c r="H565" s="24"/>
      <c r="I565" s="174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24"/>
      <c r="Y565" s="156"/>
    </row>
    <row r="566" spans="1:25" ht="12.5">
      <c r="A566" s="156"/>
      <c r="B566" s="156"/>
      <c r="C566" s="156"/>
      <c r="D566" s="24"/>
      <c r="E566" s="24"/>
      <c r="F566" s="24"/>
      <c r="G566" s="24"/>
      <c r="H566" s="24"/>
      <c r="I566" s="174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24"/>
      <c r="Y566" s="156"/>
    </row>
    <row r="567" spans="1:25" ht="12.5">
      <c r="A567" s="156"/>
      <c r="B567" s="156"/>
      <c r="C567" s="156"/>
      <c r="D567" s="24"/>
      <c r="E567" s="24"/>
      <c r="F567" s="24"/>
      <c r="G567" s="24"/>
      <c r="H567" s="24"/>
      <c r="I567" s="174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24"/>
      <c r="Y567" s="156"/>
    </row>
    <row r="568" spans="1:25" ht="12.5">
      <c r="A568" s="156"/>
      <c r="B568" s="156"/>
      <c r="C568" s="156"/>
      <c r="D568" s="24"/>
      <c r="E568" s="24"/>
      <c r="F568" s="24"/>
      <c r="G568" s="24"/>
      <c r="H568" s="24"/>
      <c r="I568" s="174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24"/>
      <c r="Y568" s="156"/>
    </row>
    <row r="569" spans="1:25" ht="12.5">
      <c r="A569" s="156"/>
      <c r="B569" s="156"/>
      <c r="C569" s="156"/>
      <c r="D569" s="24"/>
      <c r="E569" s="24"/>
      <c r="F569" s="24"/>
      <c r="G569" s="24"/>
      <c r="H569" s="24"/>
      <c r="I569" s="174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24"/>
      <c r="Y569" s="156"/>
    </row>
    <row r="570" spans="1:25" ht="12.5">
      <c r="A570" s="156"/>
      <c r="B570" s="156"/>
      <c r="C570" s="156"/>
      <c r="D570" s="24"/>
      <c r="E570" s="24"/>
      <c r="F570" s="24"/>
      <c r="G570" s="24"/>
      <c r="H570" s="24"/>
      <c r="I570" s="174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24"/>
      <c r="Y570" s="156"/>
    </row>
    <row r="571" spans="1:25" ht="12.5">
      <c r="A571" s="156"/>
      <c r="B571" s="156"/>
      <c r="C571" s="156"/>
      <c r="D571" s="24"/>
      <c r="E571" s="24"/>
      <c r="F571" s="24"/>
      <c r="G571" s="24"/>
      <c r="H571" s="24"/>
      <c r="I571" s="174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24"/>
      <c r="Y571" s="156"/>
    </row>
    <row r="572" spans="1:25" ht="12.5">
      <c r="A572" s="156"/>
      <c r="B572" s="156"/>
      <c r="C572" s="156"/>
      <c r="D572" s="24"/>
      <c r="E572" s="24"/>
      <c r="F572" s="24"/>
      <c r="G572" s="24"/>
      <c r="H572" s="24"/>
      <c r="I572" s="174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24"/>
      <c r="Y572" s="156"/>
    </row>
    <row r="573" spans="1:25" ht="12.5">
      <c r="A573" s="156"/>
      <c r="B573" s="156"/>
      <c r="C573" s="156"/>
      <c r="D573" s="24"/>
      <c r="E573" s="24"/>
      <c r="F573" s="24"/>
      <c r="G573" s="24"/>
      <c r="H573" s="24"/>
      <c r="I573" s="174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24"/>
      <c r="Y573" s="156"/>
    </row>
    <row r="574" spans="1:25" ht="12.5">
      <c r="A574" s="156"/>
      <c r="B574" s="156"/>
      <c r="C574" s="156"/>
      <c r="D574" s="24"/>
      <c r="E574" s="24"/>
      <c r="F574" s="24"/>
      <c r="G574" s="24"/>
      <c r="H574" s="24"/>
      <c r="I574" s="174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24"/>
      <c r="Y574" s="156"/>
    </row>
    <row r="575" spans="1:25" ht="12.5">
      <c r="A575" s="156"/>
      <c r="B575" s="156"/>
      <c r="C575" s="156"/>
      <c r="D575" s="24"/>
      <c r="E575" s="24"/>
      <c r="F575" s="24"/>
      <c r="G575" s="24"/>
      <c r="H575" s="24"/>
      <c r="I575" s="174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24"/>
      <c r="Y575" s="156"/>
    </row>
    <row r="576" spans="1:25" ht="12.5">
      <c r="A576" s="156"/>
      <c r="B576" s="156"/>
      <c r="C576" s="156"/>
      <c r="D576" s="24"/>
      <c r="E576" s="24"/>
      <c r="F576" s="24"/>
      <c r="G576" s="24"/>
      <c r="H576" s="24"/>
      <c r="I576" s="174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24"/>
      <c r="Y576" s="156"/>
    </row>
    <row r="577" spans="1:25" ht="12.5">
      <c r="A577" s="156"/>
      <c r="B577" s="156"/>
      <c r="C577" s="156"/>
      <c r="D577" s="24"/>
      <c r="E577" s="24"/>
      <c r="F577" s="24"/>
      <c r="G577" s="24"/>
      <c r="H577" s="24"/>
      <c r="I577" s="174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24"/>
      <c r="Y577" s="156"/>
    </row>
    <row r="578" spans="1:25" ht="12.5">
      <c r="A578" s="156"/>
      <c r="B578" s="156"/>
      <c r="C578" s="156"/>
      <c r="D578" s="24"/>
      <c r="E578" s="24"/>
      <c r="F578" s="24"/>
      <c r="G578" s="24"/>
      <c r="H578" s="24"/>
      <c r="I578" s="174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24"/>
      <c r="Y578" s="156"/>
    </row>
    <row r="579" spans="1:25" ht="12.5">
      <c r="A579" s="156"/>
      <c r="B579" s="156"/>
      <c r="C579" s="156"/>
      <c r="D579" s="24"/>
      <c r="E579" s="24"/>
      <c r="F579" s="24"/>
      <c r="G579" s="24"/>
      <c r="H579" s="24"/>
      <c r="I579" s="174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24"/>
      <c r="Y579" s="156"/>
    </row>
    <row r="580" spans="1:25" ht="12.5">
      <c r="A580" s="156"/>
      <c r="B580" s="156"/>
      <c r="C580" s="156"/>
      <c r="D580" s="24"/>
      <c r="E580" s="24"/>
      <c r="F580" s="24"/>
      <c r="G580" s="24"/>
      <c r="H580" s="24"/>
      <c r="I580" s="174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24"/>
      <c r="Y580" s="156"/>
    </row>
    <row r="581" spans="1:25" ht="12.5">
      <c r="A581" s="156"/>
      <c r="B581" s="156"/>
      <c r="C581" s="156"/>
      <c r="D581" s="24"/>
      <c r="E581" s="24"/>
      <c r="F581" s="24"/>
      <c r="G581" s="24"/>
      <c r="H581" s="24"/>
      <c r="I581" s="174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24"/>
      <c r="Y581" s="156"/>
    </row>
    <row r="582" spans="1:25" ht="12.5">
      <c r="A582" s="156"/>
      <c r="B582" s="156"/>
      <c r="C582" s="156"/>
      <c r="D582" s="24"/>
      <c r="E582" s="24"/>
      <c r="F582" s="24"/>
      <c r="G582" s="24"/>
      <c r="H582" s="24"/>
      <c r="I582" s="174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24"/>
      <c r="Y582" s="156"/>
    </row>
    <row r="583" spans="1:25" ht="12.5">
      <c r="A583" s="156"/>
      <c r="B583" s="156"/>
      <c r="C583" s="156"/>
      <c r="D583" s="24"/>
      <c r="E583" s="24"/>
      <c r="F583" s="24"/>
      <c r="G583" s="24"/>
      <c r="H583" s="24"/>
      <c r="I583" s="174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24"/>
      <c r="Y583" s="156"/>
    </row>
    <row r="584" spans="1:25" ht="12.5">
      <c r="A584" s="156"/>
      <c r="B584" s="156"/>
      <c r="C584" s="156"/>
      <c r="D584" s="24"/>
      <c r="E584" s="24"/>
      <c r="F584" s="24"/>
      <c r="G584" s="24"/>
      <c r="H584" s="24"/>
      <c r="I584" s="174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24"/>
      <c r="Y584" s="156"/>
    </row>
    <row r="585" spans="1:25" ht="12.5">
      <c r="A585" s="156"/>
      <c r="B585" s="156"/>
      <c r="C585" s="156"/>
      <c r="D585" s="24"/>
      <c r="E585" s="24"/>
      <c r="F585" s="24"/>
      <c r="G585" s="24"/>
      <c r="H585" s="24"/>
      <c r="I585" s="174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24"/>
      <c r="Y585" s="156"/>
    </row>
    <row r="586" spans="1:25" ht="12.5">
      <c r="A586" s="156"/>
      <c r="B586" s="156"/>
      <c r="C586" s="156"/>
      <c r="D586" s="24"/>
      <c r="E586" s="24"/>
      <c r="F586" s="24"/>
      <c r="G586" s="24"/>
      <c r="H586" s="24"/>
      <c r="I586" s="174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24"/>
      <c r="Y586" s="156"/>
    </row>
    <row r="587" spans="1:25" ht="12.5">
      <c r="A587" s="156"/>
      <c r="B587" s="156"/>
      <c r="C587" s="156"/>
      <c r="D587" s="24"/>
      <c r="E587" s="24"/>
      <c r="F587" s="24"/>
      <c r="G587" s="24"/>
      <c r="H587" s="24"/>
      <c r="I587" s="174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24"/>
      <c r="Y587" s="156"/>
    </row>
    <row r="588" spans="1:25" ht="12.5">
      <c r="A588" s="156"/>
      <c r="B588" s="156"/>
      <c r="C588" s="156"/>
      <c r="D588" s="24"/>
      <c r="E588" s="24"/>
      <c r="F588" s="24"/>
      <c r="G588" s="24"/>
      <c r="H588" s="24"/>
      <c r="I588" s="174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24"/>
      <c r="Y588" s="156"/>
    </row>
    <row r="589" spans="1:25" ht="12.5">
      <c r="A589" s="156"/>
      <c r="B589" s="156"/>
      <c r="C589" s="156"/>
      <c r="D589" s="24"/>
      <c r="E589" s="24"/>
      <c r="F589" s="24"/>
      <c r="G589" s="24"/>
      <c r="H589" s="24"/>
      <c r="I589" s="174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24"/>
      <c r="Y589" s="156"/>
    </row>
    <row r="590" spans="1:25" ht="12.5">
      <c r="A590" s="156"/>
      <c r="B590" s="156"/>
      <c r="C590" s="156"/>
      <c r="D590" s="24"/>
      <c r="E590" s="24"/>
      <c r="F590" s="24"/>
      <c r="G590" s="24"/>
      <c r="H590" s="24"/>
      <c r="I590" s="174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24"/>
      <c r="Y590" s="156"/>
    </row>
    <row r="591" spans="1:25" ht="12.5">
      <c r="A591" s="156"/>
      <c r="B591" s="156"/>
      <c r="C591" s="156"/>
      <c r="D591" s="24"/>
      <c r="E591" s="24"/>
      <c r="F591" s="24"/>
      <c r="G591" s="24"/>
      <c r="H591" s="24"/>
      <c r="I591" s="174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24"/>
      <c r="Y591" s="156"/>
    </row>
    <row r="592" spans="1:25" ht="12.5">
      <c r="A592" s="156"/>
      <c r="B592" s="156"/>
      <c r="C592" s="156"/>
      <c r="D592" s="24"/>
      <c r="E592" s="24"/>
      <c r="F592" s="24"/>
      <c r="G592" s="24"/>
      <c r="H592" s="24"/>
      <c r="I592" s="174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24"/>
      <c r="Y592" s="156"/>
    </row>
    <row r="593" spans="1:25" ht="12.5">
      <c r="A593" s="156"/>
      <c r="B593" s="156"/>
      <c r="C593" s="156"/>
      <c r="D593" s="24"/>
      <c r="E593" s="24"/>
      <c r="F593" s="24"/>
      <c r="G593" s="24"/>
      <c r="H593" s="24"/>
      <c r="I593" s="174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24"/>
      <c r="Y593" s="156"/>
    </row>
    <row r="594" spans="1:25" ht="12.5">
      <c r="A594" s="156"/>
      <c r="B594" s="156"/>
      <c r="C594" s="156"/>
      <c r="D594" s="24"/>
      <c r="E594" s="24"/>
      <c r="F594" s="24"/>
      <c r="G594" s="24"/>
      <c r="H594" s="24"/>
      <c r="I594" s="174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24"/>
      <c r="Y594" s="156"/>
    </row>
    <row r="595" spans="1:25" ht="12.5">
      <c r="A595" s="156"/>
      <c r="B595" s="156"/>
      <c r="C595" s="156"/>
      <c r="D595" s="24"/>
      <c r="E595" s="24"/>
      <c r="F595" s="24"/>
      <c r="G595" s="24"/>
      <c r="H595" s="24"/>
      <c r="I595" s="174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24"/>
      <c r="Y595" s="156"/>
    </row>
    <row r="596" spans="1:25" ht="12.5">
      <c r="A596" s="156"/>
      <c r="B596" s="156"/>
      <c r="C596" s="156"/>
      <c r="D596" s="24"/>
      <c r="E596" s="24"/>
      <c r="F596" s="24"/>
      <c r="G596" s="24"/>
      <c r="H596" s="24"/>
      <c r="I596" s="174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24"/>
      <c r="Y596" s="156"/>
    </row>
    <row r="597" spans="1:25" ht="12.5">
      <c r="A597" s="156"/>
      <c r="B597" s="156"/>
      <c r="C597" s="156"/>
      <c r="D597" s="24"/>
      <c r="E597" s="24"/>
      <c r="F597" s="24"/>
      <c r="G597" s="24"/>
      <c r="H597" s="24"/>
      <c r="I597" s="174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24"/>
      <c r="Y597" s="156"/>
    </row>
    <row r="598" spans="1:25" ht="12.5">
      <c r="A598" s="156"/>
      <c r="B598" s="156"/>
      <c r="C598" s="156"/>
      <c r="D598" s="24"/>
      <c r="E598" s="24"/>
      <c r="F598" s="24"/>
      <c r="G598" s="24"/>
      <c r="H598" s="24"/>
      <c r="I598" s="174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24"/>
      <c r="Y598" s="156"/>
    </row>
    <row r="599" spans="1:25" ht="12.5">
      <c r="A599" s="156"/>
      <c r="B599" s="156"/>
      <c r="C599" s="156"/>
      <c r="D599" s="24"/>
      <c r="E599" s="24"/>
      <c r="F599" s="24"/>
      <c r="G599" s="24"/>
      <c r="H599" s="24"/>
      <c r="I599" s="174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24"/>
      <c r="Y599" s="156"/>
    </row>
    <row r="600" spans="1:25" ht="12.5">
      <c r="A600" s="156"/>
      <c r="B600" s="156"/>
      <c r="C600" s="156"/>
      <c r="D600" s="24"/>
      <c r="E600" s="24"/>
      <c r="F600" s="24"/>
      <c r="G600" s="24"/>
      <c r="H600" s="24"/>
      <c r="I600" s="174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24"/>
      <c r="Y600" s="156"/>
    </row>
    <row r="601" spans="1:25" ht="12.5">
      <c r="A601" s="156"/>
      <c r="B601" s="156"/>
      <c r="C601" s="156"/>
      <c r="D601" s="24"/>
      <c r="E601" s="24"/>
      <c r="F601" s="24"/>
      <c r="G601" s="24"/>
      <c r="H601" s="24"/>
      <c r="I601" s="174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24"/>
      <c r="Y601" s="156"/>
    </row>
    <row r="602" spans="1:25" ht="12.5">
      <c r="A602" s="156"/>
      <c r="B602" s="156"/>
      <c r="C602" s="156"/>
      <c r="D602" s="24"/>
      <c r="E602" s="24"/>
      <c r="F602" s="24"/>
      <c r="G602" s="24"/>
      <c r="H602" s="24"/>
      <c r="I602" s="174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24"/>
      <c r="Y602" s="156"/>
    </row>
    <row r="603" spans="1:25" ht="12.5">
      <c r="A603" s="156"/>
      <c r="B603" s="156"/>
      <c r="C603" s="156"/>
      <c r="D603" s="24"/>
      <c r="E603" s="24"/>
      <c r="F603" s="24"/>
      <c r="G603" s="24"/>
      <c r="H603" s="24"/>
      <c r="I603" s="174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24"/>
      <c r="Y603" s="156"/>
    </row>
    <row r="604" spans="1:25" ht="12.5">
      <c r="A604" s="156"/>
      <c r="B604" s="156"/>
      <c r="C604" s="156"/>
      <c r="D604" s="24"/>
      <c r="E604" s="24"/>
      <c r="F604" s="24"/>
      <c r="G604" s="24"/>
      <c r="H604" s="24"/>
      <c r="I604" s="174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24"/>
      <c r="Y604" s="156"/>
    </row>
    <row r="605" spans="1:25" ht="12.5">
      <c r="A605" s="156"/>
      <c r="B605" s="156"/>
      <c r="C605" s="156"/>
      <c r="D605" s="24"/>
      <c r="E605" s="24"/>
      <c r="F605" s="24"/>
      <c r="G605" s="24"/>
      <c r="H605" s="24"/>
      <c r="I605" s="174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24"/>
      <c r="Y605" s="156"/>
    </row>
    <row r="606" spans="1:25" ht="12.5">
      <c r="A606" s="156"/>
      <c r="B606" s="156"/>
      <c r="C606" s="156"/>
      <c r="D606" s="24"/>
      <c r="E606" s="24"/>
      <c r="F606" s="24"/>
      <c r="G606" s="24"/>
      <c r="H606" s="24"/>
      <c r="I606" s="174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24"/>
      <c r="Y606" s="156"/>
    </row>
    <row r="607" spans="1:25" ht="12.5">
      <c r="A607" s="156"/>
      <c r="B607" s="156"/>
      <c r="C607" s="156"/>
      <c r="D607" s="24"/>
      <c r="E607" s="24"/>
      <c r="F607" s="24"/>
      <c r="G607" s="24"/>
      <c r="H607" s="24"/>
      <c r="I607" s="174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24"/>
      <c r="Y607" s="156"/>
    </row>
    <row r="608" spans="1:25" ht="12.5">
      <c r="A608" s="156"/>
      <c r="B608" s="156"/>
      <c r="C608" s="156"/>
      <c r="D608" s="24"/>
      <c r="E608" s="24"/>
      <c r="F608" s="24"/>
      <c r="G608" s="24"/>
      <c r="H608" s="24"/>
      <c r="I608" s="174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24"/>
      <c r="Y608" s="156"/>
    </row>
    <row r="609" spans="1:25" ht="12.5">
      <c r="A609" s="156"/>
      <c r="B609" s="156"/>
      <c r="C609" s="156"/>
      <c r="D609" s="24"/>
      <c r="E609" s="24"/>
      <c r="F609" s="24"/>
      <c r="G609" s="24"/>
      <c r="H609" s="24"/>
      <c r="I609" s="174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24"/>
      <c r="Y609" s="156"/>
    </row>
    <row r="610" spans="1:25" ht="12.5">
      <c r="A610" s="156"/>
      <c r="B610" s="156"/>
      <c r="C610" s="156"/>
      <c r="D610" s="24"/>
      <c r="E610" s="24"/>
      <c r="F610" s="24"/>
      <c r="G610" s="24"/>
      <c r="H610" s="24"/>
      <c r="I610" s="174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24"/>
      <c r="Y610" s="156"/>
    </row>
    <row r="611" spans="1:25" ht="12.5">
      <c r="A611" s="156"/>
      <c r="B611" s="156"/>
      <c r="C611" s="156"/>
      <c r="D611" s="24"/>
      <c r="E611" s="24"/>
      <c r="F611" s="24"/>
      <c r="G611" s="24"/>
      <c r="H611" s="24"/>
      <c r="I611" s="174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24"/>
      <c r="Y611" s="156"/>
    </row>
    <row r="612" spans="1:25" ht="12.5">
      <c r="A612" s="156"/>
      <c r="B612" s="156"/>
      <c r="C612" s="156"/>
      <c r="D612" s="24"/>
      <c r="E612" s="24"/>
      <c r="F612" s="24"/>
      <c r="G612" s="24"/>
      <c r="H612" s="24"/>
      <c r="I612" s="174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24"/>
      <c r="Y612" s="156"/>
    </row>
    <row r="613" spans="1:25" ht="12.5">
      <c r="A613" s="156"/>
      <c r="B613" s="156"/>
      <c r="C613" s="156"/>
      <c r="D613" s="24"/>
      <c r="E613" s="24"/>
      <c r="F613" s="24"/>
      <c r="G613" s="24"/>
      <c r="H613" s="24"/>
      <c r="I613" s="174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24"/>
      <c r="Y613" s="156"/>
    </row>
    <row r="614" spans="1:25" ht="12.5">
      <c r="A614" s="156"/>
      <c r="B614" s="156"/>
      <c r="C614" s="156"/>
      <c r="D614" s="24"/>
      <c r="E614" s="24"/>
      <c r="F614" s="24"/>
      <c r="G614" s="24"/>
      <c r="H614" s="24"/>
      <c r="I614" s="174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24"/>
      <c r="Y614" s="156"/>
    </row>
    <row r="615" spans="1:25" ht="12.5">
      <c r="A615" s="156"/>
      <c r="B615" s="156"/>
      <c r="C615" s="156"/>
      <c r="D615" s="24"/>
      <c r="E615" s="24"/>
      <c r="F615" s="24"/>
      <c r="G615" s="24"/>
      <c r="H615" s="24"/>
      <c r="I615" s="174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24"/>
      <c r="Y615" s="156"/>
    </row>
    <row r="616" spans="1:25" ht="12.5">
      <c r="A616" s="156"/>
      <c r="B616" s="156"/>
      <c r="C616" s="156"/>
      <c r="D616" s="24"/>
      <c r="E616" s="24"/>
      <c r="F616" s="24"/>
      <c r="G616" s="24"/>
      <c r="H616" s="24"/>
      <c r="I616" s="174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24"/>
      <c r="Y616" s="156"/>
    </row>
    <row r="617" spans="1:25" ht="12.5">
      <c r="A617" s="156"/>
      <c r="B617" s="156"/>
      <c r="C617" s="156"/>
      <c r="D617" s="24"/>
      <c r="E617" s="24"/>
      <c r="F617" s="24"/>
      <c r="G617" s="24"/>
      <c r="H617" s="24"/>
      <c r="I617" s="174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24"/>
      <c r="Y617" s="156"/>
    </row>
    <row r="618" spans="1:25" ht="12.5">
      <c r="A618" s="156"/>
      <c r="B618" s="156"/>
      <c r="C618" s="156"/>
      <c r="D618" s="24"/>
      <c r="E618" s="24"/>
      <c r="F618" s="24"/>
      <c r="G618" s="24"/>
      <c r="H618" s="24"/>
      <c r="I618" s="174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24"/>
      <c r="Y618" s="156"/>
    </row>
    <row r="619" spans="1:25" ht="12.5">
      <c r="A619" s="156"/>
      <c r="B619" s="156"/>
      <c r="C619" s="156"/>
      <c r="D619" s="24"/>
      <c r="E619" s="24"/>
      <c r="F619" s="24"/>
      <c r="G619" s="24"/>
      <c r="H619" s="24"/>
      <c r="I619" s="174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24"/>
      <c r="Y619" s="156"/>
    </row>
    <row r="620" spans="1:25" ht="12.5">
      <c r="A620" s="156"/>
      <c r="B620" s="156"/>
      <c r="C620" s="156"/>
      <c r="D620" s="24"/>
      <c r="E620" s="24"/>
      <c r="F620" s="24"/>
      <c r="G620" s="24"/>
      <c r="H620" s="24"/>
      <c r="I620" s="174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24"/>
      <c r="Y620" s="156"/>
    </row>
    <row r="621" spans="1:25" ht="12.5">
      <c r="A621" s="156"/>
      <c r="B621" s="156"/>
      <c r="C621" s="156"/>
      <c r="D621" s="24"/>
      <c r="E621" s="24"/>
      <c r="F621" s="24"/>
      <c r="G621" s="24"/>
      <c r="H621" s="24"/>
      <c r="I621" s="174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24"/>
      <c r="Y621" s="156"/>
    </row>
    <row r="622" spans="1:25" ht="12.5">
      <c r="A622" s="156"/>
      <c r="B622" s="156"/>
      <c r="C622" s="156"/>
      <c r="D622" s="24"/>
      <c r="E622" s="24"/>
      <c r="F622" s="24"/>
      <c r="G622" s="24"/>
      <c r="H622" s="24"/>
      <c r="I622" s="174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24"/>
      <c r="Y622" s="156"/>
    </row>
    <row r="623" spans="1:25" ht="12.5">
      <c r="A623" s="156"/>
      <c r="B623" s="156"/>
      <c r="C623" s="156"/>
      <c r="D623" s="24"/>
      <c r="E623" s="24"/>
      <c r="F623" s="24"/>
      <c r="G623" s="24"/>
      <c r="H623" s="24"/>
      <c r="I623" s="174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24"/>
      <c r="Y623" s="156"/>
    </row>
    <row r="624" spans="1:25" ht="12.5">
      <c r="A624" s="156"/>
      <c r="B624" s="156"/>
      <c r="C624" s="156"/>
      <c r="D624" s="24"/>
      <c r="E624" s="24"/>
      <c r="F624" s="24"/>
      <c r="G624" s="24"/>
      <c r="H624" s="24"/>
      <c r="I624" s="174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24"/>
      <c r="Y624" s="156"/>
    </row>
    <row r="625" spans="1:25" ht="12.5">
      <c r="A625" s="156"/>
      <c r="B625" s="156"/>
      <c r="C625" s="156"/>
      <c r="D625" s="24"/>
      <c r="E625" s="24"/>
      <c r="F625" s="24"/>
      <c r="G625" s="24"/>
      <c r="H625" s="24"/>
      <c r="I625" s="174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24"/>
      <c r="Y625" s="156"/>
    </row>
    <row r="626" spans="1:25" ht="12.5">
      <c r="A626" s="156"/>
      <c r="B626" s="156"/>
      <c r="C626" s="156"/>
      <c r="D626" s="24"/>
      <c r="E626" s="24"/>
      <c r="F626" s="24"/>
      <c r="G626" s="24"/>
      <c r="H626" s="24"/>
      <c r="I626" s="174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24"/>
      <c r="Y626" s="156"/>
    </row>
    <row r="627" spans="1:25" ht="12.5">
      <c r="A627" s="156"/>
      <c r="B627" s="156"/>
      <c r="C627" s="156"/>
      <c r="D627" s="24"/>
      <c r="E627" s="24"/>
      <c r="F627" s="24"/>
      <c r="G627" s="24"/>
      <c r="H627" s="24"/>
      <c r="I627" s="174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24"/>
      <c r="Y627" s="156"/>
    </row>
    <row r="628" spans="1:25" ht="12.5">
      <c r="A628" s="156"/>
      <c r="B628" s="156"/>
      <c r="C628" s="156"/>
      <c r="D628" s="24"/>
      <c r="E628" s="24"/>
      <c r="F628" s="24"/>
      <c r="G628" s="24"/>
      <c r="H628" s="24"/>
      <c r="I628" s="174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24"/>
      <c r="Y628" s="156"/>
    </row>
    <row r="629" spans="1:25" ht="12.5">
      <c r="A629" s="156"/>
      <c r="B629" s="156"/>
      <c r="C629" s="156"/>
      <c r="D629" s="24"/>
      <c r="E629" s="24"/>
      <c r="F629" s="24"/>
      <c r="G629" s="24"/>
      <c r="H629" s="24"/>
      <c r="I629" s="174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24"/>
      <c r="Y629" s="156"/>
    </row>
    <row r="630" spans="1:25" ht="12.5">
      <c r="A630" s="156"/>
      <c r="B630" s="156"/>
      <c r="C630" s="156"/>
      <c r="D630" s="24"/>
      <c r="E630" s="24"/>
      <c r="F630" s="24"/>
      <c r="G630" s="24"/>
      <c r="H630" s="24"/>
      <c r="I630" s="174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24"/>
      <c r="Y630" s="156"/>
    </row>
    <row r="631" spans="1:25" ht="12.5">
      <c r="A631" s="156"/>
      <c r="B631" s="156"/>
      <c r="C631" s="156"/>
      <c r="D631" s="24"/>
      <c r="E631" s="24"/>
      <c r="F631" s="24"/>
      <c r="G631" s="24"/>
      <c r="H631" s="24"/>
      <c r="I631" s="174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24"/>
      <c r="Y631" s="156"/>
    </row>
    <row r="632" spans="1:25" ht="12.5">
      <c r="A632" s="156"/>
      <c r="B632" s="156"/>
      <c r="C632" s="156"/>
      <c r="D632" s="24"/>
      <c r="E632" s="24"/>
      <c r="F632" s="24"/>
      <c r="G632" s="24"/>
      <c r="H632" s="24"/>
      <c r="I632" s="174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24"/>
      <c r="Y632" s="156"/>
    </row>
    <row r="633" spans="1:25" ht="12.5">
      <c r="A633" s="156"/>
      <c r="B633" s="156"/>
      <c r="C633" s="156"/>
      <c r="D633" s="24"/>
      <c r="E633" s="24"/>
      <c r="F633" s="24"/>
      <c r="G633" s="24"/>
      <c r="H633" s="24"/>
      <c r="I633" s="174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24"/>
      <c r="Y633" s="156"/>
    </row>
    <row r="634" spans="1:25" ht="12.5">
      <c r="A634" s="156"/>
      <c r="B634" s="156"/>
      <c r="C634" s="156"/>
      <c r="D634" s="24"/>
      <c r="E634" s="24"/>
      <c r="F634" s="24"/>
      <c r="G634" s="24"/>
      <c r="H634" s="24"/>
      <c r="I634" s="174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24"/>
      <c r="Y634" s="156"/>
    </row>
    <row r="635" spans="1:25" ht="12.5">
      <c r="A635" s="156"/>
      <c r="B635" s="156"/>
      <c r="C635" s="156"/>
      <c r="D635" s="24"/>
      <c r="E635" s="24"/>
      <c r="F635" s="24"/>
      <c r="G635" s="24"/>
      <c r="H635" s="24"/>
      <c r="I635" s="174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24"/>
      <c r="Y635" s="156"/>
    </row>
    <row r="636" spans="1:25" ht="12.5">
      <c r="A636" s="156"/>
      <c r="B636" s="156"/>
      <c r="C636" s="156"/>
      <c r="D636" s="24"/>
      <c r="E636" s="24"/>
      <c r="F636" s="24"/>
      <c r="G636" s="24"/>
      <c r="H636" s="24"/>
      <c r="I636" s="174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24"/>
      <c r="Y636" s="156"/>
    </row>
    <row r="637" spans="1:25" ht="12.5">
      <c r="A637" s="156"/>
      <c r="B637" s="156"/>
      <c r="C637" s="156"/>
      <c r="D637" s="24"/>
      <c r="E637" s="24"/>
      <c r="F637" s="24"/>
      <c r="G637" s="24"/>
      <c r="H637" s="24"/>
      <c r="I637" s="174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24"/>
      <c r="Y637" s="156"/>
    </row>
    <row r="638" spans="1:25" ht="12.5">
      <c r="A638" s="156"/>
      <c r="B638" s="156"/>
      <c r="C638" s="156"/>
      <c r="D638" s="24"/>
      <c r="E638" s="24"/>
      <c r="F638" s="24"/>
      <c r="G638" s="24"/>
      <c r="H638" s="24"/>
      <c r="I638" s="174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24"/>
      <c r="Y638" s="156"/>
    </row>
    <row r="639" spans="1:25" ht="12.5">
      <c r="A639" s="156"/>
      <c r="B639" s="156"/>
      <c r="C639" s="156"/>
      <c r="D639" s="24"/>
      <c r="E639" s="24"/>
      <c r="F639" s="24"/>
      <c r="G639" s="24"/>
      <c r="H639" s="24"/>
      <c r="I639" s="174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24"/>
      <c r="Y639" s="156"/>
    </row>
    <row r="640" spans="1:25" ht="12.5">
      <c r="A640" s="156"/>
      <c r="B640" s="156"/>
      <c r="C640" s="156"/>
      <c r="D640" s="24"/>
      <c r="E640" s="24"/>
      <c r="F640" s="24"/>
      <c r="G640" s="24"/>
      <c r="H640" s="24"/>
      <c r="I640" s="174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24"/>
      <c r="Y640" s="156"/>
    </row>
    <row r="641" spans="1:25" ht="12.5">
      <c r="A641" s="156"/>
      <c r="B641" s="156"/>
      <c r="C641" s="156"/>
      <c r="D641" s="24"/>
      <c r="E641" s="24"/>
      <c r="F641" s="24"/>
      <c r="G641" s="24"/>
      <c r="H641" s="24"/>
      <c r="I641" s="174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24"/>
      <c r="Y641" s="156"/>
    </row>
    <row r="642" spans="1:25" ht="12.5">
      <c r="A642" s="156"/>
      <c r="B642" s="156"/>
      <c r="C642" s="156"/>
      <c r="D642" s="24"/>
      <c r="E642" s="24"/>
      <c r="F642" s="24"/>
      <c r="G642" s="24"/>
      <c r="H642" s="24"/>
      <c r="I642" s="174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24"/>
      <c r="Y642" s="156"/>
    </row>
    <row r="643" spans="1:25" ht="12.5">
      <c r="A643" s="156"/>
      <c r="B643" s="156"/>
      <c r="C643" s="156"/>
      <c r="D643" s="24"/>
      <c r="E643" s="24"/>
      <c r="F643" s="24"/>
      <c r="G643" s="24"/>
      <c r="H643" s="24"/>
      <c r="I643" s="174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24"/>
      <c r="Y643" s="156"/>
    </row>
    <row r="644" spans="1:25" ht="12.5">
      <c r="A644" s="156"/>
      <c r="B644" s="156"/>
      <c r="C644" s="156"/>
      <c r="D644" s="24"/>
      <c r="E644" s="24"/>
      <c r="F644" s="24"/>
      <c r="G644" s="24"/>
      <c r="H644" s="24"/>
      <c r="I644" s="174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24"/>
      <c r="Y644" s="156"/>
    </row>
    <row r="645" spans="1:25" ht="12.5">
      <c r="A645" s="156"/>
      <c r="B645" s="156"/>
      <c r="C645" s="156"/>
      <c r="D645" s="24"/>
      <c r="E645" s="24"/>
      <c r="F645" s="24"/>
      <c r="G645" s="24"/>
      <c r="H645" s="24"/>
      <c r="I645" s="174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24"/>
      <c r="Y645" s="156"/>
    </row>
    <row r="646" spans="1:25" ht="12.5">
      <c r="A646" s="156"/>
      <c r="B646" s="156"/>
      <c r="C646" s="156"/>
      <c r="D646" s="24"/>
      <c r="E646" s="24"/>
      <c r="F646" s="24"/>
      <c r="G646" s="24"/>
      <c r="H646" s="24"/>
      <c r="I646" s="174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24"/>
      <c r="Y646" s="156"/>
    </row>
    <row r="647" spans="1:25" ht="12.5">
      <c r="A647" s="156"/>
      <c r="B647" s="156"/>
      <c r="C647" s="156"/>
      <c r="D647" s="24"/>
      <c r="E647" s="24"/>
      <c r="F647" s="24"/>
      <c r="G647" s="24"/>
      <c r="H647" s="24"/>
      <c r="I647" s="174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24"/>
      <c r="Y647" s="156"/>
    </row>
    <row r="648" spans="1:25" ht="12.5">
      <c r="A648" s="156"/>
      <c r="B648" s="156"/>
      <c r="C648" s="156"/>
      <c r="D648" s="24"/>
      <c r="E648" s="24"/>
      <c r="F648" s="24"/>
      <c r="G648" s="24"/>
      <c r="H648" s="24"/>
      <c r="I648" s="174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24"/>
      <c r="Y648" s="156"/>
    </row>
    <row r="649" spans="1:25" ht="12.5">
      <c r="A649" s="156"/>
      <c r="B649" s="156"/>
      <c r="C649" s="156"/>
      <c r="D649" s="24"/>
      <c r="E649" s="24"/>
      <c r="F649" s="24"/>
      <c r="G649" s="24"/>
      <c r="H649" s="24"/>
      <c r="I649" s="174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24"/>
      <c r="Y649" s="156"/>
    </row>
    <row r="650" spans="1:25" ht="12.5">
      <c r="A650" s="156"/>
      <c r="B650" s="156"/>
      <c r="C650" s="156"/>
      <c r="D650" s="24"/>
      <c r="E650" s="24"/>
      <c r="F650" s="24"/>
      <c r="G650" s="24"/>
      <c r="H650" s="24"/>
      <c r="I650" s="174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24"/>
      <c r="Y650" s="156"/>
    </row>
    <row r="651" spans="1:25" ht="12.5">
      <c r="A651" s="156"/>
      <c r="B651" s="156"/>
      <c r="C651" s="156"/>
      <c r="D651" s="24"/>
      <c r="E651" s="24"/>
      <c r="F651" s="24"/>
      <c r="G651" s="24"/>
      <c r="H651" s="24"/>
      <c r="I651" s="174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24"/>
      <c r="Y651" s="156"/>
    </row>
    <row r="652" spans="1:25" ht="12.5">
      <c r="A652" s="156"/>
      <c r="B652" s="156"/>
      <c r="C652" s="156"/>
      <c r="D652" s="24"/>
      <c r="E652" s="24"/>
      <c r="F652" s="24"/>
      <c r="G652" s="24"/>
      <c r="H652" s="24"/>
      <c r="I652" s="174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24"/>
      <c r="Y652" s="156"/>
    </row>
    <row r="653" spans="1:25" ht="12.5">
      <c r="A653" s="156"/>
      <c r="B653" s="156"/>
      <c r="C653" s="156"/>
      <c r="D653" s="24"/>
      <c r="E653" s="24"/>
      <c r="F653" s="24"/>
      <c r="G653" s="24"/>
      <c r="H653" s="24"/>
      <c r="I653" s="174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24"/>
      <c r="Y653" s="156"/>
    </row>
    <row r="654" spans="1:25" ht="12.5">
      <c r="A654" s="156"/>
      <c r="B654" s="156"/>
      <c r="C654" s="156"/>
      <c r="D654" s="24"/>
      <c r="E654" s="24"/>
      <c r="F654" s="24"/>
      <c r="G654" s="24"/>
      <c r="H654" s="24"/>
      <c r="I654" s="174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24"/>
      <c r="Y654" s="156"/>
    </row>
    <row r="655" spans="1:25" ht="12.5">
      <c r="A655" s="156"/>
      <c r="B655" s="156"/>
      <c r="C655" s="156"/>
      <c r="D655" s="24"/>
      <c r="E655" s="24"/>
      <c r="F655" s="24"/>
      <c r="G655" s="24"/>
      <c r="H655" s="24"/>
      <c r="I655" s="174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24"/>
      <c r="Y655" s="156"/>
    </row>
    <row r="656" spans="1:25" ht="12.5">
      <c r="A656" s="156"/>
      <c r="B656" s="156"/>
      <c r="C656" s="156"/>
      <c r="D656" s="24"/>
      <c r="E656" s="24"/>
      <c r="F656" s="24"/>
      <c r="G656" s="24"/>
      <c r="H656" s="24"/>
      <c r="I656" s="174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24"/>
      <c r="Y656" s="156"/>
    </row>
    <row r="657" spans="1:25" ht="12.5">
      <c r="A657" s="156"/>
      <c r="B657" s="156"/>
      <c r="C657" s="156"/>
      <c r="D657" s="24"/>
      <c r="E657" s="24"/>
      <c r="F657" s="24"/>
      <c r="G657" s="24"/>
      <c r="H657" s="24"/>
      <c r="I657" s="174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24"/>
      <c r="Y657" s="156"/>
    </row>
    <row r="658" spans="1:25" ht="12.5">
      <c r="A658" s="156"/>
      <c r="B658" s="156"/>
      <c r="C658" s="156"/>
      <c r="D658" s="24"/>
      <c r="E658" s="24"/>
      <c r="F658" s="24"/>
      <c r="G658" s="24"/>
      <c r="H658" s="24"/>
      <c r="I658" s="174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24"/>
      <c r="Y658" s="156"/>
    </row>
    <row r="659" spans="1:25" ht="12.5">
      <c r="A659" s="156"/>
      <c r="B659" s="156"/>
      <c r="C659" s="156"/>
      <c r="D659" s="24"/>
      <c r="E659" s="24"/>
      <c r="F659" s="24"/>
      <c r="G659" s="24"/>
      <c r="H659" s="24"/>
      <c r="I659" s="174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24"/>
      <c r="Y659" s="156"/>
    </row>
    <row r="660" spans="1:25" ht="12.5">
      <c r="A660" s="156"/>
      <c r="B660" s="156"/>
      <c r="C660" s="156"/>
      <c r="D660" s="24"/>
      <c r="E660" s="24"/>
      <c r="F660" s="24"/>
      <c r="G660" s="24"/>
      <c r="H660" s="24"/>
      <c r="I660" s="174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24"/>
      <c r="Y660" s="156"/>
    </row>
    <row r="661" spans="1:25" ht="12.5">
      <c r="A661" s="156"/>
      <c r="B661" s="156"/>
      <c r="C661" s="156"/>
      <c r="D661" s="24"/>
      <c r="E661" s="24"/>
      <c r="F661" s="24"/>
      <c r="G661" s="24"/>
      <c r="H661" s="24"/>
      <c r="I661" s="174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24"/>
      <c r="Y661" s="156"/>
    </row>
    <row r="662" spans="1:25" ht="12.5">
      <c r="A662" s="156"/>
      <c r="B662" s="156"/>
      <c r="C662" s="156"/>
      <c r="D662" s="24"/>
      <c r="E662" s="24"/>
      <c r="F662" s="24"/>
      <c r="G662" s="24"/>
      <c r="H662" s="24"/>
      <c r="I662" s="174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24"/>
      <c r="Y662" s="156"/>
    </row>
    <row r="663" spans="1:25" ht="12.5">
      <c r="A663" s="156"/>
      <c r="B663" s="156"/>
      <c r="C663" s="156"/>
      <c r="D663" s="24"/>
      <c r="E663" s="24"/>
      <c r="F663" s="24"/>
      <c r="G663" s="24"/>
      <c r="H663" s="24"/>
      <c r="I663" s="174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24"/>
      <c r="Y663" s="156"/>
    </row>
    <row r="664" spans="1:25" ht="12.5">
      <c r="A664" s="156"/>
      <c r="B664" s="156"/>
      <c r="C664" s="156"/>
      <c r="D664" s="24"/>
      <c r="E664" s="24"/>
      <c r="F664" s="24"/>
      <c r="G664" s="24"/>
      <c r="H664" s="24"/>
      <c r="I664" s="174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24"/>
      <c r="Y664" s="156"/>
    </row>
    <row r="665" spans="1:25" ht="12.5">
      <c r="A665" s="156"/>
      <c r="B665" s="156"/>
      <c r="C665" s="156"/>
      <c r="D665" s="24"/>
      <c r="E665" s="24"/>
      <c r="F665" s="24"/>
      <c r="G665" s="24"/>
      <c r="H665" s="24"/>
      <c r="I665" s="174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24"/>
      <c r="Y665" s="156"/>
    </row>
    <row r="666" spans="1:25" ht="12.5">
      <c r="A666" s="156"/>
      <c r="B666" s="156"/>
      <c r="C666" s="156"/>
      <c r="D666" s="24"/>
      <c r="E666" s="24"/>
      <c r="F666" s="24"/>
      <c r="G666" s="24"/>
      <c r="H666" s="24"/>
      <c r="I666" s="174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24"/>
      <c r="Y666" s="156"/>
    </row>
    <row r="667" spans="1:25" ht="12.5">
      <c r="A667" s="156"/>
      <c r="B667" s="156"/>
      <c r="C667" s="156"/>
      <c r="D667" s="24"/>
      <c r="E667" s="24"/>
      <c r="F667" s="24"/>
      <c r="G667" s="24"/>
      <c r="H667" s="24"/>
      <c r="I667" s="174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24"/>
      <c r="Y667" s="156"/>
    </row>
    <row r="668" spans="1:25" ht="12.5">
      <c r="A668" s="156"/>
      <c r="B668" s="156"/>
      <c r="C668" s="156"/>
      <c r="D668" s="24"/>
      <c r="E668" s="24"/>
      <c r="F668" s="24"/>
      <c r="G668" s="24"/>
      <c r="H668" s="24"/>
      <c r="I668" s="174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24"/>
      <c r="Y668" s="156"/>
    </row>
    <row r="669" spans="1:25" ht="12.5">
      <c r="A669" s="156"/>
      <c r="B669" s="156"/>
      <c r="C669" s="156"/>
      <c r="D669" s="24"/>
      <c r="E669" s="24"/>
      <c r="F669" s="24"/>
      <c r="G669" s="24"/>
      <c r="H669" s="24"/>
      <c r="I669" s="174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24"/>
      <c r="Y669" s="156"/>
    </row>
    <row r="670" spans="1:25" ht="12.5">
      <c r="A670" s="156"/>
      <c r="B670" s="156"/>
      <c r="C670" s="156"/>
      <c r="D670" s="24"/>
      <c r="E670" s="24"/>
      <c r="F670" s="24"/>
      <c r="G670" s="24"/>
      <c r="H670" s="24"/>
      <c r="I670" s="174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24"/>
      <c r="Y670" s="156"/>
    </row>
    <row r="671" spans="1:25" ht="12.5">
      <c r="A671" s="156"/>
      <c r="B671" s="156"/>
      <c r="C671" s="156"/>
      <c r="D671" s="24"/>
      <c r="E671" s="24"/>
      <c r="F671" s="24"/>
      <c r="G671" s="24"/>
      <c r="H671" s="24"/>
      <c r="I671" s="174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24"/>
      <c r="Y671" s="156"/>
    </row>
    <row r="672" spans="1:25" ht="12.5">
      <c r="A672" s="156"/>
      <c r="B672" s="156"/>
      <c r="C672" s="156"/>
      <c r="D672" s="24"/>
      <c r="E672" s="24"/>
      <c r="F672" s="24"/>
      <c r="G672" s="24"/>
      <c r="H672" s="24"/>
      <c r="I672" s="174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24"/>
      <c r="Y672" s="156"/>
    </row>
    <row r="673" spans="1:25" ht="12.5">
      <c r="A673" s="156"/>
      <c r="B673" s="156"/>
      <c r="C673" s="156"/>
      <c r="D673" s="24"/>
      <c r="E673" s="24"/>
      <c r="F673" s="24"/>
      <c r="G673" s="24"/>
      <c r="H673" s="24"/>
      <c r="I673" s="174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24"/>
      <c r="Y673" s="156"/>
    </row>
    <row r="674" spans="1:25" ht="12.5">
      <c r="A674" s="156"/>
      <c r="B674" s="156"/>
      <c r="C674" s="156"/>
      <c r="D674" s="24"/>
      <c r="E674" s="24"/>
      <c r="F674" s="24"/>
      <c r="G674" s="24"/>
      <c r="H674" s="24"/>
      <c r="I674" s="174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24"/>
      <c r="Y674" s="156"/>
    </row>
    <row r="675" spans="1:25" ht="12.5">
      <c r="A675" s="156"/>
      <c r="B675" s="156"/>
      <c r="C675" s="156"/>
      <c r="D675" s="24"/>
      <c r="E675" s="24"/>
      <c r="F675" s="24"/>
      <c r="G675" s="24"/>
      <c r="H675" s="24"/>
      <c r="I675" s="174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24"/>
      <c r="Y675" s="156"/>
    </row>
    <row r="676" spans="1:25" ht="12.5">
      <c r="A676" s="156"/>
      <c r="B676" s="156"/>
      <c r="C676" s="156"/>
      <c r="D676" s="24"/>
      <c r="E676" s="24"/>
      <c r="F676" s="24"/>
      <c r="G676" s="24"/>
      <c r="H676" s="24"/>
      <c r="I676" s="174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24"/>
      <c r="Y676" s="156"/>
    </row>
    <row r="677" spans="1:25" ht="12.5">
      <c r="A677" s="156"/>
      <c r="B677" s="156"/>
      <c r="C677" s="156"/>
      <c r="D677" s="24"/>
      <c r="E677" s="24"/>
      <c r="F677" s="24"/>
      <c r="G677" s="24"/>
      <c r="H677" s="24"/>
      <c r="I677" s="174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24"/>
      <c r="Y677" s="156"/>
    </row>
    <row r="678" spans="1:25" ht="12.5">
      <c r="A678" s="156"/>
      <c r="B678" s="156"/>
      <c r="C678" s="156"/>
      <c r="D678" s="24"/>
      <c r="E678" s="24"/>
      <c r="F678" s="24"/>
      <c r="G678" s="24"/>
      <c r="H678" s="24"/>
      <c r="I678" s="174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24"/>
      <c r="Y678" s="156"/>
    </row>
    <row r="679" spans="1:25" ht="12.5">
      <c r="A679" s="156"/>
      <c r="B679" s="156"/>
      <c r="C679" s="156"/>
      <c r="D679" s="24"/>
      <c r="E679" s="24"/>
      <c r="F679" s="24"/>
      <c r="G679" s="24"/>
      <c r="H679" s="24"/>
      <c r="I679" s="174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24"/>
      <c r="Y679" s="156"/>
    </row>
    <row r="680" spans="1:25" ht="12.5">
      <c r="A680" s="156"/>
      <c r="B680" s="156"/>
      <c r="C680" s="156"/>
      <c r="D680" s="24"/>
      <c r="E680" s="24"/>
      <c r="F680" s="24"/>
      <c r="G680" s="24"/>
      <c r="H680" s="24"/>
      <c r="I680" s="174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24"/>
      <c r="Y680" s="156"/>
    </row>
    <row r="681" spans="1:25" ht="12.5">
      <c r="A681" s="156"/>
      <c r="B681" s="156"/>
      <c r="C681" s="156"/>
      <c r="D681" s="24"/>
      <c r="E681" s="24"/>
      <c r="F681" s="24"/>
      <c r="G681" s="24"/>
      <c r="H681" s="24"/>
      <c r="I681" s="174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24"/>
      <c r="Y681" s="156"/>
    </row>
    <row r="682" spans="1:25" ht="12.5">
      <c r="A682" s="156"/>
      <c r="B682" s="156"/>
      <c r="C682" s="156"/>
      <c r="D682" s="24"/>
      <c r="E682" s="24"/>
      <c r="F682" s="24"/>
      <c r="G682" s="24"/>
      <c r="H682" s="24"/>
      <c r="I682" s="174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24"/>
      <c r="Y682" s="156"/>
    </row>
    <row r="683" spans="1:25" ht="12.5">
      <c r="A683" s="156"/>
      <c r="B683" s="156"/>
      <c r="C683" s="156"/>
      <c r="D683" s="24"/>
      <c r="E683" s="24"/>
      <c r="F683" s="24"/>
      <c r="G683" s="24"/>
      <c r="H683" s="24"/>
      <c r="I683" s="174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24"/>
      <c r="Y683" s="156"/>
    </row>
    <row r="684" spans="1:25" ht="12.5">
      <c r="A684" s="156"/>
      <c r="B684" s="156"/>
      <c r="C684" s="156"/>
      <c r="D684" s="24"/>
      <c r="E684" s="24"/>
      <c r="F684" s="24"/>
      <c r="G684" s="24"/>
      <c r="H684" s="24"/>
      <c r="I684" s="174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24"/>
      <c r="Y684" s="156"/>
    </row>
    <row r="685" spans="1:25" ht="12.5">
      <c r="A685" s="156"/>
      <c r="B685" s="156"/>
      <c r="C685" s="156"/>
      <c r="D685" s="24"/>
      <c r="E685" s="24"/>
      <c r="F685" s="24"/>
      <c r="G685" s="24"/>
      <c r="H685" s="24"/>
      <c r="I685" s="174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24"/>
      <c r="Y685" s="156"/>
    </row>
    <row r="686" spans="1:25" ht="12.5">
      <c r="A686" s="156"/>
      <c r="B686" s="156"/>
      <c r="C686" s="156"/>
      <c r="D686" s="24"/>
      <c r="E686" s="24"/>
      <c r="F686" s="24"/>
      <c r="G686" s="24"/>
      <c r="H686" s="24"/>
      <c r="I686" s="174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24"/>
      <c r="Y686" s="156"/>
    </row>
    <row r="687" spans="1:25" ht="12.5">
      <c r="A687" s="156"/>
      <c r="B687" s="156"/>
      <c r="C687" s="156"/>
      <c r="D687" s="24"/>
      <c r="E687" s="24"/>
      <c r="F687" s="24"/>
      <c r="G687" s="24"/>
      <c r="H687" s="24"/>
      <c r="I687" s="174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24"/>
      <c r="Y687" s="156"/>
    </row>
    <row r="688" spans="1:25" ht="12.5">
      <c r="A688" s="156"/>
      <c r="B688" s="156"/>
      <c r="C688" s="156"/>
      <c r="D688" s="24"/>
      <c r="E688" s="24"/>
      <c r="F688" s="24"/>
      <c r="G688" s="24"/>
      <c r="H688" s="24"/>
      <c r="I688" s="174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24"/>
      <c r="Y688" s="156"/>
    </row>
    <row r="689" spans="1:25" ht="12.5">
      <c r="A689" s="156"/>
      <c r="B689" s="156"/>
      <c r="C689" s="156"/>
      <c r="D689" s="24"/>
      <c r="E689" s="24"/>
      <c r="F689" s="24"/>
      <c r="G689" s="24"/>
      <c r="H689" s="24"/>
      <c r="I689" s="174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24"/>
      <c r="Y689" s="156"/>
    </row>
    <row r="690" spans="1:25" ht="12.5">
      <c r="A690" s="156"/>
      <c r="B690" s="156"/>
      <c r="C690" s="156"/>
      <c r="D690" s="24"/>
      <c r="E690" s="24"/>
      <c r="F690" s="24"/>
      <c r="G690" s="24"/>
      <c r="H690" s="24"/>
      <c r="I690" s="174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24"/>
      <c r="Y690" s="156"/>
    </row>
    <row r="691" spans="1:25" ht="12.5">
      <c r="A691" s="156"/>
      <c r="B691" s="156"/>
      <c r="C691" s="156"/>
      <c r="D691" s="24"/>
      <c r="E691" s="24"/>
      <c r="F691" s="24"/>
      <c r="G691" s="24"/>
      <c r="H691" s="24"/>
      <c r="I691" s="174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24"/>
      <c r="Y691" s="156"/>
    </row>
    <row r="692" spans="1:25" ht="12.5">
      <c r="A692" s="156"/>
      <c r="B692" s="156"/>
      <c r="C692" s="156"/>
      <c r="D692" s="24"/>
      <c r="E692" s="24"/>
      <c r="F692" s="24"/>
      <c r="G692" s="24"/>
      <c r="H692" s="24"/>
      <c r="I692" s="174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24"/>
      <c r="Y692" s="156"/>
    </row>
    <row r="693" spans="1:25" ht="12.5">
      <c r="A693" s="156"/>
      <c r="B693" s="156"/>
      <c r="C693" s="156"/>
      <c r="D693" s="24"/>
      <c r="E693" s="24"/>
      <c r="F693" s="24"/>
      <c r="G693" s="24"/>
      <c r="H693" s="24"/>
      <c r="I693" s="174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24"/>
      <c r="Y693" s="156"/>
    </row>
    <row r="694" spans="1:25" ht="12.5">
      <c r="A694" s="156"/>
      <c r="B694" s="156"/>
      <c r="C694" s="156"/>
      <c r="D694" s="24"/>
      <c r="E694" s="24"/>
      <c r="F694" s="24"/>
      <c r="G694" s="24"/>
      <c r="H694" s="24"/>
      <c r="I694" s="174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24"/>
      <c r="Y694" s="156"/>
    </row>
    <row r="695" spans="1:25" ht="12.5">
      <c r="A695" s="156"/>
      <c r="B695" s="156"/>
      <c r="C695" s="156"/>
      <c r="D695" s="24"/>
      <c r="E695" s="24"/>
      <c r="F695" s="24"/>
      <c r="G695" s="24"/>
      <c r="H695" s="24"/>
      <c r="I695" s="174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24"/>
      <c r="Y695" s="156"/>
    </row>
    <row r="696" spans="1:25" ht="12.5">
      <c r="A696" s="156"/>
      <c r="B696" s="156"/>
      <c r="C696" s="156"/>
      <c r="D696" s="24"/>
      <c r="E696" s="24"/>
      <c r="F696" s="24"/>
      <c r="G696" s="24"/>
      <c r="H696" s="24"/>
      <c r="I696" s="174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24"/>
      <c r="Y696" s="156"/>
    </row>
    <row r="697" spans="1:25" ht="12.5">
      <c r="A697" s="156"/>
      <c r="B697" s="156"/>
      <c r="C697" s="156"/>
      <c r="D697" s="24"/>
      <c r="E697" s="24"/>
      <c r="F697" s="24"/>
      <c r="G697" s="24"/>
      <c r="H697" s="24"/>
      <c r="I697" s="174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24"/>
      <c r="Y697" s="156"/>
    </row>
    <row r="698" spans="1:25" ht="12.5">
      <c r="A698" s="156"/>
      <c r="B698" s="156"/>
      <c r="C698" s="156"/>
      <c r="D698" s="24"/>
      <c r="E698" s="24"/>
      <c r="F698" s="24"/>
      <c r="G698" s="24"/>
      <c r="H698" s="24"/>
      <c r="I698" s="174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24"/>
      <c r="Y698" s="156"/>
    </row>
    <row r="699" spans="1:25" ht="12.5">
      <c r="A699" s="156"/>
      <c r="B699" s="156"/>
      <c r="C699" s="156"/>
      <c r="D699" s="24"/>
      <c r="E699" s="24"/>
      <c r="F699" s="24"/>
      <c r="G699" s="24"/>
      <c r="H699" s="24"/>
      <c r="I699" s="174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24"/>
      <c r="Y699" s="156"/>
    </row>
    <row r="700" spans="1:25" ht="12.5">
      <c r="A700" s="156"/>
      <c r="B700" s="156"/>
      <c r="C700" s="156"/>
      <c r="D700" s="24"/>
      <c r="E700" s="24"/>
      <c r="F700" s="24"/>
      <c r="G700" s="24"/>
      <c r="H700" s="24"/>
      <c r="I700" s="174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24"/>
      <c r="Y700" s="156"/>
    </row>
    <row r="701" spans="1:25" ht="12.5">
      <c r="A701" s="156"/>
      <c r="B701" s="156"/>
      <c r="C701" s="156"/>
      <c r="D701" s="24"/>
      <c r="E701" s="24"/>
      <c r="F701" s="24"/>
      <c r="G701" s="24"/>
      <c r="H701" s="24"/>
      <c r="I701" s="174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24"/>
      <c r="Y701" s="156"/>
    </row>
    <row r="702" spans="1:25" ht="12.5">
      <c r="A702" s="156"/>
      <c r="B702" s="156"/>
      <c r="C702" s="156"/>
      <c r="D702" s="24"/>
      <c r="E702" s="24"/>
      <c r="F702" s="24"/>
      <c r="G702" s="24"/>
      <c r="H702" s="24"/>
      <c r="I702" s="174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24"/>
      <c r="Y702" s="156"/>
    </row>
    <row r="703" spans="1:25" ht="12.5">
      <c r="A703" s="156"/>
      <c r="B703" s="156"/>
      <c r="C703" s="156"/>
      <c r="D703" s="24"/>
      <c r="E703" s="24"/>
      <c r="F703" s="24"/>
      <c r="G703" s="24"/>
      <c r="H703" s="24"/>
      <c r="I703" s="174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24"/>
      <c r="Y703" s="156"/>
    </row>
    <row r="704" spans="1:25" ht="12.5">
      <c r="A704" s="156"/>
      <c r="B704" s="156"/>
      <c r="C704" s="156"/>
      <c r="D704" s="24"/>
      <c r="E704" s="24"/>
      <c r="F704" s="24"/>
      <c r="G704" s="24"/>
      <c r="H704" s="24"/>
      <c r="I704" s="174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24"/>
      <c r="Y704" s="156"/>
    </row>
    <row r="705" spans="1:25" ht="12.5">
      <c r="A705" s="156"/>
      <c r="B705" s="156"/>
      <c r="C705" s="156"/>
      <c r="D705" s="24"/>
      <c r="E705" s="24"/>
      <c r="F705" s="24"/>
      <c r="G705" s="24"/>
      <c r="H705" s="24"/>
      <c r="I705" s="174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24"/>
      <c r="Y705" s="156"/>
    </row>
    <row r="706" spans="1:25" ht="12.5">
      <c r="A706" s="156"/>
      <c r="B706" s="156"/>
      <c r="C706" s="156"/>
      <c r="D706" s="24"/>
      <c r="E706" s="24"/>
      <c r="F706" s="24"/>
      <c r="G706" s="24"/>
      <c r="H706" s="24"/>
      <c r="I706" s="174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24"/>
      <c r="Y706" s="156"/>
    </row>
    <row r="707" spans="1:25" ht="12.5">
      <c r="A707" s="156"/>
      <c r="B707" s="156"/>
      <c r="C707" s="156"/>
      <c r="D707" s="24"/>
      <c r="E707" s="24"/>
      <c r="F707" s="24"/>
      <c r="G707" s="24"/>
      <c r="H707" s="24"/>
      <c r="I707" s="174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24"/>
      <c r="Y707" s="156"/>
    </row>
    <row r="708" spans="1:25" ht="12.5">
      <c r="A708" s="156"/>
      <c r="B708" s="156"/>
      <c r="C708" s="156"/>
      <c r="D708" s="24"/>
      <c r="E708" s="24"/>
      <c r="F708" s="24"/>
      <c r="G708" s="24"/>
      <c r="H708" s="24"/>
      <c r="I708" s="174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24"/>
      <c r="Y708" s="156"/>
    </row>
    <row r="709" spans="1:25" ht="12.5">
      <c r="A709" s="156"/>
      <c r="B709" s="156"/>
      <c r="C709" s="156"/>
      <c r="D709" s="24"/>
      <c r="E709" s="24"/>
      <c r="F709" s="24"/>
      <c r="G709" s="24"/>
      <c r="H709" s="24"/>
      <c r="I709" s="174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24"/>
      <c r="Y709" s="156"/>
    </row>
    <row r="710" spans="1:25" ht="12.5">
      <c r="A710" s="156"/>
      <c r="B710" s="156"/>
      <c r="C710" s="156"/>
      <c r="D710" s="24"/>
      <c r="E710" s="24"/>
      <c r="F710" s="24"/>
      <c r="G710" s="24"/>
      <c r="H710" s="24"/>
      <c r="I710" s="174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24"/>
      <c r="Y710" s="156"/>
    </row>
    <row r="711" spans="1:25" ht="12.5">
      <c r="A711" s="156"/>
      <c r="B711" s="156"/>
      <c r="C711" s="156"/>
      <c r="D711" s="24"/>
      <c r="E711" s="24"/>
      <c r="F711" s="24"/>
      <c r="G711" s="24"/>
      <c r="H711" s="24"/>
      <c r="I711" s="174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24"/>
      <c r="Y711" s="156"/>
    </row>
    <row r="712" spans="1:25" ht="12.5">
      <c r="A712" s="156"/>
      <c r="B712" s="156"/>
      <c r="C712" s="156"/>
      <c r="D712" s="24"/>
      <c r="E712" s="24"/>
      <c r="F712" s="24"/>
      <c r="G712" s="24"/>
      <c r="H712" s="24"/>
      <c r="I712" s="174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24"/>
      <c r="Y712" s="156"/>
    </row>
    <row r="713" spans="1:25" ht="12.5">
      <c r="A713" s="156"/>
      <c r="B713" s="156"/>
      <c r="C713" s="156"/>
      <c r="D713" s="24"/>
      <c r="E713" s="24"/>
      <c r="F713" s="24"/>
      <c r="G713" s="24"/>
      <c r="H713" s="24"/>
      <c r="I713" s="174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24"/>
      <c r="Y713" s="156"/>
    </row>
    <row r="714" spans="1:25" ht="12.5">
      <c r="A714" s="156"/>
      <c r="B714" s="156"/>
      <c r="C714" s="156"/>
      <c r="D714" s="24"/>
      <c r="E714" s="24"/>
      <c r="F714" s="24"/>
      <c r="G714" s="24"/>
      <c r="H714" s="24"/>
      <c r="I714" s="174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24"/>
      <c r="Y714" s="156"/>
    </row>
    <row r="715" spans="1:25" ht="12.5">
      <c r="A715" s="156"/>
      <c r="B715" s="156"/>
      <c r="C715" s="156"/>
      <c r="D715" s="24"/>
      <c r="E715" s="24"/>
      <c r="F715" s="24"/>
      <c r="G715" s="24"/>
      <c r="H715" s="24"/>
      <c r="I715" s="174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24"/>
      <c r="Y715" s="156"/>
    </row>
    <row r="716" spans="1:25" ht="12.5">
      <c r="A716" s="156"/>
      <c r="B716" s="156"/>
      <c r="C716" s="156"/>
      <c r="D716" s="24"/>
      <c r="E716" s="24"/>
      <c r="F716" s="24"/>
      <c r="G716" s="24"/>
      <c r="H716" s="24"/>
      <c r="I716" s="174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24"/>
      <c r="Y716" s="156"/>
    </row>
    <row r="717" spans="1:25" ht="12.5">
      <c r="A717" s="156"/>
      <c r="B717" s="156"/>
      <c r="C717" s="156"/>
      <c r="D717" s="24"/>
      <c r="E717" s="24"/>
      <c r="F717" s="24"/>
      <c r="G717" s="24"/>
      <c r="H717" s="24"/>
      <c r="I717" s="174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24"/>
      <c r="Y717" s="156"/>
    </row>
    <row r="718" spans="1:25" ht="12.5">
      <c r="A718" s="156"/>
      <c r="B718" s="156"/>
      <c r="C718" s="156"/>
      <c r="D718" s="24"/>
      <c r="E718" s="24"/>
      <c r="F718" s="24"/>
      <c r="G718" s="24"/>
      <c r="H718" s="24"/>
      <c r="I718" s="174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24"/>
      <c r="Y718" s="156"/>
    </row>
    <row r="719" spans="1:25" ht="12.5">
      <c r="A719" s="156"/>
      <c r="B719" s="156"/>
      <c r="C719" s="156"/>
      <c r="D719" s="24"/>
      <c r="E719" s="24"/>
      <c r="F719" s="24"/>
      <c r="G719" s="24"/>
      <c r="H719" s="24"/>
      <c r="I719" s="174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24"/>
      <c r="Y719" s="156"/>
    </row>
    <row r="720" spans="1:25" ht="12.5">
      <c r="A720" s="156"/>
      <c r="B720" s="156"/>
      <c r="C720" s="156"/>
      <c r="D720" s="24"/>
      <c r="E720" s="24"/>
      <c r="F720" s="24"/>
      <c r="G720" s="24"/>
      <c r="H720" s="24"/>
      <c r="I720" s="174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24"/>
      <c r="Y720" s="156"/>
    </row>
    <row r="721" spans="1:25" ht="12.5">
      <c r="A721" s="156"/>
      <c r="B721" s="156"/>
      <c r="C721" s="156"/>
      <c r="D721" s="24"/>
      <c r="E721" s="24"/>
      <c r="F721" s="24"/>
      <c r="G721" s="24"/>
      <c r="H721" s="24"/>
      <c r="I721" s="174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24"/>
      <c r="Y721" s="156"/>
    </row>
    <row r="722" spans="1:25" ht="12.5">
      <c r="A722" s="156"/>
      <c r="B722" s="156"/>
      <c r="C722" s="156"/>
      <c r="D722" s="24"/>
      <c r="E722" s="24"/>
      <c r="F722" s="24"/>
      <c r="G722" s="24"/>
      <c r="H722" s="24"/>
      <c r="I722" s="174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24"/>
      <c r="Y722" s="156"/>
    </row>
    <row r="723" spans="1:25" ht="12.5">
      <c r="A723" s="156"/>
      <c r="B723" s="156"/>
      <c r="C723" s="156"/>
      <c r="D723" s="24"/>
      <c r="E723" s="24"/>
      <c r="F723" s="24"/>
      <c r="G723" s="24"/>
      <c r="H723" s="24"/>
      <c r="I723" s="174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24"/>
      <c r="Y723" s="156"/>
    </row>
    <row r="724" spans="1:25" ht="12.5">
      <c r="A724" s="156"/>
      <c r="B724" s="156"/>
      <c r="C724" s="156"/>
      <c r="D724" s="24"/>
      <c r="E724" s="24"/>
      <c r="F724" s="24"/>
      <c r="G724" s="24"/>
      <c r="H724" s="24"/>
      <c r="I724" s="174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24"/>
      <c r="Y724" s="156"/>
    </row>
    <row r="725" spans="1:25" ht="12.5">
      <c r="A725" s="156"/>
      <c r="B725" s="156"/>
      <c r="C725" s="156"/>
      <c r="D725" s="24"/>
      <c r="E725" s="24"/>
      <c r="F725" s="24"/>
      <c r="G725" s="24"/>
      <c r="H725" s="24"/>
      <c r="I725" s="174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24"/>
      <c r="Y725" s="156"/>
    </row>
    <row r="726" spans="1:25" ht="12.5">
      <c r="A726" s="156"/>
      <c r="B726" s="156"/>
      <c r="C726" s="156"/>
      <c r="D726" s="24"/>
      <c r="E726" s="24"/>
      <c r="F726" s="24"/>
      <c r="G726" s="24"/>
      <c r="H726" s="24"/>
      <c r="I726" s="174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24"/>
      <c r="Y726" s="156"/>
    </row>
    <row r="727" spans="1:25" ht="12.5">
      <c r="A727" s="156"/>
      <c r="B727" s="156"/>
      <c r="C727" s="156"/>
      <c r="D727" s="24"/>
      <c r="E727" s="24"/>
      <c r="F727" s="24"/>
      <c r="G727" s="24"/>
      <c r="H727" s="24"/>
      <c r="I727" s="174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24"/>
      <c r="Y727" s="156"/>
    </row>
    <row r="728" spans="1:25" ht="12.5">
      <c r="A728" s="156"/>
      <c r="B728" s="156"/>
      <c r="C728" s="156"/>
      <c r="D728" s="24"/>
      <c r="E728" s="24"/>
      <c r="F728" s="24"/>
      <c r="G728" s="24"/>
      <c r="H728" s="24"/>
      <c r="I728" s="174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24"/>
      <c r="Y728" s="156"/>
    </row>
    <row r="729" spans="1:25" ht="12.5">
      <c r="A729" s="156"/>
      <c r="B729" s="156"/>
      <c r="C729" s="156"/>
      <c r="D729" s="24"/>
      <c r="E729" s="24"/>
      <c r="F729" s="24"/>
      <c r="G729" s="24"/>
      <c r="H729" s="24"/>
      <c r="I729" s="174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24"/>
      <c r="Y729" s="156"/>
    </row>
    <row r="730" spans="1:25" ht="12.5">
      <c r="A730" s="156"/>
      <c r="B730" s="156"/>
      <c r="C730" s="156"/>
      <c r="D730" s="24"/>
      <c r="E730" s="24"/>
      <c r="F730" s="24"/>
      <c r="G730" s="24"/>
      <c r="H730" s="24"/>
      <c r="I730" s="174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24"/>
      <c r="Y730" s="156"/>
    </row>
    <row r="731" spans="1:25" ht="12.5">
      <c r="A731" s="156"/>
      <c r="B731" s="156"/>
      <c r="C731" s="156"/>
      <c r="D731" s="24"/>
      <c r="E731" s="24"/>
      <c r="F731" s="24"/>
      <c r="G731" s="24"/>
      <c r="H731" s="24"/>
      <c r="I731" s="174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24"/>
      <c r="Y731" s="156"/>
    </row>
    <row r="732" spans="1:25" ht="12.5">
      <c r="A732" s="156"/>
      <c r="B732" s="156"/>
      <c r="C732" s="156"/>
      <c r="D732" s="24"/>
      <c r="E732" s="24"/>
      <c r="F732" s="24"/>
      <c r="G732" s="24"/>
      <c r="H732" s="24"/>
      <c r="I732" s="174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24"/>
      <c r="Y732" s="156"/>
    </row>
    <row r="733" spans="1:25" ht="12.5">
      <c r="A733" s="156"/>
      <c r="B733" s="156"/>
      <c r="C733" s="156"/>
      <c r="D733" s="24"/>
      <c r="E733" s="24"/>
      <c r="F733" s="24"/>
      <c r="G733" s="24"/>
      <c r="H733" s="24"/>
      <c r="I733" s="174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24"/>
      <c r="Y733" s="156"/>
    </row>
    <row r="734" spans="1:25" ht="12.5">
      <c r="A734" s="156"/>
      <c r="B734" s="156"/>
      <c r="C734" s="156"/>
      <c r="D734" s="24"/>
      <c r="E734" s="24"/>
      <c r="F734" s="24"/>
      <c r="G734" s="24"/>
      <c r="H734" s="24"/>
      <c r="I734" s="174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24"/>
      <c r="Y734" s="156"/>
    </row>
    <row r="735" spans="1:25" ht="12.5">
      <c r="A735" s="156"/>
      <c r="B735" s="156"/>
      <c r="C735" s="156"/>
      <c r="D735" s="24"/>
      <c r="E735" s="24"/>
      <c r="F735" s="24"/>
      <c r="G735" s="24"/>
      <c r="H735" s="24"/>
      <c r="I735" s="174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24"/>
      <c r="Y735" s="156"/>
    </row>
    <row r="736" spans="1:25" ht="12.5">
      <c r="A736" s="156"/>
      <c r="B736" s="156"/>
      <c r="C736" s="156"/>
      <c r="D736" s="24"/>
      <c r="E736" s="24"/>
      <c r="F736" s="24"/>
      <c r="G736" s="24"/>
      <c r="H736" s="24"/>
      <c r="I736" s="174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24"/>
      <c r="Y736" s="156"/>
    </row>
    <row r="737" spans="1:25" ht="12.5">
      <c r="A737" s="156"/>
      <c r="B737" s="156"/>
      <c r="C737" s="156"/>
      <c r="D737" s="24"/>
      <c r="E737" s="24"/>
      <c r="F737" s="24"/>
      <c r="G737" s="24"/>
      <c r="H737" s="24"/>
      <c r="I737" s="174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24"/>
      <c r="Y737" s="156"/>
    </row>
    <row r="738" spans="1:25" ht="12.5">
      <c r="A738" s="156"/>
      <c r="B738" s="156"/>
      <c r="C738" s="156"/>
      <c r="D738" s="24"/>
      <c r="E738" s="24"/>
      <c r="F738" s="24"/>
      <c r="G738" s="24"/>
      <c r="H738" s="24"/>
      <c r="I738" s="174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24"/>
      <c r="Y738" s="156"/>
    </row>
    <row r="739" spans="1:25" ht="12.5">
      <c r="A739" s="156"/>
      <c r="B739" s="156"/>
      <c r="C739" s="156"/>
      <c r="D739" s="24"/>
      <c r="E739" s="24"/>
      <c r="F739" s="24"/>
      <c r="G739" s="24"/>
      <c r="H739" s="24"/>
      <c r="I739" s="174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24"/>
      <c r="Y739" s="156"/>
    </row>
    <row r="740" spans="1:25" ht="12.5">
      <c r="A740" s="156"/>
      <c r="B740" s="156"/>
      <c r="C740" s="156"/>
      <c r="D740" s="24"/>
      <c r="E740" s="24"/>
      <c r="F740" s="24"/>
      <c r="G740" s="24"/>
      <c r="H740" s="24"/>
      <c r="I740" s="174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24"/>
      <c r="Y740" s="156"/>
    </row>
    <row r="741" spans="1:25" ht="12.5">
      <c r="A741" s="156"/>
      <c r="B741" s="156"/>
      <c r="C741" s="156"/>
      <c r="D741" s="24"/>
      <c r="E741" s="24"/>
      <c r="F741" s="24"/>
      <c r="G741" s="24"/>
      <c r="H741" s="24"/>
      <c r="I741" s="174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24"/>
      <c r="Y741" s="156"/>
    </row>
    <row r="742" spans="1:25" ht="12.5">
      <c r="A742" s="156"/>
      <c r="B742" s="156"/>
      <c r="C742" s="156"/>
      <c r="D742" s="24"/>
      <c r="E742" s="24"/>
      <c r="F742" s="24"/>
      <c r="G742" s="24"/>
      <c r="H742" s="24"/>
      <c r="I742" s="174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24"/>
      <c r="Y742" s="156"/>
    </row>
    <row r="743" spans="1:25" ht="12.5">
      <c r="A743" s="156"/>
      <c r="B743" s="156"/>
      <c r="C743" s="156"/>
      <c r="D743" s="24"/>
      <c r="E743" s="24"/>
      <c r="F743" s="24"/>
      <c r="G743" s="24"/>
      <c r="H743" s="24"/>
      <c r="I743" s="174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24"/>
      <c r="Y743" s="156"/>
    </row>
    <row r="744" spans="1:25" ht="12.5">
      <c r="A744" s="156"/>
      <c r="B744" s="156"/>
      <c r="C744" s="156"/>
      <c r="D744" s="24"/>
      <c r="E744" s="24"/>
      <c r="F744" s="24"/>
      <c r="G744" s="24"/>
      <c r="H744" s="24"/>
      <c r="I744" s="174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24"/>
      <c r="Y744" s="156"/>
    </row>
    <row r="745" spans="1:25" ht="12.5">
      <c r="A745" s="156"/>
      <c r="B745" s="156"/>
      <c r="C745" s="156"/>
      <c r="D745" s="24"/>
      <c r="E745" s="24"/>
      <c r="F745" s="24"/>
      <c r="G745" s="24"/>
      <c r="H745" s="24"/>
      <c r="I745" s="174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24"/>
      <c r="Y745" s="156"/>
    </row>
    <row r="746" spans="1:25" ht="12.5">
      <c r="A746" s="156"/>
      <c r="B746" s="156"/>
      <c r="C746" s="156"/>
      <c r="D746" s="24"/>
      <c r="E746" s="24"/>
      <c r="F746" s="24"/>
      <c r="G746" s="24"/>
      <c r="H746" s="24"/>
      <c r="I746" s="174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24"/>
      <c r="Y746" s="156"/>
    </row>
    <row r="747" spans="1:25" ht="12.5">
      <c r="A747" s="156"/>
      <c r="B747" s="156"/>
      <c r="C747" s="156"/>
      <c r="D747" s="24"/>
      <c r="E747" s="24"/>
      <c r="F747" s="24"/>
      <c r="G747" s="24"/>
      <c r="H747" s="24"/>
      <c r="I747" s="174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24"/>
      <c r="Y747" s="156"/>
    </row>
    <row r="748" spans="1:25" ht="12.5">
      <c r="A748" s="156"/>
      <c r="B748" s="156"/>
      <c r="C748" s="156"/>
      <c r="D748" s="24"/>
      <c r="E748" s="24"/>
      <c r="F748" s="24"/>
      <c r="G748" s="24"/>
      <c r="H748" s="24"/>
      <c r="I748" s="174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24"/>
      <c r="Y748" s="156"/>
    </row>
    <row r="749" spans="1:25" ht="12.5">
      <c r="A749" s="156"/>
      <c r="B749" s="156"/>
      <c r="C749" s="156"/>
      <c r="D749" s="24"/>
      <c r="E749" s="24"/>
      <c r="F749" s="24"/>
      <c r="G749" s="24"/>
      <c r="H749" s="24"/>
      <c r="I749" s="174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24"/>
      <c r="Y749" s="156"/>
    </row>
    <row r="750" spans="1:25" ht="12.5">
      <c r="A750" s="156"/>
      <c r="B750" s="156"/>
      <c r="C750" s="156"/>
      <c r="D750" s="24"/>
      <c r="E750" s="24"/>
      <c r="F750" s="24"/>
      <c r="G750" s="24"/>
      <c r="H750" s="24"/>
      <c r="I750" s="174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24"/>
      <c r="Y750" s="156"/>
    </row>
    <row r="751" spans="1:25" ht="12.5">
      <c r="A751" s="156"/>
      <c r="B751" s="156"/>
      <c r="C751" s="156"/>
      <c r="D751" s="24"/>
      <c r="E751" s="24"/>
      <c r="F751" s="24"/>
      <c r="G751" s="24"/>
      <c r="H751" s="24"/>
      <c r="I751" s="174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24"/>
      <c r="Y751" s="156"/>
    </row>
    <row r="752" spans="1:25" ht="12.5">
      <c r="A752" s="156"/>
      <c r="B752" s="156"/>
      <c r="C752" s="156"/>
      <c r="D752" s="24"/>
      <c r="E752" s="24"/>
      <c r="F752" s="24"/>
      <c r="G752" s="24"/>
      <c r="H752" s="24"/>
      <c r="I752" s="174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24"/>
      <c r="Y752" s="156"/>
    </row>
    <row r="753" spans="1:25" ht="12.5">
      <c r="A753" s="156"/>
      <c r="B753" s="156"/>
      <c r="C753" s="156"/>
      <c r="D753" s="24"/>
      <c r="E753" s="24"/>
      <c r="F753" s="24"/>
      <c r="G753" s="24"/>
      <c r="H753" s="24"/>
      <c r="I753" s="174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24"/>
      <c r="Y753" s="156"/>
    </row>
    <row r="754" spans="1:25" ht="12.5">
      <c r="A754" s="156"/>
      <c r="B754" s="156"/>
      <c r="C754" s="156"/>
      <c r="D754" s="24"/>
      <c r="E754" s="24"/>
      <c r="F754" s="24"/>
      <c r="G754" s="24"/>
      <c r="H754" s="24"/>
      <c r="I754" s="174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24"/>
      <c r="Y754" s="156"/>
    </row>
    <row r="755" spans="1:25" ht="12.5">
      <c r="A755" s="156"/>
      <c r="B755" s="156"/>
      <c r="C755" s="156"/>
      <c r="D755" s="24"/>
      <c r="E755" s="24"/>
      <c r="F755" s="24"/>
      <c r="G755" s="24"/>
      <c r="H755" s="24"/>
      <c r="I755" s="174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24"/>
      <c r="Y755" s="156"/>
    </row>
    <row r="756" spans="1:25" ht="12.5">
      <c r="A756" s="156"/>
      <c r="B756" s="156"/>
      <c r="C756" s="156"/>
      <c r="D756" s="24"/>
      <c r="E756" s="24"/>
      <c r="F756" s="24"/>
      <c r="G756" s="24"/>
      <c r="H756" s="24"/>
      <c r="I756" s="174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24"/>
      <c r="Y756" s="156"/>
    </row>
    <row r="757" spans="1:25" ht="12.5">
      <c r="A757" s="156"/>
      <c r="B757" s="156"/>
      <c r="C757" s="156"/>
      <c r="D757" s="24"/>
      <c r="E757" s="24"/>
      <c r="F757" s="24"/>
      <c r="G757" s="24"/>
      <c r="H757" s="24"/>
      <c r="I757" s="174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24"/>
      <c r="Y757" s="156"/>
    </row>
    <row r="758" spans="1:25" ht="12.5">
      <c r="A758" s="156"/>
      <c r="B758" s="156"/>
      <c r="C758" s="156"/>
      <c r="D758" s="24"/>
      <c r="E758" s="24"/>
      <c r="F758" s="24"/>
      <c r="G758" s="24"/>
      <c r="H758" s="24"/>
      <c r="I758" s="174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24"/>
      <c r="Y758" s="156"/>
    </row>
    <row r="759" spans="1:25" ht="12.5">
      <c r="A759" s="156"/>
      <c r="B759" s="156"/>
      <c r="C759" s="156"/>
      <c r="D759" s="24"/>
      <c r="E759" s="24"/>
      <c r="F759" s="24"/>
      <c r="G759" s="24"/>
      <c r="H759" s="24"/>
      <c r="I759" s="174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24"/>
      <c r="Y759" s="156"/>
    </row>
    <row r="760" spans="1:25" ht="12.5">
      <c r="A760" s="156"/>
      <c r="B760" s="156"/>
      <c r="C760" s="156"/>
      <c r="D760" s="24"/>
      <c r="E760" s="24"/>
      <c r="F760" s="24"/>
      <c r="G760" s="24"/>
      <c r="H760" s="24"/>
      <c r="I760" s="174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24"/>
      <c r="Y760" s="156"/>
    </row>
    <row r="761" spans="1:25" ht="12.5">
      <c r="A761" s="156"/>
      <c r="B761" s="156"/>
      <c r="C761" s="156"/>
      <c r="D761" s="24"/>
      <c r="E761" s="24"/>
      <c r="F761" s="24"/>
      <c r="G761" s="24"/>
      <c r="H761" s="24"/>
      <c r="I761" s="174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24"/>
      <c r="Y761" s="156"/>
    </row>
    <row r="762" spans="1:25" ht="12.5">
      <c r="A762" s="156"/>
      <c r="B762" s="156"/>
      <c r="C762" s="156"/>
      <c r="D762" s="24"/>
      <c r="E762" s="24"/>
      <c r="F762" s="24"/>
      <c r="G762" s="24"/>
      <c r="H762" s="24"/>
      <c r="I762" s="174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24"/>
      <c r="Y762" s="156"/>
    </row>
    <row r="763" spans="1:25" ht="12.5">
      <c r="A763" s="156"/>
      <c r="B763" s="156"/>
      <c r="C763" s="156"/>
      <c r="D763" s="24"/>
      <c r="E763" s="24"/>
      <c r="F763" s="24"/>
      <c r="G763" s="24"/>
      <c r="H763" s="24"/>
      <c r="I763" s="174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24"/>
      <c r="Y763" s="156"/>
    </row>
    <row r="764" spans="1:25" ht="12.5">
      <c r="A764" s="156"/>
      <c r="B764" s="156"/>
      <c r="C764" s="156"/>
      <c r="D764" s="24"/>
      <c r="E764" s="24"/>
      <c r="F764" s="24"/>
      <c r="G764" s="24"/>
      <c r="H764" s="24"/>
      <c r="I764" s="174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24"/>
      <c r="Y764" s="156"/>
    </row>
    <row r="765" spans="1:25" ht="12.5">
      <c r="A765" s="156"/>
      <c r="B765" s="156"/>
      <c r="C765" s="156"/>
      <c r="D765" s="24"/>
      <c r="E765" s="24"/>
      <c r="F765" s="24"/>
      <c r="G765" s="24"/>
      <c r="H765" s="24"/>
      <c r="I765" s="174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24"/>
      <c r="Y765" s="156"/>
    </row>
    <row r="766" spans="1:25" ht="12.5">
      <c r="A766" s="156"/>
      <c r="B766" s="156"/>
      <c r="C766" s="156"/>
      <c r="D766" s="24"/>
      <c r="E766" s="24"/>
      <c r="F766" s="24"/>
      <c r="G766" s="24"/>
      <c r="H766" s="24"/>
      <c r="I766" s="174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24"/>
      <c r="Y766" s="156"/>
    </row>
    <row r="767" spans="1:25" ht="12.5">
      <c r="A767" s="156"/>
      <c r="B767" s="156"/>
      <c r="C767" s="156"/>
      <c r="D767" s="24"/>
      <c r="E767" s="24"/>
      <c r="F767" s="24"/>
      <c r="G767" s="24"/>
      <c r="H767" s="24"/>
      <c r="I767" s="174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24"/>
      <c r="Y767" s="156"/>
    </row>
    <row r="768" spans="1:25" ht="12.5">
      <c r="A768" s="156"/>
      <c r="B768" s="156"/>
      <c r="C768" s="156"/>
      <c r="D768" s="24"/>
      <c r="E768" s="24"/>
      <c r="F768" s="24"/>
      <c r="G768" s="24"/>
      <c r="H768" s="24"/>
      <c r="I768" s="174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24"/>
      <c r="Y768" s="156"/>
    </row>
    <row r="769" spans="1:25" ht="12.5">
      <c r="A769" s="156"/>
      <c r="B769" s="156"/>
      <c r="C769" s="156"/>
      <c r="D769" s="24"/>
      <c r="E769" s="24"/>
      <c r="F769" s="24"/>
      <c r="G769" s="24"/>
      <c r="H769" s="24"/>
      <c r="I769" s="174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24"/>
      <c r="Y769" s="156"/>
    </row>
    <row r="770" spans="1:25" ht="12.5">
      <c r="A770" s="156"/>
      <c r="B770" s="156"/>
      <c r="C770" s="156"/>
      <c r="D770" s="24"/>
      <c r="E770" s="24"/>
      <c r="F770" s="24"/>
      <c r="G770" s="24"/>
      <c r="H770" s="24"/>
      <c r="I770" s="174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24"/>
      <c r="Y770" s="156"/>
    </row>
    <row r="771" spans="1:25" ht="12.5">
      <c r="A771" s="156"/>
      <c r="B771" s="156"/>
      <c r="C771" s="156"/>
      <c r="D771" s="24"/>
      <c r="E771" s="24"/>
      <c r="F771" s="24"/>
      <c r="G771" s="24"/>
      <c r="H771" s="24"/>
      <c r="I771" s="174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24"/>
      <c r="Y771" s="156"/>
    </row>
    <row r="772" spans="1:25" ht="12.5">
      <c r="A772" s="156"/>
      <c r="B772" s="156"/>
      <c r="C772" s="156"/>
      <c r="D772" s="24"/>
      <c r="E772" s="24"/>
      <c r="F772" s="24"/>
      <c r="G772" s="24"/>
      <c r="H772" s="24"/>
      <c r="I772" s="174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24"/>
      <c r="Y772" s="156"/>
    </row>
    <row r="773" spans="1:25" ht="12.5">
      <c r="A773" s="156"/>
      <c r="B773" s="156"/>
      <c r="C773" s="156"/>
      <c r="D773" s="24"/>
      <c r="E773" s="24"/>
      <c r="F773" s="24"/>
      <c r="G773" s="24"/>
      <c r="H773" s="24"/>
      <c r="I773" s="174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24"/>
      <c r="Y773" s="156"/>
    </row>
    <row r="774" spans="1:25" ht="12.5">
      <c r="A774" s="156"/>
      <c r="B774" s="156"/>
      <c r="C774" s="156"/>
      <c r="D774" s="24"/>
      <c r="E774" s="24"/>
      <c r="F774" s="24"/>
      <c r="G774" s="24"/>
      <c r="H774" s="24"/>
      <c r="I774" s="174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24"/>
      <c r="Y774" s="156"/>
    </row>
    <row r="775" spans="1:25" ht="12.5">
      <c r="A775" s="156"/>
      <c r="B775" s="156"/>
      <c r="C775" s="156"/>
      <c r="D775" s="24"/>
      <c r="E775" s="24"/>
      <c r="F775" s="24"/>
      <c r="G775" s="24"/>
      <c r="H775" s="24"/>
      <c r="I775" s="174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24"/>
      <c r="Y775" s="156"/>
    </row>
    <row r="776" spans="1:25" ht="12.5">
      <c r="A776" s="156"/>
      <c r="B776" s="156"/>
      <c r="C776" s="156"/>
      <c r="D776" s="24"/>
      <c r="E776" s="24"/>
      <c r="F776" s="24"/>
      <c r="G776" s="24"/>
      <c r="H776" s="24"/>
      <c r="I776" s="174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24"/>
      <c r="Y776" s="156"/>
    </row>
    <row r="777" spans="1:25" ht="12.5">
      <c r="A777" s="156"/>
      <c r="B777" s="156"/>
      <c r="C777" s="156"/>
      <c r="D777" s="24"/>
      <c r="E777" s="24"/>
      <c r="F777" s="24"/>
      <c r="G777" s="24"/>
      <c r="H777" s="24"/>
      <c r="I777" s="174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24"/>
      <c r="Y777" s="156"/>
    </row>
    <row r="778" spans="1:25" ht="12.5">
      <c r="A778" s="156"/>
      <c r="B778" s="156"/>
      <c r="C778" s="156"/>
      <c r="D778" s="24"/>
      <c r="E778" s="24"/>
      <c r="F778" s="24"/>
      <c r="G778" s="24"/>
      <c r="H778" s="24"/>
      <c r="I778" s="174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24"/>
      <c r="Y778" s="156"/>
    </row>
    <row r="779" spans="1:25" ht="12.5">
      <c r="A779" s="156"/>
      <c r="B779" s="156"/>
      <c r="C779" s="156"/>
      <c r="D779" s="24"/>
      <c r="E779" s="24"/>
      <c r="F779" s="24"/>
      <c r="G779" s="24"/>
      <c r="H779" s="24"/>
      <c r="I779" s="174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24"/>
      <c r="Y779" s="156"/>
    </row>
    <row r="780" spans="1:25" ht="12.5">
      <c r="A780" s="156"/>
      <c r="B780" s="156"/>
      <c r="C780" s="156"/>
      <c r="D780" s="24"/>
      <c r="E780" s="24"/>
      <c r="F780" s="24"/>
      <c r="G780" s="24"/>
      <c r="H780" s="24"/>
      <c r="I780" s="174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24"/>
      <c r="Y780" s="156"/>
    </row>
    <row r="781" spans="1:25" ht="12.5">
      <c r="A781" s="156"/>
      <c r="B781" s="156"/>
      <c r="C781" s="156"/>
      <c r="D781" s="24"/>
      <c r="E781" s="24"/>
      <c r="F781" s="24"/>
      <c r="G781" s="24"/>
      <c r="H781" s="24"/>
      <c r="I781" s="174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24"/>
      <c r="Y781" s="156"/>
    </row>
    <row r="782" spans="1:25" ht="12.5">
      <c r="A782" s="156"/>
      <c r="B782" s="156"/>
      <c r="C782" s="156"/>
      <c r="D782" s="24"/>
      <c r="E782" s="24"/>
      <c r="F782" s="24"/>
      <c r="G782" s="24"/>
      <c r="H782" s="24"/>
      <c r="I782" s="174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24"/>
      <c r="Y782" s="156"/>
    </row>
    <row r="783" spans="1:25" ht="12.5">
      <c r="A783" s="156"/>
      <c r="B783" s="156"/>
      <c r="C783" s="156"/>
      <c r="D783" s="24"/>
      <c r="E783" s="24"/>
      <c r="F783" s="24"/>
      <c r="G783" s="24"/>
      <c r="H783" s="24"/>
      <c r="I783" s="174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24"/>
      <c r="Y783" s="156"/>
    </row>
    <row r="784" spans="1:25" ht="12.5">
      <c r="A784" s="156"/>
      <c r="B784" s="156"/>
      <c r="C784" s="156"/>
      <c r="D784" s="24"/>
      <c r="E784" s="24"/>
      <c r="F784" s="24"/>
      <c r="G784" s="24"/>
      <c r="H784" s="24"/>
      <c r="I784" s="174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24"/>
      <c r="Y784" s="156"/>
    </row>
    <row r="785" spans="1:25" ht="12.5">
      <c r="A785" s="156"/>
      <c r="B785" s="156"/>
      <c r="C785" s="156"/>
      <c r="D785" s="24"/>
      <c r="E785" s="24"/>
      <c r="F785" s="24"/>
      <c r="G785" s="24"/>
      <c r="H785" s="24"/>
      <c r="I785" s="174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24"/>
      <c r="Y785" s="156"/>
    </row>
    <row r="786" spans="1:25" ht="12.5">
      <c r="A786" s="156"/>
      <c r="B786" s="156"/>
      <c r="C786" s="156"/>
      <c r="D786" s="24"/>
      <c r="E786" s="24"/>
      <c r="F786" s="24"/>
      <c r="G786" s="24"/>
      <c r="H786" s="24"/>
      <c r="I786" s="174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24"/>
      <c r="Y786" s="156"/>
    </row>
    <row r="787" spans="1:25" ht="12.5">
      <c r="A787" s="156"/>
      <c r="B787" s="156"/>
      <c r="C787" s="156"/>
      <c r="D787" s="24"/>
      <c r="E787" s="24"/>
      <c r="F787" s="24"/>
      <c r="G787" s="24"/>
      <c r="H787" s="24"/>
      <c r="I787" s="174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24"/>
      <c r="Y787" s="156"/>
    </row>
    <row r="788" spans="1:25" ht="12.5">
      <c r="A788" s="156"/>
      <c r="B788" s="156"/>
      <c r="C788" s="156"/>
      <c r="D788" s="24"/>
      <c r="E788" s="24"/>
      <c r="F788" s="24"/>
      <c r="G788" s="24"/>
      <c r="H788" s="24"/>
      <c r="I788" s="174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24"/>
      <c r="Y788" s="156"/>
    </row>
    <row r="789" spans="1:25" ht="12.5">
      <c r="A789" s="156"/>
      <c r="B789" s="156"/>
      <c r="C789" s="156"/>
      <c r="D789" s="24"/>
      <c r="E789" s="24"/>
      <c r="F789" s="24"/>
      <c r="G789" s="24"/>
      <c r="H789" s="24"/>
      <c r="I789" s="174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24"/>
      <c r="Y789" s="156"/>
    </row>
    <row r="790" spans="1:25" ht="12.5">
      <c r="A790" s="156"/>
      <c r="B790" s="156"/>
      <c r="C790" s="156"/>
      <c r="D790" s="24"/>
      <c r="E790" s="24"/>
      <c r="F790" s="24"/>
      <c r="G790" s="24"/>
      <c r="H790" s="24"/>
      <c r="I790" s="174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24"/>
      <c r="Y790" s="156"/>
    </row>
    <row r="791" spans="1:25" ht="12.5">
      <c r="A791" s="156"/>
      <c r="B791" s="156"/>
      <c r="C791" s="156"/>
      <c r="D791" s="24"/>
      <c r="E791" s="24"/>
      <c r="F791" s="24"/>
      <c r="G791" s="24"/>
      <c r="H791" s="24"/>
      <c r="I791" s="174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24"/>
      <c r="Y791" s="156"/>
    </row>
    <row r="792" spans="1:25" ht="12.5">
      <c r="A792" s="156"/>
      <c r="B792" s="156"/>
      <c r="C792" s="156"/>
      <c r="D792" s="24"/>
      <c r="E792" s="24"/>
      <c r="F792" s="24"/>
      <c r="G792" s="24"/>
      <c r="H792" s="24"/>
      <c r="I792" s="174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24"/>
      <c r="Y792" s="156"/>
    </row>
    <row r="793" spans="1:25" ht="12.5">
      <c r="A793" s="156"/>
      <c r="B793" s="156"/>
      <c r="C793" s="156"/>
      <c r="D793" s="24"/>
      <c r="E793" s="24"/>
      <c r="F793" s="24"/>
      <c r="G793" s="24"/>
      <c r="H793" s="24"/>
      <c r="I793" s="174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24"/>
      <c r="Y793" s="156"/>
    </row>
    <row r="794" spans="1:25" ht="12.5">
      <c r="A794" s="156"/>
      <c r="B794" s="156"/>
      <c r="C794" s="156"/>
      <c r="D794" s="24"/>
      <c r="E794" s="24"/>
      <c r="F794" s="24"/>
      <c r="G794" s="24"/>
      <c r="H794" s="24"/>
      <c r="I794" s="174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24"/>
      <c r="Y794" s="156"/>
    </row>
    <row r="795" spans="1:25" ht="12.5">
      <c r="A795" s="156"/>
      <c r="B795" s="156"/>
      <c r="C795" s="156"/>
      <c r="D795" s="24"/>
      <c r="E795" s="24"/>
      <c r="F795" s="24"/>
      <c r="G795" s="24"/>
      <c r="H795" s="24"/>
      <c r="I795" s="174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24"/>
      <c r="Y795" s="156"/>
    </row>
    <row r="796" spans="1:25" ht="12.5">
      <c r="A796" s="156"/>
      <c r="B796" s="156"/>
      <c r="C796" s="156"/>
      <c r="D796" s="24"/>
      <c r="E796" s="24"/>
      <c r="F796" s="24"/>
      <c r="G796" s="24"/>
      <c r="H796" s="24"/>
      <c r="I796" s="174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24"/>
      <c r="Y796" s="156"/>
    </row>
    <row r="797" spans="1:25" ht="12.5">
      <c r="A797" s="156"/>
      <c r="B797" s="156"/>
      <c r="C797" s="156"/>
      <c r="D797" s="24"/>
      <c r="E797" s="24"/>
      <c r="F797" s="24"/>
      <c r="G797" s="24"/>
      <c r="H797" s="24"/>
      <c r="I797" s="174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24"/>
      <c r="Y797" s="156"/>
    </row>
    <row r="798" spans="1:25" ht="12.5">
      <c r="A798" s="156"/>
      <c r="B798" s="156"/>
      <c r="C798" s="156"/>
      <c r="D798" s="24"/>
      <c r="E798" s="24"/>
      <c r="F798" s="24"/>
      <c r="G798" s="24"/>
      <c r="H798" s="24"/>
      <c r="I798" s="174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24"/>
      <c r="Y798" s="156"/>
    </row>
    <row r="799" spans="1:25" ht="12.5">
      <c r="A799" s="156"/>
      <c r="B799" s="156"/>
      <c r="C799" s="156"/>
      <c r="D799" s="24"/>
      <c r="E799" s="24"/>
      <c r="F799" s="24"/>
      <c r="G799" s="24"/>
      <c r="H799" s="24"/>
      <c r="I799" s="174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24"/>
      <c r="Y799" s="156"/>
    </row>
    <row r="800" spans="1:25" ht="12.5">
      <c r="A800" s="156"/>
      <c r="B800" s="156"/>
      <c r="C800" s="156"/>
      <c r="D800" s="24"/>
      <c r="E800" s="24"/>
      <c r="F800" s="24"/>
      <c r="G800" s="24"/>
      <c r="H800" s="24"/>
      <c r="I800" s="174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24"/>
      <c r="Y800" s="156"/>
    </row>
    <row r="801" spans="1:25" ht="12.5">
      <c r="A801" s="156"/>
      <c r="B801" s="156"/>
      <c r="C801" s="156"/>
      <c r="D801" s="24"/>
      <c r="E801" s="24"/>
      <c r="F801" s="24"/>
      <c r="G801" s="24"/>
      <c r="H801" s="24"/>
      <c r="I801" s="174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24"/>
      <c r="Y801" s="156"/>
    </row>
    <row r="802" spans="1:25" ht="12.5">
      <c r="A802" s="156"/>
      <c r="B802" s="156"/>
      <c r="C802" s="156"/>
      <c r="D802" s="24"/>
      <c r="E802" s="24"/>
      <c r="F802" s="24"/>
      <c r="G802" s="24"/>
      <c r="H802" s="24"/>
      <c r="I802" s="174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24"/>
      <c r="Y802" s="156"/>
    </row>
    <row r="803" spans="1:25" ht="12.5">
      <c r="A803" s="156"/>
      <c r="B803" s="156"/>
      <c r="C803" s="156"/>
      <c r="D803" s="24"/>
      <c r="E803" s="24"/>
      <c r="F803" s="24"/>
      <c r="G803" s="24"/>
      <c r="H803" s="24"/>
      <c r="I803" s="174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24"/>
      <c r="Y803" s="156"/>
    </row>
    <row r="804" spans="1:25" ht="12.5">
      <c r="A804" s="156"/>
      <c r="B804" s="156"/>
      <c r="C804" s="156"/>
      <c r="D804" s="24"/>
      <c r="E804" s="24"/>
      <c r="F804" s="24"/>
      <c r="G804" s="24"/>
      <c r="H804" s="24"/>
      <c r="I804" s="174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24"/>
      <c r="Y804" s="156"/>
    </row>
    <row r="805" spans="1:25" ht="12.5">
      <c r="A805" s="156"/>
      <c r="B805" s="156"/>
      <c r="C805" s="156"/>
      <c r="D805" s="24"/>
      <c r="E805" s="24"/>
      <c r="F805" s="24"/>
      <c r="G805" s="24"/>
      <c r="H805" s="24"/>
      <c r="I805" s="174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24"/>
      <c r="Y805" s="156"/>
    </row>
    <row r="806" spans="1:25" ht="12.5">
      <c r="A806" s="156"/>
      <c r="B806" s="156"/>
      <c r="C806" s="156"/>
      <c r="D806" s="24"/>
      <c r="E806" s="24"/>
      <c r="F806" s="24"/>
      <c r="G806" s="24"/>
      <c r="H806" s="24"/>
      <c r="I806" s="174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24"/>
      <c r="Y806" s="156"/>
    </row>
    <row r="807" spans="1:25" ht="12.5">
      <c r="A807" s="156"/>
      <c r="B807" s="156"/>
      <c r="C807" s="156"/>
      <c r="D807" s="24"/>
      <c r="E807" s="24"/>
      <c r="F807" s="24"/>
      <c r="G807" s="24"/>
      <c r="H807" s="24"/>
      <c r="I807" s="174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24"/>
      <c r="Y807" s="156"/>
    </row>
    <row r="808" spans="1:25" ht="12.5">
      <c r="A808" s="156"/>
      <c r="B808" s="156"/>
      <c r="C808" s="156"/>
      <c r="D808" s="24"/>
      <c r="E808" s="24"/>
      <c r="F808" s="24"/>
      <c r="G808" s="24"/>
      <c r="H808" s="24"/>
      <c r="I808" s="174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24"/>
      <c r="Y808" s="156"/>
    </row>
    <row r="809" spans="1:25" ht="12.5">
      <c r="A809" s="156"/>
      <c r="B809" s="156"/>
      <c r="C809" s="156"/>
      <c r="D809" s="24"/>
      <c r="E809" s="24"/>
      <c r="F809" s="24"/>
      <c r="G809" s="24"/>
      <c r="H809" s="24"/>
      <c r="I809" s="174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24"/>
      <c r="Y809" s="156"/>
    </row>
    <row r="810" spans="1:25" ht="12.5">
      <c r="A810" s="156"/>
      <c r="B810" s="156"/>
      <c r="C810" s="156"/>
      <c r="D810" s="24"/>
      <c r="E810" s="24"/>
      <c r="F810" s="24"/>
      <c r="G810" s="24"/>
      <c r="H810" s="24"/>
      <c r="I810" s="174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24"/>
      <c r="Y810" s="156"/>
    </row>
    <row r="811" spans="1:25" ht="12.5">
      <c r="A811" s="156"/>
      <c r="B811" s="156"/>
      <c r="C811" s="156"/>
      <c r="D811" s="24"/>
      <c r="E811" s="24"/>
      <c r="F811" s="24"/>
      <c r="G811" s="24"/>
      <c r="H811" s="24"/>
      <c r="I811" s="174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24"/>
      <c r="Y811" s="156"/>
    </row>
    <row r="812" spans="1:25" ht="12.5">
      <c r="A812" s="156"/>
      <c r="B812" s="156"/>
      <c r="C812" s="156"/>
      <c r="D812" s="24"/>
      <c r="E812" s="24"/>
      <c r="F812" s="24"/>
      <c r="G812" s="24"/>
      <c r="H812" s="24"/>
      <c r="I812" s="174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24"/>
      <c r="Y812" s="156"/>
    </row>
    <row r="813" spans="1:25" ht="12.5">
      <c r="A813" s="156"/>
      <c r="B813" s="156"/>
      <c r="C813" s="156"/>
      <c r="D813" s="24"/>
      <c r="E813" s="24"/>
      <c r="F813" s="24"/>
      <c r="G813" s="24"/>
      <c r="H813" s="24"/>
      <c r="I813" s="174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24"/>
      <c r="Y813" s="156"/>
    </row>
    <row r="814" spans="1:25" ht="12.5">
      <c r="A814" s="156"/>
      <c r="B814" s="156"/>
      <c r="C814" s="156"/>
      <c r="D814" s="24"/>
      <c r="E814" s="24"/>
      <c r="F814" s="24"/>
      <c r="G814" s="24"/>
      <c r="H814" s="24"/>
      <c r="I814" s="174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24"/>
      <c r="Y814" s="156"/>
    </row>
    <row r="815" spans="1:25" ht="12.5">
      <c r="A815" s="156"/>
      <c r="B815" s="156"/>
      <c r="C815" s="156"/>
      <c r="D815" s="24"/>
      <c r="E815" s="24"/>
      <c r="F815" s="24"/>
      <c r="G815" s="24"/>
      <c r="H815" s="24"/>
      <c r="I815" s="174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24"/>
      <c r="Y815" s="156"/>
    </row>
    <row r="816" spans="1:25" ht="12.5">
      <c r="A816" s="156"/>
      <c r="B816" s="156"/>
      <c r="C816" s="156"/>
      <c r="D816" s="24"/>
      <c r="E816" s="24"/>
      <c r="F816" s="24"/>
      <c r="G816" s="24"/>
      <c r="H816" s="24"/>
      <c r="I816" s="174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24"/>
      <c r="Y816" s="156"/>
    </row>
    <row r="817" spans="1:25" ht="12.5">
      <c r="A817" s="156"/>
      <c r="B817" s="156"/>
      <c r="C817" s="156"/>
      <c r="D817" s="24"/>
      <c r="E817" s="24"/>
      <c r="F817" s="24"/>
      <c r="G817" s="24"/>
      <c r="H817" s="24"/>
      <c r="I817" s="174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24"/>
      <c r="Y817" s="156"/>
    </row>
    <row r="818" spans="1:25" ht="12.5">
      <c r="A818" s="156"/>
      <c r="B818" s="156"/>
      <c r="C818" s="156"/>
      <c r="D818" s="24"/>
      <c r="E818" s="24"/>
      <c r="F818" s="24"/>
      <c r="G818" s="24"/>
      <c r="H818" s="24"/>
      <c r="I818" s="174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24"/>
      <c r="Y818" s="156"/>
    </row>
    <row r="819" spans="1:25" ht="12.5">
      <c r="A819" s="156"/>
      <c r="B819" s="156"/>
      <c r="C819" s="156"/>
      <c r="D819" s="24"/>
      <c r="E819" s="24"/>
      <c r="F819" s="24"/>
      <c r="G819" s="24"/>
      <c r="H819" s="24"/>
      <c r="I819" s="174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24"/>
      <c r="Y819" s="156"/>
    </row>
    <row r="820" spans="1:25" ht="12.5">
      <c r="A820" s="156"/>
      <c r="B820" s="156"/>
      <c r="C820" s="156"/>
      <c r="D820" s="24"/>
      <c r="E820" s="24"/>
      <c r="F820" s="24"/>
      <c r="G820" s="24"/>
      <c r="H820" s="24"/>
      <c r="I820" s="174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24"/>
      <c r="Y820" s="156"/>
    </row>
    <row r="821" spans="1:25" ht="12.5">
      <c r="A821" s="156"/>
      <c r="B821" s="156"/>
      <c r="C821" s="156"/>
      <c r="D821" s="24"/>
      <c r="E821" s="24"/>
      <c r="F821" s="24"/>
      <c r="G821" s="24"/>
      <c r="H821" s="24"/>
      <c r="I821" s="174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24"/>
      <c r="Y821" s="156"/>
    </row>
    <row r="822" spans="1:25" ht="12.5">
      <c r="A822" s="156"/>
      <c r="B822" s="156"/>
      <c r="C822" s="156"/>
      <c r="D822" s="24"/>
      <c r="E822" s="24"/>
      <c r="F822" s="24"/>
      <c r="G822" s="24"/>
      <c r="H822" s="24"/>
      <c r="I822" s="174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24"/>
      <c r="Y822" s="156"/>
    </row>
    <row r="823" spans="1:25" ht="12.5">
      <c r="A823" s="156"/>
      <c r="B823" s="156"/>
      <c r="C823" s="156"/>
      <c r="D823" s="24"/>
      <c r="E823" s="24"/>
      <c r="F823" s="24"/>
      <c r="G823" s="24"/>
      <c r="H823" s="24"/>
      <c r="I823" s="174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24"/>
      <c r="Y823" s="156"/>
    </row>
    <row r="824" spans="1:25" ht="12.5">
      <c r="A824" s="156"/>
      <c r="B824" s="156"/>
      <c r="C824" s="156"/>
      <c r="D824" s="24"/>
      <c r="E824" s="24"/>
      <c r="F824" s="24"/>
      <c r="G824" s="24"/>
      <c r="H824" s="24"/>
      <c r="I824" s="174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24"/>
      <c r="Y824" s="156"/>
    </row>
    <row r="825" spans="1:25" ht="12.5">
      <c r="A825" s="156"/>
      <c r="B825" s="156"/>
      <c r="C825" s="156"/>
      <c r="D825" s="24"/>
      <c r="E825" s="24"/>
      <c r="F825" s="24"/>
      <c r="G825" s="24"/>
      <c r="H825" s="24"/>
      <c r="I825" s="174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24"/>
      <c r="Y825" s="156"/>
    </row>
    <row r="826" spans="1:25" ht="12.5">
      <c r="A826" s="156"/>
      <c r="B826" s="156"/>
      <c r="C826" s="156"/>
      <c r="D826" s="24"/>
      <c r="E826" s="24"/>
      <c r="F826" s="24"/>
      <c r="G826" s="24"/>
      <c r="H826" s="24"/>
      <c r="I826" s="174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24"/>
      <c r="Y826" s="156"/>
    </row>
    <row r="827" spans="1:25" ht="12.5">
      <c r="A827" s="156"/>
      <c r="B827" s="156"/>
      <c r="C827" s="156"/>
      <c r="D827" s="24"/>
      <c r="E827" s="24"/>
      <c r="F827" s="24"/>
      <c r="G827" s="24"/>
      <c r="H827" s="24"/>
      <c r="I827" s="174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24"/>
      <c r="Y827" s="156"/>
    </row>
    <row r="828" spans="1:25" ht="12.5">
      <c r="A828" s="156"/>
      <c r="B828" s="156"/>
      <c r="C828" s="156"/>
      <c r="D828" s="24"/>
      <c r="E828" s="24"/>
      <c r="F828" s="24"/>
      <c r="G828" s="24"/>
      <c r="H828" s="24"/>
      <c r="I828" s="174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24"/>
      <c r="Y828" s="156"/>
    </row>
    <row r="829" spans="1:25" ht="12.5">
      <c r="A829" s="156"/>
      <c r="B829" s="156"/>
      <c r="C829" s="156"/>
      <c r="D829" s="24"/>
      <c r="E829" s="24"/>
      <c r="F829" s="24"/>
      <c r="G829" s="24"/>
      <c r="H829" s="24"/>
      <c r="I829" s="174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24"/>
      <c r="Y829" s="156"/>
    </row>
    <row r="830" spans="1:25" ht="12.5">
      <c r="A830" s="156"/>
      <c r="B830" s="156"/>
      <c r="C830" s="156"/>
      <c r="D830" s="24"/>
      <c r="E830" s="24"/>
      <c r="F830" s="24"/>
      <c r="G830" s="24"/>
      <c r="H830" s="24"/>
      <c r="I830" s="174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24"/>
      <c r="Y830" s="156"/>
    </row>
    <row r="831" spans="1:25" ht="12.5">
      <c r="A831" s="156"/>
      <c r="B831" s="156"/>
      <c r="C831" s="156"/>
      <c r="D831" s="24"/>
      <c r="E831" s="24"/>
      <c r="F831" s="24"/>
      <c r="G831" s="24"/>
      <c r="H831" s="24"/>
      <c r="I831" s="174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24"/>
      <c r="Y831" s="156"/>
    </row>
    <row r="832" spans="1:25" ht="12.5">
      <c r="A832" s="156"/>
      <c r="B832" s="156"/>
      <c r="C832" s="156"/>
      <c r="D832" s="24"/>
      <c r="E832" s="24"/>
      <c r="F832" s="24"/>
      <c r="G832" s="24"/>
      <c r="H832" s="24"/>
      <c r="I832" s="174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24"/>
      <c r="Y832" s="156"/>
    </row>
    <row r="833" spans="1:25" ht="12.5">
      <c r="A833" s="156"/>
      <c r="B833" s="156"/>
      <c r="C833" s="156"/>
      <c r="D833" s="24"/>
      <c r="E833" s="24"/>
      <c r="F833" s="24"/>
      <c r="G833" s="24"/>
      <c r="H833" s="24"/>
      <c r="I833" s="174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24"/>
      <c r="Y833" s="156"/>
    </row>
    <row r="834" spans="1:25" ht="12.5">
      <c r="A834" s="156"/>
      <c r="B834" s="156"/>
      <c r="C834" s="156"/>
      <c r="D834" s="24"/>
      <c r="E834" s="24"/>
      <c r="F834" s="24"/>
      <c r="G834" s="24"/>
      <c r="H834" s="24"/>
      <c r="I834" s="174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24"/>
      <c r="Y834" s="156"/>
    </row>
    <row r="835" spans="1:25" ht="12.5">
      <c r="A835" s="156"/>
      <c r="B835" s="156"/>
      <c r="C835" s="156"/>
      <c r="D835" s="24"/>
      <c r="E835" s="24"/>
      <c r="F835" s="24"/>
      <c r="G835" s="24"/>
      <c r="H835" s="24"/>
      <c r="I835" s="174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24"/>
      <c r="Y835" s="156"/>
    </row>
    <row r="836" spans="1:25" ht="12.5">
      <c r="A836" s="156"/>
      <c r="B836" s="156"/>
      <c r="C836" s="156"/>
      <c r="D836" s="24"/>
      <c r="E836" s="24"/>
      <c r="F836" s="24"/>
      <c r="G836" s="24"/>
      <c r="H836" s="24"/>
      <c r="I836" s="174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24"/>
      <c r="Y836" s="156"/>
    </row>
    <row r="837" spans="1:25" ht="12.5">
      <c r="A837" s="156"/>
      <c r="B837" s="156"/>
      <c r="C837" s="156"/>
      <c r="D837" s="24"/>
      <c r="E837" s="24"/>
      <c r="F837" s="24"/>
      <c r="G837" s="24"/>
      <c r="H837" s="24"/>
      <c r="I837" s="174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24"/>
      <c r="Y837" s="156"/>
    </row>
    <row r="838" spans="1:25" ht="12.5">
      <c r="A838" s="156"/>
      <c r="B838" s="156"/>
      <c r="C838" s="156"/>
      <c r="D838" s="24"/>
      <c r="E838" s="24"/>
      <c r="F838" s="24"/>
      <c r="G838" s="24"/>
      <c r="H838" s="24"/>
      <c r="I838" s="174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24"/>
      <c r="Y838" s="156"/>
    </row>
    <row r="839" spans="1:25" ht="12.5">
      <c r="A839" s="156"/>
      <c r="B839" s="156"/>
      <c r="C839" s="156"/>
      <c r="D839" s="24"/>
      <c r="E839" s="24"/>
      <c r="F839" s="24"/>
      <c r="G839" s="24"/>
      <c r="H839" s="24"/>
      <c r="I839" s="174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24"/>
      <c r="Y839" s="156"/>
    </row>
    <row r="840" spans="1:25" ht="12.5">
      <c r="A840" s="156"/>
      <c r="B840" s="156"/>
      <c r="C840" s="156"/>
      <c r="D840" s="24"/>
      <c r="E840" s="24"/>
      <c r="F840" s="24"/>
      <c r="G840" s="24"/>
      <c r="H840" s="24"/>
      <c r="I840" s="174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24"/>
      <c r="Y840" s="156"/>
    </row>
    <row r="841" spans="1:25" ht="12.5">
      <c r="A841" s="156"/>
      <c r="B841" s="156"/>
      <c r="C841" s="156"/>
      <c r="D841" s="24"/>
      <c r="E841" s="24"/>
      <c r="F841" s="24"/>
      <c r="G841" s="24"/>
      <c r="H841" s="24"/>
      <c r="I841" s="174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24"/>
      <c r="Y841" s="156"/>
    </row>
    <row r="842" spans="1:25" ht="12.5">
      <c r="A842" s="156"/>
      <c r="B842" s="156"/>
      <c r="C842" s="156"/>
      <c r="D842" s="24"/>
      <c r="E842" s="24"/>
      <c r="F842" s="24"/>
      <c r="G842" s="24"/>
      <c r="H842" s="24"/>
      <c r="I842" s="174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24"/>
      <c r="Y842" s="156"/>
    </row>
    <row r="843" spans="1:25" ht="12.5">
      <c r="A843" s="156"/>
      <c r="B843" s="156"/>
      <c r="C843" s="156"/>
      <c r="D843" s="24"/>
      <c r="E843" s="24"/>
      <c r="F843" s="24"/>
      <c r="G843" s="24"/>
      <c r="H843" s="24"/>
      <c r="I843" s="174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24"/>
      <c r="Y843" s="156"/>
    </row>
    <row r="844" spans="1:25" ht="12.5">
      <c r="A844" s="156"/>
      <c r="B844" s="156"/>
      <c r="C844" s="156"/>
      <c r="D844" s="24"/>
      <c r="E844" s="24"/>
      <c r="F844" s="24"/>
      <c r="G844" s="24"/>
      <c r="H844" s="24"/>
      <c r="I844" s="174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24"/>
      <c r="Y844" s="156"/>
    </row>
    <row r="845" spans="1:25" ht="12.5">
      <c r="A845" s="156"/>
      <c r="B845" s="156"/>
      <c r="C845" s="156"/>
      <c r="D845" s="24"/>
      <c r="E845" s="24"/>
      <c r="F845" s="24"/>
      <c r="G845" s="24"/>
      <c r="H845" s="24"/>
      <c r="I845" s="174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24"/>
      <c r="Y845" s="156"/>
    </row>
    <row r="846" spans="1:25" ht="12.5">
      <c r="A846" s="156"/>
      <c r="B846" s="156"/>
      <c r="C846" s="156"/>
      <c r="D846" s="24"/>
      <c r="E846" s="24"/>
      <c r="F846" s="24"/>
      <c r="G846" s="24"/>
      <c r="H846" s="24"/>
      <c r="I846" s="174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24"/>
      <c r="Y846" s="156"/>
    </row>
    <row r="847" spans="1:25" ht="12.5">
      <c r="A847" s="156"/>
      <c r="B847" s="156"/>
      <c r="C847" s="156"/>
      <c r="D847" s="24"/>
      <c r="E847" s="24"/>
      <c r="F847" s="24"/>
      <c r="G847" s="24"/>
      <c r="H847" s="24"/>
      <c r="I847" s="174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24"/>
      <c r="Y847" s="156"/>
    </row>
    <row r="848" spans="1:25" ht="12.5">
      <c r="A848" s="156"/>
      <c r="B848" s="156"/>
      <c r="C848" s="156"/>
      <c r="D848" s="24"/>
      <c r="E848" s="24"/>
      <c r="F848" s="24"/>
      <c r="G848" s="24"/>
      <c r="H848" s="24"/>
      <c r="I848" s="174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24"/>
      <c r="Y848" s="156"/>
    </row>
    <row r="849" spans="1:25" ht="12.5">
      <c r="A849" s="156"/>
      <c r="B849" s="156"/>
      <c r="C849" s="156"/>
      <c r="D849" s="24"/>
      <c r="E849" s="24"/>
      <c r="F849" s="24"/>
      <c r="G849" s="24"/>
      <c r="H849" s="24"/>
      <c r="I849" s="174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24"/>
      <c r="Y849" s="156"/>
    </row>
    <row r="850" spans="1:25" ht="12.5">
      <c r="A850" s="156"/>
      <c r="B850" s="156"/>
      <c r="C850" s="156"/>
      <c r="D850" s="24"/>
      <c r="E850" s="24"/>
      <c r="F850" s="24"/>
      <c r="G850" s="24"/>
      <c r="H850" s="24"/>
      <c r="I850" s="174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24"/>
      <c r="Y850" s="156"/>
    </row>
    <row r="851" spans="1:25" ht="12.5">
      <c r="A851" s="156"/>
      <c r="B851" s="156"/>
      <c r="C851" s="156"/>
      <c r="D851" s="24"/>
      <c r="E851" s="24"/>
      <c r="F851" s="24"/>
      <c r="G851" s="24"/>
      <c r="H851" s="24"/>
      <c r="I851" s="174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24"/>
      <c r="Y851" s="156"/>
    </row>
    <row r="852" spans="1:25" ht="12.5">
      <c r="A852" s="156"/>
      <c r="B852" s="156"/>
      <c r="C852" s="156"/>
      <c r="D852" s="24"/>
      <c r="E852" s="24"/>
      <c r="F852" s="24"/>
      <c r="G852" s="24"/>
      <c r="H852" s="24"/>
      <c r="I852" s="174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24"/>
      <c r="Y852" s="156"/>
    </row>
    <row r="853" spans="1:25" ht="12.5">
      <c r="A853" s="156"/>
      <c r="B853" s="156"/>
      <c r="C853" s="156"/>
      <c r="D853" s="24"/>
      <c r="E853" s="24"/>
      <c r="F853" s="24"/>
      <c r="G853" s="24"/>
      <c r="H853" s="24"/>
      <c r="I853" s="174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24"/>
      <c r="Y853" s="156"/>
    </row>
    <row r="854" spans="1:25" ht="12.5">
      <c r="A854" s="156"/>
      <c r="B854" s="156"/>
      <c r="C854" s="156"/>
      <c r="D854" s="24"/>
      <c r="E854" s="24"/>
      <c r="F854" s="24"/>
      <c r="G854" s="24"/>
      <c r="H854" s="24"/>
      <c r="I854" s="174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24"/>
      <c r="Y854" s="156"/>
    </row>
    <row r="855" spans="1:25" ht="12.5">
      <c r="A855" s="156"/>
      <c r="B855" s="156"/>
      <c r="C855" s="156"/>
      <c r="D855" s="24"/>
      <c r="E855" s="24"/>
      <c r="F855" s="24"/>
      <c r="G855" s="24"/>
      <c r="H855" s="24"/>
      <c r="I855" s="174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24"/>
      <c r="Y855" s="156"/>
    </row>
    <row r="856" spans="1:25" ht="12.5">
      <c r="A856" s="156"/>
      <c r="B856" s="156"/>
      <c r="C856" s="156"/>
      <c r="D856" s="24"/>
      <c r="E856" s="24"/>
      <c r="F856" s="24"/>
      <c r="G856" s="24"/>
      <c r="H856" s="24"/>
      <c r="I856" s="174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24"/>
      <c r="Y856" s="156"/>
    </row>
    <row r="857" spans="1:25" ht="12.5">
      <c r="A857" s="156"/>
      <c r="B857" s="156"/>
      <c r="C857" s="156"/>
      <c r="D857" s="24"/>
      <c r="E857" s="24"/>
      <c r="F857" s="24"/>
      <c r="G857" s="24"/>
      <c r="H857" s="24"/>
      <c r="I857" s="174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24"/>
      <c r="Y857" s="156"/>
    </row>
    <row r="858" spans="1:25" ht="12.5">
      <c r="A858" s="156"/>
      <c r="B858" s="156"/>
      <c r="C858" s="156"/>
      <c r="D858" s="24"/>
      <c r="E858" s="24"/>
      <c r="F858" s="24"/>
      <c r="G858" s="24"/>
      <c r="H858" s="24"/>
      <c r="I858" s="174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24"/>
      <c r="Y858" s="156"/>
    </row>
    <row r="859" spans="1:25" ht="12.5">
      <c r="A859" s="156"/>
      <c r="B859" s="156"/>
      <c r="C859" s="156"/>
      <c r="D859" s="24"/>
      <c r="E859" s="24"/>
      <c r="F859" s="24"/>
      <c r="G859" s="24"/>
      <c r="H859" s="24"/>
      <c r="I859" s="174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24"/>
      <c r="Y859" s="156"/>
    </row>
    <row r="860" spans="1:25" ht="12.5">
      <c r="A860" s="156"/>
      <c r="B860" s="156"/>
      <c r="C860" s="156"/>
      <c r="D860" s="24"/>
      <c r="E860" s="24"/>
      <c r="F860" s="24"/>
      <c r="G860" s="24"/>
      <c r="H860" s="24"/>
      <c r="I860" s="174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24"/>
      <c r="Y860" s="156"/>
    </row>
    <row r="861" spans="1:25" ht="12.5">
      <c r="A861" s="156"/>
      <c r="B861" s="156"/>
      <c r="C861" s="156"/>
      <c r="D861" s="24"/>
      <c r="E861" s="24"/>
      <c r="F861" s="24"/>
      <c r="G861" s="24"/>
      <c r="H861" s="24"/>
      <c r="I861" s="174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24"/>
      <c r="Y861" s="156"/>
    </row>
    <row r="862" spans="1:25" ht="12.5">
      <c r="A862" s="156"/>
      <c r="B862" s="156"/>
      <c r="C862" s="156"/>
      <c r="D862" s="24"/>
      <c r="E862" s="24"/>
      <c r="F862" s="24"/>
      <c r="G862" s="24"/>
      <c r="H862" s="24"/>
      <c r="I862" s="174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24"/>
      <c r="Y862" s="156"/>
    </row>
    <row r="863" spans="1:25" ht="12.5">
      <c r="A863" s="156"/>
      <c r="B863" s="156"/>
      <c r="C863" s="156"/>
      <c r="D863" s="24"/>
      <c r="E863" s="24"/>
      <c r="F863" s="24"/>
      <c r="G863" s="24"/>
      <c r="H863" s="24"/>
      <c r="I863" s="174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24"/>
      <c r="Y863" s="156"/>
    </row>
    <row r="864" spans="1:25" ht="12.5">
      <c r="A864" s="156"/>
      <c r="B864" s="156"/>
      <c r="C864" s="156"/>
      <c r="D864" s="24"/>
      <c r="E864" s="24"/>
      <c r="F864" s="24"/>
      <c r="G864" s="24"/>
      <c r="H864" s="24"/>
      <c r="I864" s="174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24"/>
      <c r="Y864" s="156"/>
    </row>
    <row r="865" spans="1:25" ht="12.5">
      <c r="A865" s="156"/>
      <c r="B865" s="156"/>
      <c r="C865" s="156"/>
      <c r="D865" s="24"/>
      <c r="E865" s="24"/>
      <c r="F865" s="24"/>
      <c r="G865" s="24"/>
      <c r="H865" s="24"/>
      <c r="I865" s="174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24"/>
      <c r="Y865" s="156"/>
    </row>
    <row r="866" spans="1:25" ht="12.5">
      <c r="A866" s="156"/>
      <c r="B866" s="156"/>
      <c r="C866" s="156"/>
      <c r="D866" s="24"/>
      <c r="E866" s="24"/>
      <c r="F866" s="24"/>
      <c r="G866" s="24"/>
      <c r="H866" s="24"/>
      <c r="I866" s="174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24"/>
      <c r="Y866" s="156"/>
    </row>
    <row r="867" spans="1:25" ht="12.5">
      <c r="A867" s="156"/>
      <c r="B867" s="156"/>
      <c r="C867" s="156"/>
      <c r="D867" s="24"/>
      <c r="E867" s="24"/>
      <c r="F867" s="24"/>
      <c r="G867" s="24"/>
      <c r="H867" s="24"/>
      <c r="I867" s="174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24"/>
      <c r="Y867" s="156"/>
    </row>
    <row r="868" spans="1:25" ht="12.5">
      <c r="A868" s="156"/>
      <c r="B868" s="156"/>
      <c r="C868" s="156"/>
      <c r="D868" s="24"/>
      <c r="E868" s="24"/>
      <c r="F868" s="24"/>
      <c r="G868" s="24"/>
      <c r="H868" s="24"/>
      <c r="I868" s="174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24"/>
      <c r="Y868" s="156"/>
    </row>
    <row r="869" spans="1:25" ht="12.5">
      <c r="A869" s="156"/>
      <c r="B869" s="156"/>
      <c r="C869" s="156"/>
      <c r="D869" s="24"/>
      <c r="E869" s="24"/>
      <c r="F869" s="24"/>
      <c r="G869" s="24"/>
      <c r="H869" s="24"/>
      <c r="I869" s="174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24"/>
      <c r="Y869" s="156"/>
    </row>
    <row r="870" spans="1:25" ht="12.5">
      <c r="A870" s="156"/>
      <c r="B870" s="156"/>
      <c r="C870" s="156"/>
      <c r="D870" s="24"/>
      <c r="E870" s="24"/>
      <c r="F870" s="24"/>
      <c r="G870" s="24"/>
      <c r="H870" s="24"/>
      <c r="I870" s="174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24"/>
      <c r="Y870" s="156"/>
    </row>
    <row r="871" spans="1:25" ht="12.5">
      <c r="A871" s="156"/>
      <c r="B871" s="156"/>
      <c r="C871" s="156"/>
      <c r="D871" s="24"/>
      <c r="E871" s="24"/>
      <c r="F871" s="24"/>
      <c r="G871" s="24"/>
      <c r="H871" s="24"/>
      <c r="I871" s="174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24"/>
      <c r="Y871" s="156"/>
    </row>
    <row r="872" spans="1:25" ht="12.5">
      <c r="A872" s="156"/>
      <c r="B872" s="156"/>
      <c r="C872" s="156"/>
      <c r="D872" s="24"/>
      <c r="E872" s="24"/>
      <c r="F872" s="24"/>
      <c r="G872" s="24"/>
      <c r="H872" s="24"/>
      <c r="I872" s="174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24"/>
      <c r="Y872" s="156"/>
    </row>
    <row r="873" spans="1:25" ht="12.5">
      <c r="A873" s="156"/>
      <c r="B873" s="156"/>
      <c r="C873" s="156"/>
      <c r="D873" s="24"/>
      <c r="E873" s="24"/>
      <c r="F873" s="24"/>
      <c r="G873" s="24"/>
      <c r="H873" s="24"/>
      <c r="I873" s="174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24"/>
      <c r="Y873" s="156"/>
    </row>
    <row r="874" spans="1:25" ht="12.5">
      <c r="A874" s="156"/>
      <c r="B874" s="156"/>
      <c r="C874" s="156"/>
      <c r="D874" s="24"/>
      <c r="E874" s="24"/>
      <c r="F874" s="24"/>
      <c r="G874" s="24"/>
      <c r="H874" s="24"/>
      <c r="I874" s="174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24"/>
      <c r="Y874" s="156"/>
    </row>
    <row r="875" spans="1:25" ht="12.5">
      <c r="A875" s="156"/>
      <c r="B875" s="156"/>
      <c r="C875" s="156"/>
      <c r="D875" s="24"/>
      <c r="E875" s="24"/>
      <c r="F875" s="24"/>
      <c r="G875" s="24"/>
      <c r="H875" s="24"/>
      <c r="I875" s="174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24"/>
      <c r="Y875" s="156"/>
    </row>
    <row r="876" spans="1:25" ht="12.5">
      <c r="A876" s="156"/>
      <c r="B876" s="156"/>
      <c r="C876" s="156"/>
      <c r="D876" s="24"/>
      <c r="E876" s="24"/>
      <c r="F876" s="24"/>
      <c r="G876" s="24"/>
      <c r="H876" s="24"/>
      <c r="I876" s="174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24"/>
      <c r="Y876" s="156"/>
    </row>
    <row r="877" spans="1:25" ht="12.5">
      <c r="A877" s="156"/>
      <c r="B877" s="156"/>
      <c r="C877" s="156"/>
      <c r="D877" s="24"/>
      <c r="E877" s="24"/>
      <c r="F877" s="24"/>
      <c r="G877" s="24"/>
      <c r="H877" s="24"/>
      <c r="I877" s="174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24"/>
      <c r="Y877" s="156"/>
    </row>
    <row r="878" spans="1:25" ht="12.5">
      <c r="A878" s="156"/>
      <c r="B878" s="156"/>
      <c r="C878" s="156"/>
      <c r="D878" s="24"/>
      <c r="E878" s="24"/>
      <c r="F878" s="24"/>
      <c r="G878" s="24"/>
      <c r="H878" s="24"/>
      <c r="I878" s="174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24"/>
      <c r="Y878" s="156"/>
    </row>
    <row r="879" spans="1:25" ht="12.5">
      <c r="A879" s="156"/>
      <c r="B879" s="156"/>
      <c r="C879" s="156"/>
      <c r="D879" s="24"/>
      <c r="E879" s="24"/>
      <c r="F879" s="24"/>
      <c r="G879" s="24"/>
      <c r="H879" s="24"/>
      <c r="I879" s="174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24"/>
      <c r="Y879" s="156"/>
    </row>
    <row r="880" spans="1:25" ht="12.5">
      <c r="A880" s="156"/>
      <c r="B880" s="156"/>
      <c r="C880" s="156"/>
      <c r="D880" s="24"/>
      <c r="E880" s="24"/>
      <c r="F880" s="24"/>
      <c r="G880" s="24"/>
      <c r="H880" s="24"/>
      <c r="I880" s="174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24"/>
      <c r="Y880" s="156"/>
    </row>
    <row r="881" spans="1:25" ht="12.5">
      <c r="A881" s="156"/>
      <c r="B881" s="156"/>
      <c r="C881" s="156"/>
      <c r="D881" s="24"/>
      <c r="E881" s="24"/>
      <c r="F881" s="24"/>
      <c r="G881" s="24"/>
      <c r="H881" s="24"/>
      <c r="I881" s="174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24"/>
      <c r="Y881" s="156"/>
    </row>
    <row r="882" spans="1:25" ht="12.5">
      <c r="A882" s="156"/>
      <c r="B882" s="156"/>
      <c r="C882" s="156"/>
      <c r="D882" s="24"/>
      <c r="E882" s="24"/>
      <c r="F882" s="24"/>
      <c r="G882" s="24"/>
      <c r="H882" s="24"/>
      <c r="I882" s="174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24"/>
      <c r="Y882" s="156"/>
    </row>
    <row r="883" spans="1:25" ht="12.5">
      <c r="A883" s="156"/>
      <c r="B883" s="156"/>
      <c r="C883" s="156"/>
      <c r="D883" s="24"/>
      <c r="E883" s="24"/>
      <c r="F883" s="24"/>
      <c r="G883" s="24"/>
      <c r="H883" s="24"/>
      <c r="I883" s="174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24"/>
      <c r="Y883" s="156"/>
    </row>
    <row r="884" spans="1:25" ht="12.5">
      <c r="A884" s="156"/>
      <c r="B884" s="156"/>
      <c r="C884" s="156"/>
      <c r="D884" s="24"/>
      <c r="E884" s="24"/>
      <c r="F884" s="24"/>
      <c r="G884" s="24"/>
      <c r="H884" s="24"/>
      <c r="I884" s="174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24"/>
      <c r="Y884" s="156"/>
    </row>
    <row r="885" spans="1:25" ht="12.5">
      <c r="A885" s="156"/>
      <c r="B885" s="156"/>
      <c r="C885" s="156"/>
      <c r="D885" s="24"/>
      <c r="E885" s="24"/>
      <c r="F885" s="24"/>
      <c r="G885" s="24"/>
      <c r="H885" s="24"/>
      <c r="I885" s="174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24"/>
      <c r="Y885" s="156"/>
    </row>
    <row r="886" spans="1:25" ht="12.5">
      <c r="A886" s="156"/>
      <c r="B886" s="156"/>
      <c r="C886" s="156"/>
      <c r="D886" s="24"/>
      <c r="E886" s="24"/>
      <c r="F886" s="24"/>
      <c r="G886" s="24"/>
      <c r="H886" s="24"/>
      <c r="I886" s="174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24"/>
      <c r="Y886" s="156"/>
    </row>
    <row r="887" spans="1:25" ht="12.5">
      <c r="A887" s="156"/>
      <c r="B887" s="156"/>
      <c r="C887" s="156"/>
      <c r="D887" s="24"/>
      <c r="E887" s="24"/>
      <c r="F887" s="24"/>
      <c r="G887" s="24"/>
      <c r="H887" s="24"/>
      <c r="I887" s="174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24"/>
      <c r="Y887" s="156"/>
    </row>
    <row r="888" spans="1:25" ht="12.5">
      <c r="A888" s="156"/>
      <c r="B888" s="156"/>
      <c r="C888" s="156"/>
      <c r="D888" s="24"/>
      <c r="E888" s="24"/>
      <c r="F888" s="24"/>
      <c r="G888" s="24"/>
      <c r="H888" s="24"/>
      <c r="I888" s="174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24"/>
      <c r="Y888" s="156"/>
    </row>
    <row r="889" spans="1:25" ht="12.5">
      <c r="A889" s="156"/>
      <c r="B889" s="156"/>
      <c r="C889" s="156"/>
      <c r="D889" s="24"/>
      <c r="E889" s="24"/>
      <c r="F889" s="24"/>
      <c r="G889" s="24"/>
      <c r="H889" s="24"/>
      <c r="I889" s="174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24"/>
      <c r="Y889" s="156"/>
    </row>
    <row r="890" spans="1:25" ht="12.5">
      <c r="A890" s="156"/>
      <c r="B890" s="156"/>
      <c r="C890" s="156"/>
      <c r="D890" s="24"/>
      <c r="E890" s="24"/>
      <c r="F890" s="24"/>
      <c r="G890" s="24"/>
      <c r="H890" s="24"/>
      <c r="I890" s="174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24"/>
      <c r="Y890" s="156"/>
    </row>
    <row r="891" spans="1:25" ht="12.5">
      <c r="A891" s="156"/>
      <c r="B891" s="156"/>
      <c r="C891" s="156"/>
      <c r="D891" s="24"/>
      <c r="E891" s="24"/>
      <c r="F891" s="24"/>
      <c r="G891" s="24"/>
      <c r="H891" s="24"/>
      <c r="I891" s="174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24"/>
      <c r="Y891" s="156"/>
    </row>
    <row r="892" spans="1:25" ht="12.5">
      <c r="A892" s="156"/>
      <c r="B892" s="156"/>
      <c r="C892" s="156"/>
      <c r="D892" s="24"/>
      <c r="E892" s="24"/>
      <c r="F892" s="24"/>
      <c r="G892" s="24"/>
      <c r="H892" s="24"/>
      <c r="I892" s="174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24"/>
      <c r="Y892" s="156"/>
    </row>
    <row r="893" spans="1:25" ht="12.5">
      <c r="A893" s="156"/>
      <c r="B893" s="156"/>
      <c r="C893" s="156"/>
      <c r="D893" s="24"/>
      <c r="E893" s="24"/>
      <c r="F893" s="24"/>
      <c r="G893" s="24"/>
      <c r="H893" s="24"/>
      <c r="I893" s="174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24"/>
      <c r="Y893" s="156"/>
    </row>
    <row r="894" spans="1:25" ht="12.5">
      <c r="A894" s="156"/>
      <c r="B894" s="156"/>
      <c r="C894" s="156"/>
      <c r="D894" s="24"/>
      <c r="E894" s="24"/>
      <c r="F894" s="24"/>
      <c r="G894" s="24"/>
      <c r="H894" s="24"/>
      <c r="I894" s="174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24"/>
      <c r="Y894" s="156"/>
    </row>
    <row r="895" spans="1:25" ht="12.5">
      <c r="A895" s="156"/>
      <c r="B895" s="156"/>
      <c r="C895" s="156"/>
      <c r="D895" s="24"/>
      <c r="E895" s="24"/>
      <c r="F895" s="24"/>
      <c r="G895" s="24"/>
      <c r="H895" s="24"/>
      <c r="I895" s="174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24"/>
      <c r="Y895" s="156"/>
    </row>
    <row r="896" spans="1:25" ht="12.5">
      <c r="A896" s="156"/>
      <c r="B896" s="156"/>
      <c r="C896" s="156"/>
      <c r="D896" s="24"/>
      <c r="E896" s="24"/>
      <c r="F896" s="24"/>
      <c r="G896" s="24"/>
      <c r="H896" s="24"/>
      <c r="I896" s="174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24"/>
      <c r="Y896" s="156"/>
    </row>
    <row r="897" spans="1:25" ht="12.5">
      <c r="A897" s="156"/>
      <c r="B897" s="156"/>
      <c r="C897" s="156"/>
      <c r="D897" s="24"/>
      <c r="E897" s="24"/>
      <c r="F897" s="24"/>
      <c r="G897" s="24"/>
      <c r="H897" s="24"/>
      <c r="I897" s="174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24"/>
      <c r="Y897" s="156"/>
    </row>
    <row r="898" spans="1:25" ht="12.5">
      <c r="A898" s="156"/>
      <c r="B898" s="156"/>
      <c r="C898" s="156"/>
      <c r="D898" s="24"/>
      <c r="E898" s="24"/>
      <c r="F898" s="24"/>
      <c r="G898" s="24"/>
      <c r="H898" s="24"/>
      <c r="I898" s="174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24"/>
      <c r="Y898" s="156"/>
    </row>
    <row r="899" spans="1:25" ht="12.5">
      <c r="A899" s="156"/>
      <c r="B899" s="156"/>
      <c r="C899" s="156"/>
      <c r="D899" s="24"/>
      <c r="E899" s="24"/>
      <c r="F899" s="24"/>
      <c r="G899" s="24"/>
      <c r="H899" s="24"/>
      <c r="I899" s="174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24"/>
      <c r="Y899" s="156"/>
    </row>
    <row r="900" spans="1:25" ht="12.5">
      <c r="A900" s="156"/>
      <c r="B900" s="156"/>
      <c r="C900" s="156"/>
      <c r="D900" s="24"/>
      <c r="E900" s="24"/>
      <c r="F900" s="24"/>
      <c r="G900" s="24"/>
      <c r="H900" s="24"/>
      <c r="I900" s="174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24"/>
      <c r="Y900" s="156"/>
    </row>
    <row r="901" spans="1:25" ht="12.5">
      <c r="A901" s="156"/>
      <c r="B901" s="156"/>
      <c r="C901" s="156"/>
      <c r="D901" s="24"/>
      <c r="E901" s="24"/>
      <c r="F901" s="24"/>
      <c r="G901" s="24"/>
      <c r="H901" s="24"/>
      <c r="I901" s="174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24"/>
      <c r="Y901" s="156"/>
    </row>
    <row r="902" spans="1:25" ht="12.5">
      <c r="A902" s="156"/>
      <c r="B902" s="156"/>
      <c r="C902" s="156"/>
      <c r="D902" s="24"/>
      <c r="E902" s="24"/>
      <c r="F902" s="24"/>
      <c r="G902" s="24"/>
      <c r="H902" s="24"/>
      <c r="I902" s="174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24"/>
      <c r="Y902" s="156"/>
    </row>
    <row r="903" spans="1:25" ht="12.5">
      <c r="A903" s="156"/>
      <c r="B903" s="156"/>
      <c r="C903" s="156"/>
      <c r="D903" s="24"/>
      <c r="E903" s="24"/>
      <c r="F903" s="24"/>
      <c r="G903" s="24"/>
      <c r="H903" s="24"/>
      <c r="I903" s="174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24"/>
      <c r="Y903" s="156"/>
    </row>
    <row r="904" spans="1:25" ht="12.5">
      <c r="A904" s="156"/>
      <c r="B904" s="156"/>
      <c r="C904" s="156"/>
      <c r="D904" s="24"/>
      <c r="E904" s="24"/>
      <c r="F904" s="24"/>
      <c r="G904" s="24"/>
      <c r="H904" s="24"/>
      <c r="I904" s="174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24"/>
      <c r="Y904" s="156"/>
    </row>
    <row r="905" spans="1:25" ht="12.5">
      <c r="A905" s="156"/>
      <c r="B905" s="156"/>
      <c r="C905" s="156"/>
      <c r="D905" s="24"/>
      <c r="E905" s="24"/>
      <c r="F905" s="24"/>
      <c r="G905" s="24"/>
      <c r="H905" s="24"/>
      <c r="I905" s="174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24"/>
      <c r="Y905" s="156"/>
    </row>
    <row r="906" spans="1:25" ht="12.5">
      <c r="A906" s="156"/>
      <c r="B906" s="156"/>
      <c r="C906" s="156"/>
      <c r="D906" s="24"/>
      <c r="E906" s="24"/>
      <c r="F906" s="24"/>
      <c r="G906" s="24"/>
      <c r="H906" s="24"/>
      <c r="I906" s="174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24"/>
      <c r="Y906" s="156"/>
    </row>
    <row r="907" spans="1:25" ht="12.5">
      <c r="A907" s="156"/>
      <c r="B907" s="156"/>
      <c r="C907" s="156"/>
      <c r="D907" s="24"/>
      <c r="E907" s="24"/>
      <c r="F907" s="24"/>
      <c r="G907" s="24"/>
      <c r="H907" s="24"/>
      <c r="I907" s="174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24"/>
      <c r="Y907" s="156"/>
    </row>
    <row r="908" spans="1:25" ht="12.5">
      <c r="A908" s="156"/>
      <c r="B908" s="156"/>
      <c r="C908" s="156"/>
      <c r="D908" s="24"/>
      <c r="E908" s="24"/>
      <c r="F908" s="24"/>
      <c r="G908" s="24"/>
      <c r="H908" s="24"/>
      <c r="I908" s="174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24"/>
      <c r="Y908" s="156"/>
    </row>
    <row r="909" spans="1:25" ht="12.5">
      <c r="A909" s="156"/>
      <c r="B909" s="156"/>
      <c r="C909" s="156"/>
      <c r="D909" s="24"/>
      <c r="E909" s="24"/>
      <c r="F909" s="24"/>
      <c r="G909" s="24"/>
      <c r="H909" s="24"/>
      <c r="I909" s="174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24"/>
      <c r="Y909" s="156"/>
    </row>
    <row r="910" spans="1:25" ht="12.5">
      <c r="A910" s="156"/>
      <c r="B910" s="156"/>
      <c r="C910" s="156"/>
      <c r="D910" s="24"/>
      <c r="E910" s="24"/>
      <c r="F910" s="24"/>
      <c r="G910" s="24"/>
      <c r="H910" s="24"/>
      <c r="I910" s="174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24"/>
      <c r="Y910" s="156"/>
    </row>
    <row r="911" spans="1:25" ht="12.5">
      <c r="A911" s="156"/>
      <c r="B911" s="156"/>
      <c r="C911" s="156"/>
      <c r="D911" s="24"/>
      <c r="E911" s="24"/>
      <c r="F911" s="24"/>
      <c r="G911" s="24"/>
      <c r="H911" s="24"/>
      <c r="I911" s="174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24"/>
      <c r="Y911" s="156"/>
    </row>
    <row r="912" spans="1:25" ht="12.5">
      <c r="A912" s="156"/>
      <c r="B912" s="156"/>
      <c r="C912" s="156"/>
      <c r="D912" s="24"/>
      <c r="E912" s="24"/>
      <c r="F912" s="24"/>
      <c r="G912" s="24"/>
      <c r="H912" s="24"/>
      <c r="I912" s="174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24"/>
      <c r="Y912" s="156"/>
    </row>
    <row r="913" spans="1:25" ht="12.5">
      <c r="A913" s="156"/>
      <c r="B913" s="156"/>
      <c r="C913" s="156"/>
      <c r="D913" s="24"/>
      <c r="E913" s="24"/>
      <c r="F913" s="24"/>
      <c r="G913" s="24"/>
      <c r="H913" s="24"/>
      <c r="I913" s="174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24"/>
      <c r="Y913" s="156"/>
    </row>
    <row r="914" spans="1:25" ht="12.5">
      <c r="A914" s="156"/>
      <c r="B914" s="156"/>
      <c r="C914" s="156"/>
      <c r="D914" s="24"/>
      <c r="E914" s="24"/>
      <c r="F914" s="24"/>
      <c r="G914" s="24"/>
      <c r="H914" s="24"/>
      <c r="I914" s="174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24"/>
      <c r="Y914" s="156"/>
    </row>
    <row r="915" spans="1:25" ht="12.5">
      <c r="A915" s="156"/>
      <c r="B915" s="156"/>
      <c r="C915" s="156"/>
      <c r="D915" s="24"/>
      <c r="E915" s="24"/>
      <c r="F915" s="24"/>
      <c r="G915" s="24"/>
      <c r="H915" s="24"/>
      <c r="I915" s="174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24"/>
      <c r="Y915" s="156"/>
    </row>
    <row r="916" spans="1:25" ht="12.5">
      <c r="A916" s="156"/>
      <c r="B916" s="156"/>
      <c r="C916" s="156"/>
      <c r="D916" s="24"/>
      <c r="E916" s="24"/>
      <c r="F916" s="24"/>
      <c r="G916" s="24"/>
      <c r="H916" s="24"/>
      <c r="I916" s="174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24"/>
      <c r="Y916" s="156"/>
    </row>
    <row r="917" spans="1:25" ht="12.5">
      <c r="A917" s="156"/>
      <c r="B917" s="156"/>
      <c r="C917" s="156"/>
      <c r="D917" s="24"/>
      <c r="E917" s="24"/>
      <c r="F917" s="24"/>
      <c r="G917" s="24"/>
      <c r="H917" s="24"/>
      <c r="I917" s="174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24"/>
      <c r="Y917" s="156"/>
    </row>
    <row r="918" spans="1:25" ht="12.5">
      <c r="A918" s="156"/>
      <c r="B918" s="156"/>
      <c r="C918" s="156"/>
      <c r="D918" s="24"/>
      <c r="E918" s="24"/>
      <c r="F918" s="24"/>
      <c r="G918" s="24"/>
      <c r="H918" s="24"/>
      <c r="I918" s="174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24"/>
      <c r="Y918" s="156"/>
    </row>
    <row r="919" spans="1:25" ht="12.5">
      <c r="A919" s="156"/>
      <c r="B919" s="156"/>
      <c r="C919" s="156"/>
      <c r="D919" s="24"/>
      <c r="E919" s="24"/>
      <c r="F919" s="24"/>
      <c r="G919" s="24"/>
      <c r="H919" s="24"/>
      <c r="I919" s="174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24"/>
      <c r="Y919" s="156"/>
    </row>
    <row r="920" spans="1:25" ht="12.5">
      <c r="A920" s="156"/>
      <c r="B920" s="156"/>
      <c r="C920" s="156"/>
      <c r="D920" s="24"/>
      <c r="E920" s="24"/>
      <c r="F920" s="24"/>
      <c r="G920" s="24"/>
      <c r="H920" s="24"/>
      <c r="I920" s="174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24"/>
      <c r="Y920" s="156"/>
    </row>
    <row r="921" spans="1:25" ht="12.5">
      <c r="A921" s="156"/>
      <c r="B921" s="156"/>
      <c r="C921" s="156"/>
      <c r="D921" s="24"/>
      <c r="E921" s="24"/>
      <c r="F921" s="24"/>
      <c r="G921" s="24"/>
      <c r="H921" s="24"/>
      <c r="I921" s="174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24"/>
      <c r="Y921" s="156"/>
    </row>
    <row r="922" spans="1:25" ht="12.5">
      <c r="A922" s="156"/>
      <c r="B922" s="156"/>
      <c r="C922" s="156"/>
      <c r="D922" s="24"/>
      <c r="E922" s="24"/>
      <c r="F922" s="24"/>
      <c r="G922" s="24"/>
      <c r="H922" s="24"/>
      <c r="I922" s="174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24"/>
      <c r="Y922" s="156"/>
    </row>
    <row r="923" spans="1:25" ht="12.5">
      <c r="A923" s="156"/>
      <c r="B923" s="156"/>
      <c r="C923" s="156"/>
      <c r="D923" s="24"/>
      <c r="E923" s="24"/>
      <c r="F923" s="24"/>
      <c r="G923" s="24"/>
      <c r="H923" s="24"/>
      <c r="I923" s="174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24"/>
      <c r="Y923" s="156"/>
    </row>
    <row r="924" spans="1:25" ht="12.5">
      <c r="A924" s="156"/>
      <c r="B924" s="156"/>
      <c r="C924" s="156"/>
      <c r="D924" s="24"/>
      <c r="E924" s="24"/>
      <c r="F924" s="24"/>
      <c r="G924" s="24"/>
      <c r="H924" s="24"/>
      <c r="I924" s="174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24"/>
      <c r="Y924" s="156"/>
    </row>
    <row r="925" spans="1:25" ht="12.5">
      <c r="A925" s="156"/>
      <c r="B925" s="156"/>
      <c r="C925" s="156"/>
      <c r="D925" s="24"/>
      <c r="E925" s="24"/>
      <c r="F925" s="24"/>
      <c r="G925" s="24"/>
      <c r="H925" s="24"/>
      <c r="I925" s="174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24"/>
      <c r="Y925" s="156"/>
    </row>
    <row r="926" spans="1:25" ht="12.5">
      <c r="A926" s="156"/>
      <c r="B926" s="156"/>
      <c r="C926" s="156"/>
      <c r="D926" s="24"/>
      <c r="E926" s="24"/>
      <c r="F926" s="24"/>
      <c r="G926" s="24"/>
      <c r="H926" s="24"/>
      <c r="I926" s="174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24"/>
      <c r="Y926" s="156"/>
    </row>
    <row r="927" spans="1:25" ht="12.5">
      <c r="A927" s="156"/>
      <c r="B927" s="156"/>
      <c r="C927" s="156"/>
      <c r="D927" s="24"/>
      <c r="E927" s="24"/>
      <c r="F927" s="24"/>
      <c r="G927" s="24"/>
      <c r="H927" s="24"/>
      <c r="I927" s="174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24"/>
      <c r="Y927" s="156"/>
    </row>
    <row r="928" spans="1:25" ht="12.5">
      <c r="A928" s="156"/>
      <c r="B928" s="156"/>
      <c r="C928" s="156"/>
      <c r="D928" s="24"/>
      <c r="E928" s="24"/>
      <c r="F928" s="24"/>
      <c r="G928" s="24"/>
      <c r="H928" s="24"/>
      <c r="I928" s="174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24"/>
      <c r="Y928" s="156"/>
    </row>
    <row r="929" spans="1:25" ht="12.5">
      <c r="A929" s="156"/>
      <c r="B929" s="156"/>
      <c r="C929" s="156"/>
      <c r="D929" s="24"/>
      <c r="E929" s="24"/>
      <c r="F929" s="24"/>
      <c r="G929" s="24"/>
      <c r="H929" s="24"/>
      <c r="I929" s="174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24"/>
      <c r="Y929" s="156"/>
    </row>
    <row r="930" spans="1:25" ht="12.5">
      <c r="A930" s="156"/>
      <c r="B930" s="156"/>
      <c r="C930" s="156"/>
      <c r="D930" s="24"/>
      <c r="E930" s="24"/>
      <c r="F930" s="24"/>
      <c r="G930" s="24"/>
      <c r="H930" s="24"/>
      <c r="I930" s="174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24"/>
      <c r="Y930" s="156"/>
    </row>
    <row r="931" spans="1:25" ht="12.5">
      <c r="A931" s="156"/>
      <c r="B931" s="156"/>
      <c r="C931" s="156"/>
      <c r="D931" s="24"/>
      <c r="E931" s="24"/>
      <c r="F931" s="24"/>
      <c r="G931" s="24"/>
      <c r="H931" s="24"/>
      <c r="I931" s="174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24"/>
      <c r="Y931" s="156"/>
    </row>
    <row r="932" spans="1:25" ht="12.5">
      <c r="A932" s="156"/>
      <c r="B932" s="156"/>
      <c r="C932" s="156"/>
      <c r="D932" s="24"/>
      <c r="E932" s="24"/>
      <c r="F932" s="24"/>
      <c r="G932" s="24"/>
      <c r="H932" s="24"/>
      <c r="I932" s="174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24"/>
      <c r="Y932" s="156"/>
    </row>
    <row r="933" spans="1:25" ht="12.5">
      <c r="A933" s="156"/>
      <c r="B933" s="156"/>
      <c r="C933" s="156"/>
      <c r="D933" s="24"/>
      <c r="E933" s="24"/>
      <c r="F933" s="24"/>
      <c r="G933" s="24"/>
      <c r="H933" s="24"/>
      <c r="I933" s="174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24"/>
      <c r="Y933" s="156"/>
    </row>
    <row r="934" spans="1:25" ht="12.5">
      <c r="A934" s="156"/>
      <c r="B934" s="156"/>
      <c r="C934" s="156"/>
      <c r="D934" s="24"/>
      <c r="E934" s="24"/>
      <c r="F934" s="24"/>
      <c r="G934" s="24"/>
      <c r="H934" s="24"/>
      <c r="I934" s="174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24"/>
      <c r="Y934" s="156"/>
    </row>
    <row r="935" spans="1:25" ht="12.5">
      <c r="A935" s="156"/>
      <c r="B935" s="156"/>
      <c r="C935" s="156"/>
      <c r="D935" s="24"/>
      <c r="E935" s="24"/>
      <c r="F935" s="24"/>
      <c r="G935" s="24"/>
      <c r="H935" s="24"/>
      <c r="I935" s="174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24"/>
      <c r="Y935" s="156"/>
    </row>
    <row r="936" spans="1:25" ht="12.5">
      <c r="A936" s="156"/>
      <c r="B936" s="156"/>
      <c r="C936" s="156"/>
      <c r="D936" s="24"/>
      <c r="E936" s="24"/>
      <c r="F936" s="24"/>
      <c r="G936" s="24"/>
      <c r="H936" s="24"/>
      <c r="I936" s="174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24"/>
      <c r="Y936" s="156"/>
    </row>
    <row r="937" spans="1:25" ht="12.5">
      <c r="A937" s="156"/>
      <c r="B937" s="156"/>
      <c r="C937" s="156"/>
      <c r="D937" s="24"/>
      <c r="E937" s="24"/>
      <c r="F937" s="24"/>
      <c r="G937" s="24"/>
      <c r="H937" s="24"/>
      <c r="I937" s="174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24"/>
      <c r="Y937" s="156"/>
    </row>
    <row r="938" spans="1:25" ht="12.5">
      <c r="A938" s="156"/>
      <c r="B938" s="156"/>
      <c r="C938" s="156"/>
      <c r="D938" s="24"/>
      <c r="E938" s="24"/>
      <c r="F938" s="24"/>
      <c r="G938" s="24"/>
      <c r="H938" s="24"/>
      <c r="I938" s="174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24"/>
      <c r="Y938" s="156"/>
    </row>
    <row r="939" spans="1:25" ht="12.5">
      <c r="A939" s="156"/>
      <c r="B939" s="156"/>
      <c r="C939" s="156"/>
      <c r="D939" s="24"/>
      <c r="E939" s="24"/>
      <c r="F939" s="24"/>
      <c r="G939" s="24"/>
      <c r="H939" s="24"/>
      <c r="I939" s="174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24"/>
      <c r="Y939" s="156"/>
    </row>
    <row r="940" spans="1:25" ht="12.5">
      <c r="A940" s="156"/>
      <c r="B940" s="156"/>
      <c r="C940" s="156"/>
      <c r="D940" s="24"/>
      <c r="E940" s="24"/>
      <c r="F940" s="24"/>
      <c r="G940" s="24"/>
      <c r="H940" s="24"/>
      <c r="I940" s="174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24"/>
      <c r="Y940" s="156"/>
    </row>
    <row r="941" spans="1:25" ht="12.5">
      <c r="A941" s="156"/>
      <c r="B941" s="156"/>
      <c r="C941" s="156"/>
      <c r="D941" s="24"/>
      <c r="E941" s="24"/>
      <c r="F941" s="24"/>
      <c r="G941" s="24"/>
      <c r="H941" s="24"/>
      <c r="I941" s="174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24"/>
      <c r="Y941" s="156"/>
    </row>
    <row r="942" spans="1:25" ht="12.5">
      <c r="A942" s="156"/>
      <c r="B942" s="156"/>
      <c r="C942" s="156"/>
      <c r="D942" s="24"/>
      <c r="E942" s="24"/>
      <c r="F942" s="24"/>
      <c r="G942" s="24"/>
      <c r="H942" s="24"/>
      <c r="I942" s="174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24"/>
      <c r="Y942" s="156"/>
    </row>
    <row r="943" spans="1:25" ht="12.5">
      <c r="A943" s="156"/>
      <c r="B943" s="156"/>
      <c r="C943" s="156"/>
      <c r="D943" s="24"/>
      <c r="E943" s="24"/>
      <c r="F943" s="24"/>
      <c r="G943" s="24"/>
      <c r="H943" s="24"/>
      <c r="I943" s="174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24"/>
      <c r="Y943" s="156"/>
    </row>
    <row r="944" spans="1:25" ht="12.5">
      <c r="A944" s="156"/>
      <c r="B944" s="156"/>
      <c r="C944" s="156"/>
      <c r="D944" s="24"/>
      <c r="E944" s="24"/>
      <c r="F944" s="24"/>
      <c r="G944" s="24"/>
      <c r="H944" s="24"/>
      <c r="I944" s="174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24"/>
      <c r="Y944" s="156"/>
    </row>
    <row r="945" spans="1:25" ht="12.5">
      <c r="A945" s="156"/>
      <c r="B945" s="156"/>
      <c r="C945" s="156"/>
      <c r="D945" s="24"/>
      <c r="E945" s="24"/>
      <c r="F945" s="24"/>
      <c r="G945" s="24"/>
      <c r="H945" s="24"/>
      <c r="I945" s="174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24"/>
      <c r="Y945" s="156"/>
    </row>
    <row r="946" spans="1:25" ht="12.5">
      <c r="A946" s="156"/>
      <c r="B946" s="156"/>
      <c r="C946" s="156"/>
      <c r="D946" s="24"/>
      <c r="E946" s="24"/>
      <c r="F946" s="24"/>
      <c r="G946" s="24"/>
      <c r="H946" s="24"/>
      <c r="I946" s="174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24"/>
      <c r="Y946" s="156"/>
    </row>
    <row r="947" spans="1:25" ht="12.5">
      <c r="A947" s="156"/>
      <c r="B947" s="156"/>
      <c r="C947" s="156"/>
      <c r="D947" s="24"/>
      <c r="E947" s="24"/>
      <c r="F947" s="24"/>
      <c r="G947" s="24"/>
      <c r="H947" s="24"/>
      <c r="I947" s="174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24"/>
      <c r="Y947" s="156"/>
    </row>
    <row r="948" spans="1:25" ht="12.5">
      <c r="A948" s="156"/>
      <c r="B948" s="156"/>
      <c r="C948" s="156"/>
      <c r="D948" s="24"/>
      <c r="E948" s="24"/>
      <c r="F948" s="24"/>
      <c r="G948" s="24"/>
      <c r="H948" s="24"/>
      <c r="I948" s="174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24"/>
      <c r="Y948" s="156"/>
    </row>
    <row r="949" spans="1:25" ht="12.5">
      <c r="A949" s="156"/>
      <c r="B949" s="156"/>
      <c r="C949" s="156"/>
      <c r="D949" s="24"/>
      <c r="E949" s="24"/>
      <c r="F949" s="24"/>
      <c r="G949" s="24"/>
      <c r="H949" s="24"/>
      <c r="I949" s="174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24"/>
      <c r="Y949" s="156"/>
    </row>
    <row r="950" spans="1:25" ht="12.5">
      <c r="A950" s="156"/>
      <c r="B950" s="156"/>
      <c r="C950" s="156"/>
      <c r="D950" s="24"/>
      <c r="E950" s="24"/>
      <c r="F950" s="24"/>
      <c r="G950" s="24"/>
      <c r="H950" s="24"/>
      <c r="I950" s="174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24"/>
      <c r="Y950" s="156"/>
    </row>
    <row r="951" spans="1:25" ht="12.5">
      <c r="A951" s="156"/>
      <c r="B951" s="156"/>
      <c r="C951" s="156"/>
      <c r="D951" s="24"/>
      <c r="E951" s="24"/>
      <c r="F951" s="24"/>
      <c r="G951" s="24"/>
      <c r="H951" s="24"/>
      <c r="I951" s="174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24"/>
      <c r="Y951" s="156"/>
    </row>
    <row r="952" spans="1:25" ht="12.5">
      <c r="A952" s="156"/>
      <c r="B952" s="156"/>
      <c r="C952" s="156"/>
      <c r="D952" s="24"/>
      <c r="E952" s="24"/>
      <c r="F952" s="24"/>
      <c r="G952" s="24"/>
      <c r="H952" s="24"/>
      <c r="I952" s="174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24"/>
      <c r="Y952" s="156"/>
    </row>
    <row r="953" spans="1:25" ht="12.5">
      <c r="A953" s="156"/>
      <c r="B953" s="156"/>
      <c r="C953" s="156"/>
      <c r="D953" s="24"/>
      <c r="E953" s="24"/>
      <c r="F953" s="24"/>
      <c r="G953" s="24"/>
      <c r="H953" s="24"/>
      <c r="I953" s="174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24"/>
      <c r="Y953" s="156"/>
    </row>
    <row r="954" spans="1:25" ht="12.5">
      <c r="A954" s="156"/>
      <c r="B954" s="156"/>
      <c r="C954" s="156"/>
      <c r="D954" s="24"/>
      <c r="E954" s="24"/>
      <c r="F954" s="24"/>
      <c r="G954" s="24"/>
      <c r="H954" s="24"/>
      <c r="I954" s="174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24"/>
      <c r="Y954" s="156"/>
    </row>
    <row r="955" spans="1:25" ht="12.5">
      <c r="A955" s="156"/>
      <c r="B955" s="156"/>
      <c r="C955" s="156"/>
      <c r="D955" s="24"/>
      <c r="E955" s="24"/>
      <c r="F955" s="24"/>
      <c r="G955" s="24"/>
      <c r="H955" s="24"/>
      <c r="I955" s="174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24"/>
      <c r="Y955" s="156"/>
    </row>
    <row r="956" spans="1:25" ht="12.5">
      <c r="A956" s="156"/>
      <c r="B956" s="156"/>
      <c r="C956" s="156"/>
      <c r="D956" s="24"/>
      <c r="E956" s="24"/>
      <c r="F956" s="24"/>
      <c r="G956" s="24"/>
      <c r="H956" s="24"/>
      <c r="I956" s="174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24"/>
      <c r="Y956" s="156"/>
    </row>
    <row r="957" spans="1:25" ht="12.5">
      <c r="A957" s="156"/>
      <c r="B957" s="156"/>
      <c r="C957" s="156"/>
      <c r="D957" s="24"/>
      <c r="E957" s="24"/>
      <c r="F957" s="24"/>
      <c r="G957" s="24"/>
      <c r="H957" s="24"/>
      <c r="I957" s="174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24"/>
      <c r="Y957" s="156"/>
    </row>
    <row r="958" spans="1:25" ht="12.5">
      <c r="A958" s="156"/>
      <c r="B958" s="156"/>
      <c r="C958" s="156"/>
      <c r="D958" s="24"/>
      <c r="E958" s="24"/>
      <c r="F958" s="24"/>
      <c r="G958" s="24"/>
      <c r="H958" s="24"/>
      <c r="I958" s="174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24"/>
      <c r="Y958" s="156"/>
    </row>
    <row r="959" spans="1:25" ht="12.5">
      <c r="A959" s="156"/>
      <c r="B959" s="156"/>
      <c r="C959" s="156"/>
      <c r="D959" s="24"/>
      <c r="E959" s="24"/>
      <c r="F959" s="24"/>
      <c r="G959" s="24"/>
      <c r="H959" s="24"/>
      <c r="I959" s="174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24"/>
      <c r="Y959" s="156"/>
    </row>
    <row r="960" spans="1:25" ht="12.5">
      <c r="A960" s="156"/>
      <c r="B960" s="156"/>
      <c r="C960" s="156"/>
      <c r="D960" s="24"/>
      <c r="E960" s="24"/>
      <c r="F960" s="24"/>
      <c r="G960" s="24"/>
      <c r="H960" s="24"/>
      <c r="I960" s="174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24"/>
      <c r="Y960" s="156"/>
    </row>
    <row r="961" spans="1:25" ht="12.5">
      <c r="A961" s="156"/>
      <c r="B961" s="156"/>
      <c r="C961" s="156"/>
      <c r="D961" s="24"/>
      <c r="E961" s="24"/>
      <c r="F961" s="24"/>
      <c r="G961" s="24"/>
      <c r="H961" s="24"/>
      <c r="I961" s="174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24"/>
      <c r="Y961" s="156"/>
    </row>
    <row r="962" spans="1:25" ht="12.5">
      <c r="A962" s="156"/>
      <c r="B962" s="156"/>
      <c r="C962" s="156"/>
      <c r="D962" s="24"/>
      <c r="E962" s="24"/>
      <c r="F962" s="24"/>
      <c r="G962" s="24"/>
      <c r="H962" s="24"/>
      <c r="I962" s="174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24"/>
      <c r="Y962" s="156"/>
    </row>
    <row r="963" spans="1:25" ht="12.5">
      <c r="A963" s="156"/>
      <c r="B963" s="156"/>
      <c r="C963" s="156"/>
      <c r="D963" s="24"/>
      <c r="E963" s="24"/>
      <c r="F963" s="24"/>
      <c r="G963" s="24"/>
      <c r="H963" s="24"/>
      <c r="I963" s="174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24"/>
      <c r="Y963" s="156"/>
    </row>
    <row r="964" spans="1:25" ht="12.5">
      <c r="A964" s="156"/>
      <c r="B964" s="156"/>
      <c r="C964" s="156"/>
      <c r="D964" s="24"/>
      <c r="E964" s="24"/>
      <c r="F964" s="24"/>
      <c r="G964" s="24"/>
      <c r="H964" s="24"/>
      <c r="I964" s="174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24"/>
      <c r="Y964" s="156"/>
    </row>
    <row r="965" spans="1:25" ht="12.5">
      <c r="A965" s="156"/>
      <c r="B965" s="156"/>
      <c r="C965" s="156"/>
      <c r="D965" s="24"/>
      <c r="E965" s="24"/>
      <c r="F965" s="24"/>
      <c r="G965" s="24"/>
      <c r="H965" s="24"/>
      <c r="I965" s="174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24"/>
      <c r="Y965" s="156"/>
    </row>
    <row r="966" spans="1:25" ht="12.5">
      <c r="A966" s="156"/>
      <c r="B966" s="156"/>
      <c r="C966" s="156"/>
      <c r="D966" s="24"/>
      <c r="E966" s="24"/>
      <c r="F966" s="24"/>
      <c r="G966" s="24"/>
      <c r="H966" s="24"/>
      <c r="I966" s="174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24"/>
      <c r="Y966" s="156"/>
    </row>
    <row r="967" spans="1:25" ht="12.5">
      <c r="A967" s="156"/>
      <c r="B967" s="156"/>
      <c r="C967" s="156"/>
      <c r="D967" s="24"/>
      <c r="E967" s="24"/>
      <c r="F967" s="24"/>
      <c r="G967" s="24"/>
      <c r="H967" s="24"/>
      <c r="I967" s="174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24"/>
      <c r="Y967" s="156"/>
    </row>
    <row r="968" spans="1:25" ht="12.5">
      <c r="A968" s="156"/>
      <c r="B968" s="156"/>
      <c r="C968" s="156"/>
      <c r="D968" s="24"/>
      <c r="E968" s="24"/>
      <c r="F968" s="24"/>
      <c r="G968" s="24"/>
      <c r="H968" s="24"/>
      <c r="I968" s="174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24"/>
      <c r="Y968" s="156"/>
    </row>
    <row r="969" spans="1:25" ht="12.5">
      <c r="A969" s="156"/>
      <c r="B969" s="156"/>
      <c r="C969" s="156"/>
      <c r="D969" s="24"/>
      <c r="E969" s="24"/>
      <c r="F969" s="24"/>
      <c r="G969" s="24"/>
      <c r="H969" s="24"/>
      <c r="I969" s="174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24"/>
      <c r="Y969" s="156"/>
    </row>
    <row r="970" spans="1:25" ht="12.5">
      <c r="A970" s="156"/>
      <c r="B970" s="156"/>
      <c r="C970" s="156"/>
      <c r="D970" s="24"/>
      <c r="E970" s="24"/>
      <c r="F970" s="24"/>
      <c r="G970" s="24"/>
      <c r="H970" s="24"/>
      <c r="I970" s="174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24"/>
      <c r="Y970" s="156"/>
    </row>
    <row r="971" spans="1:25" ht="12.5">
      <c r="A971" s="156"/>
      <c r="B971" s="156"/>
      <c r="C971" s="156"/>
      <c r="D971" s="24"/>
      <c r="E971" s="24"/>
      <c r="F971" s="24"/>
      <c r="G971" s="24"/>
      <c r="H971" s="24"/>
      <c r="I971" s="174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24"/>
      <c r="Y971" s="156"/>
    </row>
    <row r="972" spans="1:25" ht="12.5">
      <c r="A972" s="156"/>
      <c r="B972" s="156"/>
      <c r="C972" s="156"/>
      <c r="D972" s="24"/>
      <c r="E972" s="24"/>
      <c r="F972" s="24"/>
      <c r="G972" s="24"/>
      <c r="H972" s="24"/>
      <c r="I972" s="174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24"/>
      <c r="Y972" s="156"/>
    </row>
    <row r="973" spans="1:25" ht="12.5">
      <c r="A973" s="156"/>
      <c r="B973" s="156"/>
      <c r="C973" s="156"/>
      <c r="D973" s="24"/>
      <c r="E973" s="24"/>
      <c r="F973" s="24"/>
      <c r="G973" s="24"/>
      <c r="H973" s="24"/>
      <c r="I973" s="174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24"/>
      <c r="Y973" s="156"/>
    </row>
    <row r="974" spans="1:25" ht="12.5">
      <c r="A974" s="156"/>
      <c r="B974" s="156"/>
      <c r="C974" s="156"/>
      <c r="D974" s="24"/>
      <c r="E974" s="24"/>
      <c r="F974" s="24"/>
      <c r="G974" s="24"/>
      <c r="H974" s="24"/>
      <c r="I974" s="174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24"/>
      <c r="Y974" s="156"/>
    </row>
    <row r="975" spans="1:25" ht="12.5">
      <c r="A975" s="156"/>
      <c r="B975" s="156"/>
      <c r="C975" s="156"/>
      <c r="D975" s="24"/>
      <c r="E975" s="24"/>
      <c r="F975" s="24"/>
      <c r="G975" s="24"/>
      <c r="H975" s="24"/>
      <c r="I975" s="174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24"/>
      <c r="Y975" s="156"/>
    </row>
    <row r="976" spans="1:25" ht="12.5">
      <c r="A976" s="156"/>
      <c r="B976" s="156"/>
      <c r="C976" s="156"/>
      <c r="D976" s="24"/>
      <c r="E976" s="24"/>
      <c r="F976" s="24"/>
      <c r="G976" s="24"/>
      <c r="H976" s="24"/>
      <c r="I976" s="174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24"/>
      <c r="Y976" s="156"/>
    </row>
    <row r="977" spans="1:25" ht="12.5">
      <c r="A977" s="156"/>
      <c r="B977" s="156"/>
      <c r="C977" s="156"/>
      <c r="D977" s="24"/>
      <c r="E977" s="24"/>
      <c r="F977" s="24"/>
      <c r="G977" s="24"/>
      <c r="H977" s="24"/>
      <c r="I977" s="174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24"/>
      <c r="Y977" s="156"/>
    </row>
    <row r="978" spans="1:25" ht="12.5">
      <c r="A978" s="156"/>
      <c r="B978" s="156"/>
      <c r="C978" s="156"/>
      <c r="D978" s="24"/>
      <c r="E978" s="24"/>
      <c r="F978" s="24"/>
      <c r="G978" s="24"/>
      <c r="H978" s="24"/>
      <c r="I978" s="174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24"/>
      <c r="Y978" s="156"/>
    </row>
    <row r="979" spans="1:25" ht="12.5">
      <c r="A979" s="156"/>
      <c r="B979" s="156"/>
      <c r="C979" s="156"/>
      <c r="D979" s="24"/>
      <c r="E979" s="24"/>
      <c r="F979" s="24"/>
      <c r="G979" s="24"/>
      <c r="H979" s="24"/>
      <c r="I979" s="174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24"/>
      <c r="Y979" s="156"/>
    </row>
    <row r="980" spans="1:25" ht="12.5">
      <c r="A980" s="156"/>
      <c r="B980" s="156"/>
      <c r="C980" s="156"/>
      <c r="D980" s="24"/>
      <c r="E980" s="24"/>
      <c r="F980" s="24"/>
      <c r="G980" s="24"/>
      <c r="H980" s="24"/>
      <c r="I980" s="174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24"/>
      <c r="Y980" s="156"/>
    </row>
    <row r="981" spans="1:25" ht="12.5">
      <c r="A981" s="156"/>
      <c r="B981" s="156"/>
      <c r="C981" s="156"/>
      <c r="D981" s="24"/>
      <c r="E981" s="24"/>
      <c r="F981" s="24"/>
      <c r="G981" s="24"/>
      <c r="H981" s="24"/>
      <c r="I981" s="174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24"/>
      <c r="Y981" s="156"/>
    </row>
    <row r="982" spans="1:25" ht="12.5">
      <c r="A982" s="156"/>
      <c r="B982" s="156"/>
      <c r="C982" s="156"/>
      <c r="D982" s="24"/>
      <c r="E982" s="24"/>
      <c r="F982" s="24"/>
      <c r="G982" s="24"/>
      <c r="H982" s="24"/>
      <c r="I982" s="174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24"/>
      <c r="Y982" s="156"/>
    </row>
    <row r="983" spans="1:25" ht="12.5">
      <c r="A983" s="156"/>
      <c r="B983" s="156"/>
      <c r="C983" s="156"/>
      <c r="D983" s="24"/>
      <c r="E983" s="24"/>
      <c r="F983" s="24"/>
      <c r="G983" s="24"/>
      <c r="H983" s="24"/>
      <c r="I983" s="174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24"/>
      <c r="Y983" s="156"/>
    </row>
    <row r="984" spans="1:25" ht="12.5">
      <c r="A984" s="156"/>
      <c r="B984" s="156"/>
      <c r="C984" s="156"/>
      <c r="D984" s="24"/>
      <c r="E984" s="24"/>
      <c r="F984" s="24"/>
      <c r="G984" s="24"/>
      <c r="H984" s="24"/>
      <c r="I984" s="174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24"/>
      <c r="Y984" s="156"/>
    </row>
    <row r="985" spans="1:25" ht="12.5">
      <c r="A985" s="156"/>
      <c r="B985" s="156"/>
      <c r="C985" s="156"/>
      <c r="D985" s="24"/>
      <c r="E985" s="24"/>
      <c r="F985" s="24"/>
      <c r="G985" s="24"/>
      <c r="H985" s="24"/>
      <c r="I985" s="174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24"/>
      <c r="Y985" s="156"/>
    </row>
    <row r="986" spans="1:25" ht="12.5">
      <c r="A986" s="156"/>
      <c r="B986" s="156"/>
      <c r="C986" s="156"/>
      <c r="D986" s="24"/>
      <c r="E986" s="24"/>
      <c r="F986" s="24"/>
      <c r="G986" s="24"/>
      <c r="H986" s="24"/>
      <c r="I986" s="174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24"/>
      <c r="Y986" s="156"/>
    </row>
    <row r="987" spans="1:25" ht="12.5">
      <c r="A987" s="156"/>
      <c r="B987" s="156"/>
      <c r="C987" s="156"/>
      <c r="D987" s="24"/>
      <c r="E987" s="24"/>
      <c r="F987" s="24"/>
      <c r="G987" s="24"/>
      <c r="H987" s="24"/>
      <c r="I987" s="174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24"/>
      <c r="Y987" s="156"/>
    </row>
    <row r="988" spans="1:25" ht="12.5">
      <c r="A988" s="156"/>
      <c r="B988" s="156"/>
      <c r="C988" s="156"/>
      <c r="D988" s="24"/>
      <c r="E988" s="24"/>
      <c r="F988" s="24"/>
      <c r="G988" s="24"/>
      <c r="H988" s="24"/>
      <c r="I988" s="174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24"/>
      <c r="Y988" s="156"/>
    </row>
    <row r="989" spans="1:25" ht="12.5">
      <c r="A989" s="156"/>
      <c r="B989" s="156"/>
      <c r="C989" s="156"/>
      <c r="D989" s="24"/>
      <c r="E989" s="24"/>
      <c r="F989" s="24"/>
      <c r="G989" s="24"/>
      <c r="H989" s="24"/>
      <c r="I989" s="174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24"/>
      <c r="Y989" s="156"/>
    </row>
    <row r="990" spans="1:25" ht="12.5">
      <c r="A990" s="156"/>
      <c r="B990" s="156"/>
      <c r="C990" s="156"/>
      <c r="D990" s="24"/>
      <c r="E990" s="24"/>
      <c r="F990" s="24"/>
      <c r="G990" s="24"/>
      <c r="H990" s="24"/>
      <c r="I990" s="174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24"/>
      <c r="Y990" s="156"/>
    </row>
    <row r="991" spans="1:25" ht="12.5">
      <c r="A991" s="156"/>
      <c r="B991" s="156"/>
      <c r="C991" s="156"/>
      <c r="D991" s="24"/>
      <c r="E991" s="24"/>
      <c r="F991" s="24"/>
      <c r="G991" s="24"/>
      <c r="H991" s="24"/>
      <c r="I991" s="174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24"/>
      <c r="Y991" s="156"/>
    </row>
    <row r="992" spans="1:25" ht="12.5">
      <c r="A992" s="156"/>
      <c r="B992" s="156"/>
      <c r="C992" s="156"/>
      <c r="D992" s="24"/>
      <c r="E992" s="24"/>
      <c r="F992" s="24"/>
      <c r="G992" s="24"/>
      <c r="H992" s="24"/>
      <c r="I992" s="174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24"/>
      <c r="Y992" s="156"/>
    </row>
    <row r="993" spans="1:25" ht="12.5">
      <c r="A993" s="156"/>
      <c r="B993" s="156"/>
      <c r="C993" s="156"/>
      <c r="D993" s="24"/>
      <c r="E993" s="24"/>
      <c r="F993" s="24"/>
      <c r="G993" s="24"/>
      <c r="H993" s="24"/>
      <c r="I993" s="174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24"/>
      <c r="Y993" s="156"/>
    </row>
    <row r="994" spans="1:25" ht="12.5">
      <c r="A994" s="156"/>
      <c r="B994" s="156"/>
      <c r="C994" s="156"/>
      <c r="D994" s="24"/>
      <c r="E994" s="24"/>
      <c r="F994" s="24"/>
      <c r="G994" s="24"/>
      <c r="H994" s="24"/>
      <c r="I994" s="174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24"/>
      <c r="Y994" s="156"/>
    </row>
    <row r="995" spans="1:25" ht="12.5">
      <c r="A995" s="156"/>
      <c r="B995" s="156"/>
      <c r="C995" s="156"/>
      <c r="D995" s="24"/>
      <c r="E995" s="24"/>
      <c r="F995" s="24"/>
      <c r="G995" s="24"/>
      <c r="H995" s="24"/>
      <c r="I995" s="174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24"/>
      <c r="Y995" s="156"/>
    </row>
    <row r="996" spans="1:25" ht="12.5">
      <c r="A996" s="156"/>
      <c r="B996" s="156"/>
      <c r="C996" s="156"/>
      <c r="D996" s="24"/>
      <c r="E996" s="24"/>
      <c r="F996" s="24"/>
      <c r="G996" s="24"/>
      <c r="H996" s="24"/>
      <c r="I996" s="174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24"/>
      <c r="Y996" s="156"/>
    </row>
    <row r="997" spans="1:25" ht="12.5">
      <c r="A997" s="156"/>
      <c r="B997" s="156"/>
      <c r="C997" s="156"/>
      <c r="D997" s="24"/>
      <c r="E997" s="24"/>
      <c r="F997" s="24"/>
      <c r="G997" s="24"/>
      <c r="H997" s="24"/>
      <c r="I997" s="174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24"/>
      <c r="Y997" s="156"/>
    </row>
    <row r="998" spans="1:25" ht="12.5">
      <c r="A998" s="156"/>
      <c r="B998" s="156"/>
      <c r="C998" s="156"/>
      <c r="D998" s="24"/>
      <c r="E998" s="24"/>
      <c r="F998" s="24"/>
      <c r="G998" s="24"/>
      <c r="H998" s="24"/>
      <c r="I998" s="174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24"/>
      <c r="Y998" s="156"/>
    </row>
    <row r="999" spans="1:25" ht="12.5">
      <c r="A999" s="156"/>
      <c r="B999" s="156"/>
      <c r="C999" s="156"/>
      <c r="D999" s="24"/>
      <c r="E999" s="24"/>
      <c r="F999" s="24"/>
      <c r="G999" s="24"/>
      <c r="H999" s="24"/>
      <c r="I999" s="174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24"/>
      <c r="Y999" s="156"/>
    </row>
    <row r="1000" spans="1:25" ht="12.5">
      <c r="A1000" s="156"/>
      <c r="B1000" s="156"/>
      <c r="C1000" s="156"/>
      <c r="D1000" s="24"/>
      <c r="E1000" s="24"/>
      <c r="F1000" s="24"/>
      <c r="G1000" s="24"/>
      <c r="H1000" s="24"/>
      <c r="I1000" s="174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24"/>
      <c r="Y1000" s="156"/>
    </row>
    <row r="1001" spans="1:25" ht="12.5">
      <c r="A1001" s="156"/>
      <c r="B1001" s="156"/>
      <c r="C1001" s="156"/>
      <c r="D1001" s="24"/>
      <c r="E1001" s="24"/>
      <c r="F1001" s="24"/>
      <c r="G1001" s="24"/>
      <c r="H1001" s="24"/>
      <c r="I1001" s="174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24"/>
      <c r="Y1001" s="156"/>
    </row>
    <row r="1002" spans="1:25" ht="12.5">
      <c r="A1002" s="156"/>
      <c r="B1002" s="156"/>
      <c r="C1002" s="156"/>
      <c r="D1002" s="24"/>
      <c r="E1002" s="24"/>
      <c r="F1002" s="24"/>
      <c r="G1002" s="24"/>
      <c r="H1002" s="24"/>
      <c r="I1002" s="174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24"/>
      <c r="Y1002" s="156"/>
    </row>
    <row r="1003" spans="1:25" ht="12.5">
      <c r="A1003" s="156"/>
      <c r="B1003" s="156"/>
      <c r="C1003" s="156"/>
      <c r="D1003" s="24"/>
      <c r="E1003" s="24"/>
      <c r="F1003" s="24"/>
      <c r="G1003" s="24"/>
      <c r="H1003" s="24"/>
      <c r="I1003" s="174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24"/>
      <c r="Y1003" s="156"/>
    </row>
    <row r="1004" spans="1:25" ht="12.5">
      <c r="A1004" s="156"/>
      <c r="B1004" s="156"/>
      <c r="C1004" s="156"/>
      <c r="D1004" s="24"/>
      <c r="E1004" s="24"/>
      <c r="F1004" s="24"/>
      <c r="G1004" s="24"/>
      <c r="H1004" s="24"/>
      <c r="I1004" s="174"/>
      <c r="J1004" s="156"/>
      <c r="K1004" s="156"/>
      <c r="L1004" s="156"/>
      <c r="M1004" s="156"/>
      <c r="N1004" s="156"/>
      <c r="O1004" s="156"/>
      <c r="P1004" s="156"/>
      <c r="Q1004" s="156"/>
      <c r="R1004" s="156"/>
      <c r="S1004" s="156"/>
      <c r="T1004" s="156"/>
      <c r="U1004" s="156"/>
      <c r="V1004" s="156"/>
      <c r="W1004" s="156"/>
      <c r="X1004" s="24"/>
      <c r="Y1004" s="156"/>
    </row>
    <row r="1005" spans="1:25" ht="12.5">
      <c r="A1005" s="156"/>
      <c r="B1005" s="156"/>
      <c r="C1005" s="156"/>
      <c r="D1005" s="24"/>
      <c r="E1005" s="24"/>
      <c r="F1005" s="24"/>
      <c r="G1005" s="24"/>
      <c r="H1005" s="24"/>
      <c r="I1005" s="174"/>
      <c r="J1005" s="156"/>
      <c r="K1005" s="156"/>
      <c r="L1005" s="156"/>
      <c r="M1005" s="156"/>
      <c r="N1005" s="156"/>
      <c r="O1005" s="156"/>
      <c r="P1005" s="156"/>
      <c r="Q1005" s="156"/>
      <c r="R1005" s="156"/>
      <c r="S1005" s="156"/>
      <c r="T1005" s="156"/>
      <c r="U1005" s="156"/>
      <c r="V1005" s="156"/>
      <c r="W1005" s="156"/>
      <c r="X1005" s="24"/>
      <c r="Y1005" s="156"/>
    </row>
    <row r="1006" spans="1:25" ht="12.5">
      <c r="A1006" s="156"/>
      <c r="B1006" s="156"/>
      <c r="C1006" s="156"/>
      <c r="D1006" s="24"/>
      <c r="E1006" s="24"/>
      <c r="F1006" s="24"/>
      <c r="G1006" s="24"/>
      <c r="H1006" s="24"/>
      <c r="I1006" s="174"/>
      <c r="J1006" s="156"/>
      <c r="K1006" s="156"/>
      <c r="L1006" s="156"/>
      <c r="M1006" s="156"/>
      <c r="N1006" s="156"/>
      <c r="O1006" s="156"/>
      <c r="P1006" s="156"/>
      <c r="Q1006" s="156"/>
      <c r="R1006" s="156"/>
      <c r="S1006" s="156"/>
      <c r="T1006" s="156"/>
      <c r="U1006" s="156"/>
      <c r="V1006" s="156"/>
      <c r="W1006" s="156"/>
      <c r="X1006" s="24"/>
      <c r="Y1006" s="156"/>
    </row>
    <row r="1007" spans="1:25" ht="12.5">
      <c r="A1007" s="156"/>
      <c r="B1007" s="156"/>
      <c r="C1007" s="156"/>
      <c r="D1007" s="24"/>
      <c r="E1007" s="24"/>
      <c r="F1007" s="24"/>
      <c r="G1007" s="24"/>
      <c r="H1007" s="24"/>
      <c r="I1007" s="174"/>
      <c r="J1007" s="156"/>
      <c r="K1007" s="156"/>
      <c r="L1007" s="156"/>
      <c r="M1007" s="156"/>
      <c r="N1007" s="156"/>
      <c r="O1007" s="156"/>
      <c r="P1007" s="156"/>
      <c r="Q1007" s="156"/>
      <c r="R1007" s="156"/>
      <c r="S1007" s="156"/>
      <c r="T1007" s="156"/>
      <c r="U1007" s="156"/>
      <c r="V1007" s="156"/>
      <c r="W1007" s="156"/>
      <c r="X1007" s="24"/>
      <c r="Y1007" s="156"/>
    </row>
    <row r="1008" spans="1:25" ht="12.5">
      <c r="A1008" s="156"/>
      <c r="B1008" s="156"/>
      <c r="C1008" s="156"/>
      <c r="D1008" s="24"/>
      <c r="E1008" s="24"/>
      <c r="F1008" s="24"/>
      <c r="G1008" s="24"/>
      <c r="H1008" s="24"/>
      <c r="I1008" s="174"/>
      <c r="J1008" s="156"/>
      <c r="K1008" s="156"/>
      <c r="L1008" s="156"/>
      <c r="M1008" s="156"/>
      <c r="N1008" s="156"/>
      <c r="O1008" s="156"/>
      <c r="P1008" s="156"/>
      <c r="Q1008" s="156"/>
      <c r="R1008" s="156"/>
      <c r="S1008" s="156"/>
      <c r="T1008" s="156"/>
      <c r="U1008" s="156"/>
      <c r="V1008" s="156"/>
      <c r="W1008" s="156"/>
      <c r="X1008" s="24"/>
      <c r="Y1008" s="156"/>
    </row>
    <row r="1009" spans="1:25" ht="12.5">
      <c r="A1009" s="156"/>
      <c r="B1009" s="156"/>
      <c r="C1009" s="156"/>
      <c r="D1009" s="24"/>
      <c r="E1009" s="24"/>
      <c r="F1009" s="24"/>
      <c r="G1009" s="24"/>
      <c r="H1009" s="24"/>
      <c r="I1009" s="174"/>
      <c r="J1009" s="156"/>
      <c r="K1009" s="156"/>
      <c r="L1009" s="156"/>
      <c r="M1009" s="156"/>
      <c r="N1009" s="156"/>
      <c r="O1009" s="156"/>
      <c r="P1009" s="156"/>
      <c r="Q1009" s="156"/>
      <c r="R1009" s="156"/>
      <c r="S1009" s="156"/>
      <c r="T1009" s="156"/>
      <c r="U1009" s="156"/>
      <c r="V1009" s="156"/>
      <c r="W1009" s="156"/>
      <c r="X1009" s="24"/>
      <c r="Y1009" s="156"/>
    </row>
    <row r="1010" spans="1:25" ht="12.5">
      <c r="A1010" s="156"/>
      <c r="B1010" s="156"/>
      <c r="C1010" s="156"/>
      <c r="D1010" s="24"/>
      <c r="E1010" s="24"/>
      <c r="F1010" s="24"/>
      <c r="G1010" s="24"/>
      <c r="H1010" s="24"/>
      <c r="I1010" s="174"/>
      <c r="J1010" s="156"/>
      <c r="K1010" s="156"/>
      <c r="L1010" s="156"/>
      <c r="M1010" s="156"/>
      <c r="N1010" s="156"/>
      <c r="O1010" s="156"/>
      <c r="P1010" s="156"/>
      <c r="Q1010" s="156"/>
      <c r="R1010" s="156"/>
      <c r="S1010" s="156"/>
      <c r="T1010" s="156"/>
      <c r="U1010" s="156"/>
      <c r="V1010" s="156"/>
      <c r="W1010" s="156"/>
      <c r="X1010" s="24"/>
      <c r="Y1010" s="156"/>
    </row>
    <row r="1011" spans="1:25" ht="12.5">
      <c r="A1011" s="156"/>
      <c r="B1011" s="156"/>
      <c r="C1011" s="156"/>
      <c r="D1011" s="24"/>
      <c r="E1011" s="24"/>
      <c r="F1011" s="24"/>
      <c r="G1011" s="24"/>
      <c r="H1011" s="24"/>
      <c r="I1011" s="174"/>
      <c r="J1011" s="156"/>
      <c r="K1011" s="156"/>
      <c r="L1011" s="156"/>
      <c r="M1011" s="156"/>
      <c r="N1011" s="156"/>
      <c r="O1011" s="156"/>
      <c r="P1011" s="156"/>
      <c r="Q1011" s="156"/>
      <c r="R1011" s="156"/>
      <c r="S1011" s="156"/>
      <c r="T1011" s="156"/>
      <c r="U1011" s="156"/>
      <c r="V1011" s="156"/>
      <c r="W1011" s="156"/>
      <c r="X1011" s="24"/>
      <c r="Y1011" s="156"/>
    </row>
    <row r="1012" spans="1:25" ht="12.5">
      <c r="A1012" s="156"/>
      <c r="B1012" s="156"/>
      <c r="C1012" s="156"/>
      <c r="D1012" s="24"/>
      <c r="E1012" s="24"/>
      <c r="F1012" s="24"/>
      <c r="G1012" s="24"/>
      <c r="H1012" s="24"/>
      <c r="I1012" s="174"/>
      <c r="J1012" s="156"/>
      <c r="K1012" s="156"/>
      <c r="L1012" s="156"/>
      <c r="M1012" s="156"/>
      <c r="N1012" s="156"/>
      <c r="O1012" s="156"/>
      <c r="P1012" s="156"/>
      <c r="Q1012" s="156"/>
      <c r="R1012" s="156"/>
      <c r="S1012" s="156"/>
      <c r="T1012" s="156"/>
      <c r="U1012" s="156"/>
      <c r="V1012" s="156"/>
      <c r="W1012" s="156"/>
      <c r="X1012" s="24"/>
      <c r="Y1012" s="156"/>
    </row>
    <row r="1013" spans="1:25" ht="12.5">
      <c r="A1013" s="156"/>
      <c r="B1013" s="156"/>
      <c r="C1013" s="156"/>
      <c r="D1013" s="24"/>
      <c r="E1013" s="24"/>
      <c r="F1013" s="24"/>
      <c r="G1013" s="24"/>
      <c r="H1013" s="24"/>
      <c r="I1013" s="174"/>
      <c r="J1013" s="156"/>
      <c r="K1013" s="156"/>
      <c r="L1013" s="156"/>
      <c r="M1013" s="156"/>
      <c r="N1013" s="156"/>
      <c r="O1013" s="156"/>
      <c r="P1013" s="156"/>
      <c r="Q1013" s="156"/>
      <c r="R1013" s="156"/>
      <c r="S1013" s="156"/>
      <c r="T1013" s="156"/>
      <c r="U1013" s="156"/>
      <c r="V1013" s="156"/>
      <c r="W1013" s="156"/>
      <c r="X1013" s="24"/>
      <c r="Y1013" s="156"/>
    </row>
    <row r="1014" spans="1:25" ht="12.5">
      <c r="A1014" s="156"/>
      <c r="B1014" s="156"/>
      <c r="C1014" s="156"/>
      <c r="D1014" s="24"/>
      <c r="E1014" s="24"/>
      <c r="F1014" s="24"/>
      <c r="G1014" s="24"/>
      <c r="H1014" s="24"/>
      <c r="I1014" s="174"/>
      <c r="J1014" s="156"/>
      <c r="K1014" s="156"/>
      <c r="L1014" s="156"/>
      <c r="M1014" s="156"/>
      <c r="N1014" s="156"/>
      <c r="O1014" s="156"/>
      <c r="P1014" s="156"/>
      <c r="Q1014" s="156"/>
      <c r="R1014" s="156"/>
      <c r="S1014" s="156"/>
      <c r="T1014" s="156"/>
      <c r="U1014" s="156"/>
      <c r="V1014" s="156"/>
      <c r="W1014" s="156"/>
      <c r="X1014" s="24"/>
      <c r="Y1014" s="156"/>
    </row>
    <row r="1015" spans="1:25" ht="12.5">
      <c r="A1015" s="156"/>
      <c r="B1015" s="156"/>
      <c r="C1015" s="156"/>
      <c r="D1015" s="24"/>
      <c r="E1015" s="24"/>
      <c r="F1015" s="24"/>
      <c r="G1015" s="24"/>
      <c r="H1015" s="24"/>
      <c r="I1015" s="174"/>
      <c r="J1015" s="156"/>
      <c r="K1015" s="156"/>
      <c r="L1015" s="156"/>
      <c r="M1015" s="156"/>
      <c r="N1015" s="156"/>
      <c r="O1015" s="156"/>
      <c r="P1015" s="156"/>
      <c r="Q1015" s="156"/>
      <c r="R1015" s="156"/>
      <c r="S1015" s="156"/>
      <c r="T1015" s="156"/>
      <c r="U1015" s="156"/>
      <c r="V1015" s="156"/>
      <c r="W1015" s="156"/>
      <c r="X1015" s="24"/>
      <c r="Y1015" s="156"/>
    </row>
    <row r="1016" spans="1:25" ht="12.5">
      <c r="A1016" s="156"/>
      <c r="B1016" s="156"/>
      <c r="C1016" s="156"/>
      <c r="D1016" s="24"/>
      <c r="E1016" s="24"/>
      <c r="F1016" s="24"/>
      <c r="G1016" s="24"/>
      <c r="H1016" s="24"/>
      <c r="I1016" s="174"/>
      <c r="J1016" s="156"/>
      <c r="K1016" s="156"/>
      <c r="L1016" s="156"/>
      <c r="M1016" s="156"/>
      <c r="N1016" s="156"/>
      <c r="O1016" s="156"/>
      <c r="P1016" s="156"/>
      <c r="Q1016" s="156"/>
      <c r="R1016" s="156"/>
      <c r="S1016" s="156"/>
      <c r="T1016" s="156"/>
      <c r="U1016" s="156"/>
      <c r="V1016" s="156"/>
      <c r="W1016" s="156"/>
      <c r="X1016" s="24"/>
      <c r="Y1016" s="156"/>
    </row>
    <row r="1017" spans="1:25" ht="12.5">
      <c r="A1017" s="156"/>
      <c r="B1017" s="156"/>
      <c r="C1017" s="156"/>
      <c r="D1017" s="24"/>
      <c r="E1017" s="24"/>
      <c r="F1017" s="24"/>
      <c r="G1017" s="24"/>
      <c r="H1017" s="24"/>
      <c r="I1017" s="174"/>
      <c r="J1017" s="156"/>
      <c r="K1017" s="156"/>
      <c r="L1017" s="156"/>
      <c r="M1017" s="156"/>
      <c r="N1017" s="156"/>
      <c r="O1017" s="156"/>
      <c r="P1017" s="156"/>
      <c r="Q1017" s="156"/>
      <c r="R1017" s="156"/>
      <c r="S1017" s="156"/>
      <c r="T1017" s="156"/>
      <c r="U1017" s="156"/>
      <c r="V1017" s="156"/>
      <c r="W1017" s="156"/>
      <c r="X1017" s="24"/>
      <c r="Y1017" s="156"/>
    </row>
    <row r="1018" spans="1:25" ht="12.5">
      <c r="A1018" s="156"/>
      <c r="B1018" s="156"/>
      <c r="C1018" s="156"/>
      <c r="D1018" s="24"/>
      <c r="E1018" s="24"/>
      <c r="F1018" s="24"/>
      <c r="G1018" s="24"/>
      <c r="H1018" s="24"/>
      <c r="I1018" s="174"/>
      <c r="J1018" s="156"/>
      <c r="K1018" s="156"/>
      <c r="L1018" s="156"/>
      <c r="M1018" s="156"/>
      <c r="N1018" s="156"/>
      <c r="O1018" s="156"/>
      <c r="P1018" s="156"/>
      <c r="Q1018" s="156"/>
      <c r="R1018" s="156"/>
      <c r="S1018" s="156"/>
      <c r="T1018" s="156"/>
      <c r="U1018" s="156"/>
      <c r="V1018" s="156"/>
      <c r="W1018" s="156"/>
      <c r="X1018" s="24"/>
      <c r="Y1018" s="156"/>
    </row>
    <row r="1019" spans="1:25" ht="12.5">
      <c r="A1019" s="156"/>
      <c r="B1019" s="156"/>
      <c r="C1019" s="156"/>
      <c r="D1019" s="24"/>
      <c r="E1019" s="24"/>
      <c r="F1019" s="24"/>
      <c r="G1019" s="24"/>
      <c r="H1019" s="24"/>
      <c r="I1019" s="174"/>
      <c r="J1019" s="156"/>
      <c r="K1019" s="156"/>
      <c r="L1019" s="156"/>
      <c r="M1019" s="156"/>
      <c r="N1019" s="156"/>
      <c r="O1019" s="156"/>
      <c r="P1019" s="156"/>
      <c r="Q1019" s="156"/>
      <c r="R1019" s="156"/>
      <c r="S1019" s="156"/>
      <c r="T1019" s="156"/>
      <c r="U1019" s="156"/>
      <c r="V1019" s="156"/>
      <c r="W1019" s="156"/>
      <c r="X1019" s="24"/>
      <c r="Y1019" s="156"/>
    </row>
    <row r="1020" spans="1:25" ht="12.5">
      <c r="A1020" s="156"/>
      <c r="B1020" s="156"/>
      <c r="C1020" s="156"/>
      <c r="D1020" s="24"/>
      <c r="E1020" s="24"/>
      <c r="F1020" s="24"/>
      <c r="G1020" s="24"/>
      <c r="H1020" s="24"/>
      <c r="I1020" s="174"/>
      <c r="J1020" s="156"/>
      <c r="K1020" s="156"/>
      <c r="L1020" s="156"/>
      <c r="M1020" s="156"/>
      <c r="N1020" s="156"/>
      <c r="O1020" s="156"/>
      <c r="P1020" s="156"/>
      <c r="Q1020" s="156"/>
      <c r="R1020" s="156"/>
      <c r="S1020" s="156"/>
      <c r="T1020" s="156"/>
      <c r="U1020" s="156"/>
      <c r="V1020" s="156"/>
      <c r="W1020" s="156"/>
      <c r="X1020" s="24"/>
      <c r="Y1020" s="156"/>
    </row>
    <row r="1021" spans="1:25" ht="12.5">
      <c r="A1021" s="156"/>
      <c r="B1021" s="156"/>
      <c r="C1021" s="156"/>
      <c r="D1021" s="24"/>
      <c r="E1021" s="24"/>
      <c r="F1021" s="24"/>
      <c r="G1021" s="24"/>
      <c r="H1021" s="24"/>
      <c r="I1021" s="174"/>
      <c r="J1021" s="156"/>
      <c r="K1021" s="156"/>
      <c r="L1021" s="156"/>
      <c r="M1021" s="156"/>
      <c r="N1021" s="156"/>
      <c r="O1021" s="156"/>
      <c r="P1021" s="156"/>
      <c r="Q1021" s="156"/>
      <c r="R1021" s="156"/>
      <c r="S1021" s="156"/>
      <c r="T1021" s="156"/>
      <c r="U1021" s="156"/>
      <c r="V1021" s="156"/>
      <c r="W1021" s="156"/>
      <c r="X1021" s="24"/>
      <c r="Y1021" s="156"/>
    </row>
    <row r="1022" spans="1:25" ht="12.5">
      <c r="A1022" s="156"/>
      <c r="B1022" s="156"/>
      <c r="C1022" s="156"/>
      <c r="D1022" s="24"/>
      <c r="E1022" s="24"/>
      <c r="F1022" s="24"/>
      <c r="G1022" s="24"/>
      <c r="H1022" s="24"/>
      <c r="I1022" s="174"/>
      <c r="J1022" s="156"/>
      <c r="K1022" s="156"/>
      <c r="L1022" s="156"/>
      <c r="M1022" s="156"/>
      <c r="N1022" s="156"/>
      <c r="O1022" s="156"/>
      <c r="P1022" s="156"/>
      <c r="Q1022" s="156"/>
      <c r="R1022" s="156"/>
      <c r="S1022" s="156"/>
      <c r="T1022" s="156"/>
      <c r="U1022" s="156"/>
      <c r="V1022" s="156"/>
      <c r="W1022" s="156"/>
      <c r="X1022" s="24"/>
      <c r="Y1022" s="156"/>
    </row>
    <row r="1023" spans="1:25" ht="12.5">
      <c r="A1023" s="156"/>
      <c r="B1023" s="156"/>
      <c r="C1023" s="156"/>
      <c r="D1023" s="24"/>
      <c r="E1023" s="24"/>
      <c r="F1023" s="24"/>
      <c r="G1023" s="24"/>
      <c r="H1023" s="24"/>
      <c r="I1023" s="174"/>
      <c r="J1023" s="156"/>
      <c r="K1023" s="156"/>
      <c r="L1023" s="156"/>
      <c r="M1023" s="156"/>
      <c r="N1023" s="156"/>
      <c r="O1023" s="156"/>
      <c r="P1023" s="156"/>
      <c r="Q1023" s="156"/>
      <c r="R1023" s="156"/>
      <c r="S1023" s="156"/>
      <c r="T1023" s="156"/>
      <c r="U1023" s="156"/>
      <c r="V1023" s="156"/>
      <c r="W1023" s="156"/>
      <c r="X1023" s="24"/>
      <c r="Y1023" s="156"/>
    </row>
    <row r="1024" spans="1:25" ht="12.5">
      <c r="A1024" s="156"/>
      <c r="B1024" s="156"/>
      <c r="C1024" s="156"/>
      <c r="D1024" s="24"/>
      <c r="E1024" s="24"/>
      <c r="F1024" s="24"/>
      <c r="G1024" s="24"/>
      <c r="H1024" s="24"/>
      <c r="I1024" s="174"/>
      <c r="J1024" s="156"/>
      <c r="K1024" s="156"/>
      <c r="L1024" s="156"/>
      <c r="M1024" s="156"/>
      <c r="N1024" s="156"/>
      <c r="O1024" s="156"/>
      <c r="P1024" s="156"/>
      <c r="Q1024" s="156"/>
      <c r="R1024" s="156"/>
      <c r="S1024" s="156"/>
      <c r="T1024" s="156"/>
      <c r="U1024" s="156"/>
      <c r="V1024" s="156"/>
      <c r="W1024" s="156"/>
      <c r="X1024" s="24"/>
      <c r="Y1024" s="156"/>
    </row>
    <row r="1025" spans="1:25" ht="12.5">
      <c r="A1025" s="156"/>
      <c r="B1025" s="156"/>
      <c r="C1025" s="156"/>
      <c r="D1025" s="24"/>
      <c r="E1025" s="24"/>
      <c r="F1025" s="24"/>
      <c r="G1025" s="24"/>
      <c r="H1025" s="24"/>
      <c r="I1025" s="174"/>
      <c r="J1025" s="156"/>
      <c r="K1025" s="156"/>
      <c r="L1025" s="156"/>
      <c r="M1025" s="156"/>
      <c r="N1025" s="156"/>
      <c r="O1025" s="156"/>
      <c r="P1025" s="156"/>
      <c r="Q1025" s="156"/>
      <c r="R1025" s="156"/>
      <c r="S1025" s="156"/>
      <c r="T1025" s="156"/>
      <c r="U1025" s="156"/>
      <c r="V1025" s="156"/>
      <c r="W1025" s="156"/>
      <c r="X1025" s="24"/>
      <c r="Y1025" s="156"/>
    </row>
    <row r="1026" spans="1:25" ht="12.5">
      <c r="A1026" s="156"/>
      <c r="B1026" s="156"/>
      <c r="C1026" s="156"/>
      <c r="D1026" s="24"/>
      <c r="E1026" s="24"/>
      <c r="F1026" s="24"/>
      <c r="G1026" s="24"/>
      <c r="H1026" s="24"/>
      <c r="I1026" s="174"/>
      <c r="J1026" s="156"/>
      <c r="K1026" s="156"/>
      <c r="L1026" s="156"/>
      <c r="M1026" s="156"/>
      <c r="N1026" s="156"/>
      <c r="O1026" s="156"/>
      <c r="P1026" s="156"/>
      <c r="Q1026" s="156"/>
      <c r="R1026" s="156"/>
      <c r="S1026" s="156"/>
      <c r="T1026" s="156"/>
      <c r="U1026" s="156"/>
      <c r="V1026" s="156"/>
      <c r="W1026" s="156"/>
      <c r="X1026" s="24"/>
      <c r="Y1026" s="156"/>
    </row>
    <row r="1027" spans="1:25" ht="12.5">
      <c r="A1027" s="156"/>
      <c r="B1027" s="156"/>
      <c r="C1027" s="156"/>
      <c r="D1027" s="24"/>
      <c r="E1027" s="24"/>
      <c r="F1027" s="24"/>
      <c r="G1027" s="24"/>
      <c r="H1027" s="24"/>
      <c r="I1027" s="174"/>
      <c r="J1027" s="156"/>
      <c r="K1027" s="156"/>
      <c r="L1027" s="156"/>
      <c r="M1027" s="156"/>
      <c r="N1027" s="156"/>
      <c r="O1027" s="156"/>
      <c r="P1027" s="156"/>
      <c r="Q1027" s="156"/>
      <c r="R1027" s="156"/>
      <c r="S1027" s="156"/>
      <c r="T1027" s="156"/>
      <c r="U1027" s="156"/>
      <c r="V1027" s="156"/>
      <c r="W1027" s="156"/>
      <c r="X1027" s="24"/>
      <c r="Y1027" s="156"/>
    </row>
    <row r="1028" spans="1:25" ht="12.5">
      <c r="A1028" s="156"/>
      <c r="B1028" s="156"/>
      <c r="C1028" s="156"/>
      <c r="D1028" s="24"/>
      <c r="E1028" s="24"/>
      <c r="F1028" s="24"/>
      <c r="G1028" s="24"/>
      <c r="H1028" s="24"/>
      <c r="I1028" s="174"/>
      <c r="J1028" s="156"/>
      <c r="K1028" s="156"/>
      <c r="L1028" s="156"/>
      <c r="M1028" s="156"/>
      <c r="N1028" s="156"/>
      <c r="O1028" s="156"/>
      <c r="P1028" s="156"/>
      <c r="Q1028" s="156"/>
      <c r="R1028" s="156"/>
      <c r="S1028" s="156"/>
      <c r="T1028" s="156"/>
      <c r="U1028" s="156"/>
      <c r="V1028" s="156"/>
      <c r="W1028" s="156"/>
      <c r="X1028" s="24"/>
      <c r="Y1028" s="156"/>
    </row>
    <row r="1029" spans="1:25" ht="12.5">
      <c r="A1029" s="156"/>
      <c r="B1029" s="156"/>
      <c r="C1029" s="156"/>
      <c r="D1029" s="24"/>
      <c r="E1029" s="24"/>
      <c r="F1029" s="24"/>
      <c r="G1029" s="24"/>
      <c r="H1029" s="24"/>
      <c r="I1029" s="174"/>
      <c r="J1029" s="156"/>
      <c r="K1029" s="156"/>
      <c r="L1029" s="156"/>
      <c r="M1029" s="156"/>
      <c r="N1029" s="156"/>
      <c r="O1029" s="156"/>
      <c r="P1029" s="156"/>
      <c r="Q1029" s="156"/>
      <c r="R1029" s="156"/>
      <c r="S1029" s="156"/>
      <c r="T1029" s="156"/>
      <c r="U1029" s="156"/>
      <c r="V1029" s="156"/>
      <c r="W1029" s="156"/>
      <c r="X1029" s="24"/>
      <c r="Y1029" s="156"/>
    </row>
    <row r="1030" spans="1:25" ht="12.5">
      <c r="A1030" s="156"/>
      <c r="B1030" s="156"/>
      <c r="C1030" s="156"/>
      <c r="D1030" s="24"/>
      <c r="E1030" s="24"/>
      <c r="F1030" s="24"/>
      <c r="G1030" s="24"/>
      <c r="H1030" s="24"/>
      <c r="I1030" s="174"/>
      <c r="J1030" s="156"/>
      <c r="K1030" s="156"/>
      <c r="L1030" s="156"/>
      <c r="M1030" s="156"/>
      <c r="N1030" s="156"/>
      <c r="O1030" s="156"/>
      <c r="P1030" s="156"/>
      <c r="Q1030" s="156"/>
      <c r="R1030" s="156"/>
      <c r="S1030" s="156"/>
      <c r="T1030" s="156"/>
      <c r="U1030" s="156"/>
      <c r="V1030" s="156"/>
      <c r="W1030" s="156"/>
      <c r="X1030" s="24"/>
      <c r="Y1030" s="156"/>
    </row>
    <row r="1031" spans="1:25" ht="12.5">
      <c r="A1031" s="156"/>
      <c r="B1031" s="156"/>
      <c r="C1031" s="156"/>
      <c r="D1031" s="24"/>
      <c r="E1031" s="24"/>
      <c r="F1031" s="24"/>
      <c r="G1031" s="24"/>
      <c r="H1031" s="24"/>
      <c r="I1031" s="174"/>
      <c r="J1031" s="156"/>
      <c r="K1031" s="156"/>
      <c r="L1031" s="156"/>
      <c r="M1031" s="156"/>
      <c r="N1031" s="156"/>
      <c r="O1031" s="156"/>
      <c r="P1031" s="156"/>
      <c r="Q1031" s="156"/>
      <c r="R1031" s="156"/>
      <c r="S1031" s="156"/>
      <c r="T1031" s="156"/>
      <c r="U1031" s="156"/>
      <c r="V1031" s="156"/>
      <c r="W1031" s="156"/>
      <c r="X1031" s="24"/>
      <c r="Y1031" s="156"/>
    </row>
    <row r="1032" spans="1:25" ht="12.5">
      <c r="A1032" s="156"/>
      <c r="B1032" s="156"/>
      <c r="C1032" s="156"/>
      <c r="D1032" s="24"/>
      <c r="E1032" s="24"/>
      <c r="F1032" s="24"/>
      <c r="G1032" s="24"/>
      <c r="H1032" s="24"/>
      <c r="I1032" s="174"/>
      <c r="J1032" s="156"/>
      <c r="K1032" s="156"/>
      <c r="L1032" s="156"/>
      <c r="M1032" s="156"/>
      <c r="N1032" s="156"/>
      <c r="O1032" s="156"/>
      <c r="P1032" s="156"/>
      <c r="Q1032" s="156"/>
      <c r="R1032" s="156"/>
      <c r="S1032" s="156"/>
      <c r="T1032" s="156"/>
      <c r="U1032" s="156"/>
      <c r="V1032" s="156"/>
      <c r="W1032" s="156"/>
      <c r="X1032" s="24"/>
      <c r="Y1032" s="156"/>
    </row>
    <row r="1033" spans="1:25" ht="12.5">
      <c r="A1033" s="156"/>
      <c r="B1033" s="156"/>
      <c r="C1033" s="156"/>
      <c r="D1033" s="24"/>
      <c r="E1033" s="24"/>
      <c r="F1033" s="24"/>
      <c r="G1033" s="24"/>
      <c r="H1033" s="24"/>
      <c r="I1033" s="174"/>
      <c r="J1033" s="156"/>
      <c r="K1033" s="156"/>
      <c r="L1033" s="156"/>
      <c r="M1033" s="156"/>
      <c r="N1033" s="156"/>
      <c r="O1033" s="156"/>
      <c r="P1033" s="156"/>
      <c r="Q1033" s="156"/>
      <c r="R1033" s="156"/>
      <c r="S1033" s="156"/>
      <c r="T1033" s="156"/>
      <c r="U1033" s="156"/>
      <c r="V1033" s="156"/>
      <c r="W1033" s="156"/>
      <c r="X1033" s="24"/>
      <c r="Y1033" s="156"/>
    </row>
    <row r="1034" spans="1:25" ht="12.5">
      <c r="A1034" s="156"/>
      <c r="B1034" s="156"/>
      <c r="C1034" s="156"/>
      <c r="D1034" s="24"/>
      <c r="E1034" s="24"/>
      <c r="F1034" s="24"/>
      <c r="G1034" s="24"/>
      <c r="H1034" s="24"/>
      <c r="I1034" s="174"/>
      <c r="J1034" s="156"/>
      <c r="K1034" s="156"/>
      <c r="L1034" s="156"/>
      <c r="M1034" s="156"/>
      <c r="N1034" s="156"/>
      <c r="O1034" s="156"/>
      <c r="P1034" s="156"/>
      <c r="Q1034" s="156"/>
      <c r="R1034" s="156"/>
      <c r="S1034" s="156"/>
      <c r="T1034" s="156"/>
      <c r="U1034" s="156"/>
      <c r="V1034" s="156"/>
      <c r="W1034" s="156"/>
      <c r="X1034" s="24"/>
      <c r="Y1034" s="156"/>
    </row>
    <row r="1035" spans="1:25" ht="12.5">
      <c r="A1035" s="156"/>
      <c r="B1035" s="156"/>
      <c r="C1035" s="156"/>
      <c r="D1035" s="24"/>
      <c r="E1035" s="24"/>
      <c r="F1035" s="24"/>
      <c r="G1035" s="24"/>
      <c r="H1035" s="24"/>
      <c r="I1035" s="174"/>
      <c r="J1035" s="156"/>
      <c r="K1035" s="156"/>
      <c r="L1035" s="156"/>
      <c r="M1035" s="156"/>
      <c r="N1035" s="156"/>
      <c r="O1035" s="156"/>
      <c r="P1035" s="156"/>
      <c r="Q1035" s="156"/>
      <c r="R1035" s="156"/>
      <c r="S1035" s="156"/>
      <c r="T1035" s="156"/>
      <c r="U1035" s="156"/>
      <c r="V1035" s="156"/>
      <c r="W1035" s="156"/>
      <c r="X1035" s="24"/>
      <c r="Y1035" s="156"/>
    </row>
    <row r="1036" spans="1:25" ht="12.5">
      <c r="A1036" s="156"/>
      <c r="B1036" s="156"/>
      <c r="C1036" s="156"/>
      <c r="D1036" s="24"/>
      <c r="E1036" s="24"/>
      <c r="F1036" s="24"/>
      <c r="G1036" s="24"/>
      <c r="H1036" s="24"/>
      <c r="I1036" s="174"/>
      <c r="J1036" s="156"/>
      <c r="K1036" s="156"/>
      <c r="L1036" s="156"/>
      <c r="M1036" s="156"/>
      <c r="N1036" s="156"/>
      <c r="O1036" s="156"/>
      <c r="P1036" s="156"/>
      <c r="Q1036" s="156"/>
      <c r="R1036" s="156"/>
      <c r="S1036" s="156"/>
      <c r="T1036" s="156"/>
      <c r="U1036" s="156"/>
      <c r="V1036" s="156"/>
      <c r="W1036" s="156"/>
      <c r="X1036" s="24"/>
      <c r="Y1036" s="156"/>
    </row>
    <row r="1037" spans="1:25" ht="12.5">
      <c r="A1037" s="156"/>
      <c r="B1037" s="156"/>
      <c r="C1037" s="156"/>
      <c r="D1037" s="24"/>
      <c r="E1037" s="24"/>
      <c r="F1037" s="24"/>
      <c r="G1037" s="24"/>
      <c r="H1037" s="24"/>
      <c r="I1037" s="174"/>
      <c r="J1037" s="156"/>
      <c r="K1037" s="156"/>
      <c r="L1037" s="156"/>
      <c r="M1037" s="156"/>
      <c r="N1037" s="156"/>
      <c r="O1037" s="156"/>
      <c r="P1037" s="156"/>
      <c r="Q1037" s="156"/>
      <c r="R1037" s="156"/>
      <c r="S1037" s="156"/>
      <c r="T1037" s="156"/>
      <c r="U1037" s="156"/>
      <c r="V1037" s="156"/>
      <c r="W1037" s="156"/>
      <c r="X1037" s="24"/>
      <c r="Y1037" s="156"/>
    </row>
    <row r="1038" spans="1:25" ht="12.5">
      <c r="A1038" s="156"/>
      <c r="B1038" s="156"/>
      <c r="C1038" s="156"/>
      <c r="D1038" s="24"/>
      <c r="E1038" s="24"/>
      <c r="F1038" s="24"/>
      <c r="G1038" s="24"/>
      <c r="H1038" s="24"/>
      <c r="I1038" s="174"/>
      <c r="J1038" s="156"/>
      <c r="K1038" s="156"/>
      <c r="L1038" s="156"/>
      <c r="M1038" s="156"/>
      <c r="N1038" s="156"/>
      <c r="O1038" s="156"/>
      <c r="P1038" s="156"/>
      <c r="Q1038" s="156"/>
      <c r="R1038" s="156"/>
      <c r="S1038" s="156"/>
      <c r="T1038" s="156"/>
      <c r="U1038" s="156"/>
      <c r="V1038" s="156"/>
      <c r="W1038" s="156"/>
      <c r="X1038" s="24"/>
      <c r="Y1038" s="156"/>
    </row>
    <row r="1039" spans="1:25" ht="12.5">
      <c r="A1039" s="156"/>
      <c r="B1039" s="156"/>
      <c r="C1039" s="156"/>
      <c r="D1039" s="24"/>
      <c r="E1039" s="24"/>
      <c r="F1039" s="24"/>
      <c r="G1039" s="24"/>
      <c r="H1039" s="24"/>
      <c r="I1039" s="174"/>
      <c r="J1039" s="156"/>
      <c r="K1039" s="156"/>
      <c r="L1039" s="156"/>
      <c r="M1039" s="156"/>
      <c r="N1039" s="156"/>
      <c r="O1039" s="156"/>
      <c r="P1039" s="156"/>
      <c r="Q1039" s="156"/>
      <c r="R1039" s="156"/>
      <c r="S1039" s="156"/>
      <c r="T1039" s="156"/>
      <c r="U1039" s="156"/>
      <c r="V1039" s="156"/>
      <c r="W1039" s="156"/>
      <c r="X1039" s="24"/>
      <c r="Y1039" s="156"/>
    </row>
    <row r="1040" spans="1:25" ht="12.5">
      <c r="A1040" s="156"/>
      <c r="B1040" s="156"/>
      <c r="C1040" s="156"/>
      <c r="D1040" s="24"/>
      <c r="E1040" s="24"/>
      <c r="F1040" s="24"/>
      <c r="G1040" s="24"/>
      <c r="H1040" s="24"/>
      <c r="I1040" s="174"/>
      <c r="J1040" s="156"/>
      <c r="K1040" s="156"/>
      <c r="L1040" s="156"/>
      <c r="M1040" s="156"/>
      <c r="N1040" s="156"/>
      <c r="O1040" s="156"/>
      <c r="P1040" s="156"/>
      <c r="Q1040" s="156"/>
      <c r="R1040" s="156"/>
      <c r="S1040" s="156"/>
      <c r="T1040" s="156"/>
      <c r="U1040" s="156"/>
      <c r="V1040" s="156"/>
      <c r="W1040" s="156"/>
      <c r="X1040" s="24"/>
      <c r="Y1040" s="156"/>
    </row>
    <row r="1041" spans="1:25" ht="12.5">
      <c r="A1041" s="156"/>
      <c r="B1041" s="156"/>
      <c r="C1041" s="156"/>
      <c r="D1041" s="24"/>
      <c r="E1041" s="24"/>
      <c r="F1041" s="24"/>
      <c r="G1041" s="24"/>
      <c r="H1041" s="24"/>
      <c r="I1041" s="174"/>
      <c r="J1041" s="156"/>
      <c r="K1041" s="156"/>
      <c r="L1041" s="156"/>
      <c r="M1041" s="156"/>
      <c r="N1041" s="156"/>
      <c r="O1041" s="156"/>
      <c r="P1041" s="156"/>
      <c r="Q1041" s="156"/>
      <c r="R1041" s="156"/>
      <c r="S1041" s="156"/>
      <c r="T1041" s="156"/>
      <c r="U1041" s="156"/>
      <c r="V1041" s="156"/>
      <c r="W1041" s="156"/>
      <c r="X1041" s="24"/>
      <c r="Y1041" s="156"/>
    </row>
    <row r="1042" spans="1:25" ht="12.5">
      <c r="A1042" s="156"/>
      <c r="B1042" s="156"/>
      <c r="C1042" s="156"/>
      <c r="D1042" s="24"/>
      <c r="E1042" s="24"/>
      <c r="F1042" s="24"/>
      <c r="G1042" s="24"/>
      <c r="H1042" s="24"/>
      <c r="I1042" s="174"/>
      <c r="J1042" s="156"/>
      <c r="K1042" s="156"/>
      <c r="L1042" s="156"/>
      <c r="M1042" s="156"/>
      <c r="N1042" s="156"/>
      <c r="O1042" s="156"/>
      <c r="P1042" s="156"/>
      <c r="Q1042" s="156"/>
      <c r="R1042" s="156"/>
      <c r="S1042" s="156"/>
      <c r="T1042" s="156"/>
      <c r="U1042" s="156"/>
      <c r="V1042" s="156"/>
      <c r="W1042" s="156"/>
      <c r="X1042" s="24"/>
      <c r="Y1042" s="156"/>
    </row>
    <row r="1043" spans="1:25" ht="12.5">
      <c r="A1043" s="156"/>
      <c r="B1043" s="156"/>
      <c r="C1043" s="156"/>
      <c r="D1043" s="24"/>
      <c r="E1043" s="24"/>
      <c r="F1043" s="24"/>
      <c r="G1043" s="24"/>
      <c r="H1043" s="24"/>
      <c r="I1043" s="174"/>
      <c r="J1043" s="156"/>
      <c r="K1043" s="156"/>
      <c r="L1043" s="156"/>
      <c r="M1043" s="156"/>
      <c r="N1043" s="156"/>
      <c r="O1043" s="156"/>
      <c r="P1043" s="156"/>
      <c r="Q1043" s="156"/>
      <c r="R1043" s="156"/>
      <c r="S1043" s="156"/>
      <c r="T1043" s="156"/>
      <c r="U1043" s="156"/>
      <c r="V1043" s="156"/>
      <c r="W1043" s="156"/>
      <c r="X1043" s="24"/>
      <c r="Y1043" s="156"/>
    </row>
    <row r="1044" spans="1:25" ht="12.5">
      <c r="A1044" s="156"/>
      <c r="B1044" s="156"/>
      <c r="C1044" s="156"/>
      <c r="D1044" s="24"/>
      <c r="E1044" s="24"/>
      <c r="F1044" s="24"/>
      <c r="G1044" s="24"/>
      <c r="H1044" s="24"/>
      <c r="I1044" s="174"/>
      <c r="J1044" s="156"/>
      <c r="K1044" s="156"/>
      <c r="L1044" s="156"/>
      <c r="M1044" s="156"/>
      <c r="N1044" s="156"/>
      <c r="O1044" s="156"/>
      <c r="P1044" s="156"/>
      <c r="Q1044" s="156"/>
      <c r="R1044" s="156"/>
      <c r="S1044" s="156"/>
      <c r="T1044" s="156"/>
      <c r="U1044" s="156"/>
      <c r="V1044" s="156"/>
      <c r="W1044" s="156"/>
      <c r="X1044" s="24"/>
      <c r="Y1044" s="156"/>
    </row>
    <row r="1045" spans="1:25" ht="12.5">
      <c r="A1045" s="156"/>
      <c r="B1045" s="156"/>
      <c r="C1045" s="156"/>
      <c r="D1045" s="24"/>
      <c r="E1045" s="24"/>
      <c r="F1045" s="24"/>
      <c r="G1045" s="24"/>
      <c r="H1045" s="24"/>
      <c r="I1045" s="174"/>
      <c r="J1045" s="156"/>
      <c r="K1045" s="156"/>
      <c r="L1045" s="156"/>
      <c r="M1045" s="156"/>
      <c r="N1045" s="156"/>
      <c r="O1045" s="156"/>
      <c r="P1045" s="156"/>
      <c r="Q1045" s="156"/>
      <c r="R1045" s="156"/>
      <c r="S1045" s="156"/>
      <c r="T1045" s="156"/>
      <c r="U1045" s="156"/>
      <c r="V1045" s="156"/>
      <c r="W1045" s="156"/>
      <c r="X1045" s="24"/>
      <c r="Y1045" s="156"/>
    </row>
    <row r="1046" spans="1:25" ht="12.5">
      <c r="A1046" s="156"/>
      <c r="B1046" s="156"/>
      <c r="C1046" s="156"/>
      <c r="D1046" s="24"/>
      <c r="E1046" s="24"/>
      <c r="F1046" s="24"/>
      <c r="G1046" s="24"/>
      <c r="H1046" s="24"/>
      <c r="I1046" s="174"/>
      <c r="J1046" s="156"/>
      <c r="K1046" s="156"/>
      <c r="L1046" s="156"/>
      <c r="M1046" s="156"/>
      <c r="N1046" s="156"/>
      <c r="O1046" s="156"/>
      <c r="P1046" s="156"/>
      <c r="Q1046" s="156"/>
      <c r="R1046" s="156"/>
      <c r="S1046" s="156"/>
      <c r="T1046" s="156"/>
      <c r="U1046" s="156"/>
      <c r="V1046" s="156"/>
      <c r="W1046" s="156"/>
      <c r="X1046" s="24"/>
      <c r="Y1046" s="156"/>
    </row>
    <row r="1047" spans="1:25" ht="12.5">
      <c r="A1047" s="156"/>
      <c r="B1047" s="156"/>
      <c r="C1047" s="156"/>
      <c r="D1047" s="24"/>
      <c r="E1047" s="24"/>
      <c r="F1047" s="24"/>
      <c r="G1047" s="24"/>
      <c r="H1047" s="24"/>
      <c r="I1047" s="174"/>
      <c r="J1047" s="156"/>
      <c r="K1047" s="156"/>
      <c r="L1047" s="156"/>
      <c r="M1047" s="156"/>
      <c r="N1047" s="156"/>
      <c r="O1047" s="156"/>
      <c r="P1047" s="156"/>
      <c r="Q1047" s="156"/>
      <c r="R1047" s="156"/>
      <c r="S1047" s="156"/>
      <c r="T1047" s="156"/>
      <c r="U1047" s="156"/>
      <c r="V1047" s="156"/>
      <c r="W1047" s="156"/>
      <c r="X1047" s="24"/>
      <c r="Y1047" s="156"/>
    </row>
    <row r="1048" spans="1:25" ht="12.5">
      <c r="A1048" s="156"/>
      <c r="B1048" s="156"/>
      <c r="C1048" s="156"/>
      <c r="D1048" s="24"/>
      <c r="E1048" s="24"/>
      <c r="F1048" s="24"/>
      <c r="G1048" s="24"/>
      <c r="H1048" s="24"/>
      <c r="I1048" s="174"/>
      <c r="J1048" s="156"/>
      <c r="K1048" s="156"/>
      <c r="L1048" s="156"/>
      <c r="M1048" s="156"/>
      <c r="N1048" s="156"/>
      <c r="O1048" s="156"/>
      <c r="P1048" s="156"/>
      <c r="Q1048" s="156"/>
      <c r="R1048" s="156"/>
      <c r="S1048" s="156"/>
      <c r="T1048" s="156"/>
      <c r="U1048" s="156"/>
      <c r="V1048" s="156"/>
      <c r="W1048" s="156"/>
      <c r="X1048" s="24"/>
      <c r="Y1048" s="156"/>
    </row>
    <row r="1049" spans="1:25" ht="12.5">
      <c r="A1049" s="156"/>
      <c r="B1049" s="156"/>
      <c r="C1049" s="156"/>
      <c r="D1049" s="24"/>
      <c r="E1049" s="24"/>
      <c r="F1049" s="24"/>
      <c r="G1049" s="24"/>
      <c r="H1049" s="24"/>
      <c r="I1049" s="174"/>
      <c r="J1049" s="156"/>
      <c r="K1049" s="156"/>
      <c r="L1049" s="156"/>
      <c r="M1049" s="156"/>
      <c r="N1049" s="156"/>
      <c r="O1049" s="156"/>
      <c r="P1049" s="156"/>
      <c r="Q1049" s="156"/>
      <c r="R1049" s="156"/>
      <c r="S1049" s="156"/>
      <c r="T1049" s="156"/>
      <c r="U1049" s="156"/>
      <c r="V1049" s="156"/>
      <c r="W1049" s="156"/>
      <c r="X1049" s="24"/>
      <c r="Y1049" s="156"/>
    </row>
    <row r="1050" spans="1:25" ht="12.5">
      <c r="A1050" s="156"/>
      <c r="B1050" s="156"/>
      <c r="C1050" s="156"/>
      <c r="D1050" s="24"/>
      <c r="E1050" s="24"/>
      <c r="F1050" s="24"/>
      <c r="G1050" s="24"/>
      <c r="H1050" s="24"/>
      <c r="I1050" s="174"/>
      <c r="J1050" s="156"/>
      <c r="K1050" s="156"/>
      <c r="L1050" s="156"/>
      <c r="M1050" s="156"/>
      <c r="N1050" s="156"/>
      <c r="O1050" s="156"/>
      <c r="P1050" s="156"/>
      <c r="Q1050" s="156"/>
      <c r="R1050" s="156"/>
      <c r="S1050" s="156"/>
      <c r="T1050" s="156"/>
      <c r="U1050" s="156"/>
      <c r="V1050" s="156"/>
      <c r="W1050" s="156"/>
      <c r="X1050" s="24"/>
      <c r="Y1050" s="156"/>
    </row>
    <row r="1051" spans="1:25" ht="12.5">
      <c r="A1051" s="156"/>
      <c r="B1051" s="156"/>
      <c r="C1051" s="156"/>
      <c r="D1051" s="24"/>
      <c r="E1051" s="24"/>
      <c r="F1051" s="24"/>
      <c r="G1051" s="24"/>
      <c r="H1051" s="24"/>
      <c r="I1051" s="174"/>
      <c r="J1051" s="156"/>
      <c r="K1051" s="156"/>
      <c r="L1051" s="156"/>
      <c r="M1051" s="156"/>
      <c r="N1051" s="156"/>
      <c r="O1051" s="156"/>
      <c r="P1051" s="156"/>
      <c r="Q1051" s="156"/>
      <c r="R1051" s="156"/>
      <c r="S1051" s="156"/>
      <c r="T1051" s="156"/>
      <c r="U1051" s="156"/>
      <c r="V1051" s="156"/>
      <c r="W1051" s="156"/>
      <c r="X1051" s="24"/>
      <c r="Y1051" s="156"/>
    </row>
    <row r="1052" spans="1:25" ht="12.5">
      <c r="A1052" s="156"/>
      <c r="B1052" s="156"/>
      <c r="C1052" s="156"/>
      <c r="D1052" s="24"/>
      <c r="E1052" s="24"/>
      <c r="F1052" s="24"/>
      <c r="G1052" s="24"/>
      <c r="H1052" s="24"/>
      <c r="I1052" s="174"/>
      <c r="J1052" s="156"/>
      <c r="K1052" s="156"/>
      <c r="L1052" s="156"/>
      <c r="M1052" s="156"/>
      <c r="N1052" s="156"/>
      <c r="O1052" s="156"/>
      <c r="P1052" s="156"/>
      <c r="Q1052" s="156"/>
      <c r="R1052" s="156"/>
      <c r="S1052" s="156"/>
      <c r="T1052" s="156"/>
      <c r="U1052" s="156"/>
      <c r="V1052" s="156"/>
      <c r="W1052" s="156"/>
      <c r="X1052" s="24"/>
      <c r="Y1052" s="156"/>
    </row>
    <row r="1053" spans="1:25" ht="12.5">
      <c r="A1053" s="156"/>
      <c r="B1053" s="156"/>
      <c r="C1053" s="156"/>
      <c r="D1053" s="24"/>
      <c r="E1053" s="24"/>
      <c r="F1053" s="24"/>
      <c r="G1053" s="24"/>
      <c r="H1053" s="24"/>
      <c r="I1053" s="174"/>
      <c r="J1053" s="156"/>
      <c r="K1053" s="156"/>
      <c r="L1053" s="156"/>
      <c r="M1053" s="156"/>
      <c r="N1053" s="156"/>
      <c r="O1053" s="156"/>
      <c r="P1053" s="156"/>
      <c r="Q1053" s="156"/>
      <c r="R1053" s="156"/>
      <c r="S1053" s="156"/>
      <c r="T1053" s="156"/>
      <c r="U1053" s="156"/>
      <c r="V1053" s="156"/>
      <c r="W1053" s="156"/>
      <c r="X1053" s="24"/>
      <c r="Y1053" s="156"/>
    </row>
    <row r="1054" spans="1:25" ht="12.5">
      <c r="A1054" s="156"/>
      <c r="B1054" s="156"/>
      <c r="C1054" s="156"/>
      <c r="D1054" s="24"/>
      <c r="E1054" s="24"/>
      <c r="F1054" s="24"/>
      <c r="G1054" s="24"/>
      <c r="H1054" s="24"/>
      <c r="I1054" s="174"/>
      <c r="J1054" s="156"/>
      <c r="K1054" s="156"/>
      <c r="L1054" s="156"/>
      <c r="M1054" s="156"/>
      <c r="N1054" s="156"/>
      <c r="O1054" s="156"/>
      <c r="P1054" s="156"/>
      <c r="Q1054" s="156"/>
      <c r="R1054" s="156"/>
      <c r="S1054" s="156"/>
      <c r="T1054" s="156"/>
      <c r="U1054" s="156"/>
      <c r="V1054" s="156"/>
      <c r="W1054" s="156"/>
      <c r="X1054" s="24"/>
      <c r="Y1054" s="156"/>
    </row>
    <row r="1055" spans="1:25" ht="12.5">
      <c r="A1055" s="156"/>
      <c r="B1055" s="156"/>
      <c r="C1055" s="156"/>
      <c r="D1055" s="24"/>
      <c r="E1055" s="24"/>
      <c r="F1055" s="24"/>
      <c r="G1055" s="24"/>
      <c r="H1055" s="24"/>
      <c r="I1055" s="174"/>
      <c r="J1055" s="156"/>
      <c r="K1055" s="156"/>
      <c r="L1055" s="156"/>
      <c r="M1055" s="156"/>
      <c r="N1055" s="156"/>
      <c r="O1055" s="156"/>
      <c r="P1055" s="156"/>
      <c r="Q1055" s="156"/>
      <c r="R1055" s="156"/>
      <c r="S1055" s="156"/>
      <c r="T1055" s="156"/>
      <c r="U1055" s="156"/>
      <c r="V1055" s="156"/>
      <c r="W1055" s="156"/>
      <c r="X1055" s="24"/>
      <c r="Y1055" s="156"/>
    </row>
    <row r="1056" spans="1:25" ht="12.5">
      <c r="A1056" s="156"/>
      <c r="B1056" s="156"/>
      <c r="C1056" s="156"/>
      <c r="D1056" s="24"/>
      <c r="E1056" s="24"/>
      <c r="F1056" s="24"/>
      <c r="G1056" s="24"/>
      <c r="H1056" s="24"/>
      <c r="I1056" s="174"/>
      <c r="J1056" s="156"/>
      <c r="K1056" s="156"/>
      <c r="L1056" s="156"/>
      <c r="M1056" s="156"/>
      <c r="N1056" s="156"/>
      <c r="O1056" s="156"/>
      <c r="P1056" s="156"/>
      <c r="Q1056" s="156"/>
      <c r="R1056" s="156"/>
      <c r="S1056" s="156"/>
      <c r="T1056" s="156"/>
      <c r="U1056" s="156"/>
      <c r="V1056" s="156"/>
      <c r="W1056" s="156"/>
      <c r="X1056" s="24"/>
      <c r="Y1056" s="156"/>
    </row>
    <row r="1057" spans="1:25" ht="12.5">
      <c r="A1057" s="156"/>
      <c r="B1057" s="156"/>
      <c r="C1057" s="156"/>
      <c r="D1057" s="24"/>
      <c r="E1057" s="24"/>
      <c r="F1057" s="24"/>
      <c r="G1057" s="24"/>
      <c r="H1057" s="24"/>
      <c r="I1057" s="174"/>
      <c r="J1057" s="156"/>
      <c r="K1057" s="156"/>
      <c r="L1057" s="156"/>
      <c r="M1057" s="156"/>
      <c r="N1057" s="156"/>
      <c r="O1057" s="156"/>
      <c r="P1057" s="156"/>
      <c r="Q1057" s="156"/>
      <c r="R1057" s="156"/>
      <c r="S1057" s="156"/>
      <c r="T1057" s="156"/>
      <c r="U1057" s="156"/>
      <c r="V1057" s="156"/>
      <c r="W1057" s="156"/>
      <c r="X1057" s="24"/>
      <c r="Y1057" s="156"/>
    </row>
    <row r="1058" spans="1:25" ht="12.5">
      <c r="A1058" s="156"/>
      <c r="B1058" s="156"/>
      <c r="C1058" s="156"/>
      <c r="D1058" s="24"/>
      <c r="E1058" s="24"/>
      <c r="F1058" s="24"/>
      <c r="G1058" s="24"/>
      <c r="H1058" s="24"/>
      <c r="I1058" s="174"/>
      <c r="J1058" s="156"/>
      <c r="K1058" s="156"/>
      <c r="L1058" s="156"/>
      <c r="M1058" s="156"/>
      <c r="N1058" s="156"/>
      <c r="O1058" s="156"/>
      <c r="P1058" s="156"/>
      <c r="Q1058" s="156"/>
      <c r="R1058" s="156"/>
      <c r="S1058" s="156"/>
      <c r="T1058" s="156"/>
      <c r="U1058" s="156"/>
      <c r="V1058" s="156"/>
      <c r="W1058" s="156"/>
      <c r="X1058" s="24"/>
      <c r="Y1058" s="156"/>
    </row>
    <row r="1059" spans="1:25" ht="12.5">
      <c r="A1059" s="156"/>
      <c r="B1059" s="156"/>
      <c r="C1059" s="156"/>
      <c r="D1059" s="24"/>
      <c r="E1059" s="24"/>
      <c r="F1059" s="24"/>
      <c r="G1059" s="24"/>
      <c r="H1059" s="24"/>
      <c r="I1059" s="174"/>
      <c r="J1059" s="156"/>
      <c r="K1059" s="156"/>
      <c r="L1059" s="156"/>
      <c r="M1059" s="156"/>
      <c r="N1059" s="156"/>
      <c r="O1059" s="156"/>
      <c r="P1059" s="156"/>
      <c r="Q1059" s="156"/>
      <c r="R1059" s="156"/>
      <c r="S1059" s="156"/>
      <c r="T1059" s="156"/>
      <c r="U1059" s="156"/>
      <c r="V1059" s="156"/>
      <c r="W1059" s="156"/>
      <c r="X1059" s="24"/>
      <c r="Y1059" s="156"/>
    </row>
    <row r="1060" spans="1:25" ht="12.5">
      <c r="A1060" s="156"/>
      <c r="B1060" s="156"/>
      <c r="C1060" s="156"/>
      <c r="D1060" s="24"/>
      <c r="E1060" s="24"/>
      <c r="F1060" s="24"/>
      <c r="G1060" s="24"/>
      <c r="H1060" s="24"/>
      <c r="I1060" s="174"/>
      <c r="J1060" s="156"/>
      <c r="K1060" s="156"/>
      <c r="L1060" s="156"/>
      <c r="M1060" s="156"/>
      <c r="N1060" s="156"/>
      <c r="O1060" s="156"/>
      <c r="P1060" s="156"/>
      <c r="Q1060" s="156"/>
      <c r="R1060" s="156"/>
      <c r="S1060" s="156"/>
      <c r="T1060" s="156"/>
      <c r="U1060" s="156"/>
      <c r="V1060" s="156"/>
      <c r="W1060" s="156"/>
      <c r="X1060" s="24"/>
      <c r="Y1060" s="156"/>
    </row>
    <row r="1061" spans="1:25" ht="12.5">
      <c r="A1061" s="156"/>
      <c r="B1061" s="156"/>
      <c r="C1061" s="156"/>
      <c r="D1061" s="24"/>
      <c r="E1061" s="24"/>
      <c r="F1061" s="24"/>
      <c r="G1061" s="24"/>
      <c r="H1061" s="24"/>
      <c r="I1061" s="174"/>
      <c r="J1061" s="156"/>
      <c r="K1061" s="156"/>
      <c r="L1061" s="156"/>
      <c r="M1061" s="156"/>
      <c r="N1061" s="156"/>
      <c r="O1061" s="156"/>
      <c r="P1061" s="156"/>
      <c r="Q1061" s="156"/>
      <c r="R1061" s="156"/>
      <c r="S1061" s="156"/>
      <c r="T1061" s="156"/>
      <c r="U1061" s="156"/>
      <c r="V1061" s="156"/>
      <c r="W1061" s="156"/>
      <c r="X1061" s="24"/>
      <c r="Y1061" s="156"/>
    </row>
    <row r="1062" spans="1:25" ht="12.5">
      <c r="A1062" s="156"/>
      <c r="B1062" s="156"/>
      <c r="C1062" s="156"/>
      <c r="D1062" s="24"/>
      <c r="E1062" s="24"/>
      <c r="F1062" s="24"/>
      <c r="G1062" s="24"/>
      <c r="H1062" s="24"/>
      <c r="I1062" s="174"/>
      <c r="J1062" s="156"/>
      <c r="K1062" s="156"/>
      <c r="L1062" s="156"/>
      <c r="M1062" s="156"/>
      <c r="N1062" s="156"/>
      <c r="O1062" s="156"/>
      <c r="P1062" s="156"/>
      <c r="Q1062" s="156"/>
      <c r="R1062" s="156"/>
      <c r="S1062" s="156"/>
      <c r="T1062" s="156"/>
      <c r="U1062" s="156"/>
      <c r="V1062" s="156"/>
      <c r="W1062" s="156"/>
      <c r="X1062" s="24"/>
      <c r="Y1062" s="156"/>
    </row>
    <row r="1063" spans="1:25" ht="12.5">
      <c r="A1063" s="156"/>
      <c r="B1063" s="156"/>
      <c r="C1063" s="156"/>
      <c r="D1063" s="24"/>
      <c r="E1063" s="24"/>
      <c r="F1063" s="24"/>
      <c r="G1063" s="24"/>
      <c r="H1063" s="24"/>
      <c r="I1063" s="174"/>
      <c r="J1063" s="156"/>
      <c r="K1063" s="156"/>
      <c r="L1063" s="156"/>
      <c r="M1063" s="156"/>
      <c r="N1063" s="156"/>
      <c r="O1063" s="156"/>
      <c r="P1063" s="156"/>
      <c r="Q1063" s="156"/>
      <c r="R1063" s="156"/>
      <c r="S1063" s="156"/>
      <c r="T1063" s="156"/>
      <c r="U1063" s="156"/>
      <c r="V1063" s="156"/>
      <c r="W1063" s="156"/>
      <c r="X1063" s="24"/>
      <c r="Y1063" s="156"/>
    </row>
    <row r="1064" spans="1:25" ht="12.5">
      <c r="A1064" s="156"/>
      <c r="B1064" s="156"/>
      <c r="C1064" s="156"/>
      <c r="D1064" s="24"/>
      <c r="E1064" s="24"/>
      <c r="F1064" s="24"/>
      <c r="G1064" s="24"/>
      <c r="H1064" s="24"/>
      <c r="I1064" s="174"/>
      <c r="J1064" s="156"/>
      <c r="K1064" s="156"/>
      <c r="L1064" s="156"/>
      <c r="M1064" s="156"/>
      <c r="N1064" s="156"/>
      <c r="O1064" s="156"/>
      <c r="P1064" s="156"/>
      <c r="Q1064" s="156"/>
      <c r="R1064" s="156"/>
      <c r="S1064" s="156"/>
      <c r="T1064" s="156"/>
      <c r="U1064" s="156"/>
      <c r="V1064" s="156"/>
      <c r="W1064" s="156"/>
      <c r="X1064" s="24"/>
      <c r="Y1064" s="156"/>
    </row>
    <row r="1065" spans="1:25" ht="12.5">
      <c r="A1065" s="156"/>
      <c r="B1065" s="156"/>
      <c r="C1065" s="156"/>
      <c r="D1065" s="24"/>
      <c r="E1065" s="24"/>
      <c r="F1065" s="24"/>
      <c r="G1065" s="24"/>
      <c r="H1065" s="24"/>
      <c r="I1065" s="174"/>
      <c r="J1065" s="156"/>
      <c r="K1065" s="156"/>
      <c r="L1065" s="156"/>
      <c r="M1065" s="156"/>
      <c r="N1065" s="156"/>
      <c r="O1065" s="156"/>
      <c r="P1065" s="156"/>
      <c r="Q1065" s="156"/>
      <c r="R1065" s="156"/>
      <c r="S1065" s="156"/>
      <c r="T1065" s="156"/>
      <c r="U1065" s="156"/>
      <c r="V1065" s="156"/>
      <c r="W1065" s="156"/>
      <c r="X1065" s="24"/>
      <c r="Y1065" s="156"/>
    </row>
    <row r="1066" spans="1:25" ht="12.5">
      <c r="A1066" s="156"/>
      <c r="B1066" s="156"/>
      <c r="C1066" s="156"/>
      <c r="D1066" s="24"/>
      <c r="E1066" s="24"/>
      <c r="F1066" s="24"/>
      <c r="G1066" s="24"/>
      <c r="H1066" s="24"/>
      <c r="I1066" s="174"/>
      <c r="J1066" s="156"/>
      <c r="K1066" s="156"/>
      <c r="L1066" s="156"/>
      <c r="M1066" s="156"/>
      <c r="N1066" s="156"/>
      <c r="O1066" s="156"/>
      <c r="P1066" s="156"/>
      <c r="Q1066" s="156"/>
      <c r="R1066" s="156"/>
      <c r="S1066" s="156"/>
      <c r="T1066" s="156"/>
      <c r="U1066" s="156"/>
      <c r="V1066" s="156"/>
      <c r="W1066" s="156"/>
      <c r="X1066" s="24"/>
      <c r="Y1066" s="156"/>
    </row>
    <row r="1067" spans="1:25" ht="12.5">
      <c r="A1067" s="156"/>
      <c r="B1067" s="156"/>
      <c r="C1067" s="156"/>
      <c r="D1067" s="24"/>
      <c r="E1067" s="24"/>
      <c r="F1067" s="24"/>
      <c r="G1067" s="24"/>
      <c r="H1067" s="24"/>
      <c r="I1067" s="174"/>
      <c r="J1067" s="156"/>
      <c r="K1067" s="156"/>
      <c r="L1067" s="156"/>
      <c r="M1067" s="156"/>
      <c r="N1067" s="156"/>
      <c r="O1067" s="156"/>
      <c r="P1067" s="156"/>
      <c r="Q1067" s="156"/>
      <c r="R1067" s="156"/>
      <c r="S1067" s="156"/>
      <c r="T1067" s="156"/>
      <c r="U1067" s="156"/>
      <c r="V1067" s="156"/>
      <c r="W1067" s="156"/>
      <c r="X1067" s="24"/>
      <c r="Y1067" s="156"/>
    </row>
    <row r="1068" spans="1:25" ht="12.5">
      <c r="A1068" s="156"/>
      <c r="B1068" s="156"/>
      <c r="C1068" s="156"/>
      <c r="D1068" s="24"/>
      <c r="E1068" s="24"/>
      <c r="F1068" s="24"/>
      <c r="G1068" s="24"/>
      <c r="H1068" s="24"/>
      <c r="I1068" s="174"/>
      <c r="J1068" s="156"/>
      <c r="K1068" s="156"/>
      <c r="L1068" s="156"/>
      <c r="M1068" s="156"/>
      <c r="N1068" s="156"/>
      <c r="O1068" s="156"/>
      <c r="P1068" s="156"/>
      <c r="Q1068" s="156"/>
      <c r="R1068" s="156"/>
      <c r="S1068" s="156"/>
      <c r="T1068" s="156"/>
      <c r="U1068" s="156"/>
      <c r="V1068" s="156"/>
      <c r="W1068" s="156"/>
      <c r="X1068" s="24"/>
      <c r="Y1068" s="156"/>
    </row>
    <row r="1069" spans="1:25" ht="12.5">
      <c r="A1069" s="156"/>
      <c r="B1069" s="156"/>
      <c r="C1069" s="156"/>
      <c r="D1069" s="24"/>
      <c r="E1069" s="24"/>
      <c r="F1069" s="24"/>
      <c r="G1069" s="24"/>
      <c r="H1069" s="24"/>
      <c r="I1069" s="174"/>
      <c r="J1069" s="156"/>
      <c r="K1069" s="156"/>
      <c r="L1069" s="156"/>
      <c r="M1069" s="156"/>
      <c r="N1069" s="156"/>
      <c r="O1069" s="156"/>
      <c r="P1069" s="156"/>
      <c r="Q1069" s="156"/>
      <c r="R1069" s="156"/>
      <c r="S1069" s="156"/>
      <c r="T1069" s="156"/>
      <c r="U1069" s="156"/>
      <c r="V1069" s="156"/>
      <c r="W1069" s="156"/>
      <c r="X1069" s="24"/>
      <c r="Y1069" s="156"/>
    </row>
    <row r="1070" spans="1:25" ht="12.5">
      <c r="A1070" s="156"/>
      <c r="B1070" s="156"/>
      <c r="C1070" s="156"/>
      <c r="D1070" s="24"/>
      <c r="E1070" s="24"/>
      <c r="F1070" s="24"/>
      <c r="G1070" s="24"/>
      <c r="H1070" s="24"/>
      <c r="I1070" s="174"/>
      <c r="J1070" s="156"/>
      <c r="K1070" s="156"/>
      <c r="L1070" s="156"/>
      <c r="M1070" s="156"/>
      <c r="N1070" s="156"/>
      <c r="O1070" s="156"/>
      <c r="P1070" s="156"/>
      <c r="Q1070" s="156"/>
      <c r="R1070" s="156"/>
      <c r="S1070" s="156"/>
      <c r="T1070" s="156"/>
      <c r="U1070" s="156"/>
      <c r="V1070" s="156"/>
      <c r="W1070" s="156"/>
      <c r="X1070" s="24"/>
      <c r="Y1070" s="156"/>
    </row>
    <row r="1071" spans="1:25" ht="12.5">
      <c r="A1071" s="156"/>
      <c r="B1071" s="156"/>
      <c r="C1071" s="156"/>
      <c r="D1071" s="24"/>
      <c r="E1071" s="24"/>
      <c r="F1071" s="24"/>
      <c r="G1071" s="24"/>
      <c r="H1071" s="24"/>
      <c r="I1071" s="174"/>
      <c r="J1071" s="156"/>
      <c r="K1071" s="156"/>
      <c r="L1071" s="156"/>
      <c r="M1071" s="156"/>
      <c r="N1071" s="156"/>
      <c r="O1071" s="156"/>
      <c r="P1071" s="156"/>
      <c r="Q1071" s="156"/>
      <c r="R1071" s="156"/>
      <c r="S1071" s="156"/>
      <c r="T1071" s="156"/>
      <c r="U1071" s="156"/>
      <c r="V1071" s="156"/>
      <c r="W1071" s="156"/>
      <c r="X1071" s="24"/>
      <c r="Y1071" s="156"/>
    </row>
    <row r="1072" spans="1:25" ht="12.5">
      <c r="A1072" s="156"/>
      <c r="B1072" s="156"/>
      <c r="C1072" s="156"/>
      <c r="D1072" s="24"/>
      <c r="E1072" s="24"/>
      <c r="F1072" s="24"/>
      <c r="G1072" s="24"/>
      <c r="H1072" s="24"/>
      <c r="I1072" s="174"/>
      <c r="J1072" s="156"/>
      <c r="K1072" s="156"/>
      <c r="L1072" s="156"/>
      <c r="M1072" s="156"/>
      <c r="N1072" s="156"/>
      <c r="O1072" s="156"/>
      <c r="P1072" s="156"/>
      <c r="Q1072" s="156"/>
      <c r="R1072" s="156"/>
      <c r="S1072" s="156"/>
      <c r="T1072" s="156"/>
      <c r="U1072" s="156"/>
      <c r="V1072" s="156"/>
      <c r="W1072" s="156"/>
      <c r="X1072" s="24"/>
      <c r="Y1072" s="156"/>
    </row>
    <row r="1073" spans="1:25" ht="12.5">
      <c r="A1073" s="156"/>
      <c r="B1073" s="156"/>
      <c r="C1073" s="156"/>
      <c r="D1073" s="24"/>
      <c r="E1073" s="24"/>
      <c r="F1073" s="24"/>
      <c r="G1073" s="24"/>
      <c r="H1073" s="24"/>
      <c r="I1073" s="174"/>
      <c r="J1073" s="156"/>
      <c r="K1073" s="156"/>
      <c r="L1073" s="156"/>
      <c r="M1073" s="156"/>
      <c r="N1073" s="156"/>
      <c r="O1073" s="156"/>
      <c r="P1073" s="156"/>
      <c r="Q1073" s="156"/>
      <c r="R1073" s="156"/>
      <c r="S1073" s="156"/>
      <c r="T1073" s="156"/>
      <c r="U1073" s="156"/>
      <c r="V1073" s="156"/>
      <c r="W1073" s="156"/>
      <c r="X1073" s="24"/>
      <c r="Y1073" s="156"/>
    </row>
    <row r="1074" spans="1:25" ht="12.5">
      <c r="A1074" s="156"/>
      <c r="B1074" s="156"/>
      <c r="C1074" s="156"/>
      <c r="D1074" s="24"/>
      <c r="E1074" s="24"/>
      <c r="F1074" s="24"/>
      <c r="G1074" s="24"/>
      <c r="H1074" s="24"/>
      <c r="I1074" s="174"/>
      <c r="J1074" s="156"/>
      <c r="K1074" s="156"/>
      <c r="L1074" s="156"/>
      <c r="M1074" s="156"/>
      <c r="N1074" s="156"/>
      <c r="O1074" s="156"/>
      <c r="P1074" s="156"/>
      <c r="Q1074" s="156"/>
      <c r="R1074" s="156"/>
      <c r="S1074" s="156"/>
      <c r="T1074" s="156"/>
      <c r="U1074" s="156"/>
      <c r="V1074" s="156"/>
      <c r="W1074" s="156"/>
      <c r="X1074" s="24"/>
      <c r="Y1074" s="156"/>
    </row>
    <row r="1075" spans="1:25" ht="12.5">
      <c r="A1075" s="156"/>
      <c r="B1075" s="156"/>
      <c r="C1075" s="156"/>
      <c r="D1075" s="24"/>
      <c r="E1075" s="24"/>
      <c r="F1075" s="24"/>
      <c r="G1075" s="24"/>
      <c r="H1075" s="24"/>
      <c r="I1075" s="174"/>
      <c r="J1075" s="156"/>
      <c r="K1075" s="156"/>
      <c r="L1075" s="156"/>
      <c r="M1075" s="156"/>
      <c r="N1075" s="156"/>
      <c r="O1075" s="156"/>
      <c r="P1075" s="156"/>
      <c r="Q1075" s="156"/>
      <c r="R1075" s="156"/>
      <c r="S1075" s="156"/>
      <c r="T1075" s="156"/>
      <c r="U1075" s="156"/>
      <c r="V1075" s="156"/>
      <c r="W1075" s="156"/>
      <c r="X1075" s="24"/>
      <c r="Y1075" s="156"/>
    </row>
    <row r="1076" spans="1:25" ht="12.5">
      <c r="A1076" s="156"/>
      <c r="B1076" s="156"/>
      <c r="C1076" s="156"/>
      <c r="D1076" s="24"/>
      <c r="E1076" s="24"/>
      <c r="F1076" s="24"/>
      <c r="G1076" s="24"/>
      <c r="H1076" s="24"/>
      <c r="I1076" s="174"/>
      <c r="J1076" s="156"/>
      <c r="K1076" s="156"/>
      <c r="L1076" s="156"/>
      <c r="M1076" s="156"/>
      <c r="N1076" s="156"/>
      <c r="O1076" s="156"/>
      <c r="P1076" s="156"/>
      <c r="Q1076" s="156"/>
      <c r="R1076" s="156"/>
      <c r="S1076" s="156"/>
      <c r="T1076" s="156"/>
      <c r="U1076" s="156"/>
      <c r="V1076" s="156"/>
      <c r="W1076" s="156"/>
      <c r="X1076" s="24"/>
      <c r="Y1076" s="156"/>
    </row>
    <row r="1077" spans="1:25" ht="12.5">
      <c r="A1077" s="156"/>
      <c r="B1077" s="156"/>
      <c r="C1077" s="156"/>
      <c r="D1077" s="24"/>
      <c r="E1077" s="24"/>
      <c r="F1077" s="24"/>
      <c r="G1077" s="24"/>
      <c r="H1077" s="24"/>
      <c r="I1077" s="174"/>
      <c r="J1077" s="156"/>
      <c r="K1077" s="156"/>
      <c r="L1077" s="156"/>
      <c r="M1077" s="156"/>
      <c r="N1077" s="156"/>
      <c r="O1077" s="156"/>
      <c r="P1077" s="156"/>
      <c r="Q1077" s="156"/>
      <c r="R1077" s="156"/>
      <c r="S1077" s="156"/>
      <c r="T1077" s="156"/>
      <c r="U1077" s="156"/>
      <c r="V1077" s="156"/>
      <c r="W1077" s="156"/>
      <c r="X1077" s="24"/>
      <c r="Y1077" s="156"/>
    </row>
    <row r="1078" spans="1:25" ht="12.5">
      <c r="A1078" s="156"/>
      <c r="B1078" s="156"/>
      <c r="C1078" s="156"/>
      <c r="D1078" s="24"/>
      <c r="E1078" s="24"/>
      <c r="F1078" s="24"/>
      <c r="G1078" s="24"/>
      <c r="H1078" s="24"/>
      <c r="I1078" s="174"/>
      <c r="J1078" s="156"/>
      <c r="K1078" s="156"/>
      <c r="L1078" s="156"/>
      <c r="M1078" s="156"/>
      <c r="N1078" s="156"/>
      <c r="O1078" s="156"/>
      <c r="P1078" s="156"/>
      <c r="Q1078" s="156"/>
      <c r="R1078" s="156"/>
      <c r="S1078" s="156"/>
      <c r="T1078" s="156"/>
      <c r="U1078" s="156"/>
      <c r="V1078" s="156"/>
      <c r="W1078" s="156"/>
      <c r="X1078" s="24"/>
      <c r="Y1078" s="156"/>
    </row>
    <row r="1079" spans="1:25" ht="12.5">
      <c r="A1079" s="156"/>
      <c r="B1079" s="156"/>
      <c r="C1079" s="156"/>
      <c r="D1079" s="24"/>
      <c r="E1079" s="24"/>
      <c r="F1079" s="24"/>
      <c r="G1079" s="24"/>
      <c r="H1079" s="24"/>
      <c r="I1079" s="174"/>
      <c r="J1079" s="156"/>
      <c r="K1079" s="156"/>
      <c r="L1079" s="156"/>
      <c r="M1079" s="156"/>
      <c r="N1079" s="156"/>
      <c r="O1079" s="156"/>
      <c r="P1079" s="156"/>
      <c r="Q1079" s="156"/>
      <c r="R1079" s="156"/>
      <c r="S1079" s="156"/>
      <c r="T1079" s="156"/>
      <c r="U1079" s="156"/>
      <c r="V1079" s="156"/>
      <c r="W1079" s="156"/>
      <c r="X1079" s="24"/>
      <c r="Y1079" s="156"/>
    </row>
    <row r="1080" spans="1:25" ht="12.5">
      <c r="A1080" s="156"/>
      <c r="B1080" s="156"/>
      <c r="C1080" s="156"/>
      <c r="D1080" s="24"/>
      <c r="E1080" s="24"/>
      <c r="F1080" s="24"/>
      <c r="G1080" s="24"/>
      <c r="H1080" s="24"/>
      <c r="I1080" s="174"/>
      <c r="J1080" s="156"/>
      <c r="K1080" s="156"/>
      <c r="L1080" s="156"/>
      <c r="M1080" s="156"/>
      <c r="N1080" s="156"/>
      <c r="O1080" s="156"/>
      <c r="P1080" s="156"/>
      <c r="Q1080" s="156"/>
      <c r="R1080" s="156"/>
      <c r="S1080" s="156"/>
      <c r="T1080" s="156"/>
      <c r="U1080" s="156"/>
      <c r="V1080" s="156"/>
      <c r="W1080" s="156"/>
      <c r="X1080" s="24"/>
      <c r="Y1080" s="156"/>
    </row>
    <row r="1081" spans="1:25" ht="12.5">
      <c r="A1081" s="156"/>
      <c r="B1081" s="156"/>
      <c r="C1081" s="156"/>
      <c r="D1081" s="24"/>
      <c r="E1081" s="24"/>
      <c r="F1081" s="24"/>
      <c r="G1081" s="24"/>
      <c r="H1081" s="24"/>
      <c r="I1081" s="174"/>
      <c r="J1081" s="156"/>
      <c r="K1081" s="156"/>
      <c r="L1081" s="156"/>
      <c r="M1081" s="156"/>
      <c r="N1081" s="156"/>
      <c r="O1081" s="156"/>
      <c r="P1081" s="156"/>
      <c r="Q1081" s="156"/>
      <c r="R1081" s="156"/>
      <c r="S1081" s="156"/>
      <c r="T1081" s="156"/>
      <c r="U1081" s="156"/>
      <c r="V1081" s="156"/>
      <c r="W1081" s="156"/>
      <c r="X1081" s="24"/>
      <c r="Y1081" s="156"/>
    </row>
    <row r="1082" spans="1:25" ht="12.5">
      <c r="A1082" s="156"/>
      <c r="B1082" s="156"/>
      <c r="C1082" s="156"/>
      <c r="D1082" s="24"/>
      <c r="E1082" s="24"/>
      <c r="F1082" s="24"/>
      <c r="G1082" s="24"/>
      <c r="H1082" s="24"/>
      <c r="I1082" s="174"/>
      <c r="J1082" s="156"/>
      <c r="K1082" s="156"/>
      <c r="L1082" s="156"/>
      <c r="M1082" s="156"/>
      <c r="N1082" s="156"/>
      <c r="O1082" s="156"/>
      <c r="P1082" s="156"/>
      <c r="Q1082" s="156"/>
      <c r="R1082" s="156"/>
      <c r="S1082" s="156"/>
      <c r="T1082" s="156"/>
      <c r="U1082" s="156"/>
      <c r="V1082" s="156"/>
      <c r="W1082" s="156"/>
      <c r="X1082" s="24"/>
      <c r="Y1082" s="156"/>
    </row>
    <row r="1083" spans="1:25" ht="12.5">
      <c r="A1083" s="156"/>
      <c r="B1083" s="156"/>
      <c r="C1083" s="156"/>
      <c r="D1083" s="24"/>
      <c r="E1083" s="24"/>
      <c r="F1083" s="24"/>
      <c r="G1083" s="24"/>
      <c r="H1083" s="24"/>
      <c r="I1083" s="174"/>
      <c r="J1083" s="156"/>
      <c r="K1083" s="156"/>
      <c r="L1083" s="156"/>
      <c r="M1083" s="156"/>
      <c r="N1083" s="156"/>
      <c r="O1083" s="156"/>
      <c r="P1083" s="156"/>
      <c r="Q1083" s="156"/>
      <c r="R1083" s="156"/>
      <c r="S1083" s="156"/>
      <c r="T1083" s="156"/>
      <c r="U1083" s="156"/>
      <c r="V1083" s="156"/>
      <c r="W1083" s="156"/>
      <c r="X1083" s="24"/>
      <c r="Y1083" s="156"/>
    </row>
    <row r="1084" spans="1:25" ht="12.5">
      <c r="A1084" s="156"/>
      <c r="B1084" s="156"/>
      <c r="C1084" s="156"/>
      <c r="D1084" s="24"/>
      <c r="E1084" s="24"/>
      <c r="F1084" s="24"/>
      <c r="G1084" s="24"/>
      <c r="H1084" s="24"/>
      <c r="I1084" s="174"/>
      <c r="J1084" s="156"/>
      <c r="K1084" s="156"/>
      <c r="L1084" s="156"/>
      <c r="M1084" s="156"/>
      <c r="N1084" s="156"/>
      <c r="O1084" s="156"/>
      <c r="P1084" s="156"/>
      <c r="Q1084" s="156"/>
      <c r="R1084" s="156"/>
      <c r="S1084" s="156"/>
      <c r="T1084" s="156"/>
      <c r="U1084" s="156"/>
      <c r="V1084" s="156"/>
      <c r="W1084" s="156"/>
      <c r="X1084" s="24"/>
      <c r="Y1084" s="156"/>
    </row>
    <row r="1085" spans="1:25" ht="12.5">
      <c r="A1085" s="156"/>
      <c r="B1085" s="156"/>
      <c r="C1085" s="156"/>
      <c r="D1085" s="24"/>
      <c r="E1085" s="24"/>
      <c r="F1085" s="24"/>
      <c r="G1085" s="24"/>
      <c r="H1085" s="24"/>
      <c r="I1085" s="174"/>
      <c r="J1085" s="156"/>
      <c r="K1085" s="156"/>
      <c r="L1085" s="156"/>
      <c r="M1085" s="156"/>
      <c r="N1085" s="156"/>
      <c r="O1085" s="156"/>
      <c r="P1085" s="156"/>
      <c r="Q1085" s="156"/>
      <c r="R1085" s="156"/>
      <c r="S1085" s="156"/>
      <c r="T1085" s="156"/>
      <c r="U1085" s="156"/>
      <c r="V1085" s="156"/>
      <c r="W1085" s="156"/>
      <c r="X1085" s="24"/>
      <c r="Y1085" s="156"/>
    </row>
    <row r="1086" spans="1:25" ht="12.5">
      <c r="A1086" s="156"/>
      <c r="B1086" s="156"/>
      <c r="C1086" s="156"/>
      <c r="D1086" s="24"/>
      <c r="E1086" s="24"/>
      <c r="F1086" s="24"/>
      <c r="G1086" s="24"/>
      <c r="H1086" s="24"/>
      <c r="I1086" s="174"/>
      <c r="J1086" s="156"/>
      <c r="K1086" s="156"/>
      <c r="L1086" s="156"/>
      <c r="M1086" s="156"/>
      <c r="N1086" s="156"/>
      <c r="O1086" s="156"/>
      <c r="P1086" s="156"/>
      <c r="Q1086" s="156"/>
      <c r="R1086" s="156"/>
      <c r="S1086" s="156"/>
      <c r="T1086" s="156"/>
      <c r="U1086" s="156"/>
      <c r="V1086" s="156"/>
      <c r="W1086" s="156"/>
      <c r="X1086" s="24"/>
      <c r="Y1086" s="156"/>
    </row>
    <row r="1087" spans="1:25" ht="12.5">
      <c r="A1087" s="156"/>
      <c r="B1087" s="156"/>
      <c r="C1087" s="156"/>
      <c r="D1087" s="24"/>
      <c r="E1087" s="24"/>
      <c r="F1087" s="24"/>
      <c r="G1087" s="24"/>
      <c r="H1087" s="24"/>
      <c r="I1087" s="174"/>
      <c r="J1087" s="156"/>
      <c r="K1087" s="156"/>
      <c r="L1087" s="156"/>
      <c r="M1087" s="156"/>
      <c r="N1087" s="156"/>
      <c r="O1087" s="156"/>
      <c r="P1087" s="156"/>
      <c r="Q1087" s="156"/>
      <c r="R1087" s="156"/>
      <c r="S1087" s="156"/>
      <c r="T1087" s="156"/>
      <c r="U1087" s="156"/>
      <c r="V1087" s="156"/>
      <c r="W1087" s="156"/>
      <c r="X1087" s="24"/>
      <c r="Y1087" s="156"/>
    </row>
    <row r="1088" spans="1:25" ht="12.5">
      <c r="A1088" s="156"/>
      <c r="B1088" s="156"/>
      <c r="C1088" s="156"/>
      <c r="D1088" s="24"/>
      <c r="E1088" s="24"/>
      <c r="F1088" s="24"/>
      <c r="G1088" s="24"/>
      <c r="H1088" s="24"/>
      <c r="I1088" s="174"/>
      <c r="J1088" s="156"/>
      <c r="K1088" s="156"/>
      <c r="L1088" s="156"/>
      <c r="M1088" s="156"/>
      <c r="N1088" s="156"/>
      <c r="O1088" s="156"/>
      <c r="P1088" s="156"/>
      <c r="Q1088" s="156"/>
      <c r="R1088" s="156"/>
      <c r="S1088" s="156"/>
      <c r="T1088" s="156"/>
      <c r="U1088" s="156"/>
      <c r="V1088" s="156"/>
      <c r="W1088" s="156"/>
      <c r="X1088" s="24"/>
      <c r="Y1088" s="156"/>
    </row>
    <row r="1089" spans="1:25" ht="12.5">
      <c r="A1089" s="156"/>
      <c r="B1089" s="156"/>
      <c r="C1089" s="156"/>
      <c r="D1089" s="24"/>
      <c r="E1089" s="24"/>
      <c r="F1089" s="24"/>
      <c r="G1089" s="24"/>
      <c r="H1089" s="24"/>
      <c r="I1089" s="174"/>
      <c r="J1089" s="156"/>
      <c r="K1089" s="156"/>
      <c r="L1089" s="156"/>
      <c r="M1089" s="156"/>
      <c r="N1089" s="156"/>
      <c r="O1089" s="156"/>
      <c r="P1089" s="156"/>
      <c r="Q1089" s="156"/>
      <c r="R1089" s="156"/>
      <c r="S1089" s="156"/>
      <c r="T1089" s="156"/>
      <c r="U1089" s="156"/>
      <c r="V1089" s="156"/>
      <c r="W1089" s="156"/>
      <c r="X1089" s="24"/>
      <c r="Y1089" s="156"/>
    </row>
    <row r="1090" spans="1:25" ht="12.5">
      <c r="A1090" s="156"/>
      <c r="B1090" s="156"/>
      <c r="C1090" s="156"/>
      <c r="D1090" s="24"/>
      <c r="E1090" s="24"/>
      <c r="F1090" s="24"/>
      <c r="G1090" s="24"/>
      <c r="H1090" s="24"/>
      <c r="I1090" s="174"/>
      <c r="J1090" s="156"/>
      <c r="K1090" s="156"/>
      <c r="L1090" s="156"/>
      <c r="M1090" s="156"/>
      <c r="N1090" s="156"/>
      <c r="O1090" s="156"/>
      <c r="P1090" s="156"/>
      <c r="Q1090" s="156"/>
      <c r="R1090" s="156"/>
      <c r="S1090" s="156"/>
      <c r="T1090" s="156"/>
      <c r="U1090" s="156"/>
      <c r="V1090" s="156"/>
      <c r="W1090" s="156"/>
      <c r="X1090" s="24"/>
      <c r="Y1090" s="156"/>
    </row>
    <row r="1091" spans="1:25" ht="12.5">
      <c r="A1091" s="156"/>
      <c r="B1091" s="156"/>
      <c r="C1091" s="156"/>
      <c r="D1091" s="24"/>
      <c r="E1091" s="24"/>
      <c r="F1091" s="24"/>
      <c r="G1091" s="24"/>
      <c r="H1091" s="24"/>
      <c r="I1091" s="174"/>
      <c r="J1091" s="156"/>
      <c r="K1091" s="156"/>
      <c r="L1091" s="156"/>
      <c r="M1091" s="156"/>
      <c r="N1091" s="156"/>
      <c r="O1091" s="156"/>
      <c r="P1091" s="156"/>
      <c r="Q1091" s="156"/>
      <c r="R1091" s="156"/>
      <c r="S1091" s="156"/>
      <c r="T1091" s="156"/>
      <c r="U1091" s="156"/>
      <c r="V1091" s="156"/>
      <c r="W1091" s="156"/>
      <c r="X1091" s="24"/>
      <c r="Y1091" s="156"/>
    </row>
    <row r="1092" spans="1:25" ht="12.5">
      <c r="A1092" s="156"/>
      <c r="B1092" s="156"/>
      <c r="C1092" s="156"/>
      <c r="D1092" s="24"/>
      <c r="E1092" s="24"/>
      <c r="F1092" s="24"/>
      <c r="G1092" s="24"/>
      <c r="H1092" s="24"/>
      <c r="I1092" s="174"/>
      <c r="J1092" s="156"/>
      <c r="K1092" s="156"/>
      <c r="L1092" s="156"/>
      <c r="M1092" s="156"/>
      <c r="N1092" s="156"/>
      <c r="O1092" s="156"/>
      <c r="P1092" s="156"/>
      <c r="Q1092" s="156"/>
      <c r="R1092" s="156"/>
      <c r="S1092" s="156"/>
      <c r="T1092" s="156"/>
      <c r="U1092" s="156"/>
      <c r="V1092" s="156"/>
      <c r="W1092" s="156"/>
      <c r="X1092" s="24"/>
      <c r="Y1092" s="156"/>
    </row>
    <row r="1093" spans="1:25" ht="12.5">
      <c r="A1093" s="156"/>
      <c r="B1093" s="156"/>
      <c r="C1093" s="156"/>
      <c r="D1093" s="24"/>
      <c r="E1093" s="24"/>
      <c r="F1093" s="24"/>
      <c r="G1093" s="24"/>
      <c r="H1093" s="24"/>
      <c r="I1093" s="174"/>
      <c r="J1093" s="156"/>
      <c r="K1093" s="156"/>
      <c r="L1093" s="156"/>
      <c r="M1093" s="156"/>
      <c r="N1093" s="156"/>
      <c r="O1093" s="156"/>
      <c r="P1093" s="156"/>
      <c r="Q1093" s="156"/>
      <c r="R1093" s="156"/>
      <c r="S1093" s="156"/>
      <c r="T1093" s="156"/>
      <c r="U1093" s="156"/>
      <c r="V1093" s="156"/>
      <c r="W1093" s="156"/>
      <c r="X1093" s="24"/>
      <c r="Y1093" s="156"/>
    </row>
    <row r="1094" spans="1:25" ht="12.5">
      <c r="A1094" s="156"/>
      <c r="B1094" s="156"/>
      <c r="C1094" s="156"/>
      <c r="D1094" s="24"/>
      <c r="E1094" s="24"/>
      <c r="F1094" s="24"/>
      <c r="G1094" s="24"/>
      <c r="H1094" s="24"/>
      <c r="I1094" s="174"/>
      <c r="J1094" s="156"/>
      <c r="K1094" s="156"/>
      <c r="L1094" s="156"/>
      <c r="M1094" s="156"/>
      <c r="N1094" s="156"/>
      <c r="O1094" s="156"/>
      <c r="P1094" s="156"/>
      <c r="Q1094" s="156"/>
      <c r="R1094" s="156"/>
      <c r="S1094" s="156"/>
      <c r="T1094" s="156"/>
      <c r="U1094" s="156"/>
      <c r="V1094" s="156"/>
      <c r="W1094" s="156"/>
      <c r="X1094" s="24"/>
      <c r="Y1094" s="156"/>
    </row>
    <row r="1095" spans="1:25" ht="12.5">
      <c r="A1095" s="156"/>
      <c r="B1095" s="156"/>
      <c r="C1095" s="156"/>
      <c r="D1095" s="24"/>
      <c r="E1095" s="24"/>
      <c r="F1095" s="24"/>
      <c r="G1095" s="24"/>
      <c r="H1095" s="24"/>
      <c r="I1095" s="174"/>
      <c r="J1095" s="156"/>
      <c r="K1095" s="156"/>
      <c r="L1095" s="156"/>
      <c r="M1095" s="156"/>
      <c r="N1095" s="156"/>
      <c r="O1095" s="156"/>
      <c r="P1095" s="156"/>
      <c r="Q1095" s="156"/>
      <c r="R1095" s="156"/>
      <c r="S1095" s="156"/>
      <c r="T1095" s="156"/>
      <c r="U1095" s="156"/>
      <c r="V1095" s="156"/>
      <c r="W1095" s="156"/>
      <c r="X1095" s="24"/>
      <c r="Y1095" s="156"/>
    </row>
    <row r="1096" spans="1:25" ht="12.5">
      <c r="A1096" s="156"/>
      <c r="B1096" s="156"/>
      <c r="C1096" s="156"/>
      <c r="D1096" s="24"/>
      <c r="E1096" s="24"/>
      <c r="F1096" s="24"/>
      <c r="G1096" s="24"/>
      <c r="H1096" s="24"/>
      <c r="I1096" s="174"/>
      <c r="J1096" s="156"/>
      <c r="K1096" s="156"/>
      <c r="L1096" s="156"/>
      <c r="M1096" s="156"/>
      <c r="N1096" s="156"/>
      <c r="O1096" s="156"/>
      <c r="P1096" s="156"/>
      <c r="Q1096" s="156"/>
      <c r="R1096" s="156"/>
      <c r="S1096" s="156"/>
      <c r="T1096" s="156"/>
      <c r="U1096" s="156"/>
      <c r="V1096" s="156"/>
      <c r="W1096" s="156"/>
      <c r="X1096" s="24"/>
      <c r="Y1096" s="156"/>
    </row>
    <row r="1097" spans="1:25" ht="12.5">
      <c r="A1097" s="156"/>
      <c r="B1097" s="156"/>
      <c r="C1097" s="156"/>
      <c r="D1097" s="24"/>
      <c r="E1097" s="24"/>
      <c r="F1097" s="24"/>
      <c r="G1097" s="24"/>
      <c r="H1097" s="24"/>
      <c r="I1097" s="174"/>
      <c r="J1097" s="156"/>
      <c r="K1097" s="156"/>
      <c r="L1097" s="156"/>
      <c r="M1097" s="156"/>
      <c r="N1097" s="156"/>
      <c r="O1097" s="156"/>
      <c r="P1097" s="156"/>
      <c r="Q1097" s="156"/>
      <c r="R1097" s="156"/>
      <c r="S1097" s="156"/>
      <c r="T1097" s="156"/>
      <c r="U1097" s="156"/>
      <c r="V1097" s="156"/>
      <c r="W1097" s="156"/>
      <c r="X1097" s="24"/>
      <c r="Y1097" s="156"/>
    </row>
    <row r="1098" spans="1:25" ht="12.5">
      <c r="A1098" s="156"/>
      <c r="B1098" s="156"/>
      <c r="C1098" s="156"/>
      <c r="D1098" s="24"/>
      <c r="E1098" s="24"/>
      <c r="F1098" s="24"/>
      <c r="G1098" s="24"/>
      <c r="H1098" s="24"/>
      <c r="I1098" s="174"/>
      <c r="J1098" s="156"/>
      <c r="K1098" s="156"/>
      <c r="L1098" s="156"/>
      <c r="M1098" s="156"/>
      <c r="N1098" s="156"/>
      <c r="O1098" s="156"/>
      <c r="P1098" s="156"/>
      <c r="Q1098" s="156"/>
      <c r="R1098" s="156"/>
      <c r="S1098" s="156"/>
      <c r="T1098" s="156"/>
      <c r="U1098" s="156"/>
      <c r="V1098" s="156"/>
      <c r="W1098" s="156"/>
      <c r="X1098" s="24"/>
      <c r="Y1098" s="156"/>
    </row>
    <row r="1099" spans="1:25" ht="12.5">
      <c r="A1099" s="156"/>
      <c r="B1099" s="156"/>
      <c r="C1099" s="156"/>
      <c r="D1099" s="24"/>
      <c r="E1099" s="24"/>
      <c r="F1099" s="24"/>
      <c r="G1099" s="24"/>
      <c r="H1099" s="24"/>
      <c r="I1099" s="174"/>
      <c r="J1099" s="156"/>
      <c r="K1099" s="156"/>
      <c r="L1099" s="156"/>
      <c r="M1099" s="156"/>
      <c r="N1099" s="156"/>
      <c r="O1099" s="156"/>
      <c r="P1099" s="156"/>
      <c r="Q1099" s="156"/>
      <c r="R1099" s="156"/>
      <c r="S1099" s="156"/>
      <c r="T1099" s="156"/>
      <c r="U1099" s="156"/>
      <c r="V1099" s="156"/>
      <c r="W1099" s="156"/>
      <c r="X1099" s="24"/>
      <c r="Y1099" s="156"/>
    </row>
    <row r="1100" spans="1:25" ht="12.5">
      <c r="A1100" s="156"/>
      <c r="B1100" s="156"/>
      <c r="C1100" s="156"/>
      <c r="D1100" s="24"/>
      <c r="E1100" s="24"/>
      <c r="F1100" s="24"/>
      <c r="G1100" s="24"/>
      <c r="H1100" s="24"/>
      <c r="I1100" s="174"/>
      <c r="J1100" s="156"/>
      <c r="K1100" s="156"/>
      <c r="L1100" s="156"/>
      <c r="M1100" s="156"/>
      <c r="N1100" s="156"/>
      <c r="O1100" s="156"/>
      <c r="P1100" s="156"/>
      <c r="Q1100" s="156"/>
      <c r="R1100" s="156"/>
      <c r="S1100" s="156"/>
      <c r="T1100" s="156"/>
      <c r="U1100" s="156"/>
      <c r="V1100" s="156"/>
      <c r="W1100" s="156"/>
      <c r="X1100" s="24"/>
      <c r="Y1100" s="156"/>
    </row>
    <row r="1101" spans="1:25" ht="12.5">
      <c r="A1101" s="156"/>
      <c r="B1101" s="156"/>
      <c r="C1101" s="156"/>
      <c r="D1101" s="24"/>
      <c r="E1101" s="24"/>
      <c r="F1101" s="24"/>
      <c r="G1101" s="24"/>
      <c r="H1101" s="24"/>
      <c r="I1101" s="174"/>
      <c r="J1101" s="156"/>
      <c r="K1101" s="156"/>
      <c r="L1101" s="156"/>
      <c r="M1101" s="156"/>
      <c r="N1101" s="156"/>
      <c r="O1101" s="156"/>
      <c r="P1101" s="156"/>
      <c r="Q1101" s="156"/>
      <c r="R1101" s="156"/>
      <c r="S1101" s="156"/>
      <c r="T1101" s="156"/>
      <c r="U1101" s="156"/>
      <c r="V1101" s="156"/>
      <c r="W1101" s="156"/>
      <c r="X1101" s="24"/>
      <c r="Y1101" s="156"/>
    </row>
    <row r="1102" spans="1:25" ht="12.5">
      <c r="A1102" s="156"/>
      <c r="B1102" s="156"/>
      <c r="C1102" s="156"/>
      <c r="D1102" s="24"/>
      <c r="E1102" s="24"/>
      <c r="F1102" s="24"/>
      <c r="G1102" s="24"/>
      <c r="H1102" s="24"/>
      <c r="I1102" s="174"/>
      <c r="J1102" s="156"/>
      <c r="K1102" s="156"/>
      <c r="L1102" s="156"/>
      <c r="M1102" s="156"/>
      <c r="N1102" s="156"/>
      <c r="O1102" s="156"/>
      <c r="P1102" s="156"/>
      <c r="Q1102" s="156"/>
      <c r="R1102" s="156"/>
      <c r="S1102" s="156"/>
      <c r="T1102" s="156"/>
      <c r="U1102" s="156"/>
      <c r="V1102" s="156"/>
      <c r="W1102" s="156"/>
      <c r="X1102" s="24"/>
      <c r="Y1102" s="156"/>
    </row>
    <row r="1103" spans="1:25" ht="12.5">
      <c r="A1103" s="156"/>
      <c r="B1103" s="156"/>
      <c r="C1103" s="156"/>
      <c r="D1103" s="24"/>
      <c r="E1103" s="24"/>
      <c r="F1103" s="24"/>
      <c r="G1103" s="24"/>
      <c r="H1103" s="24"/>
      <c r="I1103" s="174"/>
      <c r="J1103" s="156"/>
      <c r="K1103" s="156"/>
      <c r="L1103" s="156"/>
      <c r="M1103" s="156"/>
      <c r="N1103" s="156"/>
      <c r="O1103" s="156"/>
      <c r="P1103" s="156"/>
      <c r="Q1103" s="156"/>
      <c r="R1103" s="156"/>
      <c r="S1103" s="156"/>
      <c r="T1103" s="156"/>
      <c r="U1103" s="156"/>
      <c r="V1103" s="156"/>
      <c r="W1103" s="156"/>
      <c r="X1103" s="24"/>
      <c r="Y1103" s="156"/>
    </row>
    <row r="1104" spans="1:25" ht="12.5">
      <c r="A1104" s="156"/>
      <c r="B1104" s="156"/>
      <c r="C1104" s="156"/>
      <c r="D1104" s="24"/>
      <c r="E1104" s="24"/>
      <c r="F1104" s="24"/>
      <c r="G1104" s="24"/>
      <c r="H1104" s="24"/>
      <c r="I1104" s="174"/>
      <c r="J1104" s="156"/>
      <c r="K1104" s="156"/>
      <c r="L1104" s="156"/>
      <c r="M1104" s="156"/>
      <c r="N1104" s="156"/>
      <c r="O1104" s="156"/>
      <c r="P1104" s="156"/>
      <c r="Q1104" s="156"/>
      <c r="R1104" s="156"/>
      <c r="S1104" s="156"/>
      <c r="T1104" s="156"/>
      <c r="U1104" s="156"/>
      <c r="V1104" s="156"/>
      <c r="W1104" s="156"/>
      <c r="X1104" s="24"/>
      <c r="Y1104" s="156"/>
    </row>
    <row r="1105" spans="1:25" ht="12.5">
      <c r="A1105" s="156"/>
      <c r="B1105" s="156"/>
      <c r="C1105" s="156"/>
      <c r="D1105" s="24"/>
      <c r="E1105" s="24"/>
      <c r="F1105" s="24"/>
      <c r="G1105" s="24"/>
      <c r="H1105" s="24"/>
      <c r="I1105" s="174"/>
      <c r="J1105" s="156"/>
      <c r="K1105" s="156"/>
      <c r="L1105" s="156"/>
      <c r="M1105" s="156"/>
      <c r="N1105" s="156"/>
      <c r="O1105" s="156"/>
      <c r="P1105" s="156"/>
      <c r="Q1105" s="156"/>
      <c r="R1105" s="156"/>
      <c r="S1105" s="156"/>
      <c r="T1105" s="156"/>
      <c r="U1105" s="156"/>
      <c r="V1105" s="156"/>
      <c r="W1105" s="156"/>
      <c r="X1105" s="24"/>
      <c r="Y1105" s="156"/>
    </row>
    <row r="1106" spans="1:25" ht="12.5">
      <c r="A1106" s="156"/>
      <c r="B1106" s="156"/>
      <c r="C1106" s="156"/>
      <c r="D1106" s="24"/>
      <c r="E1106" s="24"/>
      <c r="F1106" s="24"/>
      <c r="G1106" s="24"/>
      <c r="H1106" s="24"/>
      <c r="I1106" s="174"/>
      <c r="J1106" s="156"/>
      <c r="K1106" s="156"/>
      <c r="L1106" s="156"/>
      <c r="M1106" s="156"/>
      <c r="N1106" s="156"/>
      <c r="O1106" s="156"/>
      <c r="P1106" s="156"/>
      <c r="Q1106" s="156"/>
      <c r="R1106" s="156"/>
      <c r="S1106" s="156"/>
      <c r="T1106" s="156"/>
      <c r="U1106" s="156"/>
      <c r="V1106" s="156"/>
      <c r="W1106" s="156"/>
      <c r="X1106" s="24"/>
      <c r="Y1106" s="156"/>
    </row>
    <row r="1107" spans="1:25" ht="12.5">
      <c r="A1107" s="156"/>
      <c r="B1107" s="156"/>
      <c r="C1107" s="156"/>
      <c r="D1107" s="24"/>
      <c r="E1107" s="24"/>
      <c r="F1107" s="24"/>
      <c r="G1107" s="24"/>
      <c r="H1107" s="24"/>
      <c r="I1107" s="174"/>
      <c r="J1107" s="156"/>
      <c r="K1107" s="156"/>
      <c r="L1107" s="156"/>
      <c r="M1107" s="156"/>
      <c r="N1107" s="156"/>
      <c r="O1107" s="156"/>
      <c r="P1107" s="156"/>
      <c r="Q1107" s="156"/>
      <c r="R1107" s="156"/>
      <c r="S1107" s="156"/>
      <c r="T1107" s="156"/>
      <c r="U1107" s="156"/>
      <c r="V1107" s="156"/>
      <c r="W1107" s="156"/>
      <c r="X1107" s="24"/>
      <c r="Y1107" s="156"/>
    </row>
    <row r="1108" spans="1:25" ht="12.5">
      <c r="A1108" s="156"/>
      <c r="B1108" s="156"/>
      <c r="C1108" s="156"/>
      <c r="D1108" s="24"/>
      <c r="E1108" s="24"/>
      <c r="F1108" s="24"/>
      <c r="G1108" s="24"/>
      <c r="H1108" s="24"/>
      <c r="I1108" s="174"/>
      <c r="J1108" s="156"/>
      <c r="K1108" s="156"/>
      <c r="L1108" s="156"/>
      <c r="M1108" s="156"/>
      <c r="N1108" s="156"/>
      <c r="O1108" s="156"/>
      <c r="P1108" s="156"/>
      <c r="Q1108" s="156"/>
      <c r="R1108" s="156"/>
      <c r="S1108" s="156"/>
      <c r="T1108" s="156"/>
      <c r="U1108" s="156"/>
      <c r="V1108" s="156"/>
      <c r="W1108" s="156"/>
      <c r="X1108" s="24"/>
      <c r="Y1108" s="156"/>
    </row>
    <row r="1109" spans="1:25" ht="12.5">
      <c r="A1109" s="156"/>
      <c r="B1109" s="156"/>
      <c r="C1109" s="156"/>
      <c r="D1109" s="24"/>
      <c r="E1109" s="24"/>
      <c r="F1109" s="24"/>
      <c r="G1109" s="24"/>
      <c r="H1109" s="24"/>
      <c r="I1109" s="174"/>
      <c r="J1109" s="156"/>
      <c r="K1109" s="156"/>
      <c r="L1109" s="156"/>
      <c r="M1109" s="156"/>
      <c r="N1109" s="156"/>
      <c r="O1109" s="156"/>
      <c r="P1109" s="156"/>
      <c r="Q1109" s="156"/>
      <c r="R1109" s="156"/>
      <c r="S1109" s="156"/>
      <c r="T1109" s="156"/>
      <c r="U1109" s="156"/>
      <c r="V1109" s="156"/>
      <c r="W1109" s="156"/>
      <c r="X1109" s="24"/>
      <c r="Y1109" s="156"/>
    </row>
    <row r="1110" spans="1:25" ht="12.5">
      <c r="A1110" s="156"/>
      <c r="B1110" s="156"/>
      <c r="C1110" s="156"/>
      <c r="D1110" s="24"/>
      <c r="E1110" s="24"/>
      <c r="F1110" s="24"/>
      <c r="G1110" s="24"/>
      <c r="H1110" s="24"/>
      <c r="I1110" s="174"/>
      <c r="J1110" s="156"/>
      <c r="K1110" s="156"/>
      <c r="L1110" s="156"/>
      <c r="M1110" s="156"/>
      <c r="N1110" s="156"/>
      <c r="O1110" s="156"/>
      <c r="P1110" s="156"/>
      <c r="Q1110" s="156"/>
      <c r="R1110" s="156"/>
      <c r="S1110" s="156"/>
      <c r="T1110" s="156"/>
      <c r="U1110" s="156"/>
      <c r="V1110" s="156"/>
      <c r="W1110" s="156"/>
      <c r="X1110" s="24"/>
      <c r="Y1110" s="156"/>
    </row>
    <row r="1111" spans="1:25" ht="12.5">
      <c r="A1111" s="156"/>
      <c r="B1111" s="156"/>
      <c r="C1111" s="156"/>
      <c r="D1111" s="24"/>
      <c r="E1111" s="24"/>
      <c r="F1111" s="24"/>
      <c r="G1111" s="24"/>
      <c r="H1111" s="24"/>
      <c r="I1111" s="174"/>
      <c r="J1111" s="156"/>
      <c r="K1111" s="156"/>
      <c r="L1111" s="156"/>
      <c r="M1111" s="156"/>
      <c r="N1111" s="156"/>
      <c r="O1111" s="156"/>
      <c r="P1111" s="156"/>
      <c r="Q1111" s="156"/>
      <c r="R1111" s="156"/>
      <c r="S1111" s="156"/>
      <c r="T1111" s="156"/>
      <c r="U1111" s="156"/>
      <c r="V1111" s="156"/>
      <c r="W1111" s="156"/>
      <c r="X1111" s="24"/>
      <c r="Y1111" s="156"/>
    </row>
    <row r="1112" spans="1:25" ht="12.5">
      <c r="A1112" s="156"/>
      <c r="B1112" s="156"/>
      <c r="C1112" s="156"/>
      <c r="D1112" s="24"/>
      <c r="E1112" s="24"/>
      <c r="F1112" s="24"/>
      <c r="G1112" s="24"/>
      <c r="H1112" s="24"/>
      <c r="I1112" s="174"/>
      <c r="J1112" s="156"/>
      <c r="K1112" s="156"/>
      <c r="L1112" s="156"/>
      <c r="M1112" s="156"/>
      <c r="N1112" s="156"/>
      <c r="O1112" s="156"/>
      <c r="P1112" s="156"/>
      <c r="Q1112" s="156"/>
      <c r="R1112" s="156"/>
      <c r="S1112" s="156"/>
      <c r="T1112" s="156"/>
      <c r="U1112" s="156"/>
      <c r="V1112" s="156"/>
      <c r="W1112" s="156"/>
      <c r="X1112" s="24"/>
      <c r="Y1112" s="156"/>
    </row>
    <row r="1113" spans="1:25" ht="12.5">
      <c r="A1113" s="156"/>
      <c r="B1113" s="156"/>
      <c r="C1113" s="156"/>
      <c r="D1113" s="24"/>
      <c r="E1113" s="24"/>
      <c r="F1113" s="24"/>
      <c r="G1113" s="24"/>
      <c r="H1113" s="24"/>
      <c r="I1113" s="174"/>
      <c r="J1113" s="156"/>
      <c r="K1113" s="156"/>
      <c r="L1113" s="156"/>
      <c r="M1113" s="156"/>
      <c r="N1113" s="156"/>
      <c r="O1113" s="156"/>
      <c r="P1113" s="156"/>
      <c r="Q1113" s="156"/>
      <c r="R1113" s="156"/>
      <c r="S1113" s="156"/>
      <c r="T1113" s="156"/>
      <c r="U1113" s="156"/>
      <c r="V1113" s="156"/>
      <c r="W1113" s="156"/>
      <c r="X1113" s="24"/>
      <c r="Y1113" s="156"/>
    </row>
    <row r="1114" spans="1:25" ht="12.5">
      <c r="A1114" s="156"/>
      <c r="B1114" s="156"/>
      <c r="C1114" s="156"/>
      <c r="D1114" s="24"/>
      <c r="E1114" s="24"/>
      <c r="F1114" s="24"/>
      <c r="G1114" s="24"/>
      <c r="H1114" s="24"/>
      <c r="I1114" s="174"/>
      <c r="J1114" s="156"/>
      <c r="K1114" s="156"/>
      <c r="L1114" s="156"/>
      <c r="M1114" s="156"/>
      <c r="N1114" s="156"/>
      <c r="O1114" s="156"/>
      <c r="P1114" s="156"/>
      <c r="Q1114" s="156"/>
      <c r="R1114" s="156"/>
      <c r="S1114" s="156"/>
      <c r="T1114" s="156"/>
      <c r="U1114" s="156"/>
      <c r="V1114" s="156"/>
      <c r="W1114" s="156"/>
      <c r="X1114" s="24"/>
      <c r="Y1114" s="156"/>
    </row>
    <row r="1115" spans="1:25" ht="12.5">
      <c r="A1115" s="156"/>
      <c r="B1115" s="156"/>
      <c r="C1115" s="156"/>
      <c r="D1115" s="24"/>
      <c r="E1115" s="24"/>
      <c r="F1115" s="24"/>
      <c r="G1115" s="24"/>
      <c r="H1115" s="24"/>
      <c r="I1115" s="174"/>
      <c r="J1115" s="156"/>
      <c r="K1115" s="156"/>
      <c r="L1115" s="156"/>
      <c r="M1115" s="156"/>
      <c r="N1115" s="156"/>
      <c r="O1115" s="156"/>
      <c r="P1115" s="156"/>
      <c r="Q1115" s="156"/>
      <c r="R1115" s="156"/>
      <c r="S1115" s="156"/>
      <c r="T1115" s="156"/>
      <c r="U1115" s="156"/>
      <c r="V1115" s="156"/>
      <c r="W1115" s="156"/>
      <c r="X1115" s="24"/>
      <c r="Y1115" s="156"/>
    </row>
    <row r="1116" spans="1:25" ht="12.5">
      <c r="A1116" s="156"/>
      <c r="B1116" s="156"/>
      <c r="C1116" s="156"/>
      <c r="D1116" s="24"/>
      <c r="E1116" s="24"/>
      <c r="F1116" s="24"/>
      <c r="G1116" s="24"/>
      <c r="H1116" s="24"/>
      <c r="I1116" s="174"/>
      <c r="J1116" s="156"/>
      <c r="K1116" s="156"/>
      <c r="L1116" s="156"/>
      <c r="M1116" s="156"/>
      <c r="N1116" s="156"/>
      <c r="O1116" s="156"/>
      <c r="P1116" s="156"/>
      <c r="Q1116" s="156"/>
      <c r="R1116" s="156"/>
      <c r="S1116" s="156"/>
      <c r="T1116" s="156"/>
      <c r="U1116" s="156"/>
      <c r="V1116" s="156"/>
      <c r="W1116" s="156"/>
      <c r="X1116" s="24"/>
      <c r="Y1116" s="156"/>
    </row>
    <row r="1117" spans="1:25" ht="12.5">
      <c r="A1117" s="156"/>
      <c r="B1117" s="156"/>
      <c r="C1117" s="156"/>
      <c r="D1117" s="24"/>
      <c r="E1117" s="24"/>
      <c r="F1117" s="24"/>
      <c r="G1117" s="24"/>
      <c r="H1117" s="24"/>
      <c r="I1117" s="174"/>
      <c r="J1117" s="156"/>
      <c r="K1117" s="156"/>
      <c r="L1117" s="156"/>
      <c r="M1117" s="156"/>
      <c r="N1117" s="156"/>
      <c r="O1117" s="156"/>
      <c r="P1117" s="156"/>
      <c r="Q1117" s="156"/>
      <c r="R1117" s="156"/>
      <c r="S1117" s="156"/>
      <c r="T1117" s="156"/>
      <c r="U1117" s="156"/>
      <c r="V1117" s="156"/>
      <c r="W1117" s="156"/>
      <c r="X1117" s="24"/>
      <c r="Y1117" s="156"/>
    </row>
    <row r="1118" spans="1:25" ht="12.5">
      <c r="A1118" s="156"/>
      <c r="B1118" s="156"/>
      <c r="C1118" s="156"/>
      <c r="D1118" s="24"/>
      <c r="E1118" s="24"/>
      <c r="F1118" s="24"/>
      <c r="G1118" s="24"/>
      <c r="H1118" s="24"/>
      <c r="I1118" s="174"/>
      <c r="J1118" s="156"/>
      <c r="K1118" s="156"/>
      <c r="L1118" s="156"/>
      <c r="M1118" s="156"/>
      <c r="N1118" s="156"/>
      <c r="O1118" s="156"/>
      <c r="P1118" s="156"/>
      <c r="Q1118" s="156"/>
      <c r="R1118" s="156"/>
      <c r="S1118" s="156"/>
      <c r="T1118" s="156"/>
      <c r="U1118" s="156"/>
      <c r="V1118" s="156"/>
      <c r="W1118" s="156"/>
      <c r="X1118" s="24"/>
      <c r="Y1118" s="156"/>
    </row>
    <row r="1119" spans="1:25" ht="12.5">
      <c r="A1119" s="156"/>
      <c r="B1119" s="156"/>
      <c r="C1119" s="156"/>
      <c r="D1119" s="24"/>
      <c r="E1119" s="24"/>
      <c r="F1119" s="24"/>
      <c r="G1119" s="24"/>
      <c r="H1119" s="24"/>
      <c r="I1119" s="174"/>
      <c r="J1119" s="156"/>
      <c r="K1119" s="156"/>
      <c r="L1119" s="156"/>
      <c r="M1119" s="156"/>
      <c r="N1119" s="156"/>
      <c r="O1119" s="156"/>
      <c r="P1119" s="156"/>
      <c r="Q1119" s="156"/>
      <c r="R1119" s="156"/>
      <c r="S1119" s="156"/>
      <c r="T1119" s="156"/>
      <c r="U1119" s="156"/>
      <c r="V1119" s="156"/>
      <c r="W1119" s="156"/>
      <c r="X1119" s="24"/>
      <c r="Y1119" s="156"/>
    </row>
    <row r="1120" spans="1:25" ht="12.5">
      <c r="A1120" s="156"/>
      <c r="B1120" s="156"/>
      <c r="C1120" s="156"/>
      <c r="D1120" s="24"/>
      <c r="E1120" s="24"/>
      <c r="F1120" s="24"/>
      <c r="G1120" s="24"/>
      <c r="H1120" s="24"/>
      <c r="I1120" s="174"/>
      <c r="J1120" s="156"/>
      <c r="K1120" s="156"/>
      <c r="L1120" s="156"/>
      <c r="M1120" s="156"/>
      <c r="N1120" s="156"/>
      <c r="O1120" s="156"/>
      <c r="P1120" s="156"/>
      <c r="Q1120" s="156"/>
      <c r="R1120" s="156"/>
      <c r="S1120" s="156"/>
      <c r="T1120" s="156"/>
      <c r="U1120" s="156"/>
      <c r="V1120" s="156"/>
      <c r="W1120" s="156"/>
      <c r="X1120" s="24"/>
      <c r="Y1120" s="156"/>
    </row>
    <row r="1121" spans="1:25" ht="12.5">
      <c r="A1121" s="156"/>
      <c r="B1121" s="156"/>
      <c r="C1121" s="156"/>
      <c r="D1121" s="24"/>
      <c r="E1121" s="24"/>
      <c r="F1121" s="24"/>
      <c r="G1121" s="24"/>
      <c r="H1121" s="24"/>
      <c r="I1121" s="174"/>
      <c r="J1121" s="156"/>
      <c r="K1121" s="156"/>
      <c r="L1121" s="156"/>
      <c r="M1121" s="156"/>
      <c r="N1121" s="156"/>
      <c r="O1121" s="156"/>
      <c r="P1121" s="156"/>
      <c r="Q1121" s="156"/>
      <c r="R1121" s="156"/>
      <c r="S1121" s="156"/>
      <c r="T1121" s="156"/>
      <c r="U1121" s="156"/>
      <c r="V1121" s="156"/>
      <c r="W1121" s="156"/>
      <c r="X1121" s="24"/>
      <c r="Y1121" s="156"/>
    </row>
    <row r="1122" spans="1:25" ht="12.5">
      <c r="A1122" s="156"/>
      <c r="B1122" s="156"/>
      <c r="C1122" s="156"/>
      <c r="D1122" s="24"/>
      <c r="E1122" s="24"/>
      <c r="F1122" s="24"/>
      <c r="G1122" s="24"/>
      <c r="H1122" s="24"/>
      <c r="I1122" s="174"/>
      <c r="J1122" s="156"/>
      <c r="K1122" s="156"/>
      <c r="L1122" s="156"/>
      <c r="M1122" s="156"/>
      <c r="N1122" s="156"/>
      <c r="O1122" s="156"/>
      <c r="P1122" s="156"/>
      <c r="Q1122" s="156"/>
      <c r="R1122" s="156"/>
      <c r="S1122" s="156"/>
      <c r="T1122" s="156"/>
      <c r="U1122" s="156"/>
      <c r="V1122" s="156"/>
      <c r="W1122" s="156"/>
      <c r="X1122" s="24"/>
      <c r="Y1122" s="156"/>
    </row>
    <row r="1123" spans="1:25" ht="12.5">
      <c r="A1123" s="156"/>
      <c r="B1123" s="156"/>
      <c r="C1123" s="156"/>
      <c r="D1123" s="24"/>
      <c r="E1123" s="24"/>
      <c r="F1123" s="24"/>
      <c r="G1123" s="24"/>
      <c r="H1123" s="24"/>
      <c r="I1123" s="174"/>
      <c r="J1123" s="156"/>
      <c r="K1123" s="156"/>
      <c r="L1123" s="156"/>
      <c r="M1123" s="156"/>
      <c r="N1123" s="156"/>
      <c r="O1123" s="156"/>
      <c r="P1123" s="156"/>
      <c r="Q1123" s="156"/>
      <c r="R1123" s="156"/>
      <c r="S1123" s="156"/>
      <c r="T1123" s="156"/>
      <c r="U1123" s="156"/>
      <c r="V1123" s="156"/>
      <c r="W1123" s="156"/>
      <c r="X1123" s="24"/>
      <c r="Y1123" s="156"/>
    </row>
    <row r="1124" spans="1:25" ht="12.5">
      <c r="A1124" s="156"/>
      <c r="B1124" s="156"/>
      <c r="C1124" s="156"/>
      <c r="D1124" s="24"/>
      <c r="E1124" s="24"/>
      <c r="F1124" s="24"/>
      <c r="G1124" s="24"/>
      <c r="H1124" s="24"/>
      <c r="I1124" s="174"/>
      <c r="J1124" s="156"/>
      <c r="K1124" s="156"/>
      <c r="L1124" s="156"/>
      <c r="M1124" s="156"/>
      <c r="N1124" s="156"/>
      <c r="O1124" s="156"/>
      <c r="P1124" s="156"/>
      <c r="Q1124" s="156"/>
      <c r="R1124" s="156"/>
      <c r="S1124" s="156"/>
      <c r="T1124" s="156"/>
      <c r="U1124" s="156"/>
      <c r="V1124" s="156"/>
      <c r="W1124" s="156"/>
      <c r="X1124" s="24"/>
      <c r="Y1124" s="156"/>
    </row>
    <row r="1125" spans="1:25" ht="12.5">
      <c r="A1125" s="156"/>
      <c r="B1125" s="156"/>
      <c r="C1125" s="156"/>
      <c r="D1125" s="24"/>
      <c r="E1125" s="24"/>
      <c r="F1125" s="24"/>
      <c r="G1125" s="24"/>
      <c r="H1125" s="24"/>
      <c r="I1125" s="174"/>
      <c r="J1125" s="156"/>
      <c r="K1125" s="156"/>
      <c r="L1125" s="156"/>
      <c r="M1125" s="156"/>
      <c r="N1125" s="156"/>
      <c r="O1125" s="156"/>
      <c r="P1125" s="156"/>
      <c r="Q1125" s="156"/>
      <c r="R1125" s="156"/>
      <c r="S1125" s="156"/>
      <c r="T1125" s="156"/>
      <c r="U1125" s="156"/>
      <c r="V1125" s="156"/>
      <c r="W1125" s="156"/>
      <c r="X1125" s="24"/>
      <c r="Y1125" s="156"/>
    </row>
    <row r="1126" spans="1:25" ht="12.5">
      <c r="A1126" s="156"/>
      <c r="B1126" s="156"/>
      <c r="C1126" s="156"/>
      <c r="D1126" s="24"/>
      <c r="E1126" s="24"/>
      <c r="F1126" s="24"/>
      <c r="G1126" s="24"/>
      <c r="H1126" s="24"/>
      <c r="I1126" s="174"/>
      <c r="J1126" s="156"/>
      <c r="K1126" s="156"/>
      <c r="L1126" s="156"/>
      <c r="M1126" s="156"/>
      <c r="N1126" s="156"/>
      <c r="O1126" s="156"/>
      <c r="P1126" s="156"/>
      <c r="Q1126" s="156"/>
      <c r="R1126" s="156"/>
      <c r="S1126" s="156"/>
      <c r="T1126" s="156"/>
      <c r="U1126" s="156"/>
      <c r="V1126" s="156"/>
      <c r="W1126" s="156"/>
      <c r="X1126" s="24"/>
      <c r="Y1126" s="156"/>
    </row>
    <row r="1127" spans="1:25" ht="12.5">
      <c r="A1127" s="156"/>
      <c r="B1127" s="156"/>
      <c r="C1127" s="156"/>
      <c r="D1127" s="24"/>
      <c r="E1127" s="24"/>
      <c r="F1127" s="24"/>
      <c r="G1127" s="24"/>
      <c r="H1127" s="24"/>
      <c r="I1127" s="174"/>
      <c r="J1127" s="156"/>
      <c r="K1127" s="156"/>
      <c r="L1127" s="156"/>
      <c r="M1127" s="156"/>
      <c r="N1127" s="156"/>
      <c r="O1127" s="156"/>
      <c r="P1127" s="156"/>
      <c r="Q1127" s="156"/>
      <c r="R1127" s="156"/>
      <c r="S1127" s="156"/>
      <c r="T1127" s="156"/>
      <c r="U1127" s="156"/>
      <c r="V1127" s="156"/>
      <c r="W1127" s="156"/>
      <c r="X1127" s="24"/>
      <c r="Y1127" s="156"/>
    </row>
  </sheetData>
  <mergeCells count="154">
    <mergeCell ref="A1:J1"/>
    <mergeCell ref="A2:J2"/>
    <mergeCell ref="A3:J3"/>
    <mergeCell ref="A4:J4"/>
    <mergeCell ref="A5:I6"/>
    <mergeCell ref="U5:X6"/>
    <mergeCell ref="W7:W8"/>
    <mergeCell ref="X7:X8"/>
    <mergeCell ref="A11:A18"/>
    <mergeCell ref="B11:B18"/>
    <mergeCell ref="C11:C18"/>
    <mergeCell ref="D11:D18"/>
    <mergeCell ref="E11:E18"/>
    <mergeCell ref="F11:F18"/>
    <mergeCell ref="G11:G18"/>
    <mergeCell ref="H11:H18"/>
    <mergeCell ref="G7:G8"/>
    <mergeCell ref="H7:H8"/>
    <mergeCell ref="I7:I8"/>
    <mergeCell ref="J7:T7"/>
    <mergeCell ref="U7:U8"/>
    <mergeCell ref="V7:V8"/>
    <mergeCell ref="A7:A8"/>
    <mergeCell ref="B7:B8"/>
    <mergeCell ref="C7:C8"/>
    <mergeCell ref="D7:D8"/>
    <mergeCell ref="E7:E8"/>
    <mergeCell ref="F7:F8"/>
    <mergeCell ref="X11:X18"/>
    <mergeCell ref="Y11:Y18"/>
    <mergeCell ref="A19:A28"/>
    <mergeCell ref="B19:B28"/>
    <mergeCell ref="C19:C28"/>
    <mergeCell ref="D19:D28"/>
    <mergeCell ref="E19:E28"/>
    <mergeCell ref="F19:F28"/>
    <mergeCell ref="G19:G28"/>
    <mergeCell ref="H19:H28"/>
    <mergeCell ref="X19:X28"/>
    <mergeCell ref="Y19:Y28"/>
    <mergeCell ref="Y31:Y41"/>
    <mergeCell ref="A42:A54"/>
    <mergeCell ref="B42:B54"/>
    <mergeCell ref="C42:C54"/>
    <mergeCell ref="D42:D54"/>
    <mergeCell ref="E42:E54"/>
    <mergeCell ref="F42:F54"/>
    <mergeCell ref="G42:G54"/>
    <mergeCell ref="H42:H54"/>
    <mergeCell ref="Y46:Y54"/>
    <mergeCell ref="A29:A41"/>
    <mergeCell ref="B29:B41"/>
    <mergeCell ref="C29:C41"/>
    <mergeCell ref="D29:D41"/>
    <mergeCell ref="E29:E41"/>
    <mergeCell ref="F29:F41"/>
    <mergeCell ref="G29:G41"/>
    <mergeCell ref="H29:H41"/>
    <mergeCell ref="X29:X41"/>
    <mergeCell ref="Y67:Y73"/>
    <mergeCell ref="A74:A78"/>
    <mergeCell ref="B74:B78"/>
    <mergeCell ref="C74:C78"/>
    <mergeCell ref="D74:D78"/>
    <mergeCell ref="E74:E78"/>
    <mergeCell ref="F74:F78"/>
    <mergeCell ref="G74:G78"/>
    <mergeCell ref="H74:H78"/>
    <mergeCell ref="X74:X78"/>
    <mergeCell ref="Y74:Y78"/>
    <mergeCell ref="A67:A73"/>
    <mergeCell ref="B67:B73"/>
    <mergeCell ref="C67:C73"/>
    <mergeCell ref="D67:D73"/>
    <mergeCell ref="E67:E73"/>
    <mergeCell ref="F67:F73"/>
    <mergeCell ref="G67:G73"/>
    <mergeCell ref="H67:H73"/>
    <mergeCell ref="X67:X73"/>
    <mergeCell ref="Y79:Y91"/>
    <mergeCell ref="A92:A103"/>
    <mergeCell ref="B92:B103"/>
    <mergeCell ref="C92:C103"/>
    <mergeCell ref="D92:D103"/>
    <mergeCell ref="E92:E103"/>
    <mergeCell ref="F92:F103"/>
    <mergeCell ref="G92:G103"/>
    <mergeCell ref="H92:H103"/>
    <mergeCell ref="X92:X101"/>
    <mergeCell ref="A79:A91"/>
    <mergeCell ref="B79:B91"/>
    <mergeCell ref="C79:C91"/>
    <mergeCell ref="D79:D91"/>
    <mergeCell ref="E79:E91"/>
    <mergeCell ref="F79:F91"/>
    <mergeCell ref="G79:G91"/>
    <mergeCell ref="H79:H91"/>
    <mergeCell ref="X79:X91"/>
    <mergeCell ref="A104:A115"/>
    <mergeCell ref="B104:B115"/>
    <mergeCell ref="C104:C115"/>
    <mergeCell ref="D104:D115"/>
    <mergeCell ref="E104:E115"/>
    <mergeCell ref="F104:F115"/>
    <mergeCell ref="G104:G115"/>
    <mergeCell ref="H104:H115"/>
    <mergeCell ref="X104:X114"/>
    <mergeCell ref="G116:G126"/>
    <mergeCell ref="H116:H126"/>
    <mergeCell ref="X116:X124"/>
    <mergeCell ref="A127:A133"/>
    <mergeCell ref="B127:B133"/>
    <mergeCell ref="C127:C133"/>
    <mergeCell ref="D127:D133"/>
    <mergeCell ref="E127:E133"/>
    <mergeCell ref="F127:F133"/>
    <mergeCell ref="G127:G133"/>
    <mergeCell ref="A116:A126"/>
    <mergeCell ref="B116:B126"/>
    <mergeCell ref="C116:C126"/>
    <mergeCell ref="D116:D126"/>
    <mergeCell ref="E116:E126"/>
    <mergeCell ref="F116:F126"/>
    <mergeCell ref="B165:C165"/>
    <mergeCell ref="K165:L165"/>
    <mergeCell ref="U165:V165"/>
    <mergeCell ref="B166:C166"/>
    <mergeCell ref="K166:L166"/>
    <mergeCell ref="U166:V166"/>
    <mergeCell ref="H127:H133"/>
    <mergeCell ref="X127:X133"/>
    <mergeCell ref="X136:X158"/>
    <mergeCell ref="B164:C164"/>
    <mergeCell ref="K164:L164"/>
    <mergeCell ref="U164:V164"/>
    <mergeCell ref="G61:G66"/>
    <mergeCell ref="H61:H66"/>
    <mergeCell ref="G55:G60"/>
    <mergeCell ref="H55:H60"/>
    <mergeCell ref="X55:X60"/>
    <mergeCell ref="X42:X54"/>
    <mergeCell ref="A61:A66"/>
    <mergeCell ref="B61:B66"/>
    <mergeCell ref="C61:C66"/>
    <mergeCell ref="D61:D66"/>
    <mergeCell ref="E61:E66"/>
    <mergeCell ref="F61:F66"/>
    <mergeCell ref="B55:B60"/>
    <mergeCell ref="C55:C60"/>
    <mergeCell ref="A55:A60"/>
    <mergeCell ref="D55:D60"/>
    <mergeCell ref="E55:E60"/>
    <mergeCell ref="F55:F60"/>
    <mergeCell ref="X61:X66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THÁNG 1</vt:lpstr>
      <vt:lpstr>THÁNG 2 </vt:lpstr>
      <vt:lpstr>THÁNG 3</vt:lpstr>
      <vt:lpstr>THÁNG 4 </vt:lpstr>
      <vt:lpstr>THÁNG 5 </vt:lpstr>
      <vt:lpstr>THÁNG 6</vt:lpstr>
      <vt:lpstr>THÁNG 7</vt:lpstr>
      <vt:lpstr>THÁNG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2026-02-05T02:18:49Z</dcterms:created>
  <dcterms:modified xsi:type="dcterms:W3CDTF">2026-09-12T12:47:25Z</dcterms:modified>
</cp:coreProperties>
</file>
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3040" windowHeight="9000" firstSheet="1" activeTab="7"/>
  </bookViews>
  <sheets>
    <sheet name="Báo cáo tháng 6" sheetId="1" r:id="rId1"/>
    <sheet name="Báo cáo kinh doanh Tháng 8" sheetId="3" r:id="rId2"/>
    <sheet name="Bảng lương" sheetId="4" r:id="rId3"/>
    <sheet name="HD" sheetId="6" r:id="rId4"/>
    <sheet name="HD theo tòa" sheetId="7" r:id="rId5"/>
    <sheet name="Cập nhật thu tiền" sheetId="8" r:id="rId6"/>
    <sheet name="DS phòng phá hợp đồng" sheetId="9" r:id="rId7"/>
    <sheet name="Sheet10" sheetId="10" r:id="rId8"/>
  </sheets>
  <externalReferences>
    <externalReference r:id="rId9"/>
    <externalReference r:id="rId10"/>
    <externalReference r:id="rId11"/>
    <externalReference r:id="rId12"/>
  </externalReferenc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<sst xmlns="http://schemas.openxmlformats.org/spreadsheetml/2006/main" count="7471" uniqueCount="2828">
  <si>
    <t>BÁO CÁO KINH DOANH G1 THÁNG 6/2026</t>
  </si>
  <si>
    <t>BẢNG CHIA CỔ PHẦN G1</t>
  </si>
  <si>
    <t>Tổng doanh thu tháng 6</t>
  </si>
  <si>
    <t>DT TRÊN HĐ - HOÀN CỌC</t>
  </si>
  <si>
    <t>Tỷ lệ %</t>
  </si>
  <si>
    <t>Vốn</t>
  </si>
  <si>
    <t>LN Gộp</t>
  </si>
  <si>
    <t>LN ròng</t>
  </si>
  <si>
    <t>LNR/GV</t>
  </si>
  <si>
    <t>CP/LNG</t>
  </si>
  <si>
    <t>Tổng nhận</t>
  </si>
  <si>
    <t>Cọc phòng mới</t>
  </si>
  <si>
    <t>P401</t>
  </si>
  <si>
    <t xml:space="preserve">CHUNG </t>
  </si>
  <si>
    <t>P402</t>
  </si>
  <si>
    <t xml:space="preserve">HẰNG </t>
  </si>
  <si>
    <t>TÙNG</t>
  </si>
  <si>
    <t>Cọc khách bỏ không ở</t>
  </si>
  <si>
    <t>P601</t>
  </si>
  <si>
    <t>NGỌC</t>
  </si>
  <si>
    <t>Hoàn Cọc</t>
  </si>
  <si>
    <t>MẠNH</t>
  </si>
  <si>
    <t>HÀO</t>
  </si>
  <si>
    <t>Tổng số phòng phá hđ</t>
  </si>
  <si>
    <t>A ĐIỆP</t>
  </si>
  <si>
    <t>Tổng số phòng mới</t>
  </si>
  <si>
    <t xml:space="preserve">LÂM </t>
  </si>
  <si>
    <t>Tổng số phòng trống</t>
  </si>
  <si>
    <t>HUY ANH</t>
  </si>
  <si>
    <t>Doanh thu tiền phòng</t>
  </si>
  <si>
    <t>Doanh thu điện</t>
  </si>
  <si>
    <t>Doanh thu nước</t>
  </si>
  <si>
    <t>Doanh thu phí vệ sinh</t>
  </si>
  <si>
    <t>Doanh thu mạng</t>
  </si>
  <si>
    <t>Doanh thu xe điện</t>
  </si>
  <si>
    <t>Doanh thu phí thang máy</t>
  </si>
  <si>
    <t>Doanh thu máy giặt</t>
  </si>
  <si>
    <t>Doanh thu tổng dịch vụ nhà</t>
  </si>
  <si>
    <t>Tiền thuê nhà 1 tháng</t>
  </si>
  <si>
    <t xml:space="preserve">Tiền thuê nhà </t>
  </si>
  <si>
    <t>Mua sắm thêm thiết bị</t>
  </si>
  <si>
    <t>1 thùng rác 120L</t>
  </si>
  <si>
    <t>Gía gốc dịch vụ</t>
  </si>
  <si>
    <t xml:space="preserve">Điện </t>
  </si>
  <si>
    <t>Nước</t>
  </si>
  <si>
    <t xml:space="preserve">Mạng </t>
  </si>
  <si>
    <t>Phí thu rác</t>
  </si>
  <si>
    <t>Phí môi trường</t>
  </si>
  <si>
    <t>Phí bảo trì thang máy</t>
  </si>
  <si>
    <t>Gía vốn( GV)</t>
  </si>
  <si>
    <t>Chi phí vận hành</t>
  </si>
  <si>
    <t>Lương quản lý</t>
  </si>
  <si>
    <t>Lương quản lý tổng</t>
  </si>
  <si>
    <t>Lương trưởng phòng vận hành</t>
  </si>
  <si>
    <t>Lương phó phòng vận hành</t>
  </si>
  <si>
    <t>Lương nhân viên nguồn</t>
  </si>
  <si>
    <t>Lương NVKD partime</t>
  </si>
  <si>
    <t>Lương vệ sinh</t>
  </si>
  <si>
    <t>Lương kế toán</t>
  </si>
  <si>
    <t>Lương sửa chữa</t>
  </si>
  <si>
    <t>Lương bảo vệ</t>
  </si>
  <si>
    <t>Thuê và dv VP</t>
  </si>
  <si>
    <t>Chi phí bán hàng phát sinh</t>
  </si>
  <si>
    <t>Phí marketing</t>
  </si>
  <si>
    <t>P601 bỏ cọc</t>
  </si>
  <si>
    <t>Sửa chữa ,thay thế,bảo trì</t>
  </si>
  <si>
    <t>chi phí khác</t>
  </si>
  <si>
    <t>Dọn vệ sinh phòng P601</t>
  </si>
  <si>
    <t>Sơn điểm + Dọn phòng P401</t>
  </si>
  <si>
    <t>Sơn điểm + Dọn phòng p402</t>
  </si>
  <si>
    <t>công an tạm trú</t>
  </si>
  <si>
    <t>1 biển k khóa cổ xe</t>
  </si>
  <si>
    <t>Tổng chi phí bán hàng (CPBH)</t>
  </si>
  <si>
    <t>TỔNG CHI PHÍ (TCP)</t>
  </si>
  <si>
    <t>Lợi nhuận gộp (LNG)</t>
  </si>
  <si>
    <t>DT-GV</t>
  </si>
  <si>
    <t>Lợi nhuận ròng (LNR)</t>
  </si>
  <si>
    <t>DT-TCP</t>
  </si>
  <si>
    <t>Tỷ lệ LNR /DT</t>
  </si>
  <si>
    <t>Tỷ lệ LNG /DT</t>
  </si>
  <si>
    <t>Tỷ lệ LNR /GV</t>
  </si>
  <si>
    <t>Tỷ lệ LNR/LNG</t>
  </si>
  <si>
    <t>GV/DT</t>
  </si>
  <si>
    <t>CPBH/DT</t>
  </si>
  <si>
    <t>TCP/DT</t>
  </si>
  <si>
    <t>LƯƠNG/CPBH</t>
  </si>
  <si>
    <t>HH/CPBH</t>
  </si>
  <si>
    <t>CPK/CPBH</t>
  </si>
  <si>
    <t>BÁO CÁO TỔNG THÁNG 8/2026</t>
  </si>
  <si>
    <t>TỔNG</t>
  </si>
  <si>
    <t>NHÀ T</t>
  </si>
  <si>
    <t>NHÀ S</t>
  </si>
  <si>
    <t>NHÀ G</t>
  </si>
  <si>
    <t>Tổng doanh thu tháng 8</t>
  </si>
  <si>
    <t>Hoàn cọc</t>
  </si>
  <si>
    <t xml:space="preserve">Tổng số phòng trống </t>
  </si>
  <si>
    <t>DOANH THU DỊCH VỤ</t>
  </si>
  <si>
    <t>Lương trưởng nhóm vận hành</t>
  </si>
  <si>
    <t xml:space="preserve">Lương NVKD </t>
  </si>
  <si>
    <t xml:space="preserve">Sửa chữa ,thay thế,bảo trì </t>
  </si>
  <si>
    <t>Chi phí khác</t>
  </si>
  <si>
    <t>DT DV/ GIÁ NHẬP</t>
  </si>
  <si>
    <t>DT TIỀN NHÀ/GIÁ THUÊ NHÀ</t>
  </si>
  <si>
    <t>LNR/DT</t>
  </si>
  <si>
    <t>HT CCMN TIMEHOUSE</t>
  </si>
  <si>
    <t>MST: 0</t>
  </si>
  <si>
    <t>ĐC : P702B, Chung cư 789 Mỹ Đình, Nam Từ Liêm, Hà Nội</t>
  </si>
  <si>
    <t>STK :2120368058 NGUYEN THI HANG. Ngân Hàng BIDV</t>
  </si>
  <si>
    <t>BẢNG HIỆU SUẤT NVVH THÁNG 8</t>
  </si>
  <si>
    <t>THÁNG 7 - NĂM 2026</t>
  </si>
  <si>
    <t>STT</t>
  </si>
  <si>
    <t>Họ và tên</t>
  </si>
  <si>
    <t>Chức vụ</t>
  </si>
  <si>
    <t>Lương cơ bản</t>
  </si>
  <si>
    <t>Phụ cấp ăn trưa</t>
  </si>
  <si>
    <t>Phụ cấp xăng xe</t>
  </si>
  <si>
    <t>Lương  trưởng nhóm</t>
  </si>
  <si>
    <t>Lương hỗ trợ</t>
  </si>
  <si>
    <t>Mã Toà</t>
  </si>
  <si>
    <t>HIỆU SUẤT(%)</t>
  </si>
  <si>
    <t>MỨC LƯƠNG /PHÒNG</t>
  </si>
  <si>
    <t>THỰC NHẬN</t>
  </si>
  <si>
    <t>Số phòng</t>
  </si>
  <si>
    <t>DT NIÊM YẾT</t>
  </si>
  <si>
    <t>DT PHẢI THU</t>
  </si>
  <si>
    <t>DT MỐC 1</t>
  </si>
  <si>
    <t>DT MỐC 2</t>
  </si>
  <si>
    <t>DT MỐC 3</t>
  </si>
  <si>
    <t>TỔNG DT SAU 3 MỐC</t>
  </si>
  <si>
    <t>DỊCH VỤ</t>
  </si>
  <si>
    <t>TỈ LỆ DV/DT</t>
  </si>
  <si>
    <t>DT THU THÊM</t>
  </si>
  <si>
    <t>TỔNG DT THU ĐƯỢC</t>
  </si>
  <si>
    <t>1</t>
  </si>
  <si>
    <t>Đặng Đình Mạnh</t>
  </si>
  <si>
    <t>TPVH</t>
  </si>
  <si>
    <t>2</t>
  </si>
  <si>
    <t>Trần Quang Huy</t>
  </si>
  <si>
    <t>TNVH</t>
  </si>
  <si>
    <t>3</t>
  </si>
  <si>
    <t>Nguyễn Thị Thương Huyền</t>
  </si>
  <si>
    <t>NVVH</t>
  </si>
  <si>
    <t>T3</t>
  </si>
  <si>
    <t>T10</t>
  </si>
  <si>
    <t>T20</t>
  </si>
  <si>
    <t>T22</t>
  </si>
  <si>
    <t>T24</t>
  </si>
  <si>
    <t>T41</t>
  </si>
  <si>
    <t>S26</t>
  </si>
  <si>
    <t>G3</t>
  </si>
  <si>
    <t>G6</t>
  </si>
  <si>
    <t>4</t>
  </si>
  <si>
    <t>Đỗ Thùy Linh</t>
  </si>
  <si>
    <t>T5</t>
  </si>
  <si>
    <t>T21</t>
  </si>
  <si>
    <t>S3</t>
  </si>
  <si>
    <t>S6</t>
  </si>
  <si>
    <t>S7</t>
  </si>
  <si>
    <t>S8</t>
  </si>
  <si>
    <t>S9</t>
  </si>
  <si>
    <t>S10</t>
  </si>
  <si>
    <t>S34</t>
  </si>
  <si>
    <t>S9B</t>
  </si>
  <si>
    <t>S37</t>
  </si>
  <si>
    <t>G4</t>
  </si>
  <si>
    <t>5</t>
  </si>
  <si>
    <t>Nguyễn Văn Ngọc Khải</t>
  </si>
  <si>
    <t>T14</t>
  </si>
  <si>
    <t>T15</t>
  </si>
  <si>
    <t>T18</t>
  </si>
  <si>
    <t>T42</t>
  </si>
  <si>
    <t>S25A</t>
  </si>
  <si>
    <t>S25B</t>
  </si>
  <si>
    <t>S27</t>
  </si>
  <si>
    <t>S30</t>
  </si>
  <si>
    <t>S35</t>
  </si>
  <si>
    <t>S39</t>
  </si>
  <si>
    <t>S49</t>
  </si>
  <si>
    <t>G2</t>
  </si>
  <si>
    <t>Đồng Văn Phương</t>
  </si>
  <si>
    <t>T17</t>
  </si>
  <si>
    <t>T26</t>
  </si>
  <si>
    <t>T30</t>
  </si>
  <si>
    <t>T31</t>
  </si>
  <si>
    <t>T38</t>
  </si>
  <si>
    <t>Đặng Văn Thủy</t>
  </si>
  <si>
    <t>T12</t>
  </si>
  <si>
    <t>T13</t>
  </si>
  <si>
    <t>T44</t>
  </si>
  <si>
    <t>T45</t>
  </si>
  <si>
    <t>S20</t>
  </si>
  <si>
    <t>Đỗ Công Trường</t>
  </si>
  <si>
    <t>S19A</t>
  </si>
  <si>
    <t>S19B</t>
  </si>
  <si>
    <t>S19C</t>
  </si>
  <si>
    <t>G9</t>
  </si>
  <si>
    <t>G10</t>
  </si>
  <si>
    <t>G13</t>
  </si>
  <si>
    <t>Đỗ Thị Nụ</t>
  </si>
  <si>
    <t>S28</t>
  </si>
  <si>
    <t>S36</t>
  </si>
  <si>
    <t>G12A</t>
  </si>
  <si>
    <t>8</t>
  </si>
  <si>
    <t>Nguyễn Công Lâm</t>
  </si>
  <si>
    <t>T8</t>
  </si>
  <si>
    <t>T25</t>
  </si>
  <si>
    <t>T28</t>
  </si>
  <si>
    <t>T33</t>
  </si>
  <si>
    <t>T34</t>
  </si>
  <si>
    <t>T35</t>
  </si>
  <si>
    <t>S16</t>
  </si>
  <si>
    <t>S22</t>
  </si>
  <si>
    <t>S23</t>
  </si>
  <si>
    <t>S24</t>
  </si>
  <si>
    <t>S46</t>
  </si>
  <si>
    <t>G14</t>
  </si>
  <si>
    <t>9</t>
  </si>
  <si>
    <t>Đặng Trung Kiên</t>
  </si>
  <si>
    <t>T7</t>
  </si>
  <si>
    <t>T32</t>
  </si>
  <si>
    <t>S2</t>
  </si>
  <si>
    <t>S14</t>
  </si>
  <si>
    <t>S15</t>
  </si>
  <si>
    <t>S33</t>
  </si>
  <si>
    <t>S38</t>
  </si>
  <si>
    <t>S40</t>
  </si>
  <si>
    <t>S45</t>
  </si>
  <si>
    <t>S50</t>
  </si>
  <si>
    <t>10</t>
  </si>
  <si>
    <t>Đỗ Thanh Hương</t>
  </si>
  <si>
    <t>T11</t>
  </si>
  <si>
    <t>T36</t>
  </si>
  <si>
    <t>T43</t>
  </si>
  <si>
    <t>S5</t>
  </si>
  <si>
    <t>S12</t>
  </si>
  <si>
    <t>S13</t>
  </si>
  <si>
    <t>S21</t>
  </si>
  <si>
    <t>s43</t>
  </si>
  <si>
    <t>S48</t>
  </si>
  <si>
    <t>G1</t>
  </si>
  <si>
    <t>G5</t>
  </si>
  <si>
    <t>Đào Hữu Hoàng Giang</t>
  </si>
  <si>
    <t>T2</t>
  </si>
  <si>
    <t>T27</t>
  </si>
  <si>
    <t>T37</t>
  </si>
  <si>
    <t>S1</t>
  </si>
  <si>
    <t>S18</t>
  </si>
  <si>
    <t>S31</t>
  </si>
  <si>
    <t>S44</t>
  </si>
  <si>
    <t>S47</t>
  </si>
  <si>
    <t>G7</t>
  </si>
  <si>
    <t>G8</t>
  </si>
  <si>
    <t>Trịnh Xuân Hòa Tú</t>
  </si>
  <si>
    <t>S4</t>
  </si>
  <si>
    <t>S17</t>
  </si>
  <si>
    <t>S29</t>
  </si>
  <si>
    <t>S32</t>
  </si>
  <si>
    <t>S42</t>
  </si>
  <si>
    <t>G11</t>
  </si>
  <si>
    <t>HÓA ĐƠN THÁNG 9/2026</t>
  </si>
  <si>
    <t>Xin thông báo để anh/chị biết tiền thuê phòng Tháng 9 và tiền dịch vụ Tháng 9 năm 2026 như sau:</t>
  </si>
  <si>
    <t>Mã KH:</t>
  </si>
  <si>
    <t>606T42A001</t>
  </si>
  <si>
    <t>Phòng số:</t>
  </si>
  <si>
    <t>606T42</t>
  </si>
  <si>
    <t>Ngày chốt số liệu:</t>
  </si>
  <si>
    <t>22/08/2026</t>
  </si>
  <si>
    <t>Nội dung</t>
  </si>
  <si>
    <t>Chỉ số mới</t>
  </si>
  <si>
    <t>Chỉ số cũ</t>
  </si>
  <si>
    <t>Số lượng</t>
  </si>
  <si>
    <t>Hệ số</t>
  </si>
  <si>
    <t>Đơn giá</t>
  </si>
  <si>
    <t>Thành tiền</t>
  </si>
  <si>
    <t>Ghi chú</t>
  </si>
  <si>
    <t>Tiền phòng</t>
  </si>
  <si>
    <t>1,00</t>
  </si>
  <si>
    <t>3.200.000</t>
  </si>
  <si>
    <t>ĐỀ NGHỊ QUÝ KHÁCH HÀNG THANH TOÁN ĐÚNG HẠN NGÀY 31/8 VÀ GHI ĐÚNG NỘI DUNG CK.TRƯỜNG HỢP THANH TOÁN CHẬM PHÍ PHẠT 200K/NGÀY.</t>
  </si>
  <si>
    <t>Tiền cọc phòng (đối với KH mới ở)</t>
  </si>
  <si>
    <t>Điện (số)</t>
  </si>
  <si>
    <t>Nước( khối)</t>
  </si>
  <si>
    <t>DV Vệ sinh</t>
  </si>
  <si>
    <t>DV Internet (phòng)</t>
  </si>
  <si>
    <t>DV Thang máy (người)</t>
  </si>
  <si>
    <t>DV Gửi xe</t>
  </si>
  <si>
    <t>Máy giặt</t>
  </si>
  <si>
    <t>DV khác/DV Combo</t>
  </si>
  <si>
    <t>Nợ cũ</t>
  </si>
  <si>
    <t>Điện chung</t>
  </si>
  <si>
    <t>TỔNG CỘNG TIỀN THANH TOÁN</t>
  </si>
  <si>
    <t>4.548.000</t>
  </si>
  <si>
    <t>Yêu cầu khách hàng thanh toán đầy đủ và đúng hạn từ ngày 25 đến ngày 31 tháng 8 năm 2026</t>
  </si>
  <si>
    <t>Quá thời hạn thanh toán trên, nếu khách hàng chưa thanh toán thì Ban Quản Lý Tòa Nhà sẽ cắt dịch vụ và trục xuất ra khỏi phòng</t>
  </si>
  <si>
    <t>Nội dung chuyển khoản:</t>
  </si>
  <si>
    <t>LƯU Ý: QUÝ KHÁCH HÀNG CHUYỂN KHOẢN KHÔNG ĐÚNG NỘI DUNG KẾ TOÁN KHÔNG CHECK ĐƯỢC SẼ TÍNH LÀ CHƯA THANH TOÁN. TRÂN TRỌNG !</t>
  </si>
  <si>
    <t>TK 19037617156018- Techcombank -Nguyễn Thị Hằng</t>
  </si>
  <si>
    <t>TRÂN TRỌNG THÔNG BÁO</t>
  </si>
  <si>
    <t>Mã</t>
  </si>
  <si>
    <t>Tòa</t>
  </si>
  <si>
    <t>Phòng</t>
  </si>
  <si>
    <t>Quản lý</t>
  </si>
  <si>
    <t>Kỳ TT</t>
  </si>
  <si>
    <t>CỌC KHÁCH CŨ</t>
  </si>
  <si>
    <t>Giá Niêm yết</t>
  </si>
  <si>
    <t>Giá QL</t>
  </si>
  <si>
    <t>Gía phòng hiện tại</t>
  </si>
  <si>
    <t>CỌC</t>
  </si>
  <si>
    <t>Ngày ở</t>
  </si>
  <si>
    <t>Ngày DV</t>
  </si>
  <si>
    <t>Nợ Cũ</t>
  </si>
  <si>
    <t>Thu khác</t>
  </si>
  <si>
    <t>Số người</t>
  </si>
  <si>
    <t>Điện</t>
  </si>
  <si>
    <t xml:space="preserve"> VỆ SINH</t>
  </si>
  <si>
    <t xml:space="preserve"> MẠNG</t>
  </si>
  <si>
    <t>THANG MÁY</t>
  </si>
  <si>
    <t>XE ĐIỆN</t>
  </si>
  <si>
    <t>DV khác</t>
  </si>
  <si>
    <t>ĐIỆN CHIUNG</t>
  </si>
  <si>
    <t>Tổng DV</t>
  </si>
  <si>
    <t>Tổng cần đóng</t>
  </si>
  <si>
    <t>Ghi Chú Hóa đơn</t>
  </si>
  <si>
    <t>Tổng đã đóng</t>
  </si>
  <si>
    <t>Tình trạng</t>
  </si>
  <si>
    <t xml:space="preserve">CÔNG NỢ </t>
  </si>
  <si>
    <t>NGÀY VÀO Ở</t>
  </si>
  <si>
    <t>THỜI HẠN</t>
  </si>
  <si>
    <t>NGÀY HẾT HẠN HD</t>
  </si>
  <si>
    <t>NỘI THẤT</t>
  </si>
  <si>
    <t>NƯỚC PHÒNG HẾT HĐ</t>
  </si>
  <si>
    <t>1.815.650.000</t>
  </si>
  <si>
    <t>1.931.800.000</t>
  </si>
  <si>
    <t>1.821.700.000</t>
  </si>
  <si>
    <t>1.819.080.000</t>
  </si>
  <si>
    <t>245.700.000</t>
  </si>
  <si>
    <t>3.976.226</t>
  </si>
  <si>
    <t>5.422.963</t>
  </si>
  <si>
    <t>5.512.038</t>
  </si>
  <si>
    <t>2.017.700</t>
  </si>
  <si>
    <t>354.342.200</t>
  </si>
  <si>
    <t>46.422.000</t>
  </si>
  <si>
    <t>85.280.000</t>
  </si>
  <si>
    <t>7.460.000</t>
  </si>
  <si>
    <t>9.670.000</t>
  </si>
  <si>
    <t>50.200.000</t>
  </si>
  <si>
    <t>39.720.000</t>
  </si>
  <si>
    <t>10.450.000</t>
  </si>
  <si>
    <t>15.530.000</t>
  </si>
  <si>
    <t>7.750.000</t>
  </si>
  <si>
    <t>7.500.000</t>
  </si>
  <si>
    <t>17.040.000</t>
  </si>
  <si>
    <t>14.510.000</t>
  </si>
  <si>
    <t>39.175.000</t>
  </si>
  <si>
    <t>64.336.000</t>
  </si>
  <si>
    <t>-31.633.489</t>
  </si>
  <si>
    <t>2.808.200</t>
  </si>
  <si>
    <t>+</t>
  </si>
  <si>
    <t>CS cu</t>
  </si>
  <si>
    <t>Cs moi</t>
  </si>
  <si>
    <t>SL</t>
  </si>
  <si>
    <t>CS moi</t>
  </si>
  <si>
    <t xml:space="preserve"> SL</t>
  </si>
  <si>
    <t xml:space="preserve">591.254.867 </t>
  </si>
  <si>
    <t xml:space="preserve">2.627.786.318 </t>
  </si>
  <si>
    <t xml:space="preserve"> 2.596.152.829 </t>
  </si>
  <si>
    <t>(31.633.489)</t>
  </si>
  <si>
    <t>1.896.443</t>
  </si>
  <si>
    <t>1.911.026</t>
  </si>
  <si>
    <t>CS CŨ</t>
  </si>
  <si>
    <t>CS MỚI</t>
  </si>
  <si>
    <t>SỐ LƯỢNG</t>
  </si>
  <si>
    <t>ĐƠN GIÁ</t>
  </si>
  <si>
    <t>THÀNH TIỀN</t>
  </si>
  <si>
    <t>101T17</t>
  </si>
  <si>
    <t>ĐỒNG VĂN PHƯƠNG</t>
  </si>
  <si>
    <t>3.600.000</t>
  </si>
  <si>
    <t>3.800.000</t>
  </si>
  <si>
    <t>1.264.000</t>
  </si>
  <si>
    <t xml:space="preserve">  1,00   </t>
  </si>
  <si>
    <t xml:space="preserve">1.604.000 </t>
  </si>
  <si>
    <t xml:space="preserve">5.204.000 </t>
  </si>
  <si>
    <t>5.204.000</t>
  </si>
  <si>
    <t>Đủ</t>
  </si>
  <si>
    <t>201T17</t>
  </si>
  <si>
    <t>3.700.000</t>
  </si>
  <si>
    <t>4.000.000</t>
  </si>
  <si>
    <t xml:space="preserve">1.520.000 </t>
  </si>
  <si>
    <t xml:space="preserve">5.220.000 </t>
  </si>
  <si>
    <t>5.220.000</t>
  </si>
  <si>
    <t>202T17</t>
  </si>
  <si>
    <t>4.500.000</t>
  </si>
  <si>
    <t>chuyển lên P501</t>
  </si>
  <si>
    <t>Chưa TT</t>
  </si>
  <si>
    <t>301T17</t>
  </si>
  <si>
    <t>3.300.000</t>
  </si>
  <si>
    <t xml:space="preserve">1.428.000 </t>
  </si>
  <si>
    <t xml:space="preserve">4.728.000 </t>
  </si>
  <si>
    <t>4.728.000</t>
  </si>
  <si>
    <t>302T17</t>
  </si>
  <si>
    <t>3.900.000</t>
  </si>
  <si>
    <t xml:space="preserve">1.260.000 </t>
  </si>
  <si>
    <t xml:space="preserve">5.160.000 </t>
  </si>
  <si>
    <t>5.160.000</t>
  </si>
  <si>
    <t>401T17</t>
  </si>
  <si>
    <t xml:space="preserve">3.872.000 </t>
  </si>
  <si>
    <t>3.872.000</t>
  </si>
  <si>
    <t>402T17</t>
  </si>
  <si>
    <t>4.200.000</t>
  </si>
  <si>
    <t>4.400.000</t>
  </si>
  <si>
    <t xml:space="preserve">8.620.000 </t>
  </si>
  <si>
    <t>kh mới 1/9 chốt giá 4tr2 , kh k ở tháng 8 hỗ trợ dvc 120k</t>
  </si>
  <si>
    <t>8.620.000</t>
  </si>
  <si>
    <t>501T17</t>
  </si>
  <si>
    <t xml:space="preserve">4.140.000 </t>
  </si>
  <si>
    <t>kh mới 1/9 chốt giá 3tr8, bỏ cọc báo bỏ 3/9, P202 chuyển lên</t>
  </si>
  <si>
    <t>2.500.000</t>
  </si>
  <si>
    <t>Thiếu</t>
  </si>
  <si>
    <t>-1.640.000</t>
  </si>
  <si>
    <t>502T17</t>
  </si>
  <si>
    <t>4.300.000</t>
  </si>
  <si>
    <t>1.088.000</t>
  </si>
  <si>
    <t xml:space="preserve">5.728.000 </t>
  </si>
  <si>
    <t xml:space="preserve"> 5.728.000 </t>
  </si>
  <si>
    <t>101T18</t>
  </si>
  <si>
    <t>NGUYỄN NGỌC VĂN KHẢI</t>
  </si>
  <si>
    <t>3.100.000</t>
  </si>
  <si>
    <t xml:space="preserve">1.392.000 </t>
  </si>
  <si>
    <t xml:space="preserve">4.492.000 </t>
  </si>
  <si>
    <t xml:space="preserve"> 4.492.000 </t>
  </si>
  <si>
    <t>201T18</t>
  </si>
  <si>
    <t xml:space="preserve">6.840.000 </t>
  </si>
  <si>
    <t>kh mới 1/9 chốt giá 3tr3 5/9 thanh toán</t>
  </si>
  <si>
    <t>6.840.000</t>
  </si>
  <si>
    <t>202T18</t>
  </si>
  <si>
    <t xml:space="preserve">3.796.000 </t>
  </si>
  <si>
    <t xml:space="preserve"> 3.796.000 </t>
  </si>
  <si>
    <t>6th</t>
  </si>
  <si>
    <t>28/2/2027</t>
  </si>
  <si>
    <t>kh nhượng</t>
  </si>
  <si>
    <t>203T18</t>
  </si>
  <si>
    <t xml:space="preserve">1.388.000 </t>
  </si>
  <si>
    <t xml:space="preserve">4.588.000 </t>
  </si>
  <si>
    <t xml:space="preserve"> 4.588.000 </t>
  </si>
  <si>
    <t>204T18</t>
  </si>
  <si>
    <t>3.000.000</t>
  </si>
  <si>
    <t xml:space="preserve">1.300.000 </t>
  </si>
  <si>
    <t xml:space="preserve">4.300.000 </t>
  </si>
  <si>
    <t xml:space="preserve">tháng 9 ở 2 </t>
  </si>
  <si>
    <t xml:space="preserve"> 4.300.000 </t>
  </si>
  <si>
    <t>301T18</t>
  </si>
  <si>
    <t>1.372.000</t>
  </si>
  <si>
    <t xml:space="preserve">1.952.000 </t>
  </si>
  <si>
    <t xml:space="preserve">5.152.000 </t>
  </si>
  <si>
    <t>5/9 báo cáo lại</t>
  </si>
  <si>
    <t xml:space="preserve"> 5.152.000 </t>
  </si>
  <si>
    <t>302T18</t>
  </si>
  <si>
    <t>3.080.000</t>
  </si>
  <si>
    <t xml:space="preserve">1.096.000 </t>
  </si>
  <si>
    <t xml:space="preserve">7.476.000 </t>
  </si>
  <si>
    <t>kh mới 3/9 chốt giá 3tr3,4921k tiền mặt, tháng 10 chỉnh giá hiện tại</t>
  </si>
  <si>
    <t xml:space="preserve"> 7.476.000 </t>
  </si>
  <si>
    <t>303T18</t>
  </si>
  <si>
    <t xml:space="preserve">4.320.000 </t>
  </si>
  <si>
    <t>khách 302 chuyển sang</t>
  </si>
  <si>
    <t xml:space="preserve"> 4.320.000 </t>
  </si>
  <si>
    <t>304T18</t>
  </si>
  <si>
    <t xml:space="preserve">1.156.000 </t>
  </si>
  <si>
    <t xml:space="preserve">4.356.000 </t>
  </si>
  <si>
    <t xml:space="preserve"> 4.356.000 </t>
  </si>
  <si>
    <t>401T18</t>
  </si>
  <si>
    <t xml:space="preserve">7.180.000 </t>
  </si>
  <si>
    <t xml:space="preserve">kh mới 1/9 chốt giá 3tr3 </t>
  </si>
  <si>
    <t>7.180.000</t>
  </si>
  <si>
    <t>12th</t>
  </si>
  <si>
    <t>30/8/2027</t>
  </si>
  <si>
    <t>402T18</t>
  </si>
  <si>
    <t xml:space="preserve">1.084.000 </t>
  </si>
  <si>
    <t xml:space="preserve">4.384.000 </t>
  </si>
  <si>
    <t xml:space="preserve"> 4.384.000 </t>
  </si>
  <si>
    <t>13th</t>
  </si>
  <si>
    <t>403T18</t>
  </si>
  <si>
    <t xml:space="preserve">7.330.000 </t>
  </si>
  <si>
    <t>kh mới 1/9 chốt giá 3tr3</t>
  </si>
  <si>
    <t xml:space="preserve"> 7.330.000 </t>
  </si>
  <si>
    <t>404T18</t>
  </si>
  <si>
    <t xml:space="preserve">1.268.000 </t>
  </si>
  <si>
    <t xml:space="preserve">4.268.000 </t>
  </si>
  <si>
    <t xml:space="preserve"> 4.268.000 </t>
  </si>
  <si>
    <t>501T18</t>
  </si>
  <si>
    <t xml:space="preserve">1.180.000 </t>
  </si>
  <si>
    <t xml:space="preserve">4.380.000 </t>
  </si>
  <si>
    <t xml:space="preserve"> 4.380.000 </t>
  </si>
  <si>
    <t>502T18</t>
  </si>
  <si>
    <t xml:space="preserve">1.104.000 </t>
  </si>
  <si>
    <t xml:space="preserve">4.104.000 </t>
  </si>
  <si>
    <t xml:space="preserve"> 4.104.000 </t>
  </si>
  <si>
    <t>503T18</t>
  </si>
  <si>
    <t>2.900.000</t>
  </si>
  <si>
    <t xml:space="preserve">3.888.000 </t>
  </si>
  <si>
    <t xml:space="preserve"> 3.888.000 </t>
  </si>
  <si>
    <t>504T18</t>
  </si>
  <si>
    <t xml:space="preserve">3.544.000 </t>
  </si>
  <si>
    <t xml:space="preserve"> 3.544.000 </t>
  </si>
  <si>
    <t>601T18</t>
  </si>
  <si>
    <t xml:space="preserve">3.540.000 </t>
  </si>
  <si>
    <t>6/9 thanh toán đủ</t>
  </si>
  <si>
    <t xml:space="preserve"> 3.540.000 </t>
  </si>
  <si>
    <t>7th</t>
  </si>
  <si>
    <t>phòng nhượng</t>
  </si>
  <si>
    <t>602T18</t>
  </si>
  <si>
    <t xml:space="preserve">4.144.000 </t>
  </si>
  <si>
    <t xml:space="preserve">P601 chuyển sang </t>
  </si>
  <si>
    <t xml:space="preserve"> 4.144.000 </t>
  </si>
  <si>
    <t>101T12</t>
  </si>
  <si>
    <t>ĐẶNG VĂN THỦY</t>
  </si>
  <si>
    <t xml:space="preserve">4.994.000 </t>
  </si>
  <si>
    <t xml:space="preserve"> 4.994.000 </t>
  </si>
  <si>
    <t>201T12</t>
  </si>
  <si>
    <t xml:space="preserve">4.919.226 </t>
  </si>
  <si>
    <t>quản lý điền số điện đầu, có nợ cũ</t>
  </si>
  <si>
    <t xml:space="preserve"> 4.920.000 </t>
  </si>
  <si>
    <t>Thừa</t>
  </si>
  <si>
    <t>202T12</t>
  </si>
  <si>
    <t>4.600.000</t>
  </si>
  <si>
    <t xml:space="preserve">4.993.000 </t>
  </si>
  <si>
    <t xml:space="preserve"> 4.993.000 </t>
  </si>
  <si>
    <t>301T12</t>
  </si>
  <si>
    <t xml:space="preserve">1.133.000 </t>
  </si>
  <si>
    <t xml:space="preserve">5.233.000 </t>
  </si>
  <si>
    <t>tăng 200k</t>
  </si>
  <si>
    <t xml:space="preserve"> 5.233.000 </t>
  </si>
  <si>
    <t>302T12</t>
  </si>
  <si>
    <t xml:space="preserve">4.328.000 </t>
  </si>
  <si>
    <t xml:space="preserve"> 4.328.000 </t>
  </si>
  <si>
    <t>401T12</t>
  </si>
  <si>
    <t xml:space="preserve">5.100.000 </t>
  </si>
  <si>
    <t xml:space="preserve"> 5.100.000 </t>
  </si>
  <si>
    <t>402T12</t>
  </si>
  <si>
    <t xml:space="preserve">4.788.000 </t>
  </si>
  <si>
    <t xml:space="preserve"> 4.788.000 </t>
  </si>
  <si>
    <t>501T12</t>
  </si>
  <si>
    <t>1.488.000</t>
  </si>
  <si>
    <t xml:space="preserve">2.358.000 </t>
  </si>
  <si>
    <t xml:space="preserve">6.158.000 </t>
  </si>
  <si>
    <t xml:space="preserve"> 6.158.000 </t>
  </si>
  <si>
    <t>502T12</t>
  </si>
  <si>
    <t>1.212.000</t>
  </si>
  <si>
    <t xml:space="preserve">1.602.000 </t>
  </si>
  <si>
    <t xml:space="preserve">5.602.000 </t>
  </si>
  <si>
    <t xml:space="preserve"> 5.602.000 </t>
  </si>
  <si>
    <t>101T13</t>
  </si>
  <si>
    <t>3.500.000</t>
  </si>
  <si>
    <t xml:space="preserve">4.178.000 </t>
  </si>
  <si>
    <t>tăng 100k</t>
  </si>
  <si>
    <t xml:space="preserve"> 4.178.000 </t>
  </si>
  <si>
    <t>201T13</t>
  </si>
  <si>
    <t xml:space="preserve">7.400.000 </t>
  </si>
  <si>
    <t xml:space="preserve">kh mới 1/9 chốt giá 3tr5 </t>
  </si>
  <si>
    <t>7.400.000</t>
  </si>
  <si>
    <t>202T13</t>
  </si>
  <si>
    <t>1.760.000</t>
  </si>
  <si>
    <t xml:space="preserve">2.440.000 </t>
  </si>
  <si>
    <t xml:space="preserve">6.440.000 </t>
  </si>
  <si>
    <t>8/9 tt đue</t>
  </si>
  <si>
    <t xml:space="preserve"> 5.940.000 </t>
  </si>
  <si>
    <t>301T13</t>
  </si>
  <si>
    <t>1.120.000</t>
  </si>
  <si>
    <t xml:space="preserve">1.655.000 </t>
  </si>
  <si>
    <t xml:space="preserve">5.455.000 </t>
  </si>
  <si>
    <t xml:space="preserve"> 5.455.000 </t>
  </si>
  <si>
    <t>302T13</t>
  </si>
  <si>
    <t>kh mới 1/9 chốt giá 3tr5</t>
  </si>
  <si>
    <t>401T13</t>
  </si>
  <si>
    <t>1.148.000</t>
  </si>
  <si>
    <t xml:space="preserve">1.993.000 </t>
  </si>
  <si>
    <t xml:space="preserve">5.793.000 </t>
  </si>
  <si>
    <t xml:space="preserve"> 5.793.000 </t>
  </si>
  <si>
    <t>402T13</t>
  </si>
  <si>
    <t>1.024.000</t>
  </si>
  <si>
    <t xml:space="preserve">1.414.000 </t>
  </si>
  <si>
    <t xml:space="preserve">5.014.000 </t>
  </si>
  <si>
    <t xml:space="preserve"> 5.014.000 </t>
  </si>
  <si>
    <t>501T13</t>
  </si>
  <si>
    <t>1.228.000</t>
  </si>
  <si>
    <t xml:space="preserve">1.778.000 </t>
  </si>
  <si>
    <t xml:space="preserve">5.478.000 </t>
  </si>
  <si>
    <t xml:space="preserve"> 5.478.000 </t>
  </si>
  <si>
    <t>502T13</t>
  </si>
  <si>
    <t>1.184.000</t>
  </si>
  <si>
    <t xml:space="preserve">2.004.000 </t>
  </si>
  <si>
    <t xml:space="preserve">5.804.000 </t>
  </si>
  <si>
    <t>BÊN BIDV 30/8</t>
  </si>
  <si>
    <t xml:space="preserve"> 5.804.000 </t>
  </si>
  <si>
    <t>601T13</t>
  </si>
  <si>
    <t xml:space="preserve">8.000.000 </t>
  </si>
  <si>
    <t xml:space="preserve">kh mới 1/9 chốt giá 3tr8 </t>
  </si>
  <si>
    <t xml:space="preserve"> 8.000.000 </t>
  </si>
  <si>
    <t>602T13</t>
  </si>
  <si>
    <t>1.260.000</t>
  </si>
  <si>
    <t xml:space="preserve">1.805.000 </t>
  </si>
  <si>
    <t xml:space="preserve">5.405.000 </t>
  </si>
  <si>
    <t xml:space="preserve"> 5.405.000 </t>
  </si>
  <si>
    <t>101T14</t>
  </si>
  <si>
    <t xml:space="preserve">1.068.000 </t>
  </si>
  <si>
    <t xml:space="preserve">4.868.000 </t>
  </si>
  <si>
    <t>tăng 300k</t>
  </si>
  <si>
    <t xml:space="preserve"> 4.868.000 </t>
  </si>
  <si>
    <t>102T14</t>
  </si>
  <si>
    <t>3.400.000</t>
  </si>
  <si>
    <t xml:space="preserve">4.660.000 </t>
  </si>
  <si>
    <t xml:space="preserve"> 4.660.000 </t>
  </si>
  <si>
    <t>103T14</t>
  </si>
  <si>
    <t xml:space="preserve">7.700.000 </t>
  </si>
  <si>
    <t>kh mới 1/9 chốt giá 3tr5 , 5/9 tt đủ</t>
  </si>
  <si>
    <t>7.700.000</t>
  </si>
  <si>
    <t>104T14</t>
  </si>
  <si>
    <t>201T14</t>
  </si>
  <si>
    <t>1.860.000</t>
  </si>
  <si>
    <t xml:space="preserve">2.040.000 </t>
  </si>
  <si>
    <t xml:space="preserve">5.040.000 </t>
  </si>
  <si>
    <t>a đạt ở, tăng 200k, 5/9 tt đủ</t>
  </si>
  <si>
    <t xml:space="preserve"> 5.040.000 </t>
  </si>
  <si>
    <t>202T14</t>
  </si>
  <si>
    <t>1.292.000</t>
  </si>
  <si>
    <t xml:space="preserve">1.852.000 </t>
  </si>
  <si>
    <t xml:space="preserve">5.352.000 </t>
  </si>
  <si>
    <t xml:space="preserve"> 5.352.000 </t>
  </si>
  <si>
    <t>203T14</t>
  </si>
  <si>
    <t xml:space="preserve">1.228.000 </t>
  </si>
  <si>
    <t xml:space="preserve">4.628.000 </t>
  </si>
  <si>
    <t xml:space="preserve"> 4.628.000 </t>
  </si>
  <si>
    <t>204T14</t>
  </si>
  <si>
    <t xml:space="preserve">1.608.000 </t>
  </si>
  <si>
    <t xml:space="preserve">5.308.000 </t>
  </si>
  <si>
    <t>7/9 tt đủ</t>
  </si>
  <si>
    <t xml:space="preserve"> 5.308.000 </t>
  </si>
  <si>
    <t>301T14</t>
  </si>
  <si>
    <t xml:space="preserve">3.588.000 </t>
  </si>
  <si>
    <t>từ 200k hàng tháng</t>
  </si>
  <si>
    <t xml:space="preserve"> 3.588.000 </t>
  </si>
  <si>
    <t>302T14</t>
  </si>
  <si>
    <t xml:space="preserve">1.864.000 </t>
  </si>
  <si>
    <t xml:space="preserve">5.364.000 </t>
  </si>
  <si>
    <t xml:space="preserve"> 5.364.000 </t>
  </si>
  <si>
    <t>303T14</t>
  </si>
  <si>
    <t xml:space="preserve">1.100.000 </t>
  </si>
  <si>
    <t xml:space="preserve">4.600.000 </t>
  </si>
  <si>
    <t>hỗ trợ dv nước, thang máy, máy giặt kh về quê, dvc 120k, tháng 9 tính bt</t>
  </si>
  <si>
    <t xml:space="preserve"> 4.600.000 </t>
  </si>
  <si>
    <t>304T14</t>
  </si>
  <si>
    <t>2.248.000</t>
  </si>
  <si>
    <t xml:space="preserve">2.708.000 </t>
  </si>
  <si>
    <t xml:space="preserve">6.208.000 </t>
  </si>
  <si>
    <t>6/9 tt</t>
  </si>
  <si>
    <t xml:space="preserve"> 6.208.000 </t>
  </si>
  <si>
    <t>401T14</t>
  </si>
  <si>
    <t xml:space="preserve">4.180.000 </t>
  </si>
  <si>
    <t xml:space="preserve"> 4.180.000 </t>
  </si>
  <si>
    <t>402T14</t>
  </si>
  <si>
    <t xml:space="preserve">1.168.000 </t>
  </si>
  <si>
    <t xml:space="preserve">4.968.000 </t>
  </si>
  <si>
    <t xml:space="preserve"> 4.968.000 </t>
  </si>
  <si>
    <t>403T14</t>
  </si>
  <si>
    <t xml:space="preserve">2.248.000 </t>
  </si>
  <si>
    <t xml:space="preserve">6.048.000 </t>
  </si>
  <si>
    <t xml:space="preserve"> 6.048.000 </t>
  </si>
  <si>
    <t>404T14</t>
  </si>
  <si>
    <t xml:space="preserve">2.262.000 </t>
  </si>
  <si>
    <t xml:space="preserve">5.762.000 </t>
  </si>
  <si>
    <t xml:space="preserve"> 5.762.000 </t>
  </si>
  <si>
    <t>501T14</t>
  </si>
  <si>
    <t xml:space="preserve">1.000.000 </t>
  </si>
  <si>
    <t xml:space="preserve">8.200.000 </t>
  </si>
  <si>
    <t xml:space="preserve">kh mới 1/9 chốt giá 3tr6 </t>
  </si>
  <si>
    <t>8.200.000</t>
  </si>
  <si>
    <t>502T14</t>
  </si>
  <si>
    <t xml:space="preserve">1.472.000 </t>
  </si>
  <si>
    <t xml:space="preserve">4.672.000 </t>
  </si>
  <si>
    <t xml:space="preserve"> 4.672.000 </t>
  </si>
  <si>
    <t>503T14</t>
  </si>
  <si>
    <t xml:space="preserve">4.632.000 </t>
  </si>
  <si>
    <t xml:space="preserve"> 4.632.000 </t>
  </si>
  <si>
    <t>101T15</t>
  </si>
  <si>
    <t>1.108.000</t>
  </si>
  <si>
    <t xml:space="preserve">1.538.000 </t>
  </si>
  <si>
    <t xml:space="preserve">5.238.000 </t>
  </si>
  <si>
    <t>tăng giá 300k</t>
  </si>
  <si>
    <t>5.238.000</t>
  </si>
  <si>
    <t>201T15</t>
  </si>
  <si>
    <t>1.236.000</t>
  </si>
  <si>
    <t xml:space="preserve">1.916.000 </t>
  </si>
  <si>
    <t xml:space="preserve">5.716.000 </t>
  </si>
  <si>
    <t>kh đóng thừa</t>
  </si>
  <si>
    <t>5.761.000</t>
  </si>
  <si>
    <t>202T15</t>
  </si>
  <si>
    <t xml:space="preserve">4.264.000 </t>
  </si>
  <si>
    <t>quản lý điền số điện đầu</t>
  </si>
  <si>
    <t>4.264.000</t>
  </si>
  <si>
    <t>203T15</t>
  </si>
  <si>
    <t xml:space="preserve">1.676.000 </t>
  </si>
  <si>
    <t xml:space="preserve">5.876.000 </t>
  </si>
  <si>
    <t>5.976.000</t>
  </si>
  <si>
    <t>301T15</t>
  </si>
  <si>
    <t xml:space="preserve">1.332.000 </t>
  </si>
  <si>
    <t xml:space="preserve">5.132.000 </t>
  </si>
  <si>
    <t>5/9 tt đủ</t>
  </si>
  <si>
    <t>5.132.000</t>
  </si>
  <si>
    <t>302T15</t>
  </si>
  <si>
    <t xml:space="preserve">1.504.000 </t>
  </si>
  <si>
    <t xml:space="preserve">5.504.000 </t>
  </si>
  <si>
    <t>5.504.000</t>
  </si>
  <si>
    <t>303T15</t>
  </si>
  <si>
    <t xml:space="preserve">8.640.000 </t>
  </si>
  <si>
    <t xml:space="preserve">kh mới 1/9 chốt giá 4tr </t>
  </si>
  <si>
    <t>8.640.000</t>
  </si>
  <si>
    <t>401T15</t>
  </si>
  <si>
    <t xml:space="preserve">5.068.000 </t>
  </si>
  <si>
    <t>5.068.000</t>
  </si>
  <si>
    <t>402T15</t>
  </si>
  <si>
    <t xml:space="preserve">1.258.000 </t>
  </si>
  <si>
    <t xml:space="preserve">5.258.000 </t>
  </si>
  <si>
    <t>5.258.000</t>
  </si>
  <si>
    <t>403T15</t>
  </si>
  <si>
    <t xml:space="preserve">4.103.000 </t>
  </si>
  <si>
    <t>4.103.000</t>
  </si>
  <si>
    <t>501T15</t>
  </si>
  <si>
    <t xml:space="preserve">4.426.000 </t>
  </si>
  <si>
    <t>4.426.000</t>
  </si>
  <si>
    <t>502T15</t>
  </si>
  <si>
    <t>1.716.000</t>
  </si>
  <si>
    <t xml:space="preserve">2.951.000 </t>
  </si>
  <si>
    <t xml:space="preserve">6.151.000 </t>
  </si>
  <si>
    <t>6.151.000</t>
  </si>
  <si>
    <t>503T15</t>
  </si>
  <si>
    <t xml:space="preserve">4.984.000 </t>
  </si>
  <si>
    <t>4.984.000</t>
  </si>
  <si>
    <t>601T15</t>
  </si>
  <si>
    <t xml:space="preserve">1.036.000 </t>
  </si>
  <si>
    <t xml:space="preserve">5.036.000 </t>
  </si>
  <si>
    <t>5.036.000</t>
  </si>
  <si>
    <t>602T15</t>
  </si>
  <si>
    <t xml:space="preserve">4.546.000 </t>
  </si>
  <si>
    <t>4.546.000</t>
  </si>
  <si>
    <t>603T15</t>
  </si>
  <si>
    <t xml:space="preserve">5.168.000 </t>
  </si>
  <si>
    <t>5.168.000</t>
  </si>
  <si>
    <t>701T15</t>
  </si>
  <si>
    <t xml:space="preserve">8.060.000 </t>
  </si>
  <si>
    <t>kh mới 1/9 chốt giá 3tr8</t>
  </si>
  <si>
    <t>8.060.000</t>
  </si>
  <si>
    <t>702T15</t>
  </si>
  <si>
    <t xml:space="preserve">1.730.000 </t>
  </si>
  <si>
    <t xml:space="preserve">5.530.000 </t>
  </si>
  <si>
    <t>5.530.000</t>
  </si>
  <si>
    <t>703T15</t>
  </si>
  <si>
    <t>1.144.000</t>
  </si>
  <si>
    <t xml:space="preserve">1.674.000 </t>
  </si>
  <si>
    <t xml:space="preserve">4.874.000 </t>
  </si>
  <si>
    <t>4.874.000</t>
  </si>
  <si>
    <t>101T10</t>
  </si>
  <si>
    <t>ĐỖ THUỲ LINH</t>
  </si>
  <si>
    <t xml:space="preserve">5.232.000 </t>
  </si>
  <si>
    <t>Tăng 200k</t>
  </si>
  <si>
    <t xml:space="preserve"> 5.232.000 </t>
  </si>
  <si>
    <t>201T10</t>
  </si>
  <si>
    <t xml:space="preserve">4.372.000 </t>
  </si>
  <si>
    <t>P401 chuyển lên, nợ cũ là tiền điện P401 và 202</t>
  </si>
  <si>
    <t xml:space="preserve"> 4.374.000 </t>
  </si>
  <si>
    <t>202T10</t>
  </si>
  <si>
    <t xml:space="preserve">8.180.000 </t>
  </si>
  <si>
    <t>8.180.000</t>
  </si>
  <si>
    <t>301T10</t>
  </si>
  <si>
    <t xml:space="preserve">1.216.000 </t>
  </si>
  <si>
    <t xml:space="preserve">4.716.000 </t>
  </si>
  <si>
    <t xml:space="preserve"> 4.716.000 </t>
  </si>
  <si>
    <t>302T10</t>
  </si>
  <si>
    <t xml:space="preserve">4.530.000 </t>
  </si>
  <si>
    <t xml:space="preserve"> 4.530.000 </t>
  </si>
  <si>
    <t>401T10</t>
  </si>
  <si>
    <t xml:space="preserve">1.248.000 </t>
  </si>
  <si>
    <t xml:space="preserve">5.148.000 </t>
  </si>
  <si>
    <t xml:space="preserve"> 5.148.000 </t>
  </si>
  <si>
    <t>402T10</t>
  </si>
  <si>
    <t>1.412.000</t>
  </si>
  <si>
    <t xml:space="preserve">1.992.000 </t>
  </si>
  <si>
    <t xml:space="preserve">5.892.000 </t>
  </si>
  <si>
    <t xml:space="preserve"> 5.892.000 </t>
  </si>
  <si>
    <t>501T10</t>
  </si>
  <si>
    <t>4.100.000</t>
  </si>
  <si>
    <t>1.200.000</t>
  </si>
  <si>
    <t xml:space="preserve">1.680.000 </t>
  </si>
  <si>
    <t xml:space="preserve">5.780.000 </t>
  </si>
  <si>
    <t xml:space="preserve"> 5.780.000 </t>
  </si>
  <si>
    <t>101T11</t>
  </si>
  <si>
    <t>ĐỖ THANH HƯƠNG</t>
  </si>
  <si>
    <t xml:space="preserve">7.580.000 </t>
  </si>
  <si>
    <t>kh mới 1/9 chốt giá 3tr5 , 6/9 tt đủ</t>
  </si>
  <si>
    <t>7.580.000</t>
  </si>
  <si>
    <t>201T11</t>
  </si>
  <si>
    <t xml:space="preserve">3.788.000 </t>
  </si>
  <si>
    <t>3.788.000</t>
  </si>
  <si>
    <t>202T11</t>
  </si>
  <si>
    <t xml:space="preserve">1.148.000 </t>
  </si>
  <si>
    <t xml:space="preserve">4.448.000 </t>
  </si>
  <si>
    <t>4.448.000</t>
  </si>
  <si>
    <t>301T11</t>
  </si>
  <si>
    <t>1.508.000</t>
  </si>
  <si>
    <t xml:space="preserve">1.898.000 </t>
  </si>
  <si>
    <t xml:space="preserve">4.898.000 </t>
  </si>
  <si>
    <t>4.898.000</t>
  </si>
  <si>
    <t>302T11</t>
  </si>
  <si>
    <t>1.296.000</t>
  </si>
  <si>
    <t xml:space="preserve">1.826.000 </t>
  </si>
  <si>
    <t xml:space="preserve">5.326.000 </t>
  </si>
  <si>
    <t>5.326.000</t>
  </si>
  <si>
    <t>401T11</t>
  </si>
  <si>
    <t xml:space="preserve">1.172.000 </t>
  </si>
  <si>
    <t xml:space="preserve">4.472.000 </t>
  </si>
  <si>
    <t xml:space="preserve"> 4.472.000 </t>
  </si>
  <si>
    <t>402T11</t>
  </si>
  <si>
    <t>đang trống</t>
  </si>
  <si>
    <t>Trống</t>
  </si>
  <si>
    <t>501T11</t>
  </si>
  <si>
    <t xml:space="preserve">3.810.000 </t>
  </si>
  <si>
    <t>3.810.000</t>
  </si>
  <si>
    <t>502T11</t>
  </si>
  <si>
    <t xml:space="preserve">1.306.000 </t>
  </si>
  <si>
    <t xml:space="preserve">4.806.000 </t>
  </si>
  <si>
    <t>kh phá hd</t>
  </si>
  <si>
    <t>-4.806.000</t>
  </si>
  <si>
    <t>101T5</t>
  </si>
  <si>
    <t xml:space="preserve">3.818.000 </t>
  </si>
  <si>
    <t xml:space="preserve"> 3.818.000 </t>
  </si>
  <si>
    <t>201T5</t>
  </si>
  <si>
    <t xml:space="preserve">4.184.000 </t>
  </si>
  <si>
    <t>(4.184.000)</t>
  </si>
  <si>
    <t>202T5</t>
  </si>
  <si>
    <t xml:space="preserve">9.700.000 </t>
  </si>
  <si>
    <t>kh mới 1/9 chốt giá 4tr5, 4tr5 tiền mặt 4/9</t>
  </si>
  <si>
    <t xml:space="preserve"> 9.700.000 </t>
  </si>
  <si>
    <t>301T5</t>
  </si>
  <si>
    <t xml:space="preserve">3.890.000 </t>
  </si>
  <si>
    <t xml:space="preserve"> 3.890.000 </t>
  </si>
  <si>
    <t>302T5</t>
  </si>
  <si>
    <t>401T5</t>
  </si>
  <si>
    <t xml:space="preserve">3.836.000 </t>
  </si>
  <si>
    <t>hỗ trợ thang máy và máy giặt</t>
  </si>
  <si>
    <t xml:space="preserve"> 3.836.000 </t>
  </si>
  <si>
    <t>402T5</t>
  </si>
  <si>
    <t xml:space="preserve">8.600.000 </t>
  </si>
  <si>
    <t>kh mới 1/9 chốt giá 4tr3</t>
  </si>
  <si>
    <t>8.600.000</t>
  </si>
  <si>
    <t>501T5</t>
  </si>
  <si>
    <t xml:space="preserve">4.262.000 </t>
  </si>
  <si>
    <t xml:space="preserve"> 4.262.000 </t>
  </si>
  <si>
    <t>502T5</t>
  </si>
  <si>
    <t xml:space="preserve">1.762.000 </t>
  </si>
  <si>
    <t>601T5</t>
  </si>
  <si>
    <t xml:space="preserve">4.442.000 </t>
  </si>
  <si>
    <t xml:space="preserve"> 4.442.000 </t>
  </si>
  <si>
    <t>602T5</t>
  </si>
  <si>
    <t>1.180.000</t>
  </si>
  <si>
    <t xml:space="preserve">1.560.000 </t>
  </si>
  <si>
    <t xml:space="preserve">5.560.000 </t>
  </si>
  <si>
    <t xml:space="preserve"> 5.560.000 </t>
  </si>
  <si>
    <t>701T5</t>
  </si>
  <si>
    <t xml:space="preserve">4.330.000 </t>
  </si>
  <si>
    <t xml:space="preserve"> 4.330.000 </t>
  </si>
  <si>
    <t>000T5</t>
  </si>
  <si>
    <t>101T3</t>
  </si>
  <si>
    <t>NGUYỄN THỊ THƯƠNG HUYỀN</t>
  </si>
  <si>
    <t xml:space="preserve">4.016.000 </t>
  </si>
  <si>
    <t xml:space="preserve"> 4.016.000 </t>
  </si>
  <si>
    <t>102T3</t>
  </si>
  <si>
    <t>2.576.000</t>
  </si>
  <si>
    <t xml:space="preserve">3.706.000 </t>
  </si>
  <si>
    <t xml:space="preserve">7.606.000 </t>
  </si>
  <si>
    <t xml:space="preserve"> 7.606.000 </t>
  </si>
  <si>
    <t>201T3</t>
  </si>
  <si>
    <t>1.940.000</t>
  </si>
  <si>
    <t xml:space="preserve">2.430.000 </t>
  </si>
  <si>
    <t xml:space="preserve">6.830.000 </t>
  </si>
  <si>
    <t>10/9 tt đủ</t>
  </si>
  <si>
    <t xml:space="preserve"> 6.830.000 </t>
  </si>
  <si>
    <t>202T3</t>
  </si>
  <si>
    <t>4.800.000</t>
  </si>
  <si>
    <t>1.280.000</t>
  </si>
  <si>
    <t xml:space="preserve">2.450.000 </t>
  </si>
  <si>
    <t xml:space="preserve">6.950.000 </t>
  </si>
  <si>
    <t xml:space="preserve"> 6.950.000 </t>
  </si>
  <si>
    <t>203T3</t>
  </si>
  <si>
    <t>4.700.000</t>
  </si>
  <si>
    <t xml:space="preserve">1.097.000 </t>
  </si>
  <si>
    <t xml:space="preserve">5.997.000 </t>
  </si>
  <si>
    <t>5.997.000</t>
  </si>
  <si>
    <t>204T3</t>
  </si>
  <si>
    <t>5.000.000</t>
  </si>
  <si>
    <t>1.756.000</t>
  </si>
  <si>
    <t xml:space="preserve">2.236.000 </t>
  </si>
  <si>
    <t xml:space="preserve">6.736.000 </t>
  </si>
  <si>
    <t xml:space="preserve"> 6.736.000 </t>
  </si>
  <si>
    <t>301T3</t>
  </si>
  <si>
    <t xml:space="preserve">1.410.000 </t>
  </si>
  <si>
    <t xml:space="preserve">5.710.000 </t>
  </si>
  <si>
    <t xml:space="preserve"> 5.710.000 </t>
  </si>
  <si>
    <t>302T3</t>
  </si>
  <si>
    <t>1.664.000</t>
  </si>
  <si>
    <t xml:space="preserve">2.224.000 </t>
  </si>
  <si>
    <t xml:space="preserve">7.124.000 </t>
  </si>
  <si>
    <t xml:space="preserve"> 7.124.000 </t>
  </si>
  <si>
    <t>303T3</t>
  </si>
  <si>
    <t>1.176.000</t>
  </si>
  <si>
    <t xml:space="preserve">1.996.000 </t>
  </si>
  <si>
    <t xml:space="preserve">6.596.000 </t>
  </si>
  <si>
    <t xml:space="preserve"> 6.596.000 </t>
  </si>
  <si>
    <t>304T3</t>
  </si>
  <si>
    <t>1.908.000</t>
  </si>
  <si>
    <t xml:space="preserve">2.593.000 </t>
  </si>
  <si>
    <t xml:space="preserve">6.893.000 </t>
  </si>
  <si>
    <t xml:space="preserve"> 6.893.000 </t>
  </si>
  <si>
    <t>401T3</t>
  </si>
  <si>
    <t xml:space="preserve">1.819.000 </t>
  </si>
  <si>
    <t xml:space="preserve">6.319.000 </t>
  </si>
  <si>
    <t xml:space="preserve"> 6.319.000 </t>
  </si>
  <si>
    <t>402T3</t>
  </si>
  <si>
    <t xml:space="preserve">1.675.000 </t>
  </si>
  <si>
    <t xml:space="preserve">6.275.000 </t>
  </si>
  <si>
    <t xml:space="preserve"> 6.275.000 </t>
  </si>
  <si>
    <t>403T3</t>
  </si>
  <si>
    <t>1.704.000</t>
  </si>
  <si>
    <t xml:space="preserve">2.044.000 </t>
  </si>
  <si>
    <t xml:space="preserve">6.644.000 </t>
  </si>
  <si>
    <t xml:space="preserve"> 6.644.000 </t>
  </si>
  <si>
    <t>404T3</t>
  </si>
  <si>
    <t xml:space="preserve">5.389.000 </t>
  </si>
  <si>
    <t xml:space="preserve"> 5.389.000 </t>
  </si>
  <si>
    <t>31/7/2027</t>
  </si>
  <si>
    <t>501T3</t>
  </si>
  <si>
    <t>1.464.000</t>
  </si>
  <si>
    <t xml:space="preserve">6.604.000 </t>
  </si>
  <si>
    <t xml:space="preserve"> 6.604.000 </t>
  </si>
  <si>
    <t>502T3</t>
  </si>
  <si>
    <t>1.164.000</t>
  </si>
  <si>
    <t xml:space="preserve">2.094.000 </t>
  </si>
  <si>
    <t xml:space="preserve">6.994.000 </t>
  </si>
  <si>
    <t xml:space="preserve"> 6.994.000 </t>
  </si>
  <si>
    <t>503T3</t>
  </si>
  <si>
    <t xml:space="preserve">9.460.000 </t>
  </si>
  <si>
    <t>kh mới 1/9 chốt giá 4tr5, 5/9 tt đủ</t>
  </si>
  <si>
    <t xml:space="preserve"> 9.460.000 </t>
  </si>
  <si>
    <t>504T3</t>
  </si>
  <si>
    <t xml:space="preserve">5.857.000 </t>
  </si>
  <si>
    <t>tháng 9 dv 3 người, tăng 200k</t>
  </si>
  <si>
    <t xml:space="preserve"> 5.857.000 </t>
  </si>
  <si>
    <t>601T3</t>
  </si>
  <si>
    <t xml:space="preserve">4.940.000 </t>
  </si>
  <si>
    <t>check thu tiền tháng 8</t>
  </si>
  <si>
    <t>4.919.000</t>
  </si>
  <si>
    <t>602T3</t>
  </si>
  <si>
    <t xml:space="preserve">1.198.000 </t>
  </si>
  <si>
    <t xml:space="preserve">5.898.000 </t>
  </si>
  <si>
    <t xml:space="preserve"> 5.898.000 </t>
  </si>
  <si>
    <t>603T3</t>
  </si>
  <si>
    <t>1.700.000</t>
  </si>
  <si>
    <t xml:space="preserve">2.350.000 </t>
  </si>
  <si>
    <t xml:space="preserve">6.850.000 </t>
  </si>
  <si>
    <t xml:space="preserve"> 6.850.000 </t>
  </si>
  <si>
    <t>604T3</t>
  </si>
  <si>
    <t xml:space="preserve"> 2.239.000 </t>
  </si>
  <si>
    <t xml:space="preserve">7.279.000 </t>
  </si>
  <si>
    <t>P601 chuyển sang, kh cũ hoàn cọc</t>
  </si>
  <si>
    <t xml:space="preserve"> 7.279.000 </t>
  </si>
  <si>
    <t>101T2</t>
  </si>
  <si>
    <t>ĐÀO HỮU HOÀNG GIANG</t>
  </si>
  <si>
    <t xml:space="preserve">1.146.000 </t>
  </si>
  <si>
    <t xml:space="preserve">4.646.000 </t>
  </si>
  <si>
    <t xml:space="preserve"> 4.646.000 </t>
  </si>
  <si>
    <t>201T2</t>
  </si>
  <si>
    <t xml:space="preserve">1.588.000 </t>
  </si>
  <si>
    <t xml:space="preserve">5.288.000 </t>
  </si>
  <si>
    <t xml:space="preserve"> 5.288.000 </t>
  </si>
  <si>
    <t>202T2</t>
  </si>
  <si>
    <t xml:space="preserve">4.536.000 </t>
  </si>
  <si>
    <t xml:space="preserve"> HỖ TRỢ MẠNG</t>
  </si>
  <si>
    <t xml:space="preserve"> 4.536.000 </t>
  </si>
  <si>
    <t>301T2</t>
  </si>
  <si>
    <t xml:space="preserve">9.270.000 </t>
  </si>
  <si>
    <t>kh mới 1/9 chốt giá 4tr5</t>
  </si>
  <si>
    <t xml:space="preserve"> 9.270.000 </t>
  </si>
  <si>
    <t>302T2</t>
  </si>
  <si>
    <t xml:space="preserve">4.378.000 </t>
  </si>
  <si>
    <t xml:space="preserve"> 4.378.000 </t>
  </si>
  <si>
    <t>401T2</t>
  </si>
  <si>
    <t xml:space="preserve">5.000.000 </t>
  </si>
  <si>
    <t xml:space="preserve"> 5.000.000 </t>
  </si>
  <si>
    <t>402T2</t>
  </si>
  <si>
    <t xml:space="preserve">4.106.000 </t>
  </si>
  <si>
    <t xml:space="preserve"> 4.106.000 </t>
  </si>
  <si>
    <t>501T2</t>
  </si>
  <si>
    <t>1.060.000</t>
  </si>
  <si>
    <t xml:space="preserve">1.540.000 </t>
  </si>
  <si>
    <t xml:space="preserve">5.840.000 </t>
  </si>
  <si>
    <t>quản lý điền số điện đầu, kh ở ở bên 504S37 tháng 8, tháng 8 203S50 ở nhờ,</t>
  </si>
  <si>
    <t xml:space="preserve"> 4.880.000 </t>
  </si>
  <si>
    <t>502T2</t>
  </si>
  <si>
    <t>1.388.000</t>
  </si>
  <si>
    <t xml:space="preserve">2.078.000 </t>
  </si>
  <si>
    <t xml:space="preserve">5.578.000 </t>
  </si>
  <si>
    <t xml:space="preserve"> 5.578.000 </t>
  </si>
  <si>
    <t>Tầng 6</t>
  </si>
  <si>
    <t xml:space="preserve">1.206.000 </t>
  </si>
  <si>
    <t xml:space="preserve">6.364.000 </t>
  </si>
  <si>
    <t>có nợ 158k, 7/9 TT</t>
  </si>
  <si>
    <t xml:space="preserve"> 6.364.000 </t>
  </si>
  <si>
    <t>101T7</t>
  </si>
  <si>
    <t xml:space="preserve">1.900.000 </t>
  </si>
  <si>
    <t xml:space="preserve">5.200.000 </t>
  </si>
  <si>
    <t xml:space="preserve"> 5.200.000 </t>
  </si>
  <si>
    <t>201T7</t>
  </si>
  <si>
    <t xml:space="preserve">1.048.000 </t>
  </si>
  <si>
    <t xml:space="preserve">4.348.000 </t>
  </si>
  <si>
    <t>hỗ trợ 200k vào giá phòng</t>
  </si>
  <si>
    <t xml:space="preserve"> 4.348.000 </t>
  </si>
  <si>
    <t>301T7</t>
  </si>
  <si>
    <t>2.800.000</t>
  </si>
  <si>
    <t xml:space="preserve">3.248.000 </t>
  </si>
  <si>
    <t>(3.198.000)</t>
  </si>
  <si>
    <t>302T7</t>
  </si>
  <si>
    <t>3.350.000</t>
  </si>
  <si>
    <t xml:space="preserve">4.778.000 </t>
  </si>
  <si>
    <t xml:space="preserve"> 4.778.000 </t>
  </si>
  <si>
    <t>401T7</t>
  </si>
  <si>
    <t xml:space="preserve">4.298.000 </t>
  </si>
  <si>
    <t xml:space="preserve"> 4.298.000 </t>
  </si>
  <si>
    <t>402T7</t>
  </si>
  <si>
    <t>1.428.000</t>
  </si>
  <si>
    <t xml:space="preserve">5.598.000 </t>
  </si>
  <si>
    <t xml:space="preserve"> 5.598.000 </t>
  </si>
  <si>
    <t>1.862.000</t>
  </si>
  <si>
    <t>501T7</t>
  </si>
  <si>
    <t xml:space="preserve">3.926.000 </t>
  </si>
  <si>
    <t xml:space="preserve"> 3.926.000 </t>
  </si>
  <si>
    <t>502T7</t>
  </si>
  <si>
    <t xml:space="preserve">4.092.000 </t>
  </si>
  <si>
    <t xml:space="preserve"> 4.092.000 </t>
  </si>
  <si>
    <t>101T8</t>
  </si>
  <si>
    <t>9.000.000</t>
  </si>
  <si>
    <t>9.500.000</t>
  </si>
  <si>
    <t>1.242.600</t>
  </si>
  <si>
    <t xml:space="preserve">1.552.600 </t>
  </si>
  <si>
    <t xml:space="preserve"> 1.552.000 </t>
  </si>
  <si>
    <t>201T8</t>
  </si>
  <si>
    <t xml:space="preserve">1.236.000 </t>
  </si>
  <si>
    <t xml:space="preserve">5.236.000 </t>
  </si>
  <si>
    <t xml:space="preserve"> 4.996.000 </t>
  </si>
  <si>
    <t>202T8</t>
  </si>
  <si>
    <t>5.300.000</t>
  </si>
  <si>
    <t>5.500.000</t>
  </si>
  <si>
    <t xml:space="preserve">6.284.000 </t>
  </si>
  <si>
    <t xml:space="preserve"> 6.284.000 </t>
  </si>
  <si>
    <t>301T8</t>
  </si>
  <si>
    <t xml:space="preserve">1.012.000 </t>
  </si>
  <si>
    <t xml:space="preserve">5.212.000 </t>
  </si>
  <si>
    <t xml:space="preserve"> 5.212.000 </t>
  </si>
  <si>
    <t>302T8</t>
  </si>
  <si>
    <t xml:space="preserve">1.528.000 </t>
  </si>
  <si>
    <t xml:space="preserve">6.328.000 </t>
  </si>
  <si>
    <t xml:space="preserve"> 6.328.000 </t>
  </si>
  <si>
    <t>401T8</t>
  </si>
  <si>
    <t xml:space="preserve">8.580.000 </t>
  </si>
  <si>
    <t>kh mới 1/9 chốt giá 4tr , có tủ lạnh</t>
  </si>
  <si>
    <t>8.000.000</t>
  </si>
  <si>
    <t>402T8</t>
  </si>
  <si>
    <t xml:space="preserve">5.784.000 </t>
  </si>
  <si>
    <t xml:space="preserve"> 5.784.000 </t>
  </si>
  <si>
    <t>501T8</t>
  </si>
  <si>
    <t xml:space="preserve">1.500.000 </t>
  </si>
  <si>
    <t xml:space="preserve">5.400.000 </t>
  </si>
  <si>
    <t xml:space="preserve"> 5.400.000 </t>
  </si>
  <si>
    <t>502T8</t>
  </si>
  <si>
    <t xml:space="preserve">1.480.000 </t>
  </si>
  <si>
    <t xml:space="preserve">5.380.000 </t>
  </si>
  <si>
    <t>kh cũ ở lại, trả lại cọc kh mới</t>
  </si>
  <si>
    <t xml:space="preserve"> 5.380.000 </t>
  </si>
  <si>
    <t>102T20</t>
  </si>
  <si>
    <t xml:space="preserve">5.246.667 </t>
  </si>
  <si>
    <t xml:space="preserve">kh mới 1/9 chốt giá 2tr5 </t>
  </si>
  <si>
    <t>5.340.000</t>
  </si>
  <si>
    <t>tủ lạnh</t>
  </si>
  <si>
    <t>201T20</t>
  </si>
  <si>
    <t xml:space="preserve">2.866.000 </t>
  </si>
  <si>
    <t xml:space="preserve"> 2.866.000 </t>
  </si>
  <si>
    <t>202T20</t>
  </si>
  <si>
    <t>2.400.000</t>
  </si>
  <si>
    <t xml:space="preserve">2.938.000 </t>
  </si>
  <si>
    <t xml:space="preserve"> 2.938.000 </t>
  </si>
  <si>
    <t>203T20</t>
  </si>
  <si>
    <t xml:space="preserve">3.370.000 </t>
  </si>
  <si>
    <t xml:space="preserve"> 3.370.000 </t>
  </si>
  <si>
    <t>204T20</t>
  </si>
  <si>
    <t xml:space="preserve">3.250.000 </t>
  </si>
  <si>
    <t xml:space="preserve"> 3.250.000 </t>
  </si>
  <si>
    <t>301T20</t>
  </si>
  <si>
    <t xml:space="preserve">3.278.000 </t>
  </si>
  <si>
    <t xml:space="preserve"> 3.278.000 </t>
  </si>
  <si>
    <t>302T20</t>
  </si>
  <si>
    <t xml:space="preserve">1.054.000 </t>
  </si>
  <si>
    <t xml:space="preserve">3.454.000 </t>
  </si>
  <si>
    <t xml:space="preserve"> 3.454.000 </t>
  </si>
  <si>
    <t>303T20</t>
  </si>
  <si>
    <t xml:space="preserve">1.114.667 </t>
  </si>
  <si>
    <t xml:space="preserve">3.614.667 </t>
  </si>
  <si>
    <t xml:space="preserve"> 3.615.000 </t>
  </si>
  <si>
    <t>30/7/2027</t>
  </si>
  <si>
    <t>304T20</t>
  </si>
  <si>
    <t xml:space="preserve">3.221.333 </t>
  </si>
  <si>
    <t xml:space="preserve"> 3.221.333 </t>
  </si>
  <si>
    <t>401T20</t>
  </si>
  <si>
    <t xml:space="preserve">2.768.000 </t>
  </si>
  <si>
    <t xml:space="preserve"> 2.768.000 </t>
  </si>
  <si>
    <t>402T20</t>
  </si>
  <si>
    <t xml:space="preserve">1.120.000 </t>
  </si>
  <si>
    <t xml:space="preserve">3.620.000 </t>
  </si>
  <si>
    <t xml:space="preserve"> 3.620.000 </t>
  </si>
  <si>
    <t>403T20</t>
  </si>
  <si>
    <t>2.600.000</t>
  </si>
  <si>
    <t xml:space="preserve">6.069.892 </t>
  </si>
  <si>
    <t xml:space="preserve">kh mới 1/9 chốt giá 2tr6 </t>
  </si>
  <si>
    <t xml:space="preserve"> 6.069.000 </t>
  </si>
  <si>
    <t>404T20</t>
  </si>
  <si>
    <t xml:space="preserve">3.273.333 </t>
  </si>
  <si>
    <t xml:space="preserve"> 3.260.000 </t>
  </si>
  <si>
    <t>501T20</t>
  </si>
  <si>
    <t>2.000.000</t>
  </si>
  <si>
    <t>1.268.000</t>
  </si>
  <si>
    <t xml:space="preserve">1.938.000 </t>
  </si>
  <si>
    <t xml:space="preserve">3.938.000 </t>
  </si>
  <si>
    <t xml:space="preserve"> 3.938.000 </t>
  </si>
  <si>
    <t>502T20</t>
  </si>
  <si>
    <t xml:space="preserve">2.894.000 </t>
  </si>
  <si>
    <t>kh phá hd, thu tiền điện</t>
  </si>
  <si>
    <t>(2.894.000)</t>
  </si>
  <si>
    <t>503T20</t>
  </si>
  <si>
    <t xml:space="preserve">3.280.000 </t>
  </si>
  <si>
    <t xml:space="preserve"> 3.280.000 </t>
  </si>
  <si>
    <t>504T20</t>
  </si>
  <si>
    <t xml:space="preserve">2.272.000 </t>
  </si>
  <si>
    <t xml:space="preserve"> 2.272.000 </t>
  </si>
  <si>
    <t>101T21</t>
  </si>
  <si>
    <t xml:space="preserve">4.680.000 </t>
  </si>
  <si>
    <t xml:space="preserve"> 1.664.000 </t>
  </si>
  <si>
    <t>(3.016.000)</t>
  </si>
  <si>
    <t>102T21</t>
  </si>
  <si>
    <t>1.476.000</t>
  </si>
  <si>
    <t xml:space="preserve">1.816.000 </t>
  </si>
  <si>
    <t xml:space="preserve">5.816.000 </t>
  </si>
  <si>
    <t xml:space="preserve"> 5.816.000 </t>
  </si>
  <si>
    <t>201T21</t>
  </si>
  <si>
    <t>4.900.000</t>
  </si>
  <si>
    <t xml:space="preserve">1.280.000 </t>
  </si>
  <si>
    <t>202T21</t>
  </si>
  <si>
    <t xml:space="preserve">1.572.000 </t>
  </si>
  <si>
    <t xml:space="preserve">6.072.000 </t>
  </si>
  <si>
    <t xml:space="preserve"> 6.072.000 </t>
  </si>
  <si>
    <t>203T21</t>
  </si>
  <si>
    <t xml:space="preserve">1.698.000 </t>
  </si>
  <si>
    <t xml:space="preserve">6.398.000 </t>
  </si>
  <si>
    <t xml:space="preserve"> 6.398.000 </t>
  </si>
  <si>
    <t>204T21</t>
  </si>
  <si>
    <t xml:space="preserve">5.666.000 </t>
  </si>
  <si>
    <t xml:space="preserve"> 5.666.000 </t>
  </si>
  <si>
    <t>301T21</t>
  </si>
  <si>
    <t>1.036.000</t>
  </si>
  <si>
    <t xml:space="preserve">1.476.000 </t>
  </si>
  <si>
    <t xml:space="preserve">6.476.000 </t>
  </si>
  <si>
    <t xml:space="preserve"> 6.476.000 </t>
  </si>
  <si>
    <t>302T21</t>
  </si>
  <si>
    <t>1.324.000</t>
  </si>
  <si>
    <t xml:space="preserve">2.294.000 </t>
  </si>
  <si>
    <t xml:space="preserve">7.054.000 </t>
  </si>
  <si>
    <t>có nợ 360k, 7/9 tt đủ</t>
  </si>
  <si>
    <t xml:space="preserve"> 7.054.000 </t>
  </si>
  <si>
    <t>303T21</t>
  </si>
  <si>
    <t xml:space="preserve">1.624.000 </t>
  </si>
  <si>
    <t xml:space="preserve">6.024.000 </t>
  </si>
  <si>
    <t xml:space="preserve"> 6.024.000 </t>
  </si>
  <si>
    <t>304T21</t>
  </si>
  <si>
    <t>1.080.000</t>
  </si>
  <si>
    <t xml:space="preserve">1.990.000 </t>
  </si>
  <si>
    <t xml:space="preserve">6.490.000 </t>
  </si>
  <si>
    <t xml:space="preserve"> 6.490.000 </t>
  </si>
  <si>
    <t>401T21</t>
  </si>
  <si>
    <t>1.244.000</t>
  </si>
  <si>
    <t xml:space="preserve">2.374.000 </t>
  </si>
  <si>
    <t xml:space="preserve">7.374.000 </t>
  </si>
  <si>
    <t xml:space="preserve"> 7.374.000 </t>
  </si>
  <si>
    <t>402T21</t>
  </si>
  <si>
    <t xml:space="preserve">1.401.000 </t>
  </si>
  <si>
    <t xml:space="preserve">6.141.000 </t>
  </si>
  <si>
    <t xml:space="preserve"> 6.141.000 </t>
  </si>
  <si>
    <t>403T21</t>
  </si>
  <si>
    <t xml:space="preserve">5.904.000 </t>
  </si>
  <si>
    <t xml:space="preserve"> 5.904.000 </t>
  </si>
  <si>
    <t>404T21</t>
  </si>
  <si>
    <t>1.796.000</t>
  </si>
  <si>
    <t xml:space="preserve">2.716.000 </t>
  </si>
  <si>
    <t xml:space="preserve">7.216.000 </t>
  </si>
  <si>
    <t xml:space="preserve"> 7.216.000 </t>
  </si>
  <si>
    <t>501T21</t>
  </si>
  <si>
    <t xml:space="preserve">1.906.000 </t>
  </si>
  <si>
    <t xml:space="preserve">6.806.000 </t>
  </si>
  <si>
    <t xml:space="preserve"> 6.806.000 </t>
  </si>
  <si>
    <t>502T21</t>
  </si>
  <si>
    <t xml:space="preserve">9.390.000 </t>
  </si>
  <si>
    <t>kh mới 1/9 chốt giá 4tr5 , 5/9 tt đue, 1tr tiền mặt 8/9</t>
  </si>
  <si>
    <t>9.550.000</t>
  </si>
  <si>
    <t>503T21</t>
  </si>
  <si>
    <t xml:space="preserve">1.810.000 </t>
  </si>
  <si>
    <t xml:space="preserve">10.810.000 </t>
  </si>
  <si>
    <t xml:space="preserve"> 10.810.000 </t>
  </si>
  <si>
    <t>504T21</t>
  </si>
  <si>
    <t xml:space="preserve">5.674.000 </t>
  </si>
  <si>
    <t xml:space="preserve"> 5.674.000 </t>
  </si>
  <si>
    <t>201T22</t>
  </si>
  <si>
    <t xml:space="preserve">4.374.000 </t>
  </si>
  <si>
    <t>202T22</t>
  </si>
  <si>
    <t xml:space="preserve">1.024.000 </t>
  </si>
  <si>
    <t xml:space="preserve">4.524.000 </t>
  </si>
  <si>
    <t xml:space="preserve"> 4.524.000 </t>
  </si>
  <si>
    <t>301T22</t>
  </si>
  <si>
    <t>2.064.000</t>
  </si>
  <si>
    <t xml:space="preserve">5.794.000 </t>
  </si>
  <si>
    <t xml:space="preserve"> 5.794.000 </t>
  </si>
  <si>
    <t>302T22</t>
  </si>
  <si>
    <t xml:space="preserve">4.098.000 </t>
  </si>
  <si>
    <t xml:space="preserve"> 4.098.000 </t>
  </si>
  <si>
    <t>401T22</t>
  </si>
  <si>
    <t>1.016.000</t>
  </si>
  <si>
    <t xml:space="preserve">1.836.000 </t>
  </si>
  <si>
    <t xml:space="preserve">5.336.000 </t>
  </si>
  <si>
    <t xml:space="preserve"> 5.336.000 </t>
  </si>
  <si>
    <t>402T22</t>
  </si>
  <si>
    <t>1.420.000</t>
  </si>
  <si>
    <t xml:space="preserve">1.760.000 </t>
  </si>
  <si>
    <t xml:space="preserve">5.260.000 </t>
  </si>
  <si>
    <t xml:space="preserve"> 5.260.000 </t>
  </si>
  <si>
    <t>501T22</t>
  </si>
  <si>
    <t>502T22</t>
  </si>
  <si>
    <t>601T22</t>
  </si>
  <si>
    <t xml:space="preserve">1.444.000 </t>
  </si>
  <si>
    <t xml:space="preserve">4.944.000 </t>
  </si>
  <si>
    <t xml:space="preserve"> 4.944.000 </t>
  </si>
  <si>
    <t>101T24</t>
  </si>
  <si>
    <t xml:space="preserve">3.476.000 </t>
  </si>
  <si>
    <t xml:space="preserve"> 3.476.000 </t>
  </si>
  <si>
    <t>201T24</t>
  </si>
  <si>
    <t>kh mới 1/9 chốt giá 4tr</t>
  </si>
  <si>
    <t>8.580.000</t>
  </si>
  <si>
    <t>202T24</t>
  </si>
  <si>
    <t>kh mới 1/9 chốt giá 3tr5 , bỏ cọc báo bỏ 4/9</t>
  </si>
  <si>
    <t xml:space="preserve"> 3.500.000 </t>
  </si>
  <si>
    <t>301T24</t>
  </si>
  <si>
    <t xml:space="preserve">8.490.000 </t>
  </si>
  <si>
    <t>kh mới 1/9 chốt giá 4tr , 5.9 tt đủ</t>
  </si>
  <si>
    <t>8.490.000</t>
  </si>
  <si>
    <t>302T24</t>
  </si>
  <si>
    <t>1.156.000</t>
  </si>
  <si>
    <t xml:space="preserve">1.976.000 </t>
  </si>
  <si>
    <t xml:space="preserve">5.476.000 </t>
  </si>
  <si>
    <t>tháng 9 ở 3 ng</t>
  </si>
  <si>
    <t xml:space="preserve"> 5.476.000 </t>
  </si>
  <si>
    <t>401T24</t>
  </si>
  <si>
    <t>1.232.000</t>
  </si>
  <si>
    <t xml:space="preserve">1.612.000 </t>
  </si>
  <si>
    <t xml:space="preserve">5.612.000 </t>
  </si>
  <si>
    <t xml:space="preserve"> 5.612.000 </t>
  </si>
  <si>
    <t>402T24</t>
  </si>
  <si>
    <t>1.596.000</t>
  </si>
  <si>
    <t xml:space="preserve">2.076.000 </t>
  </si>
  <si>
    <t xml:space="preserve">5.576.000 </t>
  </si>
  <si>
    <t xml:space="preserve"> 5.576.000 </t>
  </si>
  <si>
    <t>501T24</t>
  </si>
  <si>
    <t>1.084.000</t>
  </si>
  <si>
    <t xml:space="preserve">1.544.000 </t>
  </si>
  <si>
    <t xml:space="preserve">5.344.000 </t>
  </si>
  <si>
    <t xml:space="preserve"> 5.344.000 </t>
  </si>
  <si>
    <t>502T24</t>
  </si>
  <si>
    <t xml:space="preserve">1.182.000 </t>
  </si>
  <si>
    <t xml:space="preserve">4.782.000 </t>
  </si>
  <si>
    <t xml:space="preserve"> 4.782.000 </t>
  </si>
  <si>
    <t>601T24</t>
  </si>
  <si>
    <t xml:space="preserve">1.256.000 </t>
  </si>
  <si>
    <t xml:space="preserve">4.256.000 </t>
  </si>
  <si>
    <t xml:space="preserve"> 4.256.000 </t>
  </si>
  <si>
    <t>101T25</t>
  </si>
  <si>
    <t>ĐẶNG TRUNG KIÊN</t>
  </si>
  <si>
    <t xml:space="preserve">3.878.000 </t>
  </si>
  <si>
    <t>hàng tháng trừ 10 số điện do công tơ cửa vân tay đấu vào đồng hồ điện</t>
  </si>
  <si>
    <t xml:space="preserve"> 3.878.000 </t>
  </si>
  <si>
    <t>102T25</t>
  </si>
  <si>
    <t xml:space="preserve"> 4.184.000 </t>
  </si>
  <si>
    <t>103T25</t>
  </si>
  <si>
    <t xml:space="preserve">2.120.000 </t>
  </si>
  <si>
    <t xml:space="preserve"> 2.120.000 </t>
  </si>
  <si>
    <t>104T25</t>
  </si>
  <si>
    <t xml:space="preserve">3.636.000 </t>
  </si>
  <si>
    <t xml:space="preserve"> 3.636.000 </t>
  </si>
  <si>
    <t>105T25</t>
  </si>
  <si>
    <t xml:space="preserve">1.152.000 </t>
  </si>
  <si>
    <t xml:space="preserve">4.752.000 </t>
  </si>
  <si>
    <t xml:space="preserve"> 4.752.000 </t>
  </si>
  <si>
    <t>106T25</t>
  </si>
  <si>
    <t xml:space="preserve">5.044.000 </t>
  </si>
  <si>
    <t xml:space="preserve"> tháng 9 dv 3 gn</t>
  </si>
  <si>
    <t xml:space="preserve"> 5.044.000 </t>
  </si>
  <si>
    <t>201T25</t>
  </si>
  <si>
    <t xml:space="preserve">8.520.000 </t>
  </si>
  <si>
    <t>8.520.000</t>
  </si>
  <si>
    <t>202T25</t>
  </si>
  <si>
    <t xml:space="preserve">4.652.000 </t>
  </si>
  <si>
    <t xml:space="preserve"> 4.652.000 </t>
  </si>
  <si>
    <t>203T25</t>
  </si>
  <si>
    <t>quản lý điền số điện đầu, đã đóng đủ tiền tháng 9</t>
  </si>
  <si>
    <t>204T25</t>
  </si>
  <si>
    <t xml:space="preserve">1.488.000 </t>
  </si>
  <si>
    <t xml:space="preserve">5.188.000 </t>
  </si>
  <si>
    <t xml:space="preserve"> 5.188.000 </t>
  </si>
  <si>
    <t>205T25</t>
  </si>
  <si>
    <t xml:space="preserve">quản lý điền số điện đầu, tháng 8 ở p401 </t>
  </si>
  <si>
    <t>206T25</t>
  </si>
  <si>
    <t xml:space="preserve">2.008.000 </t>
  </si>
  <si>
    <t xml:space="preserve">5.508.000 </t>
  </si>
  <si>
    <t xml:space="preserve"> 5.510.000 </t>
  </si>
  <si>
    <t>207T25</t>
  </si>
  <si>
    <t xml:space="preserve">1.348.000 </t>
  </si>
  <si>
    <t xml:space="preserve">4.948.000 </t>
  </si>
  <si>
    <t>tiền mặt 3/9</t>
  </si>
  <si>
    <t xml:space="preserve"> 4.948.000 </t>
  </si>
  <si>
    <t>208T25</t>
  </si>
  <si>
    <t xml:space="preserve">4.392.000 </t>
  </si>
  <si>
    <t xml:space="preserve"> 4.392.000 </t>
  </si>
  <si>
    <t>209T25</t>
  </si>
  <si>
    <t xml:space="preserve">1.756.000 </t>
  </si>
  <si>
    <t xml:space="preserve">6.056.000 </t>
  </si>
  <si>
    <t xml:space="preserve"> 6.057.000 </t>
  </si>
  <si>
    <t>301T25</t>
  </si>
  <si>
    <t xml:space="preserve">1.620.000 </t>
  </si>
  <si>
    <t xml:space="preserve">5.320.000 </t>
  </si>
  <si>
    <t xml:space="preserve"> 5.320.000 </t>
  </si>
  <si>
    <t>302T25</t>
  </si>
  <si>
    <t xml:space="preserve">1.224.000 </t>
  </si>
  <si>
    <t xml:space="preserve">4.824.000 </t>
  </si>
  <si>
    <t xml:space="preserve"> 4.824.000 </t>
  </si>
  <si>
    <t>303T25</t>
  </si>
  <si>
    <t xml:space="preserve">5.028.000 </t>
  </si>
  <si>
    <t xml:space="preserve"> 5.028.000 </t>
  </si>
  <si>
    <t>304T25</t>
  </si>
  <si>
    <t xml:space="preserve">1.660.000 </t>
  </si>
  <si>
    <t>305T25</t>
  </si>
  <si>
    <t>306T25</t>
  </si>
  <si>
    <t xml:space="preserve">4.856.000 </t>
  </si>
  <si>
    <t>7/9 TT ĐỦ</t>
  </si>
  <si>
    <t xml:space="preserve"> 4.856.000 </t>
  </si>
  <si>
    <t>307T25</t>
  </si>
  <si>
    <t>308T25</t>
  </si>
  <si>
    <t xml:space="preserve">4.128.000 </t>
  </si>
  <si>
    <t xml:space="preserve"> 4.128.000 </t>
  </si>
  <si>
    <t>309T25</t>
  </si>
  <si>
    <t xml:space="preserve">1.204.000 </t>
  </si>
  <si>
    <t>401T25</t>
  </si>
  <si>
    <t>kh mới 1/9 chốt giá 4tr  điện nước phát sinh do 205T25 tháng 8 ở nhờ</t>
  </si>
  <si>
    <t>402T25</t>
  </si>
  <si>
    <t xml:space="preserve">7.780.000 </t>
  </si>
  <si>
    <t>kh mới 1/9 chốt giá 3tr6 , 4190K TIỀN MẶT</t>
  </si>
  <si>
    <t>7.790.000</t>
  </si>
  <si>
    <t>403T25</t>
  </si>
  <si>
    <t>404T25</t>
  </si>
  <si>
    <t xml:space="preserve">1.284.000 </t>
  </si>
  <si>
    <t xml:space="preserve">5.184.000 </t>
  </si>
  <si>
    <t xml:space="preserve"> 5.184.000 </t>
  </si>
  <si>
    <t>405T25</t>
  </si>
  <si>
    <t xml:space="preserve"> 4.448.000 </t>
  </si>
  <si>
    <t>406T25</t>
  </si>
  <si>
    <t>3.550.000</t>
  </si>
  <si>
    <t xml:space="preserve">1.484.000 </t>
  </si>
  <si>
    <t xml:space="preserve">5.034.000 </t>
  </si>
  <si>
    <t xml:space="preserve"> 5.034.000 </t>
  </si>
  <si>
    <t>407T25</t>
  </si>
  <si>
    <t>408T25</t>
  </si>
  <si>
    <t>409T25</t>
  </si>
  <si>
    <t xml:space="preserve">1.360.000 </t>
  </si>
  <si>
    <t xml:space="preserve">6.060.000 </t>
  </si>
  <si>
    <t xml:space="preserve"> 6.060.000 </t>
  </si>
  <si>
    <t>501T25</t>
  </si>
  <si>
    <t>1.424.000</t>
  </si>
  <si>
    <t xml:space="preserve">2.364.000 </t>
  </si>
  <si>
    <t xml:space="preserve">6.264.000 </t>
  </si>
  <si>
    <t xml:space="preserve"> 6.264.000 </t>
  </si>
  <si>
    <t>502T25</t>
  </si>
  <si>
    <t>1.328.000</t>
  </si>
  <si>
    <t xml:space="preserve">5.008.000 </t>
  </si>
  <si>
    <t xml:space="preserve"> 5.008.000 </t>
  </si>
  <si>
    <t>503T25</t>
  </si>
  <si>
    <t xml:space="preserve">1.136.000 </t>
  </si>
  <si>
    <t xml:space="preserve">4.636.000 </t>
  </si>
  <si>
    <t xml:space="preserve"> 4.636.000 </t>
  </si>
  <si>
    <t>504T25</t>
  </si>
  <si>
    <t xml:space="preserve">7.660.000 </t>
  </si>
  <si>
    <t>kh mới 1/9 chốt giá 3tr6</t>
  </si>
  <si>
    <t>7.660.000</t>
  </si>
  <si>
    <t>505T25</t>
  </si>
  <si>
    <t>1.740.000</t>
  </si>
  <si>
    <t xml:space="preserve">2.920.000 </t>
  </si>
  <si>
    <t xml:space="preserve">7.720.000 </t>
  </si>
  <si>
    <t xml:space="preserve"> 7.720.000 </t>
  </si>
  <si>
    <t>101T26</t>
  </si>
  <si>
    <t xml:space="preserve">3.800.000 </t>
  </si>
  <si>
    <t xml:space="preserve">4.000.000 </t>
  </si>
  <si>
    <t xml:space="preserve">7.910.000 </t>
  </si>
  <si>
    <t>kh mới 1/9 chốt giá 3tr8 , 6tr tiền mặt 4/9</t>
  </si>
  <si>
    <t>201T26</t>
  </si>
  <si>
    <t>7.910.000</t>
  </si>
  <si>
    <t>202T26</t>
  </si>
  <si>
    <t>203T26</t>
  </si>
  <si>
    <t xml:space="preserve">4.500.000 </t>
  </si>
  <si>
    <t xml:space="preserve">8.910.000 </t>
  </si>
  <si>
    <t xml:space="preserve">kh mới 1/9 chốt giá 4tr3 </t>
  </si>
  <si>
    <t>8.910.000</t>
  </si>
  <si>
    <t>301T26</t>
  </si>
  <si>
    <t xml:space="preserve">4.532.000 </t>
  </si>
  <si>
    <t xml:space="preserve"> 4.532.000 </t>
  </si>
  <si>
    <t>302T26</t>
  </si>
  <si>
    <t xml:space="preserve">4.281.968 </t>
  </si>
  <si>
    <t xml:space="preserve"> 4.281.000 </t>
  </si>
  <si>
    <t>303T26</t>
  </si>
  <si>
    <t xml:space="preserve">8.310.000 </t>
  </si>
  <si>
    <t>8.310.000</t>
  </si>
  <si>
    <t>401T26</t>
  </si>
  <si>
    <t xml:space="preserve">4.286.000 </t>
  </si>
  <si>
    <t xml:space="preserve"> 4.286.000 </t>
  </si>
  <si>
    <t>402T26</t>
  </si>
  <si>
    <t>1.220.000</t>
  </si>
  <si>
    <t xml:space="preserve">1.600.000 </t>
  </si>
  <si>
    <t xml:space="preserve">5.500.000 </t>
  </si>
  <si>
    <t>có nợ 100k</t>
  </si>
  <si>
    <t xml:space="preserve"> 5.500.000 </t>
  </si>
  <si>
    <t>403T26</t>
  </si>
  <si>
    <t>kh mới 1/9 chốt gí 4tr</t>
  </si>
  <si>
    <t xml:space="preserve"> 8.310.000 </t>
  </si>
  <si>
    <t>501T26</t>
  </si>
  <si>
    <t xml:space="preserve">1.468.000 </t>
  </si>
  <si>
    <t xml:space="preserve">5.368.000 </t>
  </si>
  <si>
    <t xml:space="preserve"> 5.368.000 </t>
  </si>
  <si>
    <t>502T26</t>
  </si>
  <si>
    <t xml:space="preserve">1.199.000 </t>
  </si>
  <si>
    <t xml:space="preserve">4.999.000 </t>
  </si>
  <si>
    <t xml:space="preserve"> 4.999.000 </t>
  </si>
  <si>
    <t>503T26</t>
  </si>
  <si>
    <t xml:space="preserve">kh mới 1/9 chốt gía 4tr </t>
  </si>
  <si>
    <t>601T26</t>
  </si>
  <si>
    <t xml:space="preserve">3.700.000 </t>
  </si>
  <si>
    <t xml:space="preserve">7.710.000 </t>
  </si>
  <si>
    <t>kh mới 1/9 chốt gía 3tr7</t>
  </si>
  <si>
    <t xml:space="preserve"> 7.000.000 </t>
  </si>
  <si>
    <t>602T26</t>
  </si>
  <si>
    <t xml:space="preserve"> 4.566.000 </t>
  </si>
  <si>
    <t>101T28</t>
  </si>
  <si>
    <t>NGUYỄN CÔNG LÂM</t>
  </si>
  <si>
    <t xml:space="preserve">1.764.000 </t>
  </si>
  <si>
    <t xml:space="preserve">4.564.000 </t>
  </si>
  <si>
    <t>4.564.000 đ</t>
  </si>
  <si>
    <t>0 đ</t>
  </si>
  <si>
    <t>102T28</t>
  </si>
  <si>
    <t xml:space="preserve">6.690.000 </t>
  </si>
  <si>
    <t xml:space="preserve">kh mới 1/9 chốt giá 3tr2  </t>
  </si>
  <si>
    <t>6.690.000 đ</t>
  </si>
  <si>
    <t>103T28</t>
  </si>
  <si>
    <t xml:space="preserve">7.080.000 </t>
  </si>
  <si>
    <t>kh mới 1/9 chốt giá 3tr2 , 3880K bên bidv 1/9</t>
  </si>
  <si>
    <t>7.080.000</t>
  </si>
  <si>
    <t>104T28</t>
  </si>
  <si>
    <t xml:space="preserve">6.390.000 </t>
  </si>
  <si>
    <t xml:space="preserve">kh mới 1/9 chốt giá 3tr </t>
  </si>
  <si>
    <t xml:space="preserve"> 6.390.000 </t>
  </si>
  <si>
    <t>201T28</t>
  </si>
  <si>
    <t xml:space="preserve">1.532.000 </t>
  </si>
  <si>
    <t>202T28</t>
  </si>
  <si>
    <t>1.052.000</t>
  </si>
  <si>
    <t xml:space="preserve">1.342.000 </t>
  </si>
  <si>
    <t xml:space="preserve">4.242.000 </t>
  </si>
  <si>
    <t xml:space="preserve"> 4.242.000 </t>
  </si>
  <si>
    <t>203T28</t>
  </si>
  <si>
    <t xml:space="preserve">1.576.000 </t>
  </si>
  <si>
    <t xml:space="preserve">4.576.000 </t>
  </si>
  <si>
    <t xml:space="preserve"> 4.576.000 </t>
  </si>
  <si>
    <t>204T28</t>
  </si>
  <si>
    <t xml:space="preserve">6.790.000 </t>
  </si>
  <si>
    <t>kh mới 1.9 chốt giá 3tr2</t>
  </si>
  <si>
    <t xml:space="preserve"> 6.790.000 </t>
  </si>
  <si>
    <t>301T28</t>
  </si>
  <si>
    <t xml:space="preserve">4.134.000 </t>
  </si>
  <si>
    <t xml:space="preserve"> 4.134.000 </t>
  </si>
  <si>
    <t>302T28</t>
  </si>
  <si>
    <t xml:space="preserve">1.230.000 </t>
  </si>
  <si>
    <t xml:space="preserve">4.230.000 </t>
  </si>
  <si>
    <t xml:space="preserve"> 4.230.000 </t>
  </si>
  <si>
    <t>303T28</t>
  </si>
  <si>
    <t>kh mới 1/9 chốt giá 3tr2</t>
  </si>
  <si>
    <t xml:space="preserve"> 7.080.000 </t>
  </si>
  <si>
    <t>304T28</t>
  </si>
  <si>
    <t xml:space="preserve">1.128.000 </t>
  </si>
  <si>
    <t>401T28</t>
  </si>
  <si>
    <t xml:space="preserve">3.874.000 </t>
  </si>
  <si>
    <t xml:space="preserve"> 3.874.000 </t>
  </si>
  <si>
    <t>402T28</t>
  </si>
  <si>
    <t xml:space="preserve">4.046.000 </t>
  </si>
  <si>
    <t xml:space="preserve"> 4.046.000 </t>
  </si>
  <si>
    <t>403T28</t>
  </si>
  <si>
    <t xml:space="preserve">3.694.000 </t>
  </si>
  <si>
    <t xml:space="preserve"> 3.694.000 </t>
  </si>
  <si>
    <t>404T28</t>
  </si>
  <si>
    <t>1.128.000</t>
  </si>
  <si>
    <t xml:space="preserve">1.518.000 </t>
  </si>
  <si>
    <t xml:space="preserve">4.518.000 </t>
  </si>
  <si>
    <t xml:space="preserve"> 4.518.000 </t>
  </si>
  <si>
    <t>501T28</t>
  </si>
  <si>
    <t xml:space="preserve">3.714.000 </t>
  </si>
  <si>
    <t xml:space="preserve"> 3.714.000 </t>
  </si>
  <si>
    <t>502 T28</t>
  </si>
  <si>
    <t>502T28</t>
  </si>
  <si>
    <t xml:space="preserve">3.594.000 </t>
  </si>
  <si>
    <t>quản lý điền số điện đâu</t>
  </si>
  <si>
    <t xml:space="preserve"> 3.594.000 </t>
  </si>
  <si>
    <t>503T28</t>
  </si>
  <si>
    <t xml:space="preserve">3.740.000 </t>
  </si>
  <si>
    <t xml:space="preserve"> 3.740.000 </t>
  </si>
  <si>
    <t>504T28</t>
  </si>
  <si>
    <t xml:space="preserve">1.052.000 </t>
  </si>
  <si>
    <t xml:space="preserve">4.052.000 </t>
  </si>
  <si>
    <t xml:space="preserve"> 4.052.000 </t>
  </si>
  <si>
    <t>601T28</t>
  </si>
  <si>
    <t>1.912.000</t>
  </si>
  <si>
    <t xml:space="preserve">2.592.000 </t>
  </si>
  <si>
    <t>602T28</t>
  </si>
  <si>
    <t xml:space="preserve">1.684.000 </t>
  </si>
  <si>
    <t xml:space="preserve"> 4.984.000 </t>
  </si>
  <si>
    <t>603T28</t>
  </si>
  <si>
    <t xml:space="preserve">3.502.000 </t>
  </si>
  <si>
    <t xml:space="preserve"> 3.502.000 </t>
  </si>
  <si>
    <t>604T28</t>
  </si>
  <si>
    <t xml:space="preserve">1.266.000 </t>
  </si>
  <si>
    <t xml:space="preserve">4.466.000 </t>
  </si>
  <si>
    <t xml:space="preserve"> 4.466.000 </t>
  </si>
  <si>
    <t>301T30</t>
  </si>
  <si>
    <t>302T30</t>
  </si>
  <si>
    <t xml:space="preserve">4.682.000 </t>
  </si>
  <si>
    <t xml:space="preserve"> 4.682.000 </t>
  </si>
  <si>
    <t>401T30</t>
  </si>
  <si>
    <t>1.160.000</t>
  </si>
  <si>
    <t xml:space="preserve">5.420.000 </t>
  </si>
  <si>
    <t xml:space="preserve"> 5.420.000 </t>
  </si>
  <si>
    <t>402T30</t>
  </si>
  <si>
    <t xml:space="preserve">1.455.000 </t>
  </si>
  <si>
    <t xml:space="preserve">5.955.000 </t>
  </si>
  <si>
    <t xml:space="preserve"> 5.955.000 </t>
  </si>
  <si>
    <t>501T30</t>
  </si>
  <si>
    <t xml:space="preserve">7.820.000 </t>
  </si>
  <si>
    <t>7.950.000</t>
  </si>
  <si>
    <t>502T30</t>
  </si>
  <si>
    <t xml:space="preserve">4.891.400 </t>
  </si>
  <si>
    <t>có nợ 200k</t>
  </si>
  <si>
    <t xml:space="preserve"> 4.691.400 </t>
  </si>
  <si>
    <t>301T31</t>
  </si>
  <si>
    <t xml:space="preserve">4.100.000 </t>
  </si>
  <si>
    <t xml:space="preserve"> 4.100.000 </t>
  </si>
  <si>
    <t>302T31</t>
  </si>
  <si>
    <t xml:space="preserve">4.692.000 </t>
  </si>
  <si>
    <t xml:space="preserve"> 4.692.000 </t>
  </si>
  <si>
    <t>303T31</t>
  </si>
  <si>
    <t xml:space="preserve">1.064.000 </t>
  </si>
  <si>
    <t xml:space="preserve"> 4.564.000 </t>
  </si>
  <si>
    <t>304T31</t>
  </si>
  <si>
    <t xml:space="preserve">7.420.000 </t>
  </si>
  <si>
    <t>7.200.000</t>
  </si>
  <si>
    <t>401T31</t>
  </si>
  <si>
    <t xml:space="preserve">4.901.000 </t>
  </si>
  <si>
    <t xml:space="preserve"> 4.901.000 </t>
  </si>
  <si>
    <t>402T31</t>
  </si>
  <si>
    <t>hỗ trọ máy giặt về nghỉ hè, tháng 9 dv bt</t>
  </si>
  <si>
    <t xml:space="preserve"> 4.546.000 </t>
  </si>
  <si>
    <t>403T31</t>
  </si>
  <si>
    <t xml:space="preserve">1.044.000 </t>
  </si>
  <si>
    <t xml:space="preserve">4.344.000 </t>
  </si>
  <si>
    <t xml:space="preserve"> 4.344.000 </t>
  </si>
  <si>
    <t>404T31</t>
  </si>
  <si>
    <t xml:space="preserve">4.522.000 </t>
  </si>
  <si>
    <t xml:space="preserve"> 4.522.000 </t>
  </si>
  <si>
    <t>501T31</t>
  </si>
  <si>
    <t>502T31</t>
  </si>
  <si>
    <t xml:space="preserve">1.082.000 </t>
  </si>
  <si>
    <t>503T31</t>
  </si>
  <si>
    <t>504T31</t>
  </si>
  <si>
    <t>2.084.000</t>
  </si>
  <si>
    <t xml:space="preserve">2.319.000 </t>
  </si>
  <si>
    <t xml:space="preserve">5.819.000 </t>
  </si>
  <si>
    <t xml:space="preserve"> 5.819.000 </t>
  </si>
  <si>
    <t>601T31</t>
  </si>
  <si>
    <t xml:space="preserve">4.464.000 </t>
  </si>
  <si>
    <t xml:space="preserve"> 4.464.000 </t>
  </si>
  <si>
    <t>101T32</t>
  </si>
  <si>
    <t>7.000.000</t>
  </si>
  <si>
    <t xml:space="preserve">1.079.000 </t>
  </si>
  <si>
    <t xml:space="preserve">6.579.000 </t>
  </si>
  <si>
    <t xml:space="preserve"> 6.579.000 </t>
  </si>
  <si>
    <t>102T32</t>
  </si>
  <si>
    <t>2.300.000</t>
  </si>
  <si>
    <t xml:space="preserve">3.046.000 </t>
  </si>
  <si>
    <t xml:space="preserve"> 3.046.000 </t>
  </si>
  <si>
    <t>201T32</t>
  </si>
  <si>
    <t xml:space="preserve">14.160.000 </t>
  </si>
  <si>
    <t>kh mới 1/9 chốt giá 7tr , giá chốt 7tr2, ctv hỗ trợ</t>
  </si>
  <si>
    <t>14.280.000</t>
  </si>
  <si>
    <t>301T32</t>
  </si>
  <si>
    <t>1.784.000</t>
  </si>
  <si>
    <t xml:space="preserve">2.544.000 </t>
  </si>
  <si>
    <t xml:space="preserve">9.544.000 </t>
  </si>
  <si>
    <t xml:space="preserve"> 9.544.000 </t>
  </si>
  <si>
    <t>401T32</t>
  </si>
  <si>
    <t>5.400.000</t>
  </si>
  <si>
    <t xml:space="preserve">1.261.000 </t>
  </si>
  <si>
    <t xml:space="preserve">6.661.000 </t>
  </si>
  <si>
    <t xml:space="preserve"> 6.661.000 </t>
  </si>
  <si>
    <t>tủ lạnh, máy giặt</t>
  </si>
  <si>
    <t>501T32</t>
  </si>
  <si>
    <t>6.600.000</t>
  </si>
  <si>
    <t xml:space="preserve"> 8.200.000 </t>
  </si>
  <si>
    <t>101T33</t>
  </si>
  <si>
    <t>MB</t>
  </si>
  <si>
    <t>17.000.000</t>
  </si>
  <si>
    <t>16.000.000</t>
  </si>
  <si>
    <t>3.640.000</t>
  </si>
  <si>
    <t>3.790.000</t>
  </si>
  <si>
    <t>201T33</t>
  </si>
  <si>
    <t>4.552.000</t>
  </si>
  <si>
    <t>202T33</t>
  </si>
  <si>
    <t>3.728.000</t>
  </si>
  <si>
    <t>từ tháng 9 lên giá 3tr2, dv 2 ng</t>
  </si>
  <si>
    <t>204T33</t>
  </si>
  <si>
    <t>4.618.000</t>
  </si>
  <si>
    <t>trưd 20 số điện hành lang</t>
  </si>
  <si>
    <t>301T33</t>
  </si>
  <si>
    <t>4.808.000</t>
  </si>
  <si>
    <t>302T33</t>
  </si>
  <si>
    <t>3.954.000</t>
  </si>
  <si>
    <t>304T33</t>
  </si>
  <si>
    <t>7.980.000</t>
  </si>
  <si>
    <t xml:space="preserve">kh mới 1/9 chốt giá 3tr7 </t>
  </si>
  <si>
    <t>401T33</t>
  </si>
  <si>
    <t>4.588.000</t>
  </si>
  <si>
    <t>402T33</t>
  </si>
  <si>
    <t>1.256.000</t>
  </si>
  <si>
    <t>4.656.000</t>
  </si>
  <si>
    <t>404T33</t>
  </si>
  <si>
    <t>4.580.000</t>
  </si>
  <si>
    <t>quản lý điền số điện đầu, 4680k bên bidv ngày 31/8</t>
  </si>
  <si>
    <t>4.680.000</t>
  </si>
  <si>
    <t>501T33</t>
  </si>
  <si>
    <t>1.416.000</t>
  </si>
  <si>
    <t>4.916.000</t>
  </si>
  <si>
    <t>502T33</t>
  </si>
  <si>
    <t>4.160.000</t>
  </si>
  <si>
    <t>504T33</t>
  </si>
  <si>
    <t>3.882.000</t>
  </si>
  <si>
    <t>101T34</t>
  </si>
  <si>
    <t>1.472.000</t>
  </si>
  <si>
    <t xml:space="preserve">2.052.000 </t>
  </si>
  <si>
    <t>8/9 tt đủ</t>
  </si>
  <si>
    <t>201T34</t>
  </si>
  <si>
    <t xml:space="preserve">1.744.000 </t>
  </si>
  <si>
    <t xml:space="preserve">5.244.000 </t>
  </si>
  <si>
    <t xml:space="preserve"> 5.244.000 </t>
  </si>
  <si>
    <t>202T34</t>
  </si>
  <si>
    <t xml:space="preserve">4.124.000 </t>
  </si>
  <si>
    <t xml:space="preserve"> 4.124.000 </t>
  </si>
  <si>
    <t>301T34</t>
  </si>
  <si>
    <t xml:space="preserve">1.344.000 </t>
  </si>
  <si>
    <t xml:space="preserve">4.244.000 </t>
  </si>
  <si>
    <t xml:space="preserve"> 4.244.000 </t>
  </si>
  <si>
    <t>302T34</t>
  </si>
  <si>
    <t xml:space="preserve"> 4.264.000 </t>
  </si>
  <si>
    <t>401T34</t>
  </si>
  <si>
    <t xml:space="preserve">4.076.000 </t>
  </si>
  <si>
    <t xml:space="preserve"> 4.076.000 </t>
  </si>
  <si>
    <t>402T34</t>
  </si>
  <si>
    <t xml:space="preserve">3.760.000 </t>
  </si>
  <si>
    <t xml:space="preserve"> 3.760.000 </t>
  </si>
  <si>
    <t>101T35</t>
  </si>
  <si>
    <t xml:space="preserve">4.560.000 </t>
  </si>
  <si>
    <t xml:space="preserve"> 4.560.000 </t>
  </si>
  <si>
    <t>102T35</t>
  </si>
  <si>
    <t xml:space="preserve">1.090.000 </t>
  </si>
  <si>
    <t xml:space="preserve">3.990.000 </t>
  </si>
  <si>
    <t xml:space="preserve"> 3.990.000 </t>
  </si>
  <si>
    <t>201T35</t>
  </si>
  <si>
    <t>1.688.000</t>
  </si>
  <si>
    <t xml:space="preserve">2.268.000 </t>
  </si>
  <si>
    <t xml:space="preserve">5.668.000 </t>
  </si>
  <si>
    <t xml:space="preserve"> 5.688.000 </t>
  </si>
  <si>
    <t>202T35</t>
  </si>
  <si>
    <t xml:space="preserve">3.954.000 </t>
  </si>
  <si>
    <t xml:space="preserve"> 3.954.000 </t>
  </si>
  <si>
    <t>203T35</t>
  </si>
  <si>
    <t>phòng chủ nhà ở, đến kì tt 3 th</t>
  </si>
  <si>
    <t>204T35</t>
  </si>
  <si>
    <t>phòng chủ nhà ở, đến kì tt 3th</t>
  </si>
  <si>
    <t>301T35</t>
  </si>
  <si>
    <t>1.208.000</t>
  </si>
  <si>
    <t xml:space="preserve">1.448.000 </t>
  </si>
  <si>
    <t>302T35</t>
  </si>
  <si>
    <t xml:space="preserve">3.792.000 </t>
  </si>
  <si>
    <t xml:space="preserve"> 3.792.000 </t>
  </si>
  <si>
    <t>303T35</t>
  </si>
  <si>
    <t xml:space="preserve">1.138.000 </t>
  </si>
  <si>
    <t xml:space="preserve">4.438.000 </t>
  </si>
  <si>
    <t xml:space="preserve"> 4.438.000 </t>
  </si>
  <si>
    <t>304T35</t>
  </si>
  <si>
    <t xml:space="preserve">1.356.000 </t>
  </si>
  <si>
    <t xml:space="preserve">4.456.000 </t>
  </si>
  <si>
    <t>(3.956.000)</t>
  </si>
  <si>
    <t>401T35</t>
  </si>
  <si>
    <t xml:space="preserve">3.748.000 </t>
  </si>
  <si>
    <t xml:space="preserve"> 3.748.000 </t>
  </si>
  <si>
    <t>402T35</t>
  </si>
  <si>
    <t xml:space="preserve">1.208.000 </t>
  </si>
  <si>
    <t xml:space="preserve">4.208.000 </t>
  </si>
  <si>
    <t xml:space="preserve"> 4.208.000 </t>
  </si>
  <si>
    <t>403T35</t>
  </si>
  <si>
    <t xml:space="preserve">1.296.000 </t>
  </si>
  <si>
    <t xml:space="preserve">4.296.000 </t>
  </si>
  <si>
    <t xml:space="preserve"> 4.296.000 </t>
  </si>
  <si>
    <t>404T35</t>
  </si>
  <si>
    <t xml:space="preserve">6.980.000 </t>
  </si>
  <si>
    <t>Kh mới 1/9 chốt giá 3tr2</t>
  </si>
  <si>
    <t xml:space="preserve"> 6.980.000 </t>
  </si>
  <si>
    <t>501T35</t>
  </si>
  <si>
    <t xml:space="preserve">3.292.000 </t>
  </si>
  <si>
    <t xml:space="preserve"> 3.292.000 </t>
  </si>
  <si>
    <t>502T35</t>
  </si>
  <si>
    <t xml:space="preserve">3.952.000 </t>
  </si>
  <si>
    <t xml:space="preserve"> 3.952.000 </t>
  </si>
  <si>
    <t>503T35</t>
  </si>
  <si>
    <t xml:space="preserve">3.774.000 </t>
  </si>
  <si>
    <t xml:space="preserve"> 3.774.000 </t>
  </si>
  <si>
    <t>504T35</t>
  </si>
  <si>
    <t>2.700.000</t>
  </si>
  <si>
    <t xml:space="preserve">3.316.000 </t>
  </si>
  <si>
    <t xml:space="preserve"> 3.316.000 </t>
  </si>
  <si>
    <t>101T36</t>
  </si>
  <si>
    <t>1.020.000</t>
  </si>
  <si>
    <t xml:space="preserve">1.400.000 </t>
  </si>
  <si>
    <t>103T36</t>
  </si>
  <si>
    <t xml:space="preserve">5.072.000 </t>
  </si>
  <si>
    <t>tháng 10 về giá 3tr8</t>
  </si>
  <si>
    <t xml:space="preserve"> 5.072.000 </t>
  </si>
  <si>
    <t>201T36</t>
  </si>
  <si>
    <t>5.250.000</t>
  </si>
  <si>
    <t xml:space="preserve">4.900.000 </t>
  </si>
  <si>
    <t>bổ sung 1750k tiền cọc để m8 thanh toán</t>
  </si>
  <si>
    <t xml:space="preserve"> 4.900.000 </t>
  </si>
  <si>
    <t>202T36</t>
  </si>
  <si>
    <t>203T36</t>
  </si>
  <si>
    <t>301T36</t>
  </si>
  <si>
    <t xml:space="preserve">1.664.000 </t>
  </si>
  <si>
    <t xml:space="preserve">4.964.000 </t>
  </si>
  <si>
    <t xml:space="preserve"> 4.964.000 </t>
  </si>
  <si>
    <t>302T36</t>
  </si>
  <si>
    <t xml:space="preserve">1.212.000 </t>
  </si>
  <si>
    <t xml:space="preserve">4.612.000 </t>
  </si>
  <si>
    <t>(4.612.000)</t>
  </si>
  <si>
    <t>303T36</t>
  </si>
  <si>
    <t>kh mới 1/9 chốt giá 4tr , 5/9 tt đủ</t>
  </si>
  <si>
    <t>000T37</t>
  </si>
  <si>
    <t>2.539.200</t>
  </si>
  <si>
    <t xml:space="preserve">2.539.200 </t>
  </si>
  <si>
    <t xml:space="preserve"> 2.539.000 </t>
  </si>
  <si>
    <t>101T37</t>
  </si>
  <si>
    <t xml:space="preserve">1.041.000 </t>
  </si>
  <si>
    <t xml:space="preserve">4.841.000 </t>
  </si>
  <si>
    <t xml:space="preserve"> 4.841.000 </t>
  </si>
  <si>
    <t>102T37</t>
  </si>
  <si>
    <t xml:space="preserve">4.370.000 </t>
  </si>
  <si>
    <t xml:space="preserve"> 4.370.000 </t>
  </si>
  <si>
    <t>103T37</t>
  </si>
  <si>
    <t xml:space="preserve">4.942.000 </t>
  </si>
  <si>
    <t xml:space="preserve"> 4.942.000 </t>
  </si>
  <si>
    <t>201T37</t>
  </si>
  <si>
    <t>1.792.000</t>
  </si>
  <si>
    <t xml:space="preserve">6.272.000 </t>
  </si>
  <si>
    <t>tháng 9 chỉnh lại giá xe điệ</t>
  </si>
  <si>
    <t xml:space="preserve"> 6.272.000 </t>
  </si>
  <si>
    <t>202T37</t>
  </si>
  <si>
    <t xml:space="preserve">1.478.000 </t>
  </si>
  <si>
    <t>203T37</t>
  </si>
  <si>
    <t>1.812.000</t>
  </si>
  <si>
    <t xml:space="preserve">2.192.000 </t>
  </si>
  <si>
    <t>301T37</t>
  </si>
  <si>
    <t xml:space="preserve">5.156.000 </t>
  </si>
  <si>
    <t xml:space="preserve"> 5.156.000 </t>
  </si>
  <si>
    <t>302T37</t>
  </si>
  <si>
    <t xml:space="preserve">4.644.000 </t>
  </si>
  <si>
    <t xml:space="preserve"> 4.644.000 </t>
  </si>
  <si>
    <t>303T37</t>
  </si>
  <si>
    <t xml:space="preserve">4.722.000 </t>
  </si>
  <si>
    <t>7/9 tt</t>
  </si>
  <si>
    <t xml:space="preserve"> 4.730.000 </t>
  </si>
  <si>
    <t>401T37</t>
  </si>
  <si>
    <t xml:space="preserve">1.508.000 </t>
  </si>
  <si>
    <t>tháng 9 tính 2 người</t>
  </si>
  <si>
    <t xml:space="preserve"> 5.224.000 </t>
  </si>
  <si>
    <t>402T37</t>
  </si>
  <si>
    <t>1.516.000</t>
  </si>
  <si>
    <t xml:space="preserve">2.336.000 </t>
  </si>
  <si>
    <t xml:space="preserve">5.836.000 </t>
  </si>
  <si>
    <t xml:space="preserve"> 5.836.000 </t>
  </si>
  <si>
    <t>403T37</t>
  </si>
  <si>
    <t xml:space="preserve">1.026.000 </t>
  </si>
  <si>
    <t xml:space="preserve">5.126.000 </t>
  </si>
  <si>
    <t xml:space="preserve"> 5.126.000 </t>
  </si>
  <si>
    <t>501T37</t>
  </si>
  <si>
    <t xml:space="preserve">1.282.000 </t>
  </si>
  <si>
    <t xml:space="preserve">5.282.000 </t>
  </si>
  <si>
    <t xml:space="preserve"> 5.282.000 </t>
  </si>
  <si>
    <t>502T37</t>
  </si>
  <si>
    <t xml:space="preserve">1.783.000 </t>
  </si>
  <si>
    <t xml:space="preserve">5.383.000 </t>
  </si>
  <si>
    <t xml:space="preserve"> 5.383.000 </t>
  </si>
  <si>
    <t>503T37</t>
  </si>
  <si>
    <t>1.696.000</t>
  </si>
  <si>
    <t xml:space="preserve">2.141.000 </t>
  </si>
  <si>
    <t xml:space="preserve">5.941.000 </t>
  </si>
  <si>
    <t xml:space="preserve"> 5.941.000 </t>
  </si>
  <si>
    <t>601T37</t>
  </si>
  <si>
    <t>2.840.000</t>
  </si>
  <si>
    <t xml:space="preserve">3.590.000 </t>
  </si>
  <si>
    <t xml:space="preserve">7.990.000 </t>
  </si>
  <si>
    <t xml:space="preserve"> 7.990.000 </t>
  </si>
  <si>
    <t>602T37</t>
  </si>
  <si>
    <t xml:space="preserve">4.616.000 </t>
  </si>
  <si>
    <t xml:space="preserve"> 4.616.000 </t>
  </si>
  <si>
    <t>603T37</t>
  </si>
  <si>
    <t xml:space="preserve">4.519.000 </t>
  </si>
  <si>
    <t xml:space="preserve"> 4.519.000 </t>
  </si>
  <si>
    <t>701T37</t>
  </si>
  <si>
    <t xml:space="preserve">4.832.000 </t>
  </si>
  <si>
    <t xml:space="preserve"> 4.832.000 </t>
  </si>
  <si>
    <t>702T37</t>
  </si>
  <si>
    <t>1.576.000</t>
  </si>
  <si>
    <t xml:space="preserve">1.966.000 </t>
  </si>
  <si>
    <t xml:space="preserve">5.266.000 </t>
  </si>
  <si>
    <t>5.266.000</t>
  </si>
  <si>
    <t>201T41</t>
  </si>
  <si>
    <t xml:space="preserve">7.880.000 </t>
  </si>
  <si>
    <t>kh mới 1/9 chốt ggias3tr6 , 5/9 tt đủ</t>
  </si>
  <si>
    <t>7.880.000</t>
  </si>
  <si>
    <t>202T41</t>
  </si>
  <si>
    <t xml:space="preserve">4.534.000 </t>
  </si>
  <si>
    <t xml:space="preserve"> 4.534.000 </t>
  </si>
  <si>
    <t>203T41</t>
  </si>
  <si>
    <t xml:space="preserve">3.762.000 </t>
  </si>
  <si>
    <t>hỗ trợ dv khách k ở, dvc 120k</t>
  </si>
  <si>
    <t xml:space="preserve"> 3.762.000 </t>
  </si>
  <si>
    <t>301T41</t>
  </si>
  <si>
    <t>kh mới 1/9 chốt giá 3tr8, 1489k chuyển từ tháng 8</t>
  </si>
  <si>
    <t>7.989.548</t>
  </si>
  <si>
    <t>302T41</t>
  </si>
  <si>
    <t xml:space="preserve"> ( kh đang ở 1 thêm người giá 4tr) </t>
  </si>
  <si>
    <t xml:space="preserve"> 4.612.000 </t>
  </si>
  <si>
    <t>303T41</t>
  </si>
  <si>
    <t xml:space="preserve">1.570.000 </t>
  </si>
  <si>
    <t xml:space="preserve">5.370.000 </t>
  </si>
  <si>
    <t>Hỗ trợ giá 3tr4 tháng 7,8</t>
  </si>
  <si>
    <t xml:space="preserve"> 5.370.000 </t>
  </si>
  <si>
    <t>401T41</t>
  </si>
  <si>
    <t xml:space="preserve">4.482.000 </t>
  </si>
  <si>
    <t xml:space="preserve"> 4.482.000 </t>
  </si>
  <si>
    <t>402T41</t>
  </si>
  <si>
    <t xml:space="preserve">1.086.000 </t>
  </si>
  <si>
    <t xml:space="preserve">4.986.000 </t>
  </si>
  <si>
    <t xml:space="preserve"> 4.986.000 </t>
  </si>
  <si>
    <t>403T41</t>
  </si>
  <si>
    <t xml:space="preserve">1.166.000 </t>
  </si>
  <si>
    <t xml:space="preserve">4.766.000 </t>
  </si>
  <si>
    <t xml:space="preserve"> 4.766.000 </t>
  </si>
  <si>
    <t>501T41</t>
  </si>
  <si>
    <t xml:space="preserve">1.232.000 </t>
  </si>
  <si>
    <t xml:space="preserve"> tháng 7 lắp mát giặt riêng góa 150kng tiền nước</t>
  </si>
  <si>
    <t>502T41</t>
  </si>
  <si>
    <t>1.308.000</t>
  </si>
  <si>
    <t xml:space="preserve">1.988.000 </t>
  </si>
  <si>
    <t xml:space="preserve">5.888.000 </t>
  </si>
  <si>
    <t xml:space="preserve"> 5.888.000 </t>
  </si>
  <si>
    <t>503T41</t>
  </si>
  <si>
    <t xml:space="preserve">4.520.000 </t>
  </si>
  <si>
    <t>tháng 7 lắp mát giặt riêng góa 150kng tiền nước</t>
  </si>
  <si>
    <t xml:space="preserve"> 4.520.000 </t>
  </si>
  <si>
    <t>601T41</t>
  </si>
  <si>
    <t>kh mới 1/9 chốt giá 3tr8 , 5/9 tt đủ</t>
  </si>
  <si>
    <t>7.990.000</t>
  </si>
  <si>
    <t>602T41</t>
  </si>
  <si>
    <t>3.244.000</t>
  </si>
  <si>
    <t xml:space="preserve">3.664.000 </t>
  </si>
  <si>
    <t xml:space="preserve">7.664.000 </t>
  </si>
  <si>
    <t xml:space="preserve"> 7.664.000 </t>
  </si>
  <si>
    <t>603T41</t>
  </si>
  <si>
    <t xml:space="preserve">5.910.000 </t>
  </si>
  <si>
    <t xml:space="preserve"> 5.910.000 </t>
  </si>
  <si>
    <t>701T41</t>
  </si>
  <si>
    <t>1.000.000</t>
  </si>
  <si>
    <t xml:space="preserve">2.160.000 </t>
  </si>
  <si>
    <t xml:space="preserve">6.960.000 </t>
  </si>
  <si>
    <t>tháng 9 dv 4 ng</t>
  </si>
  <si>
    <t xml:space="preserve"> 6.960.000 </t>
  </si>
  <si>
    <t>101T42</t>
  </si>
  <si>
    <t xml:space="preserve">1.404.000 </t>
  </si>
  <si>
    <t xml:space="preserve">4.204.000 </t>
  </si>
  <si>
    <t>10/9  tt đủ</t>
  </si>
  <si>
    <t xml:space="preserve"> 4.204.000 </t>
  </si>
  <si>
    <t>102T42</t>
  </si>
  <si>
    <t xml:space="preserve">3.948.000 </t>
  </si>
  <si>
    <t xml:space="preserve"> 3.948.000 </t>
  </si>
  <si>
    <t>103T42</t>
  </si>
  <si>
    <t xml:space="preserve">3.434.000 </t>
  </si>
  <si>
    <t xml:space="preserve"> 3.434.000 </t>
  </si>
  <si>
    <t>104T42</t>
  </si>
  <si>
    <t>105T42</t>
  </si>
  <si>
    <t xml:space="preserve">6.580.000 </t>
  </si>
  <si>
    <t>6.580.000</t>
  </si>
  <si>
    <t>106T42</t>
  </si>
  <si>
    <t xml:space="preserve">3.816.000 </t>
  </si>
  <si>
    <t xml:space="preserve"> 3.816.000 </t>
  </si>
  <si>
    <t>107T42</t>
  </si>
  <si>
    <t xml:space="preserve">1.074.000 </t>
  </si>
  <si>
    <t xml:space="preserve">4.174.000 </t>
  </si>
  <si>
    <t xml:space="preserve"> 4.174.000 </t>
  </si>
  <si>
    <t>108T42</t>
  </si>
  <si>
    <t xml:space="preserve">1.548.000 </t>
  </si>
  <si>
    <t>109T42</t>
  </si>
  <si>
    <t xml:space="preserve">3.634.000 </t>
  </si>
  <si>
    <t>kh phá hđ</t>
  </si>
  <si>
    <t>(3.530.000)</t>
  </si>
  <si>
    <t>110T42</t>
  </si>
  <si>
    <t xml:space="preserve">4.044.000 </t>
  </si>
  <si>
    <t xml:space="preserve"> 4.044.000 </t>
  </si>
  <si>
    <t>201T42</t>
  </si>
  <si>
    <t xml:space="preserve">4.164.000 </t>
  </si>
  <si>
    <t>quản lý điền số điện đầu, 8/9 tt đủ</t>
  </si>
  <si>
    <t xml:space="preserve"> 4.342.000 </t>
  </si>
  <si>
    <t>202T42</t>
  </si>
  <si>
    <t xml:space="preserve">3.736.000 </t>
  </si>
  <si>
    <t xml:space="preserve"> 3.736.000 </t>
  </si>
  <si>
    <t>203T42</t>
  </si>
  <si>
    <t xml:space="preserve">1.190.000 </t>
  </si>
  <si>
    <t>9/9 tt đủ</t>
  </si>
  <si>
    <t>204T42</t>
  </si>
  <si>
    <t xml:space="preserve">4.408.000 </t>
  </si>
  <si>
    <t xml:space="preserve"> 4.408.000 </t>
  </si>
  <si>
    <t>7TH</t>
  </si>
  <si>
    <t>205T42</t>
  </si>
  <si>
    <t xml:space="preserve">7.380.000 </t>
  </si>
  <si>
    <t>kh mới 1/9 chốt giá 3tr4</t>
  </si>
  <si>
    <t xml:space="preserve"> 7.380.000 </t>
  </si>
  <si>
    <t>206T42</t>
  </si>
  <si>
    <t xml:space="preserve">1.304.000 </t>
  </si>
  <si>
    <t xml:space="preserve">4.704.000 </t>
  </si>
  <si>
    <t xml:space="preserve"> 4.704.000 </t>
  </si>
  <si>
    <t>207T42</t>
  </si>
  <si>
    <t xml:space="preserve">4.056.000 </t>
  </si>
  <si>
    <t>Tháng 9 check sl dv, dvc 120k, hỗ trợ khách k ở, 5/9 tt</t>
  </si>
  <si>
    <t xml:space="preserve"> 4.056.000 </t>
  </si>
  <si>
    <t>208T42</t>
  </si>
  <si>
    <t>301T42</t>
  </si>
  <si>
    <t>1.772.000</t>
  </si>
  <si>
    <t xml:space="preserve">5.992.000 </t>
  </si>
  <si>
    <t xml:space="preserve"> 5.992.000 </t>
  </si>
  <si>
    <t>302T42</t>
  </si>
  <si>
    <t>1.192.000</t>
  </si>
  <si>
    <t xml:space="preserve">1.672.000 </t>
  </si>
  <si>
    <t xml:space="preserve">4.872.000 </t>
  </si>
  <si>
    <t xml:space="preserve"> 4.872.000 </t>
  </si>
  <si>
    <t>303T42</t>
  </si>
  <si>
    <t xml:space="preserve">1.200.000 </t>
  </si>
  <si>
    <t xml:space="preserve">4.200.000 </t>
  </si>
  <si>
    <t xml:space="preserve"> 4.200.000 </t>
  </si>
  <si>
    <t>304T42</t>
  </si>
  <si>
    <t>1.548.000</t>
  </si>
  <si>
    <t xml:space="preserve">2.028.000 </t>
  </si>
  <si>
    <t>305T42</t>
  </si>
  <si>
    <t>1.584.000</t>
  </si>
  <si>
    <t xml:space="preserve">1.874.000 </t>
  </si>
  <si>
    <t xml:space="preserve">4.974.000 </t>
  </si>
  <si>
    <t>đã cọc 1tr để m10 thanh toán</t>
  </si>
  <si>
    <t xml:space="preserve"> 4.974.000 </t>
  </si>
  <si>
    <t>306T42</t>
  </si>
  <si>
    <t xml:space="preserve">4.504.000 </t>
  </si>
  <si>
    <t xml:space="preserve"> 4.504.000 </t>
  </si>
  <si>
    <t>307T42</t>
  </si>
  <si>
    <t>308T42</t>
  </si>
  <si>
    <t xml:space="preserve">1.164.000 </t>
  </si>
  <si>
    <t xml:space="preserve">3.964.000 </t>
  </si>
  <si>
    <t xml:space="preserve"> 3.964.000 </t>
  </si>
  <si>
    <t>401T42</t>
  </si>
  <si>
    <t xml:space="preserve">1.454.000 </t>
  </si>
  <si>
    <t xml:space="preserve">4.454.000 </t>
  </si>
  <si>
    <t xml:space="preserve"> 4.454.000 </t>
  </si>
  <si>
    <t>402T42</t>
  </si>
  <si>
    <t>1.008.000</t>
  </si>
  <si>
    <t xml:space="preserve">1.368.000 </t>
  </si>
  <si>
    <t xml:space="preserve">4.368.000 </t>
  </si>
  <si>
    <t xml:space="preserve"> 4.368.000 </t>
  </si>
  <si>
    <t>403T42</t>
  </si>
  <si>
    <t>kh mới 1/9 chốt giá 3tr2 , 9/9 tt đủ</t>
  </si>
  <si>
    <t>6.970.000</t>
  </si>
  <si>
    <t>404T42</t>
  </si>
  <si>
    <t xml:space="preserve">1.312.000 </t>
  </si>
  <si>
    <t>405T42</t>
  </si>
  <si>
    <t xml:space="preserve">7.040.000 </t>
  </si>
  <si>
    <t xml:space="preserve"> 7.040.000 </t>
  </si>
  <si>
    <t>406T42</t>
  </si>
  <si>
    <t xml:space="preserve">1.040.000 </t>
  </si>
  <si>
    <t xml:space="preserve">3.840.000 </t>
  </si>
  <si>
    <t xml:space="preserve"> tháng 8 dufbg wifi</t>
  </si>
  <si>
    <t xml:space="preserve"> 3.840.000 </t>
  </si>
  <si>
    <t>407T42</t>
  </si>
  <si>
    <t xml:space="preserve">4.744.000 </t>
  </si>
  <si>
    <t xml:space="preserve"> 4.744.000 </t>
  </si>
  <si>
    <t>408T42</t>
  </si>
  <si>
    <t>kh mới 1/9 chốt giá 3tr4, 6/9 tt đủ</t>
  </si>
  <si>
    <t>501T42</t>
  </si>
  <si>
    <t>502T42</t>
  </si>
  <si>
    <t xml:space="preserve">6.180.000 </t>
  </si>
  <si>
    <t>6.180.000</t>
  </si>
  <si>
    <t>503T42</t>
  </si>
  <si>
    <t>504T42</t>
  </si>
  <si>
    <t xml:space="preserve">3.986.000 </t>
  </si>
  <si>
    <t xml:space="preserve"> 3.986.000 </t>
  </si>
  <si>
    <t>505T42</t>
  </si>
  <si>
    <t xml:space="preserve">1.424.000 </t>
  </si>
  <si>
    <t xml:space="preserve">4.724.000 </t>
  </si>
  <si>
    <t xml:space="preserve"> 4.724.000 </t>
  </si>
  <si>
    <t>506T42</t>
  </si>
  <si>
    <t>1.272.000</t>
  </si>
  <si>
    <t>507T42</t>
  </si>
  <si>
    <t>1.360.000</t>
  </si>
  <si>
    <t xml:space="preserve">1.940.000 </t>
  </si>
  <si>
    <t xml:space="preserve">5.140.000 </t>
  </si>
  <si>
    <t xml:space="preserve"> 5.140.000 </t>
  </si>
  <si>
    <t>508T42</t>
  </si>
  <si>
    <t xml:space="preserve">5.540.000 </t>
  </si>
  <si>
    <t xml:space="preserve"> 5.540.000 </t>
  </si>
  <si>
    <t>601T42</t>
  </si>
  <si>
    <t xml:space="preserve">1.432.000 </t>
  </si>
  <si>
    <t xml:space="preserve">4.732.000 </t>
  </si>
  <si>
    <t>tháng 9 thu xe điện 150k</t>
  </si>
  <si>
    <t xml:space="preserve"> 4.732.000 </t>
  </si>
  <si>
    <t>602T42</t>
  </si>
  <si>
    <t xml:space="preserve">4.664.000 </t>
  </si>
  <si>
    <t xml:space="preserve"> 4.664.000 </t>
  </si>
  <si>
    <t>603T42</t>
  </si>
  <si>
    <t xml:space="preserve">4.476.000 </t>
  </si>
  <si>
    <t>hỗ trợ giá 3tr, 5/9 tt đủ</t>
  </si>
  <si>
    <t xml:space="preserve"> 4.476.000 </t>
  </si>
  <si>
    <t>604T42</t>
  </si>
  <si>
    <t>1.216.000</t>
  </si>
  <si>
    <t>605T42</t>
  </si>
  <si>
    <t xml:space="preserve">4.548.000 </t>
  </si>
  <si>
    <t xml:space="preserve"> 4.548.000 </t>
  </si>
  <si>
    <t>607T42</t>
  </si>
  <si>
    <t>608T42</t>
  </si>
  <si>
    <t>202T38</t>
  </si>
  <si>
    <t>7.800.000</t>
  </si>
  <si>
    <t>8.500.000</t>
  </si>
  <si>
    <t xml:space="preserve">8.684.000 </t>
  </si>
  <si>
    <t xml:space="preserve"> 8.684.000 </t>
  </si>
  <si>
    <t>101T38</t>
  </si>
  <si>
    <t>6.500.000</t>
  </si>
  <si>
    <t xml:space="preserve">11.000.000 </t>
  </si>
  <si>
    <t xml:space="preserve">kh mới 1/9 chốt giá 5tr5 </t>
  </si>
  <si>
    <t>11.000.000</t>
  </si>
  <si>
    <t>201T38</t>
  </si>
  <si>
    <t xml:space="preserve">6.600.000 </t>
  </si>
  <si>
    <t>301T38</t>
  </si>
  <si>
    <t xml:space="preserve">4.284.000 </t>
  </si>
  <si>
    <t xml:space="preserve"> 4.284.000 </t>
  </si>
  <si>
    <t>302T38</t>
  </si>
  <si>
    <t xml:space="preserve"> 4.000.000 </t>
  </si>
  <si>
    <t>303T38</t>
  </si>
  <si>
    <t xml:space="preserve">3.536.000 </t>
  </si>
  <si>
    <t xml:space="preserve"> 3.536.000 </t>
  </si>
  <si>
    <t>304T38</t>
  </si>
  <si>
    <t>7tr5 tiền mặt 3/9</t>
  </si>
  <si>
    <t xml:space="preserve"> 3.893.548 </t>
  </si>
  <si>
    <t>402T38</t>
  </si>
  <si>
    <t xml:space="preserve">1.320.000 </t>
  </si>
  <si>
    <t>101T44</t>
  </si>
  <si>
    <t xml:space="preserve">1.314.000 </t>
  </si>
  <si>
    <t xml:space="preserve">5.214.000 </t>
  </si>
  <si>
    <t xml:space="preserve"> 5.214.000 </t>
  </si>
  <si>
    <t>201T44</t>
  </si>
  <si>
    <t xml:space="preserve">1.411.000 </t>
  </si>
  <si>
    <t xml:space="preserve">5.411.000 </t>
  </si>
  <si>
    <t xml:space="preserve"> 5.411.000 </t>
  </si>
  <si>
    <t>202T44</t>
  </si>
  <si>
    <t xml:space="preserve">1.132.000 </t>
  </si>
  <si>
    <t xml:space="preserve">5.532.000 </t>
  </si>
  <si>
    <t xml:space="preserve"> 5.532.000 </t>
  </si>
  <si>
    <t>301T44</t>
  </si>
  <si>
    <t xml:space="preserve">4.884.000 </t>
  </si>
  <si>
    <t xml:space="preserve"> 4.884.000 </t>
  </si>
  <si>
    <t>302T44</t>
  </si>
  <si>
    <t>1.092.000</t>
  </si>
  <si>
    <t xml:space="preserve">1.382.000 </t>
  </si>
  <si>
    <t xml:space="preserve">5.582.000 </t>
  </si>
  <si>
    <t xml:space="preserve"> 5.582.000 </t>
  </si>
  <si>
    <t>401T44</t>
  </si>
  <si>
    <t>1.336.000</t>
  </si>
  <si>
    <t xml:space="preserve">1.681.000 </t>
  </si>
  <si>
    <t xml:space="preserve">5.381.000 </t>
  </si>
  <si>
    <t>kh ở lại đến hết tháng 9</t>
  </si>
  <si>
    <t xml:space="preserve"> 5.381.000 </t>
  </si>
  <si>
    <t>402T44</t>
  </si>
  <si>
    <t xml:space="preserve">8.980.000 </t>
  </si>
  <si>
    <t xml:space="preserve">kh mới 1/9 chốt giá 4tr2, giá phải chốt 4tr3, quản lý và ctv hỗ trợ </t>
  </si>
  <si>
    <t>8.980.000</t>
  </si>
  <si>
    <t>501T44</t>
  </si>
  <si>
    <t xml:space="preserve">4.854.000 </t>
  </si>
  <si>
    <t>tháng 9 check lại sl dv</t>
  </si>
  <si>
    <t xml:space="preserve"> 4.854.000 </t>
  </si>
  <si>
    <t>101T45</t>
  </si>
  <si>
    <t>1.112.000</t>
  </si>
  <si>
    <t xml:space="preserve">1.537.000 </t>
  </si>
  <si>
    <t xml:space="preserve">5.337.000 </t>
  </si>
  <si>
    <t xml:space="preserve"> 5.337.000 </t>
  </si>
  <si>
    <t>201T45</t>
  </si>
  <si>
    <t xml:space="preserve">4.751.032 </t>
  </si>
  <si>
    <t xml:space="preserve"> 4.753.000 </t>
  </si>
  <si>
    <t>202T45</t>
  </si>
  <si>
    <t xml:space="preserve">1.474.000 </t>
  </si>
  <si>
    <t xml:space="preserve">5.974.000 </t>
  </si>
  <si>
    <t xml:space="preserve"> 5.974.000 </t>
  </si>
  <si>
    <t>301T45</t>
  </si>
  <si>
    <t xml:space="preserve">1.234.000 </t>
  </si>
  <si>
    <t xml:space="preserve">5.234.000 </t>
  </si>
  <si>
    <t xml:space="preserve"> 5.234.000 </t>
  </si>
  <si>
    <t>302T45</t>
  </si>
  <si>
    <t xml:space="preserve">1.892.000 </t>
  </si>
  <si>
    <t xml:space="preserve">6.192.000 </t>
  </si>
  <si>
    <t xml:space="preserve"> 6.192.000 </t>
  </si>
  <si>
    <t>401T45</t>
  </si>
  <si>
    <t xml:space="preserve">4.829.000 </t>
  </si>
  <si>
    <t xml:space="preserve"> 4.829.000 </t>
  </si>
  <si>
    <t>402T45</t>
  </si>
  <si>
    <t>1.044.000</t>
  </si>
  <si>
    <t xml:space="preserve">5.984.000 </t>
  </si>
  <si>
    <t xml:space="preserve"> 5.984.000 </t>
  </si>
  <si>
    <t>501T45</t>
  </si>
  <si>
    <t xml:space="preserve">4.792.000 </t>
  </si>
  <si>
    <t xml:space="preserve"> 4.792.000 </t>
  </si>
  <si>
    <t>101T27</t>
  </si>
  <si>
    <t xml:space="preserve">2.412.000 </t>
  </si>
  <si>
    <t xml:space="preserve">5.712.000 </t>
  </si>
  <si>
    <t xml:space="preserve"> 5.712.000 </t>
  </si>
  <si>
    <t>201T27</t>
  </si>
  <si>
    <t>1.768.000</t>
  </si>
  <si>
    <t xml:space="preserve">2.388.000 </t>
  </si>
  <si>
    <t xml:space="preserve">5.988.000 </t>
  </si>
  <si>
    <t xml:space="preserve"> 5.988.000 </t>
  </si>
  <si>
    <t>202T27</t>
  </si>
  <si>
    <t xml:space="preserve">4.598.000 </t>
  </si>
  <si>
    <t>hỗ trợ giá 3tr6</t>
  </si>
  <si>
    <t xml:space="preserve"> 4.598.000 </t>
  </si>
  <si>
    <t>203T27</t>
  </si>
  <si>
    <t xml:space="preserve">1.806.000 </t>
  </si>
  <si>
    <t xml:space="preserve">5.606.000 </t>
  </si>
  <si>
    <t xml:space="preserve"> 5.606.000 </t>
  </si>
  <si>
    <t>301T27</t>
  </si>
  <si>
    <t xml:space="preserve">2.486.000 </t>
  </si>
  <si>
    <t xml:space="preserve">5.786.000 </t>
  </si>
  <si>
    <t xml:space="preserve"> 5.786.000 </t>
  </si>
  <si>
    <t>302T27</t>
  </si>
  <si>
    <t xml:space="preserve">4.130.000 </t>
  </si>
  <si>
    <t xml:space="preserve"> 4.130.000 </t>
  </si>
  <si>
    <t>303T27</t>
  </si>
  <si>
    <t xml:space="preserve">5.480.000 </t>
  </si>
  <si>
    <t xml:space="preserve"> 5.530.000 </t>
  </si>
  <si>
    <t>401T27</t>
  </si>
  <si>
    <t xml:space="preserve">1.395.000 </t>
  </si>
  <si>
    <t xml:space="preserve">4.595.000 </t>
  </si>
  <si>
    <t xml:space="preserve"> 4.595.000 </t>
  </si>
  <si>
    <t>402T27</t>
  </si>
  <si>
    <t xml:space="preserve">2.194.000 </t>
  </si>
  <si>
    <t xml:space="preserve">5.994.000 </t>
  </si>
  <si>
    <t xml:space="preserve"> 5.994.000 </t>
  </si>
  <si>
    <t>403T27</t>
  </si>
  <si>
    <t xml:space="preserve">8.220.000 </t>
  </si>
  <si>
    <t>kh mới 1/9 chốt giá 4tr , tháng 10 ở 2, dvc 120k</t>
  </si>
  <si>
    <t>8.220.000</t>
  </si>
  <si>
    <t>501T27</t>
  </si>
  <si>
    <t>1.396.000</t>
  </si>
  <si>
    <t>hỗ trợ 100k k có tủ</t>
  </si>
  <si>
    <t>502T27</t>
  </si>
  <si>
    <t xml:space="preserve">4.908.000 </t>
  </si>
  <si>
    <t xml:space="preserve"> 4.908.000 </t>
  </si>
  <si>
    <t>503T27</t>
  </si>
  <si>
    <t xml:space="preserve">1.439.000 </t>
  </si>
  <si>
    <t xml:space="preserve">4.539.000 </t>
  </si>
  <si>
    <t xml:space="preserve"> 4.539.000 </t>
  </si>
  <si>
    <t>601T27</t>
  </si>
  <si>
    <t xml:space="preserve">3.710.000 </t>
  </si>
  <si>
    <t xml:space="preserve"> 3.710.000 </t>
  </si>
  <si>
    <t>602T27</t>
  </si>
  <si>
    <t xml:space="preserve">5.412.000 </t>
  </si>
  <si>
    <t xml:space="preserve"> 5.412.000 </t>
  </si>
  <si>
    <t>603T27</t>
  </si>
  <si>
    <t xml:space="preserve">1.498.000 </t>
  </si>
  <si>
    <t xml:space="preserve">5.098.000 </t>
  </si>
  <si>
    <t xml:space="preserve"> 5.098.000 </t>
  </si>
  <si>
    <t>101T43</t>
  </si>
  <si>
    <t>102T43</t>
  </si>
  <si>
    <t xml:space="preserve">1.022.000 </t>
  </si>
  <si>
    <t xml:space="preserve">3.722.000 </t>
  </si>
  <si>
    <t xml:space="preserve"> 3.722.000 </t>
  </si>
  <si>
    <t>201T43</t>
  </si>
  <si>
    <t xml:space="preserve">3.512.000 </t>
  </si>
  <si>
    <t xml:space="preserve"> 3.512.000 </t>
  </si>
  <si>
    <t>202T43</t>
  </si>
  <si>
    <t>1.572.000</t>
  </si>
  <si>
    <t xml:space="preserve">1.912.000 </t>
  </si>
  <si>
    <t xml:space="preserve">5.112.000 </t>
  </si>
  <si>
    <t xml:space="preserve"> 5.112.000 </t>
  </si>
  <si>
    <t>301T43</t>
  </si>
  <si>
    <t>kh mới 1/9 chốt giá 3tr3 , 5/9 tt đủ</t>
  </si>
  <si>
    <t>302T43</t>
  </si>
  <si>
    <t xml:space="preserve">4.608.000 </t>
  </si>
  <si>
    <t>kh cũ nhượng giá 3tr4, 5.9 tt đủ</t>
  </si>
  <si>
    <t xml:space="preserve"> 4.608.000 </t>
  </si>
  <si>
    <t>401T43</t>
  </si>
  <si>
    <t xml:space="preserve">1.072.000 </t>
  </si>
  <si>
    <t xml:space="preserve"> 3.872.000 </t>
  </si>
  <si>
    <t>402T43</t>
  </si>
  <si>
    <t xml:space="preserve">7.000.000 </t>
  </si>
  <si>
    <t>kh mới 1/9 chốt giá 3tr3, 6/9 tt đủ</t>
  </si>
  <si>
    <t xml:space="preserve"> 7.120.000 </t>
  </si>
  <si>
    <t>501T43</t>
  </si>
  <si>
    <t>1.600.000</t>
  </si>
  <si>
    <t xml:space="preserve">5.460.000 </t>
  </si>
  <si>
    <t xml:space="preserve"> 5.460.000 </t>
  </si>
  <si>
    <t>502T43</t>
  </si>
  <si>
    <t xml:space="preserve">3.908.000 </t>
  </si>
  <si>
    <t xml:space="preserve"> 3.908.000 </t>
  </si>
  <si>
    <t>601T43</t>
  </si>
  <si>
    <t xml:space="preserve">1.030.000 </t>
  </si>
  <si>
    <t xml:space="preserve">4.030.000 </t>
  </si>
  <si>
    <t xml:space="preserve"> 4.030.000 </t>
  </si>
  <si>
    <t>602T43</t>
  </si>
  <si>
    <t xml:space="preserve">1.114.000 </t>
  </si>
  <si>
    <t xml:space="preserve">4.114.000 </t>
  </si>
  <si>
    <t xml:space="preserve"> 4.114.000 </t>
  </si>
  <si>
    <t>CẬP NHẬT THU TIỀN NGÀY 16/9/2026</t>
  </si>
  <si>
    <t>CẬP NHẬT THU TIỀN TIỀN THEO TOÀ NHÀ</t>
  </si>
  <si>
    <t>TỔNG DOANH THU PHẢI THU</t>
  </si>
  <si>
    <t>THỰC THU</t>
  </si>
  <si>
    <t>DOANH THU PHẢI THU SAU PHÁ HD</t>
  </si>
  <si>
    <t>TỈ LỆ(%)</t>
  </si>
  <si>
    <t>DOANH THU PHÁ HĐ</t>
  </si>
  <si>
    <t>DOANH THU PHÁ HĐ THU ĐƯỢC</t>
  </si>
  <si>
    <t>TỶ LỆ THU ĐƯỢC (%)</t>
  </si>
  <si>
    <t>TỶ LỆ DOANH THU PHÁ HĐ/DT PHẢI THU (%)</t>
  </si>
  <si>
    <t>MÃ TOÀ</t>
  </si>
  <si>
    <t>QUẢN LÝ</t>
  </si>
  <si>
    <t>DOANH THU PHẢI THU</t>
  </si>
  <si>
    <t>DOANH THU THU ĐƯỢC</t>
  </si>
  <si>
    <t>DT PHÁ HĐ</t>
  </si>
  <si>
    <t>DT PHÁ HD THU ĐƯỢC</t>
  </si>
  <si>
    <t>TỈ LỆ THU (%)</t>
  </si>
  <si>
    <t>TỈ LỆ PHÁ HĐ</t>
  </si>
  <si>
    <t>NGÀY M5</t>
  </si>
  <si>
    <t>NGÀY M10</t>
  </si>
  <si>
    <t>NGÀY 15</t>
  </si>
  <si>
    <t xml:space="preserve">496.854.892 </t>
  </si>
  <si>
    <t xml:space="preserve"> 497.458.881 </t>
  </si>
  <si>
    <t>100,1</t>
  </si>
  <si>
    <t>0,6</t>
  </si>
  <si>
    <t>55.006.000</t>
  </si>
  <si>
    <t>54.046.000</t>
  </si>
  <si>
    <t>0,0</t>
  </si>
  <si>
    <t>47.682.000</t>
  </si>
  <si>
    <t xml:space="preserve">838.204.774 </t>
  </si>
  <si>
    <t xml:space="preserve"> 781.479.800 </t>
  </si>
  <si>
    <t>33.251.974</t>
  </si>
  <si>
    <t>93,2</t>
  </si>
  <si>
    <t xml:space="preserve">24.057.000 </t>
  </si>
  <si>
    <t>2,9</t>
  </si>
  <si>
    <t>142.967.000</t>
  </si>
  <si>
    <t>142.946.000</t>
  </si>
  <si>
    <t>134.472.000</t>
  </si>
  <si>
    <t>TRỊNH XUÂN HÒA TÚ</t>
  </si>
  <si>
    <t xml:space="preserve">410.381.167 </t>
  </si>
  <si>
    <t xml:space="preserve"> 406.847.833 </t>
  </si>
  <si>
    <t>99,1</t>
  </si>
  <si>
    <t xml:space="preserve">10.588.000 </t>
  </si>
  <si>
    <t>2,6</t>
  </si>
  <si>
    <t>63.398.000</t>
  </si>
  <si>
    <t>59.214.000</t>
  </si>
  <si>
    <t>4.184.000</t>
  </si>
  <si>
    <t>6,6</t>
  </si>
  <si>
    <t>ĐỖ CÔNG TRƯỜNG</t>
  </si>
  <si>
    <t xml:space="preserve">327.479.000 </t>
  </si>
  <si>
    <t xml:space="preserve"> 327.609.000 </t>
  </si>
  <si>
    <t>100,0</t>
  </si>
  <si>
    <t>35.488.000</t>
  </si>
  <si>
    <t>32.290.000</t>
  </si>
  <si>
    <t>3.248.000</t>
  </si>
  <si>
    <t>9,2</t>
  </si>
  <si>
    <t>32.240.000</t>
  </si>
  <si>
    <t>5.727.600</t>
  </si>
  <si>
    <t>-37.832.200</t>
  </si>
  <si>
    <t xml:space="preserve">1.018.306.600 </t>
  </si>
  <si>
    <t xml:space="preserve"> 1.010.463.000 </t>
  </si>
  <si>
    <t>1.513.600</t>
  </si>
  <si>
    <t>99,2</t>
  </si>
  <si>
    <t xml:space="preserve">8.154.000 </t>
  </si>
  <si>
    <t>0,8</t>
  </si>
  <si>
    <t>49.756.600</t>
  </si>
  <si>
    <t>48.936.000</t>
  </si>
  <si>
    <t>43.384.000</t>
  </si>
  <si>
    <t>ĐỖ THỊ NỤ</t>
  </si>
  <si>
    <t xml:space="preserve">455.910.248 </t>
  </si>
  <si>
    <t xml:space="preserve"> 450.779.600 </t>
  </si>
  <si>
    <t>98,9</t>
  </si>
  <si>
    <t xml:space="preserve">5.138.000 </t>
  </si>
  <si>
    <t>1,1</t>
  </si>
  <si>
    <t>43.850.000</t>
  </si>
  <si>
    <t>43.852.000</t>
  </si>
  <si>
    <t xml:space="preserve">444.273.000 </t>
  </si>
  <si>
    <t xml:space="preserve"> 440.337.667 </t>
  </si>
  <si>
    <t>1,0</t>
  </si>
  <si>
    <t>39.128.000</t>
  </si>
  <si>
    <t>34.322.000</t>
  </si>
  <si>
    <t>4.806.000</t>
  </si>
  <si>
    <t>12,3</t>
  </si>
  <si>
    <t>28.216.000</t>
  </si>
  <si>
    <t xml:space="preserve">507.704.058 </t>
  </si>
  <si>
    <t xml:space="preserve"> 503.114.000 </t>
  </si>
  <si>
    <t>46.115.226</t>
  </si>
  <si>
    <t>46.116.000</t>
  </si>
  <si>
    <t>35.630.000</t>
  </si>
  <si>
    <t>-41.449.800</t>
  </si>
  <si>
    <t xml:space="preserve">426.933.968 </t>
  </si>
  <si>
    <t xml:space="preserve"> 419.695.948 </t>
  </si>
  <si>
    <t>2.550.020</t>
  </si>
  <si>
    <t>98,3</t>
  </si>
  <si>
    <t>66.367.000</t>
  </si>
  <si>
    <t>65.867.000</t>
  </si>
  <si>
    <t>63.927.000</t>
  </si>
  <si>
    <t xml:space="preserve">871.204.000 </t>
  </si>
  <si>
    <t xml:space="preserve"> 871.427.000 </t>
  </si>
  <si>
    <t>103.478.000</t>
  </si>
  <si>
    <t>87.762.000</t>
  </si>
  <si>
    <t>101.278.000</t>
  </si>
  <si>
    <t>-22.603.000</t>
  </si>
  <si>
    <t xml:space="preserve">880.592.600 </t>
  </si>
  <si>
    <t xml:space="preserve"> 851.398.000 </t>
  </si>
  <si>
    <t>2.262.600</t>
  </si>
  <si>
    <t>96,7</t>
  </si>
  <si>
    <t xml:space="preserve">33.730.000 </t>
  </si>
  <si>
    <t>3,8</t>
  </si>
  <si>
    <t>103.574.000</t>
  </si>
  <si>
    <t>103.719.000</t>
  </si>
  <si>
    <t>96.092.000</t>
  </si>
  <si>
    <t>4.996.800</t>
  </si>
  <si>
    <t>-34.255.200</t>
  </si>
  <si>
    <t xml:space="preserve">1.059.013.510 </t>
  </si>
  <si>
    <t xml:space="preserve"> 1.055.884.800 </t>
  </si>
  <si>
    <t>99,7</t>
  </si>
  <si>
    <t>0,3</t>
  </si>
  <si>
    <t>43.632.000</t>
  </si>
  <si>
    <t>41.032.000</t>
  </si>
  <si>
    <t>37.160.000</t>
  </si>
  <si>
    <t>-30.696.400</t>
  </si>
  <si>
    <t>TỔNG HỆ THỐNG</t>
  </si>
  <si>
    <t xml:space="preserve">7.736.857.817 </t>
  </si>
  <si>
    <t xml:space="preserve">7.616.495.529 </t>
  </si>
  <si>
    <t xml:space="preserve">40.162.288 </t>
  </si>
  <si>
    <t>98,4</t>
  </si>
  <si>
    <t xml:space="preserve">100.083.000 </t>
  </si>
  <si>
    <t xml:space="preserve">3.662.000 </t>
  </si>
  <si>
    <t>1,3</t>
  </si>
  <si>
    <t>92.082.000</t>
  </si>
  <si>
    <t>81.351.000</t>
  </si>
  <si>
    <t>90.082.000</t>
  </si>
  <si>
    <t>5.495.400</t>
  </si>
  <si>
    <t>-24.025.400</t>
  </si>
  <si>
    <t>59.353.892</t>
  </si>
  <si>
    <t>56.539.333</t>
  </si>
  <si>
    <t>2.894.000</t>
  </si>
  <si>
    <t>4,9</t>
  </si>
  <si>
    <t>56.070.333</t>
  </si>
  <si>
    <t>9.437.400</t>
  </si>
  <si>
    <t>-32.281.200</t>
  </si>
  <si>
    <t>119.771.000</t>
  </si>
  <si>
    <t>116.915.000</t>
  </si>
  <si>
    <t>3,9</t>
  </si>
  <si>
    <t>108.997.000</t>
  </si>
  <si>
    <t>1.746.000</t>
  </si>
  <si>
    <t>-46.106.900</t>
  </si>
  <si>
    <t>46.626.000</t>
  </si>
  <si>
    <t>12.164.400</t>
  </si>
  <si>
    <t>-70.894.600</t>
  </si>
  <si>
    <t xml:space="preserve"> nmkl,</t>
  </si>
  <si>
    <t>51.592.000</t>
  </si>
  <si>
    <t>55.092.000</t>
  </si>
  <si>
    <t>52.092.000</t>
  </si>
  <si>
    <t>197.784.000</t>
  </si>
  <si>
    <t>197.797.000</t>
  </si>
  <si>
    <t>188.547.000</t>
  </si>
  <si>
    <t>95.396.968</t>
  </si>
  <si>
    <t>94.814.000</t>
  </si>
  <si>
    <t>89.733.000</t>
  </si>
  <si>
    <t>85.352.000</t>
  </si>
  <si>
    <t>85.302.000</t>
  </si>
  <si>
    <t>83.704.000</t>
  </si>
  <si>
    <t>114.512.000</t>
  </si>
  <si>
    <t>110.638.000</t>
  </si>
  <si>
    <t>S</t>
  </si>
  <si>
    <t>33.520.400</t>
  </si>
  <si>
    <t>33.450.400</t>
  </si>
  <si>
    <t>6.864.300</t>
  </si>
  <si>
    <t>-72.603.300</t>
  </si>
  <si>
    <t>62.764.000</t>
  </si>
  <si>
    <t>62.544.000</t>
  </si>
  <si>
    <t>52.842.000</t>
  </si>
  <si>
    <t>7.857.900</t>
  </si>
  <si>
    <t>-63.057.400</t>
  </si>
  <si>
    <t>48.190.000</t>
  </si>
  <si>
    <t>48.310.000</t>
  </si>
  <si>
    <t>60.212.000</t>
  </si>
  <si>
    <t>60.312.000</t>
  </si>
  <si>
    <t>48.800.000</t>
  </si>
  <si>
    <t>-39.577.533</t>
  </si>
  <si>
    <t>30.364.000</t>
  </si>
  <si>
    <t>25.712.000</t>
  </si>
  <si>
    <t>7.126.200</t>
  </si>
  <si>
    <t>-81.840.500</t>
  </si>
  <si>
    <t>70.920.000</t>
  </si>
  <si>
    <t>66.984.000</t>
  </si>
  <si>
    <t>4.456.000</t>
  </si>
  <si>
    <t>6,3</t>
  </si>
  <si>
    <t>-32.638.200</t>
  </si>
  <si>
    <t>42.812.000</t>
  </si>
  <si>
    <t>38.200.000</t>
  </si>
  <si>
    <t>4.612.000</t>
  </si>
  <si>
    <t>10,8</t>
  </si>
  <si>
    <t>33.620.000</t>
  </si>
  <si>
    <t>-38.564.400</t>
  </si>
  <si>
    <t>108.255.200</t>
  </si>
  <si>
    <t>108.179.000</t>
  </si>
  <si>
    <t>105.427.000</t>
  </si>
  <si>
    <t>8.325.000</t>
  </si>
  <si>
    <t>-138.457.900</t>
  </si>
  <si>
    <t>46.164.000</t>
  </si>
  <si>
    <t>46.317.548</t>
  </si>
  <si>
    <t>36.824.000</t>
  </si>
  <si>
    <t>4.572.900</t>
  </si>
  <si>
    <t>-66.369.800</t>
  </si>
  <si>
    <t>92.146.000</t>
  </si>
  <si>
    <t>92.145.548</t>
  </si>
  <si>
    <t>91.995.548</t>
  </si>
  <si>
    <t>1.438.200</t>
  </si>
  <si>
    <t>-59.711.400</t>
  </si>
  <si>
    <t>235.794.000</t>
  </si>
  <si>
    <t>232.432.000</t>
  </si>
  <si>
    <t>3.634.000</t>
  </si>
  <si>
    <t>1,5</t>
  </si>
  <si>
    <t>212.592.000</t>
  </si>
  <si>
    <t>231.048.000</t>
  </si>
  <si>
    <t>3.486.600</t>
  </si>
  <si>
    <t>-80.158.400</t>
  </si>
  <si>
    <t>52.484.000</t>
  </si>
  <si>
    <t>44.724.000</t>
  </si>
  <si>
    <t>45.838.000</t>
  </si>
  <si>
    <t>-23.415.280</t>
  </si>
  <si>
    <t>43.093.032</t>
  </si>
  <si>
    <t>43.095.000</t>
  </si>
  <si>
    <t>8.731.800</t>
  </si>
  <si>
    <t>-43.780.800</t>
  </si>
  <si>
    <t>43.028.000</t>
  </si>
  <si>
    <t>-33.817.000</t>
  </si>
  <si>
    <t>80.727.000</t>
  </si>
  <si>
    <t>80.719.000</t>
  </si>
  <si>
    <t>72.768.000</t>
  </si>
  <si>
    <t>80.692.000</t>
  </si>
  <si>
    <t>10.360.800</t>
  </si>
  <si>
    <t>-42.218.400</t>
  </si>
  <si>
    <t>75.867.000</t>
  </si>
  <si>
    <t>75.666.000</t>
  </si>
  <si>
    <t>59.278.900</t>
  </si>
  <si>
    <t>4.186.800</t>
  </si>
  <si>
    <t>-21.254.800</t>
  </si>
  <si>
    <t>91.462.000</t>
  </si>
  <si>
    <t>86.872.000</t>
  </si>
  <si>
    <t>4.584.000</t>
  </si>
  <si>
    <t>5,0</t>
  </si>
  <si>
    <t>63.742.000</t>
  </si>
  <si>
    <t>85.632.000</t>
  </si>
  <si>
    <t>-46.888.800</t>
  </si>
  <si>
    <t>88.784.000</t>
  </si>
  <si>
    <t>93.278.000</t>
  </si>
  <si>
    <t>87.922.000</t>
  </si>
  <si>
    <t>93.098.000</t>
  </si>
  <si>
    <t>4.122.000</t>
  </si>
  <si>
    <t>-26.740.000</t>
  </si>
  <si>
    <t>64.374.000</t>
  </si>
  <si>
    <t>68.408.000</t>
  </si>
  <si>
    <t>63.036.000</t>
  </si>
  <si>
    <t>44.687.000</t>
  </si>
  <si>
    <t>41.213.000</t>
  </si>
  <si>
    <t>3.474.000</t>
  </si>
  <si>
    <t>7,8</t>
  </si>
  <si>
    <t>38.073.000</t>
  </si>
  <si>
    <t>-64.501.884</t>
  </si>
  <si>
    <t>114.702.000</t>
  </si>
  <si>
    <t>114.752.000</t>
  </si>
  <si>
    <t>108.944.000</t>
  </si>
  <si>
    <t>78.449.600</t>
  </si>
  <si>
    <t>78.449.000</t>
  </si>
  <si>
    <t>55.847.000</t>
  </si>
  <si>
    <t>84.215.500</t>
  </si>
  <si>
    <t>91.615.500</t>
  </si>
  <si>
    <t>73.037.500</t>
  </si>
  <si>
    <t>86.749.500</t>
  </si>
  <si>
    <t>16.610.400</t>
  </si>
  <si>
    <t>-161.733.600</t>
  </si>
  <si>
    <t>115.682.000</t>
  </si>
  <si>
    <t>115.782.000</t>
  </si>
  <si>
    <t>97.822.000</t>
  </si>
  <si>
    <t>6.984.000</t>
  </si>
  <si>
    <t>-36.738.800</t>
  </si>
  <si>
    <t>58.073.000</t>
  </si>
  <si>
    <t>-32.086.600</t>
  </si>
  <si>
    <t>71.949.100</t>
  </si>
  <si>
    <t>71.949.000</t>
  </si>
  <si>
    <t>73.189.000</t>
  </si>
  <si>
    <t>-30.166.500</t>
  </si>
  <si>
    <t>48.574.000</t>
  </si>
  <si>
    <t>48.654.000</t>
  </si>
  <si>
    <t>-30.119.600</t>
  </si>
  <si>
    <t>33.298.000</t>
  </si>
  <si>
    <t>33.158.000</t>
  </si>
  <si>
    <t>24.590.000</t>
  </si>
  <si>
    <t>29.670.000</t>
  </si>
  <si>
    <t>7.131.600</t>
  </si>
  <si>
    <t>-56.484.400</t>
  </si>
  <si>
    <t>104.183.000</t>
  </si>
  <si>
    <t>98.128.000</t>
  </si>
  <si>
    <t>5.741.000</t>
  </si>
  <si>
    <t>5,5</t>
  </si>
  <si>
    <t>81.074.000</t>
  </si>
  <si>
    <t>14.748.390</t>
  </si>
  <si>
    <t>-52.966.200</t>
  </si>
  <si>
    <t>60.472.000</t>
  </si>
  <si>
    <t>60.473.000</t>
  </si>
  <si>
    <t>51.386.000</t>
  </si>
  <si>
    <t>19.701.000</t>
  </si>
  <si>
    <t>-59.942.400</t>
  </si>
  <si>
    <t>60.088.000</t>
  </si>
  <si>
    <t>59.808.000</t>
  </si>
  <si>
    <t>50.405.000</t>
  </si>
  <si>
    <t>5.891.400</t>
  </si>
  <si>
    <t>-49.644.000</t>
  </si>
  <si>
    <t>50.604.000</t>
  </si>
  <si>
    <t>50.605.000</t>
  </si>
  <si>
    <t>40.614.000</t>
  </si>
  <si>
    <t>4.834.800</t>
  </si>
  <si>
    <t>-47.885.600</t>
  </si>
  <si>
    <t>33.292.000</t>
  </si>
  <si>
    <t>28.398.000</t>
  </si>
  <si>
    <t>31.298.000</t>
  </si>
  <si>
    <t>2.826.000</t>
  </si>
  <si>
    <t>-28.849.100</t>
  </si>
  <si>
    <t>84.059.000</t>
  </si>
  <si>
    <t>84.109.000</t>
  </si>
  <si>
    <t>72.549.000</t>
  </si>
  <si>
    <t>83.165.000</t>
  </si>
  <si>
    <t>5.227.200</t>
  </si>
  <si>
    <t>-80.326.400</t>
  </si>
  <si>
    <t>78.084.000</t>
  </si>
  <si>
    <t>78.184.000</t>
  </si>
  <si>
    <t>67.292.000</t>
  </si>
  <si>
    <t>78.164.000</t>
  </si>
  <si>
    <t>20.341.800</t>
  </si>
  <si>
    <t>-54.914.300</t>
  </si>
  <si>
    <t>24.554.000</t>
  </si>
  <si>
    <t>24.554.667</t>
  </si>
  <si>
    <t>50.789.800</t>
  </si>
  <si>
    <t>50.789.000</t>
  </si>
  <si>
    <t>12.340.800</t>
  </si>
  <si>
    <t>-60.724.650</t>
  </si>
  <si>
    <t>66.573.400</t>
  </si>
  <si>
    <t>54.888.400</t>
  </si>
  <si>
    <t>16.164.000</t>
  </si>
  <si>
    <t>-81.047.400</t>
  </si>
  <si>
    <t>22.328.000</t>
  </si>
  <si>
    <t>18.780.000</t>
  </si>
  <si>
    <t>-40.651.100</t>
  </si>
  <si>
    <t>60.870.000</t>
  </si>
  <si>
    <t>-1.116.000</t>
  </si>
  <si>
    <t>-50.364.300</t>
  </si>
  <si>
    <t>84.310.400</t>
  </si>
  <si>
    <t>79.110.400</t>
  </si>
  <si>
    <t>-34.057.800</t>
  </si>
  <si>
    <t>70.309.148</t>
  </si>
  <si>
    <t>70.316.600</t>
  </si>
  <si>
    <t>4.572.000</t>
  </si>
  <si>
    <t>-20.769.000</t>
  </si>
  <si>
    <t>30.652.667</t>
  </si>
  <si>
    <t>30.553.333</t>
  </si>
  <si>
    <t>19.953.333</t>
  </si>
  <si>
    <t>15.348.600</t>
  </si>
  <si>
    <t>-68.689.600</t>
  </si>
  <si>
    <t>117.589.000</t>
  </si>
  <si>
    <t>117.598.000</t>
  </si>
  <si>
    <t>103.317.000</t>
  </si>
  <si>
    <t>110.664.000</t>
  </si>
  <si>
    <t>8.178.300</t>
  </si>
  <si>
    <t>-42.331.100</t>
  </si>
  <si>
    <t>61.024.000</t>
  </si>
  <si>
    <t>63.514.000</t>
  </si>
  <si>
    <t>55.766.000</t>
  </si>
  <si>
    <t>8.462.700</t>
  </si>
  <si>
    <t>-41.865.600</t>
  </si>
  <si>
    <t>63.034.000</t>
  </si>
  <si>
    <t>55.402.000</t>
  </si>
  <si>
    <t>8.991.900</t>
  </si>
  <si>
    <t>-35.423.500</t>
  </si>
  <si>
    <t>84.523.000</t>
  </si>
  <si>
    <t>61.617.000</t>
  </si>
  <si>
    <t>9.554.400</t>
  </si>
  <si>
    <t>-58.215.500</t>
  </si>
  <si>
    <t>35.108.000</t>
  </si>
  <si>
    <t>27.942.000</t>
  </si>
  <si>
    <t>9.784.800</t>
  </si>
  <si>
    <t>-54.714.800</t>
  </si>
  <si>
    <t>54.699.000</t>
  </si>
  <si>
    <t>-17.188.267</t>
  </si>
  <si>
    <t>50.172.000</t>
  </si>
  <si>
    <t>37.789.000</t>
  </si>
  <si>
    <t>-35.552.300</t>
  </si>
  <si>
    <t>115.659.000</t>
  </si>
  <si>
    <t>114.821.000</t>
  </si>
  <si>
    <t>114.641.000</t>
  </si>
  <si>
    <t>10.516.500</t>
  </si>
  <si>
    <t>-46.601.380</t>
  </si>
  <si>
    <t>S37A</t>
  </si>
  <si>
    <t>92.212.000</t>
  </si>
  <si>
    <t>91.906.000</t>
  </si>
  <si>
    <t>76.617.000</t>
  </si>
  <si>
    <t>3.193.200</t>
  </si>
  <si>
    <t>-15.629.600</t>
  </si>
  <si>
    <t>S37B</t>
  </si>
  <si>
    <t>42.034.000</t>
  </si>
  <si>
    <t>34.902.000</t>
  </si>
  <si>
    <t>-42.609.000</t>
  </si>
  <si>
    <t>96.709.000</t>
  </si>
  <si>
    <t>96.789.000</t>
  </si>
  <si>
    <t>87.329.000</t>
  </si>
  <si>
    <t>178.938.000</t>
  </si>
  <si>
    <t>153.151.000</t>
  </si>
  <si>
    <t>51.696.000</t>
  </si>
  <si>
    <t>45.692.000</t>
  </si>
  <si>
    <t>6.004.000</t>
  </si>
  <si>
    <t>11,6</t>
  </si>
  <si>
    <t>49.832.000</t>
  </si>
  <si>
    <t>S43</t>
  </si>
  <si>
    <t>52.440.600</t>
  </si>
  <si>
    <t>52.176.000</t>
  </si>
  <si>
    <t>47.356.000</t>
  </si>
  <si>
    <t>39.407.000</t>
  </si>
  <si>
    <t>35.937.000</t>
  </si>
  <si>
    <t>3.740.000</t>
  </si>
  <si>
    <t>9,5</t>
  </si>
  <si>
    <t>31.356.000</t>
  </si>
  <si>
    <t>32.387.000</t>
  </si>
  <si>
    <t>106.451.000</t>
  </si>
  <si>
    <t>106.441.000</t>
  </si>
  <si>
    <t>100.525.000</t>
  </si>
  <si>
    <t>97.112.000</t>
  </si>
  <si>
    <t>56.418.800</t>
  </si>
  <si>
    <t>41.476.800</t>
  </si>
  <si>
    <t>14.576.000</t>
  </si>
  <si>
    <t>25,8</t>
  </si>
  <si>
    <t>37.510.800</t>
  </si>
  <si>
    <t>46.013.000</t>
  </si>
  <si>
    <t>41.729.000</t>
  </si>
  <si>
    <t>5.044.000</t>
  </si>
  <si>
    <t>11,0</t>
  </si>
  <si>
    <t>36.449.000</t>
  </si>
  <si>
    <t>40.969.000</t>
  </si>
  <si>
    <t>65.186.710</t>
  </si>
  <si>
    <t>65.186.000</t>
  </si>
  <si>
    <t>156.572.000</t>
  </si>
  <si>
    <t>156.592.000</t>
  </si>
  <si>
    <t>136.825.000</t>
  </si>
  <si>
    <t>92.306.000</t>
  </si>
  <si>
    <t>92.240.000</t>
  </si>
  <si>
    <t>81.790.000</t>
  </si>
  <si>
    <t>91.940.000</t>
  </si>
  <si>
    <t>43.447.000</t>
  </si>
  <si>
    <t>104.170.000</t>
  </si>
  <si>
    <t>104.110.000</t>
  </si>
  <si>
    <t>97.709.000</t>
  </si>
  <si>
    <t>97.249.000</t>
  </si>
  <si>
    <t>91.830.000</t>
  </si>
  <si>
    <t>224.944.000</t>
  </si>
  <si>
    <t>205.378.000</t>
  </si>
  <si>
    <t>19.268.000</t>
  </si>
  <si>
    <t>8,6</t>
  </si>
  <si>
    <t>174.082.000</t>
  </si>
  <si>
    <t>200.982.000</t>
  </si>
  <si>
    <t>130.128.000</t>
  </si>
  <si>
    <t>124.990.000</t>
  </si>
  <si>
    <t>5.138.000</t>
  </si>
  <si>
    <t>124.109.000</t>
  </si>
  <si>
    <t>98.263.613</t>
  </si>
  <si>
    <t>97.762.000</t>
  </si>
  <si>
    <t>74.078.000</t>
  </si>
  <si>
    <t>95.718.000</t>
  </si>
  <si>
    <t>94.250.000</t>
  </si>
  <si>
    <t>64.258.000</t>
  </si>
  <si>
    <t>39.668.000</t>
  </si>
  <si>
    <t>39.664.000</t>
  </si>
  <si>
    <t>31.322.000</t>
  </si>
  <si>
    <t>42.413.000</t>
  </si>
  <si>
    <t>42.193.000</t>
  </si>
  <si>
    <t>37.918.000</t>
  </si>
  <si>
    <t>56.023.000</t>
  </si>
  <si>
    <t>55.923.000</t>
  </si>
  <si>
    <t>G12</t>
  </si>
  <si>
    <t>70.752.000</t>
  </si>
  <si>
    <t>74.234.000</t>
  </si>
  <si>
    <t>74.866.000</t>
  </si>
  <si>
    <t>63.610.000</t>
  </si>
  <si>
    <t>106.811.000</t>
  </si>
  <si>
    <t>G15</t>
  </si>
  <si>
    <t>91.549.161</t>
  </si>
  <si>
    <t>59.857.000</t>
  </si>
  <si>
    <t>44.615.000</t>
  </si>
  <si>
    <t>50.207.000</t>
  </si>
  <si>
    <t>7.736.857.817</t>
  </si>
  <si>
    <t>7.616.495.529</t>
  </si>
  <si>
    <t>100.083.000</t>
  </si>
  <si>
    <t>3.662.000</t>
  </si>
  <si>
    <t>6.890.048.881</t>
  </si>
  <si>
    <t>7.572.382.529</t>
  </si>
  <si>
    <t>614.100.283</t>
  </si>
  <si>
    <t>-5.300.667.770</t>
  </si>
  <si>
    <t>DANH SÁCH PHÒNG PHÁ HĐ</t>
  </si>
  <si>
    <t>MÃ PHÒNG</t>
  </si>
  <si>
    <t>NGÀY BẮT ĐẦU VÀO Ở</t>
  </si>
  <si>
    <t>SỐ THÁNG Ở</t>
  </si>
  <si>
    <t>LÝ DO PHÁ HĐ</t>
  </si>
  <si>
    <t>SĐT</t>
  </si>
  <si>
    <t>TỔNG PHẢI THU</t>
  </si>
  <si>
    <t>TỔNG ĐÃ THU</t>
  </si>
  <si>
    <t>16.048.000</t>
  </si>
  <si>
    <t>nghỉ học về quê</t>
  </si>
  <si>
    <t>0362009576</t>
  </si>
  <si>
    <t>505G6</t>
  </si>
  <si>
    <t>bỏ trốn</t>
  </si>
  <si>
    <t>096 8416482</t>
  </si>
  <si>
    <t>1.068.000</t>
  </si>
  <si>
    <t>về quê</t>
  </si>
  <si>
    <t>0349422483</t>
  </si>
  <si>
    <t>khách thợ xong công trình k ở nưa</t>
  </si>
  <si>
    <t>0343260294</t>
  </si>
  <si>
    <t>15/6/2026</t>
  </si>
  <si>
    <t>chuyển chỗ làm</t>
  </si>
  <si>
    <t>0349457563</t>
  </si>
  <si>
    <t>31/1/2026</t>
  </si>
  <si>
    <t>k ở nữa chuyển chỗ làm</t>
  </si>
  <si>
    <t>033 8129870</t>
  </si>
  <si>
    <t>Nguyễn Ngọc Văn Khải</t>
  </si>
  <si>
    <t>28/5/2026</t>
  </si>
  <si>
    <t>0393107334</t>
  </si>
  <si>
    <t>402G5</t>
  </si>
  <si>
    <t>0394898806</t>
  </si>
  <si>
    <t>2.188.000</t>
  </si>
  <si>
    <t>403G5</t>
  </si>
  <si>
    <t>16/7/2026</t>
  </si>
  <si>
    <t>k đủ tài chính</t>
  </si>
  <si>
    <t>098 8586 908</t>
  </si>
  <si>
    <t>1.580.000</t>
  </si>
  <si>
    <t>502S42</t>
  </si>
  <si>
    <t>0932572156</t>
  </si>
  <si>
    <t>0336576383</t>
  </si>
  <si>
    <t>401S18</t>
  </si>
  <si>
    <t>0367742120</t>
  </si>
  <si>
    <t>1.356.000</t>
  </si>
  <si>
    <t>404AS4</t>
  </si>
  <si>
    <t>0357622132</t>
  </si>
  <si>
    <t>202S47</t>
  </si>
  <si>
    <t>chuyển cơ sở học</t>
  </si>
  <si>
    <t>0886147467</t>
  </si>
  <si>
    <t>402s44</t>
  </si>
  <si>
    <t>vỡ nợ</t>
  </si>
  <si>
    <t>032 5538683</t>
  </si>
  <si>
    <t>203S8</t>
  </si>
  <si>
    <t>Đỗ thùy Linh</t>
  </si>
  <si>
    <t>báo tăng giá k ở</t>
  </si>
  <si>
    <t>0565352922</t>
  </si>
  <si>
    <t>403S47</t>
  </si>
  <si>
    <t>0961262032</t>
  </si>
  <si>
    <t>1.116.000</t>
  </si>
  <si>
    <t>401S47</t>
  </si>
  <si>
    <t>0337329935</t>
  </si>
  <si>
    <t>301t7</t>
  </si>
  <si>
    <t>201S48A</t>
  </si>
  <si>
    <t>1.104.000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</si>
</sst>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41">
    <font>
      <sz val="11"/>
      <color theme="1"/>
      <name val="Calibri"/>
      <charset val="134"/>
      <scheme val="minor"/>
    </font>
    <font>
      <sz val="11"/>
      <color theme="1"/>
      <name val="Calibri"/>
      <charset val="134"/>
    </font>
    <font>
      <b/>
      <sz val="24"/>
      <color rgb="FF0070C0"/>
      <name val="Times New Roman"/>
      <charset val="134"/>
    </font>
    <font>
      <b/>
      <sz val="14"/>
      <color rgb="FF0070C0"/>
      <name val="Times New Roman"/>
      <charset val="134"/>
    </font>
    <font>
      <b/>
      <sz val="13"/>
      <color rgb="FF0070C0"/>
      <name val="Times New Roman"/>
      <charset val="134"/>
    </font>
    <font>
      <b/>
      <sz val="18"/>
      <color rgb="FF0070C0"/>
      <name val="Times New Roman"/>
      <charset val="134"/>
    </font>
    <font>
      <b/>
      <sz val="18"/>
      <color rgb="FFFF0000"/>
      <name val="Times New Roman"/>
      <charset val="134"/>
    </font>
    <font>
      <b/>
      <sz val="16"/>
      <color rgb="FF0070C0"/>
      <name val="Times New Roman"/>
      <charset val="134"/>
    </font>
    <font>
      <b/>
      <i/>
      <sz val="14"/>
      <color rgb="FFFF0000"/>
      <name val="Times New Roman"/>
      <charset val="134"/>
    </font>
    <font>
      <sz val="11"/>
      <color theme="1"/>
      <name val="Calibri"/>
      <charset val="134"/>
      <scheme val="minor"/>
    </font>
    <font>
      <b/>
      <sz val="12"/>
      <color rgb="FF000000"/>
      <name val="Times New Roman"/>
      <charset val="134"/>
    </font>
    <font>
      <sz val="9"/>
      <color rgb="FF000000"/>
      <name val="Times New Roman"/>
      <charset val="134"/>
    </font>
    <font>
      <b/>
      <sz val="9"/>
      <color rgb="FF000000"/>
      <name val="Times New Roman"/>
      <charset val="134"/>
    </font>
    <font>
      <b/>
      <sz val="10"/>
      <color rgb="FF000000"/>
      <name val="Times New Roman"/>
      <charset val="134"/>
    </font>
    <font>
      <sz val="10"/>
      <color rgb="FF000000"/>
      <name val="Times New Roman"/>
      <charset val="134"/>
    </font>
    <font>
      <sz val="10"/>
      <color theme="1"/>
      <name val="Times New Roman"/>
      <charset val="134"/>
    </font>
    <font>
      <sz val="10"/>
      <color theme="1"/>
      <name val="Calibri"/>
      <charset val="163"/>
      <scheme val="minor"/>
    </font>
    <font>
      <sz val="9"/>
      <color theme="1"/>
      <name val="Times New Roman"/>
      <charset val="134"/>
    </font>
    <font>
      <b/>
      <sz val="10"/>
      <color theme="1"/>
      <name val="Times New Roman"/>
      <charset val="134"/>
    </font>
    <font>
      <b/>
      <sz val="10"/>
      <color rgb="FFFF0000"/>
      <name val="Times New Roman"/>
      <charset val="134"/>
    </font>
    <font>
      <b/>
      <sz val="9"/>
      <color theme="1"/>
      <name val="Times New Roman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0"/>
      <color rgb="FF000000"/>
      <name val="Calibri"/>
      <charset val="134"/>
      <scheme val="minor"/>
    </font>
  </fonts>
  <fills count="4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CDDC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36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double">
        <color rgb="FF00B0F0"/>
      </bottom>
      <diagonal/>
    </border>
    <border>
      <left style="medium">
        <color rgb="FFCCCCCC"/>
      </left>
      <right style="double">
        <color rgb="FF00B0F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double">
        <color rgb="FF00B0F0"/>
      </right>
      <top style="medium">
        <color rgb="FFCCCCCC"/>
      </top>
      <bottom style="medium">
        <color rgb="FF00B0F0"/>
      </bottom>
      <diagonal/>
    </border>
    <border>
      <left style="medium">
        <color rgb="FFCCCCCC"/>
      </left>
      <right style="medium">
        <color rgb="FF00B0F0"/>
      </right>
      <top style="medium">
        <color rgb="FFCCCCCC"/>
      </top>
      <bottom style="medium">
        <color rgb="FF00B0F0"/>
      </bottom>
      <diagonal/>
    </border>
    <border>
      <left style="medium">
        <color rgb="FFCCCCCC"/>
      </left>
      <right style="medium">
        <color rgb="FF00B0F0"/>
      </right>
      <top style="medium">
        <color rgb="FFCCCCCC"/>
      </top>
      <bottom style="medium">
        <color rgb="FF4BACC6"/>
      </bottom>
      <diagonal/>
    </border>
    <border>
      <left style="medium">
        <color rgb="FFCCCCCC"/>
      </left>
      <right style="medium">
        <color rgb="FF4BACC6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4BACC6"/>
      </right>
      <top style="medium">
        <color rgb="FFCCCCCC"/>
      </top>
      <bottom style="medium">
        <color rgb="FF4BACC6"/>
      </bottom>
      <diagonal/>
    </border>
    <border>
      <left style="medium">
        <color rgb="FFCCCCCC"/>
      </left>
      <right style="medium">
        <color rgb="FF00B0F0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B0F0"/>
      </bottom>
      <diagonal/>
    </border>
    <border>
      <left style="medium">
        <color rgb="FFCCCCCC"/>
      </left>
      <right style="double">
        <color rgb="FF00B0F0"/>
      </right>
      <top style="medium">
        <color rgb="FFCCCCCC"/>
      </top>
      <bottom style="double">
        <color rgb="FF00B0F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>
      <alignment vertical="center"/>
    </xf>
    <xf numFmtId="176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0" fillId="13" borderId="28" applyNumberFormat="0" applyFont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0" applyNumberFormat="0" applyFill="0" applyBorder="0" applyAlignment="0" applyProtection="0">
      <alignment vertical="center"/>
    </xf>
    <xf numFmtId="0" fontId="26" fillId="0" borderId="29" applyNumberFormat="0" applyFill="0" applyAlignment="0" applyProtection="0">
      <alignment vertical="center"/>
    </xf>
    <xf numFmtId="0" fontId="27" fillId="0" borderId="29" applyNumberFormat="0" applyFill="0" applyAlignment="0" applyProtection="0">
      <alignment vertical="center"/>
    </xf>
    <xf numFmtId="0" fontId="28" fillId="0" borderId="30" applyNumberFormat="0" applyFill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29" fillId="14" borderId="31" applyNumberFormat="0" applyAlignment="0" applyProtection="0">
      <alignment vertical="center"/>
    </xf>
    <xf numFmtId="0" fontId="30" fillId="15" borderId="32" applyNumberFormat="0" applyAlignment="0" applyProtection="0">
      <alignment vertical="center"/>
    </xf>
    <xf numFmtId="0" fontId="31" fillId="15" borderId="31" applyNumberFormat="0" applyAlignment="0" applyProtection="0">
      <alignment vertical="center"/>
    </xf>
    <xf numFmtId="0" fontId="32" fillId="16" borderId="33" applyNumberFormat="0" applyAlignment="0" applyProtection="0">
      <alignment vertical="center"/>
    </xf>
    <xf numFmtId="0" fontId="33" fillId="0" borderId="34" applyNumberFormat="0" applyFill="0" applyAlignment="0" applyProtection="0">
      <alignment vertical="center"/>
    </xf>
    <xf numFmtId="0" fontId="34" fillId="0" borderId="35" applyNumberFormat="0" applyFill="0" applyAlignment="0" applyProtection="0">
      <alignment vertical="center"/>
    </xf>
    <xf numFmtId="0" fontId="35" fillId="17" borderId="0" applyNumberFormat="0" applyBorder="0" applyAlignment="0" applyProtection="0">
      <alignment vertical="center"/>
    </xf>
    <xf numFmtId="0" fontId="36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8" fillId="20" borderId="0" applyNumberFormat="0" applyBorder="0" applyAlignment="0" applyProtection="0">
      <alignment vertical="center"/>
    </xf>
    <xf numFmtId="0" fontId="39" fillId="21" borderId="0" applyNumberFormat="0" applyBorder="0" applyAlignment="0" applyProtection="0">
      <alignment vertical="center"/>
    </xf>
    <xf numFmtId="0" fontId="39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8" fillId="24" borderId="0" applyNumberFormat="0" applyBorder="0" applyAlignment="0" applyProtection="0">
      <alignment vertical="center"/>
    </xf>
    <xf numFmtId="0" fontId="39" fillId="25" borderId="0" applyNumberFormat="0" applyBorder="0" applyAlignment="0" applyProtection="0">
      <alignment vertical="center"/>
    </xf>
    <xf numFmtId="0" fontId="39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8" fillId="28" borderId="0" applyNumberFormat="0" applyBorder="0" applyAlignment="0" applyProtection="0">
      <alignment vertical="center"/>
    </xf>
    <xf numFmtId="0" fontId="39" fillId="29" borderId="0" applyNumberFormat="0" applyBorder="0" applyAlignment="0" applyProtection="0">
      <alignment vertical="center"/>
    </xf>
    <xf numFmtId="0" fontId="39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8" fillId="32" borderId="0" applyNumberFormat="0" applyBorder="0" applyAlignment="0" applyProtection="0">
      <alignment vertical="center"/>
    </xf>
    <xf numFmtId="0" fontId="39" fillId="33" borderId="0" applyNumberFormat="0" applyBorder="0" applyAlignment="0" applyProtection="0">
      <alignment vertical="center"/>
    </xf>
    <xf numFmtId="0" fontId="39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8" fillId="36" borderId="0" applyNumberFormat="0" applyBorder="0" applyAlignment="0" applyProtection="0">
      <alignment vertical="center"/>
    </xf>
    <xf numFmtId="0" fontId="39" fillId="37" borderId="0" applyNumberFormat="0" applyBorder="0" applyAlignment="0" applyProtection="0">
      <alignment vertical="center"/>
    </xf>
    <xf numFmtId="0" fontId="39" fillId="38" borderId="0" applyNumberFormat="0" applyBorder="0" applyAlignment="0" applyProtection="0">
      <alignment vertical="center"/>
    </xf>
    <xf numFmtId="0" fontId="38" fillId="39" borderId="0" applyNumberFormat="0" applyBorder="0" applyAlignment="0" applyProtection="0">
      <alignment vertical="center"/>
    </xf>
    <xf numFmtId="0" fontId="38" fillId="40" borderId="0" applyNumberFormat="0" applyBorder="0" applyAlignment="0" applyProtection="0">
      <alignment vertical="center"/>
    </xf>
    <xf numFmtId="0" fontId="39" fillId="41" borderId="0" applyNumberFormat="0" applyBorder="0" applyAlignment="0" applyProtection="0">
      <alignment vertical="center"/>
    </xf>
    <xf numFmtId="0" fontId="39" fillId="42" borderId="0" applyNumberFormat="0" applyBorder="0" applyAlignment="0" applyProtection="0">
      <alignment vertical="center"/>
    </xf>
    <xf numFmtId="0" fontId="38" fillId="43" borderId="0" applyNumberFormat="0" applyBorder="0" applyAlignment="0" applyProtection="0">
      <alignment vertical="center"/>
    </xf>
    <xf numFmtId="0" fontId="40" fillId="0" borderId="0"/>
  </cellStyleXfs>
  <cellXfs count="140">
    <xf numFmtId="0" fontId="0" fillId="0" borderId="0" xfId="0">
      <alignment vertical="center"/>
    </xf>
    <xf numFmtId="58" fontId="0" fillId="0" borderId="0" xfId="0" applyNumberFormat="1">
      <alignment vertical="center"/>
    </xf>
    <xf numFmtId="3" fontId="0" fillId="0" borderId="0" xfId="0" applyNumberFormat="1">
      <alignment vertical="center"/>
    </xf>
    <xf numFmtId="0" fontId="1" fillId="0" borderId="1" xfId="0" applyFont="1" applyBorder="1" applyAlignment="1">
      <alignment wrapText="1" readingOrder="1"/>
    </xf>
    <xf numFmtId="0" fontId="1" fillId="0" borderId="2" xfId="0" applyFont="1" applyBorder="1" applyAlignment="1">
      <alignment wrapText="1" readingOrder="1"/>
    </xf>
    <xf numFmtId="0" fontId="1" fillId="0" borderId="3" xfId="0" applyFont="1" applyBorder="1" applyAlignment="1">
      <alignment wrapText="1" readingOrder="1"/>
    </xf>
    <xf numFmtId="0" fontId="2" fillId="2" borderId="4" xfId="0" applyFont="1" applyFill="1" applyBorder="1" applyAlignment="1">
      <alignment horizontal="center" vertical="center" wrapText="1" readingOrder="1"/>
    </xf>
    <xf numFmtId="0" fontId="1" fillId="2" borderId="4" xfId="0" applyFont="1" applyFill="1" applyBorder="1" applyAlignment="1">
      <alignment vertical="top" wrapText="1" readingOrder="1"/>
    </xf>
    <xf numFmtId="0" fontId="3" fillId="2" borderId="4" xfId="0" applyFont="1" applyFill="1" applyBorder="1" applyAlignment="1">
      <alignment horizontal="center" vertical="center" wrapText="1" readingOrder="1"/>
    </xf>
    <xf numFmtId="0" fontId="4" fillId="2" borderId="5" xfId="0" applyFont="1" applyFill="1" applyBorder="1" applyAlignment="1">
      <alignment vertical="center"/>
      <extLst>
        <ext xmlns:etc="http://www.wps.cn/officeDocument/2017/etCustomData" uri="{F19249F5-4A6E-446B-B59F-E2C9F2DAA1D5}">
          <etc:displayText val="2"/>
        </ext>
      </extLst>
    </xf>
    <xf numFmtId="0" fontId="3" fillId="0" borderId="5" xfId="0" applyFont="1" applyBorder="1" applyAlignment="1">
      <alignment vertical="center" wrapText="1" readingOrder="1"/>
    </xf>
    <xf numFmtId="0" fontId="4" fillId="2" borderId="5" xfId="0" applyFont="1" applyFill="1" applyBorder="1" applyAlignment="1">
      <alignment horizontal="center" vertical="center" wrapText="1" readingOrder="1"/>
    </xf>
    <xf numFmtId="0" fontId="3" fillId="3" borderId="5" xfId="0" applyFont="1" applyFill="1" applyBorder="1" applyAlignment="1">
      <alignment vertical="center" wrapText="1" readingOrder="1"/>
    </xf>
    <xf numFmtId="0" fontId="1" fillId="2" borderId="5" xfId="0" applyFont="1" applyFill="1" applyBorder="1" applyAlignment="1">
      <alignment vertical="center" wrapText="1" readingOrder="1"/>
    </xf>
    <xf numFmtId="0" fontId="1" fillId="0" borderId="5" xfId="0" applyFont="1" applyBorder="1" applyAlignment="1">
      <alignment vertical="center" wrapText="1" readingOrder="1"/>
    </xf>
    <xf numFmtId="0" fontId="4" fillId="2" borderId="5" xfId="0" applyFont="1" applyFill="1" applyBorder="1" applyAlignment="1">
      <alignment vertical="center" wrapText="1" readingOrder="1"/>
    </xf>
    <xf numFmtId="0" fontId="1" fillId="0" borderId="4" xfId="0" applyFont="1" applyBorder="1" applyAlignment="1">
      <alignment wrapText="1" readingOrder="1"/>
    </xf>
    <xf numFmtId="0" fontId="4" fillId="0" borderId="5" xfId="0" applyFont="1" applyBorder="1" applyAlignment="1">
      <alignment horizontal="center" vertical="center" wrapText="1" readingOrder="1"/>
    </xf>
    <xf numFmtId="0" fontId="4" fillId="0" borderId="4" xfId="0" applyFont="1" applyBorder="1" applyAlignment="1">
      <alignment horizontal="center" vertical="center" wrapText="1" readingOrder="1"/>
    </xf>
    <xf numFmtId="0" fontId="4" fillId="0" borderId="5" xfId="0" applyFont="1" applyBorder="1" applyAlignment="1">
      <alignment vertical="center" wrapText="1" readingOrder="1"/>
    </xf>
    <xf numFmtId="0" fontId="3" fillId="0" borderId="5" xfId="0" applyFont="1" applyBorder="1" applyAlignment="1">
      <alignment horizontal="center" vertical="center" wrapText="1" readingOrder="1"/>
    </xf>
    <xf numFmtId="0" fontId="3" fillId="0" borderId="5" xfId="0" applyFont="1" applyBorder="1" applyAlignment="1">
      <alignment horizontal="right" vertical="center" wrapText="1" readingOrder="1"/>
    </xf>
    <xf numFmtId="0" fontId="4" fillId="4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right" wrapText="1" readingOrder="1"/>
    </xf>
    <xf numFmtId="0" fontId="1" fillId="0" borderId="4" xfId="0" applyFont="1" applyBorder="1" applyAlignment="1">
      <alignment vertical="center" wrapText="1" readingOrder="1"/>
    </xf>
    <xf numFmtId="0" fontId="3" fillId="0" borderId="6" xfId="0" applyFont="1" applyBorder="1" applyAlignment="1">
      <alignment horizontal="center" vertical="center" wrapText="1" readingOrder="1"/>
    </xf>
    <xf numFmtId="0" fontId="3" fillId="0" borderId="6" xfId="0" applyFont="1" applyBorder="1" applyAlignment="1">
      <alignment vertical="center" wrapText="1" readingOrder="1"/>
    </xf>
    <xf numFmtId="0" fontId="1" fillId="0" borderId="6" xfId="0" applyFont="1" applyBorder="1" applyAlignment="1">
      <alignment vertical="center" wrapText="1" readingOrder="1"/>
    </xf>
    <xf numFmtId="0" fontId="1" fillId="0" borderId="7" xfId="0" applyFont="1" applyBorder="1" applyAlignment="1">
      <alignment wrapText="1" readingOrder="1"/>
    </xf>
    <xf numFmtId="0" fontId="3" fillId="0" borderId="8" xfId="0" applyFont="1" applyBorder="1" applyAlignment="1">
      <alignment horizontal="center" vertical="center" wrapText="1" readingOrder="1"/>
    </xf>
    <xf numFmtId="0" fontId="3" fillId="0" borderId="8" xfId="0" applyFont="1" applyBorder="1" applyAlignment="1">
      <alignment vertical="center" wrapText="1" readingOrder="1"/>
    </xf>
    <xf numFmtId="0" fontId="1" fillId="0" borderId="8" xfId="0" applyFont="1" applyBorder="1" applyAlignment="1">
      <alignment vertical="center" wrapText="1" readingOrder="1"/>
    </xf>
    <xf numFmtId="0" fontId="3" fillId="0" borderId="9" xfId="0" applyFont="1" applyBorder="1" applyAlignment="1">
      <alignment horizontal="center" vertical="center" wrapText="1" readingOrder="1"/>
    </xf>
    <xf numFmtId="0" fontId="1" fillId="0" borderId="9" xfId="0" applyFont="1" applyBorder="1" applyAlignment="1">
      <alignment vertical="center" wrapText="1" readingOrder="1"/>
    </xf>
    <xf numFmtId="0" fontId="3" fillId="0" borderId="9" xfId="0" applyFont="1" applyBorder="1" applyAlignment="1">
      <alignment horizontal="right" vertical="center" wrapText="1" readingOrder="1"/>
    </xf>
    <xf numFmtId="0" fontId="3" fillId="4" borderId="5" xfId="0" applyFont="1" applyFill="1" applyBorder="1" applyAlignment="1">
      <alignment horizontal="center" vertical="center" wrapText="1" readingOrder="1"/>
    </xf>
    <xf numFmtId="0" fontId="5" fillId="4" borderId="5" xfId="0" applyFont="1" applyFill="1" applyBorder="1" applyAlignment="1">
      <alignment horizontal="right" vertical="top" wrapText="1" readingOrder="1"/>
    </xf>
    <xf numFmtId="0" fontId="1" fillId="4" borderId="4" xfId="0" applyFont="1" applyFill="1" applyBorder="1" applyAlignment="1">
      <alignment wrapText="1" readingOrder="1"/>
    </xf>
    <xf numFmtId="0" fontId="6" fillId="0" borderId="4" xfId="0" applyFont="1" applyBorder="1" applyAlignment="1">
      <alignment vertical="center" wrapText="1" readingOrder="1"/>
    </xf>
    <xf numFmtId="0" fontId="7" fillId="0" borderId="4" xfId="0" applyFont="1" applyBorder="1" applyAlignment="1">
      <alignment vertical="center" wrapText="1" readingOrder="1"/>
    </xf>
    <xf numFmtId="0" fontId="5" fillId="0" borderId="5" xfId="0" applyFont="1" applyBorder="1" applyAlignment="1">
      <alignment vertical="center" wrapText="1" readingOrder="1"/>
    </xf>
    <xf numFmtId="0" fontId="8" fillId="5" borderId="10" xfId="0" applyFont="1" applyFill="1" applyBorder="1" applyAlignment="1">
      <alignment/>
      <extLst>
        <ext xmlns:etc="http://www.wps.cn/officeDocument/2017/etCustomData" uri="{F19249F5-4A6E-446B-B59F-E2C9F2DAA1D5}">
          <etc:displayText val="2"/>
        </ext>
      </extLst>
    </xf>
    <xf numFmtId="0" fontId="1" fillId="5" borderId="10" xfId="0" applyFont="1" applyFill="1" applyBorder="1" applyAlignment="1">
      <alignment wrapText="1" readingOrder="1"/>
    </xf>
    <xf numFmtId="0" fontId="1" fillId="5" borderId="10" xfId="0" applyFont="1" applyFill="1" applyBorder="1" applyAlignment="1">
      <alignment vertical="center" wrapText="1" readingOrder="1"/>
    </xf>
    <xf numFmtId="0" fontId="1" fillId="4" borderId="4" xfId="0" applyFont="1" applyFill="1" applyBorder="1" applyAlignment="1">
      <alignment vertical="center" wrapText="1" readingOrder="1"/>
    </xf>
    <xf numFmtId="0" fontId="5" fillId="0" borderId="11" xfId="0" applyFont="1" applyBorder="1" applyAlignment="1">
      <alignment horizontal="center" vertical="center" wrapText="1" readingOrder="1"/>
    </xf>
    <xf numFmtId="0" fontId="9" fillId="0" borderId="0" xfId="0" applyFont="1" applyFill="1" applyAlignment="1">
      <alignment horizontal="left"/>
    </xf>
    <xf numFmtId="0" fontId="9" fillId="0" borderId="0" xfId="0" applyFont="1" applyFill="1" applyAlignment="1"/>
    <xf numFmtId="0" fontId="10" fillId="5" borderId="12" xfId="0" applyFont="1" applyFill="1" applyBorder="1" applyAlignment="1">
      <alignment horizontal="center" vertical="center"/>
    </xf>
    <xf numFmtId="3" fontId="11" fillId="0" borderId="0" xfId="0" applyNumberFormat="1" applyFont="1" applyFill="1" applyAlignment="1">
      <alignment horizontal="left"/>
    </xf>
    <xf numFmtId="3" fontId="12" fillId="6" borderId="13" xfId="0" applyNumberFormat="1" applyFont="1" applyFill="1" applyBorder="1" applyAlignment="1">
      <alignment horizontal="center"/>
    </xf>
    <xf numFmtId="3" fontId="12" fillId="6" borderId="14" xfId="0" applyNumberFormat="1" applyFont="1" applyFill="1" applyBorder="1" applyAlignment="1">
      <alignment horizontal="center"/>
    </xf>
    <xf numFmtId="3" fontId="12" fillId="6" borderId="15" xfId="0" applyNumberFormat="1" applyFont="1" applyFill="1" applyBorder="1" applyAlignment="1">
      <alignment horizontal="center"/>
    </xf>
    <xf numFmtId="0" fontId="13" fillId="6" borderId="12" xfId="0" applyFont="1" applyFill="1" applyBorder="1" applyAlignment="1">
      <alignment horizontal="left"/>
    </xf>
    <xf numFmtId="0" fontId="14" fillId="6" borderId="12" xfId="0" applyFont="1" applyFill="1" applyBorder="1" applyAlignment="1">
      <alignment horizontal="left"/>
    </xf>
    <xf numFmtId="3" fontId="12" fillId="6" borderId="12" xfId="0" applyNumberFormat="1" applyFont="1" applyFill="1" applyBorder="1" applyAlignment="1">
      <alignment horizontal="left"/>
    </xf>
    <xf numFmtId="0" fontId="11" fillId="0" borderId="12" xfId="0" applyFont="1" applyFill="1" applyBorder="1" applyAlignment="1">
      <alignment horizontal="left" wrapText="1"/>
    </xf>
    <xf numFmtId="0" fontId="11" fillId="0" borderId="0" xfId="0" applyFont="1" applyFill="1" applyAlignment="1">
      <alignment horizontal="left"/>
    </xf>
    <xf numFmtId="3" fontId="12" fillId="7" borderId="12" xfId="0" applyNumberFormat="1" applyFont="1" applyFill="1" applyBorder="1" applyAlignment="1">
      <alignment horizontal="left"/>
    </xf>
    <xf numFmtId="2" fontId="12" fillId="7" borderId="12" xfId="0" applyNumberFormat="1" applyFont="1" applyFill="1" applyBorder="1" applyAlignment="1">
      <alignment horizontal="left"/>
    </xf>
    <xf numFmtId="0" fontId="12" fillId="7" borderId="12" xfId="0" applyFont="1" applyFill="1" applyBorder="1" applyAlignment="1">
      <alignment horizontal="left"/>
    </xf>
    <xf numFmtId="0" fontId="14" fillId="0" borderId="16" xfId="0" applyFont="1" applyFill="1" applyBorder="1" applyAlignment="1">
      <alignment horizontal="left" vertical="center"/>
    </xf>
    <xf numFmtId="0" fontId="14" fillId="0" borderId="12" xfId="0" applyFont="1" applyFill="1" applyBorder="1" applyAlignment="1">
      <alignment horizontal="left"/>
    </xf>
    <xf numFmtId="3" fontId="11" fillId="0" borderId="12" xfId="0" applyNumberFormat="1" applyFont="1" applyFill="1" applyBorder="1" applyAlignment="1">
      <alignment horizontal="left"/>
    </xf>
    <xf numFmtId="0" fontId="11" fillId="0" borderId="12" xfId="0" applyFont="1" applyFill="1" applyBorder="1" applyAlignment="1">
      <alignment horizontal="left"/>
    </xf>
    <xf numFmtId="3" fontId="12" fillId="0" borderId="12" xfId="0" applyNumberFormat="1" applyFont="1" applyFill="1" applyBorder="1" applyAlignment="1">
      <alignment horizontal="left"/>
    </xf>
    <xf numFmtId="2" fontId="11" fillId="0" borderId="12" xfId="0" applyNumberFormat="1" applyFont="1" applyFill="1" applyBorder="1" applyAlignment="1">
      <alignment horizontal="left"/>
    </xf>
    <xf numFmtId="0" fontId="14" fillId="0" borderId="17" xfId="0" applyFont="1" applyFill="1" applyBorder="1" applyAlignment="1">
      <alignment horizontal="left" vertical="center"/>
    </xf>
    <xf numFmtId="0" fontId="14" fillId="0" borderId="18" xfId="0" applyFont="1" applyFill="1" applyBorder="1" applyAlignment="1">
      <alignment horizontal="left" vertical="center"/>
    </xf>
    <xf numFmtId="0" fontId="14" fillId="0" borderId="16" xfId="0" applyFont="1" applyFill="1" applyBorder="1" applyAlignment="1">
      <alignment horizontal="left"/>
    </xf>
    <xf numFmtId="3" fontId="11" fillId="0" borderId="16" xfId="0" applyNumberFormat="1" applyFont="1" applyFill="1" applyBorder="1" applyAlignment="1">
      <alignment horizontal="left" vertical="center"/>
    </xf>
    <xf numFmtId="0" fontId="11" fillId="0" borderId="16" xfId="0" applyFont="1" applyFill="1" applyBorder="1" applyAlignment="1">
      <alignment horizontal="left" vertical="center"/>
    </xf>
    <xf numFmtId="3" fontId="9" fillId="0" borderId="0" xfId="0" applyNumberFormat="1" applyFont="1" applyFill="1" applyAlignment="1">
      <alignment horizontal="left"/>
    </xf>
    <xf numFmtId="0" fontId="14" fillId="0" borderId="12" xfId="0" applyFont="1" applyFill="1" applyBorder="1" applyAlignment="1">
      <alignment horizontal="left" vertical="center"/>
    </xf>
    <xf numFmtId="3" fontId="11" fillId="0" borderId="12" xfId="0" applyNumberFormat="1" applyFont="1" applyFill="1" applyBorder="1" applyAlignment="1">
      <alignment horizontal="left" vertical="center"/>
    </xf>
    <xf numFmtId="0" fontId="11" fillId="0" borderId="12" xfId="0" applyFont="1" applyFill="1" applyBorder="1" applyAlignment="1">
      <alignment horizontal="left" vertical="center"/>
    </xf>
    <xf numFmtId="0" fontId="14" fillId="0" borderId="19" xfId="0" applyFont="1" applyFill="1" applyBorder="1" applyAlignment="1">
      <alignment horizontal="left" vertical="center"/>
    </xf>
    <xf numFmtId="3" fontId="11" fillId="0" borderId="18" xfId="0" applyNumberFormat="1" applyFont="1" applyFill="1" applyBorder="1" applyAlignment="1">
      <alignment horizontal="left" vertical="center"/>
    </xf>
    <xf numFmtId="0" fontId="11" fillId="0" borderId="20" xfId="0" applyFont="1" applyFill="1" applyBorder="1" applyAlignment="1">
      <alignment horizontal="left" vertical="center"/>
    </xf>
    <xf numFmtId="0" fontId="14" fillId="0" borderId="0" xfId="0" applyFont="1" applyFill="1" applyAlignment="1">
      <alignment horizontal="left"/>
    </xf>
    <xf numFmtId="0" fontId="12" fillId="8" borderId="12" xfId="0" applyFont="1" applyFill="1" applyBorder="1" applyAlignment="1">
      <alignment horizontal="left"/>
    </xf>
    <xf numFmtId="3" fontId="12" fillId="8" borderId="12" xfId="0" applyNumberFormat="1" applyFont="1" applyFill="1" applyBorder="1" applyAlignment="1">
      <alignment horizontal="left"/>
    </xf>
    <xf numFmtId="2" fontId="12" fillId="8" borderId="12" xfId="0" applyNumberFormat="1" applyFont="1" applyFill="1" applyBorder="1" applyAlignment="1">
      <alignment horizontal="left"/>
    </xf>
    <xf numFmtId="0" fontId="14" fillId="0" borderId="21" xfId="0" applyFont="1" applyFill="1" applyBorder="1" applyAlignment="1">
      <alignment horizontal="left" vertical="center"/>
    </xf>
    <xf numFmtId="0" fontId="11" fillId="0" borderId="22" xfId="0" applyFont="1" applyFill="1" applyBorder="1" applyAlignment="1">
      <alignment horizontal="left" vertical="center"/>
    </xf>
    <xf numFmtId="3" fontId="12" fillId="0" borderId="17" xfId="0" applyNumberFormat="1" applyFont="1" applyFill="1" applyBorder="1" applyAlignment="1">
      <alignment horizontal="left"/>
    </xf>
    <xf numFmtId="0" fontId="14" fillId="0" borderId="23" xfId="0" applyFont="1" applyFill="1" applyBorder="1" applyAlignment="1">
      <alignment horizontal="left" vertical="center"/>
    </xf>
    <xf numFmtId="3" fontId="9" fillId="0" borderId="12" xfId="0" applyNumberFormat="1" applyFont="1" applyFill="1" applyBorder="1" applyAlignment="1">
      <alignment horizontal="left" vertical="center"/>
    </xf>
    <xf numFmtId="0" fontId="11" fillId="0" borderId="24" xfId="0" applyFont="1" applyFill="1" applyBorder="1" applyAlignment="1">
      <alignment horizontal="left" vertical="center"/>
    </xf>
    <xf numFmtId="0" fontId="14" fillId="0" borderId="25" xfId="0" applyFont="1" applyFill="1" applyBorder="1" applyAlignment="1">
      <alignment horizontal="left" vertical="center"/>
    </xf>
    <xf numFmtId="3" fontId="11" fillId="0" borderId="26" xfId="0" applyNumberFormat="1" applyFont="1" applyFill="1" applyBorder="1" applyAlignment="1">
      <alignment horizontal="left"/>
    </xf>
    <xf numFmtId="0" fontId="13" fillId="5" borderId="25" xfId="0" applyFont="1" applyFill="1" applyBorder="1" applyAlignment="1">
      <alignment horizontal="left" vertical="center"/>
    </xf>
    <xf numFmtId="3" fontId="12" fillId="5" borderId="26" xfId="0" applyNumberFormat="1" applyFont="1" applyFill="1" applyBorder="1" applyAlignment="1">
      <alignment horizontal="left"/>
    </xf>
    <xf numFmtId="3" fontId="11" fillId="0" borderId="27" xfId="0" applyNumberFormat="1" applyFont="1" applyFill="1" applyBorder="1" applyAlignment="1">
      <alignment horizontal="left"/>
    </xf>
    <xf numFmtId="0" fontId="13" fillId="6" borderId="18" xfId="0" applyFont="1" applyFill="1" applyBorder="1" applyAlignment="1">
      <alignment horizontal="left"/>
    </xf>
    <xf numFmtId="0" fontId="14" fillId="6" borderId="18" xfId="0" applyFont="1" applyFill="1" applyBorder="1" applyAlignment="1">
      <alignment horizontal="left"/>
    </xf>
    <xf numFmtId="3" fontId="12" fillId="6" borderId="18" xfId="0" applyNumberFormat="1" applyFont="1" applyFill="1" applyBorder="1" applyAlignment="1">
      <alignment horizontal="left"/>
    </xf>
    <xf numFmtId="0" fontId="11" fillId="0" borderId="18" xfId="0" applyFont="1" applyFill="1" applyBorder="1" applyAlignment="1">
      <alignment horizontal="left"/>
    </xf>
    <xf numFmtId="0" fontId="13" fillId="0" borderId="12" xfId="0" applyFont="1" applyFill="1" applyBorder="1" applyAlignment="1">
      <alignment horizontal="left"/>
    </xf>
    <xf numFmtId="0" fontId="13" fillId="0" borderId="16" xfId="0" applyFont="1" applyFill="1" applyBorder="1" applyAlignment="1">
      <alignment horizontal="left" vertical="center"/>
    </xf>
    <xf numFmtId="0" fontId="15" fillId="0" borderId="12" xfId="0" applyFont="1" applyFill="1" applyBorder="1" applyAlignment="1">
      <alignment horizontal="left"/>
    </xf>
    <xf numFmtId="0" fontId="16" fillId="0" borderId="0" xfId="0" applyFont="1" applyFill="1" applyAlignment="1">
      <alignment horizontal="left"/>
    </xf>
    <xf numFmtId="0" fontId="13" fillId="0" borderId="17" xfId="0" applyFont="1" applyFill="1" applyBorder="1" applyAlignment="1">
      <alignment horizontal="left" vertical="center"/>
    </xf>
    <xf numFmtId="0" fontId="13" fillId="0" borderId="18" xfId="0" applyFont="1" applyFill="1" applyBorder="1" applyAlignment="1">
      <alignment horizontal="left" vertical="center"/>
    </xf>
    <xf numFmtId="3" fontId="17" fillId="0" borderId="12" xfId="0" applyNumberFormat="1" applyFont="1" applyFill="1" applyBorder="1" applyAlignment="1">
      <alignment horizontal="left"/>
    </xf>
    <xf numFmtId="0" fontId="14" fillId="9" borderId="0" xfId="0" applyFont="1" applyFill="1" applyAlignment="1">
      <alignment horizontal="left"/>
    </xf>
    <xf numFmtId="0" fontId="15" fillId="0" borderId="0" xfId="0" applyFont="1" applyFill="1" applyAlignment="1">
      <alignment horizontal="left"/>
    </xf>
    <xf numFmtId="3" fontId="15" fillId="0" borderId="0" xfId="0" applyNumberFormat="1" applyFont="1" applyFill="1" applyAlignment="1">
      <alignment horizontal="left"/>
    </xf>
    <xf numFmtId="3" fontId="14" fillId="0" borderId="0" xfId="0" applyNumberFormat="1" applyFont="1" applyFill="1" applyAlignment="1">
      <alignment horizontal="left"/>
    </xf>
    <xf numFmtId="2" fontId="14" fillId="0" borderId="0" xfId="0" applyNumberFormat="1" applyFont="1" applyFill="1" applyAlignment="1">
      <alignment horizontal="left"/>
    </xf>
    <xf numFmtId="0" fontId="13" fillId="6" borderId="12" xfId="0" applyFont="1" applyFill="1" applyBorder="1" applyAlignment="1">
      <alignment horizontal="left" vertical="center"/>
    </xf>
    <xf numFmtId="0" fontId="13" fillId="0" borderId="16" xfId="0" applyFont="1" applyFill="1" applyBorder="1" applyAlignment="1">
      <alignment horizontal="center" vertical="center"/>
    </xf>
    <xf numFmtId="0" fontId="13" fillId="0" borderId="17" xfId="0" applyFont="1" applyFill="1" applyBorder="1" applyAlignment="1">
      <alignment horizontal="center" vertical="center"/>
    </xf>
    <xf numFmtId="2" fontId="11" fillId="0" borderId="0" xfId="0" applyNumberFormat="1" applyFont="1" applyFill="1" applyAlignment="1">
      <alignment horizontal="left"/>
    </xf>
    <xf numFmtId="0" fontId="13" fillId="0" borderId="18" xfId="0" applyFont="1" applyFill="1" applyBorder="1" applyAlignment="1">
      <alignment horizontal="center" vertical="center"/>
    </xf>
    <xf numFmtId="0" fontId="14" fillId="0" borderId="16" xfId="0" applyFont="1" applyFill="1" applyBorder="1" applyAlignment="1">
      <alignment horizontal="center" vertical="center"/>
    </xf>
    <xf numFmtId="0" fontId="15" fillId="0" borderId="12" xfId="0" applyFont="1" applyFill="1" applyBorder="1" applyAlignment="1">
      <alignment horizontal="left" vertical="center" wrapText="1"/>
    </xf>
    <xf numFmtId="0" fontId="14" fillId="0" borderId="17" xfId="0" applyFont="1" applyFill="1" applyBorder="1" applyAlignment="1">
      <alignment horizontal="center" vertical="center"/>
    </xf>
    <xf numFmtId="3" fontId="15" fillId="0" borderId="12" xfId="0" applyNumberFormat="1" applyFont="1" applyFill="1" applyBorder="1" applyAlignment="1">
      <alignment horizontal="left" vertical="center"/>
    </xf>
    <xf numFmtId="3" fontId="15" fillId="0" borderId="12" xfId="0" applyNumberFormat="1" applyFont="1" applyFill="1" applyBorder="1" applyAlignment="1">
      <alignment horizontal="left"/>
    </xf>
    <xf numFmtId="0" fontId="15" fillId="0" borderId="12" xfId="0" applyFont="1" applyFill="1" applyBorder="1" applyAlignment="1"/>
    <xf numFmtId="0" fontId="14" fillId="0" borderId="18" xfId="0" applyFont="1" applyFill="1" applyBorder="1" applyAlignment="1">
      <alignment horizontal="center" vertical="center"/>
    </xf>
    <xf numFmtId="3" fontId="13" fillId="6" borderId="12" xfId="0" applyNumberFormat="1" applyFont="1" applyFill="1" applyBorder="1" applyAlignment="1">
      <alignment horizontal="left"/>
    </xf>
    <xf numFmtId="0" fontId="12" fillId="0" borderId="12" xfId="0" applyFont="1" applyFill="1" applyBorder="1" applyAlignment="1">
      <alignment horizontal="left"/>
    </xf>
    <xf numFmtId="0" fontId="13" fillId="10" borderId="12" xfId="0" applyFont="1" applyFill="1" applyBorder="1" applyAlignment="1">
      <alignment horizontal="left" vertical="center"/>
    </xf>
    <xf numFmtId="0" fontId="13" fillId="10" borderId="12" xfId="0" applyFont="1" applyFill="1" applyBorder="1" applyAlignment="1">
      <alignment horizontal="left"/>
    </xf>
    <xf numFmtId="3" fontId="13" fillId="10" borderId="12" xfId="0" applyNumberFormat="1" applyFont="1" applyFill="1" applyBorder="1" applyAlignment="1">
      <alignment horizontal="left"/>
    </xf>
    <xf numFmtId="0" fontId="13" fillId="11" borderId="12" xfId="0" applyFont="1" applyFill="1" applyBorder="1" applyAlignment="1">
      <alignment horizontal="left"/>
    </xf>
    <xf numFmtId="3" fontId="11" fillId="11" borderId="12" xfId="0" applyNumberFormat="1" applyFont="1" applyFill="1" applyBorder="1" applyAlignment="1">
      <alignment horizontal="left"/>
    </xf>
    <xf numFmtId="0" fontId="13" fillId="7" borderId="12" xfId="0" applyFont="1" applyFill="1" applyBorder="1" applyAlignment="1">
      <alignment horizontal="left"/>
    </xf>
    <xf numFmtId="3" fontId="11" fillId="7" borderId="12" xfId="0" applyNumberFormat="1" applyFont="1" applyFill="1" applyBorder="1" applyAlignment="1">
      <alignment horizontal="left"/>
    </xf>
    <xf numFmtId="0" fontId="13" fillId="12" borderId="12" xfId="0" applyFont="1" applyFill="1" applyBorder="1" applyAlignment="1">
      <alignment horizontal="left"/>
    </xf>
    <xf numFmtId="3" fontId="11" fillId="12" borderId="12" xfId="0" applyNumberFormat="1" applyFont="1" applyFill="1" applyBorder="1" applyAlignment="1">
      <alignment horizontal="left"/>
    </xf>
    <xf numFmtId="0" fontId="18" fillId="5" borderId="12" xfId="0" applyFont="1" applyFill="1" applyBorder="1" applyAlignment="1">
      <alignment horizontal="left"/>
    </xf>
    <xf numFmtId="0" fontId="19" fillId="5" borderId="12" xfId="0" applyFont="1" applyFill="1" applyBorder="1" applyAlignment="1">
      <alignment horizontal="left"/>
    </xf>
    <xf numFmtId="10" fontId="20" fillId="5" borderId="12" xfId="0" applyNumberFormat="1" applyFont="1" applyFill="1" applyBorder="1" applyAlignment="1">
      <alignment horizontal="left"/>
    </xf>
    <xf numFmtId="0" fontId="20" fillId="5" borderId="12" xfId="0" applyFont="1" applyFill="1" applyBorder="1" applyAlignment="1">
      <alignment horizontal="left"/>
    </xf>
    <xf numFmtId="10" fontId="20" fillId="5" borderId="12" xfId="3" applyNumberFormat="1" applyFont="1" applyFill="1" applyBorder="1" applyAlignment="1">
      <alignment horizontal="left"/>
    </xf>
    <xf numFmtId="0" fontId="9" fillId="0" borderId="12" xfId="0" applyFont="1" applyFill="1" applyBorder="1" applyAlignment="1"/>
    <xf numFmtId="0" fontId="15" fillId="0" borderId="12" xfId="0" applyFont="1" applyFill="1" applyBorder="1" applyAlignment="1">
      <alignment horizontal="left" vertical="center"/>
    </xf>
    <xf numFmtId="0" fontId="0" fillId="0" borderId="0" xfId="0" quotePrefix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Normal 2" xfId="49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externalLink" Target="externalLinks/externalLink4.xml"/><Relationship Id="rId11" Type="http://schemas.openxmlformats.org/officeDocument/2006/relationships/externalLink" Target="externalLinks/externalLink3.xml"/><Relationship Id="rId10" Type="http://schemas.openxmlformats.org/officeDocument/2006/relationships/externalLink" Target="externalLinks/externalLink2.xml"/><Relationship Id="rId1" Type="http://schemas.openxmlformats.org/officeDocument/2006/relationships/worksheet" Target="worksheets/sheet1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ngoc oi\T&#192;I CH&#205;NH TH&#193;NG 6.2026\c&#7853;p nh&#7853;t thu ti&#7873;n th&#225;ng 6 chu&#7849;n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ngoc oi\T&#192;I CH&#205;NH TH&#193;NG 6.2026\b&#7843;ng l&#432;&#417;ng th&#225;ng 6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ile:///C:\ngoc oi\T&#192;I CH&#205;NH TH&#193;NG 6.2026\chi ph&#237; v&#259;n ph&#242;ng th&#225;ng 6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Admin\AppData\Local\Temp\Zalo%20Temp\TempDownloads\G1.31.8.26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NHÀ G"/>
      <sheetName val="NHÀ S"/>
      <sheetName val="NHÀ T"/>
      <sheetName val="PHÒNG MỚI THÁNG 6"/>
      <sheetName val="PHÒNG MỚI THÁNG 5"/>
      <sheetName val="PHÒNG MỚI THÁNG 7"/>
      <sheetName val="HOÀN CỌC"/>
      <sheetName val="G8"/>
      <sheetName val="cập nhật thu tiền"/>
      <sheetName val="DS phòng phá hđ"/>
      <sheetName val=" PHÒNG MỚI THÁNG 3"/>
      <sheetName val="HĐ (VP-HẰNG)"/>
      <sheetName val="HĐ G1 (TECH) "/>
      <sheetName val="HĐ (VP)"/>
      <sheetName val="HĐ (TECH)"/>
      <sheetName val="ĐIỆN NƯỚC PHÒNG TRỐNG"/>
      <sheetName val="HĐ (HOÀN CỌC)"/>
    </sheetNames>
    <sheetDataSet>
      <sheetData sheetId="0" refreshError="1"/>
      <sheetData sheetId="1" refreshError="1"/>
      <sheetData sheetId="2" refreshError="1"/>
      <sheetData sheetId="3" refreshError="1">
        <row r="37">
          <cell r="H37">
            <v>1300000</v>
          </cell>
        </row>
        <row r="37">
          <cell r="X37">
            <v>40000</v>
          </cell>
        </row>
        <row r="37">
          <cell r="AD37">
            <v>33333.3333333333</v>
          </cell>
        </row>
        <row r="37">
          <cell r="AG37">
            <v>20000</v>
          </cell>
        </row>
        <row r="37">
          <cell r="AP37">
            <v>40000</v>
          </cell>
        </row>
        <row r="63">
          <cell r="H63">
            <v>760000</v>
          </cell>
        </row>
        <row r="63">
          <cell r="X63">
            <v>24000</v>
          </cell>
        </row>
        <row r="63">
          <cell r="AD63">
            <v>20000</v>
          </cell>
        </row>
        <row r="63">
          <cell r="AG63">
            <v>12000</v>
          </cell>
        </row>
        <row r="63">
          <cell r="AP63">
            <v>24000</v>
          </cell>
        </row>
      </sheetData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THÁNG 1"/>
      <sheetName val="THÁNG 2 "/>
      <sheetName val="THÁNG 3"/>
      <sheetName val="THÁNG 4 "/>
      <sheetName val="THÁNG 5 "/>
      <sheetName val="THÁNG 6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>
        <row r="131">
          <cell r="Y131">
            <v>47600001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>
  <externalBook xmlns:r="http://schemas.openxmlformats.org/officeDocument/2006/relationships" r:id="rId1">
    <sheetNames>
      <sheetName val="chi phí set up vp"/>
      <sheetName val="tháng 6"/>
      <sheetName val="Tháng 7"/>
      <sheetName val="Tháng 8"/>
      <sheetName val="Tháng 9"/>
      <sheetName val="Tháng 10"/>
      <sheetName val="THÁNG 12"/>
      <sheetName val="THÁNG 1.2024"/>
      <sheetName val="THÁNG 2.2024"/>
      <sheetName val="THÁNG 3"/>
      <sheetName val="THÁNG 4"/>
      <sheetName val="THÁNG 5"/>
      <sheetName val="THÁNG 6."/>
      <sheetName val="THÁNG 7.24"/>
      <sheetName val="THÁNG 8.24"/>
      <sheetName val="THÁNG 9.24"/>
      <sheetName val="THÁNG 10.24 "/>
      <sheetName val="THÁNG 11.24"/>
      <sheetName val="THÁNG 12.24 "/>
      <sheetName val="THÁNG 1.25"/>
      <sheetName val="THÁNG 2.25 "/>
      <sheetName val="THÁNG 3.25 "/>
      <sheetName val="THÁNG 4.25 "/>
      <sheetName val="THÁNG 5.25"/>
      <sheetName val="THÁNG 6.25 "/>
      <sheetName val="THÁNG 7.25"/>
      <sheetName val="THÁNG 9.25 "/>
      <sheetName val="THÁNG 10.25 "/>
      <sheetName val="THÁNG 11.25 "/>
      <sheetName val="THÁNG 12.25  "/>
      <sheetName val="THÁNG 1.26 "/>
      <sheetName val="THÁNG 2.26  "/>
      <sheetName val="THÁNG 3.26 "/>
      <sheetName val="THÁNG 4.26 "/>
      <sheetName val="THÁNG 5.26  "/>
      <sheetName val="THÁNG 6.26 "/>
      <sheetName val="THÁNG 8.25 "/>
      <sheetName val="THÁNG 7.26  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>
        <row r="10">
          <cell r="F10">
            <v>30188000</v>
          </cell>
        </row>
        <row r="35">
          <cell r="B35">
            <v>60785000</v>
          </cell>
        </row>
      </sheetData>
      <sheetData sheetId="36" refreshError="1"/>
      <sheetData sheetId="37" refreshError="1"/>
    </sheetDataSet>
  </externalBook>
</externalLink>
</file>

<file path=xl/externalLinks/externalLink4.xml><?xml version="1.0" encoding="utf-8"?>
<externalLink xmlns="http://schemas.openxmlformats.org/spreadsheetml/2006/main">
  <externalBook xmlns:r="http://schemas.openxmlformats.org/officeDocument/2006/relationships" r:id="rId1">
    <sheetNames>
      <sheetName val="ĐẦU TƯ BAN ĐẦU"/>
      <sheetName val="THU CHI BAN ĐẦU"/>
      <sheetName val="HD T1.26"/>
      <sheetName val="BÁO CÁO THÁNG 2"/>
      <sheetName val="HĐ T2.26"/>
      <sheetName val="BÁO CÁO THÁNG 3"/>
      <sheetName val="HĐ T3.26 "/>
      <sheetName val="BÁO CÁO THÁNG 4"/>
      <sheetName val="HĐ T4.26 "/>
      <sheetName val="BÁO CÁO THÁNG 5"/>
      <sheetName val="HĐ T5.26 "/>
      <sheetName val="BÁO CÁO THÁNG 6"/>
      <sheetName val="HĐ T6.26 "/>
      <sheetName val="BÁO CÁO THÁNG 7"/>
      <sheetName val="HĐ T7.26  "/>
      <sheetName val="BÁO CÁO THÁNG 8"/>
      <sheetName val="HĐ T8.26  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>
        <row r="2">
          <cell r="I2">
            <v>57500000</v>
          </cell>
        </row>
        <row r="2">
          <cell r="T2">
            <v>12460000</v>
          </cell>
        </row>
        <row r="2">
          <cell r="Y2">
            <v>3240000</v>
          </cell>
        </row>
        <row r="2">
          <cell r="AE2">
            <v>1100000</v>
          </cell>
        </row>
        <row r="2">
          <cell r="AH2">
            <v>1560000</v>
          </cell>
        </row>
        <row r="2">
          <cell r="AK2">
            <v>850000</v>
          </cell>
        </row>
        <row r="2">
          <cell r="AQ2">
            <v>3240000</v>
          </cell>
        </row>
        <row r="2">
          <cell r="AX2">
            <v>79912000</v>
          </cell>
        </row>
        <row r="13">
          <cell r="I13">
            <v>4100000</v>
          </cell>
        </row>
        <row r="13">
          <cell r="AE13">
            <v>100000</v>
          </cell>
        </row>
        <row r="13">
          <cell r="AH13">
            <v>120000</v>
          </cell>
        </row>
        <row r="13">
          <cell r="AQ13">
            <v>240000</v>
          </cell>
        </row>
        <row r="14">
          <cell r="I14">
            <v>3900000</v>
          </cell>
        </row>
        <row r="14">
          <cell r="AE14">
            <v>100000</v>
          </cell>
        </row>
        <row r="14">
          <cell r="AH14">
            <v>120000</v>
          </cell>
        </row>
        <row r="14">
          <cell r="AK14">
            <v>400000</v>
          </cell>
        </row>
        <row r="14">
          <cell r="AQ14">
            <v>240000</v>
          </cell>
        </row>
        <row r="17">
          <cell r="I17">
            <v>3800000</v>
          </cell>
        </row>
        <row r="17">
          <cell r="AE17">
            <v>100000</v>
          </cell>
        </row>
        <row r="17">
          <cell r="AH17">
            <v>60000</v>
          </cell>
        </row>
        <row r="17">
          <cell r="AQ17">
            <v>120000</v>
          </cell>
        </row>
      </sheetData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raditional Arabic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raditional Arabic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86"/>
  <sheetViews>
    <sheetView workbookViewId="0">
      <selection activeCell="C13" sqref="C13"/>
    </sheetView>
  </sheetViews>
  <sheetFormatPr defaultColWidth="9" defaultRowHeight="14.4"/>
  <cols>
    <col min="1" max="1" width="40.2685185185185" style="47" customWidth="1"/>
    <col min="2" max="2" width="24.3611111111111" style="47" customWidth="1"/>
    <col min="3" max="3" width="22.6296296296296" style="47" customWidth="1"/>
    <col min="4" max="4" width="22.4537037037037" style="47" customWidth="1"/>
    <col min="5" max="5" width="9" style="47"/>
    <col min="6" max="13" width="8.72222222222222" style="47" customWidth="1"/>
    <col min="14" max="14" width="12" style="47" customWidth="1"/>
    <col min="15" max="16384" width="9" style="47"/>
  </cols>
  <sheetData>
    <row r="1" s="46" customFormat="1" ht="15.6" spans="1:14">
      <c r="A1" s="48" t="s">
        <v>0</v>
      </c>
      <c r="B1" s="48"/>
      <c r="C1" s="48"/>
      <c r="D1" s="48"/>
      <c r="E1" s="49"/>
      <c r="F1" s="50" t="s">
        <v>1</v>
      </c>
      <c r="G1" s="51"/>
      <c r="H1" s="51"/>
      <c r="I1" s="51"/>
      <c r="J1" s="51"/>
      <c r="K1" s="51"/>
      <c r="L1" s="51"/>
      <c r="M1" s="52"/>
    </row>
    <row r="2" s="46" customFormat="1" spans="1:14">
      <c r="A2" s="53" t="s">
        <v>2</v>
      </c>
      <c r="B2" s="54"/>
      <c r="C2" s="55">
        <f>'[4]HĐ T6.26 '!AX2</f>
        <v>79912000</v>
      </c>
      <c r="D2" s="56" t="s">
        <v>3</v>
      </c>
      <c r="E2" s="57"/>
      <c r="F2" s="58"/>
      <c r="G2" s="58" t="s">
        <v>4</v>
      </c>
      <c r="H2" s="58" t="s">
        <v>5</v>
      </c>
      <c r="I2" s="58" t="s">
        <v>6</v>
      </c>
      <c r="J2" s="58" t="s">
        <v>7</v>
      </c>
      <c r="K2" s="59" t="s">
        <v>8</v>
      </c>
      <c r="L2" s="60" t="s">
        <v>9</v>
      </c>
      <c r="M2" s="60" t="s">
        <v>10</v>
      </c>
    </row>
    <row r="3" s="46" customFormat="1" spans="1:14">
      <c r="A3" s="61" t="s">
        <v>11</v>
      </c>
      <c r="B3" s="62"/>
      <c r="C3" s="63">
        <v>3800000</v>
      </c>
      <c r="D3" s="64" t="s">
        <v>12</v>
      </c>
      <c r="E3" s="57"/>
      <c r="F3" s="65" t="s">
        <v>13</v>
      </c>
      <c r="G3" s="63">
        <v>10</v>
      </c>
      <c r="H3" s="63">
        <f t="shared" ref="H3:H11" si="0">G3*($C$22/100)</f>
        <v>4800000</v>
      </c>
      <c r="I3" s="63">
        <f t="shared" ref="I3:I11" si="1">G3*$C$73/100</f>
        <v>1355340.6</v>
      </c>
      <c r="J3" s="63">
        <f t="shared" ref="J3:J11" si="2">G3*$C$74/100</f>
        <v>307728.095874456</v>
      </c>
      <c r="K3" s="66"/>
      <c r="L3" s="64"/>
      <c r="M3" s="65">
        <f t="shared" ref="M3:M11" si="3">H3+J3</f>
        <v>5107728.09587446</v>
      </c>
    </row>
    <row r="4" s="46" customFormat="1" spans="1:14">
      <c r="A4" s="67"/>
      <c r="B4" s="62"/>
      <c r="C4" s="63">
        <v>3800000</v>
      </c>
      <c r="D4" s="64" t="s">
        <v>14</v>
      </c>
      <c r="E4" s="57"/>
      <c r="F4" s="65" t="s">
        <v>15</v>
      </c>
      <c r="G4" s="63">
        <v>20</v>
      </c>
      <c r="H4" s="63">
        <f t="shared" si="0"/>
        <v>9600000</v>
      </c>
      <c r="I4" s="63">
        <f t="shared" si="1"/>
        <v>2710681.2</v>
      </c>
      <c r="J4" s="63">
        <f t="shared" si="2"/>
        <v>615456.191748911</v>
      </c>
      <c r="K4" s="66"/>
      <c r="L4" s="64"/>
      <c r="M4" s="65">
        <f t="shared" si="3"/>
        <v>10215456.1917489</v>
      </c>
    </row>
    <row r="5" s="46" customFormat="1" spans="1:14">
      <c r="A5" s="68"/>
      <c r="B5" s="62"/>
      <c r="C5" s="63"/>
      <c r="D5" s="64"/>
      <c r="F5" s="65" t="s">
        <v>16</v>
      </c>
      <c r="G5" s="63">
        <v>15</v>
      </c>
      <c r="H5" s="63">
        <f t="shared" si="0"/>
        <v>7200000</v>
      </c>
      <c r="I5" s="63">
        <f t="shared" si="1"/>
        <v>2033010.9</v>
      </c>
      <c r="J5" s="63">
        <f t="shared" si="2"/>
        <v>461592.143811683</v>
      </c>
      <c r="K5" s="66"/>
      <c r="L5" s="64"/>
      <c r="M5" s="65">
        <f t="shared" si="3"/>
        <v>7661592.14381168</v>
      </c>
    </row>
    <row r="6" s="46" customFormat="1" spans="1:14">
      <c r="A6" s="61" t="s">
        <v>17</v>
      </c>
      <c r="B6" s="69"/>
      <c r="C6" s="70">
        <v>1000000</v>
      </c>
      <c r="D6" s="71" t="s">
        <v>18</v>
      </c>
      <c r="F6" s="65" t="s">
        <v>19</v>
      </c>
      <c r="G6" s="63">
        <v>5</v>
      </c>
      <c r="H6" s="63">
        <f t="shared" si="0"/>
        <v>2400000</v>
      </c>
      <c r="I6" s="63">
        <f t="shared" si="1"/>
        <v>677670.3</v>
      </c>
      <c r="J6" s="63">
        <f t="shared" si="2"/>
        <v>153864.047937228</v>
      </c>
      <c r="K6" s="66"/>
      <c r="L6" s="64"/>
      <c r="M6" s="65">
        <f t="shared" si="3"/>
        <v>2553864.04793723</v>
      </c>
    </row>
    <row r="7" s="46" customFormat="1" spans="1:14">
      <c r="A7" s="61" t="s">
        <v>20</v>
      </c>
      <c r="B7" s="69"/>
      <c r="C7" s="70"/>
      <c r="D7" s="71"/>
      <c r="F7" s="65" t="s">
        <v>21</v>
      </c>
      <c r="G7" s="63">
        <v>15</v>
      </c>
      <c r="H7" s="63">
        <f t="shared" si="0"/>
        <v>7200000</v>
      </c>
      <c r="I7" s="63">
        <f t="shared" si="1"/>
        <v>2033010.9</v>
      </c>
      <c r="J7" s="63">
        <f t="shared" si="2"/>
        <v>461592.143811683</v>
      </c>
      <c r="K7" s="66"/>
      <c r="L7" s="64"/>
      <c r="M7" s="65">
        <f t="shared" si="3"/>
        <v>7661592.14381168</v>
      </c>
    </row>
    <row r="8" s="46" customFormat="1" spans="1:14">
      <c r="A8" s="68"/>
      <c r="B8" s="69"/>
      <c r="C8" s="70"/>
      <c r="D8" s="71"/>
      <c r="F8" s="65" t="s">
        <v>22</v>
      </c>
      <c r="G8" s="63">
        <v>10</v>
      </c>
      <c r="H8" s="63">
        <f t="shared" si="0"/>
        <v>4800000</v>
      </c>
      <c r="I8" s="63">
        <f t="shared" si="1"/>
        <v>1355340.6</v>
      </c>
      <c r="J8" s="63">
        <f t="shared" si="2"/>
        <v>307728.095874456</v>
      </c>
      <c r="K8" s="66"/>
      <c r="L8" s="64"/>
      <c r="M8" s="65">
        <f t="shared" si="3"/>
        <v>5107728.09587446</v>
      </c>
      <c r="N8" s="72">
        <f>H13+J13</f>
        <v>51077280.9587446</v>
      </c>
    </row>
    <row r="9" s="46" customFormat="1" spans="1:14">
      <c r="A9" s="61"/>
      <c r="B9" s="69" t="s">
        <v>23</v>
      </c>
      <c r="C9" s="70">
        <v>3</v>
      </c>
      <c r="D9" s="71"/>
      <c r="F9" s="65" t="s">
        <v>24</v>
      </c>
      <c r="G9" s="63">
        <v>5</v>
      </c>
      <c r="H9" s="63">
        <f t="shared" si="0"/>
        <v>2400000</v>
      </c>
      <c r="I9" s="63">
        <f t="shared" si="1"/>
        <v>677670.3</v>
      </c>
      <c r="J9" s="63">
        <f t="shared" si="2"/>
        <v>153864.047937228</v>
      </c>
      <c r="K9" s="66"/>
      <c r="L9" s="64"/>
      <c r="M9" s="65">
        <f t="shared" si="3"/>
        <v>2553864.04793723</v>
      </c>
      <c r="N9" s="72">
        <f>H13+J13</f>
        <v>51077280.9587446</v>
      </c>
    </row>
    <row r="10" s="46" customFormat="1" spans="1:14">
      <c r="A10" s="61"/>
      <c r="B10" s="69" t="s">
        <v>25</v>
      </c>
      <c r="C10" s="70">
        <v>2</v>
      </c>
      <c r="D10" s="71"/>
      <c r="F10" s="65" t="s">
        <v>26</v>
      </c>
      <c r="G10" s="63">
        <v>10</v>
      </c>
      <c r="H10" s="63">
        <f t="shared" si="0"/>
        <v>4800000</v>
      </c>
      <c r="I10" s="63">
        <f t="shared" si="1"/>
        <v>1355340.6</v>
      </c>
      <c r="J10" s="63">
        <f t="shared" si="2"/>
        <v>307728.095874456</v>
      </c>
      <c r="K10" s="66"/>
      <c r="L10" s="64"/>
      <c r="M10" s="65">
        <f t="shared" si="3"/>
        <v>5107728.09587446</v>
      </c>
    </row>
    <row r="11" s="46" customFormat="1" spans="1:14">
      <c r="A11" s="61"/>
      <c r="B11" s="69" t="s">
        <v>27</v>
      </c>
      <c r="C11" s="70">
        <v>1</v>
      </c>
      <c r="D11" s="71"/>
      <c r="F11" s="65" t="s">
        <v>28</v>
      </c>
      <c r="G11" s="63">
        <v>10</v>
      </c>
      <c r="H11" s="63">
        <f t="shared" si="0"/>
        <v>4800000</v>
      </c>
      <c r="I11" s="63">
        <f t="shared" si="1"/>
        <v>1355340.6</v>
      </c>
      <c r="J11" s="63">
        <f t="shared" si="2"/>
        <v>307728.095874456</v>
      </c>
      <c r="K11" s="66"/>
      <c r="L11" s="64"/>
      <c r="M11" s="65">
        <f t="shared" si="3"/>
        <v>5107728.09587446</v>
      </c>
    </row>
    <row r="12" s="46" customFormat="1" spans="1:14">
      <c r="A12" s="73"/>
      <c r="B12" s="62" t="s">
        <v>29</v>
      </c>
      <c r="C12" s="74">
        <f>'[4]HĐ T6.26 '!I2-'[4]HĐ T6.26 '!I13-'[4]HĐ T6.26 '!I14-'[4]HĐ T6.26 '!I17+'[1]PHÒNG MỚI THÁNG 6'!$H$37+'[1]PHÒNG MỚI THÁNG 6'!$H$63</f>
        <v>47760000</v>
      </c>
      <c r="D12" s="75"/>
      <c r="F12" s="65"/>
      <c r="G12" s="63"/>
      <c r="H12" s="63"/>
      <c r="I12" s="63"/>
      <c r="J12" s="63"/>
      <c r="K12" s="66"/>
      <c r="L12" s="64"/>
      <c r="M12" s="65"/>
    </row>
    <row r="13" s="46" customFormat="1" spans="1:14">
      <c r="A13" s="76"/>
      <c r="B13" s="76" t="s">
        <v>30</v>
      </c>
      <c r="C13" s="77">
        <f>'[4]HĐ T6.26 '!T2</f>
        <v>12460000</v>
      </c>
      <c r="D13" s="78"/>
      <c r="E13" s="79"/>
      <c r="F13" s="80"/>
      <c r="G13" s="81">
        <f t="shared" ref="G13:J13" si="4">SUM(G3:G12)</f>
        <v>100</v>
      </c>
      <c r="H13" s="81">
        <f t="shared" si="4"/>
        <v>48000000</v>
      </c>
      <c r="I13" s="81">
        <f t="shared" si="4"/>
        <v>13553406</v>
      </c>
      <c r="J13" s="81">
        <f t="shared" si="4"/>
        <v>3077280.95874456</v>
      </c>
      <c r="K13" s="82">
        <f>C78*100</f>
        <v>4.63735105470221</v>
      </c>
      <c r="L13" s="80">
        <f>C80</f>
        <v>5.66903397133204</v>
      </c>
      <c r="M13" s="81">
        <f>SUM(M3:M12)</f>
        <v>51077280.9587446</v>
      </c>
    </row>
    <row r="14" s="46" customFormat="1" spans="1:14">
      <c r="A14" s="83"/>
      <c r="B14" s="83" t="s">
        <v>31</v>
      </c>
      <c r="C14" s="74">
        <f>'[4]HĐ T6.26 '!Y2+'[1]PHÒNG MỚI THÁNG 6'!$X$37+'[1]PHÒNG MỚI THÁNG 6'!$X$63</f>
        <v>3304000</v>
      </c>
      <c r="D14" s="84"/>
      <c r="E14" s="79"/>
    </row>
    <row r="15" s="46" customFormat="1" spans="1:14">
      <c r="A15" s="83"/>
      <c r="B15" s="83" t="s">
        <v>32</v>
      </c>
      <c r="C15" s="74">
        <f>('[4]HĐ T6.26 '!AQ2-'[4]HĐ T6.26 '!AQ13-'[4]HĐ T6.26 '!AQ14-'[4]HĐ T6.26 '!AQ17)/2+('[1]PHÒNG MỚI THÁNG 6'!$AP$37+'[1]PHÒNG MỚI THÁNG 6'!$AP$63)/2</f>
        <v>1352000</v>
      </c>
      <c r="D15" s="84"/>
      <c r="E15" s="79"/>
      <c r="F15" s="85"/>
    </row>
    <row r="16" s="46" customFormat="1" spans="1:14">
      <c r="A16" s="83"/>
      <c r="B16" s="83" t="s">
        <v>33</v>
      </c>
      <c r="C16" s="74">
        <f>'[4]HĐ T6.26 '!AE2-'[4]HĐ T6.26 '!AE13-'[4]HĐ T6.26 '!AE14-'[4]HĐ T6.26 '!AE17+'[1]PHÒNG MỚI THÁNG 6'!$AD$37+'[1]PHÒNG MỚI THÁNG 6'!$AD$63</f>
        <v>853333.333333333</v>
      </c>
      <c r="D16" s="84"/>
      <c r="E16" s="79"/>
    </row>
    <row r="17" s="46" customFormat="1" spans="1:14">
      <c r="A17" s="86"/>
      <c r="B17" s="83" t="s">
        <v>34</v>
      </c>
      <c r="C17" s="87">
        <f>'[4]HĐ T6.26 '!AK2-'[4]HĐ T6.26 '!AK14</f>
        <v>450000</v>
      </c>
      <c r="D17" s="88"/>
      <c r="E17" s="79"/>
    </row>
    <row r="18" s="46" customFormat="1" spans="1:14">
      <c r="A18" s="86"/>
      <c r="B18" s="86" t="s">
        <v>35</v>
      </c>
      <c r="C18" s="70">
        <f>'[4]HĐ T6.26 '!AH2-'[4]HĐ T6.26 '!AH13-'[4]HĐ T6.26 '!AH14-'[4]HĐ T6.26 '!AH17+'[1]PHÒNG MỚI THÁNG 6'!$AG$37+'[1]PHÒNG MỚI THÁNG 6'!$AG$63</f>
        <v>1292000</v>
      </c>
      <c r="D18" s="88"/>
      <c r="E18" s="79"/>
    </row>
    <row r="19" s="46" customFormat="1" ht="15.15" spans="1:14">
      <c r="A19" s="86"/>
      <c r="B19" s="89" t="s">
        <v>36</v>
      </c>
      <c r="C19" s="90">
        <f>('[4]HĐ T6.26 '!AQ2-'[4]HĐ T6.26 '!AQ13-'[4]HĐ T6.26 '!AQ14-'[4]HĐ T6.26 '!AQ17)/2+('[1]PHÒNG MỚI THÁNG 6'!$AP$37+'[1]PHÒNG MỚI THÁNG 6'!$AP$63)/2</f>
        <v>1352000</v>
      </c>
      <c r="D19" s="88"/>
      <c r="E19" s="79"/>
    </row>
    <row r="20" s="46" customFormat="1" ht="15.15" spans="1:14">
      <c r="A20" s="89"/>
      <c r="B20" s="91" t="s">
        <v>37</v>
      </c>
      <c r="C20" s="92">
        <f>SUM(C13:C19)</f>
        <v>21063333.3333333</v>
      </c>
      <c r="D20" s="93"/>
      <c r="E20" s="79"/>
    </row>
    <row r="21" s="46" customFormat="1" spans="1:14">
      <c r="A21" s="94"/>
      <c r="B21" s="95"/>
      <c r="C21" s="96"/>
      <c r="D21" s="97"/>
      <c r="E21" s="79"/>
      <c r="N21" s="72"/>
    </row>
    <row r="22" s="46" customFormat="1" spans="1:14">
      <c r="A22" s="98" t="s">
        <v>38</v>
      </c>
      <c r="B22" s="62" t="s">
        <v>39</v>
      </c>
      <c r="C22" s="63">
        <v>48000000</v>
      </c>
      <c r="D22" s="64"/>
      <c r="E22" s="79"/>
    </row>
    <row r="23" s="46" customFormat="1" spans="1:14">
      <c r="A23" s="99" t="s">
        <v>40</v>
      </c>
      <c r="B23" s="100" t="s">
        <v>41</v>
      </c>
      <c r="C23" s="63">
        <v>500000</v>
      </c>
      <c r="D23" s="64"/>
      <c r="E23" s="79"/>
      <c r="N23" s="101"/>
    </row>
    <row r="24" s="46" customFormat="1" spans="1:14">
      <c r="A24" s="102"/>
      <c r="B24" s="100"/>
      <c r="C24" s="63"/>
      <c r="D24" s="64"/>
      <c r="E24" s="79"/>
      <c r="N24" s="101"/>
    </row>
    <row r="25" s="46" customFormat="1" spans="1:14">
      <c r="A25" s="102"/>
      <c r="B25" s="62"/>
      <c r="C25" s="63"/>
      <c r="D25" s="63"/>
      <c r="E25" s="79"/>
      <c r="N25" s="101"/>
    </row>
    <row r="26" s="46" customFormat="1" spans="1:14">
      <c r="A26" s="102"/>
      <c r="B26" s="62"/>
      <c r="C26" s="63"/>
      <c r="D26" s="64"/>
      <c r="E26" s="79"/>
      <c r="N26" s="101"/>
    </row>
    <row r="27" s="46" customFormat="1" spans="1:14">
      <c r="A27" s="103"/>
      <c r="B27" s="62"/>
      <c r="C27" s="104"/>
      <c r="D27" s="64"/>
      <c r="E27" s="105"/>
      <c r="F27" s="85"/>
      <c r="N27" s="101"/>
    </row>
    <row r="28" s="46" customFormat="1" spans="1:14">
      <c r="A28" s="99" t="s">
        <v>42</v>
      </c>
      <c r="B28" s="62" t="s">
        <v>43</v>
      </c>
      <c r="C28" s="63">
        <v>17258594</v>
      </c>
      <c r="D28" s="64"/>
      <c r="E28" s="79"/>
      <c r="F28" s="106"/>
      <c r="G28" s="106"/>
      <c r="H28" s="106"/>
      <c r="I28" s="106"/>
      <c r="J28" s="106"/>
      <c r="K28" s="106"/>
      <c r="L28" s="106"/>
      <c r="M28" s="101"/>
      <c r="N28" s="101"/>
    </row>
    <row r="29" s="46" customFormat="1" spans="1:14">
      <c r="A29" s="102"/>
      <c r="B29" s="62" t="s">
        <v>44</v>
      </c>
      <c r="C29" s="63">
        <v>300000</v>
      </c>
      <c r="D29" s="64"/>
      <c r="E29" s="79"/>
      <c r="F29" s="106"/>
      <c r="G29" s="106"/>
      <c r="H29" s="106"/>
      <c r="I29" s="106"/>
      <c r="J29" s="106"/>
      <c r="K29" s="106"/>
      <c r="L29" s="106"/>
      <c r="M29" s="107"/>
      <c r="N29" s="101"/>
    </row>
    <row r="30" s="46" customFormat="1" spans="1:14">
      <c r="A30" s="102"/>
      <c r="B30" s="62" t="s">
        <v>45</v>
      </c>
      <c r="C30" s="63">
        <v>0</v>
      </c>
      <c r="D30" s="64"/>
      <c r="E30" s="79"/>
      <c r="F30" s="79"/>
      <c r="G30" s="79"/>
      <c r="H30" s="79"/>
      <c r="I30" s="79"/>
      <c r="J30" s="108"/>
      <c r="K30" s="109"/>
      <c r="L30" s="79"/>
      <c r="M30" s="79"/>
      <c r="N30" s="101"/>
    </row>
    <row r="31" s="46" customFormat="1" spans="1:14">
      <c r="A31" s="102"/>
      <c r="B31" s="62" t="s">
        <v>46</v>
      </c>
      <c r="C31" s="63">
        <v>300000</v>
      </c>
      <c r="D31" s="63"/>
      <c r="E31" s="57"/>
      <c r="F31" s="79"/>
      <c r="G31" s="79"/>
      <c r="H31" s="79"/>
      <c r="I31" s="79"/>
      <c r="J31" s="108"/>
      <c r="K31" s="109"/>
      <c r="L31" s="79"/>
      <c r="M31" s="79"/>
    </row>
    <row r="32" s="46" customFormat="1" spans="1:14">
      <c r="A32" s="102"/>
      <c r="B32" s="62" t="s">
        <v>47</v>
      </c>
      <c r="C32" s="63"/>
      <c r="D32" s="64"/>
      <c r="E32" s="57"/>
      <c r="F32" s="79"/>
      <c r="G32" s="79"/>
      <c r="H32" s="79"/>
      <c r="I32" s="79"/>
      <c r="J32" s="108"/>
      <c r="K32" s="109"/>
      <c r="L32" s="79"/>
      <c r="M32" s="79"/>
    </row>
    <row r="33" s="46" customFormat="1" spans="1:13">
      <c r="A33" s="102"/>
      <c r="B33" s="62" t="s">
        <v>48</v>
      </c>
      <c r="C33" s="63"/>
      <c r="D33" s="64"/>
      <c r="E33" s="57"/>
      <c r="F33" s="79"/>
      <c r="G33" s="79"/>
      <c r="H33" s="79"/>
      <c r="I33" s="79"/>
      <c r="J33" s="108"/>
      <c r="K33" s="109"/>
      <c r="L33" s="79"/>
      <c r="M33" s="79"/>
    </row>
    <row r="34" s="46" customFormat="1" spans="1:13">
      <c r="A34" s="110" t="s">
        <v>49</v>
      </c>
      <c r="B34" s="53"/>
      <c r="C34" s="55">
        <f>SUM(C22:C33)</f>
        <v>66358594</v>
      </c>
      <c r="D34" s="64"/>
      <c r="E34" s="57"/>
      <c r="F34" s="79"/>
      <c r="G34" s="79"/>
      <c r="H34" s="79"/>
      <c r="I34" s="79"/>
      <c r="J34" s="108"/>
      <c r="K34" s="109"/>
      <c r="L34" s="79"/>
      <c r="M34" s="79"/>
    </row>
    <row r="35" s="46" customFormat="1" spans="1:13">
      <c r="A35" s="111" t="s">
        <v>50</v>
      </c>
      <c r="B35" s="62" t="s">
        <v>51</v>
      </c>
      <c r="C35" s="63">
        <v>1385173.37970517</v>
      </c>
      <c r="D35" s="63"/>
      <c r="E35" s="49"/>
      <c r="F35" s="79"/>
      <c r="G35" s="79"/>
      <c r="H35" s="79"/>
      <c r="I35" s="79"/>
      <c r="J35" s="108"/>
      <c r="K35" s="109"/>
      <c r="L35" s="79"/>
      <c r="M35" s="79"/>
    </row>
    <row r="36" s="46" customFormat="1" spans="1:13">
      <c r="A36" s="112"/>
      <c r="B36" s="62" t="s">
        <v>52</v>
      </c>
      <c r="C36" s="63">
        <f>(12000000/1303)*15</f>
        <v>138142.747505756</v>
      </c>
      <c r="D36" s="63"/>
      <c r="E36" s="49"/>
      <c r="F36" s="79"/>
      <c r="G36" s="79"/>
      <c r="H36" s="79"/>
      <c r="I36" s="79"/>
      <c r="J36" s="108"/>
      <c r="K36" s="109"/>
      <c r="L36" s="79"/>
      <c r="M36" s="79"/>
    </row>
    <row r="37" s="46" customFormat="1" spans="1:13">
      <c r="A37" s="112"/>
      <c r="B37" s="62" t="s">
        <v>53</v>
      </c>
      <c r="C37" s="63">
        <f>(21000000/1303)*15+10000*15</f>
        <v>391749.808135073</v>
      </c>
      <c r="D37" s="63"/>
      <c r="E37" s="49"/>
      <c r="F37" s="57"/>
      <c r="G37" s="57"/>
      <c r="H37" s="57"/>
      <c r="I37" s="57"/>
      <c r="J37" s="49"/>
      <c r="K37" s="113"/>
      <c r="L37" s="57"/>
      <c r="M37" s="57"/>
    </row>
    <row r="38" s="46" customFormat="1" spans="1:13">
      <c r="A38" s="112"/>
      <c r="B38" s="62" t="s">
        <v>54</v>
      </c>
      <c r="C38" s="63">
        <v>0</v>
      </c>
      <c r="D38" s="63"/>
      <c r="E38" s="49"/>
      <c r="F38" s="57"/>
      <c r="G38" s="57"/>
      <c r="H38" s="57"/>
      <c r="I38" s="57"/>
      <c r="J38" s="49"/>
      <c r="K38" s="113"/>
      <c r="L38" s="57"/>
      <c r="M38" s="57"/>
    </row>
    <row r="39" s="46" customFormat="1" spans="1:13">
      <c r="A39" s="112"/>
      <c r="B39" s="62" t="s">
        <v>55</v>
      </c>
      <c r="C39" s="63">
        <f>(3000000/1303)*15</f>
        <v>34535.686876439</v>
      </c>
      <c r="D39" s="63"/>
      <c r="E39" s="49"/>
      <c r="F39" s="57"/>
      <c r="G39" s="57"/>
      <c r="H39" s="57"/>
      <c r="I39" s="57"/>
      <c r="J39" s="49"/>
      <c r="K39" s="113"/>
      <c r="L39" s="57"/>
      <c r="M39" s="57"/>
    </row>
    <row r="40" s="46" customFormat="1" spans="1:13">
      <c r="A40" s="112"/>
      <c r="B40" s="62" t="s">
        <v>56</v>
      </c>
      <c r="C40" s="63">
        <f>(SUM('[2]THÁNG 6'!$Y$131/1303)*15)</f>
        <v>547966.243284728</v>
      </c>
      <c r="D40" s="63"/>
      <c r="E40" s="49"/>
      <c r="F40" s="57"/>
      <c r="G40" s="57"/>
      <c r="H40" s="57"/>
      <c r="I40" s="57"/>
      <c r="J40" s="49"/>
      <c r="K40" s="113"/>
      <c r="L40" s="57"/>
      <c r="M40" s="57"/>
    </row>
    <row r="41" s="46" customFormat="1" spans="1:13">
      <c r="A41" s="112"/>
      <c r="B41" s="62" t="s">
        <v>57</v>
      </c>
      <c r="C41" s="63">
        <v>550000</v>
      </c>
      <c r="D41" s="63"/>
      <c r="E41" s="49"/>
      <c r="F41" s="57"/>
      <c r="G41" s="57"/>
      <c r="H41" s="57"/>
      <c r="I41" s="57"/>
      <c r="J41" s="49"/>
      <c r="K41" s="113"/>
      <c r="L41" s="57"/>
      <c r="M41" s="57"/>
    </row>
    <row r="42" s="46" customFormat="1" spans="1:13">
      <c r="A42" s="112"/>
      <c r="B42" s="62" t="s">
        <v>58</v>
      </c>
      <c r="C42" s="63">
        <f>150000+10000+(2000000/1303)*15</f>
        <v>183023.791250959</v>
      </c>
      <c r="D42" s="63"/>
      <c r="E42" s="49"/>
      <c r="F42" s="57"/>
      <c r="G42" s="57"/>
      <c r="H42" s="57"/>
      <c r="I42" s="57"/>
      <c r="J42" s="49"/>
      <c r="K42" s="113"/>
      <c r="L42" s="57"/>
      <c r="M42" s="57"/>
    </row>
    <row r="43" s="46" customFormat="1" spans="1:13">
      <c r="A43" s="112"/>
      <c r="B43" s="62" t="s">
        <v>59</v>
      </c>
      <c r="C43" s="63">
        <f>(22000000/1303)*15</f>
        <v>253261.703760553</v>
      </c>
      <c r="D43" s="63"/>
      <c r="E43" s="49"/>
      <c r="F43" s="57"/>
      <c r="G43" s="57"/>
      <c r="H43" s="57"/>
      <c r="I43" s="57"/>
      <c r="J43" s="49"/>
      <c r="K43" s="113"/>
      <c r="L43" s="57"/>
      <c r="M43" s="57"/>
    </row>
    <row r="44" s="46" customFormat="1" spans="1:13">
      <c r="A44" s="112"/>
      <c r="B44" s="62" t="s">
        <v>60</v>
      </c>
      <c r="C44" s="63"/>
      <c r="D44" s="63"/>
      <c r="E44" s="49"/>
      <c r="F44" s="57"/>
      <c r="G44" s="57"/>
      <c r="H44" s="57"/>
      <c r="I44" s="57"/>
      <c r="J44" s="49"/>
      <c r="K44" s="113"/>
      <c r="L44" s="57"/>
      <c r="M44" s="57"/>
    </row>
    <row r="45" s="46" customFormat="1" spans="1:13">
      <c r="A45" s="114"/>
      <c r="B45" s="62" t="s">
        <v>61</v>
      </c>
      <c r="C45" s="63">
        <f>('[3]THÁNG 6.26 '!$B$35/1303)*15</f>
        <v>699750.575594781</v>
      </c>
      <c r="D45" s="63"/>
      <c r="E45" s="49"/>
      <c r="F45" s="57"/>
      <c r="G45" s="57"/>
      <c r="H45" s="57"/>
      <c r="I45" s="57"/>
      <c r="J45" s="49"/>
      <c r="K45" s="113"/>
      <c r="L45" s="57"/>
      <c r="M45" s="57"/>
    </row>
    <row r="46" s="46" customFormat="1" spans="1:13">
      <c r="A46" s="99" t="s">
        <v>62</v>
      </c>
      <c r="B46" s="61" t="s">
        <v>63</v>
      </c>
      <c r="C46" s="63">
        <f>('[3]THÁNG 6.26 '!$F$10/1303)*15</f>
        <v>347521.10514198</v>
      </c>
      <c r="D46" s="63"/>
      <c r="E46" s="49"/>
      <c r="F46" s="57"/>
      <c r="G46" s="57"/>
      <c r="H46" s="57"/>
      <c r="I46" s="57"/>
      <c r="J46" s="49"/>
      <c r="K46" s="113"/>
      <c r="L46" s="57"/>
      <c r="M46" s="57"/>
    </row>
    <row r="47" s="46" customFormat="1" spans="1:13">
      <c r="A47" s="102"/>
      <c r="B47" s="67"/>
      <c r="C47" s="63">
        <v>1900000</v>
      </c>
      <c r="D47" s="64" t="s">
        <v>12</v>
      </c>
      <c r="E47" s="49"/>
      <c r="F47" s="57"/>
      <c r="G47" s="57"/>
      <c r="H47" s="57"/>
      <c r="I47" s="57"/>
      <c r="J47" s="49"/>
      <c r="K47" s="113"/>
      <c r="L47" s="57"/>
      <c r="M47" s="57"/>
    </row>
    <row r="48" s="46" customFormat="1" spans="1:13">
      <c r="A48" s="102"/>
      <c r="B48" s="67"/>
      <c r="C48" s="63">
        <v>1950000</v>
      </c>
      <c r="D48" s="64" t="s">
        <v>14</v>
      </c>
      <c r="E48" s="49"/>
      <c r="F48" s="57"/>
      <c r="G48" s="57"/>
      <c r="H48" s="57"/>
      <c r="I48" s="57"/>
      <c r="J48" s="49"/>
      <c r="K48" s="113"/>
      <c r="L48" s="57"/>
      <c r="M48" s="57"/>
    </row>
    <row r="49" s="46" customFormat="1" spans="1:13">
      <c r="A49" s="102"/>
      <c r="B49" s="68"/>
      <c r="C49" s="63">
        <v>500000</v>
      </c>
      <c r="D49" s="63" t="s">
        <v>64</v>
      </c>
      <c r="E49" s="49"/>
      <c r="F49" s="57"/>
      <c r="G49" s="57"/>
      <c r="H49" s="57"/>
      <c r="I49" s="57"/>
      <c r="J49" s="49"/>
      <c r="K49" s="113"/>
      <c r="L49" s="57"/>
      <c r="M49" s="57"/>
    </row>
    <row r="50" s="46" customFormat="1" spans="1:13">
      <c r="A50" s="102"/>
      <c r="B50" s="115" t="s">
        <v>65</v>
      </c>
      <c r="C50" s="63"/>
      <c r="D50" s="116"/>
      <c r="E50" s="49"/>
      <c r="F50" s="57"/>
      <c r="G50" s="57"/>
      <c r="H50" s="57"/>
      <c r="I50" s="57"/>
      <c r="J50" s="49"/>
      <c r="K50" s="113"/>
      <c r="L50" s="57"/>
      <c r="M50" s="57"/>
    </row>
    <row r="51" s="46" customFormat="1" ht="24" customHeight="1" spans="1:13">
      <c r="A51" s="102"/>
      <c r="B51" s="117"/>
      <c r="C51" s="118"/>
      <c r="D51" s="116"/>
      <c r="E51" s="49"/>
      <c r="F51" s="57"/>
      <c r="G51" s="57"/>
      <c r="H51" s="57"/>
      <c r="I51" s="57"/>
      <c r="J51" s="49"/>
      <c r="K51" s="113"/>
      <c r="L51" s="57"/>
      <c r="M51" s="57"/>
    </row>
    <row r="52" s="46" customFormat="1" spans="1:13">
      <c r="A52" s="102"/>
      <c r="B52" s="117"/>
      <c r="C52" s="118"/>
      <c r="D52" s="116"/>
      <c r="E52" s="49"/>
      <c r="F52" s="57"/>
      <c r="G52" s="57"/>
      <c r="H52" s="57"/>
      <c r="I52" s="57"/>
      <c r="J52" s="49"/>
      <c r="K52" s="113"/>
      <c r="L52" s="57"/>
      <c r="M52" s="57"/>
    </row>
    <row r="53" s="46" customFormat="1" spans="1:13">
      <c r="A53" s="102"/>
      <c r="B53" s="117"/>
      <c r="C53" s="118"/>
      <c r="D53" s="116"/>
      <c r="E53" s="49"/>
      <c r="F53" s="57"/>
      <c r="G53" s="57"/>
      <c r="H53" s="57"/>
      <c r="I53" s="57"/>
      <c r="J53" s="49"/>
      <c r="K53" s="113"/>
      <c r="L53" s="57"/>
      <c r="M53" s="57"/>
    </row>
    <row r="54" s="46" customFormat="1" spans="1:13">
      <c r="A54" s="102"/>
      <c r="B54" s="117"/>
      <c r="C54" s="118"/>
      <c r="D54" s="116"/>
      <c r="E54" s="49"/>
      <c r="F54" s="57"/>
      <c r="G54" s="57"/>
      <c r="H54" s="57"/>
      <c r="I54" s="57"/>
      <c r="J54" s="49"/>
      <c r="K54" s="113"/>
      <c r="L54" s="57"/>
      <c r="M54" s="57"/>
    </row>
    <row r="55" s="46" customFormat="1" spans="1:13">
      <c r="A55" s="102"/>
      <c r="B55" s="117"/>
      <c r="C55" s="118"/>
      <c r="D55" s="116"/>
      <c r="E55" s="49"/>
      <c r="F55" s="57"/>
      <c r="G55" s="57"/>
      <c r="H55" s="57"/>
      <c r="I55" s="57"/>
      <c r="J55" s="49"/>
      <c r="K55" s="113"/>
      <c r="L55" s="57"/>
      <c r="M55" s="57"/>
    </row>
    <row r="56" s="46" customFormat="1" spans="1:13">
      <c r="A56" s="102"/>
      <c r="B56" s="117"/>
      <c r="C56" s="118"/>
      <c r="D56" s="116"/>
      <c r="E56" s="49"/>
      <c r="F56" s="57"/>
      <c r="G56" s="57"/>
      <c r="H56" s="57"/>
      <c r="I56" s="57"/>
      <c r="J56" s="49"/>
      <c r="K56" s="113"/>
      <c r="L56" s="57"/>
      <c r="M56" s="57"/>
    </row>
    <row r="57" s="46" customFormat="1" spans="1:13">
      <c r="A57" s="102"/>
      <c r="B57" s="117"/>
      <c r="C57" s="119"/>
      <c r="D57" s="120"/>
      <c r="E57" s="49"/>
      <c r="F57" s="57"/>
      <c r="G57" s="57"/>
      <c r="H57" s="57"/>
      <c r="I57" s="57"/>
      <c r="J57" s="49"/>
      <c r="K57" s="113"/>
      <c r="L57" s="57"/>
      <c r="M57" s="57"/>
    </row>
    <row r="58" s="46" customFormat="1" spans="1:13">
      <c r="A58" s="102"/>
      <c r="B58" s="117"/>
      <c r="C58" s="119"/>
      <c r="D58" s="120"/>
      <c r="E58" s="49"/>
      <c r="F58" s="57"/>
      <c r="G58" s="57"/>
      <c r="H58" s="57"/>
      <c r="I58" s="57"/>
      <c r="J58" s="49"/>
      <c r="K58" s="113"/>
      <c r="L58" s="57"/>
      <c r="M58" s="57"/>
    </row>
    <row r="59" s="46" customFormat="1" spans="1:13">
      <c r="A59" s="102"/>
      <c r="B59" s="117"/>
      <c r="C59" s="119"/>
      <c r="D59" s="120"/>
      <c r="E59" s="49"/>
      <c r="F59" s="57"/>
      <c r="G59" s="57"/>
      <c r="H59" s="57"/>
      <c r="I59" s="57"/>
      <c r="J59" s="49"/>
      <c r="K59" s="113"/>
      <c r="L59" s="57"/>
      <c r="M59" s="57"/>
    </row>
    <row r="60" s="46" customFormat="1" spans="1:13">
      <c r="A60" s="102"/>
      <c r="B60" s="117"/>
      <c r="C60" s="119"/>
      <c r="D60" s="120"/>
      <c r="E60" s="49"/>
      <c r="F60" s="57"/>
      <c r="G60" s="57"/>
      <c r="H60" s="57"/>
      <c r="I60" s="57"/>
      <c r="J60" s="49"/>
      <c r="K60" s="113"/>
      <c r="L60" s="57"/>
      <c r="M60" s="57"/>
    </row>
    <row r="61" s="46" customFormat="1" spans="1:13">
      <c r="A61" s="102"/>
      <c r="B61" s="117"/>
      <c r="C61" s="119"/>
      <c r="D61" s="120"/>
      <c r="E61" s="49"/>
      <c r="F61" s="57"/>
      <c r="G61" s="57"/>
      <c r="H61" s="57"/>
      <c r="I61" s="57"/>
      <c r="J61" s="49"/>
      <c r="K61" s="113"/>
      <c r="L61" s="57"/>
      <c r="M61" s="57"/>
    </row>
    <row r="62" s="46" customFormat="1" spans="1:13">
      <c r="A62" s="102"/>
      <c r="B62" s="117"/>
      <c r="C62" s="119"/>
      <c r="D62" s="120"/>
      <c r="E62" s="49"/>
      <c r="F62" s="57"/>
      <c r="G62" s="57"/>
      <c r="H62" s="57"/>
      <c r="I62" s="57"/>
      <c r="J62" s="49"/>
      <c r="K62" s="113"/>
      <c r="L62" s="57"/>
      <c r="M62" s="57"/>
    </row>
    <row r="63" s="46" customFormat="1" spans="1:13">
      <c r="A63" s="102"/>
      <c r="B63" s="117"/>
      <c r="C63" s="119"/>
      <c r="D63" s="120"/>
      <c r="E63" s="57"/>
      <c r="F63" s="57"/>
      <c r="G63" s="57"/>
      <c r="H63" s="57"/>
      <c r="I63" s="57"/>
      <c r="J63" s="49"/>
      <c r="K63" s="113"/>
      <c r="L63" s="57"/>
      <c r="M63" s="57"/>
    </row>
    <row r="64" s="46" customFormat="1" spans="1:13">
      <c r="A64" s="102"/>
      <c r="B64" s="121"/>
      <c r="C64" s="119"/>
      <c r="D64" s="120"/>
      <c r="E64" s="49"/>
      <c r="F64" s="57"/>
      <c r="G64" s="57"/>
      <c r="H64" s="57"/>
      <c r="I64" s="57"/>
      <c r="J64" s="49"/>
      <c r="K64" s="113"/>
      <c r="L64" s="57"/>
      <c r="M64" s="57"/>
    </row>
    <row r="65" s="46" customFormat="1" spans="1:13">
      <c r="A65" s="102"/>
      <c r="B65" s="117" t="s">
        <v>66</v>
      </c>
      <c r="C65" s="118">
        <v>150000</v>
      </c>
      <c r="D65" s="116" t="s">
        <v>67</v>
      </c>
      <c r="E65" s="49"/>
      <c r="F65" s="57"/>
      <c r="G65" s="57"/>
      <c r="H65" s="57"/>
      <c r="I65" s="57"/>
      <c r="J65" s="49"/>
      <c r="K65" s="113"/>
      <c r="L65" s="57"/>
      <c r="M65" s="57"/>
    </row>
    <row r="66" s="46" customFormat="1" ht="26.4" spans="1:13">
      <c r="A66" s="102"/>
      <c r="B66" s="117"/>
      <c r="C66" s="118">
        <v>200000</v>
      </c>
      <c r="D66" s="116" t="s">
        <v>68</v>
      </c>
      <c r="E66" s="49"/>
      <c r="F66" s="57"/>
      <c r="G66" s="57"/>
      <c r="H66" s="57"/>
      <c r="I66" s="57"/>
      <c r="J66" s="49"/>
      <c r="K66" s="113"/>
      <c r="L66" s="57"/>
      <c r="M66" s="57"/>
    </row>
    <row r="67" s="46" customFormat="1" spans="1:13">
      <c r="A67" s="102"/>
      <c r="B67" s="117"/>
      <c r="C67" s="119">
        <v>200000</v>
      </c>
      <c r="D67" s="120" t="s">
        <v>69</v>
      </c>
      <c r="E67" s="49"/>
      <c r="F67" s="57"/>
      <c r="G67" s="57"/>
      <c r="H67" s="57"/>
      <c r="I67" s="57"/>
      <c r="J67" s="49"/>
      <c r="K67" s="113"/>
      <c r="L67" s="57"/>
      <c r="M67" s="57"/>
    </row>
    <row r="68" s="46" customFormat="1" spans="1:13">
      <c r="A68" s="102"/>
      <c r="B68" s="117"/>
      <c r="C68" s="119">
        <v>1000000</v>
      </c>
      <c r="D68" s="120" t="s">
        <v>70</v>
      </c>
      <c r="E68" s="49"/>
      <c r="F68" s="57"/>
      <c r="G68" s="57"/>
      <c r="H68" s="57"/>
      <c r="I68" s="57"/>
      <c r="J68" s="49"/>
      <c r="K68" s="113"/>
      <c r="L68" s="57"/>
      <c r="M68" s="57"/>
    </row>
    <row r="69" s="46" customFormat="1" spans="1:13">
      <c r="A69" s="102"/>
      <c r="B69" s="117"/>
      <c r="C69" s="119">
        <v>45000</v>
      </c>
      <c r="D69" s="120" t="s">
        <v>71</v>
      </c>
      <c r="E69" s="49"/>
      <c r="F69" s="57"/>
      <c r="G69" s="57"/>
      <c r="H69" s="57"/>
      <c r="I69" s="57"/>
      <c r="J69" s="49"/>
      <c r="K69" s="113"/>
      <c r="L69" s="57"/>
      <c r="M69" s="57"/>
    </row>
    <row r="70" s="46" customFormat="1" spans="1:13">
      <c r="A70" s="103"/>
      <c r="B70" s="121"/>
      <c r="C70" s="63"/>
      <c r="D70" s="64"/>
      <c r="E70" s="49"/>
      <c r="F70" s="57"/>
      <c r="G70" s="57"/>
      <c r="H70" s="57"/>
      <c r="I70" s="57"/>
      <c r="J70" s="49"/>
      <c r="K70" s="113"/>
      <c r="L70" s="57"/>
      <c r="M70" s="57"/>
    </row>
    <row r="71" s="46" customFormat="1" spans="1:13">
      <c r="A71" s="110" t="s">
        <v>72</v>
      </c>
      <c r="B71" s="53"/>
      <c r="C71" s="122">
        <f>SUM(C35:C70)</f>
        <v>10476125.0412554</v>
      </c>
      <c r="D71" s="123"/>
      <c r="E71" s="57"/>
      <c r="F71" s="57"/>
      <c r="G71" s="57"/>
      <c r="H71" s="57"/>
      <c r="I71" s="57"/>
      <c r="J71" s="49"/>
      <c r="K71" s="113"/>
      <c r="L71" s="57"/>
      <c r="M71" s="57"/>
    </row>
    <row r="72" s="46" customFormat="1" spans="1:13">
      <c r="A72" s="124" t="s">
        <v>73</v>
      </c>
      <c r="B72" s="125"/>
      <c r="C72" s="126">
        <f>C34+C71</f>
        <v>76834719.0412554</v>
      </c>
      <c r="D72" s="123"/>
      <c r="E72" s="57"/>
      <c r="F72" s="57"/>
      <c r="G72" s="57"/>
      <c r="H72" s="57"/>
      <c r="I72" s="57"/>
      <c r="J72" s="49"/>
      <c r="K72" s="113"/>
      <c r="L72" s="57"/>
      <c r="M72" s="57"/>
    </row>
    <row r="73" s="46" customFormat="1" spans="1:13">
      <c r="A73" s="127" t="s">
        <v>74</v>
      </c>
      <c r="B73" s="127"/>
      <c r="C73" s="128">
        <f>C2-C34</f>
        <v>13553406</v>
      </c>
      <c r="D73" s="64" t="s">
        <v>75</v>
      </c>
      <c r="E73" s="49"/>
      <c r="F73" s="57"/>
      <c r="G73" s="57"/>
      <c r="H73" s="57"/>
      <c r="I73" s="57"/>
      <c r="J73" s="49"/>
      <c r="K73" s="113"/>
      <c r="L73" s="57"/>
      <c r="M73" s="57"/>
    </row>
    <row r="74" s="46" customFormat="1" spans="1:13">
      <c r="A74" s="129" t="s">
        <v>76</v>
      </c>
      <c r="B74" s="129"/>
      <c r="C74" s="130">
        <f>C2-C72</f>
        <v>3077280.95874456</v>
      </c>
      <c r="D74" s="64" t="s">
        <v>77</v>
      </c>
      <c r="E74" s="57"/>
      <c r="F74" s="57"/>
      <c r="G74" s="57"/>
      <c r="H74" s="57"/>
      <c r="I74" s="57"/>
      <c r="J74" s="49"/>
      <c r="K74" s="113"/>
      <c r="L74" s="57"/>
      <c r="M74" s="57"/>
    </row>
    <row r="75" s="46" customFormat="1" spans="1:13">
      <c r="A75" s="131" t="s">
        <v>49</v>
      </c>
      <c r="B75" s="131"/>
      <c r="C75" s="132">
        <f>C34</f>
        <v>66358594</v>
      </c>
      <c r="D75" s="64"/>
      <c r="E75" s="57"/>
      <c r="F75" s="57"/>
      <c r="G75" s="57"/>
      <c r="H75" s="57"/>
      <c r="I75" s="57"/>
      <c r="J75" s="49"/>
      <c r="K75" s="113"/>
      <c r="L75" s="57"/>
      <c r="M75" s="57"/>
    </row>
    <row r="76" s="46" customFormat="1" spans="1:13">
      <c r="A76" s="133" t="s">
        <v>78</v>
      </c>
      <c r="B76" s="134"/>
      <c r="C76" s="135">
        <f>C74/C2</f>
        <v>0.0385083711926188</v>
      </c>
      <c r="D76" s="64"/>
      <c r="E76" s="57"/>
      <c r="J76" s="49"/>
      <c r="K76" s="113"/>
      <c r="L76" s="57"/>
      <c r="M76" s="57"/>
    </row>
    <row r="77" s="46" customFormat="1" spans="1:13">
      <c r="A77" s="133" t="s">
        <v>79</v>
      </c>
      <c r="B77" s="134"/>
      <c r="C77" s="135">
        <f>C73/C2</f>
        <v>0.169604139553509</v>
      </c>
      <c r="D77" s="64"/>
      <c r="J77" s="49"/>
      <c r="K77" s="113"/>
      <c r="L77" s="57"/>
      <c r="M77" s="57"/>
    </row>
    <row r="78" s="46" customFormat="1" spans="1:13">
      <c r="A78" s="133" t="s">
        <v>80</v>
      </c>
      <c r="B78" s="134"/>
      <c r="C78" s="135">
        <f>C74/C75</f>
        <v>0.0463735105470221</v>
      </c>
      <c r="D78" s="64"/>
      <c r="J78" s="49"/>
      <c r="K78" s="113"/>
      <c r="L78" s="57"/>
      <c r="M78" s="57"/>
    </row>
    <row r="79" s="47" customFormat="1" spans="1:13">
      <c r="A79" s="133" t="s">
        <v>81</v>
      </c>
      <c r="B79" s="134"/>
      <c r="C79" s="135">
        <f>C74/C73</f>
        <v>0.227048533685522</v>
      </c>
      <c r="D79" s="64"/>
      <c r="F79" s="46"/>
      <c r="G79" s="46"/>
      <c r="H79" s="46"/>
      <c r="I79" s="46"/>
      <c r="J79" s="49"/>
      <c r="K79" s="113"/>
      <c r="L79" s="57"/>
      <c r="M79" s="57"/>
    </row>
    <row r="80" s="47" customFormat="1" spans="1:13">
      <c r="A80" s="133" t="s">
        <v>9</v>
      </c>
      <c r="B80" s="134"/>
      <c r="C80" s="136">
        <f>C72/C73</f>
        <v>5.66903397133204</v>
      </c>
      <c r="D80" s="64"/>
      <c r="F80" s="46"/>
      <c r="G80" s="46"/>
      <c r="H80" s="46"/>
      <c r="I80" s="46"/>
      <c r="J80" s="49"/>
      <c r="K80" s="113"/>
      <c r="L80" s="57"/>
      <c r="M80" s="57"/>
    </row>
    <row r="81" s="47" customFormat="1" spans="1:13">
      <c r="A81" s="133" t="s">
        <v>82</v>
      </c>
      <c r="B81" s="137"/>
      <c r="C81" s="137">
        <f>C75/C2</f>
        <v>0.830395860446491</v>
      </c>
      <c r="D81" s="138"/>
      <c r="F81" s="46"/>
      <c r="G81" s="46"/>
      <c r="H81" s="46"/>
      <c r="I81" s="46"/>
      <c r="J81" s="49"/>
      <c r="K81" s="113"/>
      <c r="L81" s="57"/>
      <c r="M81" s="57"/>
    </row>
    <row r="82" s="47" customFormat="1" spans="1:13">
      <c r="A82" s="133" t="s">
        <v>83</v>
      </c>
      <c r="B82" s="137"/>
      <c r="C82" s="137">
        <f>C71/C2</f>
        <v>0.13109576836089</v>
      </c>
      <c r="D82" s="138"/>
      <c r="F82" s="46"/>
      <c r="G82" s="46"/>
      <c r="H82" s="46"/>
      <c r="I82" s="46"/>
      <c r="J82" s="57"/>
      <c r="K82" s="139"/>
      <c r="L82" s="57"/>
      <c r="M82" s="57"/>
    </row>
    <row r="83" s="47" customFormat="1" spans="1:13">
      <c r="A83" s="133" t="s">
        <v>84</v>
      </c>
      <c r="B83" s="137"/>
      <c r="C83" s="137">
        <f>C72/C2</f>
        <v>0.961491628807381</v>
      </c>
      <c r="D83" s="138"/>
      <c r="F83" s="46"/>
      <c r="G83" s="46"/>
      <c r="H83" s="46"/>
      <c r="I83" s="46"/>
      <c r="J83" s="57"/>
      <c r="K83" s="139"/>
      <c r="L83" s="57"/>
      <c r="M83" s="57"/>
    </row>
    <row r="84" s="47" customFormat="1" spans="1:13">
      <c r="A84" s="133" t="s">
        <v>85</v>
      </c>
      <c r="B84" s="137"/>
      <c r="C84" s="137">
        <f>SUM(C35:C44)/C71</f>
        <v>0.332551716097231</v>
      </c>
      <c r="D84" s="138"/>
      <c r="F84" s="46"/>
      <c r="G84" s="46"/>
      <c r="H84" s="46"/>
      <c r="I84" s="46"/>
      <c r="J84" s="57"/>
      <c r="K84" s="139"/>
      <c r="L84" s="57"/>
      <c r="M84" s="57"/>
    </row>
    <row r="85" s="47" customFormat="1" spans="1:13">
      <c r="A85" s="133" t="s">
        <v>86</v>
      </c>
      <c r="B85" s="137"/>
      <c r="C85" s="137">
        <f>SUM(C46:C49)/C71</f>
        <v>0.448402542604535</v>
      </c>
      <c r="D85" s="138"/>
    </row>
    <row r="86" s="47" customFormat="1" spans="1:13">
      <c r="A86" s="133" t="s">
        <v>87</v>
      </c>
      <c r="B86" s="137"/>
      <c r="C86" s="137">
        <f>SUM(C65:C70)/C71</f>
        <v>0.152250950968876</v>
      </c>
      <c r="D86" s="138"/>
    </row>
  </sheetData>
  <mergeCells count="11">
    <mergeCell ref="A1:D1"/>
    <mergeCell ref="F1:M1"/>
    <mergeCell ref="A3:A5"/>
    <mergeCell ref="A7:A8"/>
    <mergeCell ref="A23:A27"/>
    <mergeCell ref="A28:A33"/>
    <mergeCell ref="A35:A45"/>
    <mergeCell ref="A46:A70"/>
    <mergeCell ref="B46:B49"/>
    <mergeCell ref="B50:B64"/>
    <mergeCell ref="B65:B70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60"/>
  <sheetViews>
    <sheetView workbookViewId="0">
      <selection activeCell="K13" sqref="K13"/>
    </sheetView>
  </sheetViews>
  <sheetFormatPr defaultColWidth="8.88888888888889" defaultRowHeight="14.4" outlineLevelCol="5"/>
  <cols>
    <col min="2" max="2" width="28" customWidth="1"/>
    <col min="3" max="6" width="12.8888888888889" customWidth="1"/>
  </cols>
  <sheetData>
    <row r="1" spans="1:6">
      <c r="A1" t="s">
        <v>88</v>
      </c>
    </row>
    <row r="2" spans="1:6">
      <c r="C2" t="s">
        <v>89</v>
      </c>
      <c r="D2" t="s">
        <v>90</v>
      </c>
      <c r="E2" t="s">
        <v>91</v>
      </c>
      <c r="F2" t="s">
        <v>92</v>
      </c>
    </row>
    <row r="3" spans="1:6">
      <c r="A3" t="s">
        <v>93</v>
      </c>
      <c r="C3">
        <v>7036256236</v>
      </c>
      <c r="D3">
        <v>2527702129</v>
      </c>
      <c r="E3">
        <v>3551745507</v>
      </c>
      <c r="F3">
        <v>956808600</v>
      </c>
    </row>
    <row r="4" spans="1:6">
      <c r="A4" t="s">
        <v>11</v>
      </c>
      <c r="C4">
        <v>371850000</v>
      </c>
      <c r="D4">
        <v>152600000</v>
      </c>
      <c r="E4">
        <v>187450000</v>
      </c>
      <c r="F4">
        <v>31800000</v>
      </c>
    </row>
    <row r="5" spans="1:6">
      <c r="A5" t="s">
        <v>17</v>
      </c>
      <c r="C5">
        <v>18400000</v>
      </c>
      <c r="D5">
        <v>9500000</v>
      </c>
      <c r="E5">
        <v>7900000</v>
      </c>
      <c r="F5">
        <v>1000000</v>
      </c>
    </row>
    <row r="6" spans="1:6">
      <c r="A6" t="s">
        <v>94</v>
      </c>
      <c r="C6">
        <v>104968774</v>
      </c>
      <c r="D6">
        <v>32671000</v>
      </c>
      <c r="E6">
        <v>67345774</v>
      </c>
      <c r="F6">
        <v>4952000</v>
      </c>
    </row>
    <row r="7" spans="1:6">
      <c r="B7" t="s">
        <v>23</v>
      </c>
      <c r="C7">
        <v>39</v>
      </c>
      <c r="D7">
        <v>18</v>
      </c>
      <c r="E7">
        <v>15</v>
      </c>
      <c r="F7">
        <v>6</v>
      </c>
    </row>
    <row r="8" spans="1:6">
      <c r="B8" t="s">
        <v>25</v>
      </c>
      <c r="C8">
        <v>95</v>
      </c>
      <c r="D8">
        <v>41</v>
      </c>
      <c r="E8">
        <v>47</v>
      </c>
      <c r="F8">
        <v>7</v>
      </c>
    </row>
    <row r="9" spans="1:6">
      <c r="B9" t="s">
        <v>95</v>
      </c>
      <c r="C9">
        <v>11</v>
      </c>
      <c r="D9">
        <v>6</v>
      </c>
      <c r="E9">
        <v>4</v>
      </c>
      <c r="F9">
        <v>1</v>
      </c>
    </row>
    <row r="10" spans="1:6">
      <c r="B10" t="s">
        <v>29</v>
      </c>
      <c r="C10">
        <v>5021511225.80645</v>
      </c>
      <c r="D10">
        <v>1769319354.83871</v>
      </c>
      <c r="E10">
        <v>2539543161.29032</v>
      </c>
      <c r="F10">
        <v>712648709.677419</v>
      </c>
    </row>
    <row r="11" spans="1:6">
      <c r="A11" t="s">
        <v>96</v>
      </c>
      <c r="B11" t="s">
        <v>30</v>
      </c>
      <c r="C11">
        <v>1097824306.45161</v>
      </c>
      <c r="D11">
        <v>410023400</v>
      </c>
      <c r="E11">
        <v>566431806.451613</v>
      </c>
      <c r="F11">
        <v>121369100</v>
      </c>
    </row>
    <row r="12" spans="1:6">
      <c r="B12" t="s">
        <v>31</v>
      </c>
      <c r="C12">
        <v>233501129.032258</v>
      </c>
      <c r="D12">
        <v>83974354.8387097</v>
      </c>
      <c r="E12">
        <v>122013225.806452</v>
      </c>
      <c r="F12">
        <v>27513548.3870968</v>
      </c>
    </row>
    <row r="13" spans="1:6">
      <c r="B13" t="s">
        <v>32</v>
      </c>
      <c r="C13">
        <v>117643376.344086</v>
      </c>
      <c r="D13">
        <v>40420258.0645161</v>
      </c>
      <c r="E13">
        <v>59399569.8924731</v>
      </c>
      <c r="F13">
        <v>17823548.3870968</v>
      </c>
    </row>
    <row r="14" spans="1:6">
      <c r="B14" t="s">
        <v>33</v>
      </c>
      <c r="C14">
        <v>104264193.548387</v>
      </c>
      <c r="D14">
        <v>38452258.0645161</v>
      </c>
      <c r="E14">
        <v>54599032.2580645</v>
      </c>
      <c r="F14">
        <v>11212903.2258065</v>
      </c>
    </row>
    <row r="15" spans="1:6">
      <c r="B15" t="s">
        <v>34</v>
      </c>
      <c r="C15">
        <v>10516129.0322581</v>
      </c>
      <c r="D15">
        <v>6758064.51612903</v>
      </c>
      <c r="E15">
        <v>2458064.51612903</v>
      </c>
      <c r="F15">
        <v>1300000</v>
      </c>
    </row>
    <row r="16" spans="1:6">
      <c r="B16" t="s">
        <v>35</v>
      </c>
      <c r="C16">
        <v>55920301.0752688</v>
      </c>
      <c r="D16">
        <v>15558989.2473118</v>
      </c>
      <c r="E16">
        <v>29633892.4731183</v>
      </c>
      <c r="F16">
        <v>10727419.3548387</v>
      </c>
    </row>
    <row r="17" spans="1:6">
      <c r="B17" t="s">
        <v>36</v>
      </c>
      <c r="C17">
        <v>125500150.537634</v>
      </c>
      <c r="D17">
        <v>44778000</v>
      </c>
      <c r="E17">
        <v>60799569.8924731</v>
      </c>
      <c r="F17">
        <v>19922580.6451613</v>
      </c>
    </row>
    <row r="18" spans="1:6">
      <c r="B18" t="s">
        <v>37</v>
      </c>
      <c r="C18">
        <v>1745169586.02151</v>
      </c>
      <c r="D18">
        <v>639965324.731183</v>
      </c>
      <c r="E18">
        <v>895335161.290323</v>
      </c>
      <c r="F18">
        <v>209869100</v>
      </c>
    </row>
    <row r="19" spans="1:6">
      <c r="A19" t="s">
        <v>38</v>
      </c>
      <c r="B19" t="s">
        <v>39</v>
      </c>
      <c r="C19">
        <v>4086483333.33333</v>
      </c>
      <c r="D19">
        <v>1459650000</v>
      </c>
      <c r="E19">
        <v>2045333333.33333</v>
      </c>
      <c r="F19">
        <v>581500000</v>
      </c>
    </row>
    <row r="20" spans="1:6">
      <c r="A20" t="s">
        <v>40</v>
      </c>
      <c r="C20">
        <v>35380000</v>
      </c>
      <c r="D20">
        <v>17370000</v>
      </c>
      <c r="E20">
        <v>12570000</v>
      </c>
      <c r="F20">
        <v>5440000</v>
      </c>
    </row>
    <row r="21" spans="1:6">
      <c r="A21" t="s">
        <v>42</v>
      </c>
      <c r="B21" t="s">
        <v>43</v>
      </c>
      <c r="C21">
        <v>935197739</v>
      </c>
      <c r="D21">
        <v>329077851</v>
      </c>
      <c r="E21">
        <v>482783854</v>
      </c>
      <c r="F21">
        <v>123336034</v>
      </c>
    </row>
    <row r="22" spans="1:6">
      <c r="B22" t="s">
        <v>44</v>
      </c>
      <c r="C22">
        <v>202388331.666667</v>
      </c>
      <c r="D22">
        <v>77626060</v>
      </c>
      <c r="E22">
        <v>109083951.666667</v>
      </c>
      <c r="F22">
        <v>15678320</v>
      </c>
    </row>
    <row r="23" spans="1:6">
      <c r="B23" t="s">
        <v>45</v>
      </c>
      <c r="C23">
        <v>33982034.5833333</v>
      </c>
      <c r="D23">
        <v>14310004</v>
      </c>
      <c r="E23">
        <v>17521729.5833333</v>
      </c>
      <c r="F23">
        <v>2150301</v>
      </c>
    </row>
    <row r="24" spans="1:6">
      <c r="B24" t="s">
        <v>46</v>
      </c>
      <c r="C24">
        <v>20593333.3333333</v>
      </c>
      <c r="D24">
        <v>6683333.33333333</v>
      </c>
      <c r="E24">
        <v>11510000</v>
      </c>
      <c r="F24">
        <v>2400000</v>
      </c>
    </row>
    <row r="25" spans="1:6">
      <c r="B25" t="s">
        <v>47</v>
      </c>
      <c r="C25">
        <v>1904000</v>
      </c>
      <c r="D25">
        <v>1904000</v>
      </c>
      <c r="E25">
        <v>0</v>
      </c>
      <c r="F25">
        <v>0</v>
      </c>
    </row>
    <row r="26" spans="1:6">
      <c r="B26" t="s">
        <v>48</v>
      </c>
      <c r="C26">
        <v>1000000</v>
      </c>
      <c r="D26">
        <v>0</v>
      </c>
      <c r="E26">
        <v>1000000</v>
      </c>
      <c r="F26">
        <v>0</v>
      </c>
    </row>
    <row r="27" spans="1:6">
      <c r="A27" t="s">
        <v>49</v>
      </c>
      <c r="C27">
        <v>5316928771.91667</v>
      </c>
      <c r="D27">
        <v>1906621248.33333</v>
      </c>
      <c r="E27">
        <v>2679802868.58333</v>
      </c>
      <c r="F27">
        <v>730504655</v>
      </c>
    </row>
    <row r="28" spans="1:6">
      <c r="A28" t="s">
        <v>50</v>
      </c>
      <c r="B28" t="s">
        <v>51</v>
      </c>
      <c r="C28">
        <v>151758523.780864</v>
      </c>
      <c r="D28">
        <v>54521982.4714616</v>
      </c>
      <c r="E28">
        <v>78660237.7880043</v>
      </c>
      <c r="F28">
        <v>18576303.5213985</v>
      </c>
    </row>
    <row r="29" spans="1:6">
      <c r="B29" t="s">
        <v>52</v>
      </c>
      <c r="C29">
        <v>12627433.402042</v>
      </c>
      <c r="D29">
        <v>4731630.21825037</v>
      </c>
      <c r="E29">
        <v>6353111.43270622</v>
      </c>
      <c r="F29">
        <v>1542691.75108538</v>
      </c>
    </row>
    <row r="30" spans="1:6">
      <c r="B30" t="s">
        <v>53</v>
      </c>
      <c r="C30">
        <v>32683256.1505065</v>
      </c>
      <c r="D30">
        <v>12309305.3545586</v>
      </c>
      <c r="E30">
        <v>16360578.8712012</v>
      </c>
      <c r="F30">
        <v>4013371.92474674</v>
      </c>
    </row>
    <row r="31" spans="1:6">
      <c r="B31" t="s">
        <v>97</v>
      </c>
      <c r="C31">
        <v>3860781.47612156</v>
      </c>
      <c r="D31">
        <v>1432416.78726483</v>
      </c>
      <c r="E31">
        <v>1953690.30390738</v>
      </c>
      <c r="F31">
        <v>474674.384949349</v>
      </c>
    </row>
    <row r="32" spans="1:6">
      <c r="B32" t="s">
        <v>55</v>
      </c>
      <c r="C32">
        <v>2916411.73130118</v>
      </c>
      <c r="D32">
        <v>1091895.80318379</v>
      </c>
      <c r="E32">
        <v>1468510.13940537</v>
      </c>
      <c r="F32">
        <v>356005.788712012</v>
      </c>
    </row>
    <row r="33" spans="1:6">
      <c r="B33" t="s">
        <v>98</v>
      </c>
      <c r="C33">
        <v>55682996.630246</v>
      </c>
      <c r="D33">
        <v>20855210.2047757</v>
      </c>
      <c r="E33">
        <v>28028075.7424023</v>
      </c>
      <c r="F33">
        <v>6799710.68306802</v>
      </c>
    </row>
    <row r="34" spans="1:6">
      <c r="B34" t="s">
        <v>57</v>
      </c>
      <c r="C34">
        <v>43200000</v>
      </c>
      <c r="D34">
        <v>15750000</v>
      </c>
      <c r="E34">
        <v>22450000</v>
      </c>
      <c r="F34">
        <v>5000000</v>
      </c>
    </row>
    <row r="35" spans="1:6">
      <c r="B35" t="s">
        <v>58</v>
      </c>
      <c r="C35">
        <v>16333560.0578871</v>
      </c>
      <c r="D35">
        <v>6107930.53545586</v>
      </c>
      <c r="E35">
        <v>8238292.32995658</v>
      </c>
      <c r="F35">
        <v>1987337.19247467</v>
      </c>
    </row>
    <row r="36" spans="1:6">
      <c r="B36" t="s">
        <v>59</v>
      </c>
      <c r="C36">
        <v>24099775.5419375</v>
      </c>
      <c r="D36">
        <v>9099131.69319826</v>
      </c>
      <c r="E36">
        <v>12149059.3342981</v>
      </c>
      <c r="F36">
        <v>2851584.51444107</v>
      </c>
    </row>
    <row r="37" spans="1:6">
      <c r="B37" t="s">
        <v>60</v>
      </c>
      <c r="C37">
        <v>5500000</v>
      </c>
      <c r="D37">
        <v>5500000</v>
      </c>
      <c r="E37">
        <v>0</v>
      </c>
      <c r="F37">
        <v>0</v>
      </c>
    </row>
    <row r="38" spans="1:6">
      <c r="B38" t="s">
        <v>61</v>
      </c>
      <c r="C38">
        <v>52721212.4044863</v>
      </c>
      <c r="D38">
        <v>19989639.2930535</v>
      </c>
      <c r="E38">
        <v>26341123.1230101</v>
      </c>
      <c r="F38">
        <v>6390449.98842258</v>
      </c>
    </row>
    <row r="39" spans="1:6">
      <c r="A39" t="s">
        <v>62</v>
      </c>
      <c r="B39" t="s">
        <v>63</v>
      </c>
      <c r="C39">
        <v>212504545.191028</v>
      </c>
      <c r="D39">
        <v>86804284.5369031</v>
      </c>
      <c r="E39">
        <v>105255715.363242</v>
      </c>
      <c r="F39">
        <v>20444545.2908828</v>
      </c>
    </row>
    <row r="40" spans="1:6">
      <c r="B40" t="s">
        <v>99</v>
      </c>
      <c r="C40">
        <v>37376000</v>
      </c>
      <c r="D40">
        <v>12923000</v>
      </c>
      <c r="E40">
        <v>16835000</v>
      </c>
      <c r="F40">
        <v>7618000</v>
      </c>
    </row>
    <row r="41" spans="1:6">
      <c r="B41" t="s">
        <v>100</v>
      </c>
      <c r="C41">
        <v>45663999</v>
      </c>
      <c r="D41">
        <v>22632000</v>
      </c>
      <c r="E41">
        <v>20926999</v>
      </c>
      <c r="F41">
        <v>2105000</v>
      </c>
    </row>
    <row r="42" spans="1:6">
      <c r="A42" t="s">
        <v>72</v>
      </c>
      <c r="C42">
        <v>696928495.36642</v>
      </c>
      <c r="D42">
        <v>273748426.898106</v>
      </c>
      <c r="E42">
        <v>345020393.428133</v>
      </c>
      <c r="F42">
        <v>78159675.0401811</v>
      </c>
    </row>
    <row r="43" spans="1:6">
      <c r="A43" t="s">
        <v>73</v>
      </c>
      <c r="C43">
        <v>6013857267.28309</v>
      </c>
      <c r="D43">
        <v>2180369675.23144</v>
      </c>
      <c r="E43">
        <v>3024823262.01147</v>
      </c>
      <c r="F43">
        <v>808664330.040181</v>
      </c>
    </row>
    <row r="44" spans="1:6">
      <c r="A44" t="s">
        <v>74</v>
      </c>
      <c r="C44">
        <v>1719327464.08333</v>
      </c>
      <c r="D44">
        <v>621080880.666667</v>
      </c>
      <c r="E44">
        <v>871942638.416667</v>
      </c>
      <c r="F44">
        <v>226303945</v>
      </c>
    </row>
    <row r="45" spans="1:6">
      <c r="A45" t="s">
        <v>76</v>
      </c>
      <c r="C45">
        <v>1022398968.71691</v>
      </c>
      <c r="D45">
        <v>347332453.768561</v>
      </c>
      <c r="E45">
        <v>526922244.988533</v>
      </c>
      <c r="F45">
        <v>148144269.959819</v>
      </c>
    </row>
    <row r="46" spans="1:6">
      <c r="A46" t="s">
        <v>49</v>
      </c>
      <c r="C46">
        <v>5316928771.91667</v>
      </c>
      <c r="D46">
        <v>1906621248.33333</v>
      </c>
      <c r="E46">
        <v>2679802868.58333</v>
      </c>
      <c r="F46">
        <v>730504655</v>
      </c>
    </row>
    <row r="47" spans="1:6">
      <c r="A47" t="s">
        <v>78</v>
      </c>
      <c r="C47">
        <v>0.145304396887361</v>
      </c>
      <c r="D47">
        <v>0.137410357725169</v>
      </c>
      <c r="E47">
        <v>0.148355856000956</v>
      </c>
      <c r="F47">
        <v>0.154831666395786</v>
      </c>
    </row>
    <row r="48" spans="1:6">
      <c r="A48" t="s">
        <v>79</v>
      </c>
      <c r="C48">
        <v>0.244352594109157</v>
      </c>
      <c r="D48">
        <v>0.245709679768469</v>
      </c>
      <c r="E48">
        <v>0.245496935717435</v>
      </c>
      <c r="F48">
        <v>0.236519555739779</v>
      </c>
    </row>
    <row r="49" spans="1:6">
      <c r="A49" t="s">
        <v>80</v>
      </c>
      <c r="C49">
        <v>0.192291266739756</v>
      </c>
      <c r="D49">
        <v>0.182171710334279</v>
      </c>
      <c r="E49">
        <v>0.196627241192218</v>
      </c>
      <c r="F49">
        <v>0.202797160765278</v>
      </c>
    </row>
    <row r="50" spans="1:6">
      <c r="A50" t="s">
        <v>81</v>
      </c>
      <c r="C50">
        <v>0.594650518923694</v>
      </c>
      <c r="D50">
        <v>0.55923868304517</v>
      </c>
      <c r="E50">
        <v>0.604308381965762</v>
      </c>
      <c r="F50">
        <v>0.654625220783574</v>
      </c>
    </row>
    <row r="51" spans="1:6">
      <c r="A51" t="s">
        <v>9</v>
      </c>
      <c r="C51">
        <v>3.49779631449638</v>
      </c>
      <c r="D51">
        <v>3.51060504855831</v>
      </c>
      <c r="E51">
        <v>3.46906221664323</v>
      </c>
      <c r="F51">
        <v>3.5733549852177</v>
      </c>
    </row>
    <row r="52" spans="1:6">
      <c r="A52" t="s">
        <v>82</v>
      </c>
      <c r="C52">
        <v>0.755647405890843</v>
      </c>
      <c r="D52">
        <v>0.754290320231531</v>
      </c>
      <c r="E52">
        <v>0.754503064282565</v>
      </c>
      <c r="F52">
        <v>0.763480444260221</v>
      </c>
    </row>
    <row r="53" spans="1:6">
      <c r="A53" t="s">
        <v>83</v>
      </c>
      <c r="C53">
        <v>0.099048197221796</v>
      </c>
      <c r="D53">
        <v>0.1082993220433</v>
      </c>
      <c r="E53">
        <v>0.097141079716479</v>
      </c>
      <c r="F53">
        <v>0.0816878893439933</v>
      </c>
    </row>
    <row r="54" spans="1:6">
      <c r="A54" t="s">
        <v>84</v>
      </c>
      <c r="C54">
        <v>0.854695603112639</v>
      </c>
      <c r="D54">
        <v>0.862589642274831</v>
      </c>
      <c r="E54">
        <v>0.851644143999044</v>
      </c>
      <c r="F54">
        <v>0.845168333604214</v>
      </c>
    </row>
    <row r="55" spans="1:6">
      <c r="A55" t="s">
        <v>85</v>
      </c>
      <c r="C55">
        <v>0.500284808397154</v>
      </c>
      <c r="D55">
        <v>0.480000943044902</v>
      </c>
      <c r="E55">
        <v>0.509133834659751</v>
      </c>
      <c r="F55">
        <v>0.532265260052434</v>
      </c>
    </row>
    <row r="56" spans="1:6">
      <c r="A56" t="s">
        <v>86</v>
      </c>
      <c r="C56">
        <v>0.304915850914232</v>
      </c>
      <c r="D56">
        <v>0.317095099031248</v>
      </c>
      <c r="E56">
        <v>0.305070996868961</v>
      </c>
      <c r="F56">
        <v>0.261574082547969</v>
      </c>
    </row>
    <row r="57" spans="1:6">
      <c r="A57" t="s">
        <v>87</v>
      </c>
      <c r="C57">
        <v>0.0655217849515416</v>
      </c>
      <c r="D57">
        <v>0.0826744476907042</v>
      </c>
      <c r="E57">
        <v>0.0606543827513171</v>
      </c>
      <c r="F57">
        <v>0.0269320464666446</v>
      </c>
    </row>
    <row r="58" spans="1:6">
      <c r="A58" t="s">
        <v>101</v>
      </c>
      <c r="C58">
        <v>1.40936630519068</v>
      </c>
      <c r="D58">
        <v>1.43699007721695</v>
      </c>
      <c r="E58">
        <v>1.3895178196147</v>
      </c>
      <c r="F58">
        <v>1.41264488515118</v>
      </c>
    </row>
    <row r="59" spans="1:6">
      <c r="A59" t="s">
        <v>102</v>
      </c>
      <c r="C59">
        <v>1.22880991214282</v>
      </c>
      <c r="D59">
        <v>1.21215315646813</v>
      </c>
      <c r="E59">
        <v>1.24162801236489</v>
      </c>
      <c r="F59">
        <v>1.22553518431199</v>
      </c>
    </row>
    <row r="60" spans="1:6">
      <c r="A60" t="s">
        <v>103</v>
      </c>
      <c r="C60">
        <v>0.145304396887361</v>
      </c>
      <c r="D60">
        <v>0.137410357725169</v>
      </c>
      <c r="E60">
        <v>0.148355856000956</v>
      </c>
      <c r="F60">
        <v>0.154831666395786</v>
      </c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X133"/>
  <sheetViews>
    <sheetView topLeftCell="G1" workbookViewId="0">
      <selection activeCell="AA15" sqref="AA15"/>
    </sheetView>
  </sheetViews>
  <sheetFormatPr defaultColWidth="8.88888888888889" defaultRowHeight="14.4"/>
  <cols>
    <col min="21" max="21" width="20.2222222222222" customWidth="1"/>
  </cols>
  <sheetData>
    <row r="1" spans="1:24">
      <c r="A1" t="s">
        <v>104</v>
      </c>
    </row>
    <row r="2" spans="1:24">
      <c r="A2" t="s">
        <v>105</v>
      </c>
    </row>
    <row r="3" spans="1:24">
      <c r="A3" t="s">
        <v>106</v>
      </c>
    </row>
    <row r="4" spans="1:24">
      <c r="A4" t="s">
        <v>107</v>
      </c>
    </row>
    <row r="5" spans="1:24">
      <c r="A5" t="s">
        <v>108</v>
      </c>
      <c r="U5" t="s">
        <v>109</v>
      </c>
    </row>
    <row r="7" spans="1:24">
      <c r="A7" t="s">
        <v>110</v>
      </c>
      <c r="B7" t="s">
        <v>111</v>
      </c>
      <c r="C7" t="s">
        <v>112</v>
      </c>
      <c r="D7" t="s">
        <v>113</v>
      </c>
      <c r="E7" t="s">
        <v>114</v>
      </c>
      <c r="F7" t="s">
        <v>115</v>
      </c>
      <c r="G7" t="s">
        <v>116</v>
      </c>
      <c r="H7" t="s">
        <v>117</v>
      </c>
      <c r="I7" t="s">
        <v>118</v>
      </c>
      <c r="U7" t="s">
        <v>119</v>
      </c>
      <c r="V7" t="s">
        <v>120</v>
      </c>
      <c r="W7" t="s">
        <v>89</v>
      </c>
      <c r="X7" t="s">
        <v>121</v>
      </c>
    </row>
    <row r="8" spans="1:24">
      <c r="J8" t="s">
        <v>122</v>
      </c>
      <c r="K8" t="s">
        <v>123</v>
      </c>
      <c r="L8" t="s">
        <v>124</v>
      </c>
      <c r="M8" t="s">
        <v>125</v>
      </c>
      <c r="N8" t="s">
        <v>126</v>
      </c>
      <c r="O8" t="s">
        <v>127</v>
      </c>
      <c r="P8" t="s">
        <v>128</v>
      </c>
      <c r="Q8" t="s">
        <v>129</v>
      </c>
      <c r="R8" t="s">
        <v>130</v>
      </c>
      <c r="S8" t="s">
        <v>131</v>
      </c>
      <c r="T8" t="s">
        <v>132</v>
      </c>
    </row>
    <row r="9" spans="1:24">
      <c r="D9">
        <v>91434616</v>
      </c>
      <c r="E9">
        <v>17919231</v>
      </c>
      <c r="F9">
        <v>9400000</v>
      </c>
      <c r="G9">
        <v>11820000</v>
      </c>
      <c r="J9">
        <v>1079</v>
      </c>
      <c r="K9">
        <v>4228800000</v>
      </c>
      <c r="L9">
        <v>5338568305.05376</v>
      </c>
      <c r="M9">
        <v>4868007768</v>
      </c>
      <c r="N9">
        <v>267750450</v>
      </c>
      <c r="O9">
        <v>15659700</v>
      </c>
      <c r="P9">
        <v>5151417918</v>
      </c>
      <c r="Q9">
        <v>1369649466.66667</v>
      </c>
      <c r="R9">
        <v>0.256557449189155</v>
      </c>
      <c r="S9">
        <v>112074193.548387</v>
      </c>
      <c r="T9">
        <v>3941997931.78133</v>
      </c>
      <c r="U9">
        <v>93.2178852577877</v>
      </c>
      <c r="V9">
        <v>112897.216589987</v>
      </c>
      <c r="W9">
        <v>146302949.838537</v>
      </c>
    </row>
    <row r="10" spans="1:24">
      <c r="A10" t="s">
        <v>133</v>
      </c>
      <c r="B10" t="s">
        <v>134</v>
      </c>
      <c r="C10" t="s">
        <v>135</v>
      </c>
      <c r="D10">
        <v>10000000</v>
      </c>
      <c r="E10">
        <v>500000</v>
      </c>
      <c r="F10">
        <v>700000</v>
      </c>
      <c r="G10">
        <v>7740000</v>
      </c>
      <c r="H10">
        <v>0</v>
      </c>
      <c r="X10">
        <v>18940000</v>
      </c>
    </row>
    <row r="11" spans="1:24">
      <c r="A11" t="s">
        <v>136</v>
      </c>
      <c r="B11" t="s">
        <v>137</v>
      </c>
      <c r="C11" t="s">
        <v>138</v>
      </c>
      <c r="D11">
        <v>10000000</v>
      </c>
      <c r="E11">
        <v>500000</v>
      </c>
      <c r="F11">
        <v>700000</v>
      </c>
      <c r="G11">
        <v>4080000</v>
      </c>
      <c r="P11">
        <v>0</v>
      </c>
      <c r="X11">
        <v>15280000</v>
      </c>
    </row>
    <row r="12" spans="1:24">
      <c r="B12" t="s">
        <v>137</v>
      </c>
      <c r="P12">
        <v>0</v>
      </c>
    </row>
    <row r="13" spans="1:24">
      <c r="B13" t="s">
        <v>137</v>
      </c>
      <c r="P13">
        <v>0</v>
      </c>
    </row>
    <row r="14" spans="1:24">
      <c r="B14" t="s">
        <v>137</v>
      </c>
      <c r="P14">
        <v>0</v>
      </c>
    </row>
    <row r="15" spans="1:24">
      <c r="B15" t="s">
        <v>137</v>
      </c>
      <c r="P15">
        <v>0</v>
      </c>
    </row>
    <row r="16" spans="1:24">
      <c r="P16">
        <v>0</v>
      </c>
    </row>
    <row r="17" spans="1:24">
      <c r="P17">
        <v>0</v>
      </c>
    </row>
    <row r="18" spans="1:24">
      <c r="B18" t="s">
        <v>137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S18">
        <v>0</v>
      </c>
      <c r="T18">
        <v>0</v>
      </c>
      <c r="W18">
        <v>0</v>
      </c>
    </row>
    <row r="19" spans="1:24">
      <c r="A19" t="s">
        <v>139</v>
      </c>
      <c r="B19" t="s">
        <v>140</v>
      </c>
      <c r="C19" t="s">
        <v>141</v>
      </c>
      <c r="E19">
        <v>500000</v>
      </c>
      <c r="F19">
        <v>500000</v>
      </c>
      <c r="G19">
        <v>0</v>
      </c>
      <c r="H19">
        <v>2000000</v>
      </c>
      <c r="I19" t="s">
        <v>142</v>
      </c>
      <c r="J19">
        <v>22</v>
      </c>
      <c r="K19">
        <v>103000000</v>
      </c>
      <c r="L19">
        <v>137396000</v>
      </c>
      <c r="M19">
        <v>132886000</v>
      </c>
      <c r="N19">
        <v>4059000</v>
      </c>
      <c r="O19">
        <v>0</v>
      </c>
      <c r="P19">
        <v>136945000</v>
      </c>
      <c r="Q19">
        <v>40996000</v>
      </c>
      <c r="R19">
        <v>0.298378409851815</v>
      </c>
      <c r="S19">
        <v>1016129.03225806</v>
      </c>
      <c r="T19">
        <v>97099697.6951012</v>
      </c>
      <c r="U19">
        <v>94.2715511602925</v>
      </c>
      <c r="V19">
        <v>118087.521979735</v>
      </c>
      <c r="W19">
        <v>2597925.48355416</v>
      </c>
      <c r="X19">
        <v>19152297.1230166</v>
      </c>
    </row>
    <row r="20" spans="1:24">
      <c r="I20" t="s">
        <v>143</v>
      </c>
      <c r="J20">
        <v>8</v>
      </c>
      <c r="K20">
        <v>32800000</v>
      </c>
      <c r="L20">
        <v>34510000</v>
      </c>
      <c r="M20">
        <v>32642000</v>
      </c>
      <c r="N20">
        <v>1861200</v>
      </c>
      <c r="O20">
        <v>0</v>
      </c>
      <c r="P20">
        <v>34503200</v>
      </c>
      <c r="Q20">
        <v>7910000</v>
      </c>
      <c r="R20">
        <v>0.22920892494929</v>
      </c>
      <c r="S20">
        <v>3625806.4516129</v>
      </c>
      <c r="T20">
        <v>30220565.0723026</v>
      </c>
      <c r="U20">
        <v>92.1358691228736</v>
      </c>
      <c r="V20">
        <v>112610.506705734</v>
      </c>
      <c r="W20">
        <v>900884.053645876</v>
      </c>
    </row>
    <row r="21" spans="1:24">
      <c r="I21" t="s">
        <v>144</v>
      </c>
      <c r="J21">
        <v>17</v>
      </c>
      <c r="K21">
        <v>42000000</v>
      </c>
      <c r="L21">
        <v>55294666.6666667</v>
      </c>
      <c r="M21">
        <v>55262334</v>
      </c>
      <c r="N21">
        <v>0</v>
      </c>
      <c r="O21">
        <v>0</v>
      </c>
      <c r="P21">
        <v>55262334</v>
      </c>
      <c r="Q21">
        <v>14394666.6666667</v>
      </c>
      <c r="R21">
        <v>0.260326493212124</v>
      </c>
      <c r="T21">
        <v>40876084.3830629</v>
      </c>
      <c r="U21">
        <v>97.324010435864</v>
      </c>
      <c r="V21">
        <v>122935.592129512</v>
      </c>
      <c r="W21">
        <v>2089905.06620171</v>
      </c>
    </row>
    <row r="22" spans="1:24">
      <c r="B22" t="s">
        <v>140</v>
      </c>
      <c r="I22" t="s">
        <v>145</v>
      </c>
      <c r="J22">
        <v>9</v>
      </c>
      <c r="K22">
        <v>31500000</v>
      </c>
      <c r="L22">
        <v>43328000</v>
      </c>
      <c r="M22">
        <v>43328000</v>
      </c>
      <c r="N22">
        <v>0</v>
      </c>
      <c r="O22">
        <v>0</v>
      </c>
      <c r="P22">
        <v>43328000</v>
      </c>
      <c r="Q22">
        <v>11828000</v>
      </c>
      <c r="R22">
        <v>0.272987444608567</v>
      </c>
      <c r="T22">
        <v>31500000</v>
      </c>
      <c r="U22">
        <v>100</v>
      </c>
      <c r="V22">
        <v>130000</v>
      </c>
      <c r="W22">
        <v>1170000</v>
      </c>
    </row>
    <row r="23" spans="1:24">
      <c r="B23" t="s">
        <v>140</v>
      </c>
      <c r="I23" t="s">
        <v>146</v>
      </c>
      <c r="J23">
        <v>10</v>
      </c>
      <c r="K23">
        <v>36200000</v>
      </c>
      <c r="L23">
        <v>50261000</v>
      </c>
      <c r="M23">
        <v>47261000</v>
      </c>
      <c r="N23">
        <v>2700000</v>
      </c>
      <c r="O23">
        <v>0</v>
      </c>
      <c r="P23">
        <v>49961000</v>
      </c>
      <c r="Q23">
        <v>14561000</v>
      </c>
      <c r="R23">
        <v>0.289707725671992</v>
      </c>
      <c r="T23">
        <v>35486912.3177016</v>
      </c>
      <c r="U23">
        <v>98.0301445240376</v>
      </c>
      <c r="V23">
        <v>127439.187881249</v>
      </c>
      <c r="W23">
        <v>1274391.87881249</v>
      </c>
    </row>
    <row r="24" spans="1:24">
      <c r="I24" t="s">
        <v>147</v>
      </c>
      <c r="J24">
        <v>16</v>
      </c>
      <c r="K24">
        <v>65300000</v>
      </c>
      <c r="L24">
        <v>82144000</v>
      </c>
      <c r="M24">
        <v>82092000</v>
      </c>
      <c r="N24">
        <v>0</v>
      </c>
      <c r="O24">
        <v>0</v>
      </c>
      <c r="P24">
        <v>82092000</v>
      </c>
      <c r="Q24">
        <v>21244000</v>
      </c>
      <c r="R24">
        <v>0.258619010518115</v>
      </c>
      <c r="S24">
        <v>1103225.80645161</v>
      </c>
      <c r="T24">
        <v>61964673.9949986</v>
      </c>
      <c r="U24">
        <v>94.8923032082673</v>
      </c>
      <c r="V24">
        <v>118865.095597724</v>
      </c>
      <c r="W24">
        <v>1901841.52956359</v>
      </c>
    </row>
    <row r="25" spans="1:24">
      <c r="I25" t="s">
        <v>148</v>
      </c>
      <c r="J25">
        <v>10</v>
      </c>
      <c r="K25">
        <v>47000000</v>
      </c>
      <c r="L25">
        <v>60465000</v>
      </c>
      <c r="M25">
        <v>60465000</v>
      </c>
      <c r="N25">
        <v>0</v>
      </c>
      <c r="O25">
        <v>0</v>
      </c>
      <c r="P25">
        <v>60465000</v>
      </c>
      <c r="Q25">
        <v>14165000</v>
      </c>
      <c r="R25">
        <v>0.234267758207227</v>
      </c>
      <c r="T25">
        <v>46300000</v>
      </c>
      <c r="U25">
        <v>98.5106382978723</v>
      </c>
      <c r="V25">
        <v>128063.829787234</v>
      </c>
      <c r="W25">
        <v>1280638.29787234</v>
      </c>
    </row>
    <row r="26" spans="1:24">
      <c r="I26" t="s">
        <v>149</v>
      </c>
      <c r="J26">
        <v>17</v>
      </c>
      <c r="K26">
        <v>76700000</v>
      </c>
      <c r="L26">
        <v>98704000</v>
      </c>
      <c r="M26">
        <v>92573000</v>
      </c>
      <c r="N26">
        <v>0</v>
      </c>
      <c r="O26">
        <v>0</v>
      </c>
      <c r="P26">
        <v>92573000</v>
      </c>
      <c r="Q26">
        <v>24216000</v>
      </c>
      <c r="R26">
        <v>0.245339601231966</v>
      </c>
      <c r="S26">
        <v>2635483.87096774</v>
      </c>
      <c r="T26">
        <v>72496660.9661209</v>
      </c>
      <c r="U26">
        <v>94.5197665790364</v>
      </c>
      <c r="V26">
        <v>118398.444451635</v>
      </c>
      <c r="W26">
        <v>2012773.5556778</v>
      </c>
    </row>
    <row r="27" spans="1:24">
      <c r="I27" t="s">
        <v>150</v>
      </c>
      <c r="J27">
        <v>26</v>
      </c>
      <c r="K27">
        <v>104700000</v>
      </c>
      <c r="L27">
        <v>129907600</v>
      </c>
      <c r="M27">
        <v>127707600</v>
      </c>
      <c r="N27">
        <v>1980000</v>
      </c>
      <c r="O27">
        <v>0</v>
      </c>
      <c r="P27">
        <v>129687600</v>
      </c>
      <c r="Q27">
        <v>33407600</v>
      </c>
      <c r="R27">
        <v>0.257164322949543</v>
      </c>
      <c r="T27">
        <v>96336576.1510489</v>
      </c>
      <c r="U27">
        <v>92.0120116055863</v>
      </c>
      <c r="V27">
        <v>112459.125295717</v>
      </c>
      <c r="W27">
        <v>2923937.25768863</v>
      </c>
    </row>
    <row r="28" spans="1:24">
      <c r="B28" t="e">
        <v>#REF!</v>
      </c>
      <c r="I28">
        <v>9</v>
      </c>
      <c r="J28">
        <v>135</v>
      </c>
      <c r="K28">
        <v>539200000</v>
      </c>
      <c r="L28">
        <v>692010266.666667</v>
      </c>
      <c r="M28">
        <v>674216934</v>
      </c>
      <c r="N28">
        <v>10600200</v>
      </c>
      <c r="O28">
        <v>0</v>
      </c>
      <c r="P28">
        <v>684817134</v>
      </c>
      <c r="Q28">
        <v>182722266.666667</v>
      </c>
      <c r="S28">
        <v>8380645.16129032</v>
      </c>
      <c r="T28">
        <v>512281170.580337</v>
      </c>
      <c r="U28">
        <v>95.0076354933859</v>
      </c>
      <c r="W28">
        <v>16152297.1230166</v>
      </c>
    </row>
    <row r="29" spans="1:24">
      <c r="A29" t="s">
        <v>151</v>
      </c>
      <c r="B29" t="s">
        <v>152</v>
      </c>
      <c r="C29" t="s">
        <v>141</v>
      </c>
      <c r="D29">
        <v>0</v>
      </c>
      <c r="E29">
        <v>500000</v>
      </c>
      <c r="F29">
        <v>500000</v>
      </c>
      <c r="G29">
        <v>0</v>
      </c>
      <c r="I29" t="s">
        <v>153</v>
      </c>
      <c r="J29">
        <v>12</v>
      </c>
      <c r="K29">
        <v>48900000</v>
      </c>
      <c r="L29">
        <v>58998000</v>
      </c>
      <c r="M29">
        <v>47816000</v>
      </c>
      <c r="N29">
        <v>225000</v>
      </c>
      <c r="O29">
        <v>0</v>
      </c>
      <c r="P29">
        <v>48041000</v>
      </c>
      <c r="Q29">
        <v>14898000</v>
      </c>
      <c r="R29">
        <v>0.252517034475745</v>
      </c>
      <c r="S29">
        <v>1129032.25806452</v>
      </c>
      <c r="T29">
        <v>37038861.4048153</v>
      </c>
      <c r="U29">
        <v>75.7440928523829</v>
      </c>
      <c r="V29">
        <v>75744.0928523829</v>
      </c>
      <c r="W29">
        <v>908929.114228595</v>
      </c>
      <c r="X29">
        <v>21953086.2554977</v>
      </c>
    </row>
    <row r="30" spans="1:24">
      <c r="I30" t="s">
        <v>154</v>
      </c>
      <c r="J30">
        <v>18</v>
      </c>
      <c r="K30">
        <v>84700000</v>
      </c>
      <c r="L30">
        <v>110587000</v>
      </c>
      <c r="M30">
        <v>96054000</v>
      </c>
      <c r="N30">
        <v>11923200</v>
      </c>
      <c r="O30">
        <v>0</v>
      </c>
      <c r="P30">
        <v>107977200</v>
      </c>
      <c r="Q30">
        <v>29107000</v>
      </c>
      <c r="R30">
        <v>0.263204535795347</v>
      </c>
      <c r="T30">
        <v>79557111.1975187</v>
      </c>
      <c r="U30">
        <v>93.9281123937647</v>
      </c>
      <c r="V30">
        <v>117657.319735347</v>
      </c>
      <c r="W30">
        <v>2117831.75523625</v>
      </c>
    </row>
    <row r="31" spans="1:24">
      <c r="I31" t="s">
        <v>155</v>
      </c>
      <c r="J31">
        <v>14</v>
      </c>
      <c r="K31">
        <v>54800000</v>
      </c>
      <c r="L31">
        <v>66755290.3225807</v>
      </c>
      <c r="M31">
        <v>41936387</v>
      </c>
      <c r="N31">
        <v>20322900</v>
      </c>
      <c r="O31">
        <v>996800</v>
      </c>
      <c r="P31">
        <v>63256087</v>
      </c>
      <c r="Q31">
        <v>14728000</v>
      </c>
      <c r="R31">
        <v>0.220626708817085</v>
      </c>
      <c r="T31">
        <v>49300104.7125428</v>
      </c>
      <c r="U31">
        <v>89.9636947309175</v>
      </c>
      <c r="V31">
        <v>108956.030285222</v>
      </c>
      <c r="W31">
        <v>1525384.42399311</v>
      </c>
    </row>
    <row r="32" spans="1:24">
      <c r="I32" t="s">
        <v>156</v>
      </c>
      <c r="J32">
        <v>13</v>
      </c>
      <c r="K32">
        <v>49600000</v>
      </c>
      <c r="L32">
        <v>64397000</v>
      </c>
      <c r="M32">
        <v>55872000</v>
      </c>
      <c r="N32">
        <v>7672500</v>
      </c>
      <c r="O32">
        <v>0</v>
      </c>
      <c r="P32">
        <v>63544500</v>
      </c>
      <c r="Q32">
        <v>16892000</v>
      </c>
      <c r="R32">
        <v>0.262310356072488</v>
      </c>
      <c r="T32">
        <v>46876119.5785518</v>
      </c>
      <c r="U32">
        <v>94.5083056019189</v>
      </c>
      <c r="V32">
        <v>118384.088069772</v>
      </c>
      <c r="W32">
        <v>1538993.14490704</v>
      </c>
    </row>
    <row r="33" spans="1:24">
      <c r="I33" t="s">
        <v>157</v>
      </c>
      <c r="J33">
        <v>13</v>
      </c>
      <c r="K33">
        <v>46800000</v>
      </c>
      <c r="L33">
        <v>62273000</v>
      </c>
      <c r="M33">
        <v>57139000</v>
      </c>
      <c r="N33">
        <v>4807800</v>
      </c>
      <c r="O33">
        <v>0</v>
      </c>
      <c r="P33">
        <v>61946800</v>
      </c>
      <c r="Q33">
        <v>17573000</v>
      </c>
      <c r="R33">
        <v>0.28219292470252</v>
      </c>
      <c r="S33">
        <v>1000000</v>
      </c>
      <c r="T33">
        <v>45465851.332038</v>
      </c>
      <c r="U33">
        <v>97.1492549829871</v>
      </c>
      <c r="V33">
        <v>122714.848399563</v>
      </c>
      <c r="W33">
        <v>1595293.02919431</v>
      </c>
    </row>
    <row r="34" spans="1:24">
      <c r="I34" t="s">
        <v>158</v>
      </c>
      <c r="J34">
        <v>10</v>
      </c>
      <c r="K34">
        <v>30000000</v>
      </c>
      <c r="L34">
        <v>37669000</v>
      </c>
      <c r="M34">
        <v>33465000</v>
      </c>
      <c r="N34">
        <v>3783600</v>
      </c>
      <c r="O34">
        <v>0</v>
      </c>
      <c r="P34">
        <v>37248600</v>
      </c>
      <c r="Q34">
        <v>9369000</v>
      </c>
      <c r="R34">
        <v>0.248719105896095</v>
      </c>
      <c r="T34">
        <v>27984161.5121187</v>
      </c>
      <c r="U34">
        <v>93.2805383737291</v>
      </c>
      <c r="V34">
        <v>116846.148068145</v>
      </c>
      <c r="W34">
        <v>1168461.48068145</v>
      </c>
    </row>
    <row r="35" spans="1:24">
      <c r="I35" t="s">
        <v>159</v>
      </c>
      <c r="J35">
        <v>19</v>
      </c>
      <c r="K35">
        <v>87300000</v>
      </c>
      <c r="L35">
        <v>116247000</v>
      </c>
      <c r="M35">
        <v>109086000</v>
      </c>
      <c r="N35">
        <v>1647900</v>
      </c>
      <c r="O35">
        <v>119000</v>
      </c>
      <c r="P35">
        <v>110852900</v>
      </c>
      <c r="Q35">
        <v>29447000</v>
      </c>
      <c r="R35">
        <v>0.253314064018856</v>
      </c>
      <c r="S35">
        <v>4600000</v>
      </c>
      <c r="T35">
        <v>87372301.3927241</v>
      </c>
      <c r="U35">
        <v>100.082819464747</v>
      </c>
      <c r="V35">
        <v>130107.665304171</v>
      </c>
      <c r="W35">
        <v>2472045.64077925</v>
      </c>
    </row>
    <row r="36" spans="1:24">
      <c r="I36" t="s">
        <v>160</v>
      </c>
      <c r="J36">
        <v>15</v>
      </c>
      <c r="K36">
        <v>57400000</v>
      </c>
      <c r="L36">
        <v>67488200</v>
      </c>
      <c r="M36">
        <v>67116200</v>
      </c>
      <c r="N36">
        <v>334800</v>
      </c>
      <c r="O36">
        <v>0</v>
      </c>
      <c r="P36">
        <v>67451000</v>
      </c>
      <c r="Q36">
        <v>19688200</v>
      </c>
      <c r="R36">
        <v>0.291728035419525</v>
      </c>
      <c r="S36">
        <v>3145161.29032258</v>
      </c>
      <c r="T36">
        <v>50918813.5732402</v>
      </c>
      <c r="U36">
        <v>88.7087344481536</v>
      </c>
      <c r="V36">
        <v>107436.133942764</v>
      </c>
      <c r="W36">
        <v>1611542.00914146</v>
      </c>
    </row>
    <row r="37" spans="1:24">
      <c r="I37" t="s">
        <v>161</v>
      </c>
      <c r="J37">
        <v>9</v>
      </c>
      <c r="K37">
        <v>27100000</v>
      </c>
      <c r="L37">
        <v>32234871</v>
      </c>
      <c r="M37">
        <v>30260000</v>
      </c>
      <c r="N37">
        <v>0</v>
      </c>
      <c r="O37">
        <v>0</v>
      </c>
      <c r="P37">
        <v>30260000</v>
      </c>
      <c r="Q37">
        <v>9132000</v>
      </c>
      <c r="R37">
        <v>0.283295689317323</v>
      </c>
      <c r="S37">
        <v>3548387.09677419</v>
      </c>
      <c r="T37">
        <v>25235859.538032</v>
      </c>
      <c r="U37">
        <v>93.1212529078671</v>
      </c>
      <c r="V37">
        <v>116646.622063539</v>
      </c>
      <c r="W37">
        <v>1049819.59857185</v>
      </c>
    </row>
    <row r="38" spans="1:24">
      <c r="I38" t="s">
        <v>162</v>
      </c>
      <c r="J38">
        <v>18</v>
      </c>
      <c r="K38">
        <v>81000000</v>
      </c>
      <c r="L38">
        <v>107415000</v>
      </c>
      <c r="M38">
        <v>97402000</v>
      </c>
      <c r="N38">
        <v>1299600</v>
      </c>
      <c r="O38">
        <v>1589000</v>
      </c>
      <c r="P38">
        <v>100290600</v>
      </c>
      <c r="Q38">
        <v>28335000</v>
      </c>
      <c r="R38">
        <v>0.263789973467393</v>
      </c>
      <c r="S38">
        <v>3193548.38709677</v>
      </c>
      <c r="T38">
        <v>77028493.6740679</v>
      </c>
      <c r="U38">
        <v>95.0969057704542</v>
      </c>
      <c r="V38">
        <v>120122.407288995</v>
      </c>
      <c r="W38">
        <v>2162203.33120191</v>
      </c>
    </row>
    <row r="39" spans="1:24">
      <c r="I39" t="s">
        <v>163</v>
      </c>
      <c r="J39">
        <v>22</v>
      </c>
      <c r="K39">
        <v>102700000</v>
      </c>
      <c r="L39">
        <v>129441500</v>
      </c>
      <c r="M39">
        <v>112440500</v>
      </c>
      <c r="N39">
        <v>6395400</v>
      </c>
      <c r="O39">
        <v>0</v>
      </c>
      <c r="P39">
        <v>118835900</v>
      </c>
      <c r="Q39">
        <v>31541500</v>
      </c>
      <c r="R39">
        <v>0.243673783137556</v>
      </c>
      <c r="S39">
        <v>6700000</v>
      </c>
      <c r="T39">
        <v>96578706.6744437</v>
      </c>
      <c r="U39">
        <v>94.0396364892343</v>
      </c>
      <c r="V39">
        <v>117797.018339146</v>
      </c>
      <c r="W39">
        <v>2591534.40346122</v>
      </c>
    </row>
    <row r="40" spans="1:24">
      <c r="I40" t="s">
        <v>164</v>
      </c>
      <c r="J40">
        <v>17</v>
      </c>
      <c r="K40">
        <v>77500000</v>
      </c>
      <c r="L40">
        <v>97220000</v>
      </c>
      <c r="M40">
        <v>91430000</v>
      </c>
      <c r="N40">
        <v>372600</v>
      </c>
      <c r="O40">
        <v>0</v>
      </c>
      <c r="P40">
        <v>91802600</v>
      </c>
      <c r="Q40">
        <v>18640000</v>
      </c>
      <c r="R40">
        <v>0.191730096687924</v>
      </c>
      <c r="S40">
        <v>3335483.87096774</v>
      </c>
      <c r="T40">
        <v>77536762.4967649</v>
      </c>
      <c r="U40">
        <v>100.047435479697</v>
      </c>
      <c r="V40">
        <v>130061.666123606</v>
      </c>
      <c r="W40">
        <v>2211048.3241013</v>
      </c>
    </row>
    <row r="41" spans="1:24">
      <c r="I41">
        <v>12</v>
      </c>
      <c r="J41">
        <v>180</v>
      </c>
      <c r="K41">
        <v>747800000</v>
      </c>
      <c r="L41">
        <v>950725861.322581</v>
      </c>
      <c r="M41">
        <v>840017087</v>
      </c>
      <c r="N41">
        <v>58785300</v>
      </c>
      <c r="O41">
        <v>2704800</v>
      </c>
      <c r="P41">
        <v>901507187</v>
      </c>
      <c r="Q41">
        <v>239350700</v>
      </c>
      <c r="S41">
        <v>26651612.9032258</v>
      </c>
      <c r="T41">
        <v>700893147.086858</v>
      </c>
      <c r="U41">
        <v>93.7273531809117</v>
      </c>
      <c r="W41">
        <v>20953086.2554977</v>
      </c>
    </row>
    <row r="42" spans="1:24">
      <c r="A42" t="s">
        <v>165</v>
      </c>
      <c r="B42" t="s">
        <v>166</v>
      </c>
      <c r="C42" t="s">
        <v>141</v>
      </c>
      <c r="D42">
        <v>0</v>
      </c>
      <c r="E42">
        <v>500000</v>
      </c>
      <c r="F42">
        <v>500000</v>
      </c>
      <c r="G42">
        <v>0</v>
      </c>
      <c r="I42" t="s">
        <v>167</v>
      </c>
      <c r="J42">
        <v>19</v>
      </c>
      <c r="K42">
        <v>69600000</v>
      </c>
      <c r="L42">
        <v>92794000</v>
      </c>
      <c r="M42">
        <v>81895000</v>
      </c>
      <c r="N42">
        <v>9809100</v>
      </c>
      <c r="O42">
        <v>0</v>
      </c>
      <c r="P42">
        <v>91704100</v>
      </c>
      <c r="Q42">
        <v>27794000</v>
      </c>
      <c r="R42">
        <v>0.299523676099748</v>
      </c>
      <c r="T42">
        <v>64236550.8545811</v>
      </c>
      <c r="U42">
        <v>92.2938949060074</v>
      </c>
      <c r="V42">
        <v>112803.649329565</v>
      </c>
      <c r="W42">
        <v>2143269.33726173</v>
      </c>
      <c r="X42">
        <v>22686577.6648252</v>
      </c>
    </row>
    <row r="43" spans="1:24">
      <c r="I43" t="s">
        <v>168</v>
      </c>
      <c r="J43">
        <v>19</v>
      </c>
      <c r="K43">
        <v>77000000</v>
      </c>
      <c r="L43">
        <v>90549000</v>
      </c>
      <c r="M43">
        <v>87549000</v>
      </c>
      <c r="N43">
        <v>2700000</v>
      </c>
      <c r="O43">
        <v>0</v>
      </c>
      <c r="P43">
        <v>90249000</v>
      </c>
      <c r="Q43">
        <v>29149000</v>
      </c>
      <c r="R43">
        <v>0.32191410175706</v>
      </c>
      <c r="S43">
        <v>7419354.83870968</v>
      </c>
      <c r="T43">
        <v>68615929.0692368</v>
      </c>
      <c r="U43">
        <v>89.111596193814</v>
      </c>
      <c r="V43">
        <v>107924.044279175</v>
      </c>
      <c r="W43">
        <v>2050556.84130432</v>
      </c>
    </row>
    <row r="44" spans="1:24">
      <c r="I44" t="s">
        <v>169</v>
      </c>
      <c r="J44">
        <v>19</v>
      </c>
      <c r="K44">
        <v>61300000</v>
      </c>
      <c r="L44">
        <v>83528000</v>
      </c>
      <c r="M44">
        <v>69144000</v>
      </c>
      <c r="N44">
        <v>4762800</v>
      </c>
      <c r="O44">
        <v>0</v>
      </c>
      <c r="P44">
        <v>73906800</v>
      </c>
      <c r="Q44">
        <v>24128000</v>
      </c>
      <c r="R44">
        <v>0.288861220189637</v>
      </c>
      <c r="S44">
        <v>4538709.67741935</v>
      </c>
      <c r="T44">
        <v>57096701.2491079</v>
      </c>
      <c r="U44">
        <v>93.1430689218726</v>
      </c>
      <c r="V44">
        <v>116673.949491609</v>
      </c>
      <c r="W44">
        <v>2216805.04034057</v>
      </c>
    </row>
    <row r="45" spans="1:24">
      <c r="I45" t="s">
        <v>170</v>
      </c>
      <c r="J45">
        <v>50</v>
      </c>
      <c r="K45">
        <v>167100000</v>
      </c>
      <c r="L45">
        <v>217472000</v>
      </c>
      <c r="M45">
        <v>195011000</v>
      </c>
      <c r="N45">
        <v>10479600</v>
      </c>
      <c r="O45">
        <v>3495800</v>
      </c>
      <c r="P45">
        <v>208986400</v>
      </c>
      <c r="Q45">
        <v>63872000</v>
      </c>
      <c r="R45">
        <v>0.293702177751619</v>
      </c>
      <c r="S45">
        <v>2083870.96774194</v>
      </c>
      <c r="T45">
        <v>149690510.167271</v>
      </c>
      <c r="U45">
        <v>89.5813944747283</v>
      </c>
      <c r="V45">
        <v>108493.022197171</v>
      </c>
      <c r="W45">
        <v>5424651.10985855</v>
      </c>
    </row>
    <row r="46" spans="1:24">
      <c r="I46" t="s">
        <v>171</v>
      </c>
      <c r="J46">
        <v>11</v>
      </c>
      <c r="K46">
        <v>47700000</v>
      </c>
      <c r="L46">
        <v>57991000</v>
      </c>
      <c r="M46">
        <v>57991000</v>
      </c>
      <c r="N46">
        <v>0</v>
      </c>
      <c r="O46">
        <v>0</v>
      </c>
      <c r="P46">
        <v>57991000</v>
      </c>
      <c r="Q46">
        <v>13791000</v>
      </c>
      <c r="R46">
        <v>0.237812764049594</v>
      </c>
      <c r="T46">
        <v>44200000</v>
      </c>
      <c r="U46">
        <v>92.6624737945493</v>
      </c>
      <c r="V46">
        <v>116071.940858435</v>
      </c>
      <c r="W46">
        <v>1276791.34944279</v>
      </c>
    </row>
    <row r="47" spans="1:24">
      <c r="I47" t="s">
        <v>172</v>
      </c>
      <c r="J47">
        <v>7</v>
      </c>
      <c r="K47">
        <v>17500000</v>
      </c>
      <c r="L47">
        <v>22964000</v>
      </c>
      <c r="M47">
        <v>21148000</v>
      </c>
      <c r="N47">
        <v>1634400</v>
      </c>
      <c r="O47">
        <v>0</v>
      </c>
      <c r="P47">
        <v>22782400</v>
      </c>
      <c r="Q47">
        <v>6564000</v>
      </c>
      <c r="R47">
        <v>0.285838704058526</v>
      </c>
      <c r="T47">
        <v>16270308.308657</v>
      </c>
      <c r="U47">
        <v>92.973190335183</v>
      </c>
      <c r="V47">
        <v>116461.154209335</v>
      </c>
      <c r="W47">
        <v>815228.079465342</v>
      </c>
    </row>
    <row r="48" spans="1:24">
      <c r="I48" t="s">
        <v>173</v>
      </c>
      <c r="J48">
        <v>11</v>
      </c>
      <c r="K48">
        <v>43400000</v>
      </c>
      <c r="L48">
        <v>56578000</v>
      </c>
      <c r="M48">
        <v>51698000</v>
      </c>
      <c r="N48">
        <v>0</v>
      </c>
      <c r="O48">
        <v>0</v>
      </c>
      <c r="P48">
        <v>51698000</v>
      </c>
      <c r="Q48">
        <v>14878000</v>
      </c>
      <c r="R48">
        <v>0.26296440312489</v>
      </c>
      <c r="S48">
        <v>2967741.93548387</v>
      </c>
      <c r="T48">
        <v>41071008.2227333</v>
      </c>
      <c r="U48">
        <v>94.6336594993856</v>
      </c>
      <c r="V48">
        <v>118541.110320283</v>
      </c>
      <c r="W48">
        <v>1303952.21352311</v>
      </c>
    </row>
    <row r="49" spans="2:24">
      <c r="I49" t="s">
        <v>174</v>
      </c>
      <c r="J49">
        <v>17</v>
      </c>
      <c r="K49">
        <v>77700000</v>
      </c>
      <c r="L49">
        <v>104477000</v>
      </c>
      <c r="M49">
        <v>104535000</v>
      </c>
      <c r="N49">
        <v>0</v>
      </c>
      <c r="O49">
        <v>0</v>
      </c>
      <c r="P49">
        <v>104535000</v>
      </c>
      <c r="Q49">
        <v>29627000</v>
      </c>
      <c r="R49">
        <v>0.283574375221341</v>
      </c>
      <c r="T49">
        <v>74891552.6862372</v>
      </c>
      <c r="U49">
        <v>96.3855246927119</v>
      </c>
      <c r="V49">
        <v>121750.136453952</v>
      </c>
      <c r="W49">
        <v>2069752.31971718</v>
      </c>
    </row>
    <row r="50" spans="2:24">
      <c r="I50" t="s">
        <v>175</v>
      </c>
      <c r="J50">
        <v>7</v>
      </c>
      <c r="K50">
        <v>18700000</v>
      </c>
      <c r="L50">
        <v>27064500</v>
      </c>
      <c r="M50">
        <v>27064500</v>
      </c>
      <c r="N50">
        <v>0</v>
      </c>
      <c r="O50">
        <v>0</v>
      </c>
      <c r="P50">
        <v>27064500</v>
      </c>
      <c r="Q50">
        <v>7764500</v>
      </c>
      <c r="R50">
        <v>0.28688872877755</v>
      </c>
      <c r="T50">
        <v>19300000</v>
      </c>
      <c r="U50">
        <v>103.208556149733</v>
      </c>
      <c r="V50">
        <v>134171.122994652</v>
      </c>
      <c r="W50">
        <v>939197.860962567</v>
      </c>
    </row>
    <row r="51" spans="2:24">
      <c r="I51" t="s">
        <v>176</v>
      </c>
      <c r="J51">
        <v>16</v>
      </c>
      <c r="K51">
        <v>69400000</v>
      </c>
      <c r="L51">
        <v>85864000</v>
      </c>
      <c r="M51">
        <v>81024000</v>
      </c>
      <c r="N51">
        <v>4356000</v>
      </c>
      <c r="O51">
        <v>0</v>
      </c>
      <c r="P51">
        <v>85380000</v>
      </c>
      <c r="Q51">
        <v>17981000</v>
      </c>
      <c r="R51">
        <v>0.209412559396255</v>
      </c>
      <c r="T51">
        <v>67500355.6787478</v>
      </c>
      <c r="U51">
        <v>97.262760344017</v>
      </c>
      <c r="V51">
        <v>126441.588447222</v>
      </c>
      <c r="W51">
        <v>2023065.41515555</v>
      </c>
    </row>
    <row r="52" spans="2:24">
      <c r="I52" t="s">
        <v>177</v>
      </c>
      <c r="J52">
        <v>10</v>
      </c>
      <c r="K52">
        <v>54100000</v>
      </c>
      <c r="L52">
        <v>48537000</v>
      </c>
      <c r="M52">
        <v>42175000</v>
      </c>
      <c r="N52">
        <v>2700000</v>
      </c>
      <c r="O52">
        <v>2353400</v>
      </c>
      <c r="P52">
        <v>47228400</v>
      </c>
      <c r="Q52">
        <v>11737000</v>
      </c>
      <c r="R52">
        <v>0.241815522178956</v>
      </c>
      <c r="S52">
        <v>6535483.87096774</v>
      </c>
      <c r="T52">
        <v>42343323.6632911</v>
      </c>
      <c r="U52">
        <v>78.2686204497063</v>
      </c>
      <c r="V52">
        <v>82182.0514721917</v>
      </c>
      <c r="W52">
        <v>821820.514721917</v>
      </c>
    </row>
    <row r="53" spans="2:24">
      <c r="I53" t="s">
        <v>178</v>
      </c>
      <c r="J53">
        <v>5</v>
      </c>
      <c r="K53">
        <v>27500000</v>
      </c>
      <c r="L53">
        <v>33793000</v>
      </c>
      <c r="M53">
        <v>31102000</v>
      </c>
      <c r="N53">
        <v>2421900</v>
      </c>
      <c r="O53">
        <v>0</v>
      </c>
      <c r="P53">
        <v>33523900</v>
      </c>
      <c r="Q53">
        <v>7393000</v>
      </c>
      <c r="R53">
        <v>0.21877311869322</v>
      </c>
      <c r="T53">
        <v>26189771.8462403</v>
      </c>
      <c r="U53">
        <v>95.2355339863285</v>
      </c>
      <c r="V53">
        <v>120297.51661431</v>
      </c>
      <c r="W53">
        <v>601487.583071549</v>
      </c>
    </row>
    <row r="54" spans="2:24">
      <c r="I54">
        <v>12</v>
      </c>
      <c r="J54">
        <v>191</v>
      </c>
      <c r="K54">
        <v>731000000</v>
      </c>
      <c r="L54">
        <v>921611500</v>
      </c>
      <c r="M54">
        <v>850336500</v>
      </c>
      <c r="N54">
        <v>38863800</v>
      </c>
      <c r="O54">
        <v>5849200</v>
      </c>
      <c r="P54">
        <v>895049500</v>
      </c>
      <c r="Q54">
        <v>254678500</v>
      </c>
      <c r="S54">
        <v>23545161.2903226</v>
      </c>
      <c r="T54">
        <v>671406011.746104</v>
      </c>
      <c r="U54">
        <v>91.847607626006</v>
      </c>
      <c r="W54">
        <v>21686577.6648252</v>
      </c>
    </row>
    <row r="55" spans="2:24">
      <c r="B55" t="s">
        <v>179</v>
      </c>
      <c r="C55" t="s">
        <v>141</v>
      </c>
      <c r="E55">
        <v>500000</v>
      </c>
      <c r="F55">
        <v>500000</v>
      </c>
      <c r="I55" t="s">
        <v>180</v>
      </c>
      <c r="J55">
        <v>9</v>
      </c>
      <c r="K55">
        <v>37500000</v>
      </c>
      <c r="L55">
        <v>45168000</v>
      </c>
      <c r="M55">
        <v>38424000</v>
      </c>
      <c r="N55">
        <v>6085800</v>
      </c>
      <c r="O55">
        <v>0</v>
      </c>
      <c r="P55">
        <v>44509800</v>
      </c>
      <c r="Q55">
        <v>11268000</v>
      </c>
      <c r="R55">
        <v>0.249468650371945</v>
      </c>
      <c r="T55">
        <v>33406000.2656748</v>
      </c>
      <c r="U55">
        <v>89.0826673751328</v>
      </c>
      <c r="V55">
        <v>97990.9341126461</v>
      </c>
      <c r="W55">
        <v>881918.407013815</v>
      </c>
      <c r="X55">
        <v>5956551.00717863</v>
      </c>
    </row>
    <row r="56" spans="2:24">
      <c r="I56" t="s">
        <v>181</v>
      </c>
      <c r="J56">
        <v>15</v>
      </c>
      <c r="K56">
        <v>61200000</v>
      </c>
      <c r="L56">
        <v>72562800</v>
      </c>
      <c r="M56">
        <v>44212800</v>
      </c>
      <c r="N56">
        <v>19158300</v>
      </c>
      <c r="O56">
        <v>931000</v>
      </c>
      <c r="P56">
        <v>64302100</v>
      </c>
      <c r="Q56">
        <v>14762800</v>
      </c>
      <c r="R56">
        <v>0.203448599006654</v>
      </c>
      <c r="S56">
        <v>1970967.74193548</v>
      </c>
      <c r="T56">
        <v>53190895.5837497</v>
      </c>
      <c r="U56">
        <v>86.9132280780225</v>
      </c>
      <c r="V56">
        <v>92025.7709061414</v>
      </c>
      <c r="W56">
        <v>1380386.56359212</v>
      </c>
    </row>
    <row r="57" spans="2:24">
      <c r="I57" t="s">
        <v>182</v>
      </c>
      <c r="J57">
        <v>6</v>
      </c>
      <c r="K57">
        <v>26100000</v>
      </c>
      <c r="L57">
        <v>29175000</v>
      </c>
      <c r="M57">
        <v>28975000</v>
      </c>
      <c r="N57">
        <v>0</v>
      </c>
      <c r="O57">
        <v>0</v>
      </c>
      <c r="P57">
        <v>28975000</v>
      </c>
      <c r="Q57">
        <v>5875000</v>
      </c>
      <c r="R57">
        <v>0.201371036846615</v>
      </c>
      <c r="T57">
        <v>23140274.2073693</v>
      </c>
      <c r="U57">
        <v>88.6600544343652</v>
      </c>
      <c r="V57">
        <v>97526.0598778017</v>
      </c>
      <c r="W57">
        <v>585156.35926681</v>
      </c>
    </row>
    <row r="58" spans="2:24">
      <c r="I58" t="s">
        <v>183</v>
      </c>
      <c r="J58">
        <v>13</v>
      </c>
      <c r="K58">
        <v>48000000</v>
      </c>
      <c r="L58">
        <v>58740710</v>
      </c>
      <c r="M58">
        <v>54543710</v>
      </c>
      <c r="N58">
        <v>0</v>
      </c>
      <c r="O58">
        <v>466900</v>
      </c>
      <c r="P58">
        <v>55010610</v>
      </c>
      <c r="Q58">
        <v>12527000</v>
      </c>
      <c r="R58">
        <v>0.213259254101627</v>
      </c>
      <c r="S58">
        <v>2145161.29032258</v>
      </c>
      <c r="T58">
        <v>45424249.6340471</v>
      </c>
      <c r="U58">
        <v>94.6338534042647</v>
      </c>
      <c r="V58">
        <v>108579.894958577</v>
      </c>
      <c r="W58">
        <v>1411538.63446151</v>
      </c>
    </row>
    <row r="59" spans="2:24">
      <c r="I59" t="s">
        <v>184</v>
      </c>
      <c r="J59">
        <v>8</v>
      </c>
      <c r="K59">
        <v>35500000</v>
      </c>
      <c r="L59">
        <v>40238000</v>
      </c>
      <c r="M59">
        <v>31552000</v>
      </c>
      <c r="N59">
        <v>3909600</v>
      </c>
      <c r="O59">
        <v>0</v>
      </c>
      <c r="P59">
        <v>35461600</v>
      </c>
      <c r="Q59">
        <v>7938000</v>
      </c>
      <c r="R59">
        <v>0.197276206570903</v>
      </c>
      <c r="S59">
        <v>1096774.19354839</v>
      </c>
      <c r="T59">
        <v>29562644.2666137</v>
      </c>
      <c r="U59">
        <v>83.2750542721511</v>
      </c>
      <c r="V59">
        <v>87193.8803555465</v>
      </c>
      <c r="W59">
        <v>697551.042844372</v>
      </c>
    </row>
    <row r="60" spans="2:24">
      <c r="I60">
        <v>5</v>
      </c>
      <c r="J60">
        <v>51</v>
      </c>
      <c r="K60">
        <v>208300000</v>
      </c>
      <c r="L60">
        <v>245884510</v>
      </c>
      <c r="M60">
        <v>197707510</v>
      </c>
      <c r="N60">
        <v>29153700</v>
      </c>
      <c r="O60">
        <v>1397900</v>
      </c>
      <c r="P60">
        <v>228259110</v>
      </c>
      <c r="Q60">
        <v>52370800</v>
      </c>
      <c r="S60">
        <v>5212903.22580645</v>
      </c>
      <c r="T60">
        <v>184724063.957455</v>
      </c>
      <c r="U60">
        <v>88.6817397779427</v>
      </c>
      <c r="W60">
        <v>4956551.00717863</v>
      </c>
    </row>
    <row r="61" spans="2:24">
      <c r="B61" t="s">
        <v>185</v>
      </c>
      <c r="C61" t="s">
        <v>141</v>
      </c>
      <c r="E61">
        <v>500000</v>
      </c>
      <c r="F61">
        <v>500000</v>
      </c>
      <c r="I61" t="s">
        <v>186</v>
      </c>
      <c r="J61">
        <v>9</v>
      </c>
      <c r="K61">
        <v>39200000</v>
      </c>
      <c r="L61">
        <v>40617000</v>
      </c>
      <c r="M61">
        <v>40617000</v>
      </c>
      <c r="N61">
        <v>0</v>
      </c>
      <c r="O61">
        <v>0</v>
      </c>
      <c r="P61">
        <v>40617000</v>
      </c>
      <c r="Q61">
        <v>9117000</v>
      </c>
      <c r="R61">
        <v>0.224462663416796</v>
      </c>
      <c r="S61">
        <v>2167741.93548387</v>
      </c>
      <c r="T61">
        <v>33667741.9354839</v>
      </c>
      <c r="U61">
        <v>85.8870967741936</v>
      </c>
      <c r="V61">
        <v>90939.2789373814</v>
      </c>
      <c r="W61">
        <v>818453.510436433</v>
      </c>
      <c r="X61">
        <v>5399022.93514897</v>
      </c>
    </row>
    <row r="62" spans="2:24">
      <c r="I62" t="s">
        <v>187</v>
      </c>
      <c r="J62">
        <v>11</v>
      </c>
      <c r="K62">
        <v>43800000</v>
      </c>
      <c r="L62">
        <v>58329000</v>
      </c>
      <c r="M62">
        <v>57689000</v>
      </c>
      <c r="N62">
        <v>558000</v>
      </c>
      <c r="O62">
        <v>0</v>
      </c>
      <c r="P62">
        <v>58247000</v>
      </c>
      <c r="Q62">
        <v>18229000</v>
      </c>
      <c r="R62">
        <v>0.312520358655214</v>
      </c>
      <c r="T62">
        <v>40043626.6694097</v>
      </c>
      <c r="U62">
        <v>91.4238051813008</v>
      </c>
      <c r="V62">
        <v>101582.005757001</v>
      </c>
      <c r="W62">
        <v>1117402.06332701</v>
      </c>
    </row>
    <row r="63" spans="2:24">
      <c r="I63" t="s">
        <v>188</v>
      </c>
      <c r="J63">
        <v>8</v>
      </c>
      <c r="K63">
        <v>35000000</v>
      </c>
      <c r="L63">
        <v>40415000</v>
      </c>
      <c r="M63">
        <v>31795000</v>
      </c>
      <c r="N63">
        <v>5958000</v>
      </c>
      <c r="O63">
        <v>1400000</v>
      </c>
      <c r="P63">
        <v>39153000</v>
      </c>
      <c r="Q63">
        <v>8115000</v>
      </c>
      <c r="R63">
        <v>0.200791785228257</v>
      </c>
      <c r="T63">
        <v>31291399.2329581</v>
      </c>
      <c r="U63">
        <v>89.4039978084516</v>
      </c>
      <c r="V63">
        <v>98344.3975892967</v>
      </c>
      <c r="W63">
        <v>786755.180714374</v>
      </c>
    </row>
    <row r="64" spans="2:24">
      <c r="I64" t="s">
        <v>189</v>
      </c>
      <c r="J64">
        <v>8</v>
      </c>
      <c r="K64">
        <v>35000000</v>
      </c>
      <c r="L64">
        <v>38173000</v>
      </c>
      <c r="M64">
        <v>42273000</v>
      </c>
      <c r="N64">
        <v>0</v>
      </c>
      <c r="O64">
        <v>0</v>
      </c>
      <c r="P64">
        <v>42273000</v>
      </c>
      <c r="Q64">
        <v>9073000</v>
      </c>
      <c r="R64">
        <v>0.237681083488329</v>
      </c>
      <c r="S64">
        <v>2709677.41935484</v>
      </c>
      <c r="T64">
        <v>34935184.9770527</v>
      </c>
      <c r="U64">
        <v>99.8148142201505</v>
      </c>
      <c r="V64">
        <v>119777.777064181</v>
      </c>
      <c r="W64">
        <v>958222.216513445</v>
      </c>
    </row>
    <row r="65" spans="1:24">
      <c r="I65" t="s">
        <v>190</v>
      </c>
      <c r="J65">
        <v>7</v>
      </c>
      <c r="K65">
        <v>24800000</v>
      </c>
      <c r="L65">
        <v>32580000</v>
      </c>
      <c r="M65">
        <v>32580000</v>
      </c>
      <c r="N65">
        <v>0</v>
      </c>
      <c r="O65">
        <v>0</v>
      </c>
      <c r="P65">
        <v>32580000</v>
      </c>
      <c r="Q65">
        <v>9680000</v>
      </c>
      <c r="R65">
        <v>0.297114794352363</v>
      </c>
      <c r="T65">
        <v>22900000</v>
      </c>
      <c r="U65">
        <v>92.3387096774193</v>
      </c>
      <c r="V65">
        <v>102598.566308244</v>
      </c>
      <c r="W65">
        <v>718189.964157706</v>
      </c>
    </row>
    <row r="66" spans="1:24">
      <c r="I66">
        <v>5</v>
      </c>
      <c r="J66">
        <v>43</v>
      </c>
      <c r="K66">
        <v>177800000</v>
      </c>
      <c r="L66">
        <v>210114000</v>
      </c>
      <c r="M66">
        <v>204954000</v>
      </c>
      <c r="N66">
        <v>6516000</v>
      </c>
      <c r="O66">
        <v>1400000</v>
      </c>
      <c r="P66">
        <v>212870000</v>
      </c>
      <c r="Q66">
        <v>54214000</v>
      </c>
      <c r="S66">
        <v>4877419.35483871</v>
      </c>
      <c r="T66">
        <v>162837952.814904</v>
      </c>
      <c r="U66">
        <v>91.5849003458405</v>
      </c>
      <c r="W66">
        <v>4399022.93514897</v>
      </c>
    </row>
    <row r="67" spans="1:24">
      <c r="B67" t="s">
        <v>191</v>
      </c>
      <c r="C67" t="s">
        <v>141</v>
      </c>
      <c r="E67">
        <v>500000</v>
      </c>
      <c r="F67">
        <v>500000</v>
      </c>
      <c r="I67" t="s">
        <v>192</v>
      </c>
      <c r="J67">
        <v>10</v>
      </c>
      <c r="K67">
        <v>43200000</v>
      </c>
      <c r="L67">
        <v>52439903.2258065</v>
      </c>
      <c r="M67">
        <v>42048000</v>
      </c>
      <c r="N67">
        <v>9318600</v>
      </c>
      <c r="O67">
        <v>0</v>
      </c>
      <c r="P67">
        <v>51366600</v>
      </c>
      <c r="Q67">
        <v>11527000</v>
      </c>
      <c r="R67">
        <v>0.219813525405733</v>
      </c>
      <c r="T67">
        <v>40075526.5658939</v>
      </c>
      <c r="U67">
        <v>92.7674226062358</v>
      </c>
      <c r="V67">
        <v>116203.403054127</v>
      </c>
      <c r="W67">
        <v>1162034.03054127</v>
      </c>
      <c r="X67">
        <v>8069427.05521108</v>
      </c>
    </row>
    <row r="68" spans="1:24">
      <c r="I68" t="s">
        <v>193</v>
      </c>
      <c r="J68">
        <v>11</v>
      </c>
      <c r="K68">
        <v>47100000</v>
      </c>
      <c r="L68">
        <v>56825000</v>
      </c>
      <c r="M68">
        <v>45457000</v>
      </c>
      <c r="N68">
        <v>7888500</v>
      </c>
      <c r="O68">
        <v>1821400</v>
      </c>
      <c r="P68">
        <v>55166900</v>
      </c>
      <c r="Q68">
        <v>13725000</v>
      </c>
      <c r="R68">
        <v>0.241531016278047</v>
      </c>
      <c r="T68">
        <v>41842382.5780906</v>
      </c>
      <c r="U68">
        <v>88.8373303144175</v>
      </c>
      <c r="V68">
        <v>107591.877825239</v>
      </c>
      <c r="W68">
        <v>1183510.65607763</v>
      </c>
    </row>
    <row r="69" spans="1:24">
      <c r="I69" t="s">
        <v>194</v>
      </c>
      <c r="J69">
        <v>8</v>
      </c>
      <c r="K69">
        <v>31700000</v>
      </c>
      <c r="L69">
        <v>41755000</v>
      </c>
      <c r="M69">
        <v>36967000</v>
      </c>
      <c r="N69">
        <v>3654000</v>
      </c>
      <c r="O69">
        <v>1209600</v>
      </c>
      <c r="P69">
        <v>41830600</v>
      </c>
      <c r="Q69">
        <v>11355000</v>
      </c>
      <c r="R69">
        <v>0.271943479822776</v>
      </c>
      <c r="S69">
        <v>735483.870967742</v>
      </c>
      <c r="T69">
        <v>31190524.9438931</v>
      </c>
      <c r="U69">
        <v>98.3928231668553</v>
      </c>
      <c r="V69">
        <v>127910.670116912</v>
      </c>
      <c r="W69">
        <v>1023285.3609353</v>
      </c>
    </row>
    <row r="70" spans="1:24">
      <c r="I70" t="s">
        <v>195</v>
      </c>
      <c r="J70">
        <v>10</v>
      </c>
      <c r="K70">
        <v>30600000</v>
      </c>
      <c r="L70">
        <v>37042000</v>
      </c>
      <c r="M70">
        <v>34657000</v>
      </c>
      <c r="N70">
        <v>2021400</v>
      </c>
      <c r="O70">
        <v>98000</v>
      </c>
      <c r="P70">
        <v>36776400</v>
      </c>
      <c r="Q70">
        <v>7612000</v>
      </c>
      <c r="R70">
        <v>0.205496463473894</v>
      </c>
      <c r="T70">
        <v>29218979.8606987</v>
      </c>
      <c r="U70">
        <v>95.4868622898649</v>
      </c>
      <c r="V70">
        <v>120614.983945093</v>
      </c>
      <c r="W70">
        <v>1206149.83945093</v>
      </c>
    </row>
    <row r="71" spans="1:24">
      <c r="I71" t="s">
        <v>196</v>
      </c>
      <c r="J71">
        <v>9</v>
      </c>
      <c r="K71">
        <v>31500000</v>
      </c>
      <c r="L71">
        <v>38361000</v>
      </c>
      <c r="M71">
        <v>30372000</v>
      </c>
      <c r="N71">
        <v>7154100</v>
      </c>
      <c r="O71">
        <v>0</v>
      </c>
      <c r="P71">
        <v>37526100</v>
      </c>
      <c r="Q71">
        <v>7361000</v>
      </c>
      <c r="R71">
        <v>0.191887594171163</v>
      </c>
      <c r="T71">
        <v>30325306.9523735</v>
      </c>
      <c r="U71">
        <v>96.2708157218206</v>
      </c>
      <c r="V71">
        <v>121605.240911773</v>
      </c>
      <c r="W71">
        <v>1094447.16820596</v>
      </c>
    </row>
    <row r="72" spans="1:24">
      <c r="I72" t="s">
        <v>197</v>
      </c>
      <c r="J72">
        <v>14</v>
      </c>
      <c r="P72">
        <v>0</v>
      </c>
      <c r="T72">
        <v>0</v>
      </c>
      <c r="V72">
        <v>100000</v>
      </c>
      <c r="W72">
        <v>1400000</v>
      </c>
    </row>
    <row r="73" spans="1:24">
      <c r="B73" t="e">
        <v>#REF!</v>
      </c>
      <c r="I73">
        <v>6</v>
      </c>
      <c r="J73">
        <v>62</v>
      </c>
      <c r="K73">
        <v>184100000</v>
      </c>
      <c r="L73">
        <v>226422903.225807</v>
      </c>
      <c r="M73">
        <v>189501000</v>
      </c>
      <c r="N73">
        <v>30036600</v>
      </c>
      <c r="O73">
        <v>3129000</v>
      </c>
      <c r="P73">
        <v>222666600</v>
      </c>
      <c r="Q73">
        <v>51580000</v>
      </c>
      <c r="S73">
        <v>735483.870967742</v>
      </c>
      <c r="T73">
        <v>172652720.90095</v>
      </c>
      <c r="U73">
        <v>93.7820319939977</v>
      </c>
      <c r="W73">
        <v>7069427.05521108</v>
      </c>
    </row>
    <row r="74" spans="1:24">
      <c r="B74" t="s">
        <v>198</v>
      </c>
      <c r="E74">
        <v>500000</v>
      </c>
      <c r="F74">
        <v>500000</v>
      </c>
      <c r="I74" t="s">
        <v>199</v>
      </c>
      <c r="J74">
        <v>14</v>
      </c>
      <c r="K74">
        <v>49800000</v>
      </c>
      <c r="L74">
        <v>62057900</v>
      </c>
      <c r="M74">
        <v>62088000</v>
      </c>
      <c r="N74">
        <v>0</v>
      </c>
      <c r="O74">
        <v>0</v>
      </c>
      <c r="P74">
        <v>62088000</v>
      </c>
      <c r="Q74">
        <v>14190900</v>
      </c>
      <c r="R74">
        <v>0.228671933790863</v>
      </c>
      <c r="S74">
        <v>1354838.70967742</v>
      </c>
      <c r="T74">
        <v>49245055.6844703</v>
      </c>
      <c r="U74">
        <v>98.8856539848802</v>
      </c>
      <c r="V74">
        <v>118662.784781856</v>
      </c>
      <c r="W74">
        <v>1661278.98694599</v>
      </c>
      <c r="X74">
        <v>4666190.67134612</v>
      </c>
    </row>
    <row r="75" spans="1:24">
      <c r="I75" t="s">
        <v>200</v>
      </c>
      <c r="J75">
        <v>10</v>
      </c>
      <c r="K75">
        <v>45000000</v>
      </c>
      <c r="L75">
        <v>55685000</v>
      </c>
      <c r="M75">
        <v>49225000</v>
      </c>
      <c r="N75">
        <v>5814000</v>
      </c>
      <c r="O75">
        <v>0</v>
      </c>
      <c r="P75">
        <v>55039000</v>
      </c>
      <c r="Q75">
        <v>13885000</v>
      </c>
      <c r="R75">
        <v>0.249349016790877</v>
      </c>
      <c r="S75">
        <v>1625806.4516129</v>
      </c>
      <c r="T75">
        <v>42940885.9164598</v>
      </c>
      <c r="U75">
        <v>95.4241909254663</v>
      </c>
      <c r="V75">
        <v>110491.168440014</v>
      </c>
      <c r="W75">
        <v>1104911.68440014</v>
      </c>
    </row>
    <row r="76" spans="1:24">
      <c r="I76" t="s">
        <v>201</v>
      </c>
      <c r="J76">
        <v>9</v>
      </c>
      <c r="P76">
        <v>0</v>
      </c>
      <c r="T76">
        <v>0</v>
      </c>
      <c r="V76">
        <v>100000</v>
      </c>
      <c r="W76">
        <v>900000</v>
      </c>
    </row>
    <row r="77" spans="1:24">
      <c r="W77">
        <v>0</v>
      </c>
    </row>
    <row r="78" spans="1:24">
      <c r="B78" t="e">
        <v>#REF!</v>
      </c>
      <c r="I78">
        <v>3</v>
      </c>
      <c r="J78">
        <v>33</v>
      </c>
      <c r="K78">
        <v>94800000</v>
      </c>
      <c r="L78">
        <v>117742900</v>
      </c>
      <c r="M78">
        <v>111313000</v>
      </c>
      <c r="N78">
        <v>5814000</v>
      </c>
      <c r="O78">
        <v>0</v>
      </c>
      <c r="P78">
        <v>117127000</v>
      </c>
      <c r="Q78">
        <v>28075900</v>
      </c>
      <c r="S78">
        <v>2980645.16129032</v>
      </c>
      <c r="T78">
        <v>92185941.6009301</v>
      </c>
      <c r="U78">
        <v>97.2425544313609</v>
      </c>
      <c r="W78">
        <v>3666190.67134612</v>
      </c>
    </row>
    <row r="79" spans="1:24">
      <c r="A79" t="s">
        <v>202</v>
      </c>
      <c r="B79" t="s">
        <v>203</v>
      </c>
      <c r="C79" t="s">
        <v>141</v>
      </c>
      <c r="E79">
        <v>500000</v>
      </c>
      <c r="F79">
        <v>500000</v>
      </c>
      <c r="I79" t="s">
        <v>204</v>
      </c>
      <c r="J79">
        <v>9</v>
      </c>
      <c r="K79">
        <v>47300000</v>
      </c>
      <c r="L79">
        <v>55919800</v>
      </c>
      <c r="M79">
        <v>40520000</v>
      </c>
      <c r="N79">
        <v>13860000</v>
      </c>
      <c r="O79">
        <v>0</v>
      </c>
      <c r="P79">
        <v>54380000</v>
      </c>
      <c r="Q79">
        <v>12503800</v>
      </c>
      <c r="R79">
        <v>0.223602373399046</v>
      </c>
      <c r="T79">
        <v>42220502.9345599</v>
      </c>
      <c r="U79">
        <v>89.261105569894</v>
      </c>
      <c r="V79">
        <v>108105.116745761</v>
      </c>
      <c r="W79">
        <v>972946.050711845</v>
      </c>
      <c r="X79">
        <v>20903023.6145424</v>
      </c>
    </row>
    <row r="80" spans="1:24">
      <c r="I80" t="s">
        <v>205</v>
      </c>
      <c r="J80">
        <v>38</v>
      </c>
      <c r="K80">
        <v>143100000</v>
      </c>
      <c r="L80">
        <v>183084000</v>
      </c>
      <c r="M80">
        <v>169080000</v>
      </c>
      <c r="N80">
        <v>4424400</v>
      </c>
      <c r="O80">
        <v>0</v>
      </c>
      <c r="P80">
        <v>173504400</v>
      </c>
      <c r="Q80">
        <v>46250000</v>
      </c>
      <c r="R80">
        <v>0.2526162854209</v>
      </c>
      <c r="S80">
        <v>3948387.09677419</v>
      </c>
      <c r="T80">
        <v>133622750.064592</v>
      </c>
      <c r="U80">
        <v>93.377183832699</v>
      </c>
      <c r="V80">
        <v>116967.209222012</v>
      </c>
      <c r="W80">
        <v>4444753.95043647</v>
      </c>
    </row>
    <row r="81" spans="1:24">
      <c r="I81" t="s">
        <v>206</v>
      </c>
      <c r="J81">
        <v>24</v>
      </c>
      <c r="K81">
        <v>78000000</v>
      </c>
      <c r="L81">
        <v>101578000</v>
      </c>
      <c r="M81">
        <v>83130000</v>
      </c>
      <c r="N81">
        <v>3031200</v>
      </c>
      <c r="O81">
        <v>0</v>
      </c>
      <c r="P81">
        <v>86161200</v>
      </c>
      <c r="Q81">
        <v>30278000</v>
      </c>
      <c r="R81">
        <v>0.298076355116265</v>
      </c>
      <c r="S81">
        <v>4387096.77419355</v>
      </c>
      <c r="T81">
        <v>64865680.32575</v>
      </c>
      <c r="U81">
        <v>83.1611286227564</v>
      </c>
      <c r="V81">
        <v>91966.4245945776</v>
      </c>
      <c r="W81">
        <v>2207194.19026986</v>
      </c>
    </row>
    <row r="82" spans="1:24">
      <c r="I82" t="s">
        <v>207</v>
      </c>
      <c r="J82">
        <v>13</v>
      </c>
      <c r="K82">
        <v>60800000</v>
      </c>
      <c r="L82">
        <v>73446000</v>
      </c>
      <c r="M82">
        <v>64182000</v>
      </c>
      <c r="N82">
        <v>3909600</v>
      </c>
      <c r="O82">
        <v>0</v>
      </c>
      <c r="P82">
        <v>68091600</v>
      </c>
      <c r="Q82">
        <v>15846000</v>
      </c>
      <c r="R82">
        <v>0.215750347193857</v>
      </c>
      <c r="S82">
        <v>1470967.74193548</v>
      </c>
      <c r="T82">
        <v>54871781.4009503</v>
      </c>
      <c r="U82">
        <v>90.2496404620892</v>
      </c>
      <c r="V82">
        <v>110305.116120331</v>
      </c>
      <c r="W82">
        <v>1433966.50956431</v>
      </c>
    </row>
    <row r="83" spans="1:24">
      <c r="I83" t="s">
        <v>208</v>
      </c>
      <c r="J83">
        <v>7</v>
      </c>
      <c r="K83">
        <v>23200000</v>
      </c>
      <c r="L83">
        <v>30072000</v>
      </c>
      <c r="M83">
        <v>22080000</v>
      </c>
      <c r="N83">
        <v>4095000</v>
      </c>
      <c r="O83">
        <v>0</v>
      </c>
      <c r="P83">
        <v>26175000</v>
      </c>
      <c r="Q83">
        <v>8572000</v>
      </c>
      <c r="R83">
        <v>0.285049215216813</v>
      </c>
      <c r="S83">
        <v>1754838.70967742</v>
      </c>
      <c r="T83">
        <v>20468675.5013773</v>
      </c>
      <c r="U83">
        <v>88.2270495749023</v>
      </c>
      <c r="V83">
        <v>106852.760040715</v>
      </c>
      <c r="W83">
        <v>747969.320285005</v>
      </c>
    </row>
    <row r="84" spans="1:24">
      <c r="I84" t="s">
        <v>209</v>
      </c>
      <c r="J84">
        <v>18</v>
      </c>
      <c r="K84">
        <v>57800000</v>
      </c>
      <c r="L84">
        <v>70633000</v>
      </c>
      <c r="M84">
        <v>61123000</v>
      </c>
      <c r="N84">
        <v>3895200</v>
      </c>
      <c r="O84">
        <v>0</v>
      </c>
      <c r="P84">
        <v>65018200</v>
      </c>
      <c r="Q84">
        <v>18733000</v>
      </c>
      <c r="R84">
        <v>0.265215975535515</v>
      </c>
      <c r="S84">
        <v>3200000</v>
      </c>
      <c r="T84">
        <v>50974334.6594368</v>
      </c>
      <c r="U84">
        <v>88.1908904142505</v>
      </c>
      <c r="V84">
        <v>106808.967279481</v>
      </c>
      <c r="W84">
        <v>1922561.41103066</v>
      </c>
    </row>
    <row r="85" spans="1:24">
      <c r="I85" t="s">
        <v>210</v>
      </c>
      <c r="J85">
        <v>9</v>
      </c>
      <c r="K85">
        <v>39000000</v>
      </c>
      <c r="L85">
        <v>48310000</v>
      </c>
      <c r="M85">
        <v>48310000</v>
      </c>
      <c r="N85">
        <v>0</v>
      </c>
      <c r="O85">
        <v>0</v>
      </c>
      <c r="P85">
        <v>48310000</v>
      </c>
      <c r="Q85">
        <v>9910000</v>
      </c>
      <c r="R85">
        <v>0.205133512730284</v>
      </c>
      <c r="T85">
        <v>38400000</v>
      </c>
      <c r="U85">
        <v>98.4615384615385</v>
      </c>
      <c r="V85">
        <v>128000</v>
      </c>
      <c r="W85">
        <v>1152000</v>
      </c>
    </row>
    <row r="86" spans="1:24">
      <c r="I86" t="s">
        <v>211</v>
      </c>
      <c r="J86">
        <v>15</v>
      </c>
      <c r="K86">
        <v>56900000</v>
      </c>
      <c r="L86">
        <v>66522419</v>
      </c>
      <c r="M86">
        <v>57038419</v>
      </c>
      <c r="N86">
        <v>4680000</v>
      </c>
      <c r="O86">
        <v>175000</v>
      </c>
      <c r="P86">
        <v>61893419</v>
      </c>
      <c r="Q86">
        <v>16304000</v>
      </c>
      <c r="R86">
        <v>0.245090305570518</v>
      </c>
      <c r="S86">
        <v>4222580.64516129</v>
      </c>
      <c r="T86">
        <v>50946522.6696472</v>
      </c>
      <c r="U86">
        <v>89.5369466953378</v>
      </c>
      <c r="V86">
        <v>108439.190997687</v>
      </c>
      <c r="W86">
        <v>1626587.8649653</v>
      </c>
    </row>
    <row r="87" spans="1:24">
      <c r="I87" t="s">
        <v>212</v>
      </c>
      <c r="J87">
        <v>7</v>
      </c>
      <c r="K87">
        <v>19000000</v>
      </c>
      <c r="L87">
        <v>25022000</v>
      </c>
      <c r="M87">
        <v>25022000</v>
      </c>
      <c r="N87">
        <v>0</v>
      </c>
      <c r="O87">
        <v>0</v>
      </c>
      <c r="P87">
        <v>25022000</v>
      </c>
      <c r="Q87">
        <v>6422000</v>
      </c>
      <c r="R87">
        <v>0.256654144352969</v>
      </c>
      <c r="T87">
        <v>18600000</v>
      </c>
      <c r="U87">
        <v>97.8947368421053</v>
      </c>
      <c r="V87">
        <v>127263.157894737</v>
      </c>
      <c r="W87">
        <v>890842.105263158</v>
      </c>
    </row>
    <row r="88" spans="1:24">
      <c r="I88" t="s">
        <v>213</v>
      </c>
      <c r="J88">
        <v>9</v>
      </c>
      <c r="K88">
        <v>40500000</v>
      </c>
      <c r="L88">
        <v>46354200</v>
      </c>
      <c r="M88">
        <v>46354000</v>
      </c>
      <c r="N88">
        <v>0</v>
      </c>
      <c r="O88">
        <v>0</v>
      </c>
      <c r="P88">
        <v>46354000</v>
      </c>
      <c r="Q88">
        <v>10854200</v>
      </c>
      <c r="R88">
        <v>0.234157854088734</v>
      </c>
      <c r="T88">
        <v>35499846.8315708</v>
      </c>
      <c r="U88">
        <v>87.653942794002</v>
      </c>
      <c r="V88">
        <v>106158.664050514</v>
      </c>
      <c r="W88">
        <v>955427.976454622</v>
      </c>
    </row>
    <row r="89" spans="1:24">
      <c r="I89" t="s">
        <v>214</v>
      </c>
      <c r="J89">
        <v>15</v>
      </c>
      <c r="K89">
        <v>67300000</v>
      </c>
      <c r="L89">
        <v>96642000</v>
      </c>
      <c r="M89">
        <v>88912000</v>
      </c>
      <c r="N89">
        <v>6957000</v>
      </c>
      <c r="O89">
        <v>0</v>
      </c>
      <c r="P89">
        <v>95869000</v>
      </c>
      <c r="Q89">
        <v>28842000</v>
      </c>
      <c r="R89">
        <v>0.298441671323027</v>
      </c>
      <c r="T89">
        <v>67257695.4119327</v>
      </c>
      <c r="U89">
        <v>99.9371402851898</v>
      </c>
      <c r="V89">
        <v>129918.282370747</v>
      </c>
      <c r="W89">
        <v>1948774.2355612</v>
      </c>
    </row>
    <row r="90" spans="1:24">
      <c r="I90" t="s">
        <v>215</v>
      </c>
      <c r="J90">
        <v>16</v>
      </c>
      <c r="V90">
        <v>100000</v>
      </c>
      <c r="W90">
        <v>1600000</v>
      </c>
    </row>
    <row r="91" spans="1:24">
      <c r="I91">
        <v>12</v>
      </c>
      <c r="J91">
        <v>180</v>
      </c>
      <c r="K91">
        <v>632900000</v>
      </c>
      <c r="L91">
        <v>797583419</v>
      </c>
      <c r="M91">
        <v>705751419</v>
      </c>
      <c r="N91">
        <v>44852400</v>
      </c>
      <c r="O91">
        <v>175000</v>
      </c>
      <c r="P91">
        <v>750778819</v>
      </c>
      <c r="Q91">
        <v>204515000</v>
      </c>
      <c r="S91">
        <v>18983870.9677419</v>
      </c>
      <c r="T91">
        <v>577727789.799817</v>
      </c>
      <c r="U91">
        <v>91.2826338757809</v>
      </c>
      <c r="W91">
        <v>19903023.6145424</v>
      </c>
    </row>
    <row r="92" spans="1:24">
      <c r="A92" t="s">
        <v>216</v>
      </c>
      <c r="B92" t="s">
        <v>217</v>
      </c>
      <c r="C92" t="s">
        <v>141</v>
      </c>
      <c r="E92">
        <v>500000</v>
      </c>
      <c r="F92">
        <v>500000</v>
      </c>
      <c r="I92" t="s">
        <v>218</v>
      </c>
      <c r="J92">
        <v>8</v>
      </c>
      <c r="K92">
        <v>30400000</v>
      </c>
      <c r="L92">
        <v>35548000</v>
      </c>
      <c r="M92">
        <v>23046000</v>
      </c>
      <c r="N92">
        <v>8013600</v>
      </c>
      <c r="O92">
        <v>0</v>
      </c>
      <c r="P92">
        <v>31059600</v>
      </c>
      <c r="Q92">
        <v>9198000</v>
      </c>
      <c r="R92">
        <v>0.258748734105998</v>
      </c>
      <c r="S92">
        <v>2193548.38709677</v>
      </c>
      <c r="T92">
        <v>25216516.2052581</v>
      </c>
      <c r="U92">
        <v>82.9490664646649</v>
      </c>
      <c r="V92">
        <v>91731.9087962177</v>
      </c>
      <c r="W92">
        <v>733855.270369741</v>
      </c>
      <c r="X92">
        <v>19249226.6929359</v>
      </c>
    </row>
    <row r="93" spans="1:24">
      <c r="I93" t="s">
        <v>219</v>
      </c>
      <c r="J93">
        <v>6</v>
      </c>
      <c r="K93">
        <v>37500000</v>
      </c>
      <c r="L93">
        <v>42539354.8387097</v>
      </c>
      <c r="M93">
        <v>42560000</v>
      </c>
      <c r="N93">
        <v>0</v>
      </c>
      <c r="O93">
        <v>0</v>
      </c>
      <c r="P93">
        <v>42560000</v>
      </c>
      <c r="Q93">
        <v>7320000</v>
      </c>
      <c r="R93">
        <v>0.172075952438728</v>
      </c>
      <c r="T93">
        <v>35236447.4642077</v>
      </c>
      <c r="U93">
        <v>93.9638599045539</v>
      </c>
      <c r="V93">
        <v>117702.098196231</v>
      </c>
      <c r="W93">
        <v>706212.589177384</v>
      </c>
    </row>
    <row r="94" spans="1:24">
      <c r="I94" t="s">
        <v>220</v>
      </c>
      <c r="J94">
        <v>17</v>
      </c>
      <c r="K94">
        <v>54500000</v>
      </c>
      <c r="L94">
        <v>68705000</v>
      </c>
      <c r="M94">
        <v>64046000</v>
      </c>
      <c r="N94">
        <v>3096000</v>
      </c>
      <c r="O94">
        <v>0</v>
      </c>
      <c r="P94">
        <v>67142000</v>
      </c>
      <c r="Q94">
        <v>15278000</v>
      </c>
      <c r="R94">
        <v>0.222371006476967</v>
      </c>
      <c r="T94">
        <v>52211565.8831235</v>
      </c>
      <c r="U94">
        <v>95.8010383176578</v>
      </c>
      <c r="V94">
        <v>121011.837874936</v>
      </c>
      <c r="W94">
        <v>2057201.24387391</v>
      </c>
    </row>
    <row r="95" spans="1:24">
      <c r="I95" t="s">
        <v>221</v>
      </c>
      <c r="J95">
        <v>10</v>
      </c>
      <c r="K95">
        <v>40000000</v>
      </c>
      <c r="L95">
        <v>53419000</v>
      </c>
      <c r="M95">
        <v>53419000</v>
      </c>
      <c r="N95">
        <v>0</v>
      </c>
      <c r="O95">
        <v>0</v>
      </c>
      <c r="P95">
        <v>53419000</v>
      </c>
      <c r="Q95">
        <v>13819000</v>
      </c>
      <c r="R95">
        <v>0.258690728018121</v>
      </c>
      <c r="T95">
        <v>39600000</v>
      </c>
      <c r="U95">
        <v>99</v>
      </c>
      <c r="V95">
        <v>128700</v>
      </c>
      <c r="W95">
        <v>1287000</v>
      </c>
    </row>
    <row r="96" spans="1:24">
      <c r="I96" t="s">
        <v>222</v>
      </c>
      <c r="J96">
        <v>12</v>
      </c>
      <c r="K96">
        <v>57600000</v>
      </c>
      <c r="L96">
        <v>75172500</v>
      </c>
      <c r="M96">
        <v>71490226</v>
      </c>
      <c r="N96">
        <v>3313350</v>
      </c>
      <c r="O96">
        <v>0</v>
      </c>
      <c r="P96">
        <v>74803576</v>
      </c>
      <c r="Q96">
        <v>21172500</v>
      </c>
      <c r="R96">
        <v>0.281652199940138</v>
      </c>
      <c r="T96">
        <v>53734984.2562107</v>
      </c>
      <c r="U96">
        <v>93.289903222588</v>
      </c>
      <c r="V96">
        <v>116857.878773558</v>
      </c>
      <c r="W96">
        <v>1402294.54528269</v>
      </c>
    </row>
    <row r="97" spans="1:24">
      <c r="I97" t="s">
        <v>223</v>
      </c>
      <c r="J97">
        <v>18</v>
      </c>
      <c r="K97">
        <v>64200000</v>
      </c>
      <c r="L97">
        <v>84142000</v>
      </c>
      <c r="M97">
        <v>76814000</v>
      </c>
      <c r="N97">
        <v>6595200</v>
      </c>
      <c r="O97">
        <v>0</v>
      </c>
      <c r="P97">
        <v>83409200</v>
      </c>
      <c r="Q97">
        <v>23512000</v>
      </c>
      <c r="R97">
        <v>0.279432388105821</v>
      </c>
      <c r="T97">
        <v>60101968.0540039</v>
      </c>
      <c r="U97">
        <v>93.6167726697881</v>
      </c>
      <c r="V97">
        <v>117267.325765313</v>
      </c>
      <c r="W97">
        <v>2110811.86377564</v>
      </c>
    </row>
    <row r="98" spans="1:24">
      <c r="I98" t="s">
        <v>224</v>
      </c>
      <c r="J98">
        <v>10</v>
      </c>
      <c r="K98">
        <v>35200000</v>
      </c>
      <c r="L98">
        <v>45203000</v>
      </c>
      <c r="M98">
        <v>45203000</v>
      </c>
      <c r="N98">
        <v>0</v>
      </c>
      <c r="O98">
        <v>0</v>
      </c>
      <c r="P98">
        <v>45203000</v>
      </c>
      <c r="Q98">
        <v>10103000</v>
      </c>
      <c r="R98">
        <v>0.223502864854103</v>
      </c>
      <c r="T98">
        <v>35100000</v>
      </c>
      <c r="U98">
        <v>99.7159090909091</v>
      </c>
      <c r="V98">
        <v>129630.681818182</v>
      </c>
      <c r="W98">
        <v>1296306.81818182</v>
      </c>
    </row>
    <row r="99" spans="1:24">
      <c r="I99" t="s">
        <v>225</v>
      </c>
      <c r="J99">
        <v>26</v>
      </c>
      <c r="K99">
        <v>140500000</v>
      </c>
      <c r="L99">
        <v>175947000</v>
      </c>
      <c r="M99">
        <v>158105000</v>
      </c>
      <c r="N99">
        <v>9166500</v>
      </c>
      <c r="O99">
        <v>1157800</v>
      </c>
      <c r="P99">
        <v>168429300</v>
      </c>
      <c r="Q99">
        <v>39447000</v>
      </c>
      <c r="R99">
        <v>0.224198196047673</v>
      </c>
      <c r="S99">
        <v>5000000</v>
      </c>
      <c r="T99">
        <v>135667754.778428</v>
      </c>
      <c r="U99">
        <v>96.5606795575997</v>
      </c>
      <c r="V99">
        <v>121971.384704336</v>
      </c>
      <c r="W99">
        <v>3171256.00231275</v>
      </c>
    </row>
    <row r="100" spans="1:24">
      <c r="I100" t="s">
        <v>226</v>
      </c>
      <c r="J100">
        <v>18</v>
      </c>
      <c r="K100">
        <v>74900000</v>
      </c>
      <c r="L100">
        <v>94110000</v>
      </c>
      <c r="M100">
        <v>87848002</v>
      </c>
      <c r="N100">
        <v>5616000</v>
      </c>
      <c r="O100">
        <v>0</v>
      </c>
      <c r="P100">
        <v>93464002</v>
      </c>
      <c r="Q100">
        <v>20570000</v>
      </c>
      <c r="R100">
        <v>0.218574009138242</v>
      </c>
      <c r="T100">
        <v>73035200.3727553</v>
      </c>
      <c r="U100">
        <v>97.5102808715024</v>
      </c>
      <c r="V100">
        <v>126763.365132953</v>
      </c>
      <c r="W100">
        <v>2281740.57239316</v>
      </c>
    </row>
    <row r="101" spans="1:24">
      <c r="I101" t="s">
        <v>227</v>
      </c>
      <c r="J101">
        <v>27</v>
      </c>
      <c r="K101">
        <v>115900000</v>
      </c>
      <c r="L101">
        <v>134003000</v>
      </c>
      <c r="M101">
        <v>135154000</v>
      </c>
      <c r="N101">
        <v>0</v>
      </c>
      <c r="O101">
        <v>0</v>
      </c>
      <c r="P101">
        <v>135154000</v>
      </c>
      <c r="Q101">
        <v>29435000</v>
      </c>
      <c r="R101">
        <v>0.21965926135982</v>
      </c>
      <c r="S101">
        <v>4280645.16129032</v>
      </c>
      <c r="T101">
        <v>109746817.351465</v>
      </c>
      <c r="U101">
        <v>94.6909554369846</v>
      </c>
      <c r="V101">
        <v>118612.881021065</v>
      </c>
      <c r="W101">
        <v>3202547.78756875</v>
      </c>
    </row>
    <row r="103" spans="1:24">
      <c r="I103">
        <v>10</v>
      </c>
      <c r="J103">
        <v>152</v>
      </c>
      <c r="K103">
        <v>650700000</v>
      </c>
      <c r="L103">
        <v>808788854.83871</v>
      </c>
      <c r="M103">
        <v>757685228</v>
      </c>
      <c r="N103">
        <v>35800650</v>
      </c>
      <c r="O103">
        <v>1157800</v>
      </c>
      <c r="P103">
        <v>794643678</v>
      </c>
      <c r="Q103">
        <v>189854500</v>
      </c>
      <c r="S103">
        <v>11474193.5483871</v>
      </c>
      <c r="T103">
        <v>619651254.365452</v>
      </c>
      <c r="U103">
        <v>95.2284085393349</v>
      </c>
      <c r="W103">
        <v>18249226.6929359</v>
      </c>
    </row>
    <row r="104" spans="1:24">
      <c r="A104" t="s">
        <v>228</v>
      </c>
      <c r="B104" t="s">
        <v>229</v>
      </c>
      <c r="C104" t="s">
        <v>141</v>
      </c>
      <c r="E104">
        <v>500000</v>
      </c>
      <c r="F104">
        <v>500000</v>
      </c>
      <c r="I104" t="s">
        <v>230</v>
      </c>
      <c r="J104">
        <v>9</v>
      </c>
      <c r="K104">
        <v>29000000</v>
      </c>
      <c r="L104">
        <v>35208000</v>
      </c>
      <c r="M104">
        <v>35208000</v>
      </c>
      <c r="N104">
        <v>0</v>
      </c>
      <c r="O104">
        <v>0</v>
      </c>
      <c r="P104">
        <v>35208000</v>
      </c>
      <c r="Q104">
        <v>10108000</v>
      </c>
      <c r="R104">
        <v>0.287093842308566</v>
      </c>
      <c r="T104">
        <v>25100000</v>
      </c>
      <c r="U104">
        <v>86.551724137931</v>
      </c>
      <c r="V104">
        <v>101825.557809331</v>
      </c>
      <c r="W104">
        <v>916430.020283976</v>
      </c>
      <c r="X104">
        <v>17638512.2635811</v>
      </c>
    </row>
    <row r="105" spans="1:24">
      <c r="I105" t="s">
        <v>231</v>
      </c>
      <c r="J105">
        <v>8</v>
      </c>
      <c r="K105">
        <v>30600000</v>
      </c>
      <c r="L105">
        <v>39018000</v>
      </c>
      <c r="M105">
        <v>38958000</v>
      </c>
      <c r="N105">
        <v>54000</v>
      </c>
      <c r="O105">
        <v>0</v>
      </c>
      <c r="P105">
        <v>39012000</v>
      </c>
      <c r="Q105">
        <v>10208000</v>
      </c>
      <c r="R105">
        <v>0.261622840740171</v>
      </c>
      <c r="T105">
        <v>28805569.7370444</v>
      </c>
      <c r="U105">
        <v>94.1358488138707</v>
      </c>
      <c r="V105">
        <v>117917.53693527</v>
      </c>
      <c r="W105">
        <v>943340.295482157</v>
      </c>
    </row>
    <row r="106" spans="1:24">
      <c r="I106" t="s">
        <v>232</v>
      </c>
      <c r="J106">
        <v>11</v>
      </c>
      <c r="K106">
        <v>37400000</v>
      </c>
      <c r="L106">
        <v>45940000</v>
      </c>
      <c r="M106">
        <v>40176000</v>
      </c>
      <c r="N106">
        <v>4705200</v>
      </c>
      <c r="O106">
        <v>0</v>
      </c>
      <c r="P106">
        <v>44881200</v>
      </c>
      <c r="Q106">
        <v>12640000</v>
      </c>
      <c r="R106">
        <v>0.275141488898563</v>
      </c>
      <c r="T106">
        <v>32532519.8084458</v>
      </c>
      <c r="U106">
        <v>86.9853470814059</v>
      </c>
      <c r="V106">
        <v>102335.702448713</v>
      </c>
      <c r="W106">
        <v>1125692.72693584</v>
      </c>
    </row>
    <row r="107" spans="1:24">
      <c r="I107" t="s">
        <v>233</v>
      </c>
      <c r="J107">
        <v>15</v>
      </c>
      <c r="K107">
        <v>56600000</v>
      </c>
      <c r="L107">
        <v>76096000</v>
      </c>
      <c r="M107">
        <v>76096000</v>
      </c>
      <c r="N107">
        <v>0</v>
      </c>
      <c r="O107">
        <v>0</v>
      </c>
      <c r="P107">
        <v>76096000</v>
      </c>
      <c r="Q107">
        <v>21396000</v>
      </c>
      <c r="R107">
        <v>0.281171152228764</v>
      </c>
      <c r="T107">
        <v>54700000</v>
      </c>
      <c r="U107">
        <v>96.643109540636</v>
      </c>
      <c r="V107">
        <v>122075.506788172</v>
      </c>
      <c r="W107">
        <v>1831132.60182258</v>
      </c>
    </row>
    <row r="108" spans="1:24">
      <c r="I108" t="s">
        <v>234</v>
      </c>
      <c r="J108">
        <v>17</v>
      </c>
      <c r="K108">
        <v>61600000</v>
      </c>
      <c r="L108">
        <v>76412000</v>
      </c>
      <c r="M108">
        <v>68022000</v>
      </c>
      <c r="N108">
        <v>3780000</v>
      </c>
      <c r="O108">
        <v>0</v>
      </c>
      <c r="P108">
        <v>71802000</v>
      </c>
      <c r="Q108">
        <v>22312000</v>
      </c>
      <c r="R108">
        <v>0.291996021567293</v>
      </c>
      <c r="S108">
        <v>3758064.51612903</v>
      </c>
      <c r="T108">
        <v>54594166.1755543</v>
      </c>
      <c r="U108">
        <v>88.6268931421335</v>
      </c>
      <c r="V108">
        <v>107337.015027695</v>
      </c>
      <c r="W108">
        <v>1824729.25547082</v>
      </c>
    </row>
    <row r="109" spans="1:24">
      <c r="I109" t="s">
        <v>235</v>
      </c>
      <c r="J109">
        <v>18</v>
      </c>
      <c r="K109">
        <v>75300000</v>
      </c>
      <c r="L109">
        <v>95437000</v>
      </c>
      <c r="M109">
        <v>95437000</v>
      </c>
      <c r="N109">
        <v>0</v>
      </c>
      <c r="O109">
        <v>0</v>
      </c>
      <c r="P109">
        <v>95437000</v>
      </c>
      <c r="Q109">
        <v>24237000</v>
      </c>
      <c r="R109">
        <v>0.253958108490418</v>
      </c>
      <c r="T109">
        <v>71200000</v>
      </c>
      <c r="U109">
        <v>94.5551128818061</v>
      </c>
      <c r="V109">
        <v>118442.720346683</v>
      </c>
      <c r="W109">
        <v>2131968.9662403</v>
      </c>
    </row>
    <row r="110" spans="1:24">
      <c r="I110" t="s">
        <v>236</v>
      </c>
      <c r="J110">
        <v>13</v>
      </c>
      <c r="K110">
        <v>54700000</v>
      </c>
      <c r="L110">
        <v>84805000</v>
      </c>
      <c r="M110">
        <v>71463000</v>
      </c>
      <c r="N110">
        <v>6592500</v>
      </c>
      <c r="O110">
        <v>700000</v>
      </c>
      <c r="P110">
        <v>78755500</v>
      </c>
      <c r="Q110">
        <v>31705000</v>
      </c>
      <c r="R110">
        <v>0.373857673486233</v>
      </c>
      <c r="S110">
        <v>2303225.80645161</v>
      </c>
      <c r="T110">
        <v>51615377.8022066</v>
      </c>
      <c r="U110">
        <v>94.360836932736</v>
      </c>
      <c r="V110">
        <v>118199.364157848</v>
      </c>
      <c r="W110">
        <v>1536591.73405203</v>
      </c>
    </row>
    <row r="111" spans="1:24">
      <c r="I111" t="s">
        <v>237</v>
      </c>
      <c r="J111">
        <v>8</v>
      </c>
      <c r="K111">
        <v>34000000</v>
      </c>
      <c r="L111">
        <v>44385600</v>
      </c>
      <c r="M111">
        <v>39855600</v>
      </c>
      <c r="N111">
        <v>4077000</v>
      </c>
      <c r="O111">
        <v>0</v>
      </c>
      <c r="P111">
        <v>43932600</v>
      </c>
      <c r="Q111">
        <v>12085600</v>
      </c>
      <c r="R111">
        <v>0.272286507335712</v>
      </c>
      <c r="T111">
        <v>31970345.7878231</v>
      </c>
      <c r="U111">
        <v>94.030428787715</v>
      </c>
      <c r="V111">
        <v>117785.484481453</v>
      </c>
      <c r="W111">
        <v>942283.875851628</v>
      </c>
    </row>
    <row r="112" spans="1:24">
      <c r="I112" t="s">
        <v>238</v>
      </c>
      <c r="J112">
        <v>9</v>
      </c>
      <c r="K112">
        <v>30900000</v>
      </c>
      <c r="L112">
        <v>41249000</v>
      </c>
      <c r="M112">
        <v>41249000</v>
      </c>
      <c r="N112">
        <v>0</v>
      </c>
      <c r="O112">
        <v>0</v>
      </c>
      <c r="P112">
        <v>41249000</v>
      </c>
      <c r="Q112">
        <v>10449000</v>
      </c>
      <c r="R112">
        <v>0.253315231884409</v>
      </c>
      <c r="T112">
        <v>30800000</v>
      </c>
      <c r="U112">
        <v>99.6763754045307</v>
      </c>
      <c r="V112">
        <v>129579.28802589</v>
      </c>
      <c r="W112">
        <v>1166213.59223301</v>
      </c>
    </row>
    <row r="113" spans="2:24">
      <c r="I113" t="s">
        <v>239</v>
      </c>
      <c r="J113">
        <v>15</v>
      </c>
      <c r="K113">
        <v>61200000</v>
      </c>
      <c r="L113">
        <v>76148000</v>
      </c>
      <c r="M113">
        <v>62636000</v>
      </c>
      <c r="N113">
        <v>8370000</v>
      </c>
      <c r="O113">
        <v>0</v>
      </c>
      <c r="P113">
        <v>71006000</v>
      </c>
      <c r="Q113">
        <v>18848000</v>
      </c>
      <c r="R113">
        <v>0.247517991280139</v>
      </c>
      <c r="S113">
        <v>3648387.09677419</v>
      </c>
      <c r="T113">
        <v>57079124.6079367</v>
      </c>
      <c r="U113">
        <v>93.2665434770207</v>
      </c>
      <c r="V113">
        <v>116828.617618584</v>
      </c>
      <c r="W113">
        <v>1752429.26427876</v>
      </c>
    </row>
    <row r="114" spans="2:24">
      <c r="I114" t="s">
        <v>240</v>
      </c>
      <c r="J114">
        <v>23</v>
      </c>
      <c r="K114">
        <v>177000000</v>
      </c>
      <c r="L114">
        <v>208984000</v>
      </c>
      <c r="M114">
        <v>170086000</v>
      </c>
      <c r="N114">
        <v>15418800</v>
      </c>
      <c r="O114">
        <v>1943900</v>
      </c>
      <c r="P114">
        <v>187448700</v>
      </c>
      <c r="Q114">
        <v>44884000</v>
      </c>
      <c r="R114">
        <v>0.214772422769207</v>
      </c>
      <c r="S114">
        <v>9612903.22580645</v>
      </c>
      <c r="T114">
        <v>156802791.781868</v>
      </c>
      <c r="U114">
        <v>88.5891478993605</v>
      </c>
      <c r="V114">
        <v>107291.301344781</v>
      </c>
      <c r="W114">
        <v>2467699.93092997</v>
      </c>
    </row>
    <row r="115" spans="2:24">
      <c r="I115">
        <v>11</v>
      </c>
      <c r="J115">
        <v>146</v>
      </c>
      <c r="K115">
        <v>648300000</v>
      </c>
      <c r="L115">
        <v>823682600</v>
      </c>
      <c r="M115">
        <v>739186600</v>
      </c>
      <c r="N115">
        <v>42997500</v>
      </c>
      <c r="O115">
        <v>2643900</v>
      </c>
      <c r="P115">
        <v>784828000</v>
      </c>
      <c r="Q115">
        <v>218872600</v>
      </c>
      <c r="S115">
        <v>19322580.6451613</v>
      </c>
      <c r="T115">
        <v>595199895.700879</v>
      </c>
      <c r="U115">
        <v>91.8093314361991</v>
      </c>
      <c r="W115">
        <v>16638512.2635811</v>
      </c>
    </row>
    <row r="116" spans="2:24">
      <c r="B116" t="s">
        <v>241</v>
      </c>
      <c r="C116" t="s">
        <v>141</v>
      </c>
      <c r="E116">
        <v>500000</v>
      </c>
      <c r="F116">
        <v>500000</v>
      </c>
      <c r="I116" t="s">
        <v>242</v>
      </c>
      <c r="J116">
        <v>10</v>
      </c>
      <c r="K116">
        <v>41000000</v>
      </c>
      <c r="L116">
        <v>50861000</v>
      </c>
      <c r="M116">
        <v>45397000</v>
      </c>
      <c r="N116">
        <v>0</v>
      </c>
      <c r="O116">
        <v>0</v>
      </c>
      <c r="P116">
        <v>45397000</v>
      </c>
      <c r="Q116">
        <v>13161000</v>
      </c>
      <c r="R116">
        <v>0.258764082499361</v>
      </c>
      <c r="S116">
        <v>3658064.51612903</v>
      </c>
      <c r="T116">
        <v>37307951.4629055</v>
      </c>
      <c r="U116">
        <v>90.9950035680623</v>
      </c>
      <c r="V116">
        <v>101105.559520069</v>
      </c>
      <c r="W116">
        <v>1011055.59520069</v>
      </c>
      <c r="X116">
        <v>15267463.8119131</v>
      </c>
    </row>
    <row r="117" spans="2:24">
      <c r="I117" t="s">
        <v>243</v>
      </c>
      <c r="J117">
        <v>16</v>
      </c>
      <c r="K117">
        <v>60200000</v>
      </c>
      <c r="L117">
        <v>82160000</v>
      </c>
      <c r="M117">
        <v>60729000</v>
      </c>
      <c r="N117">
        <v>14841900</v>
      </c>
      <c r="O117">
        <v>907200</v>
      </c>
      <c r="P117">
        <v>76478100</v>
      </c>
      <c r="Q117">
        <v>25260000</v>
      </c>
      <c r="R117">
        <v>0.30744888023369</v>
      </c>
      <c r="T117">
        <v>52964993.7925998</v>
      </c>
      <c r="U117">
        <v>87.9817172634548</v>
      </c>
      <c r="V117">
        <v>96779.8889898003</v>
      </c>
      <c r="W117">
        <v>1548478.22383681</v>
      </c>
    </row>
    <row r="118" spans="2:24">
      <c r="I118" t="s">
        <v>244</v>
      </c>
      <c r="J118">
        <v>20</v>
      </c>
      <c r="K118">
        <v>75900000</v>
      </c>
      <c r="L118">
        <v>103396800</v>
      </c>
      <c r="M118">
        <v>101310800</v>
      </c>
      <c r="N118">
        <v>1881000</v>
      </c>
      <c r="O118">
        <v>0</v>
      </c>
      <c r="P118">
        <v>103191800</v>
      </c>
      <c r="Q118">
        <v>28196800</v>
      </c>
      <c r="R118">
        <v>0.27270476455751</v>
      </c>
      <c r="T118">
        <v>75050904.4767343</v>
      </c>
      <c r="U118">
        <v>98.8812970707962</v>
      </c>
      <c r="V118">
        <v>118657.556484955</v>
      </c>
      <c r="W118">
        <v>2373151.12969911</v>
      </c>
    </row>
    <row r="119" spans="2:24">
      <c r="I119" t="s">
        <v>245</v>
      </c>
      <c r="J119">
        <v>8</v>
      </c>
      <c r="K119">
        <v>31200000</v>
      </c>
      <c r="L119">
        <v>41134000</v>
      </c>
      <c r="M119">
        <v>41020000</v>
      </c>
      <c r="N119">
        <v>102600</v>
      </c>
      <c r="O119">
        <v>0</v>
      </c>
      <c r="P119">
        <v>41122600</v>
      </c>
      <c r="Q119">
        <v>12334000</v>
      </c>
      <c r="R119">
        <v>0.299849273107405</v>
      </c>
      <c r="T119">
        <v>28792018.2817134</v>
      </c>
      <c r="U119">
        <v>92.2821098772866</v>
      </c>
      <c r="V119">
        <v>102535.67764143</v>
      </c>
      <c r="W119">
        <v>820285.421131436</v>
      </c>
    </row>
    <row r="120" spans="2:24">
      <c r="I120" t="s">
        <v>246</v>
      </c>
      <c r="J120">
        <v>21</v>
      </c>
      <c r="K120">
        <v>71500000</v>
      </c>
      <c r="L120">
        <v>92945000</v>
      </c>
      <c r="M120">
        <v>79062000</v>
      </c>
      <c r="N120">
        <v>0</v>
      </c>
      <c r="O120">
        <v>1061900</v>
      </c>
      <c r="P120">
        <v>80123900</v>
      </c>
      <c r="Q120">
        <v>25365000</v>
      </c>
      <c r="R120">
        <v>0.272903329926301</v>
      </c>
      <c r="S120">
        <v>7751612.90322581</v>
      </c>
      <c r="T120">
        <v>66009433.7865439</v>
      </c>
      <c r="U120">
        <v>92.3208864147467</v>
      </c>
      <c r="V120">
        <v>102578.762683052</v>
      </c>
      <c r="W120">
        <v>2154154.01634409</v>
      </c>
    </row>
    <row r="121" spans="2:24">
      <c r="I121" t="s">
        <v>247</v>
      </c>
      <c r="J121">
        <v>11</v>
      </c>
      <c r="K121">
        <v>50300000</v>
      </c>
      <c r="L121">
        <v>63268000</v>
      </c>
      <c r="M121">
        <v>63268000</v>
      </c>
      <c r="N121">
        <v>0</v>
      </c>
      <c r="O121">
        <v>0</v>
      </c>
      <c r="P121">
        <v>63268000</v>
      </c>
      <c r="Q121">
        <v>15568000</v>
      </c>
      <c r="R121">
        <v>0.246064361130429</v>
      </c>
      <c r="T121">
        <v>47700000</v>
      </c>
      <c r="U121">
        <v>94.831013916501</v>
      </c>
      <c r="V121">
        <v>108806.110704196</v>
      </c>
      <c r="W121">
        <v>1196867.21774615</v>
      </c>
    </row>
    <row r="122" spans="2:24">
      <c r="I122" t="s">
        <v>248</v>
      </c>
      <c r="J122">
        <v>9</v>
      </c>
      <c r="K122">
        <v>27800000</v>
      </c>
      <c r="L122">
        <v>35861000</v>
      </c>
      <c r="M122">
        <v>31824000</v>
      </c>
      <c r="N122">
        <v>0</v>
      </c>
      <c r="O122">
        <v>0</v>
      </c>
      <c r="P122">
        <v>31824000</v>
      </c>
      <c r="Q122">
        <v>9161000</v>
      </c>
      <c r="R122">
        <v>0.255458576169097</v>
      </c>
      <c r="T122">
        <v>23694286.2719946</v>
      </c>
      <c r="U122">
        <v>85.2312455827145</v>
      </c>
      <c r="V122">
        <v>90244.8482640507</v>
      </c>
      <c r="W122">
        <v>812203.634376456</v>
      </c>
    </row>
    <row r="123" spans="2:24">
      <c r="I123" t="s">
        <v>249</v>
      </c>
      <c r="J123">
        <v>10</v>
      </c>
      <c r="K123">
        <v>41300000</v>
      </c>
      <c r="L123">
        <v>52485600</v>
      </c>
      <c r="M123">
        <v>51520806</v>
      </c>
      <c r="N123">
        <v>867600</v>
      </c>
      <c r="O123">
        <v>0</v>
      </c>
      <c r="P123">
        <v>52388406</v>
      </c>
      <c r="Q123">
        <v>12485600</v>
      </c>
      <c r="R123">
        <v>0.237886201167558</v>
      </c>
      <c r="T123">
        <v>39925927.1114363</v>
      </c>
      <c r="U123">
        <v>96.6729470010564</v>
      </c>
      <c r="V123">
        <v>111937.096527539</v>
      </c>
      <c r="W123">
        <v>1119370.96527539</v>
      </c>
    </row>
    <row r="124" spans="2:24">
      <c r="I124" t="s">
        <v>250</v>
      </c>
      <c r="J124">
        <v>13</v>
      </c>
      <c r="K124">
        <v>67000000</v>
      </c>
      <c r="L124">
        <v>86054000</v>
      </c>
      <c r="M124">
        <v>76506000</v>
      </c>
      <c r="N124">
        <v>2851200</v>
      </c>
      <c r="O124">
        <v>0</v>
      </c>
      <c r="P124">
        <v>79357200</v>
      </c>
      <c r="Q124">
        <v>20454000</v>
      </c>
      <c r="R124">
        <v>0.237687963371836</v>
      </c>
      <c r="T124">
        <v>60494948.7531085</v>
      </c>
      <c r="U124">
        <v>90.2909682882217</v>
      </c>
      <c r="V124">
        <v>100323.298098024</v>
      </c>
      <c r="W124">
        <v>1304202.87527431</v>
      </c>
    </row>
    <row r="125" spans="2:24">
      <c r="I125" t="s">
        <v>251</v>
      </c>
      <c r="J125">
        <v>20</v>
      </c>
      <c r="K125">
        <v>74400000</v>
      </c>
      <c r="L125">
        <v>86615667</v>
      </c>
      <c r="M125">
        <v>68366000</v>
      </c>
      <c r="N125">
        <v>5822100</v>
      </c>
      <c r="O125">
        <v>3438400</v>
      </c>
      <c r="P125">
        <v>77626500</v>
      </c>
      <c r="Q125">
        <v>17158000</v>
      </c>
      <c r="R125">
        <v>0.198093492716508</v>
      </c>
      <c r="S125">
        <v>2941935.48387097</v>
      </c>
      <c r="T125">
        <v>65191130.9715129</v>
      </c>
      <c r="U125">
        <v>87.6224878649367</v>
      </c>
      <c r="V125">
        <v>96384.7366514304</v>
      </c>
      <c r="W125">
        <v>1927694.73302861</v>
      </c>
    </row>
    <row r="126" spans="2:24">
      <c r="I126">
        <v>10</v>
      </c>
      <c r="J126">
        <v>138</v>
      </c>
      <c r="K126">
        <v>540600000</v>
      </c>
      <c r="L126">
        <v>694781067</v>
      </c>
      <c r="M126">
        <v>619003606</v>
      </c>
      <c r="N126">
        <v>26366400</v>
      </c>
      <c r="O126">
        <v>5407500</v>
      </c>
      <c r="P126">
        <v>650777506</v>
      </c>
      <c r="Q126">
        <v>179143400</v>
      </c>
      <c r="S126">
        <v>14351612.9032258</v>
      </c>
      <c r="T126">
        <v>497131594.908549</v>
      </c>
      <c r="U126">
        <v>91.9592295428319</v>
      </c>
      <c r="W126">
        <v>14267463.8119131</v>
      </c>
    </row>
    <row r="127" spans="2:24">
      <c r="B127" t="s">
        <v>252</v>
      </c>
      <c r="C127" t="s">
        <v>141</v>
      </c>
      <c r="E127">
        <v>500000</v>
      </c>
      <c r="F127">
        <v>500000</v>
      </c>
      <c r="I127" t="s">
        <v>253</v>
      </c>
      <c r="J127">
        <v>22</v>
      </c>
      <c r="K127">
        <v>69800000</v>
      </c>
      <c r="L127">
        <v>89559161</v>
      </c>
      <c r="M127">
        <v>60814000</v>
      </c>
      <c r="N127">
        <v>25931700</v>
      </c>
      <c r="O127">
        <v>0</v>
      </c>
      <c r="P127">
        <v>86745700</v>
      </c>
      <c r="Q127">
        <v>23314000</v>
      </c>
      <c r="R127">
        <v>0.2603195445299</v>
      </c>
      <c r="T127">
        <v>64164098.8860726</v>
      </c>
      <c r="U127">
        <v>91.9256431032559</v>
      </c>
      <c r="V127">
        <v>102139.603448062</v>
      </c>
      <c r="W127">
        <v>2247071.27585737</v>
      </c>
      <c r="X127">
        <v>8717144.68566771</v>
      </c>
    </row>
    <row r="128" spans="2:24">
      <c r="I128" t="s">
        <v>254</v>
      </c>
      <c r="J128">
        <v>9</v>
      </c>
      <c r="K128">
        <v>21200000</v>
      </c>
      <c r="L128">
        <v>27162000</v>
      </c>
      <c r="M128">
        <v>24174000</v>
      </c>
      <c r="N128">
        <v>0</v>
      </c>
      <c r="O128">
        <v>0</v>
      </c>
      <c r="P128">
        <v>24174000</v>
      </c>
      <c r="Q128">
        <v>7162000</v>
      </c>
      <c r="R128">
        <v>0.263677196082763</v>
      </c>
      <c r="T128">
        <v>17799867.4618953</v>
      </c>
      <c r="U128">
        <v>83.9616389712042</v>
      </c>
      <c r="V128">
        <v>87912.7749227903</v>
      </c>
      <c r="W128">
        <v>791214.974305113</v>
      </c>
    </row>
    <row r="129" spans="9:23">
      <c r="I129" t="s">
        <v>255</v>
      </c>
      <c r="J129">
        <v>8</v>
      </c>
      <c r="K129">
        <v>17200000</v>
      </c>
      <c r="L129">
        <v>26560000</v>
      </c>
      <c r="M129">
        <v>26560334</v>
      </c>
      <c r="N129">
        <v>0</v>
      </c>
      <c r="O129">
        <v>0</v>
      </c>
      <c r="P129">
        <v>26560334</v>
      </c>
      <c r="Q129">
        <v>9760000</v>
      </c>
      <c r="R129">
        <v>0.367469879518072</v>
      </c>
      <c r="T129">
        <v>16800211.2650602</v>
      </c>
      <c r="U129">
        <v>97.6756468898851</v>
      </c>
      <c r="V129">
        <v>117210.776267862</v>
      </c>
      <c r="W129">
        <v>937686.210142897</v>
      </c>
    </row>
    <row r="130" spans="9:23">
      <c r="I130" t="s">
        <v>256</v>
      </c>
      <c r="J130">
        <v>14</v>
      </c>
      <c r="K130">
        <v>45300000</v>
      </c>
      <c r="L130">
        <v>59610000</v>
      </c>
      <c r="M130">
        <v>59610000</v>
      </c>
      <c r="N130">
        <v>0</v>
      </c>
      <c r="O130">
        <v>0</v>
      </c>
      <c r="P130">
        <v>59610000</v>
      </c>
      <c r="Q130">
        <v>16610000</v>
      </c>
      <c r="R130">
        <v>0.278644522731085</v>
      </c>
      <c r="T130">
        <v>43000000</v>
      </c>
      <c r="U130">
        <v>94.9227373068433</v>
      </c>
      <c r="V130">
        <v>108911.351225746</v>
      </c>
      <c r="W130">
        <v>1524758.91716045</v>
      </c>
    </row>
    <row r="131" spans="9:23">
      <c r="I131" t="s">
        <v>257</v>
      </c>
      <c r="J131">
        <v>9</v>
      </c>
      <c r="K131">
        <v>35000000</v>
      </c>
      <c r="L131">
        <v>44594000</v>
      </c>
      <c r="M131">
        <v>38843000</v>
      </c>
      <c r="N131">
        <v>5175900</v>
      </c>
      <c r="O131">
        <v>0</v>
      </c>
      <c r="P131">
        <v>44018900</v>
      </c>
      <c r="Q131">
        <v>10494000</v>
      </c>
      <c r="R131">
        <v>0.235323137641835</v>
      </c>
      <c r="S131">
        <v>3348387.09677419</v>
      </c>
      <c r="T131">
        <v>37008621.433232</v>
      </c>
      <c r="U131">
        <v>105.738918380663</v>
      </c>
      <c r="V131">
        <v>126886.702056795</v>
      </c>
      <c r="W131">
        <v>1141980.31851116</v>
      </c>
    </row>
    <row r="132" spans="9:23">
      <c r="I132" t="s">
        <v>258</v>
      </c>
      <c r="J132">
        <v>9</v>
      </c>
      <c r="K132">
        <v>38800000</v>
      </c>
      <c r="L132">
        <v>48255000</v>
      </c>
      <c r="M132">
        <v>48255000</v>
      </c>
      <c r="N132">
        <v>0</v>
      </c>
      <c r="O132">
        <v>0</v>
      </c>
      <c r="P132">
        <v>48255000</v>
      </c>
      <c r="Q132">
        <v>9655000</v>
      </c>
      <c r="R132">
        <v>0.20008289296446</v>
      </c>
      <c r="T132">
        <v>38600000</v>
      </c>
      <c r="U132">
        <v>99.4845360824742</v>
      </c>
      <c r="V132">
        <v>119381.443298969</v>
      </c>
      <c r="W132">
        <v>1074432.98969072</v>
      </c>
    </row>
    <row r="133" spans="9:23">
      <c r="I133">
        <v>6</v>
      </c>
      <c r="J133">
        <v>71</v>
      </c>
      <c r="K133">
        <v>227300000</v>
      </c>
      <c r="L133">
        <v>295740161</v>
      </c>
      <c r="M133">
        <v>258256334</v>
      </c>
      <c r="N133">
        <v>31107600</v>
      </c>
      <c r="O133">
        <v>0</v>
      </c>
      <c r="P133">
        <v>289363934</v>
      </c>
      <c r="Q133">
        <v>76995000</v>
      </c>
      <c r="S133">
        <v>3348387.09677419</v>
      </c>
      <c r="T133">
        <v>217372799.04626</v>
      </c>
      <c r="U133">
        <v>95.6325556736736</v>
      </c>
      <c r="W133">
        <v>7717144.68566771</v>
      </c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000"/>
  <sheetViews>
    <sheetView topLeftCell="A20" workbookViewId="0">
      <selection activeCell="G31" sqref="G31"/>
    </sheetView>
  </sheetViews>
  <sheetFormatPr defaultColWidth="8.88888888888889" defaultRowHeight="14.4"/>
  <cols>
    <col min="2" max="2" width="13.2222222222222" customWidth="1"/>
    <col min="3" max="3" width="24.8888888888889" customWidth="1"/>
    <col min="4" max="4" width="15.7777777777778" customWidth="1"/>
    <col min="5" max="5" width="18.6666666666667" customWidth="1"/>
    <col min="6" max="6" width="14.2222222222222" customWidth="1"/>
    <col min="7" max="7" width="14.8888888888889" customWidth="1"/>
    <col min="8" max="8" width="19.7777777777778" customWidth="1"/>
    <col min="9" max="9" width="16.4444444444444" customWidth="1"/>
    <col min="10" max="10" width="52" customWidth="1"/>
  </cols>
  <sheetData>
    <row r="1" ht="15.15" spans="1:26">
      <c r="A1" s="3"/>
      <c r="B1" s="4"/>
      <c r="C1" s="4"/>
      <c r="D1" s="4"/>
      <c r="E1" s="4"/>
      <c r="F1" s="4"/>
      <c r="G1" s="4"/>
      <c r="H1" s="4"/>
      <c r="I1" s="4"/>
      <c r="J1" s="4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31.5" customHeight="1" spans="1:26">
      <c r="A2" s="5"/>
      <c r="B2" s="6" t="s">
        <v>259</v>
      </c>
      <c r="C2" s="6"/>
      <c r="D2" s="6"/>
      <c r="E2" s="6"/>
      <c r="F2" s="6"/>
      <c r="G2" s="6"/>
      <c r="H2" s="6"/>
      <c r="I2" s="6"/>
      <c r="J2" s="6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9" customHeight="1" spans="1:26">
      <c r="A3" s="5"/>
      <c r="B3" s="7"/>
      <c r="C3" s="7"/>
      <c r="D3" s="7"/>
      <c r="E3" s="7"/>
      <c r="F3" s="7"/>
      <c r="G3" s="7"/>
      <c r="H3" s="7"/>
      <c r="I3" s="7"/>
      <c r="J3" s="7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35.55" customHeight="1" spans="1:26">
      <c r="A4" s="5"/>
      <c r="B4" s="8" t="s">
        <v>260</v>
      </c>
      <c r="C4" s="8"/>
      <c r="D4" s="8"/>
      <c r="E4" s="8"/>
      <c r="F4" s="8"/>
      <c r="G4" s="8"/>
      <c r="H4" s="8"/>
      <c r="I4" s="8"/>
      <c r="J4" s="8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51.15" spans="1:26">
      <c r="A5" s="3"/>
      <c r="B5" s="9" t="s">
        <v>261</v>
      </c>
      <c r="C5" s="10" t="s">
        <v>262</v>
      </c>
      <c r="D5" s="11" t="s">
        <v>263</v>
      </c>
      <c r="E5" s="12" t="s">
        <v>264</v>
      </c>
      <c r="F5" s="13"/>
      <c r="G5" s="14"/>
      <c r="H5" s="15" t="s">
        <v>265</v>
      </c>
      <c r="I5" s="10" t="s">
        <v>266</v>
      </c>
      <c r="J5" s="16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34.35" spans="1:26">
      <c r="A6" s="5"/>
      <c r="B6" s="17" t="s">
        <v>110</v>
      </c>
      <c r="C6" s="17" t="s">
        <v>267</v>
      </c>
      <c r="D6" s="17" t="s">
        <v>268</v>
      </c>
      <c r="E6" s="17" t="s">
        <v>269</v>
      </c>
      <c r="F6" s="17" t="s">
        <v>270</v>
      </c>
      <c r="G6" s="17" t="s">
        <v>271</v>
      </c>
      <c r="H6" s="17" t="s">
        <v>272</v>
      </c>
      <c r="I6" s="17" t="s">
        <v>273</v>
      </c>
      <c r="J6" s="18" t="s">
        <v>274</v>
      </c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78.75" customHeight="1" spans="1:26">
      <c r="A7" s="5"/>
      <c r="B7" s="17">
        <v>1</v>
      </c>
      <c r="C7" s="19" t="s">
        <v>275</v>
      </c>
      <c r="D7" s="14"/>
      <c r="E7" s="14"/>
      <c r="F7" s="20">
        <v>1</v>
      </c>
      <c r="G7" s="20" t="s">
        <v>276</v>
      </c>
      <c r="H7" s="20" t="s">
        <v>277</v>
      </c>
      <c r="I7" s="21" t="s">
        <v>277</v>
      </c>
      <c r="J7" s="22" t="s">
        <v>278</v>
      </c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01.55" spans="1:26">
      <c r="A8" s="5"/>
      <c r="B8" s="17">
        <v>2</v>
      </c>
      <c r="C8" s="19" t="s">
        <v>279</v>
      </c>
      <c r="D8" s="14"/>
      <c r="E8" s="14"/>
      <c r="F8" s="20">
        <v>1</v>
      </c>
      <c r="G8" s="20" t="s">
        <v>276</v>
      </c>
      <c r="H8" s="14"/>
      <c r="I8" s="21">
        <v>0</v>
      </c>
      <c r="J8" s="22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34.35" spans="1:26">
      <c r="A9" s="5"/>
      <c r="B9" s="17">
        <v>3</v>
      </c>
      <c r="C9" s="19" t="s">
        <v>280</v>
      </c>
      <c r="D9" s="23">
        <v>11377</v>
      </c>
      <c r="E9" s="20">
        <v>11160</v>
      </c>
      <c r="F9" s="20">
        <v>217</v>
      </c>
      <c r="G9" s="20" t="s">
        <v>276</v>
      </c>
      <c r="H9" s="20">
        <v>4</v>
      </c>
      <c r="I9" s="21">
        <v>868</v>
      </c>
      <c r="J9" s="22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34.35" spans="1:26">
      <c r="A10" s="5"/>
      <c r="B10" s="17">
        <v>4</v>
      </c>
      <c r="C10" s="19" t="s">
        <v>281</v>
      </c>
      <c r="D10" s="14"/>
      <c r="E10" s="14"/>
      <c r="F10" s="20">
        <v>2</v>
      </c>
      <c r="G10" s="20" t="s">
        <v>276</v>
      </c>
      <c r="H10" s="20">
        <v>120</v>
      </c>
      <c r="I10" s="21">
        <v>240</v>
      </c>
      <c r="J10" s="22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34.35" spans="1:26">
      <c r="A11" s="5"/>
      <c r="B11" s="17">
        <v>5</v>
      </c>
      <c r="C11" s="19" t="s">
        <v>282</v>
      </c>
      <c r="D11" s="14"/>
      <c r="E11" s="14"/>
      <c r="F11" s="20">
        <v>0</v>
      </c>
      <c r="G11" s="20" t="s">
        <v>276</v>
      </c>
      <c r="H11" s="14"/>
      <c r="I11" s="21">
        <v>0</v>
      </c>
      <c r="J11" s="22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67.95" spans="1:26">
      <c r="A12" s="5"/>
      <c r="B12" s="17">
        <v>6</v>
      </c>
      <c r="C12" s="19" t="s">
        <v>283</v>
      </c>
      <c r="D12" s="14"/>
      <c r="E12" s="14"/>
      <c r="F12" s="20">
        <v>0</v>
      </c>
      <c r="G12" s="20" t="s">
        <v>276</v>
      </c>
      <c r="H12" s="20">
        <v>100</v>
      </c>
      <c r="I12" s="21">
        <v>0</v>
      </c>
      <c r="J12" s="22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67.95" spans="1:26">
      <c r="A13" s="5"/>
      <c r="B13" s="17">
        <v>7</v>
      </c>
      <c r="C13" s="19" t="s">
        <v>284</v>
      </c>
      <c r="D13" s="14"/>
      <c r="E13" s="14"/>
      <c r="F13" s="20">
        <v>0</v>
      </c>
      <c r="G13" s="20" t="s">
        <v>276</v>
      </c>
      <c r="H13" s="14"/>
      <c r="I13" s="21">
        <v>0</v>
      </c>
      <c r="J13" s="22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34.35" spans="1:26">
      <c r="A14" s="5"/>
      <c r="B14" s="17">
        <v>8</v>
      </c>
      <c r="C14" s="19" t="s">
        <v>285</v>
      </c>
      <c r="D14" s="14"/>
      <c r="E14" s="14"/>
      <c r="F14" s="20">
        <v>0</v>
      </c>
      <c r="G14" s="20" t="s">
        <v>276</v>
      </c>
      <c r="H14" s="14"/>
      <c r="I14" s="21">
        <v>0</v>
      </c>
      <c r="J14" s="22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34.35" spans="1:26">
      <c r="A15" s="5"/>
      <c r="B15" s="17">
        <v>9</v>
      </c>
      <c r="C15" s="19" t="s">
        <v>286</v>
      </c>
      <c r="D15" s="14"/>
      <c r="E15" s="14"/>
      <c r="F15" s="20">
        <v>0</v>
      </c>
      <c r="G15" s="20" t="s">
        <v>276</v>
      </c>
      <c r="H15" s="14"/>
      <c r="I15" s="21">
        <v>0</v>
      </c>
      <c r="J15" s="22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70.35" spans="1:26">
      <c r="A16" s="5"/>
      <c r="B16" s="17">
        <v>10</v>
      </c>
      <c r="C16" s="10" t="s">
        <v>287</v>
      </c>
      <c r="D16" s="14"/>
      <c r="E16" s="14"/>
      <c r="F16" s="20">
        <v>2</v>
      </c>
      <c r="G16" s="20" t="s">
        <v>276</v>
      </c>
      <c r="H16" s="20">
        <v>120</v>
      </c>
      <c r="I16" s="21">
        <v>240</v>
      </c>
      <c r="J16" s="24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8.15" spans="1:26">
      <c r="A17" s="5"/>
      <c r="B17" s="25">
        <v>11</v>
      </c>
      <c r="C17" s="26" t="s">
        <v>288</v>
      </c>
      <c r="D17" s="27"/>
      <c r="E17" s="27"/>
      <c r="F17" s="20">
        <v>1</v>
      </c>
      <c r="G17" s="20" t="s">
        <v>276</v>
      </c>
      <c r="H17" s="14"/>
      <c r="I17" s="21">
        <v>0</v>
      </c>
      <c r="J17" s="24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35.55" spans="1:26">
      <c r="A18" s="28"/>
      <c r="B18" s="29">
        <v>12</v>
      </c>
      <c r="C18" s="30" t="s">
        <v>289</v>
      </c>
      <c r="D18" s="31"/>
      <c r="E18" s="27"/>
      <c r="F18" s="20">
        <v>0</v>
      </c>
      <c r="G18" s="32" t="s">
        <v>276</v>
      </c>
      <c r="H18" s="33"/>
      <c r="I18" s="34">
        <v>0</v>
      </c>
      <c r="J18" s="24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47.1" customHeight="1" spans="1:26">
      <c r="A19" s="5"/>
      <c r="B19" s="35" t="s">
        <v>290</v>
      </c>
      <c r="C19" s="35"/>
      <c r="D19" s="35"/>
      <c r="E19" s="35"/>
      <c r="F19" s="35"/>
      <c r="G19" s="35"/>
      <c r="H19" s="35"/>
      <c r="I19" s="36" t="s">
        <v>291</v>
      </c>
      <c r="J19" s="37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ht="46.35" customHeight="1" spans="1:26">
      <c r="A20" s="5"/>
      <c r="B20" s="38" t="s">
        <v>292</v>
      </c>
      <c r="C20" s="38"/>
      <c r="D20" s="38"/>
      <c r="E20" s="38"/>
      <c r="F20" s="38"/>
      <c r="G20" s="38"/>
      <c r="H20" s="38"/>
      <c r="I20" s="38"/>
      <c r="J20" s="38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ht="61.95" customHeight="1" spans="1:26">
      <c r="A21" s="5"/>
      <c r="B21" s="39" t="s">
        <v>293</v>
      </c>
      <c r="C21" s="39"/>
      <c r="D21" s="39"/>
      <c r="E21" s="39"/>
      <c r="F21" s="39"/>
      <c r="G21" s="39"/>
      <c r="H21" s="39"/>
      <c r="I21" s="39"/>
      <c r="J21" s="39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ht="69.15" customHeight="1" spans="1:26">
      <c r="A22" s="5"/>
      <c r="B22" s="40" t="s">
        <v>294</v>
      </c>
      <c r="C22" s="40"/>
      <c r="D22" s="38" t="s">
        <v>264</v>
      </c>
      <c r="E22" s="38"/>
      <c r="F22" s="38"/>
      <c r="G22" s="38"/>
      <c r="H22" s="38"/>
      <c r="I22" s="38"/>
      <c r="J22" s="38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ht="18.15" spans="1:26">
      <c r="A23" s="3"/>
      <c r="B23" s="41" t="s">
        <v>295</v>
      </c>
      <c r="C23" s="42"/>
      <c r="D23" s="43"/>
      <c r="E23" s="42"/>
      <c r="F23" s="42"/>
      <c r="G23" s="42"/>
      <c r="H23" s="42"/>
      <c r="I23" s="42"/>
      <c r="J23" s="42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ht="21.9" customHeight="1" spans="1:26">
      <c r="A24" s="5"/>
      <c r="B24" s="39" t="s">
        <v>296</v>
      </c>
      <c r="C24" s="39"/>
      <c r="D24" s="39"/>
      <c r="E24" s="39"/>
      <c r="F24" s="39"/>
      <c r="G24" s="39"/>
      <c r="H24" s="39"/>
      <c r="I24" s="39"/>
      <c r="J24" s="39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ht="15.9" customHeight="1" spans="1:26">
      <c r="A25" s="5"/>
      <c r="B25" s="44"/>
      <c r="C25" s="44"/>
      <c r="D25" s="44"/>
      <c r="E25" s="44"/>
      <c r="F25" s="44"/>
      <c r="G25" s="44"/>
      <c r="H25" s="44"/>
      <c r="I25" s="44"/>
      <c r="J25" s="44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ht="24.3" customHeight="1" spans="1:26">
      <c r="A26" s="5"/>
      <c r="B26" s="45" t="s">
        <v>297</v>
      </c>
      <c r="C26" s="45"/>
      <c r="D26" s="45"/>
      <c r="E26" s="45"/>
      <c r="F26" s="45"/>
      <c r="G26" s="45"/>
      <c r="H26" s="45"/>
      <c r="I26" s="45"/>
      <c r="J26" s="45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ht="15.15" spans="1:26">
      <c r="A27" s="3"/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ht="15.15" spans="1:26">
      <c r="A28" s="3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ht="15.15" spans="1:26">
      <c r="A29" s="3"/>
      <c r="B29" s="3"/>
      <c r="C29" s="3"/>
      <c r="D29" s="3"/>
      <c r="E29" s="3"/>
      <c r="F29" s="3"/>
      <c r="G29" s="3"/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ht="15.15" spans="1:26">
      <c r="A30" s="3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ht="15.15" spans="1:26">
      <c r="A31" s="3"/>
      <c r="B31" s="3"/>
      <c r="C31" s="3"/>
      <c r="D31" s="3"/>
      <c r="E31" s="3"/>
      <c r="F31" s="3"/>
      <c r="G31" s="3"/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ht="15.15" spans="1:26">
      <c r="A32" s="3"/>
      <c r="B32" s="3"/>
      <c r="C32" s="3"/>
      <c r="D32" s="3"/>
      <c r="E32" s="3"/>
      <c r="F32" s="3"/>
      <c r="G32" s="3"/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ht="15.15" spans="1:26">
      <c r="A33" s="3"/>
      <c r="B33" s="3"/>
      <c r="C33" s="3"/>
      <c r="D33" s="3"/>
      <c r="E33" s="3"/>
      <c r="F33" s="3"/>
      <c r="G33" s="3"/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ht="15.15" spans="1:26">
      <c r="A34" s="3"/>
      <c r="B34" s="3"/>
      <c r="C34" s="3"/>
      <c r="D34" s="3"/>
      <c r="E34" s="3"/>
      <c r="F34" s="3"/>
      <c r="G34" s="3"/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ht="15.15" spans="1:26">
      <c r="A35" s="3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ht="15.15" spans="1:26">
      <c r="A36" s="3"/>
      <c r="B36" s="3"/>
      <c r="C36" s="3"/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ht="15.15" spans="1:26">
      <c r="A37" s="3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ht="15.15" spans="1:26">
      <c r="A38" s="3"/>
      <c r="B38" s="3"/>
      <c r="C38" s="3"/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ht="15.15" spans="1:26">
      <c r="A39" s="3"/>
      <c r="B39" s="3"/>
      <c r="C39" s="3"/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ht="15.15" spans="1:26">
      <c r="A40" s="3"/>
      <c r="B40" s="3"/>
      <c r="C40" s="3"/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ht="15.15" spans="1:26">
      <c r="A41" s="3"/>
      <c r="B41" s="3"/>
      <c r="C41" s="3"/>
      <c r="D41" s="3"/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ht="15.15" spans="1:26">
      <c r="A42" s="3"/>
      <c r="B42" s="3"/>
      <c r="C42" s="3"/>
      <c r="D42" s="3"/>
      <c r="E42" s="3"/>
      <c r="F42" s="3"/>
      <c r="G42" s="3"/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ht="15.15" spans="1:26">
      <c r="A43" s="3"/>
      <c r="B43" s="3"/>
      <c r="C43" s="3"/>
      <c r="D43" s="3"/>
      <c r="E43" s="3"/>
      <c r="F43" s="3"/>
      <c r="G43" s="3"/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ht="15.15" spans="1:26">
      <c r="A44" s="3"/>
      <c r="B44" s="3"/>
      <c r="C44" s="3"/>
      <c r="D44" s="3"/>
      <c r="E44" s="3"/>
      <c r="F44" s="3"/>
      <c r="G44" s="3"/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ht="15.15" spans="1:26">
      <c r="A45" s="3"/>
      <c r="B45" s="3"/>
      <c r="C45" s="3"/>
      <c r="D45" s="3"/>
      <c r="E45" s="3"/>
      <c r="F45" s="3"/>
      <c r="G45" s="3"/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ht="15.15" spans="1:26">
      <c r="A46" s="3"/>
      <c r="B46" s="3"/>
      <c r="C46" s="3"/>
      <c r="D46" s="3"/>
      <c r="E46" s="3"/>
      <c r="F46" s="3"/>
      <c r="G46" s="3"/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ht="15.15" spans="1:26">
      <c r="A47" s="3"/>
      <c r="B47" s="3"/>
      <c r="C47" s="3"/>
      <c r="D47" s="3"/>
      <c r="E47" s="3"/>
      <c r="F47" s="3"/>
      <c r="G47" s="3"/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ht="15.15" spans="1:26">
      <c r="A48" s="3"/>
      <c r="B48" s="3"/>
      <c r="C48" s="3"/>
      <c r="D48" s="3"/>
      <c r="E48" s="3"/>
      <c r="F48" s="3"/>
      <c r="G48" s="3"/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ht="15.15" spans="1:26">
      <c r="A49" s="3"/>
      <c r="B49" s="3"/>
      <c r="C49" s="3"/>
      <c r="D49" s="3"/>
      <c r="E49" s="3"/>
      <c r="F49" s="3"/>
      <c r="G49" s="3"/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ht="15.15" spans="1:26">
      <c r="A50" s="3"/>
      <c r="B50" s="3"/>
      <c r="C50" s="3"/>
      <c r="D50" s="3"/>
      <c r="E50" s="3"/>
      <c r="F50" s="3"/>
      <c r="G50" s="3"/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ht="15.15" spans="1:26">
      <c r="A51" s="3"/>
      <c r="B51" s="3"/>
      <c r="C51" s="3"/>
      <c r="D51" s="3"/>
      <c r="E51" s="3"/>
      <c r="F51" s="3"/>
      <c r="G51" s="3"/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ht="15.15" spans="1:26">
      <c r="A52" s="3"/>
      <c r="B52" s="3"/>
      <c r="C52" s="3"/>
      <c r="D52" s="3"/>
      <c r="E52" s="3"/>
      <c r="F52" s="3"/>
      <c r="G52" s="3"/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ht="15.15" spans="1:26">
      <c r="A53" s="3"/>
      <c r="B53" s="3"/>
      <c r="C53" s="3"/>
      <c r="D53" s="3"/>
      <c r="E53" s="3"/>
      <c r="F53" s="3"/>
      <c r="G53" s="3"/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ht="15.15" spans="1:26">
      <c r="A54" s="3"/>
      <c r="B54" s="3"/>
      <c r="C54" s="3"/>
      <c r="D54" s="3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ht="15.15" spans="1:26">
      <c r="A55" s="3"/>
      <c r="B55" s="3"/>
      <c r="C55" s="3"/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ht="15.15" spans="1:26">
      <c r="A56" s="3"/>
      <c r="B56" s="3"/>
      <c r="C56" s="3"/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ht="15.15" spans="1:26">
      <c r="A57" s="3"/>
      <c r="B57" s="3"/>
      <c r="C57" s="3"/>
      <c r="D57" s="3"/>
      <c r="E57" s="3"/>
      <c r="F57" s="3"/>
      <c r="G57" s="3"/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ht="15.15" spans="1:26">
      <c r="A58" s="3"/>
      <c r="B58" s="3"/>
      <c r="C58" s="3"/>
      <c r="D58" s="3"/>
      <c r="E58" s="3"/>
      <c r="F58" s="3"/>
      <c r="G58" s="3"/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ht="15.15" spans="1:26">
      <c r="A59" s="3"/>
      <c r="B59" s="3"/>
      <c r="C59" s="3"/>
      <c r="D59" s="3"/>
      <c r="E59" s="3"/>
      <c r="F59" s="3"/>
      <c r="G59" s="3"/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ht="15.15" spans="1:26">
      <c r="A60" s="3"/>
      <c r="B60" s="3"/>
      <c r="C60" s="3"/>
      <c r="D60" s="3"/>
      <c r="E60" s="3"/>
      <c r="F60" s="3"/>
      <c r="G60" s="3"/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ht="15.15" spans="1:26">
      <c r="A61" s="3"/>
      <c r="B61" s="3"/>
      <c r="C61" s="3"/>
      <c r="D61" s="3"/>
      <c r="E61" s="3"/>
      <c r="F61" s="3"/>
      <c r="G61" s="3"/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ht="15.15" spans="1:26">
      <c r="A62" s="3"/>
      <c r="B62" s="3"/>
      <c r="C62" s="3"/>
      <c r="D62" s="3"/>
      <c r="E62" s="3"/>
      <c r="F62" s="3"/>
      <c r="G62" s="3"/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ht="15.15" spans="1:26">
      <c r="A63" s="3"/>
      <c r="B63" s="3"/>
      <c r="C63" s="3"/>
      <c r="D63" s="3"/>
      <c r="E63" s="3"/>
      <c r="F63" s="3"/>
      <c r="G63" s="3"/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ht="15.15" spans="1:26">
      <c r="A64" s="3"/>
      <c r="B64" s="3"/>
      <c r="C64" s="3"/>
      <c r="D64" s="3"/>
      <c r="E64" s="3"/>
      <c r="F64" s="3"/>
      <c r="G64" s="3"/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ht="15.15" spans="1:26">
      <c r="A65" s="3"/>
      <c r="B65" s="3"/>
      <c r="C65" s="3"/>
      <c r="D65" s="3"/>
      <c r="E65" s="3"/>
      <c r="F65" s="3"/>
      <c r="G65" s="3"/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ht="15.15" spans="1:26">
      <c r="A66" s="3"/>
      <c r="B66" s="3"/>
      <c r="C66" s="3"/>
      <c r="D66" s="3"/>
      <c r="E66" s="3"/>
      <c r="F66" s="3"/>
      <c r="G66" s="3"/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ht="15.15" spans="1:26">
      <c r="A67" s="3"/>
      <c r="B67" s="3"/>
      <c r="C67" s="3"/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ht="15.15" spans="1:26">
      <c r="A68" s="3"/>
      <c r="B68" s="3"/>
      <c r="C68" s="3"/>
      <c r="D68" s="3"/>
      <c r="E68" s="3"/>
      <c r="F68" s="3"/>
      <c r="G68" s="3"/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ht="15.15" spans="1:26">
      <c r="A69" s="3"/>
      <c r="B69" s="3"/>
      <c r="C69" s="3"/>
      <c r="D69" s="3"/>
      <c r="E69" s="3"/>
      <c r="F69" s="3"/>
      <c r="G69" s="3"/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ht="15.15" spans="1:26">
      <c r="A70" s="3"/>
      <c r="B70" s="3"/>
      <c r="C70" s="3"/>
      <c r="D70" s="3"/>
      <c r="E70" s="3"/>
      <c r="F70" s="3"/>
      <c r="G70" s="3"/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ht="15.15" spans="1:26">
      <c r="A71" s="3"/>
      <c r="B71" s="3"/>
      <c r="C71" s="3"/>
      <c r="D71" s="3"/>
      <c r="E71" s="3"/>
      <c r="F71" s="3"/>
      <c r="G71" s="3"/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ht="15.15" spans="1:26">
      <c r="A72" s="3"/>
      <c r="B72" s="3"/>
      <c r="C72" s="3"/>
      <c r="D72" s="3"/>
      <c r="E72" s="3"/>
      <c r="F72" s="3"/>
      <c r="G72" s="3"/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ht="15.15" spans="1:26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ht="15.15" spans="1:26">
      <c r="A74" s="3"/>
      <c r="B74" s="3"/>
      <c r="C74" s="3"/>
      <c r="D74" s="3"/>
      <c r="E74" s="3"/>
      <c r="F74" s="3"/>
      <c r="G74" s="3"/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ht="15.15" spans="1:26">
      <c r="A75" s="3"/>
      <c r="B75" s="3"/>
      <c r="C75" s="3"/>
      <c r="D75" s="3"/>
      <c r="E75" s="3"/>
      <c r="F75" s="3"/>
      <c r="G75" s="3"/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ht="15.15" spans="1:26">
      <c r="A76" s="3"/>
      <c r="B76" s="3"/>
      <c r="C76" s="3"/>
      <c r="D76" s="3"/>
      <c r="E76" s="3"/>
      <c r="F76" s="3"/>
      <c r="G76" s="3"/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ht="15.15" spans="1:26">
      <c r="A77" s="3"/>
      <c r="B77" s="3"/>
      <c r="C77" s="3"/>
      <c r="D77" s="3"/>
      <c r="E77" s="3"/>
      <c r="F77" s="3"/>
      <c r="G77" s="3"/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ht="15.15" spans="1:26">
      <c r="A78" s="3"/>
      <c r="B78" s="3"/>
      <c r="C78" s="3"/>
      <c r="D78" s="3"/>
      <c r="E78" s="3"/>
      <c r="F78" s="3"/>
      <c r="G78" s="3"/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ht="15.15" spans="1:26">
      <c r="A79" s="3"/>
      <c r="B79" s="3"/>
      <c r="C79" s="3"/>
      <c r="D79" s="3"/>
      <c r="E79" s="3"/>
      <c r="F79" s="3"/>
      <c r="G79" s="3"/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ht="15.15" spans="1:26">
      <c r="A80" s="3"/>
      <c r="B80" s="3"/>
      <c r="C80" s="3"/>
      <c r="D80" s="3"/>
      <c r="E80" s="3"/>
      <c r="F80" s="3"/>
      <c r="G80" s="3"/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ht="15.15" spans="1:26">
      <c r="A81" s="3"/>
      <c r="B81" s="3"/>
      <c r="C81" s="3"/>
      <c r="D81" s="3"/>
      <c r="E81" s="3"/>
      <c r="F81" s="3"/>
      <c r="G81" s="3"/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ht="15.15" spans="1:26">
      <c r="A82" s="3"/>
      <c r="B82" s="3"/>
      <c r="C82" s="3"/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ht="15.15" spans="1:26">
      <c r="A83" s="3"/>
      <c r="B83" s="3"/>
      <c r="C83" s="3"/>
      <c r="D83" s="3"/>
      <c r="E83" s="3"/>
      <c r="F83" s="3"/>
      <c r="G83" s="3"/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ht="15.15" spans="1:26">
      <c r="A84" s="3"/>
      <c r="B84" s="3"/>
      <c r="C84" s="3"/>
      <c r="D84" s="3"/>
      <c r="E84" s="3"/>
      <c r="F84" s="3"/>
      <c r="G84" s="3"/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ht="15.15" spans="1:26">
      <c r="A85" s="3"/>
      <c r="B85" s="3"/>
      <c r="C85" s="3"/>
      <c r="D85" s="3"/>
      <c r="E85" s="3"/>
      <c r="F85" s="3"/>
      <c r="G85" s="3"/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ht="15.15" spans="1:26">
      <c r="A86" s="3"/>
      <c r="B86" s="3"/>
      <c r="C86" s="3"/>
      <c r="D86" s="3"/>
      <c r="E86" s="3"/>
      <c r="F86" s="3"/>
      <c r="G86" s="3"/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ht="15.15" spans="1:26">
      <c r="A87" s="3"/>
      <c r="B87" s="3"/>
      <c r="C87" s="3"/>
      <c r="D87" s="3"/>
      <c r="E87" s="3"/>
      <c r="F87" s="3"/>
      <c r="G87" s="3"/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ht="15.15" spans="1:26">
      <c r="A88" s="3"/>
      <c r="B88" s="3"/>
      <c r="C88" s="3"/>
      <c r="D88" s="3"/>
      <c r="E88" s="3"/>
      <c r="F88" s="3"/>
      <c r="G88" s="3"/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ht="15.15" spans="1:26">
      <c r="A89" s="3"/>
      <c r="B89" s="3"/>
      <c r="C89" s="3"/>
      <c r="D89" s="3"/>
      <c r="E89" s="3"/>
      <c r="F89" s="3"/>
      <c r="G89" s="3"/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ht="15.15" spans="1:26">
      <c r="A90" s="3"/>
      <c r="B90" s="3"/>
      <c r="C90" s="3"/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ht="15.15" spans="1:26">
      <c r="A91" s="3"/>
      <c r="B91" s="3"/>
      <c r="C91" s="3"/>
      <c r="D91" s="3"/>
      <c r="E91" s="3"/>
      <c r="F91" s="3"/>
      <c r="G91" s="3"/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ht="15.15" spans="1:26">
      <c r="A92" s="3"/>
      <c r="B92" s="3"/>
      <c r="C92" s="3"/>
      <c r="D92" s="3"/>
      <c r="E92" s="3"/>
      <c r="F92" s="3"/>
      <c r="G92" s="3"/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ht="15.15" spans="1:26">
      <c r="A93" s="3"/>
      <c r="B93" s="3"/>
      <c r="C93" s="3"/>
      <c r="D93" s="3"/>
      <c r="E93" s="3"/>
      <c r="F93" s="3"/>
      <c r="G93" s="3"/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ht="15.15" spans="1:26">
      <c r="A94" s="3"/>
      <c r="B94" s="3"/>
      <c r="C94" s="3"/>
      <c r="D94" s="3"/>
      <c r="E94" s="3"/>
      <c r="F94" s="3"/>
      <c r="G94" s="3"/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ht="15.15" spans="1:26">
      <c r="A95" s="3"/>
      <c r="B95" s="3"/>
      <c r="C95" s="3"/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ht="15.15" spans="1:26">
      <c r="A96" s="3"/>
      <c r="B96" s="3"/>
      <c r="C96" s="3"/>
      <c r="D96" s="3"/>
      <c r="E96" s="3"/>
      <c r="F96" s="3"/>
      <c r="G96" s="3"/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ht="15.15" spans="1:26">
      <c r="A97" s="3"/>
      <c r="B97" s="3"/>
      <c r="C97" s="3"/>
      <c r="D97" s="3"/>
      <c r="E97" s="3"/>
      <c r="F97" s="3"/>
      <c r="G97" s="3"/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ht="15.15" spans="1:26">
      <c r="A98" s="3"/>
      <c r="B98" s="3"/>
      <c r="C98" s="3"/>
      <c r="D98" s="3"/>
      <c r="E98" s="3"/>
      <c r="F98" s="3"/>
      <c r="G98" s="3"/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ht="15.15" spans="1:26">
      <c r="A99" s="3"/>
      <c r="B99" s="3"/>
      <c r="C99" s="3"/>
      <c r="D99" s="3"/>
      <c r="E99" s="3"/>
      <c r="F99" s="3"/>
      <c r="G99" s="3"/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ht="15.15" spans="1:26">
      <c r="A100" s="3"/>
      <c r="B100" s="3"/>
      <c r="C100" s="3"/>
      <c r="D100" s="3"/>
      <c r="E100" s="3"/>
      <c r="F100" s="3"/>
      <c r="G100" s="3"/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ht="15.15" spans="1:26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ht="15.15" spans="1:26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ht="15.15" spans="1:26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ht="15.15" spans="1:26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ht="15.15" spans="1:26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ht="15.15" spans="1:26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ht="15.15" spans="1:26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ht="15.15" spans="1:26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ht="15.15" spans="1:26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ht="15.15" spans="1:26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ht="15.15" spans="1:26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ht="15.15" spans="1:26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ht="15.15" spans="1:26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ht="15.15" spans="1:26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ht="15.15" spans="1:26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ht="15.15" spans="1:26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ht="15.15" spans="1:26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ht="15.15" spans="1:26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ht="15.15" spans="1:26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ht="15.15" spans="1:26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ht="15.15" spans="1:26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ht="15.15" spans="1:26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ht="15.15" spans="1:26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ht="15.15" spans="1:26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ht="15.15" spans="1:26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ht="15.15" spans="1:26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ht="15.15" spans="1:26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ht="15.15" spans="1:26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ht="15.15" spans="1:26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ht="15.15" spans="1:26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ht="15.15" spans="1:26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ht="15.15" spans="1:26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ht="15.15" spans="1:26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ht="15.15" spans="1:26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ht="15.15" spans="1:26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ht="15.15" spans="1:26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ht="15.15" spans="1:26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ht="15.15" spans="1:26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ht="15.15" spans="1:26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ht="15.15" spans="1:26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ht="15.15" spans="1:26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ht="15.15" spans="1:26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ht="15.15" spans="1:26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ht="15.15" spans="1:26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ht="15.15" spans="1:26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ht="15.15" spans="1:26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ht="15.15" spans="1:26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ht="15.15" spans="1:26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ht="15.15" spans="1:26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ht="15.15" spans="1:26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ht="15.15" spans="1:26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ht="15.15" spans="1:26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ht="15.15" spans="1:26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ht="15.15" spans="1:26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ht="15.15" spans="1:26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ht="15.15" spans="1:26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ht="15.15" spans="1:26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ht="15.15" spans="1:26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ht="15.15" spans="1:26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ht="15.15" spans="1:26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ht="15.15" spans="1:26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ht="15.15" spans="1:26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ht="15.15" spans="1:26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ht="15.15" spans="1:26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ht="15.15" spans="1:26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ht="15.15" spans="1:26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ht="15.15" spans="1:26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ht="15.15" spans="1:26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ht="15.15" spans="1:26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ht="15.15" spans="1:26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ht="15.15" spans="1:26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ht="15.15" spans="1:26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ht="15.15" spans="1:26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ht="15.15" spans="1:26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ht="15.15" spans="1:26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ht="15.15" spans="1:26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ht="15.15" spans="1:26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ht="15.15" spans="1:26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ht="15.15" spans="1:26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ht="15.15" spans="1:26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ht="15.15" spans="1:26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ht="15.15" spans="1:26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ht="15.15" spans="1:26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ht="15.15" spans="1:26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ht="15.15" spans="1:26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ht="15.15" spans="1:26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ht="15.15" spans="1:26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ht="15.15" spans="1:26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ht="15.15" spans="1:26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ht="15.15" spans="1:26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ht="15.15" spans="1:26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ht="15.15" spans="1:26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ht="15.15" spans="1:26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ht="15.15" spans="1:26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ht="15.15" spans="1:26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ht="15.15" spans="1:26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ht="15.15" spans="1:26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ht="15.15" spans="1:26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ht="15.15" spans="1:26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ht="15.15" spans="1:26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ht="15.15" spans="1:26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ht="15.15" spans="1:26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ht="15.15" spans="1:26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ht="15.15" spans="1:26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ht="15.15" spans="1:26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ht="15.15" spans="1:26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ht="15.15" spans="1:26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ht="15.15" spans="1:26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ht="15.15" spans="1:26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ht="15.15" spans="1:26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ht="15.15" spans="1:26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ht="15.15" spans="1:26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ht="15.15" spans="1:26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ht="15.15" spans="1:26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ht="15.15" spans="1:26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ht="15.15" spans="1:26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ht="15.15" spans="1:26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ht="15.15" spans="1:26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ht="15.15" spans="1:26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ht="15.15" spans="1:26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ht="15.15" spans="1:26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ht="15.15" spans="1:26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ht="15.15" spans="1:26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ht="15.15" spans="1:26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ht="15.15" spans="1:26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ht="15.15" spans="1:26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ht="15.15" spans="1:26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ht="15.15" spans="1:26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ht="15.15" spans="1:26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ht="15.15" spans="1:26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ht="15.15" spans="1:26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ht="15.15" spans="1:26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ht="15.15" spans="1:26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ht="15.15" spans="1:26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ht="15.15" spans="1:26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ht="15.15" spans="1:26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ht="15.15" spans="1:26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ht="15.15" spans="1:26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ht="15.15" spans="1:26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ht="15.15" spans="1:26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ht="15.15" spans="1:26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ht="15.15" spans="1:26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ht="15.15" spans="1:26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ht="15.15" spans="1:26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ht="15.15" spans="1:26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ht="15.15" spans="1:26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ht="15.15" spans="1:26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ht="15.15" spans="1:26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ht="15.15" spans="1:26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ht="15.15" spans="1:26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ht="15.15" spans="1:26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ht="15.15" spans="1:26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ht="15.15" spans="1:26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ht="15.15" spans="1:26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ht="15.15" spans="1:26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ht="15.15" spans="1:26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ht="15.15" spans="1:26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ht="15.15" spans="1:26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ht="15.15" spans="1:26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ht="15.15" spans="1:26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ht="15.15" spans="1:26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ht="15.15" spans="1:26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ht="15.15" spans="1:26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ht="15.15" spans="1:26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ht="15.15" spans="1:26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ht="15.15" spans="1:26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ht="15.15" spans="1:26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ht="15.15" spans="1:26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ht="15.15" spans="1:26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ht="15.15" spans="1:26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ht="15.15" spans="1:26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ht="15.15" spans="1:26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ht="15.15" spans="1:26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ht="15.15" spans="1:26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ht="15.15" spans="1:26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ht="15.15" spans="1:26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ht="15.15" spans="1:26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ht="15.15" spans="1:26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ht="15.15" spans="1:26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ht="15.15" spans="1:26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ht="15.15" spans="1:26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ht="15.15" spans="1:26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ht="15.15" spans="1:26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ht="15.15" spans="1:26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ht="15.15" spans="1:26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ht="15.15" spans="1:26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ht="15.15" spans="1:26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ht="15.15" spans="1:26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ht="15.15" spans="1:26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ht="15.15" spans="1:26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ht="15.15" spans="1:26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ht="15.15" spans="1:26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ht="15.15" spans="1:26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ht="15.15" spans="1:26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ht="15.15" spans="1:26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ht="15.15" spans="1:26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ht="15.15" spans="1:26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ht="15.15" spans="1:26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ht="15.15" spans="1:26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ht="15.15" spans="1:26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ht="15.15" spans="1:26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ht="15.15" spans="1:26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ht="15.15" spans="1:26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ht="15.15" spans="1:26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ht="15.15" spans="1:26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ht="15.15" spans="1:26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ht="15.15" spans="1:26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ht="15.15" spans="1:26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ht="15.15" spans="1:26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ht="15.15" spans="1:26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ht="15.15" spans="1:26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ht="15.15" spans="1:26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ht="15.15" spans="1:26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ht="15.15" spans="1:26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ht="15.15" spans="1:26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ht="15.15" spans="1:26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ht="15.15" spans="1:26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ht="15.15" spans="1:26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ht="15.15" spans="1:26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ht="15.15" spans="1:26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ht="15.15" spans="1:26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ht="15.15" spans="1:26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ht="15.15" spans="1:26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ht="15.15" spans="1:26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ht="15.15" spans="1:26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ht="15.15" spans="1:26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ht="15.15" spans="1:26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ht="15.15" spans="1:26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ht="15.15" spans="1:26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ht="15.15" spans="1:26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ht="15.15" spans="1:26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ht="15.15" spans="1:26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ht="15.15" spans="1:26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ht="15.15" spans="1:26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ht="15.15" spans="1:26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ht="15.15" spans="1:26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ht="15.15" spans="1:26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ht="15.15" spans="1:26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ht="15.15" spans="1:26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ht="15.15" spans="1:26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ht="15.15" spans="1:26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ht="15.15" spans="1:26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ht="15.15" spans="1:26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ht="15.15" spans="1:26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ht="15.15" spans="1:26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ht="15.15" spans="1:26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ht="15.15" spans="1:26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ht="15.15" spans="1:26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ht="15.15" spans="1:26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ht="15.15" spans="1:26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ht="15.15" spans="1:26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ht="15.15" spans="1:26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ht="15.15" spans="1:26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ht="15.15" spans="1:26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ht="15.15" spans="1:26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ht="15.15" spans="1:26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ht="15.15" spans="1:26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ht="15.15" spans="1:26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ht="15.15" spans="1:26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ht="15.15" spans="1:26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ht="15.15" spans="1:26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ht="15.15" spans="1:26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ht="15.15" spans="1:26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ht="15.15" spans="1:26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ht="15.15" spans="1:26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ht="15.15" spans="1:26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ht="15.15" spans="1:26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ht="15.15" spans="1:26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ht="15.15" spans="1:26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ht="15.15" spans="1:26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ht="15.15" spans="1:26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ht="15.15" spans="1:26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ht="15.15" spans="1:26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ht="15.15" spans="1:26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ht="15.15" spans="1:26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ht="15.15" spans="1:26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ht="15.15" spans="1:26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ht="15.15" spans="1:26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ht="15.15" spans="1:26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ht="15.15" spans="1:26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ht="15.15" spans="1:26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ht="15.15" spans="1:26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ht="15.15" spans="1:26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ht="15.15" spans="1:26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ht="15.15" spans="1:26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ht="15.15" spans="1:26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ht="15.15" spans="1:26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ht="15.15" spans="1:26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ht="15.15" spans="1:26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ht="15.15" spans="1:26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ht="15.15" spans="1:26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ht="15.15" spans="1:26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ht="15.15" spans="1:26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ht="15.15" spans="1:26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ht="15.15" spans="1:26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ht="15.15" spans="1:26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ht="15.15" spans="1:26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ht="15.15" spans="1:26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ht="15.15" spans="1:26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ht="15.15" spans="1:26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ht="15.15" spans="1:26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ht="15.15" spans="1:26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ht="15.15" spans="1:26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ht="15.15" spans="1:26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ht="15.15" spans="1:26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ht="15.15" spans="1:26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ht="15.15" spans="1:26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ht="15.15" spans="1:26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ht="15.15" spans="1:26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ht="15.15" spans="1:26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ht="15.15" spans="1:26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ht="15.15" spans="1:26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ht="15.15" spans="1:26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ht="15.15" spans="1:26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ht="15.15" spans="1:26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ht="15.15" spans="1:26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ht="15.15" spans="1:26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ht="15.15" spans="1:26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ht="15.15" spans="1:26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ht="15.15" spans="1:26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ht="15.15" spans="1:26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ht="15.15" spans="1:26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ht="15.15" spans="1:26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ht="15.15" spans="1:26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ht="15.15" spans="1:26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ht="15.15" spans="1:26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ht="15.15" spans="1:26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ht="15.15" spans="1:26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ht="15.15" spans="1:26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ht="15.15" spans="1:26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ht="15.15" spans="1:26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ht="15.15" spans="1:26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ht="15.15" spans="1:26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ht="15.15" spans="1:26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ht="15.15" spans="1:26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ht="15.15" spans="1:26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ht="15.15" spans="1:26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ht="15.15" spans="1:26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ht="15.15" spans="1:26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ht="15.15" spans="1:26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ht="15.15" spans="1:26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ht="15.15" spans="1:26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ht="15.15" spans="1:26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ht="15.15" spans="1:26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ht="15.15" spans="1:26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ht="15.15" spans="1:26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ht="15.15" spans="1:26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ht="15.15" spans="1:26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ht="15.15" spans="1:26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ht="15.15" spans="1:26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ht="15.15" spans="1:26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ht="15.15" spans="1:26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ht="15.15" spans="1:26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ht="15.15" spans="1:26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ht="15.15" spans="1:26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ht="15.15" spans="1:26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ht="15.15" spans="1:26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ht="15.15" spans="1:26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ht="15.15" spans="1:26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ht="15.15" spans="1:26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ht="15.15" spans="1:26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ht="15.15" spans="1:26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ht="15.15" spans="1:26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ht="15.15" spans="1:26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ht="15.15" spans="1:26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ht="15.15" spans="1:26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ht="15.15" spans="1:26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ht="15.15" spans="1:26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ht="15.15" spans="1:26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ht="15.15" spans="1:26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ht="15.15" spans="1:26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ht="15.15" spans="1:26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ht="15.15" spans="1:26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ht="15.15" spans="1:26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ht="15.15" spans="1:26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ht="15.15" spans="1:26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ht="15.15" spans="1:26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ht="15.15" spans="1:26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ht="15.15" spans="1:26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ht="15.15" spans="1:26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ht="15.15" spans="1:26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ht="15.15" spans="1:26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ht="15.15" spans="1:26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ht="15.15" spans="1:26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ht="15.15" spans="1:26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ht="15.15" spans="1:26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ht="15.15" spans="1:26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ht="15.15" spans="1:26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ht="15.15" spans="1:26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ht="15.15" spans="1:26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ht="15.15" spans="1:26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ht="15.15" spans="1:26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ht="15.15" spans="1:26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ht="15.15" spans="1:26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ht="15.15" spans="1:26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ht="15.15" spans="1:26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ht="15.15" spans="1:26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ht="15.15" spans="1:26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ht="15.15" spans="1:26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ht="15.15" spans="1:26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ht="15.15" spans="1:26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ht="15.15" spans="1:26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ht="15.15" spans="1:26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ht="15.15" spans="1:26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ht="15.15" spans="1:26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ht="15.15" spans="1:26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ht="15.15" spans="1:26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ht="15.15" spans="1:26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ht="15.15" spans="1:26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ht="15.15" spans="1:26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ht="15.15" spans="1:26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ht="15.15" spans="1:26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ht="15.15" spans="1:26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ht="15.15" spans="1:26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ht="15.15" spans="1:26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ht="15.15" spans="1:26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ht="15.15" spans="1:26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ht="15.15" spans="1:26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ht="15.15" spans="1:26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ht="15.15" spans="1:26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ht="15.15" spans="1:26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ht="15.15" spans="1:26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ht="15.15" spans="1:26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ht="15.15" spans="1:26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ht="15.15" spans="1:26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ht="15.15" spans="1:26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ht="15.15" spans="1:26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ht="15.15" spans="1:26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ht="15.15" spans="1:26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ht="15.15" spans="1:26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ht="15.15" spans="1:26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ht="15.15" spans="1:26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ht="15.15" spans="1:26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ht="15.15" spans="1:26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ht="15.15" spans="1:26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ht="15.15" spans="1:26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ht="15.15" spans="1:26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ht="15.15" spans="1:26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ht="15.15" spans="1:26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ht="15.15" spans="1:26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ht="15.15" spans="1:26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ht="15.15" spans="1:26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ht="15.15" spans="1:26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ht="15.15" spans="1:26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ht="15.15" spans="1:26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ht="15.15" spans="1:26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ht="15.15" spans="1:26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ht="15.15" spans="1:26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ht="15.15" spans="1:26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ht="15.15" spans="1:26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ht="15.15" spans="1:26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ht="15.15" spans="1:26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ht="15.15" spans="1:26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ht="15.15" spans="1:26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ht="15.15" spans="1:26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ht="15.15" spans="1:26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ht="15.15" spans="1:26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ht="15.15" spans="1:26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ht="15.15" spans="1:26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ht="15.15" spans="1:26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ht="15.15" spans="1:26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ht="15.15" spans="1:26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ht="15.15" spans="1:26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ht="15.15" spans="1:26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ht="15.15" spans="1:26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ht="15.15" spans="1:26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ht="15.15" spans="1:26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ht="15.15" spans="1:26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ht="15.15" spans="1:26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ht="15.15" spans="1:26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ht="15.15" spans="1:26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ht="15.15" spans="1:26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ht="15.15" spans="1:26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ht="15.15" spans="1:26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ht="15.15" spans="1:26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ht="15.15" spans="1:26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ht="15.15" spans="1:26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ht="15.15" spans="1:26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ht="15.15" spans="1:26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ht="15.15" spans="1:26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ht="15.15" spans="1:26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ht="15.15" spans="1:26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ht="15.15" spans="1:26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ht="15.15" spans="1:26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ht="15.15" spans="1:26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ht="15.15" spans="1:26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ht="15.15" spans="1:26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ht="15.15" spans="1:26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ht="15.15" spans="1:26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ht="15.15" spans="1:26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ht="15.15" spans="1:26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ht="15.15" spans="1:26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ht="15.15" spans="1:26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ht="15.15" spans="1:26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ht="15.15" spans="1:26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ht="15.15" spans="1:26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ht="15.15" spans="1:26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ht="15.15" spans="1:26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ht="15.15" spans="1:26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ht="15.15" spans="1:26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ht="15.15" spans="1:26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ht="15.15" spans="1:26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ht="15.15" spans="1:26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ht="15.15" spans="1:26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ht="15.15" spans="1:26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ht="15.15" spans="1:26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ht="15.15" spans="1:26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ht="15.15" spans="1:26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ht="15.15" spans="1:26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ht="15.15" spans="1:26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ht="15.15" spans="1:26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ht="15.15" spans="1:26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ht="15.15" spans="1:26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ht="15.15" spans="1:26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ht="15.15" spans="1:26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ht="15.15" spans="1:26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ht="15.15" spans="1:26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ht="15.15" spans="1:26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ht="15.15" spans="1:26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ht="15.15" spans="1:26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ht="15.15" spans="1:26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ht="15.15" spans="1:26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ht="15.15" spans="1:26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ht="15.15" spans="1:26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ht="15.15" spans="1:26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ht="15.15" spans="1:26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ht="15.15" spans="1:26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ht="15.15" spans="1:26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ht="15.15" spans="1:26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ht="15.15" spans="1:26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ht="15.15" spans="1:26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ht="15.15" spans="1:26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ht="15.15" spans="1:26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ht="15.15" spans="1:26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ht="15.15" spans="1:26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ht="15.15" spans="1:26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ht="15.15" spans="1:26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ht="15.15" spans="1:26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ht="15.15" spans="1:26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ht="15.15" spans="1:26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ht="15.15" spans="1:26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ht="15.15" spans="1:26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ht="15.15" spans="1:26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ht="15.15" spans="1:26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ht="15.15" spans="1:26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ht="15.15" spans="1:26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ht="15.15" spans="1:26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ht="15.15" spans="1:26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ht="15.15" spans="1:26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ht="15.15" spans="1:26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ht="15.15" spans="1:26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ht="15.15" spans="1:26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ht="15.15" spans="1:26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ht="15.15" spans="1:26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ht="15.15" spans="1:26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ht="15.15" spans="1:26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ht="15.15" spans="1:26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ht="15.15" spans="1:26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ht="15.15" spans="1:26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ht="15.15" spans="1:26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ht="15.15" spans="1:26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ht="15.15" spans="1:26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ht="15.15" spans="1:26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ht="15.15" spans="1:26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ht="15.15" spans="1:26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ht="15.15" spans="1:26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ht="15.15" spans="1:26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ht="15.15" spans="1:26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ht="15.15" spans="1:26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ht="15.15" spans="1:26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ht="15.15" spans="1:26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ht="15.15" spans="1:26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ht="15.15" spans="1:26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ht="15.15" spans="1:26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ht="15.15" spans="1:26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ht="15.15" spans="1:26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ht="15.15" spans="1:26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ht="15.15" spans="1:26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ht="15.15" spans="1:26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ht="15.15" spans="1:26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ht="15.15" spans="1:26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ht="15.15" spans="1:26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ht="15.15" spans="1:26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ht="15.15" spans="1:26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ht="15.15" spans="1:26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ht="15.15" spans="1:26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ht="15.15" spans="1:26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ht="15.15" spans="1:26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ht="15.15" spans="1:26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ht="15.15" spans="1:26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ht="15.15" spans="1:26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ht="15.15" spans="1:26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ht="15.15" spans="1:26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ht="15.15" spans="1:26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ht="15.15" spans="1:26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ht="15.15" spans="1:26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ht="15.15" spans="1:26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ht="15.15" spans="1:26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ht="15.15" spans="1:26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ht="15.15" spans="1:26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ht="15.15" spans="1:26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ht="15.15" spans="1:26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ht="15.15" spans="1:26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ht="15.15" spans="1:26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ht="15.15" spans="1:26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ht="15.15" spans="1:26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ht="15.15" spans="1:26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ht="15.15" spans="1:26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ht="15.15" spans="1:26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ht="15.15" spans="1:26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ht="15.15" spans="1:26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ht="15.15" spans="1:26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ht="15.15" spans="1:26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ht="15.15" spans="1:26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ht="15.15" spans="1:26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ht="15.15" spans="1:26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ht="15.15" spans="1:26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ht="15.15" spans="1:26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ht="15.15" spans="1:26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ht="15.15" spans="1:26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ht="15.15" spans="1:26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ht="15.15" spans="1:26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ht="15.15" spans="1:26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ht="15.15" spans="1:26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ht="15.15" spans="1:26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ht="15.15" spans="1:26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ht="15.15" spans="1:26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ht="15.15" spans="1:26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ht="15.15" spans="1:26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ht="15.15" spans="1:26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ht="15.15" spans="1:26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ht="15.15" spans="1:26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ht="15.15" spans="1:26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ht="15.15" spans="1:26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ht="15.15" spans="1:26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ht="15.15" spans="1:26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ht="15.15" spans="1:26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ht="15.15" spans="1:26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ht="15.15" spans="1:26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ht="15.15" spans="1:26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ht="15.15" spans="1:26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ht="15.15" spans="1:26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ht="15.15" spans="1:26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ht="15.15" spans="1:26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ht="15.15" spans="1:26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ht="15.15" spans="1:26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ht="15.15" spans="1:26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ht="15.15" spans="1:26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ht="15.15" spans="1:26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ht="15.15" spans="1:26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ht="15.15" spans="1:26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ht="15.15" spans="1:26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ht="15.15" spans="1:26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ht="15.15" spans="1:26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ht="15.15" spans="1:26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ht="15.15" spans="1:26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ht="15.15" spans="1:26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ht="15.15" spans="1:26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ht="15.15" spans="1:26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ht="15.15" spans="1:26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ht="15.15" spans="1:26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ht="15.15" spans="1:26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ht="15.15" spans="1:26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ht="15.15" spans="1:26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ht="15.15" spans="1:26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ht="15.15" spans="1:26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ht="15.15" spans="1:26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ht="15.15" spans="1:26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ht="15.15" spans="1:26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ht="15.15" spans="1:26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ht="15.15" spans="1:26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ht="15.15" spans="1:26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ht="15.15" spans="1:26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ht="15.15" spans="1:26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ht="15.15" spans="1:26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ht="15.15" spans="1:26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ht="15.15" spans="1:26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ht="15.15" spans="1:26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ht="15.15" spans="1:26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ht="15.15" spans="1:26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ht="15.15" spans="1:26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ht="15.15" spans="1:26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ht="15.15" spans="1:26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ht="15.15" spans="1:26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ht="15.15" spans="1:26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ht="15.15" spans="1:26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ht="15.15" spans="1:26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ht="15.15" spans="1:26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ht="15.15" spans="1:26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ht="15.15" spans="1:26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ht="15.15" spans="1:26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ht="15.15" spans="1:26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ht="15.15" spans="1:26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ht="15.15" spans="1:26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ht="15.15" spans="1:26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ht="15.15" spans="1:26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ht="15.15" spans="1:26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ht="15.15" spans="1:26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ht="15.15" spans="1:26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ht="15.15" spans="1:26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ht="15.15" spans="1:26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ht="15.15" spans="1:26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ht="15.15" spans="1:26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ht="15.15" spans="1:26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ht="15.15" spans="1:26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ht="15.15" spans="1:26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ht="15.15" spans="1:26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ht="15.15" spans="1:26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ht="15.15" spans="1:26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ht="15.15" spans="1:26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ht="15.15" spans="1:26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ht="15.15" spans="1:26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ht="15.15" spans="1:26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ht="15.15" spans="1:26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ht="15.15" spans="1:26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ht="15.15" spans="1:26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ht="15.15" spans="1:26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ht="15.15" spans="1:26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ht="15.15" spans="1:26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ht="15.15" spans="1:26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ht="15.15" spans="1:26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ht="15.15" spans="1:26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ht="15.15" spans="1:26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ht="15.15" spans="1:26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ht="15.15" spans="1:26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ht="15.15" spans="1:26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ht="15.15" spans="1:26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ht="15.15" spans="1:26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ht="15.15" spans="1:26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ht="15.15" spans="1:26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ht="15.15" spans="1:26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ht="15.15" spans="1:26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ht="15.15" spans="1:26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ht="15.15" spans="1:26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ht="15.15" spans="1:26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ht="15.15" spans="1:26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ht="15.15" spans="1:26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ht="15.15" spans="1:26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ht="15.15" spans="1:26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ht="15.15" spans="1:26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ht="15.15" spans="1:26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ht="15.15" spans="1:26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ht="15.15" spans="1:26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ht="15.15" spans="1:26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ht="15.15" spans="1:26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ht="15.15" spans="1:26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ht="15.15" spans="1:26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ht="15.15" spans="1:26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ht="15.15" spans="1:26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ht="15.15" spans="1:26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ht="15.15" spans="1:26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ht="15.15" spans="1:26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ht="15.15" spans="1:26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ht="15.15" spans="1:26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ht="15.15" spans="1:26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ht="15.15" spans="1:26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ht="15.15" spans="1:26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ht="15.15" spans="1:26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ht="15.15" spans="1:26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ht="15.15" spans="1:26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ht="15.15" spans="1:26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ht="15.15" spans="1:26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ht="15.15" spans="1:26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ht="15.15" spans="1:26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ht="15.15" spans="1:26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ht="15.15" spans="1:26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ht="15.15" spans="1:26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ht="15.15" spans="1:26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ht="15.15" spans="1:26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ht="15.15" spans="1:26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ht="15.15" spans="1:26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ht="15.15" spans="1:26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ht="15.15" spans="1:26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ht="15.15" spans="1:26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ht="15.15" spans="1:26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ht="15.15" spans="1:26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ht="15.15" spans="1:26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ht="15.15" spans="1:26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ht="15.15" spans="1:26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ht="15.15" spans="1:26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ht="15.15" spans="1:26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ht="15.15" spans="1:26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ht="15.15" spans="1:26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ht="15.15" spans="1:26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ht="15.15" spans="1:26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ht="15.15" spans="1:26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ht="15.15" spans="1:26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ht="15.15" spans="1:26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ht="15.15" spans="1:26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ht="15.15" spans="1:26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ht="15.15" spans="1:26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ht="15.15" spans="1:26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ht="15.15" spans="1:26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ht="15.15" spans="1:26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ht="15.15" spans="1:26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ht="15.15" spans="1:26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ht="15.15" spans="1:26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ht="15.15" spans="1:26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ht="15.15" spans="1:26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ht="15.15" spans="1:26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ht="15.15" spans="1:26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ht="15.15" spans="1:26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ht="15.15" spans="1:26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ht="15.15" spans="1:26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ht="15.15" spans="1:26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ht="15.15" spans="1:26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ht="15.15" spans="1:26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ht="15.15" spans="1:26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ht="15.15" spans="1:26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ht="15.15" spans="1:26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ht="15.15" spans="1:26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ht="15.15" spans="1:26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ht="15.15" spans="1:26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ht="15.15" spans="1:26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ht="15.15" spans="1:26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ht="15.15" spans="1:26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ht="15.15" spans="1:26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ht="15.15" spans="1:26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ht="15.15" spans="1:26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ht="15.15" spans="1:26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ht="15.15" spans="1:26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ht="15.15" spans="1:26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ht="15.15" spans="1:26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ht="15.15" spans="1:26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ht="15.15" spans="1:26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ht="15.15" spans="1:26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ht="15.15" spans="1:26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ht="15.15" spans="1:26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ht="15.15" spans="1:26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ht="15.15" spans="1:26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ht="15.15" spans="1:26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ht="15.15" spans="1:26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ht="15.15" spans="1:26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ht="15.15" spans="1:26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ht="15.15" spans="1:26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ht="15.15" spans="1:26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ht="15.15" spans="1:26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ht="15.15" spans="1:26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ht="15.15" spans="1:26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ht="15.15" spans="1:26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ht="15.15" spans="1:26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ht="15.15" spans="1:26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ht="15.15" spans="1:26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ht="15.15" spans="1:26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ht="15.15" spans="1:26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ht="15.15" spans="1:26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ht="15.15" spans="1:26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ht="15.15" spans="1:26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ht="15.15" spans="1:26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ht="15.15" spans="1:26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ht="15.15" spans="1:26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ht="15.15" spans="1:26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ht="15.15" spans="1:26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ht="15.15" spans="1:26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ht="15.15" spans="1:26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ht="15.15" spans="1:26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ht="15.15" spans="1:26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ht="15.15" spans="1:26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ht="15.15" spans="1:26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ht="15.15" spans="1:26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ht="15.15" spans="1:26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ht="15.15" spans="1:26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ht="15.15" spans="1:26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ht="15.15" spans="1:26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ht="15.15" spans="1:26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ht="15.15" spans="1:26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ht="15.15" spans="1:26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ht="15.15" spans="1:26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ht="15.15" spans="1:26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ht="15.15" spans="1:26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ht="15.15" spans="1:26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ht="15.15" spans="1:26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ht="15.15" spans="1:26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ht="15.15" spans="1:26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ht="15.15" spans="1:26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ht="15.15" spans="1:26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ht="15.15" spans="1:26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ht="15.15" spans="1:26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ht="15.15" spans="1:26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ht="15.15" spans="1:26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ht="15.15" spans="1:26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ht="15.15" spans="1:26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ht="15.15" spans="1:26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ht="15.15" spans="1:26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ht="15.15" spans="1:26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  <row r="986" ht="15.15" spans="1:26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  <c r="X986" s="3"/>
      <c r="Y986" s="3"/>
      <c r="Z986" s="3"/>
    </row>
    <row r="987" ht="15.15" spans="1:26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  <c r="X987" s="3"/>
      <c r="Y987" s="3"/>
      <c r="Z987" s="3"/>
    </row>
    <row r="988" ht="15.15" spans="1:26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  <c r="X988" s="3"/>
      <c r="Y988" s="3"/>
      <c r="Z988" s="3"/>
    </row>
    <row r="989" ht="15.15" spans="1:26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  <c r="X989" s="3"/>
      <c r="Y989" s="3"/>
      <c r="Z989" s="3"/>
    </row>
    <row r="990" ht="15.15" spans="1:26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  <c r="X990" s="3"/>
      <c r="Y990" s="3"/>
      <c r="Z990" s="3"/>
    </row>
    <row r="991" ht="15.15" spans="1:26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  <c r="X991" s="3"/>
      <c r="Y991" s="3"/>
      <c r="Z991" s="3"/>
    </row>
    <row r="992" ht="15.15" spans="1:26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  <c r="X992" s="3"/>
      <c r="Y992" s="3"/>
      <c r="Z992" s="3"/>
    </row>
    <row r="993" ht="15.15" spans="1:26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  <c r="X993" s="3"/>
      <c r="Y993" s="3"/>
      <c r="Z993" s="3"/>
    </row>
    <row r="994" ht="15.15" spans="1:26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  <c r="X994" s="3"/>
      <c r="Y994" s="3"/>
      <c r="Z994" s="3"/>
    </row>
    <row r="995" ht="15.15" spans="1:26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  <c r="X995" s="3"/>
      <c r="Y995" s="3"/>
      <c r="Z995" s="3"/>
    </row>
    <row r="996" ht="15.15" spans="1:26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  <c r="X996" s="3"/>
      <c r="Y996" s="3"/>
      <c r="Z996" s="3"/>
    </row>
    <row r="997" ht="15.15" spans="1:26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  <c r="X997" s="3"/>
      <c r="Y997" s="3"/>
      <c r="Z997" s="3"/>
    </row>
    <row r="998" ht="15.15" spans="1:26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  <c r="X998" s="3"/>
      <c r="Y998" s="3"/>
      <c r="Z998" s="3"/>
    </row>
    <row r="999" ht="15.15" spans="1:26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  <c r="X999" s="3"/>
      <c r="Y999" s="3"/>
      <c r="Z999" s="3"/>
    </row>
    <row r="1000" ht="15.15" spans="1:26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  <c r="X1000" s="3"/>
      <c r="Y1000" s="3"/>
      <c r="Z1000" s="3"/>
    </row>
  </sheetData>
  <mergeCells count="12">
    <mergeCell ref="B2:J2"/>
    <mergeCell ref="B3:J3"/>
    <mergeCell ref="B4:J4"/>
    <mergeCell ref="B19:H19"/>
    <mergeCell ref="B20:J20"/>
    <mergeCell ref="B21:J21"/>
    <mergeCell ref="B22:C22"/>
    <mergeCell ref="D22:J22"/>
    <mergeCell ref="B24:J24"/>
    <mergeCell ref="B25:J25"/>
    <mergeCell ref="B26:J26"/>
    <mergeCell ref="J7:J15"/>
  </mergeCell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R510"/>
  <sheetViews>
    <sheetView workbookViewId="0">
      <selection activeCell="N12" sqref="N12"/>
    </sheetView>
  </sheetViews>
  <sheetFormatPr defaultColWidth="8.88888888888889" defaultRowHeight="14.4"/>
  <sheetData>
    <row r="1" spans="1:70">
      <c r="A1">
        <v>1</v>
      </c>
      <c r="B1">
        <v>2</v>
      </c>
      <c r="C1">
        <v>3</v>
      </c>
      <c r="D1">
        <v>4</v>
      </c>
      <c r="E1">
        <v>5</v>
      </c>
      <c r="F1">
        <v>6</v>
      </c>
      <c r="G1">
        <v>7</v>
      </c>
      <c r="H1">
        <v>8</v>
      </c>
      <c r="I1">
        <v>9</v>
      </c>
      <c r="J1">
        <v>10</v>
      </c>
      <c r="K1">
        <v>11</v>
      </c>
      <c r="L1">
        <v>12</v>
      </c>
      <c r="M1">
        <v>13</v>
      </c>
      <c r="N1">
        <v>14</v>
      </c>
      <c r="O1">
        <v>15</v>
      </c>
      <c r="P1">
        <v>16</v>
      </c>
      <c r="Q1">
        <v>17</v>
      </c>
      <c r="R1">
        <v>18</v>
      </c>
      <c r="S1">
        <v>19</v>
      </c>
      <c r="T1">
        <v>20</v>
      </c>
      <c r="U1">
        <v>21</v>
      </c>
      <c r="V1">
        <v>22</v>
      </c>
      <c r="W1">
        <v>23</v>
      </c>
      <c r="X1">
        <v>24</v>
      </c>
      <c r="Y1">
        <v>25</v>
      </c>
      <c r="Z1">
        <v>26</v>
      </c>
      <c r="AA1">
        <v>27</v>
      </c>
      <c r="AB1">
        <v>28</v>
      </c>
      <c r="AC1">
        <v>29</v>
      </c>
      <c r="AD1">
        <v>30</v>
      </c>
      <c r="AE1">
        <v>31</v>
      </c>
      <c r="AF1">
        <v>32</v>
      </c>
      <c r="AG1">
        <v>33</v>
      </c>
      <c r="AH1">
        <v>34</v>
      </c>
      <c r="AI1">
        <v>35</v>
      </c>
      <c r="AJ1">
        <v>36</v>
      </c>
      <c r="AK1">
        <v>37</v>
      </c>
      <c r="AL1">
        <v>38</v>
      </c>
      <c r="AM1">
        <v>39</v>
      </c>
      <c r="AN1">
        <v>40</v>
      </c>
      <c r="AO1">
        <v>41</v>
      </c>
      <c r="AP1">
        <v>42</v>
      </c>
      <c r="AQ1">
        <v>43</v>
      </c>
      <c r="AR1">
        <v>44</v>
      </c>
      <c r="AS1">
        <v>45</v>
      </c>
      <c r="AT1">
        <v>46</v>
      </c>
      <c r="AU1">
        <v>47</v>
      </c>
      <c r="AV1">
        <v>48</v>
      </c>
      <c r="AW1">
        <v>49</v>
      </c>
      <c r="AX1">
        <v>50</v>
      </c>
      <c r="AY1">
        <v>51</v>
      </c>
      <c r="AZ1">
        <v>52</v>
      </c>
      <c r="BA1">
        <v>53</v>
      </c>
      <c r="BB1">
        <v>54</v>
      </c>
      <c r="BC1">
        <v>48</v>
      </c>
    </row>
    <row r="2" spans="1:70">
      <c r="A2" t="s">
        <v>298</v>
      </c>
      <c r="B2" t="s">
        <v>299</v>
      </c>
      <c r="C2" t="s">
        <v>300</v>
      </c>
      <c r="D2" t="s">
        <v>301</v>
      </c>
      <c r="E2" t="s">
        <v>302</v>
      </c>
      <c r="F2" t="s">
        <v>303</v>
      </c>
      <c r="G2" t="s">
        <v>304</v>
      </c>
      <c r="H2" t="s">
        <v>305</v>
      </c>
      <c r="I2" t="s">
        <v>306</v>
      </c>
      <c r="J2" t="s">
        <v>307</v>
      </c>
      <c r="K2" t="s">
        <v>308</v>
      </c>
      <c r="L2" t="s">
        <v>309</v>
      </c>
      <c r="M2" t="s">
        <v>310</v>
      </c>
      <c r="N2" t="s">
        <v>311</v>
      </c>
      <c r="O2" t="s">
        <v>312</v>
      </c>
      <c r="P2" t="s">
        <v>313</v>
      </c>
      <c r="U2" t="s">
        <v>44</v>
      </c>
      <c r="Z2" t="s">
        <v>314</v>
      </c>
      <c r="AC2" t="s">
        <v>315</v>
      </c>
      <c r="AF2" t="s">
        <v>316</v>
      </c>
      <c r="AI2" t="s">
        <v>317</v>
      </c>
      <c r="AL2" t="s">
        <v>286</v>
      </c>
      <c r="AO2" t="s">
        <v>318</v>
      </c>
      <c r="AR2" t="s">
        <v>319</v>
      </c>
      <c r="AU2" t="s">
        <v>320</v>
      </c>
      <c r="AV2" t="s">
        <v>321</v>
      </c>
      <c r="AW2" t="s">
        <v>322</v>
      </c>
      <c r="AX2" t="s">
        <v>323</v>
      </c>
      <c r="AY2" t="s">
        <v>324</v>
      </c>
      <c r="AZ2" t="s">
        <v>325</v>
      </c>
      <c r="BA2" t="s">
        <v>326</v>
      </c>
      <c r="BB2" t="s">
        <v>327</v>
      </c>
      <c r="BC2" t="s">
        <v>328</v>
      </c>
      <c r="BD2" t="s">
        <v>329</v>
      </c>
      <c r="BN2" t="s">
        <v>330</v>
      </c>
    </row>
    <row r="3" spans="1:70">
      <c r="F3" t="s">
        <v>331</v>
      </c>
      <c r="G3" t="s">
        <v>332</v>
      </c>
      <c r="H3" t="s">
        <v>333</v>
      </c>
      <c r="I3" t="s">
        <v>334</v>
      </c>
      <c r="J3" t="s">
        <v>335</v>
      </c>
      <c r="K3">
        <v>15.15</v>
      </c>
      <c r="L3">
        <v>15.15</v>
      </c>
      <c r="M3" t="s">
        <v>336</v>
      </c>
      <c r="N3">
        <v>743.226</v>
      </c>
      <c r="O3">
        <v>857</v>
      </c>
      <c r="P3" t="s">
        <v>337</v>
      </c>
      <c r="Q3" t="s">
        <v>338</v>
      </c>
      <c r="R3">
        <v>89.075</v>
      </c>
      <c r="S3" t="s">
        <v>339</v>
      </c>
      <c r="T3" t="s">
        <v>340</v>
      </c>
      <c r="U3">
        <v>55.022</v>
      </c>
      <c r="V3">
        <v>56.221</v>
      </c>
      <c r="W3">
        <v>1.126</v>
      </c>
      <c r="X3" t="s">
        <v>341</v>
      </c>
      <c r="Y3" t="s">
        <v>342</v>
      </c>
      <c r="Z3">
        <v>290</v>
      </c>
      <c r="AA3" t="s">
        <v>343</v>
      </c>
      <c r="AB3" t="s">
        <v>344</v>
      </c>
      <c r="AC3">
        <v>398</v>
      </c>
      <c r="AD3" t="s">
        <v>345</v>
      </c>
      <c r="AE3" t="s">
        <v>346</v>
      </c>
      <c r="AF3">
        <v>304</v>
      </c>
      <c r="AG3" t="s">
        <v>347</v>
      </c>
      <c r="AH3" t="s">
        <v>348</v>
      </c>
      <c r="AI3">
        <v>57</v>
      </c>
      <c r="AJ3" t="s">
        <v>349</v>
      </c>
      <c r="AK3" t="s">
        <v>350</v>
      </c>
      <c r="AL3">
        <v>221</v>
      </c>
      <c r="AM3" t="s">
        <v>351</v>
      </c>
      <c r="AN3" t="s">
        <v>352</v>
      </c>
      <c r="AO3">
        <v>552</v>
      </c>
      <c r="AP3" t="s">
        <v>353</v>
      </c>
      <c r="AQ3" t="s">
        <v>354</v>
      </c>
      <c r="AZ3" t="s">
        <v>355</v>
      </c>
      <c r="BD3">
        <v>0</v>
      </c>
      <c r="BE3">
        <v>0</v>
      </c>
      <c r="BF3">
        <v>0</v>
      </c>
      <c r="BH3">
        <v>0</v>
      </c>
      <c r="BI3">
        <v>19.117</v>
      </c>
      <c r="BJ3">
        <v>19.856</v>
      </c>
      <c r="BK3">
        <v>739</v>
      </c>
      <c r="BM3" t="s">
        <v>356</v>
      </c>
      <c r="BN3">
        <v>109</v>
      </c>
      <c r="BO3">
        <v>119</v>
      </c>
      <c r="BP3">
        <v>10</v>
      </c>
      <c r="BQ3">
        <v>60</v>
      </c>
      <c r="BR3">
        <v>300</v>
      </c>
    </row>
    <row r="4" spans="1:70">
      <c r="C4">
        <v>458</v>
      </c>
      <c r="N4" t="s">
        <v>357</v>
      </c>
      <c r="P4" t="s">
        <v>358</v>
      </c>
      <c r="Q4" t="s">
        <v>359</v>
      </c>
      <c r="R4" t="s">
        <v>360</v>
      </c>
      <c r="S4" t="s">
        <v>272</v>
      </c>
      <c r="T4" t="s">
        <v>273</v>
      </c>
      <c r="U4" t="s">
        <v>358</v>
      </c>
      <c r="V4" t="s">
        <v>361</v>
      </c>
      <c r="W4" t="s">
        <v>360</v>
      </c>
      <c r="X4" t="s">
        <v>272</v>
      </c>
      <c r="Y4" t="s">
        <v>273</v>
      </c>
      <c r="Z4" t="s">
        <v>362</v>
      </c>
      <c r="AA4" t="s">
        <v>272</v>
      </c>
      <c r="AB4" t="s">
        <v>273</v>
      </c>
      <c r="AC4" t="s">
        <v>362</v>
      </c>
      <c r="AD4" t="s">
        <v>272</v>
      </c>
      <c r="AE4" t="s">
        <v>273</v>
      </c>
      <c r="AF4" t="s">
        <v>360</v>
      </c>
      <c r="AG4" t="s">
        <v>272</v>
      </c>
      <c r="AH4" t="s">
        <v>273</v>
      </c>
      <c r="AI4" t="s">
        <v>360</v>
      </c>
      <c r="AJ4" t="s">
        <v>272</v>
      </c>
      <c r="AK4" t="s">
        <v>273</v>
      </c>
      <c r="AL4" t="s">
        <v>360</v>
      </c>
      <c r="AM4" t="s">
        <v>272</v>
      </c>
      <c r="AN4" t="s">
        <v>273</v>
      </c>
      <c r="AO4" t="s">
        <v>360</v>
      </c>
      <c r="AP4" t="s">
        <v>272</v>
      </c>
      <c r="AQ4" t="s">
        <v>273</v>
      </c>
      <c r="AR4" t="s">
        <v>360</v>
      </c>
      <c r="AS4" t="s">
        <v>272</v>
      </c>
      <c r="AT4" t="s">
        <v>273</v>
      </c>
      <c r="AU4" t="s">
        <v>363</v>
      </c>
      <c r="AV4" t="s">
        <v>364</v>
      </c>
      <c r="AW4" s="2">
        <v>9879619247</v>
      </c>
      <c r="AX4" t="s">
        <v>365</v>
      </c>
      <c r="AY4" t="s">
        <v>366</v>
      </c>
      <c r="BA4" t="s">
        <v>367</v>
      </c>
      <c r="BB4">
        <v>0</v>
      </c>
      <c r="BC4" t="s">
        <v>368</v>
      </c>
      <c r="BD4" t="s">
        <v>369</v>
      </c>
      <c r="BE4" t="s">
        <v>370</v>
      </c>
      <c r="BF4" t="s">
        <v>371</v>
      </c>
      <c r="BG4" t="s">
        <v>372</v>
      </c>
      <c r="BH4" t="s">
        <v>373</v>
      </c>
      <c r="BI4" t="s">
        <v>369</v>
      </c>
      <c r="BJ4" t="s">
        <v>370</v>
      </c>
      <c r="BK4" t="s">
        <v>360</v>
      </c>
      <c r="BL4" t="s">
        <v>372</v>
      </c>
      <c r="BM4" t="s">
        <v>373</v>
      </c>
      <c r="BN4" t="s">
        <v>369</v>
      </c>
      <c r="BO4" t="s">
        <v>370</v>
      </c>
      <c r="BP4" t="s">
        <v>360</v>
      </c>
      <c r="BQ4" t="s">
        <v>372</v>
      </c>
      <c r="BR4" t="s">
        <v>373</v>
      </c>
    </row>
    <row r="5" spans="1:70">
      <c r="A5" t="s">
        <v>374</v>
      </c>
      <c r="B5" t="s">
        <v>180</v>
      </c>
      <c r="C5">
        <v>101</v>
      </c>
      <c r="D5" t="s">
        <v>375</v>
      </c>
      <c r="E5">
        <v>1</v>
      </c>
      <c r="F5" t="s">
        <v>376</v>
      </c>
      <c r="G5" t="s">
        <v>377</v>
      </c>
      <c r="H5" t="s">
        <v>376</v>
      </c>
      <c r="I5" t="s">
        <v>376</v>
      </c>
      <c r="K5">
        <v>30</v>
      </c>
      <c r="L5">
        <v>30</v>
      </c>
      <c r="O5">
        <v>1</v>
      </c>
      <c r="P5">
        <v>5725</v>
      </c>
      <c r="Q5">
        <v>6041</v>
      </c>
      <c r="R5">
        <v>316</v>
      </c>
      <c r="S5">
        <v>4</v>
      </c>
      <c r="T5" t="s">
        <v>378</v>
      </c>
      <c r="W5">
        <v>1</v>
      </c>
      <c r="X5">
        <v>120</v>
      </c>
      <c r="Y5">
        <v>120</v>
      </c>
      <c r="AB5">
        <v>0</v>
      </c>
      <c r="AC5" t="s">
        <v>379</v>
      </c>
      <c r="AD5">
        <v>100</v>
      </c>
      <c r="AE5">
        <v>100</v>
      </c>
      <c r="AF5">
        <v>0</v>
      </c>
      <c r="AG5">
        <v>50000</v>
      </c>
      <c r="AH5">
        <v>0</v>
      </c>
      <c r="AK5">
        <v>0</v>
      </c>
      <c r="AL5">
        <v>0</v>
      </c>
      <c r="AM5">
        <v>50</v>
      </c>
      <c r="AN5">
        <v>0</v>
      </c>
      <c r="AO5">
        <v>1</v>
      </c>
      <c r="AP5">
        <v>120000</v>
      </c>
      <c r="AQ5">
        <v>120</v>
      </c>
      <c r="AU5" t="s">
        <v>380</v>
      </c>
      <c r="AV5" t="s">
        <v>381</v>
      </c>
      <c r="AX5" t="s">
        <v>382</v>
      </c>
      <c r="AY5" t="s">
        <v>383</v>
      </c>
      <c r="AZ5">
        <v>0</v>
      </c>
    </row>
    <row r="6" spans="1:70">
      <c r="A6" t="s">
        <v>384</v>
      </c>
      <c r="B6" t="s">
        <v>180</v>
      </c>
      <c r="C6">
        <v>201</v>
      </c>
      <c r="D6" t="s">
        <v>375</v>
      </c>
      <c r="E6">
        <v>1</v>
      </c>
      <c r="F6" t="s">
        <v>385</v>
      </c>
      <c r="G6" t="s">
        <v>386</v>
      </c>
      <c r="H6" t="s">
        <v>385</v>
      </c>
      <c r="I6" t="s">
        <v>385</v>
      </c>
      <c r="K6">
        <v>30</v>
      </c>
      <c r="L6">
        <v>30</v>
      </c>
      <c r="O6">
        <v>2</v>
      </c>
      <c r="P6">
        <v>6884</v>
      </c>
      <c r="Q6">
        <v>7119</v>
      </c>
      <c r="R6">
        <v>235</v>
      </c>
      <c r="S6">
        <v>4</v>
      </c>
      <c r="T6">
        <v>940</v>
      </c>
      <c r="W6">
        <v>2</v>
      </c>
      <c r="X6">
        <v>120</v>
      </c>
      <c r="Y6">
        <v>240</v>
      </c>
      <c r="AB6">
        <v>0</v>
      </c>
      <c r="AC6" t="s">
        <v>379</v>
      </c>
      <c r="AD6">
        <v>100</v>
      </c>
      <c r="AE6">
        <v>100</v>
      </c>
      <c r="AF6">
        <v>0</v>
      </c>
      <c r="AG6">
        <v>50000</v>
      </c>
      <c r="AH6">
        <v>0</v>
      </c>
      <c r="AK6">
        <v>0</v>
      </c>
      <c r="AN6">
        <v>0</v>
      </c>
      <c r="AO6">
        <v>2</v>
      </c>
      <c r="AP6">
        <v>120000</v>
      </c>
      <c r="AQ6">
        <v>240</v>
      </c>
      <c r="AU6" t="s">
        <v>387</v>
      </c>
      <c r="AV6" t="s">
        <v>388</v>
      </c>
      <c r="AX6" t="s">
        <v>389</v>
      </c>
      <c r="AY6" t="s">
        <v>383</v>
      </c>
      <c r="AZ6">
        <v>0</v>
      </c>
    </row>
    <row r="7" spans="1:70">
      <c r="A7" t="s">
        <v>390</v>
      </c>
      <c r="B7" t="s">
        <v>180</v>
      </c>
      <c r="C7">
        <v>202</v>
      </c>
      <c r="D7" t="s">
        <v>375</v>
      </c>
      <c r="E7">
        <v>1</v>
      </c>
      <c r="G7" t="s">
        <v>391</v>
      </c>
      <c r="K7">
        <v>30</v>
      </c>
      <c r="L7">
        <v>30</v>
      </c>
      <c r="P7">
        <v>8288</v>
      </c>
      <c r="Q7">
        <v>8528</v>
      </c>
      <c r="R7">
        <v>240</v>
      </c>
      <c r="S7">
        <v>4</v>
      </c>
      <c r="T7">
        <v>960</v>
      </c>
      <c r="X7">
        <v>120</v>
      </c>
      <c r="Y7">
        <v>0</v>
      </c>
      <c r="AB7">
        <v>0</v>
      </c>
      <c r="AD7">
        <v>100</v>
      </c>
      <c r="AE7">
        <v>0</v>
      </c>
      <c r="AF7">
        <v>0</v>
      </c>
      <c r="AG7">
        <v>50000</v>
      </c>
      <c r="AH7">
        <v>0</v>
      </c>
      <c r="AK7">
        <v>0</v>
      </c>
      <c r="AN7">
        <v>0</v>
      </c>
      <c r="AP7">
        <v>120000</v>
      </c>
      <c r="AQ7">
        <v>0</v>
      </c>
      <c r="AU7">
        <v>960</v>
      </c>
      <c r="AV7">
        <v>960</v>
      </c>
      <c r="AW7" t="s">
        <v>392</v>
      </c>
      <c r="AY7" t="s">
        <v>393</v>
      </c>
      <c r="AZ7">
        <v>-960</v>
      </c>
    </row>
    <row r="8" spans="1:70">
      <c r="A8" t="s">
        <v>394</v>
      </c>
      <c r="B8" t="s">
        <v>180</v>
      </c>
      <c r="C8">
        <v>301</v>
      </c>
      <c r="D8" t="s">
        <v>375</v>
      </c>
      <c r="E8">
        <v>1</v>
      </c>
      <c r="F8" t="s">
        <v>395</v>
      </c>
      <c r="G8" t="s">
        <v>386</v>
      </c>
      <c r="H8" t="s">
        <v>395</v>
      </c>
      <c r="I8" t="s">
        <v>395</v>
      </c>
      <c r="K8">
        <v>30</v>
      </c>
      <c r="L8">
        <v>30</v>
      </c>
      <c r="O8">
        <v>2</v>
      </c>
      <c r="P8">
        <v>9919</v>
      </c>
      <c r="Q8">
        <v>10131</v>
      </c>
      <c r="R8">
        <v>212</v>
      </c>
      <c r="S8">
        <v>4</v>
      </c>
      <c r="T8">
        <v>848</v>
      </c>
      <c r="W8">
        <v>2</v>
      </c>
      <c r="X8">
        <v>120</v>
      </c>
      <c r="Y8">
        <v>240</v>
      </c>
      <c r="AB8">
        <v>0</v>
      </c>
      <c r="AC8" t="s">
        <v>379</v>
      </c>
      <c r="AD8">
        <v>100</v>
      </c>
      <c r="AE8">
        <v>100</v>
      </c>
      <c r="AF8">
        <v>0</v>
      </c>
      <c r="AH8">
        <v>0</v>
      </c>
      <c r="AK8">
        <v>0</v>
      </c>
      <c r="AN8">
        <v>0</v>
      </c>
      <c r="AO8">
        <v>2</v>
      </c>
      <c r="AP8">
        <v>120000</v>
      </c>
      <c r="AQ8">
        <v>240</v>
      </c>
      <c r="AU8" t="s">
        <v>396</v>
      </c>
      <c r="AV8" t="s">
        <v>397</v>
      </c>
      <c r="AX8" t="s">
        <v>398</v>
      </c>
      <c r="AY8" t="s">
        <v>383</v>
      </c>
      <c r="AZ8">
        <v>0</v>
      </c>
    </row>
    <row r="9" spans="1:70">
      <c r="A9" t="s">
        <v>399</v>
      </c>
      <c r="B9" t="s">
        <v>180</v>
      </c>
      <c r="C9">
        <v>302</v>
      </c>
      <c r="D9" t="s">
        <v>375</v>
      </c>
      <c r="E9">
        <v>1</v>
      </c>
      <c r="F9" t="s">
        <v>400</v>
      </c>
      <c r="G9" t="s">
        <v>391</v>
      </c>
      <c r="H9" t="s">
        <v>400</v>
      </c>
      <c r="I9" t="s">
        <v>400</v>
      </c>
      <c r="K9">
        <v>30</v>
      </c>
      <c r="L9">
        <v>30</v>
      </c>
      <c r="O9">
        <v>1</v>
      </c>
      <c r="P9">
        <v>10257</v>
      </c>
      <c r="Q9">
        <v>10487</v>
      </c>
      <c r="R9">
        <v>230</v>
      </c>
      <c r="S9">
        <v>4</v>
      </c>
      <c r="T9">
        <v>920</v>
      </c>
      <c r="W9">
        <v>1</v>
      </c>
      <c r="X9">
        <v>120</v>
      </c>
      <c r="Y9">
        <v>120</v>
      </c>
      <c r="AB9">
        <v>0</v>
      </c>
      <c r="AC9" t="s">
        <v>379</v>
      </c>
      <c r="AD9">
        <v>100</v>
      </c>
      <c r="AE9">
        <v>100</v>
      </c>
      <c r="AF9">
        <v>0</v>
      </c>
      <c r="AG9">
        <v>50000</v>
      </c>
      <c r="AH9">
        <v>0</v>
      </c>
      <c r="AK9">
        <v>0</v>
      </c>
      <c r="AN9">
        <v>0</v>
      </c>
      <c r="AO9">
        <v>1</v>
      </c>
      <c r="AP9">
        <v>120000</v>
      </c>
      <c r="AQ9">
        <v>120</v>
      </c>
      <c r="AU9" t="s">
        <v>401</v>
      </c>
      <c r="AV9" t="s">
        <v>402</v>
      </c>
      <c r="AX9" t="s">
        <v>403</v>
      </c>
      <c r="AY9" t="s">
        <v>383</v>
      </c>
      <c r="AZ9">
        <v>0</v>
      </c>
    </row>
    <row r="10" spans="1:70">
      <c r="A10" t="s">
        <v>404</v>
      </c>
      <c r="B10" t="s">
        <v>180</v>
      </c>
      <c r="C10">
        <v>401</v>
      </c>
      <c r="D10" t="s">
        <v>375</v>
      </c>
      <c r="E10">
        <v>1</v>
      </c>
      <c r="F10" t="s">
        <v>395</v>
      </c>
      <c r="G10" t="s">
        <v>386</v>
      </c>
      <c r="H10" t="s">
        <v>395</v>
      </c>
      <c r="I10" t="s">
        <v>395</v>
      </c>
      <c r="K10">
        <v>30</v>
      </c>
      <c r="L10">
        <v>30</v>
      </c>
      <c r="O10">
        <v>1</v>
      </c>
      <c r="P10">
        <v>6861</v>
      </c>
      <c r="Q10">
        <v>6919</v>
      </c>
      <c r="R10">
        <v>58</v>
      </c>
      <c r="S10">
        <v>4</v>
      </c>
      <c r="T10">
        <v>232</v>
      </c>
      <c r="W10">
        <v>1</v>
      </c>
      <c r="X10">
        <v>120</v>
      </c>
      <c r="Y10">
        <v>120</v>
      </c>
      <c r="AB10">
        <v>0</v>
      </c>
      <c r="AC10" t="s">
        <v>379</v>
      </c>
      <c r="AD10">
        <v>100</v>
      </c>
      <c r="AE10">
        <v>100</v>
      </c>
      <c r="AF10">
        <v>0</v>
      </c>
      <c r="AH10">
        <v>0</v>
      </c>
      <c r="AK10">
        <v>0</v>
      </c>
      <c r="AL10">
        <v>0</v>
      </c>
      <c r="AN10">
        <v>0</v>
      </c>
      <c r="AO10">
        <v>1</v>
      </c>
      <c r="AP10">
        <v>120000</v>
      </c>
      <c r="AQ10">
        <v>120</v>
      </c>
      <c r="AU10">
        <v>572</v>
      </c>
      <c r="AV10" t="s">
        <v>405</v>
      </c>
      <c r="AX10" t="s">
        <v>406</v>
      </c>
      <c r="AY10" t="s">
        <v>383</v>
      </c>
      <c r="AZ10">
        <v>0</v>
      </c>
    </row>
    <row r="11" spans="1:70">
      <c r="A11" t="s">
        <v>407</v>
      </c>
      <c r="B11" t="s">
        <v>180</v>
      </c>
      <c r="C11">
        <v>402</v>
      </c>
      <c r="D11" t="s">
        <v>375</v>
      </c>
      <c r="E11">
        <v>1</v>
      </c>
      <c r="F11" t="s">
        <v>408</v>
      </c>
      <c r="G11" t="s">
        <v>409</v>
      </c>
      <c r="H11" t="s">
        <v>408</v>
      </c>
      <c r="I11" t="s">
        <v>408</v>
      </c>
      <c r="J11" t="s">
        <v>408</v>
      </c>
      <c r="K11">
        <v>30</v>
      </c>
      <c r="L11">
        <v>30</v>
      </c>
      <c r="O11">
        <v>1</v>
      </c>
      <c r="P11">
        <v>9629</v>
      </c>
      <c r="Q11">
        <v>9629</v>
      </c>
      <c r="R11">
        <v>0</v>
      </c>
      <c r="S11">
        <v>4</v>
      </c>
      <c r="T11">
        <v>0</v>
      </c>
      <c r="W11">
        <v>1</v>
      </c>
      <c r="X11">
        <v>120</v>
      </c>
      <c r="Y11">
        <v>120</v>
      </c>
      <c r="AB11">
        <v>0</v>
      </c>
      <c r="AC11" t="s">
        <v>379</v>
      </c>
      <c r="AD11">
        <v>100</v>
      </c>
      <c r="AE11">
        <v>100</v>
      </c>
      <c r="AF11">
        <v>0</v>
      </c>
      <c r="AG11">
        <v>50000</v>
      </c>
      <c r="AH11">
        <v>0</v>
      </c>
      <c r="AK11">
        <v>0</v>
      </c>
      <c r="AN11">
        <v>0</v>
      </c>
      <c r="AP11">
        <v>120000</v>
      </c>
      <c r="AQ11">
        <v>0</v>
      </c>
      <c r="AU11">
        <v>220</v>
      </c>
      <c r="AV11" t="s">
        <v>410</v>
      </c>
      <c r="AW11" t="s">
        <v>411</v>
      </c>
      <c r="AX11" t="s">
        <v>412</v>
      </c>
      <c r="AY11" t="s">
        <v>383</v>
      </c>
      <c r="AZ11">
        <v>0</v>
      </c>
    </row>
    <row r="12" spans="1:70">
      <c r="A12" t="s">
        <v>413</v>
      </c>
      <c r="B12" t="s">
        <v>180</v>
      </c>
      <c r="C12">
        <v>501</v>
      </c>
      <c r="D12" t="s">
        <v>375</v>
      </c>
      <c r="E12">
        <v>1</v>
      </c>
      <c r="F12" t="s">
        <v>377</v>
      </c>
      <c r="G12" t="s">
        <v>386</v>
      </c>
      <c r="H12" t="s">
        <v>377</v>
      </c>
      <c r="I12" t="s">
        <v>377</v>
      </c>
      <c r="K12">
        <v>30</v>
      </c>
      <c r="L12">
        <v>30</v>
      </c>
      <c r="O12">
        <v>1</v>
      </c>
      <c r="P12">
        <v>7885</v>
      </c>
      <c r="Q12">
        <v>7885</v>
      </c>
      <c r="R12">
        <v>0</v>
      </c>
      <c r="S12">
        <v>4</v>
      </c>
      <c r="T12">
        <v>0</v>
      </c>
      <c r="W12">
        <v>1</v>
      </c>
      <c r="X12">
        <v>120</v>
      </c>
      <c r="Y12">
        <v>120</v>
      </c>
      <c r="AB12">
        <v>0</v>
      </c>
      <c r="AC12" t="s">
        <v>379</v>
      </c>
      <c r="AD12">
        <v>100</v>
      </c>
      <c r="AE12">
        <v>100</v>
      </c>
      <c r="AF12">
        <v>0</v>
      </c>
      <c r="AH12">
        <v>0</v>
      </c>
      <c r="AK12">
        <v>0</v>
      </c>
      <c r="AN12">
        <v>0</v>
      </c>
      <c r="AO12">
        <v>1</v>
      </c>
      <c r="AP12">
        <v>120000</v>
      </c>
      <c r="AQ12">
        <v>120</v>
      </c>
      <c r="AU12">
        <v>340</v>
      </c>
      <c r="AV12" t="s">
        <v>414</v>
      </c>
      <c r="AW12" t="s">
        <v>415</v>
      </c>
      <c r="AX12" t="s">
        <v>416</v>
      </c>
      <c r="AY12" t="s">
        <v>417</v>
      </c>
      <c r="AZ12" t="s">
        <v>418</v>
      </c>
    </row>
    <row r="13" spans="1:70">
      <c r="A13" t="s">
        <v>419</v>
      </c>
      <c r="B13" t="s">
        <v>180</v>
      </c>
      <c r="C13">
        <v>502</v>
      </c>
      <c r="D13" t="s">
        <v>375</v>
      </c>
      <c r="E13">
        <v>1</v>
      </c>
      <c r="F13" t="s">
        <v>420</v>
      </c>
      <c r="G13" t="s">
        <v>420</v>
      </c>
      <c r="H13" t="s">
        <v>420</v>
      </c>
      <c r="I13" t="s">
        <v>420</v>
      </c>
      <c r="K13">
        <v>30</v>
      </c>
      <c r="L13">
        <v>30</v>
      </c>
      <c r="O13">
        <v>1</v>
      </c>
      <c r="P13">
        <v>12131</v>
      </c>
      <c r="Q13">
        <v>12403</v>
      </c>
      <c r="R13">
        <v>272</v>
      </c>
      <c r="S13">
        <v>4</v>
      </c>
      <c r="T13" t="s">
        <v>421</v>
      </c>
      <c r="W13">
        <v>1</v>
      </c>
      <c r="X13">
        <v>120</v>
      </c>
      <c r="Y13">
        <v>120</v>
      </c>
      <c r="AB13">
        <v>0</v>
      </c>
      <c r="AC13" t="s">
        <v>379</v>
      </c>
      <c r="AD13">
        <v>100</v>
      </c>
      <c r="AE13">
        <v>100</v>
      </c>
      <c r="AF13">
        <v>0</v>
      </c>
      <c r="AG13">
        <v>50000</v>
      </c>
      <c r="AH13">
        <v>0</v>
      </c>
      <c r="AK13">
        <v>0</v>
      </c>
      <c r="AN13">
        <v>0</v>
      </c>
      <c r="AO13">
        <v>1</v>
      </c>
      <c r="AP13">
        <v>120000</v>
      </c>
      <c r="AQ13">
        <v>120</v>
      </c>
      <c r="AU13" t="s">
        <v>396</v>
      </c>
      <c r="AV13" t="s">
        <v>422</v>
      </c>
      <c r="AX13" t="s">
        <v>423</v>
      </c>
      <c r="AY13" t="s">
        <v>383</v>
      </c>
      <c r="AZ13">
        <v>0</v>
      </c>
    </row>
    <row r="14" spans="1:70">
      <c r="A14" t="s">
        <v>424</v>
      </c>
      <c r="B14" t="s">
        <v>169</v>
      </c>
      <c r="C14">
        <v>101</v>
      </c>
      <c r="D14" t="s">
        <v>425</v>
      </c>
      <c r="E14">
        <v>1</v>
      </c>
      <c r="F14" t="s">
        <v>426</v>
      </c>
      <c r="G14" t="s">
        <v>395</v>
      </c>
      <c r="H14" t="s">
        <v>426</v>
      </c>
      <c r="I14" t="s">
        <v>426</v>
      </c>
      <c r="K14">
        <v>30</v>
      </c>
      <c r="L14">
        <v>30</v>
      </c>
      <c r="O14">
        <v>2</v>
      </c>
      <c r="P14">
        <v>15282</v>
      </c>
      <c r="Q14">
        <v>15510</v>
      </c>
      <c r="R14">
        <v>228</v>
      </c>
      <c r="S14">
        <v>4</v>
      </c>
      <c r="T14">
        <v>912</v>
      </c>
      <c r="W14">
        <v>2</v>
      </c>
      <c r="X14">
        <v>100</v>
      </c>
      <c r="Y14">
        <v>200</v>
      </c>
      <c r="Z14">
        <v>2</v>
      </c>
      <c r="AA14">
        <v>30</v>
      </c>
      <c r="AB14">
        <v>60</v>
      </c>
      <c r="AC14" t="s">
        <v>379</v>
      </c>
      <c r="AD14">
        <v>100</v>
      </c>
      <c r="AE14">
        <v>100</v>
      </c>
      <c r="AH14">
        <v>0</v>
      </c>
      <c r="AK14">
        <v>0</v>
      </c>
      <c r="AL14">
        <v>2</v>
      </c>
      <c r="AM14">
        <v>60000</v>
      </c>
      <c r="AN14">
        <v>120</v>
      </c>
      <c r="AQ14">
        <v>0</v>
      </c>
      <c r="AU14" t="s">
        <v>427</v>
      </c>
      <c r="AV14" t="s">
        <v>428</v>
      </c>
      <c r="AX14" t="s">
        <v>429</v>
      </c>
      <c r="AY14" t="s">
        <v>383</v>
      </c>
      <c r="AZ14">
        <v>0</v>
      </c>
    </row>
    <row r="15" spans="1:70">
      <c r="A15" t="s">
        <v>430</v>
      </c>
      <c r="B15" t="s">
        <v>169</v>
      </c>
      <c r="C15">
        <v>201</v>
      </c>
      <c r="D15" t="s">
        <v>425</v>
      </c>
      <c r="E15">
        <v>1</v>
      </c>
      <c r="F15" t="s">
        <v>395</v>
      </c>
      <c r="G15" t="s">
        <v>395</v>
      </c>
      <c r="H15" t="s">
        <v>395</v>
      </c>
      <c r="I15" t="s">
        <v>395</v>
      </c>
      <c r="J15" t="s">
        <v>395</v>
      </c>
      <c r="K15">
        <v>30</v>
      </c>
      <c r="L15">
        <v>30</v>
      </c>
      <c r="O15">
        <v>1</v>
      </c>
      <c r="P15">
        <v>13862</v>
      </c>
      <c r="Q15">
        <v>13862</v>
      </c>
      <c r="R15">
        <v>0</v>
      </c>
      <c r="S15">
        <v>4</v>
      </c>
      <c r="T15">
        <v>0</v>
      </c>
      <c r="W15">
        <v>1</v>
      </c>
      <c r="X15">
        <v>120</v>
      </c>
      <c r="Y15">
        <v>120</v>
      </c>
      <c r="AB15">
        <v>0</v>
      </c>
      <c r="AD15">
        <v>100</v>
      </c>
      <c r="AE15">
        <v>0</v>
      </c>
      <c r="AH15">
        <v>0</v>
      </c>
      <c r="AK15">
        <v>0</v>
      </c>
      <c r="AM15">
        <v>60000</v>
      </c>
      <c r="AN15">
        <v>0</v>
      </c>
      <c r="AO15">
        <v>1</v>
      </c>
      <c r="AP15">
        <v>120000</v>
      </c>
      <c r="AQ15">
        <v>120</v>
      </c>
      <c r="AU15">
        <v>240</v>
      </c>
      <c r="AV15" t="s">
        <v>431</v>
      </c>
      <c r="AW15" t="s">
        <v>432</v>
      </c>
      <c r="AX15" t="s">
        <v>433</v>
      </c>
      <c r="AY15" t="s">
        <v>383</v>
      </c>
      <c r="AZ15">
        <v>0</v>
      </c>
    </row>
    <row r="16" spans="1:70">
      <c r="A16" t="s">
        <v>434</v>
      </c>
      <c r="B16" t="s">
        <v>169</v>
      </c>
      <c r="C16">
        <v>202</v>
      </c>
      <c r="D16" t="s">
        <v>425</v>
      </c>
      <c r="E16">
        <v>1</v>
      </c>
      <c r="F16" t="s">
        <v>395</v>
      </c>
      <c r="G16" t="s">
        <v>395</v>
      </c>
      <c r="H16" t="s">
        <v>395</v>
      </c>
      <c r="I16" t="s">
        <v>395</v>
      </c>
      <c r="K16">
        <v>30</v>
      </c>
      <c r="L16">
        <v>30</v>
      </c>
      <c r="O16">
        <v>1</v>
      </c>
      <c r="P16">
        <v>14288</v>
      </c>
      <c r="Q16">
        <v>14367</v>
      </c>
      <c r="R16">
        <v>79</v>
      </c>
      <c r="S16">
        <v>4</v>
      </c>
      <c r="T16">
        <v>316</v>
      </c>
      <c r="W16">
        <v>1</v>
      </c>
      <c r="X16">
        <v>120</v>
      </c>
      <c r="Y16">
        <v>120</v>
      </c>
      <c r="AB16">
        <v>0</v>
      </c>
      <c r="AD16">
        <v>100</v>
      </c>
      <c r="AE16">
        <v>0</v>
      </c>
      <c r="AH16">
        <v>0</v>
      </c>
      <c r="AK16">
        <v>0</v>
      </c>
      <c r="AL16">
        <v>0</v>
      </c>
      <c r="AN16">
        <v>0</v>
      </c>
      <c r="AO16">
        <v>1</v>
      </c>
      <c r="AP16">
        <v>60000</v>
      </c>
      <c r="AQ16">
        <v>60</v>
      </c>
      <c r="AU16">
        <v>496</v>
      </c>
      <c r="AV16" t="s">
        <v>435</v>
      </c>
      <c r="AX16" t="s">
        <v>436</v>
      </c>
      <c r="AY16" t="s">
        <v>383</v>
      </c>
      <c r="AZ16">
        <v>0</v>
      </c>
      <c r="BA16" s="1">
        <v>46030</v>
      </c>
      <c r="BB16" t="s">
        <v>437</v>
      </c>
      <c r="BC16" t="s">
        <v>438</v>
      </c>
      <c r="BE16" t="s">
        <v>439</v>
      </c>
    </row>
    <row r="17" spans="1:65">
      <c r="A17" t="s">
        <v>440</v>
      </c>
      <c r="B17" t="s">
        <v>169</v>
      </c>
      <c r="C17">
        <v>203</v>
      </c>
      <c r="D17" t="s">
        <v>425</v>
      </c>
      <c r="E17">
        <v>1</v>
      </c>
      <c r="F17" t="s">
        <v>277</v>
      </c>
      <c r="G17" t="s">
        <v>395</v>
      </c>
      <c r="H17" t="s">
        <v>277</v>
      </c>
      <c r="I17" t="s">
        <v>277</v>
      </c>
      <c r="K17">
        <v>30</v>
      </c>
      <c r="L17">
        <v>30</v>
      </c>
      <c r="O17">
        <v>2</v>
      </c>
      <c r="P17">
        <v>12524</v>
      </c>
      <c r="Q17">
        <v>12726</v>
      </c>
      <c r="R17">
        <v>202</v>
      </c>
      <c r="S17">
        <v>4</v>
      </c>
      <c r="T17">
        <v>808</v>
      </c>
      <c r="W17">
        <v>2</v>
      </c>
      <c r="X17">
        <v>120</v>
      </c>
      <c r="Y17">
        <v>240</v>
      </c>
      <c r="AB17">
        <v>0</v>
      </c>
      <c r="AC17" t="s">
        <v>379</v>
      </c>
      <c r="AD17">
        <v>100</v>
      </c>
      <c r="AE17">
        <v>100</v>
      </c>
      <c r="AH17">
        <v>0</v>
      </c>
      <c r="AK17">
        <v>0</v>
      </c>
      <c r="AN17">
        <v>0</v>
      </c>
      <c r="AO17">
        <v>2</v>
      </c>
      <c r="AP17">
        <v>120000</v>
      </c>
      <c r="AQ17">
        <v>240</v>
      </c>
      <c r="AU17" t="s">
        <v>441</v>
      </c>
      <c r="AV17" t="s">
        <v>442</v>
      </c>
      <c r="AX17" t="s">
        <v>443</v>
      </c>
      <c r="AY17" t="s">
        <v>383</v>
      </c>
      <c r="AZ17">
        <v>0</v>
      </c>
      <c r="BK17">
        <v>0</v>
      </c>
      <c r="BL17">
        <v>3.8</v>
      </c>
      <c r="BM17">
        <v>0</v>
      </c>
    </row>
    <row r="18" spans="1:65">
      <c r="A18" t="s">
        <v>444</v>
      </c>
      <c r="B18" t="s">
        <v>169</v>
      </c>
      <c r="C18">
        <v>204</v>
      </c>
      <c r="D18" t="s">
        <v>425</v>
      </c>
      <c r="E18">
        <v>1</v>
      </c>
      <c r="F18" t="s">
        <v>445</v>
      </c>
      <c r="G18" t="s">
        <v>395</v>
      </c>
      <c r="H18" t="s">
        <v>445</v>
      </c>
      <c r="I18" t="s">
        <v>445</v>
      </c>
      <c r="K18">
        <v>30</v>
      </c>
      <c r="L18">
        <v>30</v>
      </c>
      <c r="O18">
        <v>2</v>
      </c>
      <c r="P18">
        <v>14875</v>
      </c>
      <c r="Q18">
        <v>15080</v>
      </c>
      <c r="R18">
        <v>205</v>
      </c>
      <c r="S18">
        <v>4</v>
      </c>
      <c r="T18">
        <v>820</v>
      </c>
      <c r="W18">
        <v>2</v>
      </c>
      <c r="X18">
        <v>120</v>
      </c>
      <c r="Y18">
        <v>240</v>
      </c>
      <c r="AB18">
        <v>0</v>
      </c>
      <c r="AD18">
        <v>100</v>
      </c>
      <c r="AE18">
        <v>0</v>
      </c>
      <c r="AH18">
        <v>0</v>
      </c>
      <c r="AK18">
        <v>0</v>
      </c>
      <c r="AN18">
        <v>0</v>
      </c>
      <c r="AO18">
        <v>2</v>
      </c>
      <c r="AP18">
        <v>120000</v>
      </c>
      <c r="AQ18">
        <v>240</v>
      </c>
      <c r="AU18" t="s">
        <v>446</v>
      </c>
      <c r="AV18" t="s">
        <v>447</v>
      </c>
      <c r="AW18" t="s">
        <v>448</v>
      </c>
      <c r="AX18" t="s">
        <v>449</v>
      </c>
      <c r="AY18" t="s">
        <v>383</v>
      </c>
      <c r="AZ18">
        <v>0</v>
      </c>
    </row>
    <row r="19" spans="1:65">
      <c r="A19" t="s">
        <v>450</v>
      </c>
      <c r="B19" t="s">
        <v>169</v>
      </c>
      <c r="C19">
        <v>301</v>
      </c>
      <c r="D19" t="s">
        <v>425</v>
      </c>
      <c r="E19">
        <v>1</v>
      </c>
      <c r="F19" t="s">
        <v>277</v>
      </c>
      <c r="G19" t="s">
        <v>395</v>
      </c>
      <c r="H19" t="s">
        <v>277</v>
      </c>
      <c r="I19" t="s">
        <v>277</v>
      </c>
      <c r="K19">
        <v>30</v>
      </c>
      <c r="L19">
        <v>30</v>
      </c>
      <c r="O19">
        <v>2</v>
      </c>
      <c r="P19">
        <v>17447</v>
      </c>
      <c r="Q19">
        <v>17790</v>
      </c>
      <c r="R19">
        <v>343</v>
      </c>
      <c r="S19">
        <v>4</v>
      </c>
      <c r="T19" t="s">
        <v>451</v>
      </c>
      <c r="W19">
        <v>2</v>
      </c>
      <c r="X19">
        <v>120</v>
      </c>
      <c r="Y19">
        <v>240</v>
      </c>
      <c r="AB19">
        <v>0</v>
      </c>
      <c r="AC19" t="s">
        <v>379</v>
      </c>
      <c r="AD19">
        <v>100</v>
      </c>
      <c r="AE19">
        <v>100</v>
      </c>
      <c r="AH19">
        <v>0</v>
      </c>
      <c r="AK19">
        <v>0</v>
      </c>
      <c r="AN19">
        <v>0</v>
      </c>
      <c r="AO19">
        <v>2</v>
      </c>
      <c r="AP19">
        <v>120000</v>
      </c>
      <c r="AQ19">
        <v>240</v>
      </c>
      <c r="AU19" t="s">
        <v>452</v>
      </c>
      <c r="AV19" t="s">
        <v>453</v>
      </c>
      <c r="AW19" t="s">
        <v>454</v>
      </c>
      <c r="AX19" t="s">
        <v>455</v>
      </c>
      <c r="AY19" t="s">
        <v>383</v>
      </c>
      <c r="AZ19">
        <v>0</v>
      </c>
    </row>
    <row r="20" spans="1:65">
      <c r="A20" t="s">
        <v>456</v>
      </c>
      <c r="B20" t="s">
        <v>169</v>
      </c>
      <c r="C20">
        <v>302</v>
      </c>
      <c r="D20" t="s">
        <v>425</v>
      </c>
      <c r="E20">
        <v>1</v>
      </c>
      <c r="F20" t="s">
        <v>395</v>
      </c>
      <c r="G20" t="s">
        <v>395</v>
      </c>
      <c r="H20" t="s">
        <v>395</v>
      </c>
      <c r="I20" t="s">
        <v>457</v>
      </c>
      <c r="J20" t="s">
        <v>395</v>
      </c>
      <c r="K20">
        <v>30</v>
      </c>
      <c r="L20">
        <v>30</v>
      </c>
      <c r="O20">
        <v>2</v>
      </c>
      <c r="P20">
        <v>16349</v>
      </c>
      <c r="Q20">
        <v>16478</v>
      </c>
      <c r="R20">
        <v>129</v>
      </c>
      <c r="S20">
        <v>4</v>
      </c>
      <c r="T20">
        <v>516</v>
      </c>
      <c r="W20">
        <v>2</v>
      </c>
      <c r="X20">
        <v>120</v>
      </c>
      <c r="Y20">
        <v>240</v>
      </c>
      <c r="AB20">
        <v>0</v>
      </c>
      <c r="AC20" t="s">
        <v>379</v>
      </c>
      <c r="AD20">
        <v>100</v>
      </c>
      <c r="AE20">
        <v>100</v>
      </c>
      <c r="AH20">
        <v>0</v>
      </c>
      <c r="AK20">
        <v>0</v>
      </c>
      <c r="AL20">
        <v>0</v>
      </c>
      <c r="AN20">
        <v>0</v>
      </c>
      <c r="AO20">
        <v>2</v>
      </c>
      <c r="AP20">
        <v>120000</v>
      </c>
      <c r="AQ20">
        <v>240</v>
      </c>
      <c r="AU20" t="s">
        <v>458</v>
      </c>
      <c r="AV20" t="s">
        <v>459</v>
      </c>
      <c r="AW20" t="s">
        <v>460</v>
      </c>
      <c r="AX20" t="s">
        <v>461</v>
      </c>
      <c r="AY20" t="s">
        <v>383</v>
      </c>
      <c r="AZ20">
        <v>0</v>
      </c>
    </row>
    <row r="21" spans="1:65">
      <c r="A21" t="s">
        <v>462</v>
      </c>
      <c r="B21" t="s">
        <v>169</v>
      </c>
      <c r="C21">
        <v>303</v>
      </c>
      <c r="D21" t="s">
        <v>425</v>
      </c>
      <c r="E21">
        <v>1</v>
      </c>
      <c r="F21" t="s">
        <v>395</v>
      </c>
      <c r="G21" t="s">
        <v>395</v>
      </c>
      <c r="H21" t="s">
        <v>395</v>
      </c>
      <c r="I21" t="s">
        <v>395</v>
      </c>
      <c r="J21">
        <v>200</v>
      </c>
      <c r="K21">
        <v>30</v>
      </c>
      <c r="L21">
        <v>30</v>
      </c>
      <c r="O21">
        <v>3</v>
      </c>
      <c r="P21">
        <v>16601</v>
      </c>
      <c r="Q21">
        <v>16601</v>
      </c>
      <c r="R21">
        <v>0</v>
      </c>
      <c r="S21">
        <v>4</v>
      </c>
      <c r="T21">
        <v>0</v>
      </c>
      <c r="W21">
        <v>3</v>
      </c>
      <c r="X21">
        <v>120</v>
      </c>
      <c r="Y21">
        <v>360</v>
      </c>
      <c r="AB21">
        <v>0</v>
      </c>
      <c r="AC21" t="s">
        <v>379</v>
      </c>
      <c r="AD21">
        <v>100</v>
      </c>
      <c r="AE21">
        <v>100</v>
      </c>
      <c r="AH21">
        <v>0</v>
      </c>
      <c r="AK21">
        <v>0</v>
      </c>
      <c r="AN21">
        <v>0</v>
      </c>
      <c r="AO21">
        <v>3</v>
      </c>
      <c r="AP21">
        <v>120000</v>
      </c>
      <c r="AQ21">
        <v>360</v>
      </c>
      <c r="AU21">
        <v>820</v>
      </c>
      <c r="AV21" t="s">
        <v>463</v>
      </c>
      <c r="AW21" t="s">
        <v>464</v>
      </c>
      <c r="AX21" t="s">
        <v>465</v>
      </c>
      <c r="AY21" t="s">
        <v>383</v>
      </c>
      <c r="AZ21">
        <v>0</v>
      </c>
    </row>
    <row r="22" spans="1:65">
      <c r="A22" t="s">
        <v>466</v>
      </c>
      <c r="B22" t="s">
        <v>169</v>
      </c>
      <c r="C22">
        <v>304</v>
      </c>
      <c r="D22" t="s">
        <v>425</v>
      </c>
      <c r="E22">
        <v>1</v>
      </c>
      <c r="F22" t="s">
        <v>277</v>
      </c>
      <c r="G22" t="s">
        <v>395</v>
      </c>
      <c r="H22" t="s">
        <v>277</v>
      </c>
      <c r="I22" t="s">
        <v>277</v>
      </c>
      <c r="K22">
        <v>30</v>
      </c>
      <c r="L22">
        <v>30</v>
      </c>
      <c r="O22">
        <v>2</v>
      </c>
      <c r="P22">
        <v>16639</v>
      </c>
      <c r="Q22">
        <v>16833</v>
      </c>
      <c r="R22">
        <v>194</v>
      </c>
      <c r="S22">
        <v>4</v>
      </c>
      <c r="T22">
        <v>776</v>
      </c>
      <c r="W22">
        <v>2</v>
      </c>
      <c r="X22">
        <v>100</v>
      </c>
      <c r="Y22">
        <v>200</v>
      </c>
      <c r="Z22">
        <v>2</v>
      </c>
      <c r="AA22">
        <v>30</v>
      </c>
      <c r="AB22">
        <v>60</v>
      </c>
      <c r="AD22">
        <v>100</v>
      </c>
      <c r="AE22">
        <v>0</v>
      </c>
      <c r="AH22">
        <v>0</v>
      </c>
      <c r="AK22">
        <v>0</v>
      </c>
      <c r="AL22">
        <v>2</v>
      </c>
      <c r="AM22">
        <v>60000</v>
      </c>
      <c r="AN22">
        <v>120</v>
      </c>
      <c r="AQ22">
        <v>0</v>
      </c>
      <c r="AU22" t="s">
        <v>467</v>
      </c>
      <c r="AV22" t="s">
        <v>468</v>
      </c>
      <c r="AX22" t="s">
        <v>469</v>
      </c>
      <c r="AY22" t="s">
        <v>383</v>
      </c>
      <c r="AZ22">
        <v>0</v>
      </c>
    </row>
    <row r="23" spans="1:65">
      <c r="A23" t="s">
        <v>470</v>
      </c>
      <c r="B23" t="s">
        <v>169</v>
      </c>
      <c r="C23">
        <v>401</v>
      </c>
      <c r="D23" t="s">
        <v>425</v>
      </c>
      <c r="E23">
        <v>1</v>
      </c>
      <c r="F23" t="s">
        <v>395</v>
      </c>
      <c r="G23" t="s">
        <v>277</v>
      </c>
      <c r="H23" t="s">
        <v>395</v>
      </c>
      <c r="I23" t="s">
        <v>395</v>
      </c>
      <c r="J23" t="s">
        <v>395</v>
      </c>
      <c r="K23">
        <v>30</v>
      </c>
      <c r="L23">
        <v>30</v>
      </c>
      <c r="O23">
        <v>2</v>
      </c>
      <c r="P23">
        <v>15570</v>
      </c>
      <c r="Q23">
        <v>15570</v>
      </c>
      <c r="R23">
        <v>0</v>
      </c>
      <c r="S23">
        <v>4</v>
      </c>
      <c r="T23">
        <v>0</v>
      </c>
      <c r="W23">
        <v>2</v>
      </c>
      <c r="X23">
        <v>120</v>
      </c>
      <c r="Y23">
        <v>240</v>
      </c>
      <c r="AB23">
        <v>0</v>
      </c>
      <c r="AC23" t="s">
        <v>379</v>
      </c>
      <c r="AD23">
        <v>100</v>
      </c>
      <c r="AE23">
        <v>100</v>
      </c>
      <c r="AH23">
        <v>0</v>
      </c>
      <c r="AK23">
        <v>0</v>
      </c>
      <c r="AN23">
        <v>0</v>
      </c>
      <c r="AO23">
        <v>2</v>
      </c>
      <c r="AP23">
        <v>120000</v>
      </c>
      <c r="AQ23">
        <v>240</v>
      </c>
      <c r="AU23">
        <v>580</v>
      </c>
      <c r="AV23" t="s">
        <v>471</v>
      </c>
      <c r="AW23" t="s">
        <v>472</v>
      </c>
      <c r="AX23" t="s">
        <v>473</v>
      </c>
      <c r="AY23" t="s">
        <v>383</v>
      </c>
      <c r="AZ23">
        <v>0</v>
      </c>
      <c r="BA23" s="1">
        <v>46031</v>
      </c>
      <c r="BB23" t="s">
        <v>474</v>
      </c>
      <c r="BC23" t="s">
        <v>475</v>
      </c>
    </row>
    <row r="24" spans="1:65">
      <c r="A24" t="s">
        <v>476</v>
      </c>
      <c r="B24" t="s">
        <v>169</v>
      </c>
      <c r="C24">
        <v>402</v>
      </c>
      <c r="D24" t="s">
        <v>425</v>
      </c>
      <c r="E24">
        <v>1</v>
      </c>
      <c r="F24" t="s">
        <v>395</v>
      </c>
      <c r="G24" t="s">
        <v>277</v>
      </c>
      <c r="H24" t="s">
        <v>395</v>
      </c>
      <c r="I24" t="s">
        <v>395</v>
      </c>
      <c r="K24">
        <v>30</v>
      </c>
      <c r="L24">
        <v>30</v>
      </c>
      <c r="O24">
        <v>2</v>
      </c>
      <c r="P24">
        <v>22409</v>
      </c>
      <c r="Q24">
        <v>22535</v>
      </c>
      <c r="R24">
        <v>126</v>
      </c>
      <c r="S24">
        <v>4</v>
      </c>
      <c r="T24">
        <v>504</v>
      </c>
      <c r="W24">
        <v>2</v>
      </c>
      <c r="X24">
        <v>120</v>
      </c>
      <c r="Y24">
        <v>240</v>
      </c>
      <c r="AB24">
        <v>0</v>
      </c>
      <c r="AC24" t="s">
        <v>379</v>
      </c>
      <c r="AD24">
        <v>100</v>
      </c>
      <c r="AE24">
        <v>100</v>
      </c>
      <c r="AH24">
        <v>0</v>
      </c>
      <c r="AK24">
        <v>0</v>
      </c>
      <c r="AN24">
        <v>0</v>
      </c>
      <c r="AO24">
        <v>2</v>
      </c>
      <c r="AP24">
        <v>120000</v>
      </c>
      <c r="AQ24">
        <v>240</v>
      </c>
      <c r="AU24" t="s">
        <v>477</v>
      </c>
      <c r="AV24" t="s">
        <v>478</v>
      </c>
      <c r="AX24" t="s">
        <v>479</v>
      </c>
      <c r="AY24" t="s">
        <v>383</v>
      </c>
      <c r="AZ24">
        <v>0</v>
      </c>
      <c r="BA24" s="1">
        <v>46030</v>
      </c>
      <c r="BB24" t="s">
        <v>480</v>
      </c>
      <c r="BC24" t="s">
        <v>475</v>
      </c>
    </row>
    <row r="25" spans="1:65">
      <c r="A25" t="s">
        <v>481</v>
      </c>
      <c r="B25" t="s">
        <v>169</v>
      </c>
      <c r="C25">
        <v>403</v>
      </c>
      <c r="D25" t="s">
        <v>425</v>
      </c>
      <c r="E25">
        <v>1</v>
      </c>
      <c r="F25" t="s">
        <v>395</v>
      </c>
      <c r="G25" t="s">
        <v>277</v>
      </c>
      <c r="H25" t="s">
        <v>395</v>
      </c>
      <c r="I25" t="s">
        <v>395</v>
      </c>
      <c r="J25" t="s">
        <v>395</v>
      </c>
      <c r="K25">
        <v>30</v>
      </c>
      <c r="L25">
        <v>30</v>
      </c>
      <c r="O25">
        <v>2</v>
      </c>
      <c r="P25">
        <v>16000</v>
      </c>
      <c r="Q25">
        <v>16000</v>
      </c>
      <c r="R25">
        <v>0</v>
      </c>
      <c r="S25">
        <v>4</v>
      </c>
      <c r="T25">
        <v>0</v>
      </c>
      <c r="W25">
        <v>2</v>
      </c>
      <c r="X25">
        <v>120</v>
      </c>
      <c r="Y25">
        <v>240</v>
      </c>
      <c r="AB25">
        <v>0</v>
      </c>
      <c r="AC25" t="s">
        <v>379</v>
      </c>
      <c r="AD25">
        <v>100</v>
      </c>
      <c r="AE25">
        <v>100</v>
      </c>
      <c r="AH25">
        <v>0</v>
      </c>
      <c r="AI25">
        <v>1</v>
      </c>
      <c r="AJ25">
        <v>150000</v>
      </c>
      <c r="AK25">
        <v>150</v>
      </c>
      <c r="AN25">
        <v>0</v>
      </c>
      <c r="AO25">
        <v>2</v>
      </c>
      <c r="AP25">
        <v>120000</v>
      </c>
      <c r="AQ25">
        <v>240</v>
      </c>
      <c r="AU25">
        <v>730</v>
      </c>
      <c r="AV25" t="s">
        <v>482</v>
      </c>
      <c r="AW25" t="s">
        <v>483</v>
      </c>
      <c r="AX25" t="s">
        <v>484</v>
      </c>
      <c r="AY25" t="s">
        <v>383</v>
      </c>
      <c r="AZ25">
        <v>0</v>
      </c>
      <c r="BA25" s="1">
        <v>46031</v>
      </c>
      <c r="BB25" t="s">
        <v>474</v>
      </c>
      <c r="BC25" t="s">
        <v>475</v>
      </c>
    </row>
    <row r="26" spans="1:65">
      <c r="A26" t="s">
        <v>485</v>
      </c>
      <c r="B26" t="s">
        <v>169</v>
      </c>
      <c r="C26">
        <v>404</v>
      </c>
      <c r="D26" t="s">
        <v>425</v>
      </c>
      <c r="E26">
        <v>1</v>
      </c>
      <c r="F26" t="s">
        <v>445</v>
      </c>
      <c r="G26" t="s">
        <v>277</v>
      </c>
      <c r="H26" t="s">
        <v>445</v>
      </c>
      <c r="I26" t="s">
        <v>445</v>
      </c>
      <c r="K26">
        <v>30</v>
      </c>
      <c r="L26">
        <v>30</v>
      </c>
      <c r="O26">
        <v>2</v>
      </c>
      <c r="P26">
        <v>20614</v>
      </c>
      <c r="Q26">
        <v>20841</v>
      </c>
      <c r="R26">
        <v>227</v>
      </c>
      <c r="S26">
        <v>4</v>
      </c>
      <c r="T26">
        <v>908</v>
      </c>
      <c r="W26">
        <v>2</v>
      </c>
      <c r="X26">
        <v>100</v>
      </c>
      <c r="Y26">
        <v>200</v>
      </c>
      <c r="Z26">
        <v>2</v>
      </c>
      <c r="AA26">
        <v>30</v>
      </c>
      <c r="AB26">
        <v>60</v>
      </c>
      <c r="AC26" t="s">
        <v>379</v>
      </c>
      <c r="AD26">
        <v>100</v>
      </c>
      <c r="AE26">
        <v>100</v>
      </c>
      <c r="AH26">
        <v>0</v>
      </c>
      <c r="AK26">
        <v>0</v>
      </c>
      <c r="AL26">
        <v>0</v>
      </c>
      <c r="AM26">
        <v>60000</v>
      </c>
      <c r="AN26">
        <v>0</v>
      </c>
      <c r="AQ26">
        <v>0</v>
      </c>
      <c r="AU26" t="s">
        <v>486</v>
      </c>
      <c r="AV26" t="s">
        <v>487</v>
      </c>
      <c r="AX26" t="s">
        <v>488</v>
      </c>
      <c r="AY26" t="s">
        <v>383</v>
      </c>
      <c r="AZ26">
        <v>0</v>
      </c>
    </row>
    <row r="27" spans="1:65">
      <c r="A27" t="s">
        <v>489</v>
      </c>
      <c r="B27" t="s">
        <v>169</v>
      </c>
      <c r="C27">
        <v>501</v>
      </c>
      <c r="D27" t="s">
        <v>425</v>
      </c>
      <c r="E27">
        <v>1</v>
      </c>
      <c r="F27" t="s">
        <v>277</v>
      </c>
      <c r="G27" t="s">
        <v>277</v>
      </c>
      <c r="H27" t="s">
        <v>277</v>
      </c>
      <c r="I27" t="s">
        <v>277</v>
      </c>
      <c r="K27">
        <v>30</v>
      </c>
      <c r="L27">
        <v>30</v>
      </c>
      <c r="O27">
        <v>2</v>
      </c>
      <c r="P27">
        <v>11641</v>
      </c>
      <c r="Q27">
        <v>11816</v>
      </c>
      <c r="R27">
        <v>175</v>
      </c>
      <c r="S27">
        <v>4</v>
      </c>
      <c r="T27">
        <v>700</v>
      </c>
      <c r="W27">
        <v>2</v>
      </c>
      <c r="X27">
        <v>100</v>
      </c>
      <c r="Y27">
        <v>200</v>
      </c>
      <c r="Z27">
        <v>2</v>
      </c>
      <c r="AA27">
        <v>30</v>
      </c>
      <c r="AB27">
        <v>60</v>
      </c>
      <c r="AC27" t="s">
        <v>379</v>
      </c>
      <c r="AD27">
        <v>100</v>
      </c>
      <c r="AE27">
        <v>100</v>
      </c>
      <c r="AH27">
        <v>0</v>
      </c>
      <c r="AK27">
        <v>0</v>
      </c>
      <c r="AL27">
        <v>2</v>
      </c>
      <c r="AM27">
        <v>60000</v>
      </c>
      <c r="AN27">
        <v>120</v>
      </c>
      <c r="AQ27">
        <v>0</v>
      </c>
      <c r="AU27" t="s">
        <v>490</v>
      </c>
      <c r="AV27" t="s">
        <v>491</v>
      </c>
      <c r="AX27" t="s">
        <v>492</v>
      </c>
      <c r="AY27" t="s">
        <v>383</v>
      </c>
      <c r="AZ27">
        <v>0</v>
      </c>
    </row>
    <row r="28" spans="1:65">
      <c r="A28" t="s">
        <v>493</v>
      </c>
      <c r="B28" t="s">
        <v>169</v>
      </c>
      <c r="C28">
        <v>502</v>
      </c>
      <c r="D28" t="s">
        <v>425</v>
      </c>
      <c r="E28">
        <v>1</v>
      </c>
      <c r="F28" t="s">
        <v>445</v>
      </c>
      <c r="G28" t="s">
        <v>277</v>
      </c>
      <c r="H28" t="s">
        <v>445</v>
      </c>
      <c r="I28" t="s">
        <v>445</v>
      </c>
      <c r="K28">
        <v>30</v>
      </c>
      <c r="L28">
        <v>30</v>
      </c>
      <c r="O28">
        <v>2</v>
      </c>
      <c r="P28">
        <v>14715</v>
      </c>
      <c r="Q28">
        <v>14901</v>
      </c>
      <c r="R28">
        <v>186</v>
      </c>
      <c r="S28">
        <v>4</v>
      </c>
      <c r="T28">
        <v>744</v>
      </c>
      <c r="W28">
        <v>2</v>
      </c>
      <c r="X28">
        <v>100</v>
      </c>
      <c r="Y28">
        <v>200</v>
      </c>
      <c r="Z28">
        <v>2</v>
      </c>
      <c r="AA28">
        <v>30</v>
      </c>
      <c r="AB28">
        <v>60</v>
      </c>
      <c r="AC28" t="s">
        <v>379</v>
      </c>
      <c r="AD28">
        <v>100</v>
      </c>
      <c r="AE28">
        <v>100</v>
      </c>
      <c r="AH28">
        <v>0</v>
      </c>
      <c r="AK28">
        <v>0</v>
      </c>
      <c r="AL28">
        <v>0</v>
      </c>
      <c r="AM28">
        <v>60000</v>
      </c>
      <c r="AN28">
        <v>0</v>
      </c>
      <c r="AQ28">
        <v>0</v>
      </c>
      <c r="AU28" t="s">
        <v>494</v>
      </c>
      <c r="AV28" t="s">
        <v>495</v>
      </c>
      <c r="AX28" t="s">
        <v>496</v>
      </c>
      <c r="AY28" t="s">
        <v>383</v>
      </c>
      <c r="AZ28">
        <v>0</v>
      </c>
    </row>
    <row r="29" spans="1:65">
      <c r="A29" t="s">
        <v>497</v>
      </c>
      <c r="B29" t="s">
        <v>169</v>
      </c>
      <c r="C29">
        <v>503</v>
      </c>
      <c r="D29" t="s">
        <v>425</v>
      </c>
      <c r="E29">
        <v>1</v>
      </c>
      <c r="F29" t="s">
        <v>498</v>
      </c>
      <c r="G29" t="s">
        <v>277</v>
      </c>
      <c r="H29" t="s">
        <v>498</v>
      </c>
      <c r="I29" t="s">
        <v>498</v>
      </c>
      <c r="K29">
        <v>30</v>
      </c>
      <c r="L29">
        <v>30</v>
      </c>
      <c r="O29">
        <v>2</v>
      </c>
      <c r="P29">
        <v>11075</v>
      </c>
      <c r="Q29">
        <v>11177</v>
      </c>
      <c r="R29">
        <v>102</v>
      </c>
      <c r="S29">
        <v>4</v>
      </c>
      <c r="T29">
        <v>408</v>
      </c>
      <c r="W29">
        <v>2</v>
      </c>
      <c r="X29">
        <v>120</v>
      </c>
      <c r="Y29">
        <v>240</v>
      </c>
      <c r="AB29">
        <v>0</v>
      </c>
      <c r="AC29" t="s">
        <v>379</v>
      </c>
      <c r="AD29">
        <v>100</v>
      </c>
      <c r="AE29">
        <v>100</v>
      </c>
      <c r="AH29">
        <v>0</v>
      </c>
      <c r="AK29">
        <v>0</v>
      </c>
      <c r="AL29">
        <v>0</v>
      </c>
      <c r="AN29">
        <v>0</v>
      </c>
      <c r="AO29">
        <v>2</v>
      </c>
      <c r="AP29">
        <v>120000</v>
      </c>
      <c r="AQ29">
        <v>240</v>
      </c>
      <c r="AU29">
        <v>988</v>
      </c>
      <c r="AV29" t="s">
        <v>499</v>
      </c>
      <c r="AX29" t="s">
        <v>500</v>
      </c>
      <c r="AY29" t="s">
        <v>383</v>
      </c>
      <c r="AZ29">
        <v>0</v>
      </c>
    </row>
    <row r="30" spans="1:65">
      <c r="A30" t="s">
        <v>501</v>
      </c>
      <c r="B30" t="s">
        <v>169</v>
      </c>
      <c r="C30">
        <v>504</v>
      </c>
      <c r="D30" t="s">
        <v>425</v>
      </c>
      <c r="E30">
        <v>1</v>
      </c>
      <c r="F30" t="s">
        <v>445</v>
      </c>
      <c r="G30" t="s">
        <v>277</v>
      </c>
      <c r="H30" t="s">
        <v>445</v>
      </c>
      <c r="I30" t="s">
        <v>445</v>
      </c>
      <c r="K30">
        <v>30</v>
      </c>
      <c r="L30">
        <v>30</v>
      </c>
      <c r="O30">
        <v>1</v>
      </c>
      <c r="P30">
        <v>12107</v>
      </c>
      <c r="Q30">
        <v>12163</v>
      </c>
      <c r="R30">
        <v>56</v>
      </c>
      <c r="S30">
        <v>4</v>
      </c>
      <c r="T30">
        <v>224</v>
      </c>
      <c r="W30">
        <v>1</v>
      </c>
      <c r="X30">
        <v>120</v>
      </c>
      <c r="Y30">
        <v>120</v>
      </c>
      <c r="Z30">
        <v>1</v>
      </c>
      <c r="AA30">
        <v>40</v>
      </c>
      <c r="AB30">
        <v>40</v>
      </c>
      <c r="AC30" t="s">
        <v>379</v>
      </c>
      <c r="AD30">
        <v>100</v>
      </c>
      <c r="AE30">
        <v>100</v>
      </c>
      <c r="AH30">
        <v>0</v>
      </c>
      <c r="AK30">
        <v>0</v>
      </c>
      <c r="AL30">
        <v>1</v>
      </c>
      <c r="AM30">
        <v>60000</v>
      </c>
      <c r="AN30">
        <v>60</v>
      </c>
      <c r="AQ30">
        <v>0</v>
      </c>
      <c r="AU30">
        <v>544</v>
      </c>
      <c r="AV30" t="s">
        <v>502</v>
      </c>
      <c r="AX30" t="s">
        <v>503</v>
      </c>
      <c r="AY30" t="s">
        <v>383</v>
      </c>
      <c r="AZ30">
        <v>0</v>
      </c>
    </row>
    <row r="31" spans="1:65">
      <c r="A31" t="s">
        <v>504</v>
      </c>
      <c r="B31" t="s">
        <v>169</v>
      </c>
      <c r="C31">
        <v>601</v>
      </c>
      <c r="D31" t="s">
        <v>425</v>
      </c>
      <c r="E31">
        <v>1</v>
      </c>
      <c r="F31" t="s">
        <v>277</v>
      </c>
      <c r="G31" t="s">
        <v>445</v>
      </c>
      <c r="H31" t="s">
        <v>277</v>
      </c>
      <c r="I31" t="s">
        <v>277</v>
      </c>
      <c r="K31">
        <v>30</v>
      </c>
      <c r="L31">
        <v>30</v>
      </c>
      <c r="O31">
        <v>1</v>
      </c>
      <c r="P31">
        <v>17113</v>
      </c>
      <c r="Q31">
        <v>17113</v>
      </c>
      <c r="R31">
        <v>0</v>
      </c>
      <c r="S31">
        <v>4</v>
      </c>
      <c r="T31">
        <v>0</v>
      </c>
      <c r="W31">
        <v>1</v>
      </c>
      <c r="X31">
        <v>120</v>
      </c>
      <c r="Y31">
        <v>120</v>
      </c>
      <c r="AB31">
        <v>0</v>
      </c>
      <c r="AC31" t="s">
        <v>379</v>
      </c>
      <c r="AD31">
        <v>100</v>
      </c>
      <c r="AE31">
        <v>100</v>
      </c>
      <c r="AH31">
        <v>0</v>
      </c>
      <c r="AK31">
        <v>0</v>
      </c>
      <c r="AO31">
        <v>1</v>
      </c>
      <c r="AP31">
        <v>120000</v>
      </c>
      <c r="AQ31">
        <v>120</v>
      </c>
      <c r="AU31">
        <v>340</v>
      </c>
      <c r="AV31" t="s">
        <v>505</v>
      </c>
      <c r="AW31" t="s">
        <v>506</v>
      </c>
      <c r="AX31" t="s">
        <v>507</v>
      </c>
      <c r="AY31" t="s">
        <v>383</v>
      </c>
      <c r="AZ31">
        <v>0</v>
      </c>
      <c r="BA31" s="1">
        <v>46030</v>
      </c>
      <c r="BB31" t="s">
        <v>508</v>
      </c>
      <c r="BC31" t="s">
        <v>438</v>
      </c>
      <c r="BE31" t="s">
        <v>509</v>
      </c>
    </row>
    <row r="32" spans="1:65">
      <c r="A32" t="s">
        <v>510</v>
      </c>
      <c r="B32" t="s">
        <v>169</v>
      </c>
      <c r="C32">
        <v>602</v>
      </c>
      <c r="D32" t="s">
        <v>425</v>
      </c>
      <c r="E32">
        <v>1</v>
      </c>
      <c r="F32" t="s">
        <v>395</v>
      </c>
      <c r="G32" t="s">
        <v>445</v>
      </c>
      <c r="H32" t="s">
        <v>395</v>
      </c>
      <c r="I32" t="s">
        <v>395</v>
      </c>
      <c r="K32">
        <v>30</v>
      </c>
      <c r="L32">
        <v>30</v>
      </c>
      <c r="M32">
        <v>232</v>
      </c>
      <c r="O32">
        <v>1</v>
      </c>
      <c r="P32">
        <v>4633</v>
      </c>
      <c r="Q32">
        <v>4701</v>
      </c>
      <c r="R32">
        <v>68</v>
      </c>
      <c r="S32">
        <v>4</v>
      </c>
      <c r="T32">
        <v>272</v>
      </c>
      <c r="W32">
        <v>1</v>
      </c>
      <c r="X32">
        <v>120</v>
      </c>
      <c r="Y32">
        <v>120</v>
      </c>
      <c r="AB32">
        <v>0</v>
      </c>
      <c r="AC32" t="s">
        <v>379</v>
      </c>
      <c r="AD32">
        <v>100</v>
      </c>
      <c r="AE32">
        <v>100</v>
      </c>
      <c r="AH32">
        <v>0</v>
      </c>
      <c r="AK32">
        <v>0</v>
      </c>
      <c r="AN32">
        <v>0</v>
      </c>
      <c r="AO32">
        <v>1</v>
      </c>
      <c r="AP32">
        <v>120000</v>
      </c>
      <c r="AQ32">
        <v>120</v>
      </c>
      <c r="AU32">
        <v>612</v>
      </c>
      <c r="AV32" t="s">
        <v>511</v>
      </c>
      <c r="AW32" t="s">
        <v>512</v>
      </c>
      <c r="AX32" t="s">
        <v>513</v>
      </c>
      <c r="AY32" t="s">
        <v>383</v>
      </c>
      <c r="AZ32">
        <v>0</v>
      </c>
      <c r="BF32">
        <v>0</v>
      </c>
      <c r="BH32">
        <v>0</v>
      </c>
    </row>
    <row r="33" spans="1:52">
      <c r="A33" t="s">
        <v>514</v>
      </c>
      <c r="B33" t="s">
        <v>186</v>
      </c>
      <c r="C33">
        <v>101</v>
      </c>
      <c r="D33" t="s">
        <v>515</v>
      </c>
      <c r="E33">
        <v>1</v>
      </c>
      <c r="F33" t="s">
        <v>386</v>
      </c>
      <c r="G33" t="s">
        <v>386</v>
      </c>
      <c r="H33" t="s">
        <v>386</v>
      </c>
      <c r="I33" t="s">
        <v>386</v>
      </c>
      <c r="K33">
        <v>30</v>
      </c>
      <c r="L33">
        <v>30</v>
      </c>
      <c r="O33">
        <v>1</v>
      </c>
      <c r="P33">
        <v>5284</v>
      </c>
      <c r="Q33">
        <v>5475</v>
      </c>
      <c r="R33">
        <v>191</v>
      </c>
      <c r="S33">
        <v>4000</v>
      </c>
      <c r="T33">
        <v>764</v>
      </c>
      <c r="W33">
        <v>1</v>
      </c>
      <c r="X33">
        <v>100000</v>
      </c>
      <c r="Y33">
        <v>100</v>
      </c>
      <c r="Z33">
        <v>1</v>
      </c>
      <c r="AA33">
        <v>30000</v>
      </c>
      <c r="AB33">
        <v>30</v>
      </c>
      <c r="AC33">
        <v>1</v>
      </c>
      <c r="AD33">
        <v>100000</v>
      </c>
      <c r="AE33">
        <v>100</v>
      </c>
      <c r="AG33">
        <v>50000</v>
      </c>
      <c r="AH33">
        <v>0</v>
      </c>
      <c r="AK33">
        <v>0</v>
      </c>
      <c r="AL33">
        <v>0</v>
      </c>
      <c r="AM33">
        <v>60000</v>
      </c>
      <c r="AN33">
        <v>0</v>
      </c>
      <c r="AQ33">
        <v>0</v>
      </c>
      <c r="AU33">
        <v>994</v>
      </c>
      <c r="AV33" t="s">
        <v>516</v>
      </c>
      <c r="AX33" t="s">
        <v>517</v>
      </c>
      <c r="AY33" t="s">
        <v>383</v>
      </c>
      <c r="AZ33">
        <v>0</v>
      </c>
    </row>
    <row r="34" spans="1:52">
      <c r="A34" t="s">
        <v>518</v>
      </c>
      <c r="B34" t="s">
        <v>186</v>
      </c>
      <c r="C34">
        <v>201</v>
      </c>
      <c r="D34" t="s">
        <v>515</v>
      </c>
      <c r="E34">
        <v>1</v>
      </c>
      <c r="F34" t="s">
        <v>408</v>
      </c>
      <c r="G34" t="s">
        <v>408</v>
      </c>
      <c r="H34" t="s">
        <v>408</v>
      </c>
      <c r="I34" t="s">
        <v>408</v>
      </c>
      <c r="K34">
        <v>30</v>
      </c>
      <c r="L34">
        <v>30</v>
      </c>
      <c r="M34">
        <v>175.226</v>
      </c>
      <c r="O34">
        <v>1</v>
      </c>
      <c r="P34">
        <v>4490</v>
      </c>
      <c r="Q34">
        <v>4541</v>
      </c>
      <c r="R34">
        <v>51</v>
      </c>
      <c r="S34">
        <v>4000</v>
      </c>
      <c r="T34">
        <v>204</v>
      </c>
      <c r="W34">
        <v>1</v>
      </c>
      <c r="X34">
        <v>120000</v>
      </c>
      <c r="Y34">
        <v>120</v>
      </c>
      <c r="AB34">
        <v>0</v>
      </c>
      <c r="AC34">
        <v>1</v>
      </c>
      <c r="AD34">
        <v>100000</v>
      </c>
      <c r="AE34">
        <v>100</v>
      </c>
      <c r="AG34">
        <v>50000</v>
      </c>
      <c r="AH34">
        <v>0</v>
      </c>
      <c r="AK34">
        <v>0</v>
      </c>
      <c r="AN34">
        <v>0</v>
      </c>
      <c r="AO34">
        <v>1</v>
      </c>
      <c r="AP34">
        <v>120</v>
      </c>
      <c r="AQ34">
        <v>120</v>
      </c>
      <c r="AU34">
        <v>544</v>
      </c>
      <c r="AV34" t="s">
        <v>519</v>
      </c>
      <c r="AW34" t="s">
        <v>520</v>
      </c>
      <c r="AX34" t="s">
        <v>521</v>
      </c>
      <c r="AY34" t="s">
        <v>522</v>
      </c>
      <c r="AZ34">
        <v>774</v>
      </c>
    </row>
    <row r="35" spans="1:52">
      <c r="A35" t="s">
        <v>523</v>
      </c>
      <c r="B35" t="s">
        <v>186</v>
      </c>
      <c r="C35">
        <v>202</v>
      </c>
      <c r="D35" t="s">
        <v>515</v>
      </c>
      <c r="E35">
        <v>1</v>
      </c>
      <c r="F35" t="s">
        <v>386</v>
      </c>
      <c r="G35" t="s">
        <v>524</v>
      </c>
      <c r="H35" t="s">
        <v>386</v>
      </c>
      <c r="I35" t="s">
        <v>386</v>
      </c>
      <c r="K35">
        <v>30</v>
      </c>
      <c r="L35">
        <v>30</v>
      </c>
      <c r="O35">
        <v>2</v>
      </c>
      <c r="P35">
        <v>6531</v>
      </c>
      <c r="Q35">
        <v>6718</v>
      </c>
      <c r="R35">
        <v>187</v>
      </c>
      <c r="S35">
        <v>4000</v>
      </c>
      <c r="T35">
        <v>748</v>
      </c>
      <c r="U35">
        <v>278</v>
      </c>
      <c r="V35">
        <v>281</v>
      </c>
      <c r="W35">
        <v>3</v>
      </c>
      <c r="X35">
        <v>35000</v>
      </c>
      <c r="Y35">
        <v>105</v>
      </c>
      <c r="AB35">
        <v>0</v>
      </c>
      <c r="AD35">
        <v>100000</v>
      </c>
      <c r="AE35">
        <v>0</v>
      </c>
      <c r="AG35">
        <v>50000</v>
      </c>
      <c r="AH35">
        <v>0</v>
      </c>
      <c r="AK35">
        <v>0</v>
      </c>
      <c r="AL35">
        <v>0</v>
      </c>
      <c r="AN35">
        <v>0</v>
      </c>
      <c r="AO35">
        <v>2</v>
      </c>
      <c r="AP35">
        <v>70</v>
      </c>
      <c r="AQ35">
        <v>140</v>
      </c>
      <c r="AU35">
        <v>993</v>
      </c>
      <c r="AV35" t="s">
        <v>525</v>
      </c>
      <c r="AX35" t="s">
        <v>526</v>
      </c>
      <c r="AY35" t="s">
        <v>383</v>
      </c>
      <c r="AZ35">
        <v>0</v>
      </c>
    </row>
    <row r="36" spans="1:52">
      <c r="A36" t="s">
        <v>527</v>
      </c>
      <c r="B36" t="s">
        <v>186</v>
      </c>
      <c r="C36">
        <v>301</v>
      </c>
      <c r="D36" t="s">
        <v>515</v>
      </c>
      <c r="E36">
        <v>1</v>
      </c>
      <c r="F36" t="s">
        <v>400</v>
      </c>
      <c r="G36" t="s">
        <v>408</v>
      </c>
      <c r="H36" t="s">
        <v>400</v>
      </c>
      <c r="I36" t="s">
        <v>400</v>
      </c>
      <c r="J36">
        <v>200</v>
      </c>
      <c r="K36">
        <v>30</v>
      </c>
      <c r="L36">
        <v>30</v>
      </c>
      <c r="O36">
        <v>2</v>
      </c>
      <c r="P36">
        <v>4608</v>
      </c>
      <c r="Q36">
        <v>4805</v>
      </c>
      <c r="R36">
        <v>197</v>
      </c>
      <c r="S36">
        <v>4000</v>
      </c>
      <c r="T36">
        <v>788</v>
      </c>
      <c r="U36">
        <v>189</v>
      </c>
      <c r="V36">
        <v>192</v>
      </c>
      <c r="W36">
        <v>3</v>
      </c>
      <c r="X36">
        <v>35000</v>
      </c>
      <c r="Y36">
        <v>105</v>
      </c>
      <c r="AB36">
        <v>0</v>
      </c>
      <c r="AD36">
        <v>100000</v>
      </c>
      <c r="AE36">
        <v>0</v>
      </c>
      <c r="AG36">
        <v>50000</v>
      </c>
      <c r="AH36">
        <v>0</v>
      </c>
      <c r="AK36">
        <v>0</v>
      </c>
      <c r="AM36">
        <v>60000</v>
      </c>
      <c r="AN36">
        <v>0</v>
      </c>
      <c r="AO36">
        <v>2</v>
      </c>
      <c r="AP36">
        <v>120</v>
      </c>
      <c r="AQ36">
        <v>240</v>
      </c>
      <c r="AU36" t="s">
        <v>528</v>
      </c>
      <c r="AV36" t="s">
        <v>529</v>
      </c>
      <c r="AW36" t="s">
        <v>530</v>
      </c>
      <c r="AX36" t="s">
        <v>531</v>
      </c>
      <c r="AY36" t="s">
        <v>383</v>
      </c>
      <c r="AZ36">
        <v>0</v>
      </c>
    </row>
    <row r="37" spans="1:52">
      <c r="A37" t="s">
        <v>532</v>
      </c>
      <c r="B37" t="s">
        <v>186</v>
      </c>
      <c r="C37">
        <v>302</v>
      </c>
      <c r="D37" t="s">
        <v>515</v>
      </c>
      <c r="E37">
        <v>1</v>
      </c>
      <c r="F37" t="s">
        <v>408</v>
      </c>
      <c r="G37" t="s">
        <v>524</v>
      </c>
      <c r="H37" t="s">
        <v>408</v>
      </c>
      <c r="I37" t="s">
        <v>408</v>
      </c>
      <c r="K37">
        <v>30</v>
      </c>
      <c r="L37">
        <v>30</v>
      </c>
      <c r="O37">
        <v>1</v>
      </c>
      <c r="P37">
        <v>8762</v>
      </c>
      <c r="Q37">
        <v>8764</v>
      </c>
      <c r="R37">
        <v>2</v>
      </c>
      <c r="S37">
        <v>4000</v>
      </c>
      <c r="T37">
        <v>8</v>
      </c>
      <c r="U37">
        <v>334</v>
      </c>
      <c r="V37">
        <v>334</v>
      </c>
      <c r="W37">
        <v>0</v>
      </c>
      <c r="X37">
        <v>35000</v>
      </c>
      <c r="Y37">
        <v>0</v>
      </c>
      <c r="AB37">
        <v>0</v>
      </c>
      <c r="AD37">
        <v>100000</v>
      </c>
      <c r="AE37">
        <v>0</v>
      </c>
      <c r="AH37">
        <v>0</v>
      </c>
      <c r="AK37">
        <v>0</v>
      </c>
      <c r="AL37">
        <v>0</v>
      </c>
      <c r="AN37">
        <v>0</v>
      </c>
      <c r="AO37">
        <v>1</v>
      </c>
      <c r="AP37">
        <v>120</v>
      </c>
      <c r="AQ37">
        <v>120</v>
      </c>
      <c r="AU37">
        <v>128</v>
      </c>
      <c r="AV37" t="s">
        <v>533</v>
      </c>
      <c r="AX37" t="s">
        <v>534</v>
      </c>
      <c r="AY37" t="s">
        <v>383</v>
      </c>
      <c r="AZ37">
        <v>0</v>
      </c>
    </row>
    <row r="38" spans="1:52">
      <c r="A38" t="s">
        <v>535</v>
      </c>
      <c r="B38" t="s">
        <v>186</v>
      </c>
      <c r="C38">
        <v>401</v>
      </c>
      <c r="D38" t="s">
        <v>515</v>
      </c>
      <c r="E38">
        <v>1</v>
      </c>
      <c r="F38" t="s">
        <v>377</v>
      </c>
      <c r="G38" t="s">
        <v>408</v>
      </c>
      <c r="H38" t="s">
        <v>377</v>
      </c>
      <c r="I38" t="s">
        <v>377</v>
      </c>
      <c r="K38">
        <v>30</v>
      </c>
      <c r="L38">
        <v>30</v>
      </c>
      <c r="O38">
        <v>2</v>
      </c>
      <c r="P38">
        <v>6592</v>
      </c>
      <c r="Q38">
        <v>6772</v>
      </c>
      <c r="R38">
        <v>180</v>
      </c>
      <c r="S38">
        <v>4000</v>
      </c>
      <c r="T38">
        <v>720</v>
      </c>
      <c r="W38">
        <v>2</v>
      </c>
      <c r="X38">
        <v>120000</v>
      </c>
      <c r="Y38">
        <v>240</v>
      </c>
      <c r="AB38">
        <v>0</v>
      </c>
      <c r="AC38">
        <v>1</v>
      </c>
      <c r="AD38">
        <v>100000</v>
      </c>
      <c r="AE38">
        <v>100</v>
      </c>
      <c r="AG38">
        <v>50000</v>
      </c>
      <c r="AH38">
        <v>0</v>
      </c>
      <c r="AK38">
        <v>0</v>
      </c>
      <c r="AN38">
        <v>0</v>
      </c>
      <c r="AO38">
        <v>2</v>
      </c>
      <c r="AP38">
        <v>120</v>
      </c>
      <c r="AQ38">
        <v>240</v>
      </c>
      <c r="AU38" t="s">
        <v>446</v>
      </c>
      <c r="AV38" t="s">
        <v>536</v>
      </c>
      <c r="AX38" t="s">
        <v>537</v>
      </c>
      <c r="AY38" t="s">
        <v>383</v>
      </c>
      <c r="AZ38">
        <v>0</v>
      </c>
    </row>
    <row r="39" spans="1:52">
      <c r="A39" t="s">
        <v>538</v>
      </c>
      <c r="B39" t="s">
        <v>186</v>
      </c>
      <c r="C39">
        <v>402</v>
      </c>
      <c r="D39" t="s">
        <v>515</v>
      </c>
      <c r="E39">
        <v>1</v>
      </c>
      <c r="F39" t="s">
        <v>386</v>
      </c>
      <c r="G39" t="s">
        <v>524</v>
      </c>
      <c r="H39" t="s">
        <v>386</v>
      </c>
      <c r="I39" t="s">
        <v>386</v>
      </c>
      <c r="K39">
        <v>30</v>
      </c>
      <c r="L39">
        <v>30</v>
      </c>
      <c r="O39">
        <v>1</v>
      </c>
      <c r="P39">
        <v>6126</v>
      </c>
      <c r="Q39">
        <v>6238</v>
      </c>
      <c r="R39">
        <v>112</v>
      </c>
      <c r="S39">
        <v>4000</v>
      </c>
      <c r="T39">
        <v>448</v>
      </c>
      <c r="W39">
        <v>1</v>
      </c>
      <c r="X39">
        <v>120000</v>
      </c>
      <c r="Y39">
        <v>120</v>
      </c>
      <c r="AB39">
        <v>0</v>
      </c>
      <c r="AC39">
        <v>1</v>
      </c>
      <c r="AD39">
        <v>100000</v>
      </c>
      <c r="AE39">
        <v>100</v>
      </c>
      <c r="AG39">
        <v>50000</v>
      </c>
      <c r="AH39">
        <v>0</v>
      </c>
      <c r="AK39">
        <v>0</v>
      </c>
      <c r="AN39">
        <v>0</v>
      </c>
      <c r="AO39">
        <v>1</v>
      </c>
      <c r="AP39">
        <v>120</v>
      </c>
      <c r="AQ39">
        <v>120</v>
      </c>
      <c r="AU39">
        <v>788</v>
      </c>
      <c r="AV39" t="s">
        <v>539</v>
      </c>
      <c r="AX39" t="s">
        <v>540</v>
      </c>
      <c r="AY39" t="s">
        <v>383</v>
      </c>
      <c r="AZ39">
        <v>0</v>
      </c>
    </row>
    <row r="40" spans="1:52">
      <c r="A40" t="s">
        <v>541</v>
      </c>
      <c r="B40" t="s">
        <v>186</v>
      </c>
      <c r="C40">
        <v>501</v>
      </c>
      <c r="D40" t="s">
        <v>515</v>
      </c>
      <c r="E40">
        <v>1</v>
      </c>
      <c r="F40" t="s">
        <v>377</v>
      </c>
      <c r="G40" t="s">
        <v>408</v>
      </c>
      <c r="H40" t="s">
        <v>377</v>
      </c>
      <c r="I40" t="s">
        <v>377</v>
      </c>
      <c r="K40">
        <v>30</v>
      </c>
      <c r="L40">
        <v>30</v>
      </c>
      <c r="O40">
        <v>3</v>
      </c>
      <c r="P40">
        <v>6774</v>
      </c>
      <c r="Q40">
        <v>7146</v>
      </c>
      <c r="R40">
        <v>372</v>
      </c>
      <c r="S40">
        <v>4000</v>
      </c>
      <c r="T40" t="s">
        <v>542</v>
      </c>
      <c r="W40">
        <v>3</v>
      </c>
      <c r="X40">
        <v>100000</v>
      </c>
      <c r="Y40">
        <v>300</v>
      </c>
      <c r="Z40">
        <v>3</v>
      </c>
      <c r="AA40">
        <v>30000</v>
      </c>
      <c r="AB40">
        <v>90</v>
      </c>
      <c r="AC40">
        <v>1</v>
      </c>
      <c r="AD40">
        <v>100000</v>
      </c>
      <c r="AE40">
        <v>100</v>
      </c>
      <c r="AG40">
        <v>50000</v>
      </c>
      <c r="AH40">
        <v>0</v>
      </c>
      <c r="AI40">
        <v>1</v>
      </c>
      <c r="AJ40">
        <v>200000</v>
      </c>
      <c r="AK40">
        <v>200</v>
      </c>
      <c r="AL40">
        <v>3</v>
      </c>
      <c r="AM40">
        <v>60000</v>
      </c>
      <c r="AN40">
        <v>180</v>
      </c>
      <c r="AQ40">
        <v>0</v>
      </c>
      <c r="AU40" t="s">
        <v>543</v>
      </c>
      <c r="AV40" t="s">
        <v>544</v>
      </c>
      <c r="AX40" t="s">
        <v>545</v>
      </c>
      <c r="AY40" t="s">
        <v>383</v>
      </c>
      <c r="AZ40">
        <v>0</v>
      </c>
    </row>
    <row r="41" spans="1:52">
      <c r="A41" t="s">
        <v>546</v>
      </c>
      <c r="B41" t="s">
        <v>186</v>
      </c>
      <c r="C41">
        <v>502</v>
      </c>
      <c r="D41" t="s">
        <v>515</v>
      </c>
      <c r="E41">
        <v>1</v>
      </c>
      <c r="F41" t="s">
        <v>386</v>
      </c>
      <c r="G41" t="s">
        <v>524</v>
      </c>
      <c r="H41" t="s">
        <v>386</v>
      </c>
      <c r="I41" t="s">
        <v>386</v>
      </c>
      <c r="K41">
        <v>30</v>
      </c>
      <c r="L41">
        <v>30</v>
      </c>
      <c r="O41">
        <v>3</v>
      </c>
      <c r="P41">
        <v>6723</v>
      </c>
      <c r="Q41">
        <v>7026</v>
      </c>
      <c r="R41">
        <v>303</v>
      </c>
      <c r="S41">
        <v>4000</v>
      </c>
      <c r="T41" t="s">
        <v>547</v>
      </c>
      <c r="W41">
        <v>3</v>
      </c>
      <c r="X41">
        <v>100000</v>
      </c>
      <c r="Y41">
        <v>300</v>
      </c>
      <c r="Z41">
        <v>3</v>
      </c>
      <c r="AA41">
        <v>30000</v>
      </c>
      <c r="AB41">
        <v>90</v>
      </c>
      <c r="AC41">
        <v>0</v>
      </c>
      <c r="AD41">
        <v>100000</v>
      </c>
      <c r="AE41">
        <v>0</v>
      </c>
      <c r="AG41">
        <v>50000</v>
      </c>
      <c r="AH41">
        <v>0</v>
      </c>
      <c r="AK41">
        <v>0</v>
      </c>
      <c r="AL41">
        <v>0</v>
      </c>
      <c r="AM41">
        <v>60000</v>
      </c>
      <c r="AN41">
        <v>0</v>
      </c>
      <c r="AQ41">
        <v>0</v>
      </c>
      <c r="AU41" t="s">
        <v>548</v>
      </c>
      <c r="AV41" t="s">
        <v>549</v>
      </c>
      <c r="AX41" t="s">
        <v>550</v>
      </c>
      <c r="AY41" t="s">
        <v>383</v>
      </c>
      <c r="AZ41">
        <v>0</v>
      </c>
    </row>
    <row r="42" spans="1:52">
      <c r="A42" t="s">
        <v>551</v>
      </c>
      <c r="B42" t="s">
        <v>187</v>
      </c>
      <c r="C42">
        <v>101</v>
      </c>
      <c r="D42" t="s">
        <v>515</v>
      </c>
      <c r="E42">
        <v>1</v>
      </c>
      <c r="F42" t="s">
        <v>552</v>
      </c>
      <c r="G42" t="s">
        <v>377</v>
      </c>
      <c r="H42" t="s">
        <v>552</v>
      </c>
      <c r="I42" t="s">
        <v>552</v>
      </c>
      <c r="J42">
        <v>100</v>
      </c>
      <c r="K42">
        <v>30</v>
      </c>
      <c r="L42">
        <v>30</v>
      </c>
      <c r="O42">
        <v>1</v>
      </c>
      <c r="P42">
        <v>8322</v>
      </c>
      <c r="Q42">
        <v>8409</v>
      </c>
      <c r="R42">
        <v>87</v>
      </c>
      <c r="S42">
        <v>4000</v>
      </c>
      <c r="T42">
        <v>348</v>
      </c>
      <c r="W42">
        <v>1</v>
      </c>
      <c r="X42">
        <v>100</v>
      </c>
      <c r="Y42">
        <v>100</v>
      </c>
      <c r="Z42">
        <v>1</v>
      </c>
      <c r="AA42">
        <v>30000</v>
      </c>
      <c r="AB42">
        <v>30</v>
      </c>
      <c r="AC42">
        <v>1</v>
      </c>
      <c r="AD42">
        <v>100000</v>
      </c>
      <c r="AE42">
        <v>100</v>
      </c>
      <c r="AG42">
        <v>20000</v>
      </c>
      <c r="AH42">
        <v>0</v>
      </c>
      <c r="AK42">
        <v>0</v>
      </c>
      <c r="AM42">
        <v>60000</v>
      </c>
      <c r="AN42">
        <v>0</v>
      </c>
      <c r="AQ42">
        <v>0</v>
      </c>
      <c r="AU42">
        <v>578</v>
      </c>
      <c r="AV42" t="s">
        <v>553</v>
      </c>
      <c r="AW42" t="s">
        <v>554</v>
      </c>
      <c r="AX42" t="s">
        <v>555</v>
      </c>
      <c r="AY42" t="s">
        <v>383</v>
      </c>
      <c r="AZ42">
        <v>0</v>
      </c>
    </row>
    <row r="43" spans="1:52">
      <c r="A43" t="s">
        <v>556</v>
      </c>
      <c r="B43" t="s">
        <v>187</v>
      </c>
      <c r="C43">
        <v>201</v>
      </c>
      <c r="D43" t="s">
        <v>515</v>
      </c>
      <c r="E43">
        <v>1</v>
      </c>
      <c r="F43" t="s">
        <v>552</v>
      </c>
      <c r="G43" t="s">
        <v>408</v>
      </c>
      <c r="H43" t="s">
        <v>552</v>
      </c>
      <c r="I43" t="s">
        <v>552</v>
      </c>
      <c r="J43" t="s">
        <v>552</v>
      </c>
      <c r="K43">
        <v>30</v>
      </c>
      <c r="L43">
        <v>30</v>
      </c>
      <c r="O43">
        <v>1</v>
      </c>
      <c r="P43">
        <v>13929</v>
      </c>
      <c r="Q43">
        <v>13929</v>
      </c>
      <c r="R43">
        <v>0</v>
      </c>
      <c r="S43">
        <v>4000</v>
      </c>
      <c r="T43">
        <v>0</v>
      </c>
      <c r="W43">
        <v>1</v>
      </c>
      <c r="X43">
        <v>120</v>
      </c>
      <c r="Y43">
        <v>120</v>
      </c>
      <c r="AB43">
        <v>0</v>
      </c>
      <c r="AC43">
        <v>1</v>
      </c>
      <c r="AD43">
        <v>100000</v>
      </c>
      <c r="AE43">
        <v>100</v>
      </c>
      <c r="AF43">
        <v>1</v>
      </c>
      <c r="AG43">
        <v>60000</v>
      </c>
      <c r="AH43">
        <v>60</v>
      </c>
      <c r="AK43">
        <v>0</v>
      </c>
      <c r="AN43">
        <v>0</v>
      </c>
      <c r="AO43">
        <v>1</v>
      </c>
      <c r="AP43">
        <v>120000</v>
      </c>
      <c r="AQ43">
        <v>120</v>
      </c>
      <c r="AU43">
        <v>400</v>
      </c>
      <c r="AV43" t="s">
        <v>557</v>
      </c>
      <c r="AW43" t="s">
        <v>558</v>
      </c>
      <c r="AX43" t="s">
        <v>559</v>
      </c>
      <c r="AY43" t="s">
        <v>383</v>
      </c>
      <c r="AZ43">
        <v>0</v>
      </c>
    </row>
    <row r="44" spans="1:52">
      <c r="A44" t="s">
        <v>560</v>
      </c>
      <c r="B44" t="s">
        <v>187</v>
      </c>
      <c r="C44">
        <v>202</v>
      </c>
      <c r="D44" t="s">
        <v>515</v>
      </c>
      <c r="E44">
        <v>1</v>
      </c>
      <c r="F44" t="s">
        <v>386</v>
      </c>
      <c r="G44" t="s">
        <v>377</v>
      </c>
      <c r="H44" t="s">
        <v>386</v>
      </c>
      <c r="I44" t="s">
        <v>386</v>
      </c>
      <c r="K44">
        <v>30</v>
      </c>
      <c r="L44">
        <v>30</v>
      </c>
      <c r="O44">
        <v>2</v>
      </c>
      <c r="P44">
        <v>0</v>
      </c>
      <c r="Q44">
        <v>440</v>
      </c>
      <c r="R44">
        <v>440</v>
      </c>
      <c r="S44">
        <v>4000</v>
      </c>
      <c r="T44" t="s">
        <v>561</v>
      </c>
      <c r="W44">
        <v>2</v>
      </c>
      <c r="X44">
        <v>120</v>
      </c>
      <c r="Y44">
        <v>240</v>
      </c>
      <c r="AB44">
        <v>0</v>
      </c>
      <c r="AC44">
        <v>1</v>
      </c>
      <c r="AD44">
        <v>100000</v>
      </c>
      <c r="AE44">
        <v>100</v>
      </c>
      <c r="AF44">
        <v>2</v>
      </c>
      <c r="AG44">
        <v>50000</v>
      </c>
      <c r="AH44">
        <v>100</v>
      </c>
      <c r="AK44">
        <v>0</v>
      </c>
      <c r="AN44">
        <v>0</v>
      </c>
      <c r="AO44">
        <v>2</v>
      </c>
      <c r="AP44">
        <v>120000</v>
      </c>
      <c r="AQ44">
        <v>240</v>
      </c>
      <c r="AU44" t="s">
        <v>562</v>
      </c>
      <c r="AV44" t="s">
        <v>563</v>
      </c>
      <c r="AW44" t="s">
        <v>564</v>
      </c>
      <c r="AX44" t="s">
        <v>565</v>
      </c>
      <c r="AY44" t="s">
        <v>417</v>
      </c>
      <c r="AZ44">
        <v>-500</v>
      </c>
    </row>
    <row r="45" spans="1:52">
      <c r="A45" t="s">
        <v>566</v>
      </c>
      <c r="B45" t="s">
        <v>187</v>
      </c>
      <c r="C45">
        <v>301</v>
      </c>
      <c r="D45" t="s">
        <v>515</v>
      </c>
      <c r="E45">
        <v>1</v>
      </c>
      <c r="F45" t="s">
        <v>377</v>
      </c>
      <c r="G45" t="s">
        <v>408</v>
      </c>
      <c r="H45" t="s">
        <v>377</v>
      </c>
      <c r="I45" t="s">
        <v>377</v>
      </c>
      <c r="K45">
        <v>30</v>
      </c>
      <c r="L45">
        <v>30</v>
      </c>
      <c r="O45">
        <v>2</v>
      </c>
      <c r="P45">
        <v>5262</v>
      </c>
      <c r="Q45">
        <v>5542</v>
      </c>
      <c r="R45">
        <v>280</v>
      </c>
      <c r="S45">
        <v>4000</v>
      </c>
      <c r="T45" t="s">
        <v>567</v>
      </c>
      <c r="U45">
        <v>813</v>
      </c>
      <c r="V45">
        <v>818</v>
      </c>
      <c r="W45">
        <v>5</v>
      </c>
      <c r="X45">
        <v>35</v>
      </c>
      <c r="Y45">
        <v>175</v>
      </c>
      <c r="AB45">
        <v>0</v>
      </c>
      <c r="AD45">
        <v>100000</v>
      </c>
      <c r="AE45">
        <v>0</v>
      </c>
      <c r="AF45">
        <v>2</v>
      </c>
      <c r="AG45">
        <v>60000</v>
      </c>
      <c r="AH45">
        <v>120</v>
      </c>
      <c r="AK45">
        <v>0</v>
      </c>
      <c r="AN45">
        <v>0</v>
      </c>
      <c r="AO45">
        <v>2</v>
      </c>
      <c r="AP45">
        <v>120000</v>
      </c>
      <c r="AQ45">
        <v>240</v>
      </c>
      <c r="AU45" t="s">
        <v>568</v>
      </c>
      <c r="AV45" t="s">
        <v>569</v>
      </c>
      <c r="AX45" t="s">
        <v>570</v>
      </c>
      <c r="AY45" t="s">
        <v>383</v>
      </c>
      <c r="AZ45">
        <v>0</v>
      </c>
    </row>
    <row r="46" spans="1:52">
      <c r="A46" t="s">
        <v>571</v>
      </c>
      <c r="B46" t="s">
        <v>187</v>
      </c>
      <c r="C46">
        <v>302</v>
      </c>
      <c r="D46" t="s">
        <v>515</v>
      </c>
      <c r="E46">
        <v>1</v>
      </c>
      <c r="F46" t="s">
        <v>552</v>
      </c>
      <c r="G46" t="s">
        <v>377</v>
      </c>
      <c r="H46" t="s">
        <v>552</v>
      </c>
      <c r="I46" t="s">
        <v>552</v>
      </c>
      <c r="J46" t="s">
        <v>552</v>
      </c>
      <c r="K46">
        <v>30</v>
      </c>
      <c r="L46">
        <v>30</v>
      </c>
      <c r="O46">
        <v>1</v>
      </c>
      <c r="P46">
        <v>15526</v>
      </c>
      <c r="Q46">
        <v>15526</v>
      </c>
      <c r="R46">
        <v>0</v>
      </c>
      <c r="S46">
        <v>4000</v>
      </c>
      <c r="T46">
        <v>0</v>
      </c>
      <c r="W46">
        <v>1</v>
      </c>
      <c r="X46">
        <v>120</v>
      </c>
      <c r="Y46">
        <v>120</v>
      </c>
      <c r="AB46">
        <v>0</v>
      </c>
      <c r="AC46">
        <v>1</v>
      </c>
      <c r="AD46">
        <v>100000</v>
      </c>
      <c r="AE46">
        <v>100</v>
      </c>
      <c r="AF46">
        <v>1</v>
      </c>
      <c r="AG46">
        <v>60000</v>
      </c>
      <c r="AH46">
        <v>60</v>
      </c>
      <c r="AK46">
        <v>0</v>
      </c>
      <c r="AN46">
        <v>0</v>
      </c>
      <c r="AO46">
        <v>1</v>
      </c>
      <c r="AP46">
        <v>120000</v>
      </c>
      <c r="AQ46">
        <v>120</v>
      </c>
      <c r="AU46">
        <v>400</v>
      </c>
      <c r="AV46" t="s">
        <v>557</v>
      </c>
      <c r="AW46" t="s">
        <v>572</v>
      </c>
      <c r="AX46" t="s">
        <v>559</v>
      </c>
      <c r="AY46" t="s">
        <v>383</v>
      </c>
      <c r="AZ46">
        <v>0</v>
      </c>
    </row>
    <row r="47" spans="1:52">
      <c r="A47" t="s">
        <v>573</v>
      </c>
      <c r="B47" t="s">
        <v>187</v>
      </c>
      <c r="C47">
        <v>401</v>
      </c>
      <c r="D47" t="s">
        <v>515</v>
      </c>
      <c r="E47">
        <v>1</v>
      </c>
      <c r="F47" t="s">
        <v>377</v>
      </c>
      <c r="G47" t="s">
        <v>408</v>
      </c>
      <c r="H47" t="s">
        <v>377</v>
      </c>
      <c r="I47" t="s">
        <v>377</v>
      </c>
      <c r="K47">
        <v>30</v>
      </c>
      <c r="L47">
        <v>30</v>
      </c>
      <c r="O47">
        <v>3</v>
      </c>
      <c r="P47">
        <v>16166</v>
      </c>
      <c r="Q47">
        <v>16453</v>
      </c>
      <c r="R47">
        <v>287</v>
      </c>
      <c r="S47">
        <v>4000</v>
      </c>
      <c r="T47" t="s">
        <v>574</v>
      </c>
      <c r="U47">
        <v>630</v>
      </c>
      <c r="V47">
        <v>631</v>
      </c>
      <c r="W47">
        <v>1</v>
      </c>
      <c r="X47">
        <v>35</v>
      </c>
      <c r="Y47">
        <v>35</v>
      </c>
      <c r="AB47">
        <v>0</v>
      </c>
      <c r="AC47">
        <v>1</v>
      </c>
      <c r="AD47">
        <v>100000</v>
      </c>
      <c r="AE47">
        <v>100</v>
      </c>
      <c r="AF47">
        <v>3</v>
      </c>
      <c r="AG47">
        <v>50000</v>
      </c>
      <c r="AH47">
        <v>150</v>
      </c>
      <c r="AI47">
        <v>1</v>
      </c>
      <c r="AJ47">
        <v>200000</v>
      </c>
      <c r="AK47">
        <v>200</v>
      </c>
      <c r="AN47">
        <v>0</v>
      </c>
      <c r="AO47">
        <v>3</v>
      </c>
      <c r="AP47">
        <v>120000</v>
      </c>
      <c r="AQ47">
        <v>360</v>
      </c>
      <c r="AU47" t="s">
        <v>575</v>
      </c>
      <c r="AV47" t="s">
        <v>576</v>
      </c>
      <c r="AX47" t="s">
        <v>577</v>
      </c>
      <c r="AY47" t="s">
        <v>383</v>
      </c>
      <c r="AZ47">
        <v>0</v>
      </c>
    </row>
    <row r="48" spans="1:52">
      <c r="A48" t="s">
        <v>578</v>
      </c>
      <c r="B48" t="s">
        <v>187</v>
      </c>
      <c r="C48">
        <v>402</v>
      </c>
      <c r="D48" t="s">
        <v>515</v>
      </c>
      <c r="E48">
        <v>1</v>
      </c>
      <c r="F48" t="s">
        <v>376</v>
      </c>
      <c r="G48" t="s">
        <v>377</v>
      </c>
      <c r="H48" t="s">
        <v>376</v>
      </c>
      <c r="I48" t="s">
        <v>376</v>
      </c>
      <c r="K48">
        <v>30</v>
      </c>
      <c r="L48">
        <v>30</v>
      </c>
      <c r="O48">
        <v>1</v>
      </c>
      <c r="P48">
        <v>11775</v>
      </c>
      <c r="Q48">
        <v>12031</v>
      </c>
      <c r="R48">
        <v>256</v>
      </c>
      <c r="S48">
        <v>4000</v>
      </c>
      <c r="T48" t="s">
        <v>579</v>
      </c>
      <c r="W48">
        <v>1</v>
      </c>
      <c r="X48">
        <v>120</v>
      </c>
      <c r="Y48">
        <v>120</v>
      </c>
      <c r="AB48">
        <v>0</v>
      </c>
      <c r="AC48">
        <v>1</v>
      </c>
      <c r="AD48">
        <v>100000</v>
      </c>
      <c r="AE48">
        <v>100</v>
      </c>
      <c r="AF48">
        <v>1</v>
      </c>
      <c r="AG48">
        <v>50000</v>
      </c>
      <c r="AH48">
        <v>50</v>
      </c>
      <c r="AK48">
        <v>0</v>
      </c>
      <c r="AM48">
        <v>60000</v>
      </c>
      <c r="AN48">
        <v>0</v>
      </c>
      <c r="AO48">
        <v>1</v>
      </c>
      <c r="AP48">
        <v>120000</v>
      </c>
      <c r="AQ48">
        <v>120</v>
      </c>
      <c r="AU48" t="s">
        <v>580</v>
      </c>
      <c r="AV48" t="s">
        <v>581</v>
      </c>
      <c r="AX48" t="s">
        <v>582</v>
      </c>
      <c r="AY48" t="s">
        <v>383</v>
      </c>
      <c r="AZ48">
        <v>0</v>
      </c>
    </row>
    <row r="49" spans="1:55">
      <c r="A49" t="s">
        <v>583</v>
      </c>
      <c r="B49" t="s">
        <v>187</v>
      </c>
      <c r="C49">
        <v>501</v>
      </c>
      <c r="D49" t="s">
        <v>515</v>
      </c>
      <c r="E49">
        <v>1</v>
      </c>
      <c r="F49" t="s">
        <v>385</v>
      </c>
      <c r="G49" t="s">
        <v>408</v>
      </c>
      <c r="H49" t="s">
        <v>385</v>
      </c>
      <c r="I49" t="s">
        <v>385</v>
      </c>
      <c r="K49">
        <v>30</v>
      </c>
      <c r="L49">
        <v>30</v>
      </c>
      <c r="O49">
        <v>2</v>
      </c>
      <c r="P49">
        <v>21865</v>
      </c>
      <c r="Q49">
        <v>22172</v>
      </c>
      <c r="R49">
        <v>307</v>
      </c>
      <c r="S49">
        <v>4000</v>
      </c>
      <c r="T49" t="s">
        <v>584</v>
      </c>
      <c r="U49">
        <v>870</v>
      </c>
      <c r="V49">
        <v>878</v>
      </c>
      <c r="W49">
        <v>8</v>
      </c>
      <c r="X49">
        <v>35</v>
      </c>
      <c r="Y49">
        <v>280</v>
      </c>
      <c r="AB49">
        <v>0</v>
      </c>
      <c r="AC49">
        <v>1</v>
      </c>
      <c r="AD49">
        <v>100000</v>
      </c>
      <c r="AE49">
        <v>100</v>
      </c>
      <c r="AF49">
        <v>1</v>
      </c>
      <c r="AG49">
        <v>50000</v>
      </c>
      <c r="AH49">
        <v>50</v>
      </c>
      <c r="AK49">
        <v>0</v>
      </c>
      <c r="AN49">
        <v>0</v>
      </c>
      <c r="AO49">
        <v>1</v>
      </c>
      <c r="AP49">
        <v>120000</v>
      </c>
      <c r="AQ49">
        <v>120</v>
      </c>
      <c r="AU49" t="s">
        <v>585</v>
      </c>
      <c r="AV49" t="s">
        <v>586</v>
      </c>
      <c r="AX49" t="s">
        <v>587</v>
      </c>
      <c r="AY49" t="s">
        <v>383</v>
      </c>
      <c r="AZ49">
        <v>0</v>
      </c>
    </row>
    <row r="50" spans="1:55">
      <c r="A50" t="s">
        <v>588</v>
      </c>
      <c r="B50" t="s">
        <v>187</v>
      </c>
      <c r="C50">
        <v>502</v>
      </c>
      <c r="D50" t="s">
        <v>515</v>
      </c>
      <c r="E50">
        <v>1</v>
      </c>
      <c r="F50" t="s">
        <v>420</v>
      </c>
      <c r="G50" t="s">
        <v>377</v>
      </c>
      <c r="H50" t="s">
        <v>377</v>
      </c>
      <c r="I50" t="s">
        <v>377</v>
      </c>
      <c r="K50">
        <v>30</v>
      </c>
      <c r="L50">
        <v>30</v>
      </c>
      <c r="O50">
        <v>3</v>
      </c>
      <c r="P50">
        <v>15205</v>
      </c>
      <c r="Q50">
        <v>15501</v>
      </c>
      <c r="R50">
        <v>296</v>
      </c>
      <c r="S50">
        <v>4000</v>
      </c>
      <c r="T50" t="s">
        <v>589</v>
      </c>
      <c r="W50">
        <v>3</v>
      </c>
      <c r="X50">
        <v>100</v>
      </c>
      <c r="Y50">
        <v>300</v>
      </c>
      <c r="Z50">
        <v>3</v>
      </c>
      <c r="AA50">
        <v>30000</v>
      </c>
      <c r="AB50">
        <v>90</v>
      </c>
      <c r="AC50">
        <v>1</v>
      </c>
      <c r="AD50">
        <v>100000</v>
      </c>
      <c r="AE50">
        <v>100</v>
      </c>
      <c r="AF50">
        <v>3</v>
      </c>
      <c r="AG50">
        <v>50000</v>
      </c>
      <c r="AH50">
        <v>150</v>
      </c>
      <c r="AK50">
        <v>0</v>
      </c>
      <c r="AL50">
        <v>3</v>
      </c>
      <c r="AM50">
        <v>60000</v>
      </c>
      <c r="AN50">
        <v>180</v>
      </c>
      <c r="AQ50">
        <v>0</v>
      </c>
      <c r="AU50" t="s">
        <v>590</v>
      </c>
      <c r="AV50" t="s">
        <v>591</v>
      </c>
      <c r="AW50" t="s">
        <v>592</v>
      </c>
      <c r="AX50" t="s">
        <v>593</v>
      </c>
      <c r="AY50" t="s">
        <v>383</v>
      </c>
      <c r="AZ50">
        <v>0</v>
      </c>
    </row>
    <row r="51" spans="1:55">
      <c r="A51" t="s">
        <v>594</v>
      </c>
      <c r="B51" t="s">
        <v>187</v>
      </c>
      <c r="C51">
        <v>601</v>
      </c>
      <c r="D51" t="s">
        <v>515</v>
      </c>
      <c r="E51">
        <v>1</v>
      </c>
      <c r="F51" t="s">
        <v>377</v>
      </c>
      <c r="G51" t="s">
        <v>408</v>
      </c>
      <c r="H51" t="s">
        <v>377</v>
      </c>
      <c r="I51" t="s">
        <v>377</v>
      </c>
      <c r="J51" t="s">
        <v>377</v>
      </c>
      <c r="K51">
        <v>30</v>
      </c>
      <c r="L51">
        <v>30</v>
      </c>
      <c r="O51">
        <v>1</v>
      </c>
      <c r="R51">
        <v>0</v>
      </c>
      <c r="S51">
        <v>4000</v>
      </c>
      <c r="T51">
        <v>0</v>
      </c>
      <c r="W51">
        <v>1</v>
      </c>
      <c r="X51">
        <v>120</v>
      </c>
      <c r="Y51">
        <v>120</v>
      </c>
      <c r="AB51">
        <v>0</v>
      </c>
      <c r="AC51">
        <v>1</v>
      </c>
      <c r="AD51">
        <v>100000</v>
      </c>
      <c r="AE51">
        <v>100</v>
      </c>
      <c r="AF51">
        <v>1</v>
      </c>
      <c r="AG51">
        <v>60000</v>
      </c>
      <c r="AH51">
        <v>60</v>
      </c>
      <c r="AK51">
        <v>0</v>
      </c>
      <c r="AN51">
        <v>0</v>
      </c>
      <c r="AO51">
        <v>1</v>
      </c>
      <c r="AP51">
        <v>120000</v>
      </c>
      <c r="AQ51">
        <v>120</v>
      </c>
      <c r="AU51">
        <v>400</v>
      </c>
      <c r="AV51" t="s">
        <v>595</v>
      </c>
      <c r="AW51" t="s">
        <v>596</v>
      </c>
      <c r="AX51" t="s">
        <v>597</v>
      </c>
      <c r="AY51" t="s">
        <v>383</v>
      </c>
      <c r="AZ51">
        <v>0</v>
      </c>
    </row>
    <row r="52" spans="1:55">
      <c r="A52" t="s">
        <v>598</v>
      </c>
      <c r="B52" t="s">
        <v>187</v>
      </c>
      <c r="C52">
        <v>602</v>
      </c>
      <c r="D52" t="s">
        <v>515</v>
      </c>
      <c r="E52">
        <v>1</v>
      </c>
      <c r="F52" t="s">
        <v>376</v>
      </c>
      <c r="G52" t="s">
        <v>377</v>
      </c>
      <c r="H52" t="s">
        <v>376</v>
      </c>
      <c r="I52" t="s">
        <v>376</v>
      </c>
      <c r="K52">
        <v>30</v>
      </c>
      <c r="L52">
        <v>30</v>
      </c>
      <c r="O52">
        <v>2</v>
      </c>
      <c r="P52">
        <v>16911</v>
      </c>
      <c r="Q52">
        <v>17226</v>
      </c>
      <c r="R52">
        <v>315</v>
      </c>
      <c r="S52">
        <v>4000</v>
      </c>
      <c r="T52" t="s">
        <v>599</v>
      </c>
      <c r="U52">
        <v>557</v>
      </c>
      <c r="V52">
        <v>560</v>
      </c>
      <c r="W52">
        <v>3</v>
      </c>
      <c r="X52">
        <v>35</v>
      </c>
      <c r="Y52">
        <v>105</v>
      </c>
      <c r="AB52">
        <v>0</v>
      </c>
      <c r="AC52">
        <v>1</v>
      </c>
      <c r="AD52">
        <v>100000</v>
      </c>
      <c r="AE52">
        <v>100</v>
      </c>
      <c r="AF52">
        <v>2</v>
      </c>
      <c r="AG52">
        <v>50000</v>
      </c>
      <c r="AH52">
        <v>100</v>
      </c>
      <c r="AK52">
        <v>0</v>
      </c>
      <c r="AN52">
        <v>0</v>
      </c>
      <c r="AO52">
        <v>2</v>
      </c>
      <c r="AP52">
        <v>120000</v>
      </c>
      <c r="AQ52">
        <v>240</v>
      </c>
      <c r="AU52" t="s">
        <v>600</v>
      </c>
      <c r="AV52" t="s">
        <v>601</v>
      </c>
      <c r="AX52" t="s">
        <v>602</v>
      </c>
      <c r="AY52" t="s">
        <v>383</v>
      </c>
      <c r="AZ52">
        <v>0</v>
      </c>
    </row>
    <row r="53" spans="1:55">
      <c r="A53" t="s">
        <v>603</v>
      </c>
      <c r="B53" t="s">
        <v>167</v>
      </c>
      <c r="C53">
        <v>101</v>
      </c>
      <c r="D53" t="s">
        <v>425</v>
      </c>
      <c r="E53">
        <v>1</v>
      </c>
      <c r="F53" t="s">
        <v>552</v>
      </c>
      <c r="G53" t="s">
        <v>376</v>
      </c>
      <c r="H53" t="s">
        <v>552</v>
      </c>
      <c r="I53" t="s">
        <v>552</v>
      </c>
      <c r="J53">
        <v>300</v>
      </c>
      <c r="K53">
        <v>30</v>
      </c>
      <c r="L53">
        <v>30</v>
      </c>
      <c r="O53">
        <v>2</v>
      </c>
      <c r="P53">
        <v>19092</v>
      </c>
      <c r="Q53">
        <v>19224</v>
      </c>
      <c r="R53">
        <v>132</v>
      </c>
      <c r="S53">
        <v>4000</v>
      </c>
      <c r="T53">
        <v>528</v>
      </c>
      <c r="W53">
        <v>2</v>
      </c>
      <c r="X53">
        <v>100000</v>
      </c>
      <c r="Y53">
        <v>200</v>
      </c>
      <c r="AB53">
        <v>0</v>
      </c>
      <c r="AC53">
        <v>1</v>
      </c>
      <c r="AD53">
        <v>100000</v>
      </c>
      <c r="AE53">
        <v>100</v>
      </c>
      <c r="AF53">
        <v>0</v>
      </c>
      <c r="AH53">
        <v>0</v>
      </c>
      <c r="AK53">
        <v>0</v>
      </c>
      <c r="AL53">
        <v>0</v>
      </c>
      <c r="AN53">
        <v>0</v>
      </c>
      <c r="AO53">
        <v>2</v>
      </c>
      <c r="AP53">
        <v>120000</v>
      </c>
      <c r="AQ53">
        <v>240</v>
      </c>
      <c r="AU53" t="s">
        <v>604</v>
      </c>
      <c r="AV53" t="s">
        <v>605</v>
      </c>
      <c r="AW53" t="s">
        <v>606</v>
      </c>
      <c r="AX53" t="s">
        <v>607</v>
      </c>
      <c r="AY53" t="s">
        <v>383</v>
      </c>
      <c r="AZ53">
        <v>0</v>
      </c>
    </row>
    <row r="54" spans="1:55">
      <c r="A54" t="s">
        <v>608</v>
      </c>
      <c r="B54" t="s">
        <v>167</v>
      </c>
      <c r="C54">
        <v>102</v>
      </c>
      <c r="D54" t="s">
        <v>425</v>
      </c>
      <c r="E54">
        <v>1</v>
      </c>
      <c r="F54" t="s">
        <v>609</v>
      </c>
      <c r="G54" t="s">
        <v>376</v>
      </c>
      <c r="H54" t="s">
        <v>609</v>
      </c>
      <c r="I54" t="s">
        <v>609</v>
      </c>
      <c r="K54">
        <v>30</v>
      </c>
      <c r="L54">
        <v>30</v>
      </c>
      <c r="O54">
        <v>2</v>
      </c>
      <c r="P54">
        <v>9494</v>
      </c>
      <c r="Q54">
        <v>9664</v>
      </c>
      <c r="R54">
        <v>170</v>
      </c>
      <c r="S54">
        <v>4000</v>
      </c>
      <c r="T54">
        <v>680</v>
      </c>
      <c r="W54">
        <v>2</v>
      </c>
      <c r="X54">
        <v>120000</v>
      </c>
      <c r="Y54">
        <v>240</v>
      </c>
      <c r="AB54">
        <v>0</v>
      </c>
      <c r="AC54">
        <v>1</v>
      </c>
      <c r="AD54">
        <v>100000</v>
      </c>
      <c r="AE54">
        <v>100</v>
      </c>
      <c r="AH54">
        <v>0</v>
      </c>
      <c r="AK54">
        <v>0</v>
      </c>
      <c r="AL54">
        <v>0</v>
      </c>
      <c r="AN54">
        <v>0</v>
      </c>
      <c r="AO54">
        <v>2</v>
      </c>
      <c r="AP54">
        <v>120000</v>
      </c>
      <c r="AQ54">
        <v>240</v>
      </c>
      <c r="AU54" t="s">
        <v>401</v>
      </c>
      <c r="AV54" t="s">
        <v>610</v>
      </c>
      <c r="AX54" t="s">
        <v>611</v>
      </c>
      <c r="AY54" t="s">
        <v>383</v>
      </c>
      <c r="AZ54">
        <v>0</v>
      </c>
    </row>
    <row r="55" spans="1:55">
      <c r="A55" t="s">
        <v>612</v>
      </c>
      <c r="B55" t="s">
        <v>167</v>
      </c>
      <c r="C55">
        <v>103</v>
      </c>
      <c r="D55" t="s">
        <v>425</v>
      </c>
      <c r="E55">
        <v>1</v>
      </c>
      <c r="F55" t="s">
        <v>552</v>
      </c>
      <c r="G55" t="s">
        <v>376</v>
      </c>
      <c r="H55" t="s">
        <v>552</v>
      </c>
      <c r="I55" t="s">
        <v>552</v>
      </c>
      <c r="J55" t="s">
        <v>552</v>
      </c>
      <c r="K55">
        <v>30</v>
      </c>
      <c r="L55">
        <v>30</v>
      </c>
      <c r="O55">
        <v>2</v>
      </c>
      <c r="P55">
        <v>14424</v>
      </c>
      <c r="Q55">
        <v>14424</v>
      </c>
      <c r="R55">
        <v>0</v>
      </c>
      <c r="S55">
        <v>4000</v>
      </c>
      <c r="T55">
        <v>0</v>
      </c>
      <c r="W55">
        <v>2</v>
      </c>
      <c r="X55">
        <v>120000</v>
      </c>
      <c r="Y55">
        <v>240</v>
      </c>
      <c r="AB55">
        <v>0</v>
      </c>
      <c r="AC55">
        <v>1</v>
      </c>
      <c r="AD55">
        <v>100000</v>
      </c>
      <c r="AE55">
        <v>100</v>
      </c>
      <c r="AF55">
        <v>2</v>
      </c>
      <c r="AG55">
        <v>60000</v>
      </c>
      <c r="AH55">
        <v>120</v>
      </c>
      <c r="AK55">
        <v>0</v>
      </c>
      <c r="AL55">
        <v>0</v>
      </c>
      <c r="AM55">
        <v>60000</v>
      </c>
      <c r="AN55">
        <v>0</v>
      </c>
      <c r="AO55">
        <v>2</v>
      </c>
      <c r="AP55">
        <v>120000</v>
      </c>
      <c r="AQ55">
        <v>240</v>
      </c>
      <c r="AU55">
        <v>700</v>
      </c>
      <c r="AV55" t="s">
        <v>613</v>
      </c>
      <c r="AW55" t="s">
        <v>614</v>
      </c>
      <c r="AX55" t="s">
        <v>615</v>
      </c>
      <c r="AY55" t="s">
        <v>383</v>
      </c>
      <c r="AZ55">
        <v>0</v>
      </c>
    </row>
    <row r="56" spans="1:55">
      <c r="A56" t="s">
        <v>616</v>
      </c>
      <c r="B56" t="s">
        <v>167</v>
      </c>
      <c r="C56">
        <v>104</v>
      </c>
      <c r="D56" t="s">
        <v>425</v>
      </c>
      <c r="E56">
        <v>1</v>
      </c>
      <c r="F56" t="s">
        <v>552</v>
      </c>
      <c r="G56" t="s">
        <v>376</v>
      </c>
      <c r="H56" t="s">
        <v>552</v>
      </c>
      <c r="I56" t="s">
        <v>552</v>
      </c>
      <c r="J56" t="s">
        <v>552</v>
      </c>
      <c r="K56">
        <v>30</v>
      </c>
      <c r="L56">
        <v>30</v>
      </c>
      <c r="O56">
        <v>2</v>
      </c>
      <c r="P56">
        <v>16884</v>
      </c>
      <c r="Q56">
        <v>16884</v>
      </c>
      <c r="R56">
        <v>0</v>
      </c>
      <c r="S56">
        <v>4000</v>
      </c>
      <c r="T56">
        <v>0</v>
      </c>
      <c r="W56">
        <v>2</v>
      </c>
      <c r="X56">
        <v>120000</v>
      </c>
      <c r="Y56">
        <v>240</v>
      </c>
      <c r="AB56">
        <v>0</v>
      </c>
      <c r="AC56">
        <v>1</v>
      </c>
      <c r="AD56">
        <v>100000</v>
      </c>
      <c r="AE56">
        <v>100</v>
      </c>
      <c r="AF56">
        <v>2</v>
      </c>
      <c r="AG56">
        <v>60000</v>
      </c>
      <c r="AH56">
        <v>120</v>
      </c>
      <c r="AK56">
        <v>0</v>
      </c>
      <c r="AM56">
        <v>60000</v>
      </c>
      <c r="AN56">
        <v>0</v>
      </c>
      <c r="AO56">
        <v>2</v>
      </c>
      <c r="AP56">
        <v>120000</v>
      </c>
      <c r="AQ56">
        <v>240</v>
      </c>
      <c r="AU56">
        <v>700</v>
      </c>
      <c r="AV56" t="s">
        <v>613</v>
      </c>
      <c r="AW56" t="s">
        <v>558</v>
      </c>
      <c r="AX56" t="s">
        <v>615</v>
      </c>
      <c r="AY56" t="s">
        <v>383</v>
      </c>
      <c r="AZ56">
        <v>0</v>
      </c>
      <c r="BA56" s="1">
        <v>46031</v>
      </c>
      <c r="BB56" t="s">
        <v>474</v>
      </c>
      <c r="BC56" t="s">
        <v>475</v>
      </c>
    </row>
    <row r="57" spans="1:55">
      <c r="A57" t="s">
        <v>617</v>
      </c>
      <c r="B57" t="s">
        <v>167</v>
      </c>
      <c r="C57">
        <v>201</v>
      </c>
      <c r="D57" t="s">
        <v>425</v>
      </c>
      <c r="E57">
        <v>1</v>
      </c>
      <c r="G57" t="s">
        <v>376</v>
      </c>
      <c r="H57" t="s">
        <v>445</v>
      </c>
      <c r="I57" t="s">
        <v>445</v>
      </c>
      <c r="K57">
        <v>30</v>
      </c>
      <c r="L57">
        <v>30</v>
      </c>
      <c r="O57">
        <v>2</v>
      </c>
      <c r="P57">
        <v>302</v>
      </c>
      <c r="Q57">
        <v>767</v>
      </c>
      <c r="R57">
        <v>465</v>
      </c>
      <c r="S57">
        <v>4000</v>
      </c>
      <c r="T57" t="s">
        <v>618</v>
      </c>
      <c r="W57">
        <v>2</v>
      </c>
      <c r="X57">
        <v>90000</v>
      </c>
      <c r="Y57">
        <v>180</v>
      </c>
      <c r="AA57">
        <v>30000</v>
      </c>
      <c r="AB57">
        <v>0</v>
      </c>
      <c r="AC57">
        <v>0</v>
      </c>
      <c r="AD57">
        <v>100000</v>
      </c>
      <c r="AE57">
        <v>0</v>
      </c>
      <c r="AF57">
        <v>0</v>
      </c>
      <c r="AG57">
        <v>50000</v>
      </c>
      <c r="AH57">
        <v>0</v>
      </c>
      <c r="AK57">
        <v>0</v>
      </c>
      <c r="AM57">
        <v>60000</v>
      </c>
      <c r="AN57">
        <v>0</v>
      </c>
      <c r="AO57">
        <v>0</v>
      </c>
      <c r="AP57">
        <v>0</v>
      </c>
      <c r="AQ57">
        <v>0</v>
      </c>
      <c r="AU57" t="s">
        <v>619</v>
      </c>
      <c r="AV57" t="s">
        <v>620</v>
      </c>
      <c r="AW57" t="s">
        <v>621</v>
      </c>
      <c r="AX57" t="s">
        <v>622</v>
      </c>
      <c r="AY57" t="s">
        <v>383</v>
      </c>
      <c r="AZ57">
        <v>0</v>
      </c>
    </row>
    <row r="58" spans="1:55">
      <c r="A58" t="s">
        <v>623</v>
      </c>
      <c r="B58" t="s">
        <v>167</v>
      </c>
      <c r="C58">
        <v>202</v>
      </c>
      <c r="D58" t="s">
        <v>425</v>
      </c>
      <c r="E58">
        <v>1</v>
      </c>
      <c r="F58" t="s">
        <v>552</v>
      </c>
      <c r="G58" t="s">
        <v>376</v>
      </c>
      <c r="H58" t="s">
        <v>552</v>
      </c>
      <c r="I58" t="s">
        <v>552</v>
      </c>
      <c r="K58">
        <v>30</v>
      </c>
      <c r="L58">
        <v>30</v>
      </c>
      <c r="O58">
        <v>2</v>
      </c>
      <c r="P58">
        <v>20811</v>
      </c>
      <c r="Q58">
        <v>21134</v>
      </c>
      <c r="R58">
        <v>323</v>
      </c>
      <c r="S58">
        <v>4000</v>
      </c>
      <c r="T58" t="s">
        <v>624</v>
      </c>
      <c r="W58">
        <v>2</v>
      </c>
      <c r="X58">
        <v>90000</v>
      </c>
      <c r="Y58">
        <v>180</v>
      </c>
      <c r="Z58">
        <v>2</v>
      </c>
      <c r="AA58">
        <v>30000</v>
      </c>
      <c r="AB58">
        <v>60</v>
      </c>
      <c r="AC58">
        <v>1</v>
      </c>
      <c r="AD58">
        <v>100000</v>
      </c>
      <c r="AE58">
        <v>100</v>
      </c>
      <c r="AF58">
        <v>2</v>
      </c>
      <c r="AG58">
        <v>50000</v>
      </c>
      <c r="AH58">
        <v>100</v>
      </c>
      <c r="AK58">
        <v>0</v>
      </c>
      <c r="AL58">
        <v>2</v>
      </c>
      <c r="AM58">
        <v>60000</v>
      </c>
      <c r="AN58">
        <v>120</v>
      </c>
      <c r="AQ58">
        <v>0</v>
      </c>
      <c r="AU58" t="s">
        <v>625</v>
      </c>
      <c r="AV58" t="s">
        <v>626</v>
      </c>
      <c r="AX58" t="s">
        <v>627</v>
      </c>
      <c r="AY58" t="s">
        <v>383</v>
      </c>
      <c r="AZ58">
        <v>0</v>
      </c>
    </row>
    <row r="59" spans="1:55">
      <c r="A59" t="s">
        <v>628</v>
      </c>
      <c r="B59" t="s">
        <v>167</v>
      </c>
      <c r="C59">
        <v>203</v>
      </c>
      <c r="D59" t="s">
        <v>425</v>
      </c>
      <c r="E59">
        <v>1</v>
      </c>
      <c r="F59" t="s">
        <v>395</v>
      </c>
      <c r="G59" t="s">
        <v>376</v>
      </c>
      <c r="H59" t="s">
        <v>395</v>
      </c>
      <c r="I59" t="s">
        <v>395</v>
      </c>
      <c r="J59">
        <v>100</v>
      </c>
      <c r="K59">
        <v>30</v>
      </c>
      <c r="L59">
        <v>30</v>
      </c>
      <c r="O59">
        <v>2</v>
      </c>
      <c r="P59">
        <v>12997</v>
      </c>
      <c r="Q59">
        <v>13164</v>
      </c>
      <c r="R59">
        <v>167</v>
      </c>
      <c r="S59">
        <v>4000</v>
      </c>
      <c r="T59">
        <v>668</v>
      </c>
      <c r="W59">
        <v>2</v>
      </c>
      <c r="X59">
        <v>90000</v>
      </c>
      <c r="Y59">
        <v>180</v>
      </c>
      <c r="Z59">
        <v>2</v>
      </c>
      <c r="AA59">
        <v>30000</v>
      </c>
      <c r="AB59">
        <v>60</v>
      </c>
      <c r="AC59">
        <v>1</v>
      </c>
      <c r="AD59">
        <v>100000</v>
      </c>
      <c r="AE59">
        <v>100</v>
      </c>
      <c r="AF59">
        <v>2</v>
      </c>
      <c r="AG59">
        <v>50000</v>
      </c>
      <c r="AH59">
        <v>100</v>
      </c>
      <c r="AK59">
        <v>0</v>
      </c>
      <c r="AL59">
        <v>2</v>
      </c>
      <c r="AM59">
        <v>60000</v>
      </c>
      <c r="AN59">
        <v>120</v>
      </c>
      <c r="AQ59">
        <v>0</v>
      </c>
      <c r="AU59" t="s">
        <v>629</v>
      </c>
      <c r="AV59" t="s">
        <v>630</v>
      </c>
      <c r="AW59" t="s">
        <v>554</v>
      </c>
      <c r="AX59" t="s">
        <v>631</v>
      </c>
      <c r="AY59" t="s">
        <v>383</v>
      </c>
      <c r="AZ59">
        <v>0</v>
      </c>
    </row>
    <row r="60" spans="1:55">
      <c r="A60" t="s">
        <v>632</v>
      </c>
      <c r="B60" t="s">
        <v>167</v>
      </c>
      <c r="C60">
        <v>204</v>
      </c>
      <c r="D60" t="s">
        <v>425</v>
      </c>
      <c r="E60">
        <v>1</v>
      </c>
      <c r="F60" t="s">
        <v>385</v>
      </c>
      <c r="G60" t="s">
        <v>376</v>
      </c>
      <c r="H60" t="s">
        <v>385</v>
      </c>
      <c r="I60" t="s">
        <v>385</v>
      </c>
      <c r="K60">
        <v>30</v>
      </c>
      <c r="L60">
        <v>30</v>
      </c>
      <c r="O60">
        <v>2</v>
      </c>
      <c r="P60">
        <v>14.474</v>
      </c>
      <c r="Q60">
        <v>14.706</v>
      </c>
      <c r="R60">
        <v>232</v>
      </c>
      <c r="S60">
        <v>4000</v>
      </c>
      <c r="T60">
        <v>928</v>
      </c>
      <c r="W60">
        <v>2</v>
      </c>
      <c r="X60">
        <v>120</v>
      </c>
      <c r="Y60">
        <v>240</v>
      </c>
      <c r="AB60">
        <v>0</v>
      </c>
      <c r="AC60">
        <v>1</v>
      </c>
      <c r="AD60">
        <v>100</v>
      </c>
      <c r="AE60">
        <v>100</v>
      </c>
      <c r="AF60">
        <v>2</v>
      </c>
      <c r="AG60">
        <v>50</v>
      </c>
      <c r="AH60">
        <v>100</v>
      </c>
      <c r="AK60">
        <v>0</v>
      </c>
      <c r="AL60">
        <v>0</v>
      </c>
      <c r="AM60">
        <v>60</v>
      </c>
      <c r="AN60">
        <v>0</v>
      </c>
      <c r="AO60">
        <v>2</v>
      </c>
      <c r="AP60">
        <v>120000</v>
      </c>
      <c r="AQ60">
        <v>240000</v>
      </c>
      <c r="AU60" t="s">
        <v>633</v>
      </c>
      <c r="AV60" t="s">
        <v>634</v>
      </c>
      <c r="AW60" t="s">
        <v>635</v>
      </c>
      <c r="AX60" t="s">
        <v>636</v>
      </c>
      <c r="AY60" t="s">
        <v>383</v>
      </c>
      <c r="AZ60">
        <v>0</v>
      </c>
    </row>
    <row r="61" spans="1:55">
      <c r="A61" t="s">
        <v>637</v>
      </c>
      <c r="B61" t="s">
        <v>167</v>
      </c>
      <c r="C61">
        <v>301</v>
      </c>
      <c r="D61" t="s">
        <v>425</v>
      </c>
      <c r="E61">
        <v>1</v>
      </c>
      <c r="F61" t="s">
        <v>552</v>
      </c>
      <c r="G61" t="s">
        <v>376</v>
      </c>
      <c r="H61" t="s">
        <v>552</v>
      </c>
      <c r="I61" t="s">
        <v>552</v>
      </c>
      <c r="K61">
        <v>30</v>
      </c>
      <c r="L61">
        <v>30</v>
      </c>
      <c r="O61">
        <v>1</v>
      </c>
      <c r="P61">
        <v>12532</v>
      </c>
      <c r="Q61">
        <v>12574</v>
      </c>
      <c r="R61">
        <v>42</v>
      </c>
      <c r="S61">
        <v>4000</v>
      </c>
      <c r="T61">
        <v>168</v>
      </c>
      <c r="W61">
        <v>1</v>
      </c>
      <c r="X61">
        <v>90000</v>
      </c>
      <c r="Y61">
        <v>90</v>
      </c>
      <c r="Z61">
        <v>1</v>
      </c>
      <c r="AA61">
        <v>30000</v>
      </c>
      <c r="AB61">
        <v>30</v>
      </c>
      <c r="AC61">
        <v>0</v>
      </c>
      <c r="AD61">
        <v>100000</v>
      </c>
      <c r="AE61">
        <v>0</v>
      </c>
      <c r="AF61">
        <v>0</v>
      </c>
      <c r="AG61">
        <v>50000</v>
      </c>
      <c r="AH61">
        <v>0</v>
      </c>
      <c r="AK61">
        <v>0</v>
      </c>
      <c r="AL61">
        <v>0</v>
      </c>
      <c r="AM61">
        <v>60000</v>
      </c>
      <c r="AN61">
        <v>0</v>
      </c>
      <c r="AO61">
        <v>1</v>
      </c>
      <c r="AP61">
        <v>-200000</v>
      </c>
      <c r="AQ61">
        <v>-200</v>
      </c>
      <c r="AU61">
        <v>88</v>
      </c>
      <c r="AV61" t="s">
        <v>638</v>
      </c>
      <c r="AW61" t="s">
        <v>639</v>
      </c>
      <c r="AX61" t="s">
        <v>640</v>
      </c>
      <c r="AY61" t="s">
        <v>383</v>
      </c>
      <c r="AZ61">
        <v>0</v>
      </c>
    </row>
    <row r="62" spans="1:55">
      <c r="A62" t="s">
        <v>641</v>
      </c>
      <c r="B62" t="s">
        <v>167</v>
      </c>
      <c r="C62">
        <v>302</v>
      </c>
      <c r="D62" t="s">
        <v>425</v>
      </c>
      <c r="E62">
        <v>1</v>
      </c>
      <c r="F62" t="s">
        <v>552</v>
      </c>
      <c r="G62" t="s">
        <v>376</v>
      </c>
      <c r="H62" t="s">
        <v>552</v>
      </c>
      <c r="I62" t="s">
        <v>552</v>
      </c>
      <c r="K62">
        <v>30</v>
      </c>
      <c r="L62">
        <v>30</v>
      </c>
      <c r="O62">
        <v>2</v>
      </c>
      <c r="P62">
        <v>17219</v>
      </c>
      <c r="Q62">
        <v>17515</v>
      </c>
      <c r="R62">
        <v>296</v>
      </c>
      <c r="S62">
        <v>4000</v>
      </c>
      <c r="T62" t="s">
        <v>589</v>
      </c>
      <c r="W62">
        <v>2</v>
      </c>
      <c r="X62">
        <v>120000</v>
      </c>
      <c r="Y62">
        <v>240</v>
      </c>
      <c r="AB62">
        <v>0</v>
      </c>
      <c r="AC62">
        <v>1</v>
      </c>
      <c r="AD62">
        <v>100000</v>
      </c>
      <c r="AE62">
        <v>100</v>
      </c>
      <c r="AF62">
        <v>2</v>
      </c>
      <c r="AG62">
        <v>50000</v>
      </c>
      <c r="AH62">
        <v>100</v>
      </c>
      <c r="AK62">
        <v>0</v>
      </c>
      <c r="AM62">
        <v>60000</v>
      </c>
      <c r="AN62">
        <v>0</v>
      </c>
      <c r="AO62">
        <v>2</v>
      </c>
      <c r="AP62">
        <v>120000</v>
      </c>
      <c r="AQ62">
        <v>240</v>
      </c>
      <c r="AU62" t="s">
        <v>642</v>
      </c>
      <c r="AV62" t="s">
        <v>643</v>
      </c>
      <c r="AX62" t="s">
        <v>644</v>
      </c>
      <c r="AY62" t="s">
        <v>383</v>
      </c>
      <c r="AZ62">
        <v>0</v>
      </c>
    </row>
    <row r="63" spans="1:55">
      <c r="A63" t="s">
        <v>645</v>
      </c>
      <c r="B63" t="s">
        <v>167</v>
      </c>
      <c r="C63">
        <v>303</v>
      </c>
      <c r="D63" t="s">
        <v>425</v>
      </c>
      <c r="E63">
        <v>1</v>
      </c>
      <c r="F63" t="s">
        <v>552</v>
      </c>
      <c r="G63" t="s">
        <v>376</v>
      </c>
      <c r="H63" t="s">
        <v>552</v>
      </c>
      <c r="I63" t="s">
        <v>552</v>
      </c>
      <c r="K63">
        <v>30</v>
      </c>
      <c r="L63">
        <v>30</v>
      </c>
      <c r="O63">
        <v>2</v>
      </c>
      <c r="P63">
        <v>17751</v>
      </c>
      <c r="Q63">
        <v>17851</v>
      </c>
      <c r="R63">
        <v>100</v>
      </c>
      <c r="S63">
        <v>4000</v>
      </c>
      <c r="T63">
        <v>400</v>
      </c>
      <c r="W63">
        <v>2</v>
      </c>
      <c r="X63">
        <v>120000</v>
      </c>
      <c r="Y63">
        <v>240</v>
      </c>
      <c r="AB63">
        <v>0</v>
      </c>
      <c r="AC63">
        <v>1</v>
      </c>
      <c r="AD63">
        <v>100000</v>
      </c>
      <c r="AE63">
        <v>100</v>
      </c>
      <c r="AF63">
        <v>2</v>
      </c>
      <c r="AG63">
        <v>60000</v>
      </c>
      <c r="AH63">
        <v>120</v>
      </c>
      <c r="AK63">
        <v>0</v>
      </c>
      <c r="AN63">
        <v>0</v>
      </c>
      <c r="AO63">
        <v>2</v>
      </c>
      <c r="AP63">
        <v>120000</v>
      </c>
      <c r="AQ63">
        <v>240</v>
      </c>
      <c r="AU63" t="s">
        <v>646</v>
      </c>
      <c r="AV63" t="s">
        <v>647</v>
      </c>
      <c r="AW63" t="s">
        <v>648</v>
      </c>
      <c r="AX63" t="s">
        <v>649</v>
      </c>
      <c r="AY63" t="s">
        <v>383</v>
      </c>
      <c r="AZ63">
        <v>0</v>
      </c>
    </row>
    <row r="64" spans="1:55">
      <c r="A64" t="s">
        <v>650</v>
      </c>
      <c r="B64" t="s">
        <v>167</v>
      </c>
      <c r="C64">
        <v>304</v>
      </c>
      <c r="D64" t="s">
        <v>425</v>
      </c>
      <c r="E64">
        <v>1</v>
      </c>
      <c r="F64" t="s">
        <v>552</v>
      </c>
      <c r="G64" t="s">
        <v>376</v>
      </c>
      <c r="H64" t="s">
        <v>552</v>
      </c>
      <c r="I64" t="s">
        <v>552</v>
      </c>
      <c r="K64">
        <v>30</v>
      </c>
      <c r="L64">
        <v>30</v>
      </c>
      <c r="O64">
        <v>2</v>
      </c>
      <c r="P64">
        <v>619</v>
      </c>
      <c r="Q64">
        <v>1181</v>
      </c>
      <c r="R64">
        <v>562</v>
      </c>
      <c r="S64">
        <v>4000</v>
      </c>
      <c r="T64" t="s">
        <v>651</v>
      </c>
      <c r="W64">
        <v>2</v>
      </c>
      <c r="X64">
        <v>120000</v>
      </c>
      <c r="Y64">
        <v>240</v>
      </c>
      <c r="AB64">
        <v>0</v>
      </c>
      <c r="AD64">
        <v>100000</v>
      </c>
      <c r="AE64">
        <v>0</v>
      </c>
      <c r="AF64">
        <v>2</v>
      </c>
      <c r="AG64">
        <v>50000</v>
      </c>
      <c r="AH64">
        <v>100</v>
      </c>
      <c r="AK64">
        <v>0</v>
      </c>
      <c r="AM64">
        <v>60000</v>
      </c>
      <c r="AN64">
        <v>0</v>
      </c>
      <c r="AO64">
        <v>2</v>
      </c>
      <c r="AP64">
        <v>60000</v>
      </c>
      <c r="AQ64">
        <v>120</v>
      </c>
      <c r="AU64" t="s">
        <v>652</v>
      </c>
      <c r="AV64" t="s">
        <v>653</v>
      </c>
      <c r="AW64" t="s">
        <v>654</v>
      </c>
      <c r="AX64" t="s">
        <v>655</v>
      </c>
      <c r="AY64" t="s">
        <v>383</v>
      </c>
      <c r="AZ64">
        <v>0</v>
      </c>
    </row>
    <row r="65" spans="1:70">
      <c r="A65" t="s">
        <v>656</v>
      </c>
      <c r="B65" t="s">
        <v>167</v>
      </c>
      <c r="C65">
        <v>401</v>
      </c>
      <c r="D65" t="s">
        <v>425</v>
      </c>
      <c r="E65">
        <v>1</v>
      </c>
      <c r="F65" t="s">
        <v>376</v>
      </c>
      <c r="G65" t="s">
        <v>376</v>
      </c>
      <c r="H65" t="s">
        <v>376</v>
      </c>
      <c r="I65" t="s">
        <v>376</v>
      </c>
      <c r="K65">
        <v>30</v>
      </c>
      <c r="L65">
        <v>30</v>
      </c>
      <c r="O65">
        <v>2</v>
      </c>
      <c r="P65">
        <v>14310</v>
      </c>
      <c r="Q65">
        <v>14310</v>
      </c>
      <c r="R65">
        <v>0</v>
      </c>
      <c r="S65">
        <v>4000</v>
      </c>
      <c r="T65">
        <v>0</v>
      </c>
      <c r="W65">
        <v>2</v>
      </c>
      <c r="X65">
        <v>120000</v>
      </c>
      <c r="Y65">
        <v>240</v>
      </c>
      <c r="AB65">
        <v>0</v>
      </c>
      <c r="AD65">
        <v>100000</v>
      </c>
      <c r="AE65">
        <v>0</v>
      </c>
      <c r="AF65">
        <v>2</v>
      </c>
      <c r="AG65">
        <v>50000</v>
      </c>
      <c r="AH65">
        <v>100</v>
      </c>
      <c r="AK65">
        <v>0</v>
      </c>
      <c r="AN65">
        <v>0</v>
      </c>
      <c r="AO65">
        <v>2</v>
      </c>
      <c r="AP65">
        <v>120000</v>
      </c>
      <c r="AQ65">
        <v>240</v>
      </c>
      <c r="AU65">
        <v>580</v>
      </c>
      <c r="AV65" t="s">
        <v>657</v>
      </c>
      <c r="AW65" t="s">
        <v>648</v>
      </c>
      <c r="AX65" t="s">
        <v>658</v>
      </c>
      <c r="AY65" t="s">
        <v>383</v>
      </c>
      <c r="AZ65">
        <v>0</v>
      </c>
    </row>
    <row r="66" spans="1:70">
      <c r="A66" t="s">
        <v>659</v>
      </c>
      <c r="B66" t="s">
        <v>167</v>
      </c>
      <c r="C66">
        <v>402</v>
      </c>
      <c r="D66" t="s">
        <v>425</v>
      </c>
      <c r="E66">
        <v>1</v>
      </c>
      <c r="F66" t="s">
        <v>377</v>
      </c>
      <c r="G66" t="s">
        <v>376</v>
      </c>
      <c r="H66" t="s">
        <v>377</v>
      </c>
      <c r="I66" t="s">
        <v>377</v>
      </c>
      <c r="K66">
        <v>30</v>
      </c>
      <c r="L66">
        <v>30</v>
      </c>
      <c r="O66">
        <v>2</v>
      </c>
      <c r="P66">
        <v>13579</v>
      </c>
      <c r="Q66">
        <v>13781</v>
      </c>
      <c r="R66">
        <v>202</v>
      </c>
      <c r="S66">
        <v>4000</v>
      </c>
      <c r="T66">
        <v>808</v>
      </c>
      <c r="W66">
        <v>2</v>
      </c>
      <c r="X66">
        <v>100000</v>
      </c>
      <c r="Y66">
        <v>200</v>
      </c>
      <c r="Z66">
        <v>2</v>
      </c>
      <c r="AA66">
        <v>30000</v>
      </c>
      <c r="AB66">
        <v>60</v>
      </c>
      <c r="AD66">
        <v>100000</v>
      </c>
      <c r="AE66">
        <v>0</v>
      </c>
      <c r="AF66">
        <v>2</v>
      </c>
      <c r="AG66">
        <v>50000</v>
      </c>
      <c r="AH66">
        <v>100</v>
      </c>
      <c r="AK66">
        <v>0</v>
      </c>
      <c r="AL66">
        <v>0</v>
      </c>
      <c r="AM66">
        <v>60000</v>
      </c>
      <c r="AN66">
        <v>0</v>
      </c>
      <c r="AQ66">
        <v>0</v>
      </c>
      <c r="AU66" t="s">
        <v>660</v>
      </c>
      <c r="AV66" t="s">
        <v>661</v>
      </c>
      <c r="AX66" t="s">
        <v>662</v>
      </c>
      <c r="AY66" t="s">
        <v>383</v>
      </c>
      <c r="AZ66">
        <v>0</v>
      </c>
    </row>
    <row r="67" spans="1:70">
      <c r="A67" t="s">
        <v>663</v>
      </c>
      <c r="B67" t="s">
        <v>167</v>
      </c>
      <c r="C67">
        <v>403</v>
      </c>
      <c r="D67" t="s">
        <v>425</v>
      </c>
      <c r="E67">
        <v>1</v>
      </c>
      <c r="F67" t="s">
        <v>377</v>
      </c>
      <c r="G67" t="s">
        <v>376</v>
      </c>
      <c r="H67" t="s">
        <v>377</v>
      </c>
      <c r="I67" t="s">
        <v>377</v>
      </c>
      <c r="K67">
        <v>30</v>
      </c>
      <c r="L67">
        <v>30</v>
      </c>
      <c r="O67">
        <v>4</v>
      </c>
      <c r="P67">
        <v>16768</v>
      </c>
      <c r="Q67">
        <v>17015</v>
      </c>
      <c r="R67">
        <v>247</v>
      </c>
      <c r="S67">
        <v>4000</v>
      </c>
      <c r="T67">
        <v>988</v>
      </c>
      <c r="W67">
        <v>4</v>
      </c>
      <c r="X67">
        <v>120000</v>
      </c>
      <c r="Y67">
        <v>480</v>
      </c>
      <c r="AA67">
        <v>30000</v>
      </c>
      <c r="AB67">
        <v>0</v>
      </c>
      <c r="AC67">
        <v>1</v>
      </c>
      <c r="AD67">
        <v>100000</v>
      </c>
      <c r="AE67">
        <v>100</v>
      </c>
      <c r="AF67">
        <v>4</v>
      </c>
      <c r="AG67">
        <v>50000</v>
      </c>
      <c r="AH67">
        <v>200</v>
      </c>
      <c r="AK67">
        <v>0</v>
      </c>
      <c r="AM67">
        <v>60000</v>
      </c>
      <c r="AN67">
        <v>0</v>
      </c>
      <c r="AO67">
        <v>4</v>
      </c>
      <c r="AP67">
        <v>120000</v>
      </c>
      <c r="AQ67">
        <v>480</v>
      </c>
      <c r="AU67" t="s">
        <v>664</v>
      </c>
      <c r="AV67" t="s">
        <v>665</v>
      </c>
      <c r="AX67" t="s">
        <v>666</v>
      </c>
      <c r="AY67" t="s">
        <v>383</v>
      </c>
      <c r="AZ67">
        <v>0</v>
      </c>
    </row>
    <row r="68" spans="1:70">
      <c r="A68" t="s">
        <v>667</v>
      </c>
      <c r="B68" t="s">
        <v>167</v>
      </c>
      <c r="C68">
        <v>404</v>
      </c>
      <c r="D68" t="s">
        <v>425</v>
      </c>
      <c r="E68">
        <v>1</v>
      </c>
      <c r="F68" t="s">
        <v>552</v>
      </c>
      <c r="G68" t="s">
        <v>376</v>
      </c>
      <c r="H68" t="s">
        <v>552</v>
      </c>
      <c r="I68" t="s">
        <v>552</v>
      </c>
      <c r="K68">
        <v>30</v>
      </c>
      <c r="L68">
        <v>30</v>
      </c>
      <c r="O68">
        <v>3</v>
      </c>
      <c r="P68">
        <v>21254</v>
      </c>
      <c r="Q68">
        <v>21577</v>
      </c>
      <c r="R68">
        <v>323</v>
      </c>
      <c r="S68">
        <v>4000</v>
      </c>
      <c r="T68" t="s">
        <v>624</v>
      </c>
      <c r="W68">
        <v>3</v>
      </c>
      <c r="X68">
        <v>120000</v>
      </c>
      <c r="Y68">
        <v>360</v>
      </c>
      <c r="AB68">
        <v>0</v>
      </c>
      <c r="AC68">
        <v>1</v>
      </c>
      <c r="AD68">
        <v>100000</v>
      </c>
      <c r="AE68">
        <v>100</v>
      </c>
      <c r="AF68">
        <v>3</v>
      </c>
      <c r="AG68">
        <v>50000</v>
      </c>
      <c r="AH68">
        <v>150</v>
      </c>
      <c r="AK68">
        <v>0</v>
      </c>
      <c r="AL68">
        <v>0</v>
      </c>
      <c r="AM68">
        <v>60000</v>
      </c>
      <c r="AN68">
        <v>0</v>
      </c>
      <c r="AO68">
        <v>3</v>
      </c>
      <c r="AP68">
        <v>120000</v>
      </c>
      <c r="AQ68">
        <v>360</v>
      </c>
      <c r="AU68" t="s">
        <v>668</v>
      </c>
      <c r="AV68" t="s">
        <v>669</v>
      </c>
      <c r="AX68" t="s">
        <v>670</v>
      </c>
      <c r="AY68" t="s">
        <v>383</v>
      </c>
      <c r="AZ68">
        <v>0</v>
      </c>
    </row>
    <row r="69" spans="1:70">
      <c r="A69" t="s">
        <v>671</v>
      </c>
      <c r="B69" t="s">
        <v>167</v>
      </c>
      <c r="C69">
        <v>501</v>
      </c>
      <c r="D69" t="s">
        <v>425</v>
      </c>
      <c r="E69">
        <v>1</v>
      </c>
      <c r="F69" t="s">
        <v>376</v>
      </c>
      <c r="G69" t="s">
        <v>386</v>
      </c>
      <c r="H69" t="s">
        <v>376</v>
      </c>
      <c r="I69" t="s">
        <v>376</v>
      </c>
      <c r="J69" t="s">
        <v>376</v>
      </c>
      <c r="K69">
        <v>30</v>
      </c>
      <c r="L69">
        <v>30</v>
      </c>
      <c r="O69">
        <v>2</v>
      </c>
      <c r="P69">
        <v>10517</v>
      </c>
      <c r="Q69">
        <v>10517</v>
      </c>
      <c r="R69">
        <v>0</v>
      </c>
      <c r="S69">
        <v>4000</v>
      </c>
      <c r="T69">
        <v>0</v>
      </c>
      <c r="W69">
        <v>2</v>
      </c>
      <c r="X69">
        <v>120000</v>
      </c>
      <c r="Y69">
        <v>240</v>
      </c>
      <c r="AB69">
        <v>0</v>
      </c>
      <c r="AC69">
        <v>1</v>
      </c>
      <c r="AD69">
        <v>100000</v>
      </c>
      <c r="AE69">
        <v>100</v>
      </c>
      <c r="AF69">
        <v>2</v>
      </c>
      <c r="AG69">
        <v>60000</v>
      </c>
      <c r="AH69">
        <v>120</v>
      </c>
      <c r="AI69">
        <v>2</v>
      </c>
      <c r="AJ69">
        <v>150000</v>
      </c>
      <c r="AK69">
        <v>300</v>
      </c>
      <c r="AL69">
        <v>0</v>
      </c>
      <c r="AN69">
        <v>0</v>
      </c>
      <c r="AO69">
        <v>2</v>
      </c>
      <c r="AP69">
        <v>120000</v>
      </c>
      <c r="AQ69">
        <v>240</v>
      </c>
      <c r="AU69" t="s">
        <v>672</v>
      </c>
      <c r="AV69" t="s">
        <v>673</v>
      </c>
      <c r="AW69" t="s">
        <v>674</v>
      </c>
      <c r="AX69" t="s">
        <v>675</v>
      </c>
      <c r="AY69" t="s">
        <v>383</v>
      </c>
      <c r="AZ69">
        <v>0</v>
      </c>
    </row>
    <row r="70" spans="1:70">
      <c r="A70" t="s">
        <v>676</v>
      </c>
      <c r="B70" t="s">
        <v>167</v>
      </c>
      <c r="C70">
        <v>502</v>
      </c>
      <c r="D70" t="s">
        <v>425</v>
      </c>
      <c r="E70">
        <v>1</v>
      </c>
      <c r="F70" t="s">
        <v>277</v>
      </c>
      <c r="G70" t="s">
        <v>386</v>
      </c>
      <c r="H70" t="s">
        <v>277</v>
      </c>
      <c r="I70" t="s">
        <v>277</v>
      </c>
      <c r="K70">
        <v>30</v>
      </c>
      <c r="L70">
        <v>30</v>
      </c>
      <c r="O70">
        <v>2</v>
      </c>
      <c r="P70">
        <v>6865</v>
      </c>
      <c r="Q70">
        <v>7093</v>
      </c>
      <c r="R70">
        <v>228</v>
      </c>
      <c r="S70">
        <v>4000</v>
      </c>
      <c r="T70">
        <v>912</v>
      </c>
      <c r="W70">
        <v>2</v>
      </c>
      <c r="X70">
        <v>120000</v>
      </c>
      <c r="Y70">
        <v>240</v>
      </c>
      <c r="AA70">
        <v>30000</v>
      </c>
      <c r="AB70">
        <v>0</v>
      </c>
      <c r="AC70">
        <v>1</v>
      </c>
      <c r="AD70">
        <v>100000</v>
      </c>
      <c r="AE70">
        <v>100</v>
      </c>
      <c r="AF70">
        <v>2</v>
      </c>
      <c r="AG70">
        <v>50000</v>
      </c>
      <c r="AH70">
        <v>100</v>
      </c>
      <c r="AK70">
        <v>0</v>
      </c>
      <c r="AM70">
        <v>60000</v>
      </c>
      <c r="AN70">
        <v>0</v>
      </c>
      <c r="AO70">
        <v>2</v>
      </c>
      <c r="AP70">
        <v>60000</v>
      </c>
      <c r="AQ70">
        <v>120</v>
      </c>
      <c r="AU70" t="s">
        <v>677</v>
      </c>
      <c r="AV70" t="s">
        <v>678</v>
      </c>
      <c r="AX70" t="s">
        <v>679</v>
      </c>
      <c r="AY70" t="s">
        <v>383</v>
      </c>
      <c r="AZ70">
        <v>0</v>
      </c>
    </row>
    <row r="71" spans="1:70">
      <c r="A71" t="s">
        <v>680</v>
      </c>
      <c r="B71" t="s">
        <v>167</v>
      </c>
      <c r="C71">
        <v>503</v>
      </c>
      <c r="D71" t="s">
        <v>425</v>
      </c>
      <c r="E71">
        <v>1</v>
      </c>
      <c r="F71" t="s">
        <v>552</v>
      </c>
      <c r="G71" t="s">
        <v>386</v>
      </c>
      <c r="H71" t="s">
        <v>552</v>
      </c>
      <c r="I71" t="s">
        <v>552</v>
      </c>
      <c r="J71">
        <v>200</v>
      </c>
      <c r="K71">
        <v>30</v>
      </c>
      <c r="L71">
        <v>30</v>
      </c>
      <c r="O71">
        <v>1</v>
      </c>
      <c r="P71">
        <v>10882</v>
      </c>
      <c r="Q71">
        <v>11015</v>
      </c>
      <c r="R71">
        <v>133</v>
      </c>
      <c r="S71">
        <v>4000</v>
      </c>
      <c r="T71">
        <v>532</v>
      </c>
      <c r="W71">
        <v>1</v>
      </c>
      <c r="X71">
        <v>120000</v>
      </c>
      <c r="Y71">
        <v>120</v>
      </c>
      <c r="AA71">
        <v>60000</v>
      </c>
      <c r="AB71">
        <v>0</v>
      </c>
      <c r="AC71">
        <v>1</v>
      </c>
      <c r="AD71">
        <v>100000</v>
      </c>
      <c r="AE71">
        <v>100</v>
      </c>
      <c r="AF71">
        <v>1</v>
      </c>
      <c r="AG71">
        <v>60000</v>
      </c>
      <c r="AH71">
        <v>60</v>
      </c>
      <c r="AK71">
        <v>0</v>
      </c>
      <c r="AL71">
        <v>0</v>
      </c>
      <c r="AM71">
        <v>60000</v>
      </c>
      <c r="AN71">
        <v>0</v>
      </c>
      <c r="AO71">
        <v>1</v>
      </c>
      <c r="AP71">
        <v>120000</v>
      </c>
      <c r="AQ71">
        <v>120</v>
      </c>
      <c r="AU71">
        <v>932</v>
      </c>
      <c r="AV71" t="s">
        <v>681</v>
      </c>
      <c r="AW71" t="s">
        <v>530</v>
      </c>
      <c r="AX71" t="s">
        <v>682</v>
      </c>
      <c r="AY71" t="s">
        <v>383</v>
      </c>
      <c r="AZ71">
        <v>0</v>
      </c>
    </row>
    <row r="72" spans="1:70">
      <c r="A72" t="s">
        <v>683</v>
      </c>
      <c r="B72" t="s">
        <v>168</v>
      </c>
      <c r="C72">
        <v>101</v>
      </c>
      <c r="D72" t="s">
        <v>425</v>
      </c>
      <c r="E72">
        <v>1</v>
      </c>
      <c r="F72" t="s">
        <v>609</v>
      </c>
      <c r="G72" t="s">
        <v>552</v>
      </c>
      <c r="H72" t="s">
        <v>609</v>
      </c>
      <c r="I72" t="s">
        <v>609</v>
      </c>
      <c r="J72">
        <v>300</v>
      </c>
      <c r="K72">
        <v>30</v>
      </c>
      <c r="L72">
        <v>30</v>
      </c>
      <c r="O72">
        <v>2</v>
      </c>
      <c r="P72">
        <v>7061</v>
      </c>
      <c r="Q72">
        <v>7338</v>
      </c>
      <c r="R72">
        <v>277</v>
      </c>
      <c r="S72">
        <v>4</v>
      </c>
      <c r="T72" t="s">
        <v>684</v>
      </c>
      <c r="U72">
        <v>247</v>
      </c>
      <c r="V72">
        <v>256</v>
      </c>
      <c r="W72">
        <v>9</v>
      </c>
      <c r="X72">
        <v>30000</v>
      </c>
      <c r="Y72">
        <v>270</v>
      </c>
      <c r="Z72">
        <v>2</v>
      </c>
      <c r="AA72">
        <v>30000</v>
      </c>
      <c r="AB72">
        <v>60</v>
      </c>
      <c r="AC72">
        <v>1</v>
      </c>
      <c r="AD72">
        <v>100000</v>
      </c>
      <c r="AE72">
        <v>100</v>
      </c>
      <c r="AF72">
        <v>0</v>
      </c>
      <c r="AH72">
        <v>0</v>
      </c>
      <c r="AK72">
        <v>0</v>
      </c>
      <c r="AL72">
        <v>0</v>
      </c>
      <c r="AM72">
        <v>60000</v>
      </c>
      <c r="AN72">
        <v>0</v>
      </c>
      <c r="AQ72">
        <v>0</v>
      </c>
      <c r="AU72" t="s">
        <v>685</v>
      </c>
      <c r="AV72" t="s">
        <v>686</v>
      </c>
      <c r="AW72" t="s">
        <v>687</v>
      </c>
      <c r="AX72" t="s">
        <v>688</v>
      </c>
      <c r="AY72" t="s">
        <v>383</v>
      </c>
      <c r="AZ72">
        <v>0</v>
      </c>
    </row>
    <row r="73" spans="1:70">
      <c r="A73" t="s">
        <v>689</v>
      </c>
      <c r="B73" t="s">
        <v>168</v>
      </c>
      <c r="C73">
        <v>201</v>
      </c>
      <c r="D73" t="s">
        <v>425</v>
      </c>
      <c r="E73">
        <v>1</v>
      </c>
      <c r="F73" t="s">
        <v>377</v>
      </c>
      <c r="G73" t="s">
        <v>386</v>
      </c>
      <c r="H73" t="s">
        <v>377</v>
      </c>
      <c r="I73" t="s">
        <v>377</v>
      </c>
      <c r="K73">
        <v>30</v>
      </c>
      <c r="L73">
        <v>30</v>
      </c>
      <c r="O73">
        <v>2</v>
      </c>
      <c r="P73">
        <v>7628</v>
      </c>
      <c r="Q73">
        <v>7937</v>
      </c>
      <c r="R73">
        <v>309</v>
      </c>
      <c r="S73">
        <v>4</v>
      </c>
      <c r="T73" t="s">
        <v>690</v>
      </c>
      <c r="U73">
        <v>508</v>
      </c>
      <c r="V73">
        <v>527</v>
      </c>
      <c r="W73">
        <v>2</v>
      </c>
      <c r="X73">
        <v>120000</v>
      </c>
      <c r="Y73">
        <v>240</v>
      </c>
      <c r="AA73">
        <v>30000</v>
      </c>
      <c r="AB73">
        <v>0</v>
      </c>
      <c r="AC73">
        <v>1</v>
      </c>
      <c r="AD73">
        <v>100000</v>
      </c>
      <c r="AE73">
        <v>100</v>
      </c>
      <c r="AF73">
        <v>2</v>
      </c>
      <c r="AG73">
        <v>50000</v>
      </c>
      <c r="AH73">
        <v>100</v>
      </c>
      <c r="AK73">
        <v>0</v>
      </c>
      <c r="AM73">
        <v>60000</v>
      </c>
      <c r="AN73">
        <v>0</v>
      </c>
      <c r="AO73">
        <v>2</v>
      </c>
      <c r="AP73">
        <v>120000</v>
      </c>
      <c r="AQ73">
        <v>240</v>
      </c>
      <c r="AU73" t="s">
        <v>691</v>
      </c>
      <c r="AV73" t="s">
        <v>692</v>
      </c>
      <c r="AW73" t="s">
        <v>693</v>
      </c>
      <c r="AX73" t="s">
        <v>694</v>
      </c>
      <c r="AY73" t="s">
        <v>522</v>
      </c>
      <c r="AZ73">
        <v>45</v>
      </c>
    </row>
    <row r="74" spans="1:70">
      <c r="A74" t="s">
        <v>695</v>
      </c>
      <c r="B74" t="s">
        <v>168</v>
      </c>
      <c r="C74">
        <v>202</v>
      </c>
      <c r="D74" t="s">
        <v>425</v>
      </c>
      <c r="E74">
        <v>1</v>
      </c>
      <c r="F74" t="s">
        <v>377</v>
      </c>
      <c r="G74" t="s">
        <v>386</v>
      </c>
      <c r="H74" t="s">
        <v>377</v>
      </c>
      <c r="I74" t="s">
        <v>377</v>
      </c>
      <c r="K74">
        <v>30</v>
      </c>
      <c r="L74">
        <v>30</v>
      </c>
      <c r="O74">
        <v>2</v>
      </c>
      <c r="P74">
        <v>10321</v>
      </c>
      <c r="Q74">
        <v>10322</v>
      </c>
      <c r="R74">
        <v>1</v>
      </c>
      <c r="S74">
        <v>4</v>
      </c>
      <c r="T74">
        <v>4</v>
      </c>
      <c r="U74">
        <v>316</v>
      </c>
      <c r="V74">
        <v>316</v>
      </c>
      <c r="W74">
        <v>0</v>
      </c>
      <c r="X74">
        <v>35000</v>
      </c>
      <c r="Y74">
        <v>0</v>
      </c>
      <c r="AB74">
        <v>0</v>
      </c>
      <c r="AC74">
        <v>1</v>
      </c>
      <c r="AD74">
        <v>100000</v>
      </c>
      <c r="AE74">
        <v>100</v>
      </c>
      <c r="AF74">
        <v>2</v>
      </c>
      <c r="AG74">
        <v>60000</v>
      </c>
      <c r="AH74">
        <v>120</v>
      </c>
      <c r="AK74">
        <v>0</v>
      </c>
      <c r="AN74">
        <v>0</v>
      </c>
      <c r="AO74">
        <v>2</v>
      </c>
      <c r="AP74">
        <v>120000</v>
      </c>
      <c r="AQ74">
        <v>240</v>
      </c>
      <c r="AU74">
        <v>464</v>
      </c>
      <c r="AV74" t="s">
        <v>696</v>
      </c>
      <c r="AW74" t="s">
        <v>697</v>
      </c>
      <c r="AX74" t="s">
        <v>698</v>
      </c>
      <c r="AY74" t="s">
        <v>383</v>
      </c>
      <c r="AZ74">
        <v>0</v>
      </c>
    </row>
    <row r="75" spans="1:70">
      <c r="A75" t="s">
        <v>699</v>
      </c>
      <c r="B75" t="s">
        <v>168</v>
      </c>
      <c r="C75">
        <v>203</v>
      </c>
      <c r="D75" t="s">
        <v>425</v>
      </c>
      <c r="E75">
        <v>1</v>
      </c>
      <c r="F75" t="s">
        <v>408</v>
      </c>
      <c r="G75" t="s">
        <v>420</v>
      </c>
      <c r="H75" t="s">
        <v>408</v>
      </c>
      <c r="I75" t="s">
        <v>408</v>
      </c>
      <c r="K75">
        <v>30</v>
      </c>
      <c r="L75">
        <v>30</v>
      </c>
      <c r="O75">
        <v>3</v>
      </c>
      <c r="P75">
        <v>8372</v>
      </c>
      <c r="Q75">
        <v>8586</v>
      </c>
      <c r="R75">
        <v>214</v>
      </c>
      <c r="S75">
        <v>4</v>
      </c>
      <c r="T75">
        <v>856</v>
      </c>
      <c r="U75">
        <v>338</v>
      </c>
      <c r="V75">
        <v>344</v>
      </c>
      <c r="W75">
        <v>6</v>
      </c>
      <c r="X75">
        <v>35000</v>
      </c>
      <c r="Y75">
        <v>210</v>
      </c>
      <c r="AB75">
        <v>0</v>
      </c>
      <c r="AC75">
        <v>1</v>
      </c>
      <c r="AD75">
        <v>100000</v>
      </c>
      <c r="AE75">
        <v>100</v>
      </c>
      <c r="AF75">
        <v>3</v>
      </c>
      <c r="AG75">
        <v>50000</v>
      </c>
      <c r="AH75">
        <v>150</v>
      </c>
      <c r="AK75">
        <v>0</v>
      </c>
      <c r="AN75">
        <v>0</v>
      </c>
      <c r="AO75">
        <v>3</v>
      </c>
      <c r="AP75">
        <v>120000</v>
      </c>
      <c r="AQ75">
        <v>360</v>
      </c>
      <c r="AU75" t="s">
        <v>700</v>
      </c>
      <c r="AV75" t="s">
        <v>701</v>
      </c>
      <c r="AW75" t="s">
        <v>635</v>
      </c>
      <c r="AX75" t="s">
        <v>702</v>
      </c>
      <c r="AY75" t="s">
        <v>522</v>
      </c>
      <c r="AZ75">
        <v>100</v>
      </c>
    </row>
    <row r="76" spans="1:70">
      <c r="A76" t="s">
        <v>703</v>
      </c>
      <c r="B76" t="s">
        <v>168</v>
      </c>
      <c r="C76">
        <v>301</v>
      </c>
      <c r="D76" t="s">
        <v>425</v>
      </c>
      <c r="E76">
        <v>1</v>
      </c>
      <c r="F76" t="s">
        <v>377</v>
      </c>
      <c r="G76" t="s">
        <v>386</v>
      </c>
      <c r="H76" t="s">
        <v>377</v>
      </c>
      <c r="I76" t="s">
        <v>377</v>
      </c>
      <c r="K76">
        <v>30</v>
      </c>
      <c r="L76">
        <v>30</v>
      </c>
      <c r="O76">
        <v>2</v>
      </c>
      <c r="P76">
        <v>7030</v>
      </c>
      <c r="Q76">
        <v>7208</v>
      </c>
      <c r="R76">
        <v>178</v>
      </c>
      <c r="S76">
        <v>4</v>
      </c>
      <c r="T76">
        <v>712</v>
      </c>
      <c r="U76">
        <v>326</v>
      </c>
      <c r="V76">
        <v>334</v>
      </c>
      <c r="W76">
        <v>8</v>
      </c>
      <c r="X76">
        <v>30000</v>
      </c>
      <c r="Y76">
        <v>240</v>
      </c>
      <c r="Z76">
        <v>2</v>
      </c>
      <c r="AA76">
        <v>30000</v>
      </c>
      <c r="AB76">
        <v>60</v>
      </c>
      <c r="AC76">
        <v>1</v>
      </c>
      <c r="AD76">
        <v>100000</v>
      </c>
      <c r="AE76">
        <v>100</v>
      </c>
      <c r="AF76">
        <v>2</v>
      </c>
      <c r="AG76">
        <v>50000</v>
      </c>
      <c r="AH76">
        <v>100</v>
      </c>
      <c r="AK76">
        <v>0</v>
      </c>
      <c r="AL76">
        <v>2</v>
      </c>
      <c r="AM76">
        <v>60000</v>
      </c>
      <c r="AN76">
        <v>120</v>
      </c>
      <c r="AQ76">
        <v>0</v>
      </c>
      <c r="AU76" t="s">
        <v>704</v>
      </c>
      <c r="AV76" t="s">
        <v>705</v>
      </c>
      <c r="AW76" t="s">
        <v>706</v>
      </c>
      <c r="AX76" t="s">
        <v>707</v>
      </c>
      <c r="AY76" t="s">
        <v>383</v>
      </c>
      <c r="AZ76">
        <v>0</v>
      </c>
    </row>
    <row r="77" spans="1:70">
      <c r="A77" t="s">
        <v>708</v>
      </c>
      <c r="B77" t="s">
        <v>168</v>
      </c>
      <c r="C77">
        <v>302</v>
      </c>
      <c r="D77" t="s">
        <v>425</v>
      </c>
      <c r="E77">
        <v>1</v>
      </c>
      <c r="F77" t="s">
        <v>386</v>
      </c>
      <c r="G77" t="s">
        <v>386</v>
      </c>
      <c r="H77" t="s">
        <v>386</v>
      </c>
      <c r="I77" t="s">
        <v>386</v>
      </c>
      <c r="K77">
        <v>30</v>
      </c>
      <c r="L77">
        <v>30</v>
      </c>
      <c r="O77">
        <v>2</v>
      </c>
      <c r="P77">
        <v>8392</v>
      </c>
      <c r="Q77">
        <v>8628</v>
      </c>
      <c r="R77">
        <v>236</v>
      </c>
      <c r="S77">
        <v>4</v>
      </c>
      <c r="T77">
        <v>944</v>
      </c>
      <c r="U77">
        <v>352</v>
      </c>
      <c r="V77">
        <v>358</v>
      </c>
      <c r="W77">
        <v>6</v>
      </c>
      <c r="X77">
        <v>30000</v>
      </c>
      <c r="Y77">
        <v>180</v>
      </c>
      <c r="Z77">
        <v>2</v>
      </c>
      <c r="AA77">
        <v>30000</v>
      </c>
      <c r="AB77">
        <v>60</v>
      </c>
      <c r="AC77">
        <v>1</v>
      </c>
      <c r="AD77">
        <v>100000</v>
      </c>
      <c r="AE77">
        <v>100</v>
      </c>
      <c r="AF77">
        <v>2</v>
      </c>
      <c r="AG77">
        <v>50000</v>
      </c>
      <c r="AH77">
        <v>100</v>
      </c>
      <c r="AK77">
        <v>0</v>
      </c>
      <c r="AL77">
        <v>2</v>
      </c>
      <c r="AM77">
        <v>60000</v>
      </c>
      <c r="AN77">
        <v>120</v>
      </c>
      <c r="AQ77">
        <v>0</v>
      </c>
      <c r="AU77" t="s">
        <v>709</v>
      </c>
      <c r="AV77" t="s">
        <v>710</v>
      </c>
      <c r="AX77" t="s">
        <v>711</v>
      </c>
      <c r="AY77" t="s">
        <v>383</v>
      </c>
      <c r="AZ77">
        <v>0</v>
      </c>
    </row>
    <row r="78" spans="1:70">
      <c r="A78" t="s">
        <v>712</v>
      </c>
      <c r="B78" t="s">
        <v>168</v>
      </c>
      <c r="C78">
        <v>303</v>
      </c>
      <c r="D78" t="s">
        <v>425</v>
      </c>
      <c r="E78">
        <v>1</v>
      </c>
      <c r="F78" t="s">
        <v>386</v>
      </c>
      <c r="G78" t="s">
        <v>420</v>
      </c>
      <c r="H78" t="s">
        <v>386</v>
      </c>
      <c r="I78" t="s">
        <v>386</v>
      </c>
      <c r="J78" t="s">
        <v>386</v>
      </c>
      <c r="K78">
        <v>30</v>
      </c>
      <c r="L78">
        <v>30</v>
      </c>
      <c r="O78">
        <v>3</v>
      </c>
      <c r="P78">
        <v>7690</v>
      </c>
      <c r="Q78">
        <v>7690</v>
      </c>
      <c r="R78">
        <v>0</v>
      </c>
      <c r="S78">
        <v>4</v>
      </c>
      <c r="T78">
        <v>0</v>
      </c>
      <c r="U78">
        <v>472</v>
      </c>
      <c r="V78">
        <v>472</v>
      </c>
      <c r="W78">
        <v>0</v>
      </c>
      <c r="X78">
        <v>35000</v>
      </c>
      <c r="Y78">
        <v>0</v>
      </c>
      <c r="AB78">
        <v>0</v>
      </c>
      <c r="AC78">
        <v>1</v>
      </c>
      <c r="AD78">
        <v>100000</v>
      </c>
      <c r="AE78">
        <v>100</v>
      </c>
      <c r="AF78">
        <v>3</v>
      </c>
      <c r="AG78">
        <v>60000</v>
      </c>
      <c r="AH78">
        <v>180</v>
      </c>
      <c r="AK78">
        <v>0</v>
      </c>
      <c r="AN78">
        <v>0</v>
      </c>
      <c r="AO78">
        <v>3</v>
      </c>
      <c r="AP78">
        <v>120000</v>
      </c>
      <c r="AQ78">
        <v>360</v>
      </c>
      <c r="AU78">
        <v>640</v>
      </c>
      <c r="AV78" t="s">
        <v>713</v>
      </c>
      <c r="AW78" t="s">
        <v>714</v>
      </c>
      <c r="AX78" t="s">
        <v>715</v>
      </c>
      <c r="AY78" t="s">
        <v>383</v>
      </c>
      <c r="AZ78">
        <v>0</v>
      </c>
      <c r="BA78" s="1">
        <v>46031</v>
      </c>
      <c r="BB78" t="s">
        <v>474</v>
      </c>
      <c r="BC78" t="s">
        <v>475</v>
      </c>
    </row>
    <row r="79" spans="1:70">
      <c r="A79" t="s">
        <v>716</v>
      </c>
      <c r="B79" t="s">
        <v>168</v>
      </c>
      <c r="C79">
        <v>401</v>
      </c>
      <c r="D79" t="s">
        <v>425</v>
      </c>
      <c r="E79">
        <v>1</v>
      </c>
      <c r="F79" t="s">
        <v>386</v>
      </c>
      <c r="G79" t="s">
        <v>386</v>
      </c>
      <c r="H79" t="s">
        <v>386</v>
      </c>
      <c r="I79" t="s">
        <v>386</v>
      </c>
      <c r="K79">
        <v>30</v>
      </c>
      <c r="L79">
        <v>30</v>
      </c>
      <c r="O79">
        <v>2</v>
      </c>
      <c r="P79">
        <v>6587</v>
      </c>
      <c r="Q79">
        <v>6729</v>
      </c>
      <c r="R79">
        <v>142</v>
      </c>
      <c r="S79">
        <v>4</v>
      </c>
      <c r="T79">
        <v>568</v>
      </c>
      <c r="U79">
        <v>204</v>
      </c>
      <c r="V79">
        <v>208</v>
      </c>
      <c r="W79">
        <v>4</v>
      </c>
      <c r="X79">
        <v>30000</v>
      </c>
      <c r="Y79">
        <v>120</v>
      </c>
      <c r="Z79">
        <v>2</v>
      </c>
      <c r="AA79">
        <v>30000</v>
      </c>
      <c r="AB79">
        <v>60</v>
      </c>
      <c r="AC79">
        <v>1</v>
      </c>
      <c r="AD79">
        <v>100000</v>
      </c>
      <c r="AE79">
        <v>100</v>
      </c>
      <c r="AF79">
        <v>2</v>
      </c>
      <c r="AG79">
        <v>50000</v>
      </c>
      <c r="AH79">
        <v>100</v>
      </c>
      <c r="AK79">
        <v>0</v>
      </c>
      <c r="AL79">
        <v>2</v>
      </c>
      <c r="AM79">
        <v>60000</v>
      </c>
      <c r="AN79">
        <v>120</v>
      </c>
      <c r="AQ79">
        <v>0</v>
      </c>
      <c r="AU79" t="s">
        <v>604</v>
      </c>
      <c r="AV79" t="s">
        <v>717</v>
      </c>
      <c r="AX79" t="s">
        <v>718</v>
      </c>
      <c r="AY79" t="s">
        <v>383</v>
      </c>
      <c r="AZ79">
        <v>0</v>
      </c>
      <c r="BN79">
        <v>94</v>
      </c>
      <c r="BO79">
        <v>102</v>
      </c>
      <c r="BP79">
        <v>8</v>
      </c>
      <c r="BQ79">
        <v>30000</v>
      </c>
      <c r="BR79">
        <v>240</v>
      </c>
    </row>
    <row r="80" spans="1:70">
      <c r="A80" t="s">
        <v>719</v>
      </c>
      <c r="B80" t="s">
        <v>168</v>
      </c>
      <c r="C80">
        <v>402</v>
      </c>
      <c r="D80" t="s">
        <v>425</v>
      </c>
      <c r="E80">
        <v>1</v>
      </c>
      <c r="F80" t="s">
        <v>386</v>
      </c>
      <c r="G80" t="s">
        <v>386</v>
      </c>
      <c r="H80" t="s">
        <v>386</v>
      </c>
      <c r="I80" t="s">
        <v>386</v>
      </c>
      <c r="K80">
        <v>30</v>
      </c>
      <c r="L80">
        <v>30</v>
      </c>
      <c r="O80">
        <v>2</v>
      </c>
      <c r="P80">
        <v>9736</v>
      </c>
      <c r="Q80">
        <v>9933</v>
      </c>
      <c r="R80">
        <v>197</v>
      </c>
      <c r="S80">
        <v>4</v>
      </c>
      <c r="T80">
        <v>788</v>
      </c>
      <c r="U80">
        <v>275</v>
      </c>
      <c r="V80">
        <v>278</v>
      </c>
      <c r="W80">
        <v>3</v>
      </c>
      <c r="X80">
        <v>30000</v>
      </c>
      <c r="Y80">
        <v>90</v>
      </c>
      <c r="Z80">
        <v>2</v>
      </c>
      <c r="AA80">
        <v>30000</v>
      </c>
      <c r="AB80">
        <v>60</v>
      </c>
      <c r="AC80">
        <v>1</v>
      </c>
      <c r="AD80">
        <v>100000</v>
      </c>
      <c r="AE80">
        <v>100</v>
      </c>
      <c r="AF80">
        <v>2</v>
      </c>
      <c r="AG80">
        <v>50000</v>
      </c>
      <c r="AH80">
        <v>100</v>
      </c>
      <c r="AK80">
        <v>0</v>
      </c>
      <c r="AL80">
        <v>2</v>
      </c>
      <c r="AM80">
        <v>60000</v>
      </c>
      <c r="AN80">
        <v>120</v>
      </c>
      <c r="AQ80">
        <v>0</v>
      </c>
      <c r="AU80" t="s">
        <v>720</v>
      </c>
      <c r="AV80" t="s">
        <v>721</v>
      </c>
      <c r="AX80" t="s">
        <v>722</v>
      </c>
      <c r="AY80" t="s">
        <v>383</v>
      </c>
      <c r="AZ80">
        <v>0</v>
      </c>
    </row>
    <row r="81" spans="1:55">
      <c r="A81" t="s">
        <v>723</v>
      </c>
      <c r="B81" t="s">
        <v>168</v>
      </c>
      <c r="C81">
        <v>403</v>
      </c>
      <c r="D81" t="s">
        <v>425</v>
      </c>
      <c r="E81">
        <v>1</v>
      </c>
      <c r="F81" t="s">
        <v>395</v>
      </c>
      <c r="G81" t="s">
        <v>420</v>
      </c>
      <c r="H81" t="s">
        <v>395</v>
      </c>
      <c r="I81" t="s">
        <v>395</v>
      </c>
      <c r="K81">
        <v>30</v>
      </c>
      <c r="L81">
        <v>30</v>
      </c>
      <c r="O81">
        <v>1</v>
      </c>
      <c r="P81">
        <v>6359</v>
      </c>
      <c r="Q81">
        <v>6466</v>
      </c>
      <c r="R81">
        <v>107</v>
      </c>
      <c r="S81">
        <v>4</v>
      </c>
      <c r="T81">
        <v>428</v>
      </c>
      <c r="U81">
        <v>178</v>
      </c>
      <c r="V81">
        <v>181</v>
      </c>
      <c r="W81">
        <v>3</v>
      </c>
      <c r="X81">
        <v>35000</v>
      </c>
      <c r="Y81">
        <v>105</v>
      </c>
      <c r="AB81">
        <v>0</v>
      </c>
      <c r="AC81">
        <v>1</v>
      </c>
      <c r="AD81">
        <v>100000</v>
      </c>
      <c r="AE81">
        <v>100</v>
      </c>
      <c r="AF81">
        <v>1</v>
      </c>
      <c r="AG81">
        <v>50000</v>
      </c>
      <c r="AH81">
        <v>50</v>
      </c>
      <c r="AK81">
        <v>0</v>
      </c>
      <c r="AN81">
        <v>0</v>
      </c>
      <c r="AO81">
        <v>1</v>
      </c>
      <c r="AP81">
        <v>120000</v>
      </c>
      <c r="AQ81">
        <v>120</v>
      </c>
      <c r="AU81">
        <v>803</v>
      </c>
      <c r="AV81" t="s">
        <v>724</v>
      </c>
      <c r="AX81" t="s">
        <v>725</v>
      </c>
      <c r="AY81" t="s">
        <v>383</v>
      </c>
      <c r="AZ81">
        <v>0</v>
      </c>
    </row>
    <row r="82" spans="1:55">
      <c r="A82" t="s">
        <v>726</v>
      </c>
      <c r="B82" t="s">
        <v>168</v>
      </c>
      <c r="C82">
        <v>501</v>
      </c>
      <c r="D82" t="s">
        <v>425</v>
      </c>
      <c r="E82">
        <v>1</v>
      </c>
      <c r="F82" t="s">
        <v>377</v>
      </c>
      <c r="G82" t="s">
        <v>386</v>
      </c>
      <c r="H82" t="s">
        <v>377</v>
      </c>
      <c r="I82" t="s">
        <v>377</v>
      </c>
      <c r="K82">
        <v>30</v>
      </c>
      <c r="L82">
        <v>30</v>
      </c>
      <c r="O82">
        <v>2</v>
      </c>
      <c r="P82">
        <v>8474</v>
      </c>
      <c r="Q82">
        <v>8498</v>
      </c>
      <c r="R82">
        <v>24</v>
      </c>
      <c r="S82">
        <v>4</v>
      </c>
      <c r="T82">
        <v>96</v>
      </c>
      <c r="U82">
        <v>253</v>
      </c>
      <c r="V82">
        <v>255</v>
      </c>
      <c r="W82">
        <v>2</v>
      </c>
      <c r="X82">
        <v>35000</v>
      </c>
      <c r="Y82">
        <v>70</v>
      </c>
      <c r="AB82">
        <v>0</v>
      </c>
      <c r="AC82">
        <v>1</v>
      </c>
      <c r="AD82">
        <v>100000</v>
      </c>
      <c r="AE82">
        <v>100</v>
      </c>
      <c r="AF82">
        <v>2</v>
      </c>
      <c r="AG82">
        <v>60000</v>
      </c>
      <c r="AH82">
        <v>120</v>
      </c>
      <c r="AK82">
        <v>0</v>
      </c>
      <c r="AN82">
        <v>0</v>
      </c>
      <c r="AO82">
        <v>2</v>
      </c>
      <c r="AP82">
        <v>120000</v>
      </c>
      <c r="AQ82">
        <v>240</v>
      </c>
      <c r="AU82">
        <v>626</v>
      </c>
      <c r="AV82" t="s">
        <v>727</v>
      </c>
      <c r="AW82" t="s">
        <v>697</v>
      </c>
      <c r="AX82" t="s">
        <v>728</v>
      </c>
      <c r="AY82" t="s">
        <v>383</v>
      </c>
      <c r="AZ82">
        <v>0</v>
      </c>
    </row>
    <row r="83" spans="1:55">
      <c r="A83" t="s">
        <v>729</v>
      </c>
      <c r="B83" t="s">
        <v>168</v>
      </c>
      <c r="C83">
        <v>502</v>
      </c>
      <c r="D83" t="s">
        <v>425</v>
      </c>
      <c r="E83">
        <v>1</v>
      </c>
      <c r="F83" t="s">
        <v>277</v>
      </c>
      <c r="G83" t="s">
        <v>386</v>
      </c>
      <c r="H83" t="s">
        <v>277</v>
      </c>
      <c r="I83" t="s">
        <v>277</v>
      </c>
      <c r="K83">
        <v>30</v>
      </c>
      <c r="L83">
        <v>30</v>
      </c>
      <c r="O83">
        <v>4</v>
      </c>
      <c r="P83">
        <v>9655</v>
      </c>
      <c r="Q83">
        <v>10084</v>
      </c>
      <c r="R83">
        <v>429</v>
      </c>
      <c r="S83">
        <v>4</v>
      </c>
      <c r="T83" t="s">
        <v>730</v>
      </c>
      <c r="U83">
        <v>277</v>
      </c>
      <c r="V83">
        <v>290</v>
      </c>
      <c r="W83">
        <v>13</v>
      </c>
      <c r="X83">
        <v>35000</v>
      </c>
      <c r="Y83">
        <v>455</v>
      </c>
      <c r="AB83">
        <v>0</v>
      </c>
      <c r="AC83">
        <v>1</v>
      </c>
      <c r="AD83">
        <v>100000</v>
      </c>
      <c r="AE83">
        <v>100</v>
      </c>
      <c r="AF83">
        <v>4</v>
      </c>
      <c r="AG83">
        <v>50000</v>
      </c>
      <c r="AH83">
        <v>200</v>
      </c>
      <c r="AK83">
        <v>0</v>
      </c>
      <c r="AN83">
        <v>0</v>
      </c>
      <c r="AO83">
        <v>4</v>
      </c>
      <c r="AP83">
        <v>120000</v>
      </c>
      <c r="AQ83">
        <v>480</v>
      </c>
      <c r="AU83" t="s">
        <v>731</v>
      </c>
      <c r="AV83" t="s">
        <v>732</v>
      </c>
      <c r="AW83" t="s">
        <v>454</v>
      </c>
      <c r="AX83" t="s">
        <v>733</v>
      </c>
      <c r="AY83" t="s">
        <v>383</v>
      </c>
      <c r="AZ83">
        <v>0</v>
      </c>
    </row>
    <row r="84" spans="1:55">
      <c r="A84" t="s">
        <v>734</v>
      </c>
      <c r="B84" t="s">
        <v>168</v>
      </c>
      <c r="C84">
        <v>503</v>
      </c>
      <c r="D84" t="s">
        <v>425</v>
      </c>
      <c r="E84">
        <v>1</v>
      </c>
      <c r="F84" t="s">
        <v>408</v>
      </c>
      <c r="G84" t="s">
        <v>420</v>
      </c>
      <c r="H84" t="s">
        <v>408</v>
      </c>
      <c r="I84" t="s">
        <v>408</v>
      </c>
      <c r="K84">
        <v>30</v>
      </c>
      <c r="L84">
        <v>30</v>
      </c>
      <c r="O84">
        <v>1</v>
      </c>
      <c r="P84">
        <v>12165</v>
      </c>
      <c r="Q84">
        <v>12286</v>
      </c>
      <c r="R84">
        <v>121</v>
      </c>
      <c r="S84">
        <v>4</v>
      </c>
      <c r="T84">
        <v>484</v>
      </c>
      <c r="U84">
        <v>521</v>
      </c>
      <c r="V84">
        <v>522</v>
      </c>
      <c r="W84">
        <v>1</v>
      </c>
      <c r="X84">
        <v>30000</v>
      </c>
      <c r="Y84">
        <v>30</v>
      </c>
      <c r="AA84">
        <v>30000</v>
      </c>
      <c r="AB84">
        <v>0</v>
      </c>
      <c r="AC84">
        <v>1</v>
      </c>
      <c r="AD84">
        <v>100000</v>
      </c>
      <c r="AE84">
        <v>100</v>
      </c>
      <c r="AF84">
        <v>1</v>
      </c>
      <c r="AG84">
        <v>50000</v>
      </c>
      <c r="AH84">
        <v>50</v>
      </c>
      <c r="AK84">
        <v>0</v>
      </c>
      <c r="AM84">
        <v>60000</v>
      </c>
      <c r="AN84">
        <v>0</v>
      </c>
      <c r="AO84">
        <v>1</v>
      </c>
      <c r="AP84">
        <v>120000</v>
      </c>
      <c r="AQ84">
        <v>120</v>
      </c>
      <c r="AU84">
        <v>784</v>
      </c>
      <c r="AV84" t="s">
        <v>735</v>
      </c>
      <c r="AX84" t="s">
        <v>736</v>
      </c>
      <c r="AY84" t="s">
        <v>383</v>
      </c>
      <c r="AZ84">
        <v>0</v>
      </c>
    </row>
    <row r="85" spans="1:55">
      <c r="A85" t="s">
        <v>737</v>
      </c>
      <c r="B85" t="s">
        <v>168</v>
      </c>
      <c r="C85">
        <v>601</v>
      </c>
      <c r="D85" t="s">
        <v>425</v>
      </c>
      <c r="E85">
        <v>1</v>
      </c>
      <c r="F85" t="s">
        <v>386</v>
      </c>
      <c r="G85" t="s">
        <v>386</v>
      </c>
      <c r="H85" t="s">
        <v>386</v>
      </c>
      <c r="I85" t="s">
        <v>386</v>
      </c>
      <c r="K85">
        <v>30</v>
      </c>
      <c r="L85">
        <v>30</v>
      </c>
      <c r="O85">
        <v>1</v>
      </c>
      <c r="P85">
        <v>6779</v>
      </c>
      <c r="Q85">
        <v>6953</v>
      </c>
      <c r="R85">
        <v>174</v>
      </c>
      <c r="S85">
        <v>4</v>
      </c>
      <c r="T85">
        <v>696</v>
      </c>
      <c r="U85">
        <v>173</v>
      </c>
      <c r="V85">
        <v>175</v>
      </c>
      <c r="W85">
        <v>2</v>
      </c>
      <c r="X85">
        <v>35000</v>
      </c>
      <c r="Y85">
        <v>70</v>
      </c>
      <c r="AB85">
        <v>0</v>
      </c>
      <c r="AC85">
        <v>1</v>
      </c>
      <c r="AD85">
        <v>100000</v>
      </c>
      <c r="AE85">
        <v>100</v>
      </c>
      <c r="AF85">
        <v>1</v>
      </c>
      <c r="AG85">
        <v>50000</v>
      </c>
      <c r="AH85">
        <v>50</v>
      </c>
      <c r="AK85">
        <v>0</v>
      </c>
      <c r="AN85">
        <v>0</v>
      </c>
      <c r="AO85">
        <v>1</v>
      </c>
      <c r="AP85">
        <v>120000</v>
      </c>
      <c r="AQ85">
        <v>120</v>
      </c>
      <c r="AU85" t="s">
        <v>738</v>
      </c>
      <c r="AV85" t="s">
        <v>739</v>
      </c>
      <c r="AX85" t="s">
        <v>740</v>
      </c>
      <c r="AY85" t="s">
        <v>383</v>
      </c>
      <c r="AZ85">
        <v>0</v>
      </c>
    </row>
    <row r="86" spans="1:55">
      <c r="A86" t="s">
        <v>741</v>
      </c>
      <c r="B86" t="s">
        <v>168</v>
      </c>
      <c r="C86">
        <v>602</v>
      </c>
      <c r="D86" t="s">
        <v>425</v>
      </c>
      <c r="E86">
        <v>1</v>
      </c>
      <c r="F86" t="s">
        <v>377</v>
      </c>
      <c r="G86" t="s">
        <v>386</v>
      </c>
      <c r="H86" t="s">
        <v>377</v>
      </c>
      <c r="I86" t="s">
        <v>377</v>
      </c>
      <c r="K86">
        <v>30</v>
      </c>
      <c r="L86">
        <v>30</v>
      </c>
      <c r="O86">
        <v>2</v>
      </c>
      <c r="P86">
        <v>9022</v>
      </c>
      <c r="Q86">
        <v>9091</v>
      </c>
      <c r="R86">
        <v>69</v>
      </c>
      <c r="S86">
        <v>4</v>
      </c>
      <c r="T86">
        <v>276</v>
      </c>
      <c r="U86">
        <v>186</v>
      </c>
      <c r="V86">
        <v>187</v>
      </c>
      <c r="W86">
        <v>1</v>
      </c>
      <c r="X86">
        <v>30000</v>
      </c>
      <c r="Y86">
        <v>30</v>
      </c>
      <c r="AA86">
        <v>30000</v>
      </c>
      <c r="AB86">
        <v>0</v>
      </c>
      <c r="AC86">
        <v>1</v>
      </c>
      <c r="AD86">
        <v>100000</v>
      </c>
      <c r="AE86">
        <v>100</v>
      </c>
      <c r="AF86">
        <v>2</v>
      </c>
      <c r="AG86">
        <v>50000</v>
      </c>
      <c r="AH86">
        <v>100</v>
      </c>
      <c r="AK86">
        <v>0</v>
      </c>
      <c r="AM86">
        <v>60000</v>
      </c>
      <c r="AN86">
        <v>0</v>
      </c>
      <c r="AO86">
        <v>2</v>
      </c>
      <c r="AP86">
        <v>120000</v>
      </c>
      <c r="AQ86">
        <v>240</v>
      </c>
      <c r="AU86">
        <v>746</v>
      </c>
      <c r="AV86" t="s">
        <v>742</v>
      </c>
      <c r="AX86" t="s">
        <v>743</v>
      </c>
      <c r="AY86" t="s">
        <v>383</v>
      </c>
      <c r="AZ86">
        <v>0</v>
      </c>
    </row>
    <row r="87" spans="1:55">
      <c r="A87" t="s">
        <v>744</v>
      </c>
      <c r="B87" t="s">
        <v>168</v>
      </c>
      <c r="C87">
        <v>603</v>
      </c>
      <c r="D87" t="s">
        <v>425</v>
      </c>
      <c r="E87">
        <v>1</v>
      </c>
      <c r="F87" t="s">
        <v>386</v>
      </c>
      <c r="G87" t="s">
        <v>420</v>
      </c>
      <c r="H87" t="s">
        <v>386</v>
      </c>
      <c r="I87" t="s">
        <v>386</v>
      </c>
      <c r="K87">
        <v>30</v>
      </c>
      <c r="L87">
        <v>30</v>
      </c>
      <c r="O87">
        <v>2</v>
      </c>
      <c r="P87">
        <v>6112</v>
      </c>
      <c r="Q87">
        <v>6229</v>
      </c>
      <c r="R87">
        <v>117</v>
      </c>
      <c r="S87">
        <v>4</v>
      </c>
      <c r="T87">
        <v>468</v>
      </c>
      <c r="W87">
        <v>2</v>
      </c>
      <c r="X87">
        <v>120000</v>
      </c>
      <c r="Y87">
        <v>240</v>
      </c>
      <c r="AB87">
        <v>0</v>
      </c>
      <c r="AC87">
        <v>1</v>
      </c>
      <c r="AD87">
        <v>100000</v>
      </c>
      <c r="AE87">
        <v>100</v>
      </c>
      <c r="AF87">
        <v>2</v>
      </c>
      <c r="AG87">
        <v>60000</v>
      </c>
      <c r="AH87">
        <v>120</v>
      </c>
      <c r="AK87">
        <v>0</v>
      </c>
      <c r="AN87">
        <v>0</v>
      </c>
      <c r="AO87">
        <v>2</v>
      </c>
      <c r="AP87">
        <v>120000</v>
      </c>
      <c r="AQ87">
        <v>240</v>
      </c>
      <c r="AU87" t="s">
        <v>660</v>
      </c>
      <c r="AV87" t="s">
        <v>745</v>
      </c>
      <c r="AW87" t="s">
        <v>697</v>
      </c>
      <c r="AX87" t="s">
        <v>746</v>
      </c>
      <c r="AY87" t="s">
        <v>383</v>
      </c>
      <c r="AZ87">
        <v>0</v>
      </c>
      <c r="BA87" s="1">
        <v>46089</v>
      </c>
      <c r="BB87" t="s">
        <v>474</v>
      </c>
      <c r="BC87" t="s">
        <v>475</v>
      </c>
    </row>
    <row r="88" spans="1:55">
      <c r="A88" t="s">
        <v>747</v>
      </c>
      <c r="B88" t="s">
        <v>168</v>
      </c>
      <c r="C88">
        <v>701</v>
      </c>
      <c r="D88" t="s">
        <v>425</v>
      </c>
      <c r="E88">
        <v>1</v>
      </c>
      <c r="F88" t="s">
        <v>377</v>
      </c>
      <c r="G88" t="s">
        <v>386</v>
      </c>
      <c r="H88" t="s">
        <v>377</v>
      </c>
      <c r="I88" t="s">
        <v>377</v>
      </c>
      <c r="J88" t="s">
        <v>377</v>
      </c>
      <c r="K88">
        <v>30</v>
      </c>
      <c r="L88">
        <v>30</v>
      </c>
      <c r="O88">
        <v>2</v>
      </c>
      <c r="P88">
        <v>7223</v>
      </c>
      <c r="Q88">
        <v>7223</v>
      </c>
      <c r="R88">
        <v>0</v>
      </c>
      <c r="S88">
        <v>4</v>
      </c>
      <c r="T88">
        <v>0</v>
      </c>
      <c r="U88">
        <v>300</v>
      </c>
      <c r="V88">
        <v>300</v>
      </c>
      <c r="W88">
        <v>0</v>
      </c>
      <c r="X88">
        <v>35000</v>
      </c>
      <c r="Y88">
        <v>0</v>
      </c>
      <c r="AB88">
        <v>0</v>
      </c>
      <c r="AC88">
        <v>1</v>
      </c>
      <c r="AD88">
        <v>100000</v>
      </c>
      <c r="AE88">
        <v>100</v>
      </c>
      <c r="AF88">
        <v>2</v>
      </c>
      <c r="AG88">
        <v>60000</v>
      </c>
      <c r="AH88">
        <v>120</v>
      </c>
      <c r="AK88">
        <v>0</v>
      </c>
      <c r="AL88">
        <v>0</v>
      </c>
      <c r="AN88">
        <v>0</v>
      </c>
      <c r="AO88">
        <v>2</v>
      </c>
      <c r="AP88">
        <v>120000</v>
      </c>
      <c r="AQ88">
        <v>240</v>
      </c>
      <c r="AU88">
        <v>460</v>
      </c>
      <c r="AV88" t="s">
        <v>748</v>
      </c>
      <c r="AW88" t="s">
        <v>749</v>
      </c>
      <c r="AX88" t="s">
        <v>750</v>
      </c>
      <c r="AY88" t="s">
        <v>383</v>
      </c>
      <c r="AZ88">
        <v>0</v>
      </c>
      <c r="BA88" s="1">
        <v>46031</v>
      </c>
      <c r="BB88" t="s">
        <v>474</v>
      </c>
      <c r="BC88" t="s">
        <v>475</v>
      </c>
    </row>
    <row r="89" spans="1:55">
      <c r="A89" t="s">
        <v>751</v>
      </c>
      <c r="B89" t="s">
        <v>168</v>
      </c>
      <c r="C89">
        <v>702</v>
      </c>
      <c r="D89" t="s">
        <v>425</v>
      </c>
      <c r="E89">
        <v>1</v>
      </c>
      <c r="F89" t="s">
        <v>377</v>
      </c>
      <c r="G89" t="s">
        <v>386</v>
      </c>
      <c r="H89" t="s">
        <v>377</v>
      </c>
      <c r="I89" t="s">
        <v>377</v>
      </c>
      <c r="K89">
        <v>30</v>
      </c>
      <c r="L89">
        <v>30</v>
      </c>
      <c r="O89">
        <v>2</v>
      </c>
      <c r="P89">
        <v>7295</v>
      </c>
      <c r="Q89">
        <v>7610</v>
      </c>
      <c r="R89">
        <v>315</v>
      </c>
      <c r="S89">
        <v>4</v>
      </c>
      <c r="T89" t="s">
        <v>599</v>
      </c>
      <c r="U89">
        <v>425</v>
      </c>
      <c r="V89">
        <v>428</v>
      </c>
      <c r="W89">
        <v>3</v>
      </c>
      <c r="X89">
        <v>30000</v>
      </c>
      <c r="Y89">
        <v>90</v>
      </c>
      <c r="Z89">
        <v>2</v>
      </c>
      <c r="AA89">
        <v>30000</v>
      </c>
      <c r="AB89">
        <v>60</v>
      </c>
      <c r="AC89">
        <v>1</v>
      </c>
      <c r="AD89">
        <v>100000</v>
      </c>
      <c r="AE89">
        <v>100</v>
      </c>
      <c r="AF89">
        <v>2</v>
      </c>
      <c r="AG89">
        <v>50000</v>
      </c>
      <c r="AH89">
        <v>100</v>
      </c>
      <c r="AK89">
        <v>0</v>
      </c>
      <c r="AL89">
        <v>2</v>
      </c>
      <c r="AM89">
        <v>60000</v>
      </c>
      <c r="AN89">
        <v>120</v>
      </c>
      <c r="AQ89">
        <v>0</v>
      </c>
      <c r="AU89" t="s">
        <v>752</v>
      </c>
      <c r="AV89" t="s">
        <v>753</v>
      </c>
      <c r="AX89" t="s">
        <v>754</v>
      </c>
      <c r="AY89" t="s">
        <v>383</v>
      </c>
      <c r="AZ89">
        <v>0</v>
      </c>
    </row>
    <row r="90" spans="1:55">
      <c r="A90" t="s">
        <v>755</v>
      </c>
      <c r="B90" t="s">
        <v>168</v>
      </c>
      <c r="C90">
        <v>703</v>
      </c>
      <c r="D90" t="s">
        <v>425</v>
      </c>
      <c r="E90">
        <v>1</v>
      </c>
      <c r="F90" t="s">
        <v>277</v>
      </c>
      <c r="G90" t="s">
        <v>386</v>
      </c>
      <c r="H90" t="s">
        <v>277</v>
      </c>
      <c r="I90" t="s">
        <v>277</v>
      </c>
      <c r="K90">
        <v>30</v>
      </c>
      <c r="L90">
        <v>30</v>
      </c>
      <c r="O90">
        <v>2</v>
      </c>
      <c r="P90">
        <v>9069</v>
      </c>
      <c r="Q90">
        <v>9355</v>
      </c>
      <c r="R90">
        <v>286</v>
      </c>
      <c r="S90">
        <v>4</v>
      </c>
      <c r="T90" t="s">
        <v>756</v>
      </c>
      <c r="U90">
        <v>185</v>
      </c>
      <c r="V90">
        <v>188</v>
      </c>
      <c r="W90">
        <v>3</v>
      </c>
      <c r="X90">
        <v>30000</v>
      </c>
      <c r="Y90">
        <v>90</v>
      </c>
      <c r="AB90">
        <v>0</v>
      </c>
      <c r="AC90">
        <v>1</v>
      </c>
      <c r="AD90">
        <v>100000</v>
      </c>
      <c r="AE90">
        <v>100</v>
      </c>
      <c r="AF90">
        <v>2</v>
      </c>
      <c r="AG90">
        <v>50000</v>
      </c>
      <c r="AH90">
        <v>100</v>
      </c>
      <c r="AK90">
        <v>0</v>
      </c>
      <c r="AM90">
        <v>60000</v>
      </c>
      <c r="AN90">
        <v>0</v>
      </c>
      <c r="AO90">
        <v>2</v>
      </c>
      <c r="AP90">
        <v>120000</v>
      </c>
      <c r="AQ90">
        <v>240</v>
      </c>
      <c r="AU90" t="s">
        <v>757</v>
      </c>
      <c r="AV90" t="s">
        <v>758</v>
      </c>
      <c r="AX90" t="s">
        <v>759</v>
      </c>
      <c r="AY90" t="s">
        <v>383</v>
      </c>
      <c r="AZ90">
        <v>0</v>
      </c>
    </row>
    <row r="91" spans="1:55">
      <c r="A91" t="s">
        <v>760</v>
      </c>
      <c r="B91" t="s">
        <v>143</v>
      </c>
      <c r="C91">
        <v>101</v>
      </c>
      <c r="D91" t="s">
        <v>761</v>
      </c>
      <c r="E91">
        <v>1</v>
      </c>
      <c r="F91" t="s">
        <v>385</v>
      </c>
      <c r="G91" t="s">
        <v>386</v>
      </c>
      <c r="H91" t="s">
        <v>385</v>
      </c>
      <c r="I91" t="s">
        <v>385</v>
      </c>
      <c r="J91">
        <v>200</v>
      </c>
      <c r="K91">
        <v>30</v>
      </c>
      <c r="L91">
        <v>30</v>
      </c>
      <c r="O91">
        <v>2</v>
      </c>
      <c r="P91">
        <v>6820</v>
      </c>
      <c r="Q91">
        <v>7008</v>
      </c>
      <c r="R91">
        <v>188</v>
      </c>
      <c r="S91">
        <v>4</v>
      </c>
      <c r="T91">
        <v>752</v>
      </c>
      <c r="W91">
        <v>2</v>
      </c>
      <c r="X91">
        <v>120000</v>
      </c>
      <c r="Y91">
        <v>240</v>
      </c>
      <c r="AB91">
        <v>0</v>
      </c>
      <c r="AC91">
        <v>1</v>
      </c>
      <c r="AD91">
        <v>100000</v>
      </c>
      <c r="AE91">
        <v>100</v>
      </c>
      <c r="AH91">
        <v>0</v>
      </c>
      <c r="AK91">
        <v>0</v>
      </c>
      <c r="AN91">
        <v>0</v>
      </c>
      <c r="AO91">
        <v>2</v>
      </c>
      <c r="AP91">
        <v>120000</v>
      </c>
      <c r="AQ91">
        <v>240</v>
      </c>
      <c r="AU91" t="s">
        <v>704</v>
      </c>
      <c r="AV91" t="s">
        <v>762</v>
      </c>
      <c r="AW91" t="s">
        <v>763</v>
      </c>
      <c r="AX91" t="s">
        <v>764</v>
      </c>
      <c r="AY91" t="s">
        <v>383</v>
      </c>
    </row>
    <row r="92" spans="1:55">
      <c r="A92" t="s">
        <v>765</v>
      </c>
      <c r="B92" t="s">
        <v>143</v>
      </c>
      <c r="C92">
        <v>201</v>
      </c>
      <c r="D92" t="s">
        <v>761</v>
      </c>
      <c r="E92">
        <v>1</v>
      </c>
      <c r="F92" t="s">
        <v>400</v>
      </c>
      <c r="G92" t="s">
        <v>408</v>
      </c>
      <c r="H92" t="s">
        <v>400</v>
      </c>
      <c r="I92" t="s">
        <v>400</v>
      </c>
      <c r="K92">
        <v>30</v>
      </c>
      <c r="L92">
        <v>30</v>
      </c>
      <c r="M92">
        <v>132</v>
      </c>
      <c r="O92">
        <v>1</v>
      </c>
      <c r="P92">
        <v>7084</v>
      </c>
      <c r="Q92">
        <v>7084</v>
      </c>
      <c r="R92">
        <v>0</v>
      </c>
      <c r="S92">
        <v>4</v>
      </c>
      <c r="T92">
        <v>0</v>
      </c>
      <c r="W92">
        <v>1</v>
      </c>
      <c r="X92">
        <v>120000</v>
      </c>
      <c r="Y92">
        <v>120</v>
      </c>
      <c r="AB92">
        <v>0</v>
      </c>
      <c r="AC92">
        <v>1</v>
      </c>
      <c r="AD92">
        <v>100000</v>
      </c>
      <c r="AE92">
        <v>100</v>
      </c>
      <c r="AH92">
        <v>0</v>
      </c>
      <c r="AK92">
        <v>0</v>
      </c>
      <c r="AN92">
        <v>0</v>
      </c>
      <c r="AO92">
        <v>1</v>
      </c>
      <c r="AP92">
        <v>120000</v>
      </c>
      <c r="AQ92">
        <v>120</v>
      </c>
      <c r="AU92">
        <v>340</v>
      </c>
      <c r="AV92" t="s">
        <v>766</v>
      </c>
      <c r="AW92" t="s">
        <v>767</v>
      </c>
      <c r="AX92" t="s">
        <v>768</v>
      </c>
      <c r="AY92" t="s">
        <v>522</v>
      </c>
      <c r="AZ92">
        <v>2</v>
      </c>
    </row>
    <row r="93" spans="1:55">
      <c r="A93" t="s">
        <v>769</v>
      </c>
      <c r="B93" t="s">
        <v>143</v>
      </c>
      <c r="C93">
        <v>202</v>
      </c>
      <c r="D93" t="s">
        <v>761</v>
      </c>
      <c r="E93">
        <v>1</v>
      </c>
      <c r="F93" t="s">
        <v>377</v>
      </c>
      <c r="G93" t="s">
        <v>386</v>
      </c>
      <c r="H93" t="s">
        <v>377</v>
      </c>
      <c r="I93" t="s">
        <v>377</v>
      </c>
      <c r="J93" t="s">
        <v>377</v>
      </c>
      <c r="K93">
        <v>30</v>
      </c>
      <c r="L93">
        <v>30</v>
      </c>
      <c r="O93">
        <v>2</v>
      </c>
      <c r="P93">
        <v>7020</v>
      </c>
      <c r="Q93">
        <v>7020</v>
      </c>
      <c r="R93">
        <v>0</v>
      </c>
      <c r="S93">
        <v>4</v>
      </c>
      <c r="T93">
        <v>0</v>
      </c>
      <c r="W93">
        <v>2</v>
      </c>
      <c r="X93">
        <v>120000</v>
      </c>
      <c r="Y93">
        <v>240</v>
      </c>
      <c r="AB93">
        <v>0</v>
      </c>
      <c r="AC93">
        <v>1</v>
      </c>
      <c r="AD93">
        <v>100000</v>
      </c>
      <c r="AE93">
        <v>100</v>
      </c>
      <c r="AH93">
        <v>0</v>
      </c>
      <c r="AK93">
        <v>0</v>
      </c>
      <c r="AN93">
        <v>0</v>
      </c>
      <c r="AO93">
        <v>2</v>
      </c>
      <c r="AP93">
        <v>120000</v>
      </c>
      <c r="AQ93">
        <v>240</v>
      </c>
      <c r="AU93">
        <v>580</v>
      </c>
      <c r="AV93" t="s">
        <v>770</v>
      </c>
      <c r="AW93" t="s">
        <v>596</v>
      </c>
      <c r="AX93" t="s">
        <v>771</v>
      </c>
      <c r="AY93" t="s">
        <v>383</v>
      </c>
      <c r="BA93" s="1">
        <v>46031</v>
      </c>
      <c r="BB93" t="s">
        <v>474</v>
      </c>
      <c r="BC93" t="s">
        <v>475</v>
      </c>
    </row>
    <row r="94" spans="1:55">
      <c r="A94" t="s">
        <v>772</v>
      </c>
      <c r="B94" t="s">
        <v>143</v>
      </c>
      <c r="C94">
        <v>301</v>
      </c>
      <c r="D94" t="s">
        <v>761</v>
      </c>
      <c r="E94">
        <v>1</v>
      </c>
      <c r="F94" t="s">
        <v>552</v>
      </c>
      <c r="G94" t="s">
        <v>408</v>
      </c>
      <c r="H94" t="s">
        <v>552</v>
      </c>
      <c r="I94" t="s">
        <v>552</v>
      </c>
      <c r="K94">
        <v>30</v>
      </c>
      <c r="L94">
        <v>30</v>
      </c>
      <c r="O94">
        <v>2</v>
      </c>
      <c r="P94">
        <v>7716</v>
      </c>
      <c r="Q94">
        <v>7875</v>
      </c>
      <c r="R94">
        <v>159</v>
      </c>
      <c r="S94">
        <v>4</v>
      </c>
      <c r="T94">
        <v>636</v>
      </c>
      <c r="W94">
        <v>2</v>
      </c>
      <c r="X94">
        <v>120000</v>
      </c>
      <c r="Y94">
        <v>240</v>
      </c>
      <c r="AB94">
        <v>0</v>
      </c>
      <c r="AC94">
        <v>1</v>
      </c>
      <c r="AD94">
        <v>100000</v>
      </c>
      <c r="AE94">
        <v>100</v>
      </c>
      <c r="AH94">
        <v>0</v>
      </c>
      <c r="AK94">
        <v>0</v>
      </c>
      <c r="AN94">
        <v>0</v>
      </c>
      <c r="AO94">
        <v>2</v>
      </c>
      <c r="AP94">
        <v>120000</v>
      </c>
      <c r="AQ94">
        <v>240</v>
      </c>
      <c r="AU94" t="s">
        <v>773</v>
      </c>
      <c r="AV94" t="s">
        <v>774</v>
      </c>
      <c r="AX94" t="s">
        <v>775</v>
      </c>
      <c r="AY94" t="s">
        <v>383</v>
      </c>
    </row>
    <row r="95" spans="1:55">
      <c r="A95" t="s">
        <v>776</v>
      </c>
      <c r="B95" t="s">
        <v>143</v>
      </c>
      <c r="C95">
        <v>302</v>
      </c>
      <c r="D95" t="s">
        <v>761</v>
      </c>
      <c r="E95">
        <v>1</v>
      </c>
      <c r="F95" t="s">
        <v>377</v>
      </c>
      <c r="G95" t="s">
        <v>386</v>
      </c>
      <c r="H95" t="s">
        <v>377</v>
      </c>
      <c r="I95" t="s">
        <v>377</v>
      </c>
      <c r="K95">
        <v>30</v>
      </c>
      <c r="L95">
        <v>30</v>
      </c>
      <c r="O95">
        <v>2</v>
      </c>
      <c r="P95">
        <v>1684</v>
      </c>
      <c r="Q95">
        <v>1684</v>
      </c>
      <c r="R95">
        <v>0</v>
      </c>
      <c r="S95">
        <v>4</v>
      </c>
      <c r="T95">
        <v>0</v>
      </c>
      <c r="W95">
        <v>2</v>
      </c>
      <c r="X95">
        <v>120000</v>
      </c>
      <c r="Y95">
        <v>240</v>
      </c>
      <c r="AB95">
        <v>0</v>
      </c>
      <c r="AC95">
        <v>1</v>
      </c>
      <c r="AD95">
        <v>100000</v>
      </c>
      <c r="AE95">
        <v>100</v>
      </c>
      <c r="AH95">
        <v>0</v>
      </c>
      <c r="AI95">
        <v>1</v>
      </c>
      <c r="AJ95">
        <v>150000</v>
      </c>
      <c r="AK95">
        <v>150</v>
      </c>
      <c r="AN95">
        <v>0</v>
      </c>
      <c r="AO95">
        <v>2</v>
      </c>
      <c r="AP95">
        <v>120000</v>
      </c>
      <c r="AQ95">
        <v>240</v>
      </c>
      <c r="AU95">
        <v>730</v>
      </c>
      <c r="AV95" t="s">
        <v>777</v>
      </c>
      <c r="AW95" t="s">
        <v>697</v>
      </c>
      <c r="AX95" t="s">
        <v>778</v>
      </c>
      <c r="AY95" t="s">
        <v>383</v>
      </c>
    </row>
    <row r="96" spans="1:55">
      <c r="A96" t="s">
        <v>779</v>
      </c>
      <c r="B96" t="s">
        <v>143</v>
      </c>
      <c r="C96">
        <v>401</v>
      </c>
      <c r="D96" t="s">
        <v>761</v>
      </c>
      <c r="E96">
        <v>1</v>
      </c>
      <c r="F96" t="s">
        <v>400</v>
      </c>
      <c r="G96" t="s">
        <v>408</v>
      </c>
      <c r="H96" t="s">
        <v>400</v>
      </c>
      <c r="I96" t="s">
        <v>400</v>
      </c>
      <c r="K96">
        <v>30</v>
      </c>
      <c r="L96">
        <v>30</v>
      </c>
      <c r="O96">
        <v>3</v>
      </c>
      <c r="P96">
        <v>7079</v>
      </c>
      <c r="Q96">
        <v>7186</v>
      </c>
      <c r="R96">
        <v>107</v>
      </c>
      <c r="S96">
        <v>4</v>
      </c>
      <c r="T96">
        <v>428</v>
      </c>
      <c r="W96">
        <v>3</v>
      </c>
      <c r="X96">
        <v>120000</v>
      </c>
      <c r="Y96">
        <v>360</v>
      </c>
      <c r="AB96">
        <v>0</v>
      </c>
      <c r="AC96">
        <v>1</v>
      </c>
      <c r="AD96">
        <v>100000</v>
      </c>
      <c r="AE96">
        <v>100</v>
      </c>
      <c r="AH96">
        <v>0</v>
      </c>
      <c r="AK96">
        <v>0</v>
      </c>
      <c r="AN96">
        <v>0</v>
      </c>
      <c r="AO96">
        <v>3</v>
      </c>
      <c r="AP96">
        <v>120000</v>
      </c>
      <c r="AQ96">
        <v>360</v>
      </c>
      <c r="AU96" t="s">
        <v>780</v>
      </c>
      <c r="AV96" t="s">
        <v>781</v>
      </c>
      <c r="AW96" t="s">
        <v>697</v>
      </c>
      <c r="AX96" t="s">
        <v>782</v>
      </c>
      <c r="AY96" t="s">
        <v>383</v>
      </c>
    </row>
    <row r="97" spans="1:65">
      <c r="A97" t="s">
        <v>783</v>
      </c>
      <c r="B97" t="s">
        <v>143</v>
      </c>
      <c r="C97">
        <v>402</v>
      </c>
      <c r="D97" t="s">
        <v>761</v>
      </c>
      <c r="E97">
        <v>1</v>
      </c>
      <c r="F97" t="s">
        <v>400</v>
      </c>
      <c r="G97" t="s">
        <v>386</v>
      </c>
      <c r="H97" t="s">
        <v>400</v>
      </c>
      <c r="I97" t="s">
        <v>400</v>
      </c>
      <c r="K97">
        <v>30</v>
      </c>
      <c r="L97">
        <v>30</v>
      </c>
      <c r="O97">
        <v>2</v>
      </c>
      <c r="P97">
        <v>7599</v>
      </c>
      <c r="Q97">
        <v>7952</v>
      </c>
      <c r="R97">
        <v>353</v>
      </c>
      <c r="S97">
        <v>4</v>
      </c>
      <c r="T97" t="s">
        <v>784</v>
      </c>
      <c r="W97">
        <v>2</v>
      </c>
      <c r="X97">
        <v>120000</v>
      </c>
      <c r="Y97">
        <v>240</v>
      </c>
      <c r="AA97">
        <v>30000</v>
      </c>
      <c r="AB97">
        <v>0</v>
      </c>
      <c r="AC97">
        <v>1</v>
      </c>
      <c r="AD97">
        <v>100000</v>
      </c>
      <c r="AE97">
        <v>100</v>
      </c>
      <c r="AH97">
        <v>0</v>
      </c>
      <c r="AJ97">
        <v>400000</v>
      </c>
      <c r="AK97">
        <v>0</v>
      </c>
      <c r="AM97">
        <v>60000</v>
      </c>
      <c r="AN97">
        <v>0</v>
      </c>
      <c r="AO97">
        <v>2</v>
      </c>
      <c r="AP97">
        <v>120000</v>
      </c>
      <c r="AQ97">
        <v>240</v>
      </c>
      <c r="AU97" t="s">
        <v>785</v>
      </c>
      <c r="AV97" t="s">
        <v>786</v>
      </c>
      <c r="AX97" t="s">
        <v>787</v>
      </c>
      <c r="AY97" t="s">
        <v>383</v>
      </c>
    </row>
    <row r="98" spans="1:65">
      <c r="A98" t="s">
        <v>788</v>
      </c>
      <c r="B98" t="s">
        <v>143</v>
      </c>
      <c r="C98">
        <v>501</v>
      </c>
      <c r="D98" t="s">
        <v>761</v>
      </c>
      <c r="E98">
        <v>1</v>
      </c>
      <c r="F98" t="s">
        <v>789</v>
      </c>
      <c r="G98" t="s">
        <v>408</v>
      </c>
      <c r="H98" t="s">
        <v>789</v>
      </c>
      <c r="I98" t="s">
        <v>789</v>
      </c>
      <c r="K98">
        <v>30</v>
      </c>
      <c r="L98">
        <v>30</v>
      </c>
      <c r="O98">
        <v>2</v>
      </c>
      <c r="P98">
        <v>9831</v>
      </c>
      <c r="Q98">
        <v>10131</v>
      </c>
      <c r="R98">
        <v>300</v>
      </c>
      <c r="S98">
        <v>4</v>
      </c>
      <c r="T98" t="s">
        <v>790</v>
      </c>
      <c r="W98">
        <v>2</v>
      </c>
      <c r="X98">
        <v>100000</v>
      </c>
      <c r="Y98">
        <v>200</v>
      </c>
      <c r="Z98">
        <v>2</v>
      </c>
      <c r="AA98">
        <v>30000</v>
      </c>
      <c r="AB98">
        <v>60</v>
      </c>
      <c r="AC98">
        <v>1</v>
      </c>
      <c r="AD98">
        <v>100000</v>
      </c>
      <c r="AE98">
        <v>100</v>
      </c>
      <c r="AH98">
        <v>0</v>
      </c>
      <c r="AK98">
        <v>0</v>
      </c>
      <c r="AL98">
        <v>2</v>
      </c>
      <c r="AM98">
        <v>60000</v>
      </c>
      <c r="AN98">
        <v>120</v>
      </c>
      <c r="AQ98">
        <v>0</v>
      </c>
      <c r="AU98" t="s">
        <v>791</v>
      </c>
      <c r="AV98" t="s">
        <v>792</v>
      </c>
      <c r="AX98" t="s">
        <v>793</v>
      </c>
      <c r="AY98" t="s">
        <v>383</v>
      </c>
    </row>
    <row r="99" spans="1:65">
      <c r="A99" t="s">
        <v>794</v>
      </c>
      <c r="B99" t="s">
        <v>230</v>
      </c>
      <c r="C99">
        <v>101</v>
      </c>
      <c r="D99" t="s">
        <v>795</v>
      </c>
      <c r="E99">
        <v>1</v>
      </c>
      <c r="F99" t="s">
        <v>552</v>
      </c>
      <c r="G99" t="s">
        <v>445</v>
      </c>
      <c r="H99" t="s">
        <v>552</v>
      </c>
      <c r="I99" t="s">
        <v>552</v>
      </c>
      <c r="J99" t="s">
        <v>552</v>
      </c>
      <c r="K99">
        <v>30</v>
      </c>
      <c r="L99">
        <v>30</v>
      </c>
      <c r="O99">
        <v>2</v>
      </c>
      <c r="P99">
        <v>8.304</v>
      </c>
      <c r="Q99">
        <v>8.304</v>
      </c>
      <c r="R99">
        <v>0</v>
      </c>
      <c r="S99">
        <v>4</v>
      </c>
      <c r="T99">
        <v>0</v>
      </c>
      <c r="W99">
        <v>2</v>
      </c>
      <c r="X99">
        <v>120</v>
      </c>
      <c r="Y99">
        <v>240</v>
      </c>
      <c r="AB99">
        <v>0</v>
      </c>
      <c r="AC99">
        <v>1</v>
      </c>
      <c r="AD99">
        <v>100</v>
      </c>
      <c r="AE99">
        <v>100</v>
      </c>
      <c r="AH99">
        <v>0</v>
      </c>
      <c r="AK99">
        <v>0</v>
      </c>
      <c r="AL99">
        <v>0</v>
      </c>
      <c r="AM99">
        <v>60</v>
      </c>
      <c r="AN99">
        <v>0</v>
      </c>
      <c r="AO99">
        <v>2</v>
      </c>
      <c r="AP99">
        <v>120</v>
      </c>
      <c r="AQ99">
        <v>240</v>
      </c>
      <c r="AT99">
        <v>0</v>
      </c>
      <c r="AU99">
        <v>580</v>
      </c>
      <c r="AV99" t="s">
        <v>796</v>
      </c>
      <c r="AW99" t="s">
        <v>797</v>
      </c>
      <c r="AX99" t="s">
        <v>798</v>
      </c>
      <c r="AY99" t="s">
        <v>383</v>
      </c>
      <c r="AZ99">
        <v>0</v>
      </c>
    </row>
    <row r="100" spans="1:65">
      <c r="A100" t="s">
        <v>799</v>
      </c>
      <c r="B100" t="s">
        <v>230</v>
      </c>
      <c r="C100">
        <v>201</v>
      </c>
      <c r="D100" t="s">
        <v>795</v>
      </c>
      <c r="E100">
        <v>1</v>
      </c>
      <c r="F100" t="s">
        <v>445</v>
      </c>
      <c r="G100" t="s">
        <v>445</v>
      </c>
      <c r="H100" t="s">
        <v>445</v>
      </c>
      <c r="I100" t="s">
        <v>445</v>
      </c>
      <c r="K100">
        <v>30</v>
      </c>
      <c r="L100">
        <v>30</v>
      </c>
      <c r="O100">
        <v>1</v>
      </c>
      <c r="P100">
        <v>5.386</v>
      </c>
      <c r="Q100">
        <v>5.513</v>
      </c>
      <c r="R100">
        <v>127</v>
      </c>
      <c r="S100">
        <v>4</v>
      </c>
      <c r="T100">
        <v>508</v>
      </c>
      <c r="W100">
        <v>1</v>
      </c>
      <c r="X100">
        <v>100</v>
      </c>
      <c r="Y100">
        <v>100</v>
      </c>
      <c r="Z100">
        <v>1</v>
      </c>
      <c r="AA100">
        <v>30</v>
      </c>
      <c r="AB100">
        <v>30</v>
      </c>
      <c r="AC100">
        <v>1</v>
      </c>
      <c r="AD100">
        <v>100</v>
      </c>
      <c r="AE100">
        <v>100</v>
      </c>
      <c r="AH100">
        <v>0</v>
      </c>
      <c r="AK100">
        <v>0</v>
      </c>
      <c r="AL100">
        <v>0</v>
      </c>
      <c r="AM100">
        <v>60</v>
      </c>
      <c r="AN100">
        <v>0</v>
      </c>
      <c r="AO100">
        <v>1</v>
      </c>
      <c r="AP100">
        <v>50</v>
      </c>
      <c r="AQ100">
        <v>50</v>
      </c>
      <c r="AU100">
        <v>788</v>
      </c>
      <c r="AV100" t="s">
        <v>800</v>
      </c>
      <c r="AX100" t="s">
        <v>801</v>
      </c>
      <c r="AY100" t="s">
        <v>383</v>
      </c>
      <c r="AZ100">
        <v>0</v>
      </c>
    </row>
    <row r="101" spans="1:65">
      <c r="A101" t="s">
        <v>802</v>
      </c>
      <c r="B101" t="s">
        <v>230</v>
      </c>
      <c r="C101">
        <v>202</v>
      </c>
      <c r="D101" t="s">
        <v>795</v>
      </c>
      <c r="E101">
        <v>1</v>
      </c>
      <c r="F101" t="s">
        <v>395</v>
      </c>
      <c r="G101" t="s">
        <v>552</v>
      </c>
      <c r="H101" t="s">
        <v>395</v>
      </c>
      <c r="I101" t="s">
        <v>395</v>
      </c>
      <c r="K101">
        <v>30</v>
      </c>
      <c r="L101">
        <v>30</v>
      </c>
      <c r="O101">
        <v>1</v>
      </c>
      <c r="P101">
        <v>4.228</v>
      </c>
      <c r="Q101">
        <v>4.38</v>
      </c>
      <c r="R101">
        <v>152</v>
      </c>
      <c r="S101">
        <v>4</v>
      </c>
      <c r="T101">
        <v>608</v>
      </c>
      <c r="W101">
        <v>1</v>
      </c>
      <c r="X101">
        <v>120</v>
      </c>
      <c r="Y101">
        <v>120</v>
      </c>
      <c r="Z101">
        <v>1</v>
      </c>
      <c r="AA101">
        <v>60</v>
      </c>
      <c r="AB101">
        <v>60</v>
      </c>
      <c r="AC101">
        <v>1</v>
      </c>
      <c r="AD101">
        <v>100</v>
      </c>
      <c r="AE101">
        <v>100</v>
      </c>
      <c r="AH101">
        <v>0</v>
      </c>
      <c r="AI101">
        <v>1</v>
      </c>
      <c r="AJ101">
        <v>150000</v>
      </c>
      <c r="AK101">
        <v>150</v>
      </c>
      <c r="AL101">
        <v>1</v>
      </c>
      <c r="AM101">
        <v>60</v>
      </c>
      <c r="AN101">
        <v>60</v>
      </c>
      <c r="AO101">
        <v>1</v>
      </c>
      <c r="AP101">
        <v>50</v>
      </c>
      <c r="AQ101">
        <v>50</v>
      </c>
      <c r="AU101" t="s">
        <v>803</v>
      </c>
      <c r="AV101" t="s">
        <v>804</v>
      </c>
      <c r="AX101" t="s">
        <v>805</v>
      </c>
      <c r="AY101" t="s">
        <v>383</v>
      </c>
      <c r="AZ101">
        <v>0</v>
      </c>
    </row>
    <row r="102" spans="1:65">
      <c r="A102" t="s">
        <v>806</v>
      </c>
      <c r="B102" t="s">
        <v>230</v>
      </c>
      <c r="C102">
        <v>301</v>
      </c>
      <c r="D102" t="s">
        <v>795</v>
      </c>
      <c r="E102">
        <v>1</v>
      </c>
      <c r="F102" t="s">
        <v>445</v>
      </c>
      <c r="G102" t="s">
        <v>445</v>
      </c>
      <c r="H102" t="s">
        <v>445</v>
      </c>
      <c r="I102" t="s">
        <v>445</v>
      </c>
      <c r="K102">
        <v>30</v>
      </c>
      <c r="L102">
        <v>30</v>
      </c>
      <c r="O102">
        <v>1</v>
      </c>
      <c r="P102">
        <v>4.281</v>
      </c>
      <c r="Q102">
        <v>4.658</v>
      </c>
      <c r="R102">
        <v>377</v>
      </c>
      <c r="S102">
        <v>4</v>
      </c>
      <c r="T102" t="s">
        <v>807</v>
      </c>
      <c r="W102">
        <v>1</v>
      </c>
      <c r="X102">
        <v>120</v>
      </c>
      <c r="Y102">
        <v>120</v>
      </c>
      <c r="Z102">
        <v>1</v>
      </c>
      <c r="AA102">
        <v>60</v>
      </c>
      <c r="AB102">
        <v>60</v>
      </c>
      <c r="AC102">
        <v>1</v>
      </c>
      <c r="AD102">
        <v>100</v>
      </c>
      <c r="AE102">
        <v>100</v>
      </c>
      <c r="AH102">
        <v>0</v>
      </c>
      <c r="AK102">
        <v>0</v>
      </c>
      <c r="AL102">
        <v>1</v>
      </c>
      <c r="AM102">
        <v>60</v>
      </c>
      <c r="AN102">
        <v>60</v>
      </c>
      <c r="AO102">
        <v>1</v>
      </c>
      <c r="AP102">
        <v>50</v>
      </c>
      <c r="AQ102">
        <v>50</v>
      </c>
      <c r="AU102" t="s">
        <v>808</v>
      </c>
      <c r="AV102" t="s">
        <v>809</v>
      </c>
      <c r="AX102" t="s">
        <v>810</v>
      </c>
      <c r="AY102" t="s">
        <v>383</v>
      </c>
      <c r="AZ102">
        <v>0</v>
      </c>
    </row>
    <row r="103" spans="1:65">
      <c r="A103" t="s">
        <v>811</v>
      </c>
      <c r="B103" t="s">
        <v>230</v>
      </c>
      <c r="C103">
        <v>302</v>
      </c>
      <c r="D103" t="s">
        <v>795</v>
      </c>
      <c r="E103">
        <v>1</v>
      </c>
      <c r="F103" t="s">
        <v>552</v>
      </c>
      <c r="G103" t="s">
        <v>552</v>
      </c>
      <c r="H103" t="s">
        <v>552</v>
      </c>
      <c r="I103" t="s">
        <v>552</v>
      </c>
      <c r="K103">
        <v>30</v>
      </c>
      <c r="L103">
        <v>30</v>
      </c>
      <c r="O103">
        <v>2</v>
      </c>
      <c r="P103">
        <v>5220</v>
      </c>
      <c r="Q103">
        <v>5544</v>
      </c>
      <c r="R103">
        <v>324</v>
      </c>
      <c r="S103">
        <v>4</v>
      </c>
      <c r="T103" t="s">
        <v>812</v>
      </c>
      <c r="W103">
        <v>2</v>
      </c>
      <c r="X103">
        <v>100</v>
      </c>
      <c r="Y103">
        <v>200</v>
      </c>
      <c r="Z103">
        <v>2</v>
      </c>
      <c r="AA103">
        <v>30</v>
      </c>
      <c r="AB103">
        <v>60</v>
      </c>
      <c r="AC103">
        <v>1</v>
      </c>
      <c r="AD103">
        <v>100</v>
      </c>
      <c r="AE103">
        <v>100</v>
      </c>
      <c r="AH103">
        <v>0</v>
      </c>
      <c r="AK103">
        <v>0</v>
      </c>
      <c r="AL103">
        <v>2</v>
      </c>
      <c r="AM103">
        <v>60</v>
      </c>
      <c r="AN103">
        <v>120</v>
      </c>
      <c r="AO103">
        <v>1</v>
      </c>
      <c r="AP103">
        <v>50</v>
      </c>
      <c r="AQ103">
        <v>50</v>
      </c>
      <c r="AU103" t="s">
        <v>813</v>
      </c>
      <c r="AV103" t="s">
        <v>814</v>
      </c>
      <c r="AW103" t="s">
        <v>706</v>
      </c>
      <c r="AX103" t="s">
        <v>815</v>
      </c>
      <c r="AY103" t="s">
        <v>383</v>
      </c>
      <c r="AZ103">
        <v>0</v>
      </c>
    </row>
    <row r="104" spans="1:65">
      <c r="A104" t="s">
        <v>816</v>
      </c>
      <c r="B104" t="s">
        <v>230</v>
      </c>
      <c r="C104">
        <v>401</v>
      </c>
      <c r="D104" t="s">
        <v>795</v>
      </c>
      <c r="E104">
        <v>1</v>
      </c>
      <c r="F104" t="s">
        <v>395</v>
      </c>
      <c r="G104" t="s">
        <v>445</v>
      </c>
      <c r="H104" t="s">
        <v>395</v>
      </c>
      <c r="I104" t="s">
        <v>395</v>
      </c>
      <c r="K104">
        <v>30</v>
      </c>
      <c r="L104">
        <v>30</v>
      </c>
      <c r="O104">
        <v>1</v>
      </c>
      <c r="P104">
        <v>6982</v>
      </c>
      <c r="Q104">
        <v>7205</v>
      </c>
      <c r="R104">
        <v>223</v>
      </c>
      <c r="S104">
        <v>4</v>
      </c>
      <c r="T104">
        <v>892</v>
      </c>
      <c r="W104">
        <v>1</v>
      </c>
      <c r="X104">
        <v>100</v>
      </c>
      <c r="Y104">
        <v>100</v>
      </c>
      <c r="Z104">
        <v>1</v>
      </c>
      <c r="AA104">
        <v>30</v>
      </c>
      <c r="AB104">
        <v>30</v>
      </c>
      <c r="AC104">
        <v>1</v>
      </c>
      <c r="AD104">
        <v>100</v>
      </c>
      <c r="AE104">
        <v>100</v>
      </c>
      <c r="AH104">
        <v>0</v>
      </c>
      <c r="AK104">
        <v>0</v>
      </c>
      <c r="AM104">
        <v>60</v>
      </c>
      <c r="AN104">
        <v>0</v>
      </c>
      <c r="AO104">
        <v>1</v>
      </c>
      <c r="AP104">
        <v>50</v>
      </c>
      <c r="AQ104">
        <v>50</v>
      </c>
      <c r="AU104" t="s">
        <v>817</v>
      </c>
      <c r="AV104" t="s">
        <v>818</v>
      </c>
      <c r="AX104" t="s">
        <v>819</v>
      </c>
      <c r="AY104" t="s">
        <v>383</v>
      </c>
      <c r="AZ104">
        <v>0</v>
      </c>
    </row>
    <row r="105" spans="1:65">
      <c r="A105" t="s">
        <v>820</v>
      </c>
      <c r="B105" t="s">
        <v>230</v>
      </c>
      <c r="C105">
        <v>402</v>
      </c>
      <c r="D105" t="s">
        <v>795</v>
      </c>
      <c r="E105">
        <v>1</v>
      </c>
      <c r="G105" t="s">
        <v>552</v>
      </c>
      <c r="K105">
        <v>30</v>
      </c>
      <c r="L105">
        <v>30</v>
      </c>
      <c r="P105">
        <v>3850</v>
      </c>
      <c r="Q105">
        <v>3850</v>
      </c>
      <c r="R105">
        <v>0</v>
      </c>
      <c r="S105">
        <v>4</v>
      </c>
      <c r="T105">
        <v>0</v>
      </c>
      <c r="X105">
        <v>120</v>
      </c>
      <c r="Y105">
        <v>0</v>
      </c>
      <c r="AA105">
        <v>60</v>
      </c>
      <c r="AB105">
        <v>0</v>
      </c>
      <c r="AD105">
        <v>100</v>
      </c>
      <c r="AE105">
        <v>0</v>
      </c>
      <c r="AH105">
        <v>0</v>
      </c>
      <c r="AK105">
        <v>0</v>
      </c>
      <c r="AM105">
        <v>60</v>
      </c>
      <c r="AN105">
        <v>0</v>
      </c>
      <c r="AP105">
        <v>50</v>
      </c>
      <c r="AQ105">
        <v>0</v>
      </c>
      <c r="AU105">
        <v>0</v>
      </c>
      <c r="AV105">
        <v>0</v>
      </c>
      <c r="AW105" t="s">
        <v>821</v>
      </c>
      <c r="AY105" t="s">
        <v>822</v>
      </c>
      <c r="AZ105">
        <v>0</v>
      </c>
    </row>
    <row r="106" spans="1:65">
      <c r="A106" t="s">
        <v>823</v>
      </c>
      <c r="B106" t="s">
        <v>230</v>
      </c>
      <c r="C106">
        <v>501</v>
      </c>
      <c r="D106" t="s">
        <v>795</v>
      </c>
      <c r="E106">
        <v>1</v>
      </c>
      <c r="F106" t="s">
        <v>445</v>
      </c>
      <c r="G106" t="s">
        <v>445</v>
      </c>
      <c r="H106" t="s">
        <v>445</v>
      </c>
      <c r="I106" t="s">
        <v>445</v>
      </c>
      <c r="K106">
        <v>30</v>
      </c>
      <c r="L106">
        <v>30</v>
      </c>
      <c r="O106">
        <v>1</v>
      </c>
      <c r="P106">
        <v>4199</v>
      </c>
      <c r="Q106">
        <v>4304</v>
      </c>
      <c r="R106">
        <v>105</v>
      </c>
      <c r="S106">
        <v>4</v>
      </c>
      <c r="T106">
        <v>420</v>
      </c>
      <c r="W106">
        <v>1</v>
      </c>
      <c r="X106">
        <v>120</v>
      </c>
      <c r="Y106">
        <v>120</v>
      </c>
      <c r="Z106">
        <v>1</v>
      </c>
      <c r="AA106">
        <v>60</v>
      </c>
      <c r="AB106">
        <v>60</v>
      </c>
      <c r="AC106">
        <v>1</v>
      </c>
      <c r="AD106">
        <v>100</v>
      </c>
      <c r="AE106">
        <v>100</v>
      </c>
      <c r="AH106">
        <v>0</v>
      </c>
      <c r="AK106">
        <v>0</v>
      </c>
      <c r="AL106">
        <v>1</v>
      </c>
      <c r="AM106">
        <v>60</v>
      </c>
      <c r="AN106">
        <v>60</v>
      </c>
      <c r="AO106">
        <v>1</v>
      </c>
      <c r="AP106">
        <v>50</v>
      </c>
      <c r="AQ106">
        <v>50</v>
      </c>
      <c r="AU106">
        <v>810</v>
      </c>
      <c r="AV106" t="s">
        <v>824</v>
      </c>
      <c r="AX106" t="s">
        <v>825</v>
      </c>
      <c r="AY106" t="s">
        <v>383</v>
      </c>
      <c r="AZ106">
        <v>0</v>
      </c>
      <c r="BI106">
        <v>2433</v>
      </c>
      <c r="BJ106">
        <v>2542</v>
      </c>
      <c r="BK106">
        <v>109</v>
      </c>
      <c r="BL106">
        <v>3.8</v>
      </c>
      <c r="BM106">
        <v>414.2</v>
      </c>
    </row>
    <row r="107" spans="1:65">
      <c r="A107" t="s">
        <v>826</v>
      </c>
      <c r="B107" t="s">
        <v>230</v>
      </c>
      <c r="C107">
        <v>502</v>
      </c>
      <c r="D107" t="s">
        <v>795</v>
      </c>
      <c r="E107">
        <v>1</v>
      </c>
      <c r="F107" t="s">
        <v>445</v>
      </c>
      <c r="G107" t="s">
        <v>552</v>
      </c>
      <c r="H107" t="s">
        <v>445</v>
      </c>
      <c r="I107" t="s">
        <v>445</v>
      </c>
      <c r="J107">
        <v>500</v>
      </c>
      <c r="K107">
        <v>30</v>
      </c>
      <c r="L107">
        <v>30</v>
      </c>
      <c r="O107">
        <v>1</v>
      </c>
      <c r="P107">
        <v>3794</v>
      </c>
      <c r="Q107">
        <v>4028</v>
      </c>
      <c r="R107">
        <v>234</v>
      </c>
      <c r="S107">
        <v>4</v>
      </c>
      <c r="T107">
        <v>936</v>
      </c>
      <c r="W107">
        <v>1</v>
      </c>
      <c r="X107">
        <v>120</v>
      </c>
      <c r="Y107">
        <v>120</v>
      </c>
      <c r="AB107">
        <v>0</v>
      </c>
      <c r="AC107">
        <v>1</v>
      </c>
      <c r="AD107">
        <v>100</v>
      </c>
      <c r="AE107">
        <v>100</v>
      </c>
      <c r="AH107">
        <v>0</v>
      </c>
      <c r="AK107">
        <v>0</v>
      </c>
      <c r="AN107">
        <v>0</v>
      </c>
      <c r="AO107">
        <v>1</v>
      </c>
      <c r="AP107">
        <v>150</v>
      </c>
      <c r="AQ107">
        <v>150</v>
      </c>
      <c r="AU107" t="s">
        <v>827</v>
      </c>
      <c r="AV107" t="s">
        <v>828</v>
      </c>
      <c r="AW107" t="s">
        <v>829</v>
      </c>
      <c r="AY107" t="s">
        <v>393</v>
      </c>
      <c r="AZ107" t="s">
        <v>830</v>
      </c>
    </row>
    <row r="108" spans="1:65">
      <c r="A108" t="s">
        <v>831</v>
      </c>
      <c r="B108" t="s">
        <v>153</v>
      </c>
      <c r="C108">
        <v>101</v>
      </c>
      <c r="D108" t="s">
        <v>515</v>
      </c>
      <c r="E108">
        <v>1</v>
      </c>
      <c r="F108" t="s">
        <v>445</v>
      </c>
      <c r="G108" t="s">
        <v>376</v>
      </c>
      <c r="H108" t="s">
        <v>445</v>
      </c>
      <c r="I108" t="s">
        <v>445</v>
      </c>
      <c r="K108">
        <v>30</v>
      </c>
      <c r="L108">
        <v>30</v>
      </c>
      <c r="O108">
        <v>1</v>
      </c>
      <c r="P108">
        <v>5639</v>
      </c>
      <c r="Q108">
        <v>5746</v>
      </c>
      <c r="R108">
        <v>107</v>
      </c>
      <c r="S108">
        <v>4000</v>
      </c>
      <c r="T108">
        <v>428</v>
      </c>
      <c r="W108">
        <v>1</v>
      </c>
      <c r="X108">
        <v>120000</v>
      </c>
      <c r="Y108">
        <v>120</v>
      </c>
      <c r="AA108">
        <v>30000</v>
      </c>
      <c r="AB108">
        <v>0</v>
      </c>
      <c r="AC108">
        <v>1</v>
      </c>
      <c r="AD108">
        <v>100000</v>
      </c>
      <c r="AE108">
        <v>100</v>
      </c>
      <c r="AF108">
        <v>1</v>
      </c>
      <c r="AG108">
        <v>50000</v>
      </c>
      <c r="AH108">
        <v>50</v>
      </c>
      <c r="AK108">
        <v>0</v>
      </c>
      <c r="AN108">
        <v>0</v>
      </c>
      <c r="AO108">
        <v>1</v>
      </c>
      <c r="AP108">
        <v>120000</v>
      </c>
      <c r="AQ108">
        <v>120</v>
      </c>
      <c r="AU108">
        <v>818</v>
      </c>
      <c r="AV108" t="s">
        <v>832</v>
      </c>
      <c r="AX108" t="s">
        <v>833</v>
      </c>
      <c r="AY108" t="s">
        <v>383</v>
      </c>
      <c r="AZ108">
        <v>0</v>
      </c>
    </row>
    <row r="109" spans="1:65">
      <c r="A109" t="s">
        <v>834</v>
      </c>
      <c r="B109" t="s">
        <v>153</v>
      </c>
      <c r="C109">
        <v>201</v>
      </c>
      <c r="D109" t="s">
        <v>515</v>
      </c>
      <c r="E109">
        <v>1</v>
      </c>
      <c r="F109" t="s">
        <v>376</v>
      </c>
      <c r="G109" t="s">
        <v>377</v>
      </c>
      <c r="H109" t="s">
        <v>376</v>
      </c>
      <c r="I109" t="s">
        <v>376</v>
      </c>
      <c r="K109">
        <v>30</v>
      </c>
      <c r="L109">
        <v>30</v>
      </c>
      <c r="O109">
        <v>1</v>
      </c>
      <c r="P109">
        <v>6639</v>
      </c>
      <c r="Q109">
        <v>6675</v>
      </c>
      <c r="R109">
        <v>36</v>
      </c>
      <c r="S109">
        <v>4000</v>
      </c>
      <c r="T109">
        <v>144</v>
      </c>
      <c r="W109">
        <v>1</v>
      </c>
      <c r="X109">
        <v>120000</v>
      </c>
      <c r="Y109">
        <v>120</v>
      </c>
      <c r="AB109">
        <v>0</v>
      </c>
      <c r="AC109">
        <v>1</v>
      </c>
      <c r="AD109">
        <v>100000</v>
      </c>
      <c r="AE109">
        <v>100</v>
      </c>
      <c r="AG109">
        <v>50000</v>
      </c>
      <c r="AH109">
        <v>0</v>
      </c>
      <c r="AI109">
        <v>1</v>
      </c>
      <c r="AJ109">
        <v>100000</v>
      </c>
      <c r="AK109">
        <v>100</v>
      </c>
      <c r="AN109">
        <v>0</v>
      </c>
      <c r="AO109">
        <v>1</v>
      </c>
      <c r="AP109">
        <v>120000</v>
      </c>
      <c r="AQ109">
        <v>120</v>
      </c>
      <c r="AU109">
        <v>584</v>
      </c>
      <c r="AV109" t="s">
        <v>835</v>
      </c>
      <c r="AW109" t="s">
        <v>829</v>
      </c>
      <c r="AY109" t="s">
        <v>393</v>
      </c>
      <c r="AZ109" t="s">
        <v>836</v>
      </c>
    </row>
    <row r="110" spans="1:65">
      <c r="A110" t="s">
        <v>837</v>
      </c>
      <c r="B110" t="s">
        <v>153</v>
      </c>
      <c r="C110">
        <v>202</v>
      </c>
      <c r="D110" t="s">
        <v>515</v>
      </c>
      <c r="E110">
        <v>1</v>
      </c>
      <c r="F110" t="s">
        <v>391</v>
      </c>
      <c r="G110" t="s">
        <v>391</v>
      </c>
      <c r="H110" t="s">
        <v>391</v>
      </c>
      <c r="I110" t="s">
        <v>391</v>
      </c>
      <c r="J110" t="s">
        <v>391</v>
      </c>
      <c r="K110">
        <v>30</v>
      </c>
      <c r="L110">
        <v>30</v>
      </c>
      <c r="O110">
        <v>2</v>
      </c>
      <c r="P110">
        <v>11746</v>
      </c>
      <c r="Q110">
        <v>11746</v>
      </c>
      <c r="R110">
        <v>0</v>
      </c>
      <c r="S110">
        <v>4000</v>
      </c>
      <c r="T110">
        <v>0</v>
      </c>
      <c r="W110">
        <v>2</v>
      </c>
      <c r="X110">
        <v>120000</v>
      </c>
      <c r="Y110">
        <v>240</v>
      </c>
      <c r="AB110">
        <v>0</v>
      </c>
      <c r="AC110">
        <v>1</v>
      </c>
      <c r="AD110">
        <v>100000</v>
      </c>
      <c r="AE110">
        <v>100</v>
      </c>
      <c r="AF110">
        <v>2</v>
      </c>
      <c r="AG110">
        <v>60000</v>
      </c>
      <c r="AH110">
        <v>120</v>
      </c>
      <c r="AK110">
        <v>0</v>
      </c>
      <c r="AM110">
        <v>60000</v>
      </c>
      <c r="AN110">
        <v>0</v>
      </c>
      <c r="AO110">
        <v>2</v>
      </c>
      <c r="AP110">
        <v>120000</v>
      </c>
      <c r="AQ110">
        <v>240</v>
      </c>
      <c r="AU110">
        <v>700</v>
      </c>
      <c r="AV110" t="s">
        <v>838</v>
      </c>
      <c r="AW110" t="s">
        <v>839</v>
      </c>
      <c r="AX110" t="s">
        <v>840</v>
      </c>
      <c r="AY110" t="s">
        <v>383</v>
      </c>
      <c r="AZ110">
        <v>0</v>
      </c>
    </row>
    <row r="111" spans="1:65">
      <c r="A111" t="s">
        <v>841</v>
      </c>
      <c r="B111" t="s">
        <v>153</v>
      </c>
      <c r="C111">
        <v>301</v>
      </c>
      <c r="D111" t="s">
        <v>515</v>
      </c>
      <c r="E111">
        <v>1</v>
      </c>
      <c r="F111" t="s">
        <v>552</v>
      </c>
      <c r="G111" t="s">
        <v>377</v>
      </c>
      <c r="H111" t="s">
        <v>552</v>
      </c>
      <c r="I111" t="s">
        <v>552</v>
      </c>
      <c r="K111">
        <v>30</v>
      </c>
      <c r="L111">
        <v>30</v>
      </c>
      <c r="O111">
        <v>1</v>
      </c>
      <c r="P111">
        <v>3902</v>
      </c>
      <c r="Q111">
        <v>3902</v>
      </c>
      <c r="R111">
        <v>0</v>
      </c>
      <c r="S111">
        <v>4000</v>
      </c>
      <c r="T111">
        <v>0</v>
      </c>
      <c r="W111">
        <v>1</v>
      </c>
      <c r="X111">
        <v>120000</v>
      </c>
      <c r="Y111">
        <v>120</v>
      </c>
      <c r="AB111">
        <v>0</v>
      </c>
      <c r="AC111">
        <v>1</v>
      </c>
      <c r="AD111">
        <v>100000</v>
      </c>
      <c r="AE111">
        <v>100</v>
      </c>
      <c r="AF111">
        <v>1</v>
      </c>
      <c r="AG111">
        <v>50000</v>
      </c>
      <c r="AH111">
        <v>50</v>
      </c>
      <c r="AK111">
        <v>0</v>
      </c>
      <c r="AN111">
        <v>0</v>
      </c>
      <c r="AO111">
        <v>1</v>
      </c>
      <c r="AP111">
        <v>120000</v>
      </c>
      <c r="AQ111">
        <v>120</v>
      </c>
      <c r="AU111">
        <v>390</v>
      </c>
      <c r="AV111" t="s">
        <v>842</v>
      </c>
      <c r="AX111" t="s">
        <v>843</v>
      </c>
      <c r="AY111" t="s">
        <v>383</v>
      </c>
      <c r="AZ111">
        <v>0</v>
      </c>
    </row>
    <row r="112" spans="1:65">
      <c r="A112" t="s">
        <v>844</v>
      </c>
      <c r="B112" t="s">
        <v>153</v>
      </c>
      <c r="C112">
        <v>302</v>
      </c>
      <c r="D112" t="s">
        <v>515</v>
      </c>
      <c r="E112">
        <v>1</v>
      </c>
      <c r="F112" t="s">
        <v>408</v>
      </c>
      <c r="G112" t="s">
        <v>391</v>
      </c>
      <c r="H112" t="s">
        <v>408</v>
      </c>
      <c r="I112" t="s">
        <v>408</v>
      </c>
      <c r="K112">
        <v>30</v>
      </c>
      <c r="L112">
        <v>30</v>
      </c>
      <c r="O112">
        <v>1</v>
      </c>
      <c r="P112">
        <v>6360</v>
      </c>
      <c r="Q112">
        <v>6481</v>
      </c>
      <c r="R112">
        <v>121</v>
      </c>
      <c r="S112">
        <v>4000</v>
      </c>
      <c r="T112">
        <v>484</v>
      </c>
      <c r="W112">
        <v>1</v>
      </c>
      <c r="X112">
        <v>90000</v>
      </c>
      <c r="Y112">
        <v>90</v>
      </c>
      <c r="Z112">
        <v>1</v>
      </c>
      <c r="AA112">
        <v>30000</v>
      </c>
      <c r="AB112">
        <v>30</v>
      </c>
      <c r="AC112">
        <v>1</v>
      </c>
      <c r="AD112">
        <v>100000</v>
      </c>
      <c r="AE112">
        <v>100</v>
      </c>
      <c r="AF112">
        <v>1</v>
      </c>
      <c r="AG112">
        <v>50000</v>
      </c>
      <c r="AH112">
        <v>50</v>
      </c>
      <c r="AK112">
        <v>0</v>
      </c>
      <c r="AL112">
        <v>1</v>
      </c>
      <c r="AM112">
        <v>60000</v>
      </c>
      <c r="AN112">
        <v>60</v>
      </c>
      <c r="AQ112">
        <v>0</v>
      </c>
      <c r="AU112">
        <v>814</v>
      </c>
      <c r="AV112" t="s">
        <v>581</v>
      </c>
      <c r="AX112" t="s">
        <v>582</v>
      </c>
      <c r="AY112" t="s">
        <v>383</v>
      </c>
      <c r="AZ112">
        <v>0</v>
      </c>
    </row>
    <row r="113" spans="1:52">
      <c r="A113" t="s">
        <v>845</v>
      </c>
      <c r="B113" t="s">
        <v>153</v>
      </c>
      <c r="C113">
        <v>401</v>
      </c>
      <c r="D113" t="s">
        <v>515</v>
      </c>
      <c r="E113">
        <v>1</v>
      </c>
      <c r="F113" t="s">
        <v>395</v>
      </c>
      <c r="G113" t="s">
        <v>377</v>
      </c>
      <c r="H113" t="s">
        <v>395</v>
      </c>
      <c r="I113" t="s">
        <v>395</v>
      </c>
      <c r="K113">
        <v>30</v>
      </c>
      <c r="L113">
        <v>30</v>
      </c>
      <c r="O113">
        <v>1</v>
      </c>
      <c r="P113">
        <v>5358</v>
      </c>
      <c r="Q113">
        <v>5437</v>
      </c>
      <c r="R113">
        <v>79</v>
      </c>
      <c r="S113">
        <v>4000</v>
      </c>
      <c r="T113">
        <v>316</v>
      </c>
      <c r="W113">
        <v>1</v>
      </c>
      <c r="X113">
        <v>120000</v>
      </c>
      <c r="Y113">
        <v>120</v>
      </c>
      <c r="AB113">
        <v>0</v>
      </c>
      <c r="AC113">
        <v>1</v>
      </c>
      <c r="AD113">
        <v>100000</v>
      </c>
      <c r="AE113">
        <v>100</v>
      </c>
      <c r="AG113">
        <v>50000</v>
      </c>
      <c r="AH113">
        <v>0</v>
      </c>
      <c r="AK113">
        <v>0</v>
      </c>
      <c r="AL113">
        <v>0</v>
      </c>
      <c r="AM113">
        <v>60000</v>
      </c>
      <c r="AN113">
        <v>0</v>
      </c>
      <c r="AP113">
        <v>120000</v>
      </c>
      <c r="AQ113">
        <v>0</v>
      </c>
      <c r="AU113">
        <v>536</v>
      </c>
      <c r="AV113" t="s">
        <v>846</v>
      </c>
      <c r="AW113" t="s">
        <v>847</v>
      </c>
      <c r="AX113" t="s">
        <v>848</v>
      </c>
      <c r="AY113" t="s">
        <v>383</v>
      </c>
      <c r="AZ113">
        <v>0</v>
      </c>
    </row>
    <row r="114" spans="1:52">
      <c r="A114" t="s">
        <v>849</v>
      </c>
      <c r="B114" t="s">
        <v>153</v>
      </c>
      <c r="C114">
        <v>402</v>
      </c>
      <c r="D114" t="s">
        <v>515</v>
      </c>
      <c r="E114">
        <v>1</v>
      </c>
      <c r="F114" t="s">
        <v>420</v>
      </c>
      <c r="G114" t="s">
        <v>391</v>
      </c>
      <c r="H114" t="s">
        <v>420</v>
      </c>
      <c r="I114" t="s">
        <v>420</v>
      </c>
      <c r="J114" t="s">
        <v>420</v>
      </c>
      <c r="K114">
        <v>30</v>
      </c>
      <c r="L114">
        <v>30</v>
      </c>
      <c r="P114">
        <v>7096</v>
      </c>
      <c r="Q114">
        <v>7096</v>
      </c>
      <c r="R114">
        <v>0</v>
      </c>
      <c r="S114">
        <v>4000</v>
      </c>
      <c r="T114">
        <v>0</v>
      </c>
      <c r="X114">
        <v>120000</v>
      </c>
      <c r="Y114">
        <v>0</v>
      </c>
      <c r="AB114">
        <v>0</v>
      </c>
      <c r="AD114">
        <v>100000</v>
      </c>
      <c r="AE114">
        <v>0</v>
      </c>
      <c r="AG114">
        <v>50000</v>
      </c>
      <c r="AH114">
        <v>0</v>
      </c>
      <c r="AK114">
        <v>0</v>
      </c>
      <c r="AN114">
        <v>0</v>
      </c>
      <c r="AQ114">
        <v>0</v>
      </c>
      <c r="AU114">
        <v>0</v>
      </c>
      <c r="AV114" t="s">
        <v>850</v>
      </c>
      <c r="AW114" t="s">
        <v>851</v>
      </c>
      <c r="AX114" t="s">
        <v>852</v>
      </c>
      <c r="AY114" t="s">
        <v>383</v>
      </c>
      <c r="AZ114">
        <v>0</v>
      </c>
    </row>
    <row r="115" spans="1:52">
      <c r="A115" t="s">
        <v>853</v>
      </c>
      <c r="B115" t="s">
        <v>153</v>
      </c>
      <c r="C115">
        <v>501</v>
      </c>
      <c r="D115" t="s">
        <v>515</v>
      </c>
      <c r="E115">
        <v>1</v>
      </c>
      <c r="F115" t="s">
        <v>552</v>
      </c>
      <c r="G115" t="s">
        <v>377</v>
      </c>
      <c r="H115" t="s">
        <v>552</v>
      </c>
      <c r="I115" t="s">
        <v>552</v>
      </c>
      <c r="K115">
        <v>30</v>
      </c>
      <c r="L115">
        <v>30</v>
      </c>
      <c r="O115">
        <v>1</v>
      </c>
      <c r="P115">
        <v>10497</v>
      </c>
      <c r="Q115">
        <v>10590</v>
      </c>
      <c r="R115">
        <v>93</v>
      </c>
      <c r="S115">
        <v>4000</v>
      </c>
      <c r="T115">
        <v>372</v>
      </c>
      <c r="W115">
        <v>1</v>
      </c>
      <c r="X115">
        <v>120000</v>
      </c>
      <c r="Y115">
        <v>120</v>
      </c>
      <c r="AB115">
        <v>0</v>
      </c>
      <c r="AC115">
        <v>1</v>
      </c>
      <c r="AD115">
        <v>100000</v>
      </c>
      <c r="AE115">
        <v>100</v>
      </c>
      <c r="AF115">
        <v>1</v>
      </c>
      <c r="AG115">
        <v>50000</v>
      </c>
      <c r="AH115">
        <v>50</v>
      </c>
      <c r="AK115">
        <v>0</v>
      </c>
      <c r="AN115">
        <v>0</v>
      </c>
      <c r="AO115">
        <v>1</v>
      </c>
      <c r="AP115">
        <v>120000</v>
      </c>
      <c r="AQ115">
        <v>120</v>
      </c>
      <c r="AU115">
        <v>762</v>
      </c>
      <c r="AV115" t="s">
        <v>854</v>
      </c>
      <c r="AX115" t="s">
        <v>855</v>
      </c>
      <c r="AY115" t="s">
        <v>383</v>
      </c>
      <c r="AZ115">
        <v>0</v>
      </c>
    </row>
    <row r="116" spans="1:52">
      <c r="A116" t="s">
        <v>856</v>
      </c>
      <c r="B116" t="s">
        <v>153</v>
      </c>
      <c r="C116">
        <v>502</v>
      </c>
      <c r="D116" t="s">
        <v>515</v>
      </c>
      <c r="E116">
        <v>1</v>
      </c>
      <c r="F116" t="s">
        <v>386</v>
      </c>
      <c r="G116" t="s">
        <v>391</v>
      </c>
      <c r="H116" t="s">
        <v>386</v>
      </c>
      <c r="I116" t="s">
        <v>386</v>
      </c>
      <c r="K116">
        <v>30</v>
      </c>
      <c r="L116">
        <v>30</v>
      </c>
      <c r="O116">
        <v>1</v>
      </c>
      <c r="P116">
        <v>6510</v>
      </c>
      <c r="Q116">
        <v>6853</v>
      </c>
      <c r="R116">
        <v>343</v>
      </c>
      <c r="S116">
        <v>4000</v>
      </c>
      <c r="T116" t="s">
        <v>451</v>
      </c>
      <c r="W116">
        <v>1</v>
      </c>
      <c r="X116">
        <v>120000</v>
      </c>
      <c r="Y116">
        <v>120</v>
      </c>
      <c r="AA116">
        <v>30000</v>
      </c>
      <c r="AB116">
        <v>0</v>
      </c>
      <c r="AC116">
        <v>1</v>
      </c>
      <c r="AD116">
        <v>100000</v>
      </c>
      <c r="AE116">
        <v>100</v>
      </c>
      <c r="AF116">
        <v>1</v>
      </c>
      <c r="AG116">
        <v>50000</v>
      </c>
      <c r="AH116">
        <v>50</v>
      </c>
      <c r="AK116">
        <v>0</v>
      </c>
      <c r="AM116">
        <v>60000</v>
      </c>
      <c r="AN116">
        <v>0</v>
      </c>
      <c r="AO116">
        <v>1</v>
      </c>
      <c r="AP116">
        <v>120000</v>
      </c>
      <c r="AQ116">
        <v>120</v>
      </c>
      <c r="AU116" t="s">
        <v>857</v>
      </c>
      <c r="AV116" t="s">
        <v>669</v>
      </c>
      <c r="AX116" t="s">
        <v>670</v>
      </c>
      <c r="AY116" t="s">
        <v>383</v>
      </c>
      <c r="AZ116">
        <v>0</v>
      </c>
    </row>
    <row r="117" spans="1:52">
      <c r="A117" t="s">
        <v>858</v>
      </c>
      <c r="B117" t="s">
        <v>153</v>
      </c>
      <c r="C117">
        <v>601</v>
      </c>
      <c r="D117" t="s">
        <v>515</v>
      </c>
      <c r="E117">
        <v>1</v>
      </c>
      <c r="F117" t="s">
        <v>376</v>
      </c>
      <c r="G117" t="s">
        <v>377</v>
      </c>
      <c r="H117" t="s">
        <v>376</v>
      </c>
      <c r="I117" t="s">
        <v>376</v>
      </c>
      <c r="K117">
        <v>30</v>
      </c>
      <c r="L117">
        <v>30</v>
      </c>
      <c r="O117">
        <v>1</v>
      </c>
      <c r="P117">
        <v>4756</v>
      </c>
      <c r="Q117">
        <v>4869</v>
      </c>
      <c r="R117">
        <v>113</v>
      </c>
      <c r="S117">
        <v>4000</v>
      </c>
      <c r="T117">
        <v>452</v>
      </c>
      <c r="W117">
        <v>1</v>
      </c>
      <c r="X117">
        <v>120000</v>
      </c>
      <c r="Y117">
        <v>120</v>
      </c>
      <c r="AB117">
        <v>0</v>
      </c>
      <c r="AC117">
        <v>1</v>
      </c>
      <c r="AD117">
        <v>100000</v>
      </c>
      <c r="AE117">
        <v>100</v>
      </c>
      <c r="AF117">
        <v>1</v>
      </c>
      <c r="AG117">
        <v>50000</v>
      </c>
      <c r="AH117">
        <v>50</v>
      </c>
      <c r="AK117">
        <v>0</v>
      </c>
      <c r="AL117">
        <v>0</v>
      </c>
      <c r="AM117">
        <v>60000</v>
      </c>
      <c r="AN117">
        <v>0</v>
      </c>
      <c r="AO117">
        <v>1</v>
      </c>
      <c r="AP117">
        <v>120000</v>
      </c>
      <c r="AQ117">
        <v>120</v>
      </c>
      <c r="AU117">
        <v>842</v>
      </c>
      <c r="AV117" t="s">
        <v>859</v>
      </c>
      <c r="AX117" t="s">
        <v>860</v>
      </c>
      <c r="AY117" t="s">
        <v>383</v>
      </c>
      <c r="AZ117">
        <v>0</v>
      </c>
    </row>
    <row r="118" spans="1:52">
      <c r="A118" t="s">
        <v>861</v>
      </c>
      <c r="B118" t="s">
        <v>153</v>
      </c>
      <c r="C118">
        <v>602</v>
      </c>
      <c r="D118" t="s">
        <v>515</v>
      </c>
      <c r="E118">
        <v>1</v>
      </c>
      <c r="F118" t="s">
        <v>386</v>
      </c>
      <c r="G118" t="s">
        <v>391</v>
      </c>
      <c r="H118" t="s">
        <v>386</v>
      </c>
      <c r="I118" t="s">
        <v>386</v>
      </c>
      <c r="K118">
        <v>30</v>
      </c>
      <c r="L118">
        <v>30</v>
      </c>
      <c r="O118">
        <v>1</v>
      </c>
      <c r="P118">
        <v>7388</v>
      </c>
      <c r="Q118">
        <v>7683</v>
      </c>
      <c r="R118">
        <v>295</v>
      </c>
      <c r="S118">
        <v>4000</v>
      </c>
      <c r="T118" t="s">
        <v>862</v>
      </c>
      <c r="W118">
        <v>1</v>
      </c>
      <c r="X118">
        <v>90000</v>
      </c>
      <c r="Y118">
        <v>90</v>
      </c>
      <c r="Z118">
        <v>1</v>
      </c>
      <c r="AA118">
        <v>30000</v>
      </c>
      <c r="AB118">
        <v>30</v>
      </c>
      <c r="AC118">
        <v>1</v>
      </c>
      <c r="AD118">
        <v>100000</v>
      </c>
      <c r="AE118">
        <v>100</v>
      </c>
      <c r="AF118">
        <v>1</v>
      </c>
      <c r="AG118">
        <v>50000</v>
      </c>
      <c r="AH118">
        <v>50</v>
      </c>
      <c r="AI118">
        <v>1</v>
      </c>
      <c r="AJ118">
        <v>50000</v>
      </c>
      <c r="AK118">
        <v>50</v>
      </c>
      <c r="AL118">
        <v>1</v>
      </c>
      <c r="AM118">
        <v>60000</v>
      </c>
      <c r="AN118">
        <v>60</v>
      </c>
      <c r="AQ118">
        <v>0</v>
      </c>
      <c r="AU118" t="s">
        <v>863</v>
      </c>
      <c r="AV118" t="s">
        <v>864</v>
      </c>
      <c r="AX118" t="s">
        <v>865</v>
      </c>
      <c r="AY118" t="s">
        <v>383</v>
      </c>
      <c r="AZ118">
        <v>0</v>
      </c>
    </row>
    <row r="119" spans="1:52">
      <c r="A119" t="s">
        <v>866</v>
      </c>
      <c r="B119" t="s">
        <v>153</v>
      </c>
      <c r="C119">
        <v>701</v>
      </c>
      <c r="D119" t="s">
        <v>515</v>
      </c>
      <c r="E119">
        <v>1</v>
      </c>
      <c r="F119" t="s">
        <v>609</v>
      </c>
      <c r="G119" t="s">
        <v>377</v>
      </c>
      <c r="H119" t="s">
        <v>609</v>
      </c>
      <c r="I119" t="s">
        <v>609</v>
      </c>
      <c r="K119">
        <v>30</v>
      </c>
      <c r="L119">
        <v>30</v>
      </c>
      <c r="O119">
        <v>1</v>
      </c>
      <c r="P119">
        <v>6336</v>
      </c>
      <c r="Q119">
        <v>6471</v>
      </c>
      <c r="R119">
        <v>135</v>
      </c>
      <c r="S119">
        <v>4000</v>
      </c>
      <c r="T119">
        <v>540</v>
      </c>
      <c r="W119">
        <v>1</v>
      </c>
      <c r="X119">
        <v>120000</v>
      </c>
      <c r="Y119">
        <v>120</v>
      </c>
      <c r="AB119">
        <v>0</v>
      </c>
      <c r="AC119">
        <v>1</v>
      </c>
      <c r="AD119">
        <v>100000</v>
      </c>
      <c r="AE119">
        <v>100</v>
      </c>
      <c r="AF119">
        <v>1</v>
      </c>
      <c r="AG119">
        <v>50000</v>
      </c>
      <c r="AH119">
        <v>50</v>
      </c>
      <c r="AK119">
        <v>0</v>
      </c>
      <c r="AN119">
        <v>0</v>
      </c>
      <c r="AO119">
        <v>1</v>
      </c>
      <c r="AP119">
        <v>120000</v>
      </c>
      <c r="AQ119">
        <v>120</v>
      </c>
      <c r="AU119">
        <v>930</v>
      </c>
      <c r="AV119" t="s">
        <v>867</v>
      </c>
      <c r="AX119" t="s">
        <v>868</v>
      </c>
      <c r="AY119" t="s">
        <v>383</v>
      </c>
      <c r="AZ119">
        <v>0</v>
      </c>
    </row>
    <row r="120" spans="1:52">
      <c r="A120" t="s">
        <v>869</v>
      </c>
      <c r="B120" t="s">
        <v>153</v>
      </c>
      <c r="C120">
        <v>0</v>
      </c>
      <c r="D120" t="s">
        <v>515</v>
      </c>
      <c r="E120">
        <v>1</v>
      </c>
      <c r="K120">
        <v>30</v>
      </c>
      <c r="L120">
        <v>30</v>
      </c>
      <c r="AU120">
        <v>0</v>
      </c>
      <c r="AV120">
        <v>0</v>
      </c>
      <c r="AY120" t="s">
        <v>822</v>
      </c>
      <c r="AZ120">
        <v>0</v>
      </c>
    </row>
    <row r="121" spans="1:52">
      <c r="A121" t="s">
        <v>870</v>
      </c>
      <c r="B121" t="s">
        <v>142</v>
      </c>
      <c r="C121">
        <v>101</v>
      </c>
      <c r="D121" t="s">
        <v>871</v>
      </c>
      <c r="E121">
        <v>1</v>
      </c>
      <c r="F121" t="s">
        <v>395</v>
      </c>
      <c r="G121" t="s">
        <v>552</v>
      </c>
      <c r="H121" t="s">
        <v>395</v>
      </c>
      <c r="I121" t="s">
        <v>395</v>
      </c>
      <c r="K121">
        <v>30</v>
      </c>
      <c r="L121">
        <v>30</v>
      </c>
      <c r="O121">
        <v>2</v>
      </c>
      <c r="P121">
        <v>5899</v>
      </c>
      <c r="Q121">
        <v>6008</v>
      </c>
      <c r="R121">
        <v>109</v>
      </c>
      <c r="S121">
        <v>4</v>
      </c>
      <c r="T121">
        <v>436</v>
      </c>
      <c r="U121">
        <v>97</v>
      </c>
      <c r="V121">
        <v>100</v>
      </c>
      <c r="W121">
        <v>3</v>
      </c>
      <c r="X121">
        <v>30000</v>
      </c>
      <c r="Y121">
        <v>90</v>
      </c>
      <c r="Z121">
        <v>1</v>
      </c>
      <c r="AA121">
        <v>30000</v>
      </c>
      <c r="AB121">
        <v>30</v>
      </c>
      <c r="AC121">
        <v>1</v>
      </c>
      <c r="AD121">
        <v>100000</v>
      </c>
      <c r="AE121">
        <v>100</v>
      </c>
      <c r="AF121">
        <v>0</v>
      </c>
      <c r="AG121">
        <v>50000</v>
      </c>
      <c r="AH121">
        <v>0</v>
      </c>
      <c r="AI121">
        <v>0</v>
      </c>
      <c r="AK121">
        <v>0</v>
      </c>
      <c r="AL121">
        <v>1</v>
      </c>
      <c r="AM121">
        <v>60000</v>
      </c>
      <c r="AN121">
        <v>60</v>
      </c>
      <c r="AQ121">
        <v>0</v>
      </c>
      <c r="AU121">
        <v>716</v>
      </c>
      <c r="AV121" t="s">
        <v>872</v>
      </c>
      <c r="AX121" t="s">
        <v>873</v>
      </c>
      <c r="AY121" t="s">
        <v>383</v>
      </c>
      <c r="AZ121">
        <v>0</v>
      </c>
    </row>
    <row r="122" spans="1:52">
      <c r="A122" t="s">
        <v>874</v>
      </c>
      <c r="B122" t="s">
        <v>142</v>
      </c>
      <c r="C122">
        <v>102</v>
      </c>
      <c r="D122" t="s">
        <v>871</v>
      </c>
      <c r="E122">
        <v>1</v>
      </c>
      <c r="F122" t="s">
        <v>400</v>
      </c>
      <c r="G122" t="s">
        <v>386</v>
      </c>
      <c r="H122" t="s">
        <v>400</v>
      </c>
      <c r="I122" t="s">
        <v>400</v>
      </c>
      <c r="K122">
        <v>30</v>
      </c>
      <c r="L122">
        <v>30</v>
      </c>
      <c r="O122">
        <v>2</v>
      </c>
      <c r="P122">
        <v>10588</v>
      </c>
      <c r="Q122">
        <v>11232</v>
      </c>
      <c r="R122">
        <v>644</v>
      </c>
      <c r="S122">
        <v>4</v>
      </c>
      <c r="T122" t="s">
        <v>875</v>
      </c>
      <c r="U122">
        <v>431</v>
      </c>
      <c r="V122">
        <v>454</v>
      </c>
      <c r="W122">
        <v>23</v>
      </c>
      <c r="X122">
        <v>30000</v>
      </c>
      <c r="Y122">
        <v>690</v>
      </c>
      <c r="AB122">
        <v>0</v>
      </c>
      <c r="AC122">
        <v>1</v>
      </c>
      <c r="AD122">
        <v>100000</v>
      </c>
      <c r="AE122">
        <v>100</v>
      </c>
      <c r="AF122">
        <v>2</v>
      </c>
      <c r="AG122">
        <v>50000</v>
      </c>
      <c r="AH122">
        <v>100</v>
      </c>
      <c r="AI122">
        <v>0</v>
      </c>
      <c r="AK122">
        <v>0</v>
      </c>
      <c r="AM122">
        <v>60000</v>
      </c>
      <c r="AN122">
        <v>0</v>
      </c>
      <c r="AO122">
        <v>2</v>
      </c>
      <c r="AP122">
        <v>120000</v>
      </c>
      <c r="AQ122">
        <v>240</v>
      </c>
      <c r="AU122" t="s">
        <v>876</v>
      </c>
      <c r="AV122" t="s">
        <v>877</v>
      </c>
      <c r="AX122" t="s">
        <v>878</v>
      </c>
      <c r="AY122" t="s">
        <v>383</v>
      </c>
      <c r="AZ122">
        <v>0</v>
      </c>
    </row>
    <row r="123" spans="1:52">
      <c r="A123" t="s">
        <v>879</v>
      </c>
      <c r="B123" t="s">
        <v>142</v>
      </c>
      <c r="C123">
        <v>201</v>
      </c>
      <c r="D123" t="s">
        <v>871</v>
      </c>
      <c r="E123">
        <v>1</v>
      </c>
      <c r="F123" t="s">
        <v>409</v>
      </c>
      <c r="G123" t="s">
        <v>391</v>
      </c>
      <c r="H123" t="s">
        <v>409</v>
      </c>
      <c r="I123" t="s">
        <v>409</v>
      </c>
      <c r="K123">
        <v>30</v>
      </c>
      <c r="L123">
        <v>30</v>
      </c>
      <c r="O123">
        <v>2</v>
      </c>
      <c r="P123">
        <v>17043</v>
      </c>
      <c r="Q123">
        <v>17528</v>
      </c>
      <c r="R123">
        <v>485</v>
      </c>
      <c r="S123">
        <v>4</v>
      </c>
      <c r="T123" t="s">
        <v>880</v>
      </c>
      <c r="U123">
        <v>428</v>
      </c>
      <c r="V123">
        <v>439</v>
      </c>
      <c r="W123">
        <v>11</v>
      </c>
      <c r="X123">
        <v>30000</v>
      </c>
      <c r="Y123">
        <v>330</v>
      </c>
      <c r="Z123">
        <v>2</v>
      </c>
      <c r="AA123">
        <v>30000</v>
      </c>
      <c r="AB123">
        <v>60</v>
      </c>
      <c r="AC123">
        <v>0</v>
      </c>
      <c r="AD123">
        <v>100000</v>
      </c>
      <c r="AE123">
        <v>0</v>
      </c>
      <c r="AF123">
        <v>2</v>
      </c>
      <c r="AG123">
        <v>50000</v>
      </c>
      <c r="AH123">
        <v>100</v>
      </c>
      <c r="AI123">
        <v>0</v>
      </c>
      <c r="AK123">
        <v>0</v>
      </c>
      <c r="AM123">
        <v>60000</v>
      </c>
      <c r="AN123">
        <v>0</v>
      </c>
      <c r="AQ123">
        <v>0</v>
      </c>
      <c r="AU123" t="s">
        <v>881</v>
      </c>
      <c r="AV123" t="s">
        <v>882</v>
      </c>
      <c r="AW123" t="s">
        <v>883</v>
      </c>
      <c r="AX123" t="s">
        <v>884</v>
      </c>
      <c r="AY123" t="s">
        <v>383</v>
      </c>
      <c r="AZ123">
        <v>0</v>
      </c>
    </row>
    <row r="124" spans="1:52">
      <c r="A124" t="s">
        <v>885</v>
      </c>
      <c r="B124" t="s">
        <v>142</v>
      </c>
      <c r="C124">
        <v>202</v>
      </c>
      <c r="D124" t="s">
        <v>871</v>
      </c>
      <c r="E124">
        <v>1</v>
      </c>
      <c r="F124" t="s">
        <v>391</v>
      </c>
      <c r="G124" t="s">
        <v>886</v>
      </c>
      <c r="H124" t="s">
        <v>391</v>
      </c>
      <c r="I124" t="s">
        <v>391</v>
      </c>
      <c r="K124">
        <v>30</v>
      </c>
      <c r="L124">
        <v>30</v>
      </c>
      <c r="O124">
        <v>2</v>
      </c>
      <c r="P124">
        <v>10289</v>
      </c>
      <c r="Q124">
        <v>10609</v>
      </c>
      <c r="R124">
        <v>320</v>
      </c>
      <c r="S124">
        <v>4</v>
      </c>
      <c r="T124" t="s">
        <v>887</v>
      </c>
      <c r="U124">
        <v>377</v>
      </c>
      <c r="V124">
        <v>385</v>
      </c>
      <c r="W124">
        <v>8</v>
      </c>
      <c r="X124">
        <v>35000</v>
      </c>
      <c r="Y124">
        <v>280</v>
      </c>
      <c r="AB124">
        <v>0</v>
      </c>
      <c r="AC124">
        <v>1</v>
      </c>
      <c r="AD124">
        <v>100000</v>
      </c>
      <c r="AE124">
        <v>100</v>
      </c>
      <c r="AF124">
        <v>2</v>
      </c>
      <c r="AG124">
        <v>50000</v>
      </c>
      <c r="AH124">
        <v>100</v>
      </c>
      <c r="AI124">
        <v>1</v>
      </c>
      <c r="AJ124">
        <v>450000</v>
      </c>
      <c r="AK124">
        <v>450</v>
      </c>
      <c r="AN124">
        <v>0</v>
      </c>
      <c r="AO124">
        <v>2</v>
      </c>
      <c r="AP124">
        <v>120000</v>
      </c>
      <c r="AQ124">
        <v>240</v>
      </c>
      <c r="AU124" t="s">
        <v>888</v>
      </c>
      <c r="AV124" t="s">
        <v>889</v>
      </c>
      <c r="AX124" t="s">
        <v>890</v>
      </c>
      <c r="AY124" t="s">
        <v>383</v>
      </c>
      <c r="AZ124">
        <v>0</v>
      </c>
    </row>
    <row r="125" spans="1:52">
      <c r="A125" t="s">
        <v>891</v>
      </c>
      <c r="B125" t="s">
        <v>142</v>
      </c>
      <c r="C125">
        <v>203</v>
      </c>
      <c r="D125" t="s">
        <v>871</v>
      </c>
      <c r="E125">
        <v>1</v>
      </c>
      <c r="F125" t="s">
        <v>892</v>
      </c>
      <c r="G125" t="s">
        <v>886</v>
      </c>
      <c r="H125" t="s">
        <v>892</v>
      </c>
      <c r="I125" t="s">
        <v>892</v>
      </c>
      <c r="J125">
        <v>200</v>
      </c>
      <c r="K125">
        <v>30</v>
      </c>
      <c r="L125">
        <v>30</v>
      </c>
      <c r="O125">
        <v>2</v>
      </c>
      <c r="P125">
        <v>15596</v>
      </c>
      <c r="Q125">
        <v>15759</v>
      </c>
      <c r="R125">
        <v>163</v>
      </c>
      <c r="S125">
        <v>4</v>
      </c>
      <c r="T125">
        <v>652</v>
      </c>
      <c r="U125">
        <v>577</v>
      </c>
      <c r="V125">
        <v>580</v>
      </c>
      <c r="W125">
        <v>3</v>
      </c>
      <c r="X125">
        <v>35000</v>
      </c>
      <c r="Y125">
        <v>105</v>
      </c>
      <c r="AB125">
        <v>0</v>
      </c>
      <c r="AC125">
        <v>1</v>
      </c>
      <c r="AD125">
        <v>100000</v>
      </c>
      <c r="AE125">
        <v>100</v>
      </c>
      <c r="AG125">
        <v>50000</v>
      </c>
      <c r="AH125">
        <v>0</v>
      </c>
      <c r="AI125">
        <v>0</v>
      </c>
      <c r="AK125">
        <v>0</v>
      </c>
      <c r="AN125">
        <v>0</v>
      </c>
      <c r="AO125">
        <v>2</v>
      </c>
      <c r="AP125">
        <v>120000</v>
      </c>
      <c r="AQ125">
        <v>240</v>
      </c>
      <c r="AU125" t="s">
        <v>893</v>
      </c>
      <c r="AV125" t="s">
        <v>894</v>
      </c>
      <c r="AX125" t="s">
        <v>895</v>
      </c>
      <c r="AY125" t="s">
        <v>383</v>
      </c>
      <c r="AZ125">
        <v>0</v>
      </c>
    </row>
    <row r="126" spans="1:52">
      <c r="A126" t="s">
        <v>896</v>
      </c>
      <c r="B126" t="s">
        <v>142</v>
      </c>
      <c r="C126">
        <v>204</v>
      </c>
      <c r="D126" t="s">
        <v>871</v>
      </c>
      <c r="E126">
        <v>1</v>
      </c>
      <c r="F126" t="s">
        <v>391</v>
      </c>
      <c r="G126" t="s">
        <v>897</v>
      </c>
      <c r="H126" t="s">
        <v>391</v>
      </c>
      <c r="I126" t="s">
        <v>391</v>
      </c>
      <c r="K126">
        <v>30</v>
      </c>
      <c r="L126">
        <v>30</v>
      </c>
      <c r="O126">
        <v>1</v>
      </c>
      <c r="P126">
        <v>12663</v>
      </c>
      <c r="Q126">
        <v>13102</v>
      </c>
      <c r="R126">
        <v>439</v>
      </c>
      <c r="S126">
        <v>4</v>
      </c>
      <c r="T126" t="s">
        <v>898</v>
      </c>
      <c r="U126">
        <v>458</v>
      </c>
      <c r="V126">
        <v>464</v>
      </c>
      <c r="W126">
        <v>6</v>
      </c>
      <c r="X126">
        <v>35000</v>
      </c>
      <c r="Y126">
        <v>210</v>
      </c>
      <c r="AB126">
        <v>0</v>
      </c>
      <c r="AC126">
        <v>1</v>
      </c>
      <c r="AD126">
        <v>100000</v>
      </c>
      <c r="AE126">
        <v>100</v>
      </c>
      <c r="AF126">
        <v>1</v>
      </c>
      <c r="AG126">
        <v>50000</v>
      </c>
      <c r="AH126">
        <v>50</v>
      </c>
      <c r="AI126">
        <v>0</v>
      </c>
      <c r="AK126">
        <v>0</v>
      </c>
      <c r="AN126">
        <v>0</v>
      </c>
      <c r="AO126">
        <v>1</v>
      </c>
      <c r="AP126">
        <v>120000</v>
      </c>
      <c r="AQ126">
        <v>120</v>
      </c>
      <c r="AU126" t="s">
        <v>899</v>
      </c>
      <c r="AV126" t="s">
        <v>900</v>
      </c>
      <c r="AX126" t="s">
        <v>901</v>
      </c>
      <c r="AY126" t="s">
        <v>383</v>
      </c>
      <c r="AZ126">
        <v>0</v>
      </c>
    </row>
    <row r="127" spans="1:52">
      <c r="A127" t="s">
        <v>902</v>
      </c>
      <c r="B127" t="s">
        <v>142</v>
      </c>
      <c r="C127">
        <v>301</v>
      </c>
      <c r="D127" t="s">
        <v>871</v>
      </c>
      <c r="E127">
        <v>1</v>
      </c>
      <c r="F127" t="s">
        <v>420</v>
      </c>
      <c r="G127" t="s">
        <v>391</v>
      </c>
      <c r="H127" t="s">
        <v>420</v>
      </c>
      <c r="I127" t="s">
        <v>420</v>
      </c>
      <c r="K127">
        <v>30</v>
      </c>
      <c r="L127">
        <v>30</v>
      </c>
      <c r="O127">
        <v>2</v>
      </c>
      <c r="P127">
        <v>11461</v>
      </c>
      <c r="Q127">
        <v>11666</v>
      </c>
      <c r="R127">
        <v>205</v>
      </c>
      <c r="S127">
        <v>4</v>
      </c>
      <c r="T127">
        <v>820</v>
      </c>
      <c r="U127">
        <v>442</v>
      </c>
      <c r="V127">
        <v>449</v>
      </c>
      <c r="W127">
        <v>7</v>
      </c>
      <c r="X127">
        <v>30000</v>
      </c>
      <c r="Y127">
        <v>210</v>
      </c>
      <c r="Z127">
        <v>2</v>
      </c>
      <c r="AA127">
        <v>30000</v>
      </c>
      <c r="AB127">
        <v>60</v>
      </c>
      <c r="AC127">
        <v>1</v>
      </c>
      <c r="AD127">
        <v>100000</v>
      </c>
      <c r="AE127">
        <v>100</v>
      </c>
      <c r="AF127">
        <v>2</v>
      </c>
      <c r="AG127">
        <v>50000</v>
      </c>
      <c r="AH127">
        <v>100</v>
      </c>
      <c r="AI127">
        <v>0</v>
      </c>
      <c r="AK127">
        <v>0</v>
      </c>
      <c r="AL127">
        <v>2</v>
      </c>
      <c r="AM127">
        <v>60000</v>
      </c>
      <c r="AN127">
        <v>120</v>
      </c>
      <c r="AQ127">
        <v>0</v>
      </c>
      <c r="AU127" t="s">
        <v>903</v>
      </c>
      <c r="AV127" t="s">
        <v>904</v>
      </c>
      <c r="AX127" t="s">
        <v>905</v>
      </c>
      <c r="AY127" t="s">
        <v>383</v>
      </c>
      <c r="AZ127">
        <v>0</v>
      </c>
    </row>
    <row r="128" spans="1:52">
      <c r="A128" t="s">
        <v>906</v>
      </c>
      <c r="B128" t="s">
        <v>142</v>
      </c>
      <c r="C128">
        <v>302</v>
      </c>
      <c r="D128" t="s">
        <v>871</v>
      </c>
      <c r="E128">
        <v>1</v>
      </c>
      <c r="F128" t="s">
        <v>892</v>
      </c>
      <c r="G128" t="s">
        <v>886</v>
      </c>
      <c r="H128" t="s">
        <v>892</v>
      </c>
      <c r="I128" t="s">
        <v>892</v>
      </c>
      <c r="J128">
        <v>200</v>
      </c>
      <c r="K128">
        <v>30</v>
      </c>
      <c r="L128">
        <v>30</v>
      </c>
      <c r="O128">
        <v>2</v>
      </c>
      <c r="P128">
        <v>10990</v>
      </c>
      <c r="Q128">
        <v>11406</v>
      </c>
      <c r="R128">
        <v>416</v>
      </c>
      <c r="S128">
        <v>4</v>
      </c>
      <c r="T128" t="s">
        <v>907</v>
      </c>
      <c r="U128">
        <v>297</v>
      </c>
      <c r="V128">
        <v>303</v>
      </c>
      <c r="W128">
        <v>6</v>
      </c>
      <c r="X128">
        <v>30000</v>
      </c>
      <c r="Y128">
        <v>180</v>
      </c>
      <c r="Z128">
        <v>2</v>
      </c>
      <c r="AA128">
        <v>30000</v>
      </c>
      <c r="AB128">
        <v>60</v>
      </c>
      <c r="AC128">
        <v>1</v>
      </c>
      <c r="AD128">
        <v>100000</v>
      </c>
      <c r="AE128">
        <v>100</v>
      </c>
      <c r="AF128">
        <v>2</v>
      </c>
      <c r="AG128">
        <v>50000</v>
      </c>
      <c r="AH128">
        <v>100</v>
      </c>
      <c r="AI128">
        <v>0</v>
      </c>
      <c r="AK128">
        <v>0</v>
      </c>
      <c r="AL128">
        <v>2</v>
      </c>
      <c r="AM128">
        <v>60000</v>
      </c>
      <c r="AN128">
        <v>120</v>
      </c>
      <c r="AQ128">
        <v>0</v>
      </c>
      <c r="AU128" t="s">
        <v>908</v>
      </c>
      <c r="AV128" t="s">
        <v>909</v>
      </c>
      <c r="AW128" t="s">
        <v>763</v>
      </c>
      <c r="AX128" t="s">
        <v>910</v>
      </c>
      <c r="AY128" t="s">
        <v>383</v>
      </c>
      <c r="AZ128">
        <v>0</v>
      </c>
    </row>
    <row r="129" spans="1:55">
      <c r="A129" t="s">
        <v>911</v>
      </c>
      <c r="B129" t="s">
        <v>142</v>
      </c>
      <c r="C129">
        <v>303</v>
      </c>
      <c r="D129" t="s">
        <v>871</v>
      </c>
      <c r="E129">
        <v>1</v>
      </c>
      <c r="F129" t="s">
        <v>524</v>
      </c>
      <c r="G129" t="s">
        <v>886</v>
      </c>
      <c r="H129" t="s">
        <v>524</v>
      </c>
      <c r="I129" t="s">
        <v>524</v>
      </c>
      <c r="K129">
        <v>30</v>
      </c>
      <c r="L129">
        <v>30</v>
      </c>
      <c r="O129">
        <v>3</v>
      </c>
      <c r="P129">
        <v>7968</v>
      </c>
      <c r="Q129">
        <v>8262</v>
      </c>
      <c r="R129">
        <v>294</v>
      </c>
      <c r="S129">
        <v>4</v>
      </c>
      <c r="T129" t="s">
        <v>912</v>
      </c>
      <c r="U129">
        <v>216</v>
      </c>
      <c r="V129">
        <v>222</v>
      </c>
      <c r="W129">
        <v>6</v>
      </c>
      <c r="X129">
        <v>35000</v>
      </c>
      <c r="Y129">
        <v>210</v>
      </c>
      <c r="AB129">
        <v>0</v>
      </c>
      <c r="AC129">
        <v>1</v>
      </c>
      <c r="AD129">
        <v>100000</v>
      </c>
      <c r="AE129">
        <v>100</v>
      </c>
      <c r="AF129">
        <v>3</v>
      </c>
      <c r="AG129">
        <v>50000</v>
      </c>
      <c r="AH129">
        <v>150</v>
      </c>
      <c r="AI129">
        <v>0</v>
      </c>
      <c r="AK129">
        <v>0</v>
      </c>
      <c r="AL129">
        <v>0</v>
      </c>
      <c r="AN129">
        <v>0</v>
      </c>
      <c r="AO129">
        <v>3</v>
      </c>
      <c r="AP129">
        <v>120000</v>
      </c>
      <c r="AQ129">
        <v>360</v>
      </c>
      <c r="AU129" t="s">
        <v>913</v>
      </c>
      <c r="AV129" t="s">
        <v>914</v>
      </c>
      <c r="AX129" t="s">
        <v>915</v>
      </c>
      <c r="AY129" t="s">
        <v>383</v>
      </c>
      <c r="AZ129">
        <v>0</v>
      </c>
    </row>
    <row r="130" spans="1:55">
      <c r="A130" t="s">
        <v>916</v>
      </c>
      <c r="B130" t="s">
        <v>142</v>
      </c>
      <c r="C130">
        <v>304</v>
      </c>
      <c r="D130" t="s">
        <v>871</v>
      </c>
      <c r="E130">
        <v>1</v>
      </c>
      <c r="F130" t="s">
        <v>420</v>
      </c>
      <c r="G130" t="s">
        <v>897</v>
      </c>
      <c r="H130" t="s">
        <v>420</v>
      </c>
      <c r="I130" t="s">
        <v>420</v>
      </c>
      <c r="K130">
        <v>30</v>
      </c>
      <c r="L130">
        <v>30</v>
      </c>
      <c r="O130">
        <v>2</v>
      </c>
      <c r="P130">
        <v>11586</v>
      </c>
      <c r="Q130">
        <v>12063</v>
      </c>
      <c r="R130">
        <v>477</v>
      </c>
      <c r="S130">
        <v>4</v>
      </c>
      <c r="T130" t="s">
        <v>917</v>
      </c>
      <c r="U130">
        <v>445</v>
      </c>
      <c r="V130">
        <v>452</v>
      </c>
      <c r="W130">
        <v>7</v>
      </c>
      <c r="X130">
        <v>35000</v>
      </c>
      <c r="Y130">
        <v>245</v>
      </c>
      <c r="AB130">
        <v>0</v>
      </c>
      <c r="AC130">
        <v>1</v>
      </c>
      <c r="AD130">
        <v>100000</v>
      </c>
      <c r="AE130">
        <v>100</v>
      </c>
      <c r="AF130">
        <v>2</v>
      </c>
      <c r="AG130">
        <v>50000</v>
      </c>
      <c r="AH130">
        <v>100</v>
      </c>
      <c r="AI130">
        <v>0</v>
      </c>
      <c r="AK130">
        <v>0</v>
      </c>
      <c r="AN130">
        <v>0</v>
      </c>
      <c r="AO130">
        <v>2</v>
      </c>
      <c r="AP130">
        <v>120000</v>
      </c>
      <c r="AQ130">
        <v>240</v>
      </c>
      <c r="AU130" t="s">
        <v>918</v>
      </c>
      <c r="AV130" t="s">
        <v>919</v>
      </c>
      <c r="AX130" t="s">
        <v>920</v>
      </c>
      <c r="AY130" t="s">
        <v>383</v>
      </c>
      <c r="AZ130">
        <v>0</v>
      </c>
    </row>
    <row r="131" spans="1:55">
      <c r="A131" t="s">
        <v>921</v>
      </c>
      <c r="B131" t="s">
        <v>142</v>
      </c>
      <c r="C131">
        <v>401</v>
      </c>
      <c r="D131" t="s">
        <v>871</v>
      </c>
      <c r="E131">
        <v>1</v>
      </c>
      <c r="F131" t="s">
        <v>391</v>
      </c>
      <c r="G131" t="s">
        <v>391</v>
      </c>
      <c r="H131" t="s">
        <v>391</v>
      </c>
      <c r="I131" t="s">
        <v>391</v>
      </c>
      <c r="K131">
        <v>30</v>
      </c>
      <c r="L131">
        <v>30</v>
      </c>
      <c r="O131">
        <v>1</v>
      </c>
      <c r="P131">
        <v>9726</v>
      </c>
      <c r="Q131">
        <v>10042</v>
      </c>
      <c r="R131">
        <v>316</v>
      </c>
      <c r="S131">
        <v>4</v>
      </c>
      <c r="T131" t="s">
        <v>378</v>
      </c>
      <c r="U131">
        <v>258</v>
      </c>
      <c r="V131">
        <v>269</v>
      </c>
      <c r="W131">
        <v>11</v>
      </c>
      <c r="X131">
        <v>35000</v>
      </c>
      <c r="Y131">
        <v>385</v>
      </c>
      <c r="AB131">
        <v>0</v>
      </c>
      <c r="AD131">
        <v>100000</v>
      </c>
      <c r="AE131">
        <v>0</v>
      </c>
      <c r="AF131">
        <v>1</v>
      </c>
      <c r="AG131">
        <v>50000</v>
      </c>
      <c r="AH131">
        <v>50</v>
      </c>
      <c r="AI131">
        <v>0</v>
      </c>
      <c r="AK131">
        <v>0</v>
      </c>
      <c r="AL131">
        <v>0</v>
      </c>
      <c r="AM131">
        <v>60000</v>
      </c>
      <c r="AN131">
        <v>0</v>
      </c>
      <c r="AO131">
        <v>1</v>
      </c>
      <c r="AP131">
        <v>120000</v>
      </c>
      <c r="AQ131">
        <v>120</v>
      </c>
      <c r="AU131" t="s">
        <v>922</v>
      </c>
      <c r="AV131" t="s">
        <v>923</v>
      </c>
      <c r="AX131" t="s">
        <v>924</v>
      </c>
      <c r="AY131" t="s">
        <v>383</v>
      </c>
      <c r="AZ131">
        <v>0</v>
      </c>
    </row>
    <row r="132" spans="1:55">
      <c r="A132" t="s">
        <v>925</v>
      </c>
      <c r="B132" t="s">
        <v>142</v>
      </c>
      <c r="C132">
        <v>402</v>
      </c>
      <c r="D132" t="s">
        <v>871</v>
      </c>
      <c r="E132">
        <v>1</v>
      </c>
      <c r="F132" t="s">
        <v>524</v>
      </c>
      <c r="G132" t="s">
        <v>886</v>
      </c>
      <c r="H132" t="s">
        <v>524</v>
      </c>
      <c r="I132" t="s">
        <v>524</v>
      </c>
      <c r="K132">
        <v>30</v>
      </c>
      <c r="L132">
        <v>30</v>
      </c>
      <c r="O132">
        <v>3</v>
      </c>
      <c r="P132">
        <v>11512</v>
      </c>
      <c r="Q132">
        <v>11717</v>
      </c>
      <c r="R132">
        <v>205</v>
      </c>
      <c r="S132">
        <v>4</v>
      </c>
      <c r="T132">
        <v>820</v>
      </c>
      <c r="U132">
        <v>435</v>
      </c>
      <c r="V132">
        <v>442</v>
      </c>
      <c r="W132">
        <v>7</v>
      </c>
      <c r="X132">
        <v>35000</v>
      </c>
      <c r="Y132">
        <v>245</v>
      </c>
      <c r="AB132">
        <v>0</v>
      </c>
      <c r="AC132">
        <v>1</v>
      </c>
      <c r="AD132">
        <v>100000</v>
      </c>
      <c r="AE132">
        <v>100</v>
      </c>
      <c r="AF132">
        <v>3</v>
      </c>
      <c r="AG132">
        <v>50000</v>
      </c>
      <c r="AH132">
        <v>150</v>
      </c>
      <c r="AI132">
        <v>0</v>
      </c>
      <c r="AK132">
        <v>0</v>
      </c>
      <c r="AN132">
        <v>0</v>
      </c>
      <c r="AO132">
        <v>3</v>
      </c>
      <c r="AP132">
        <v>120000</v>
      </c>
      <c r="AQ132">
        <v>360</v>
      </c>
      <c r="AU132" t="s">
        <v>926</v>
      </c>
      <c r="AV132" t="s">
        <v>927</v>
      </c>
      <c r="AX132" t="s">
        <v>928</v>
      </c>
      <c r="AY132" t="s">
        <v>383</v>
      </c>
      <c r="AZ132">
        <v>0</v>
      </c>
    </row>
    <row r="133" spans="1:55">
      <c r="A133" t="s">
        <v>929</v>
      </c>
      <c r="B133" t="s">
        <v>142</v>
      </c>
      <c r="C133">
        <v>403</v>
      </c>
      <c r="D133" t="s">
        <v>871</v>
      </c>
      <c r="E133">
        <v>1</v>
      </c>
      <c r="F133" t="s">
        <v>524</v>
      </c>
      <c r="G133" t="s">
        <v>886</v>
      </c>
      <c r="H133" t="s">
        <v>524</v>
      </c>
      <c r="I133" t="s">
        <v>524</v>
      </c>
      <c r="K133">
        <v>30</v>
      </c>
      <c r="L133">
        <v>30</v>
      </c>
      <c r="O133">
        <v>1</v>
      </c>
      <c r="P133">
        <v>11423</v>
      </c>
      <c r="Q133">
        <v>11849</v>
      </c>
      <c r="R133">
        <v>426</v>
      </c>
      <c r="S133">
        <v>4</v>
      </c>
      <c r="T133" t="s">
        <v>930</v>
      </c>
      <c r="U133">
        <v>256</v>
      </c>
      <c r="V133">
        <v>258</v>
      </c>
      <c r="W133">
        <v>2</v>
      </c>
      <c r="X133">
        <v>35000</v>
      </c>
      <c r="Y133">
        <v>70</v>
      </c>
      <c r="AB133">
        <v>0</v>
      </c>
      <c r="AC133">
        <v>1</v>
      </c>
      <c r="AD133">
        <v>100000</v>
      </c>
      <c r="AE133">
        <v>100</v>
      </c>
      <c r="AF133">
        <v>1</v>
      </c>
      <c r="AG133">
        <v>50000</v>
      </c>
      <c r="AH133">
        <v>50</v>
      </c>
      <c r="AI133">
        <v>0</v>
      </c>
      <c r="AK133">
        <v>0</v>
      </c>
      <c r="AN133">
        <v>0</v>
      </c>
      <c r="AO133">
        <v>1</v>
      </c>
      <c r="AP133">
        <v>120000</v>
      </c>
      <c r="AQ133">
        <v>120</v>
      </c>
      <c r="AU133" t="s">
        <v>931</v>
      </c>
      <c r="AV133" t="s">
        <v>932</v>
      </c>
      <c r="AW133" t="s">
        <v>706</v>
      </c>
      <c r="AX133" t="s">
        <v>933</v>
      </c>
      <c r="AY133" t="s">
        <v>383</v>
      </c>
      <c r="AZ133">
        <v>0</v>
      </c>
    </row>
    <row r="134" spans="1:55">
      <c r="A134" t="s">
        <v>934</v>
      </c>
      <c r="B134" t="s">
        <v>142</v>
      </c>
      <c r="C134">
        <v>404</v>
      </c>
      <c r="D134" t="s">
        <v>871</v>
      </c>
      <c r="E134">
        <v>1</v>
      </c>
      <c r="F134" t="s">
        <v>391</v>
      </c>
      <c r="G134" t="s">
        <v>897</v>
      </c>
      <c r="H134" t="s">
        <v>391</v>
      </c>
      <c r="I134" t="s">
        <v>391</v>
      </c>
      <c r="K134">
        <v>30</v>
      </c>
      <c r="L134">
        <v>30</v>
      </c>
      <c r="O134">
        <v>3</v>
      </c>
      <c r="P134">
        <v>11393</v>
      </c>
      <c r="Q134">
        <v>11454</v>
      </c>
      <c r="R134">
        <v>61</v>
      </c>
      <c r="S134">
        <v>4</v>
      </c>
      <c r="T134">
        <v>244</v>
      </c>
      <c r="U134">
        <v>389</v>
      </c>
      <c r="V134">
        <v>390</v>
      </c>
      <c r="W134">
        <v>1</v>
      </c>
      <c r="X134">
        <v>35000</v>
      </c>
      <c r="Y134">
        <v>35</v>
      </c>
      <c r="AB134">
        <v>0</v>
      </c>
      <c r="AC134">
        <v>1</v>
      </c>
      <c r="AD134">
        <v>100000</v>
      </c>
      <c r="AE134">
        <v>100</v>
      </c>
      <c r="AF134">
        <v>3</v>
      </c>
      <c r="AG134">
        <v>50000</v>
      </c>
      <c r="AH134">
        <v>150</v>
      </c>
      <c r="AI134">
        <v>0</v>
      </c>
      <c r="AK134">
        <v>0</v>
      </c>
      <c r="AL134">
        <v>0</v>
      </c>
      <c r="AM134">
        <v>60000</v>
      </c>
      <c r="AN134">
        <v>0</v>
      </c>
      <c r="AO134">
        <v>3</v>
      </c>
      <c r="AP134">
        <v>120000</v>
      </c>
      <c r="AQ134">
        <v>360</v>
      </c>
      <c r="AU134">
        <v>889</v>
      </c>
      <c r="AV134" t="s">
        <v>935</v>
      </c>
      <c r="AX134" t="s">
        <v>936</v>
      </c>
      <c r="AY134" t="s">
        <v>383</v>
      </c>
      <c r="AZ134">
        <v>0</v>
      </c>
      <c r="BA134" s="1">
        <v>46030</v>
      </c>
      <c r="BB134" t="s">
        <v>474</v>
      </c>
      <c r="BC134" t="s">
        <v>937</v>
      </c>
    </row>
    <row r="135" spans="1:55">
      <c r="A135" t="s">
        <v>938</v>
      </c>
      <c r="B135" t="s">
        <v>142</v>
      </c>
      <c r="C135">
        <v>501</v>
      </c>
      <c r="D135" t="s">
        <v>871</v>
      </c>
      <c r="E135">
        <v>1</v>
      </c>
      <c r="F135" t="s">
        <v>409</v>
      </c>
      <c r="G135" t="s">
        <v>391</v>
      </c>
      <c r="H135" t="s">
        <v>409</v>
      </c>
      <c r="I135" t="s">
        <v>409</v>
      </c>
      <c r="J135">
        <v>200</v>
      </c>
      <c r="K135">
        <v>30</v>
      </c>
      <c r="L135">
        <v>30</v>
      </c>
      <c r="O135">
        <v>3</v>
      </c>
      <c r="P135">
        <v>12960</v>
      </c>
      <c r="Q135">
        <v>13326</v>
      </c>
      <c r="R135">
        <v>366</v>
      </c>
      <c r="S135">
        <v>4</v>
      </c>
      <c r="T135" t="s">
        <v>939</v>
      </c>
      <c r="U135">
        <v>358</v>
      </c>
      <c r="V135">
        <v>368</v>
      </c>
      <c r="W135">
        <v>10</v>
      </c>
      <c r="X135">
        <v>30000</v>
      </c>
      <c r="Y135">
        <v>300</v>
      </c>
      <c r="Z135">
        <v>3</v>
      </c>
      <c r="AA135">
        <v>30000</v>
      </c>
      <c r="AB135">
        <v>90</v>
      </c>
      <c r="AD135">
        <v>100000</v>
      </c>
      <c r="AE135">
        <v>0</v>
      </c>
      <c r="AF135">
        <v>3</v>
      </c>
      <c r="AG135">
        <v>50000</v>
      </c>
      <c r="AH135">
        <v>150</v>
      </c>
      <c r="AK135">
        <v>0</v>
      </c>
      <c r="AM135">
        <v>60000</v>
      </c>
      <c r="AN135">
        <v>0</v>
      </c>
      <c r="AQ135">
        <v>0</v>
      </c>
      <c r="AU135" t="s">
        <v>590</v>
      </c>
      <c r="AV135" t="s">
        <v>940</v>
      </c>
      <c r="AW135" t="s">
        <v>530</v>
      </c>
      <c r="AX135" t="s">
        <v>941</v>
      </c>
      <c r="AY135" t="s">
        <v>383</v>
      </c>
      <c r="AZ135">
        <v>0</v>
      </c>
    </row>
    <row r="136" spans="1:55">
      <c r="A136" t="s">
        <v>942</v>
      </c>
      <c r="B136" t="s">
        <v>142</v>
      </c>
      <c r="C136">
        <v>502</v>
      </c>
      <c r="D136" t="s">
        <v>871</v>
      </c>
      <c r="E136">
        <v>1</v>
      </c>
      <c r="F136" t="s">
        <v>892</v>
      </c>
      <c r="G136" t="s">
        <v>886</v>
      </c>
      <c r="H136" t="s">
        <v>892</v>
      </c>
      <c r="I136" t="s">
        <v>892</v>
      </c>
      <c r="J136">
        <v>200</v>
      </c>
      <c r="K136">
        <v>30</v>
      </c>
      <c r="L136">
        <v>30</v>
      </c>
      <c r="O136">
        <v>4</v>
      </c>
      <c r="P136">
        <v>12057</v>
      </c>
      <c r="Q136">
        <v>12348</v>
      </c>
      <c r="R136">
        <v>291</v>
      </c>
      <c r="S136">
        <v>4</v>
      </c>
      <c r="T136" t="s">
        <v>943</v>
      </c>
      <c r="U136">
        <v>334</v>
      </c>
      <c r="V136">
        <v>343</v>
      </c>
      <c r="W136">
        <v>9</v>
      </c>
      <c r="X136">
        <v>30000</v>
      </c>
      <c r="Y136">
        <v>270</v>
      </c>
      <c r="Z136">
        <v>4</v>
      </c>
      <c r="AA136">
        <v>30000</v>
      </c>
      <c r="AB136">
        <v>120</v>
      </c>
      <c r="AC136">
        <v>1</v>
      </c>
      <c r="AD136">
        <v>100000</v>
      </c>
      <c r="AE136">
        <v>100</v>
      </c>
      <c r="AF136">
        <v>4</v>
      </c>
      <c r="AG136">
        <v>50000</v>
      </c>
      <c r="AH136">
        <v>200</v>
      </c>
      <c r="AI136">
        <v>0</v>
      </c>
      <c r="AK136">
        <v>0</v>
      </c>
      <c r="AL136">
        <v>4</v>
      </c>
      <c r="AM136">
        <v>60000</v>
      </c>
      <c r="AN136">
        <v>240</v>
      </c>
      <c r="AQ136">
        <v>0</v>
      </c>
      <c r="AU136" t="s">
        <v>944</v>
      </c>
      <c r="AV136" t="s">
        <v>945</v>
      </c>
      <c r="AW136" t="s">
        <v>763</v>
      </c>
      <c r="AX136" t="s">
        <v>946</v>
      </c>
      <c r="AY136" t="s">
        <v>383</v>
      </c>
      <c r="AZ136">
        <v>0</v>
      </c>
    </row>
    <row r="137" spans="1:55">
      <c r="A137" t="s">
        <v>947</v>
      </c>
      <c r="B137" t="s">
        <v>142</v>
      </c>
      <c r="C137">
        <v>503</v>
      </c>
      <c r="D137" t="s">
        <v>871</v>
      </c>
      <c r="E137">
        <v>1</v>
      </c>
      <c r="F137" t="s">
        <v>391</v>
      </c>
      <c r="G137" t="s">
        <v>886</v>
      </c>
      <c r="H137" t="s">
        <v>391</v>
      </c>
      <c r="I137" t="s">
        <v>391</v>
      </c>
      <c r="J137" t="s">
        <v>391</v>
      </c>
      <c r="K137">
        <v>30</v>
      </c>
      <c r="L137">
        <v>30</v>
      </c>
      <c r="O137">
        <v>2</v>
      </c>
      <c r="P137">
        <v>13042</v>
      </c>
      <c r="Q137">
        <v>13042</v>
      </c>
      <c r="R137">
        <v>0</v>
      </c>
      <c r="S137">
        <v>4</v>
      </c>
      <c r="T137">
        <v>0</v>
      </c>
      <c r="U137">
        <v>84</v>
      </c>
      <c r="V137">
        <v>84</v>
      </c>
      <c r="W137">
        <v>0</v>
      </c>
      <c r="X137">
        <v>35000</v>
      </c>
      <c r="Y137">
        <v>0</v>
      </c>
      <c r="AB137">
        <v>0</v>
      </c>
      <c r="AC137">
        <v>1</v>
      </c>
      <c r="AD137">
        <v>100000</v>
      </c>
      <c r="AE137">
        <v>100</v>
      </c>
      <c r="AF137">
        <v>2</v>
      </c>
      <c r="AG137">
        <v>60000</v>
      </c>
      <c r="AH137">
        <v>120</v>
      </c>
      <c r="AI137">
        <v>0</v>
      </c>
      <c r="AK137">
        <v>0</v>
      </c>
      <c r="AN137">
        <v>0</v>
      </c>
      <c r="AO137">
        <v>2</v>
      </c>
      <c r="AP137">
        <v>120000</v>
      </c>
      <c r="AQ137">
        <v>240</v>
      </c>
      <c r="AU137">
        <v>460</v>
      </c>
      <c r="AV137" t="s">
        <v>948</v>
      </c>
      <c r="AW137" t="s">
        <v>949</v>
      </c>
      <c r="AX137" t="s">
        <v>950</v>
      </c>
      <c r="AY137" t="s">
        <v>383</v>
      </c>
      <c r="AZ137">
        <v>0</v>
      </c>
    </row>
    <row r="138" spans="1:55">
      <c r="A138" t="s">
        <v>951</v>
      </c>
      <c r="B138" t="s">
        <v>142</v>
      </c>
      <c r="C138">
        <v>504</v>
      </c>
      <c r="D138" t="s">
        <v>871</v>
      </c>
      <c r="E138">
        <v>1</v>
      </c>
      <c r="F138" t="s">
        <v>892</v>
      </c>
      <c r="G138" t="s">
        <v>897</v>
      </c>
      <c r="H138" t="s">
        <v>892</v>
      </c>
      <c r="I138" t="s">
        <v>892</v>
      </c>
      <c r="J138">
        <v>200</v>
      </c>
      <c r="K138">
        <v>30</v>
      </c>
      <c r="L138">
        <v>30</v>
      </c>
      <c r="O138">
        <v>1</v>
      </c>
      <c r="P138">
        <v>11604</v>
      </c>
      <c r="Q138">
        <v>11757</v>
      </c>
      <c r="R138">
        <v>153</v>
      </c>
      <c r="S138">
        <v>4</v>
      </c>
      <c r="T138">
        <v>612</v>
      </c>
      <c r="U138">
        <v>341</v>
      </c>
      <c r="V138">
        <v>344</v>
      </c>
      <c r="W138">
        <v>3</v>
      </c>
      <c r="X138">
        <v>35000</v>
      </c>
      <c r="Y138">
        <v>105</v>
      </c>
      <c r="Z138">
        <v>1</v>
      </c>
      <c r="AA138">
        <v>30000</v>
      </c>
      <c r="AB138">
        <v>30</v>
      </c>
      <c r="AC138">
        <v>1</v>
      </c>
      <c r="AD138">
        <v>100000</v>
      </c>
      <c r="AE138">
        <v>100</v>
      </c>
      <c r="AF138">
        <v>1</v>
      </c>
      <c r="AG138">
        <v>50000</v>
      </c>
      <c r="AH138">
        <v>50</v>
      </c>
      <c r="AI138">
        <v>0</v>
      </c>
      <c r="AK138">
        <v>0</v>
      </c>
      <c r="AL138">
        <v>1</v>
      </c>
      <c r="AM138">
        <v>60000</v>
      </c>
      <c r="AN138">
        <v>60</v>
      </c>
      <c r="AQ138">
        <v>0</v>
      </c>
      <c r="AU138">
        <v>957</v>
      </c>
      <c r="AV138" t="s">
        <v>952</v>
      </c>
      <c r="AW138" t="s">
        <v>953</v>
      </c>
      <c r="AX138" t="s">
        <v>954</v>
      </c>
      <c r="AY138" t="s">
        <v>383</v>
      </c>
      <c r="AZ138">
        <v>0</v>
      </c>
    </row>
    <row r="139" spans="1:55">
      <c r="A139" t="s">
        <v>955</v>
      </c>
      <c r="B139" t="s">
        <v>142</v>
      </c>
      <c r="C139">
        <v>601</v>
      </c>
      <c r="D139" t="s">
        <v>871</v>
      </c>
      <c r="E139">
        <v>1</v>
      </c>
      <c r="F139" t="s">
        <v>391</v>
      </c>
      <c r="G139" t="s">
        <v>391</v>
      </c>
      <c r="H139" t="s">
        <v>391</v>
      </c>
      <c r="I139" t="s">
        <v>391</v>
      </c>
      <c r="K139">
        <v>30</v>
      </c>
      <c r="L139">
        <v>30</v>
      </c>
      <c r="O139">
        <v>2</v>
      </c>
      <c r="P139">
        <v>13443</v>
      </c>
      <c r="Q139">
        <v>13443</v>
      </c>
      <c r="R139">
        <v>0</v>
      </c>
      <c r="S139">
        <v>4</v>
      </c>
      <c r="T139">
        <v>0</v>
      </c>
      <c r="U139">
        <v>334</v>
      </c>
      <c r="V139">
        <v>334</v>
      </c>
      <c r="W139">
        <v>0</v>
      </c>
      <c r="X139">
        <v>35000</v>
      </c>
      <c r="Y139">
        <v>0</v>
      </c>
      <c r="AB139">
        <v>0</v>
      </c>
      <c r="AC139">
        <v>1</v>
      </c>
      <c r="AD139">
        <v>100000</v>
      </c>
      <c r="AE139">
        <v>100</v>
      </c>
      <c r="AF139">
        <v>2</v>
      </c>
      <c r="AG139">
        <v>50000</v>
      </c>
      <c r="AH139">
        <v>100</v>
      </c>
      <c r="AI139">
        <v>0</v>
      </c>
      <c r="AK139">
        <v>0</v>
      </c>
      <c r="AN139">
        <v>0</v>
      </c>
      <c r="AO139">
        <v>2</v>
      </c>
      <c r="AP139">
        <v>120000</v>
      </c>
      <c r="AQ139">
        <v>240</v>
      </c>
      <c r="AU139">
        <v>440</v>
      </c>
      <c r="AV139" t="s">
        <v>956</v>
      </c>
      <c r="AW139" t="s">
        <v>957</v>
      </c>
      <c r="AX139" t="s">
        <v>958</v>
      </c>
      <c r="AY139" t="s">
        <v>417</v>
      </c>
      <c r="AZ139">
        <v>-21</v>
      </c>
    </row>
    <row r="140" spans="1:55">
      <c r="A140" t="s">
        <v>959</v>
      </c>
      <c r="B140" t="s">
        <v>142</v>
      </c>
      <c r="C140">
        <v>602</v>
      </c>
      <c r="D140" t="s">
        <v>871</v>
      </c>
      <c r="E140">
        <v>1</v>
      </c>
      <c r="F140" t="s">
        <v>391</v>
      </c>
      <c r="G140" t="s">
        <v>886</v>
      </c>
      <c r="H140" t="s">
        <v>391</v>
      </c>
      <c r="I140" t="s">
        <v>391</v>
      </c>
      <c r="J140">
        <v>200</v>
      </c>
      <c r="K140">
        <v>30</v>
      </c>
      <c r="L140">
        <v>30</v>
      </c>
      <c r="O140">
        <v>1</v>
      </c>
      <c r="P140">
        <v>7492</v>
      </c>
      <c r="Q140">
        <v>7694</v>
      </c>
      <c r="R140">
        <v>202</v>
      </c>
      <c r="S140">
        <v>4</v>
      </c>
      <c r="T140">
        <v>808</v>
      </c>
      <c r="U140">
        <v>320</v>
      </c>
      <c r="V140">
        <v>327</v>
      </c>
      <c r="W140">
        <v>7</v>
      </c>
      <c r="X140">
        <v>30000</v>
      </c>
      <c r="Y140">
        <v>210</v>
      </c>
      <c r="Z140">
        <v>1</v>
      </c>
      <c r="AA140">
        <v>30000</v>
      </c>
      <c r="AB140">
        <v>30</v>
      </c>
      <c r="AC140">
        <v>1</v>
      </c>
      <c r="AD140">
        <v>100000</v>
      </c>
      <c r="AE140">
        <v>100</v>
      </c>
      <c r="AF140">
        <v>1</v>
      </c>
      <c r="AG140">
        <v>50000</v>
      </c>
      <c r="AH140">
        <v>50</v>
      </c>
      <c r="AI140">
        <v>0</v>
      </c>
      <c r="AK140">
        <v>0</v>
      </c>
      <c r="AL140">
        <v>0</v>
      </c>
      <c r="AM140">
        <v>60000</v>
      </c>
      <c r="AN140">
        <v>0</v>
      </c>
      <c r="AQ140">
        <v>0</v>
      </c>
      <c r="AU140" t="s">
        <v>960</v>
      </c>
      <c r="AV140" t="s">
        <v>961</v>
      </c>
      <c r="AW140" t="s">
        <v>763</v>
      </c>
      <c r="AX140" t="s">
        <v>962</v>
      </c>
      <c r="AY140" t="s">
        <v>383</v>
      </c>
      <c r="AZ140">
        <v>0</v>
      </c>
    </row>
    <row r="141" spans="1:55">
      <c r="A141" t="s">
        <v>963</v>
      </c>
      <c r="B141" t="s">
        <v>142</v>
      </c>
      <c r="C141">
        <v>603</v>
      </c>
      <c r="D141" t="s">
        <v>871</v>
      </c>
      <c r="E141">
        <v>1</v>
      </c>
      <c r="F141" t="s">
        <v>391</v>
      </c>
      <c r="G141" t="s">
        <v>886</v>
      </c>
      <c r="H141" t="s">
        <v>391</v>
      </c>
      <c r="I141" t="s">
        <v>391</v>
      </c>
      <c r="K141">
        <v>30</v>
      </c>
      <c r="L141">
        <v>30</v>
      </c>
      <c r="O141">
        <v>2</v>
      </c>
      <c r="P141">
        <v>16125</v>
      </c>
      <c r="Q141">
        <v>16550</v>
      </c>
      <c r="R141">
        <v>425</v>
      </c>
      <c r="S141">
        <v>4</v>
      </c>
      <c r="T141" t="s">
        <v>964</v>
      </c>
      <c r="U141">
        <v>480</v>
      </c>
      <c r="V141">
        <v>489</v>
      </c>
      <c r="W141">
        <v>9</v>
      </c>
      <c r="X141">
        <v>30000</v>
      </c>
      <c r="Y141">
        <v>270</v>
      </c>
      <c r="Z141">
        <v>2</v>
      </c>
      <c r="AA141">
        <v>30000</v>
      </c>
      <c r="AB141">
        <v>60</v>
      </c>
      <c r="AC141">
        <v>1</v>
      </c>
      <c r="AD141">
        <v>100000</v>
      </c>
      <c r="AE141">
        <v>100</v>
      </c>
      <c r="AF141">
        <v>2</v>
      </c>
      <c r="AG141">
        <v>50000</v>
      </c>
      <c r="AH141">
        <v>100</v>
      </c>
      <c r="AI141">
        <v>0</v>
      </c>
      <c r="AK141">
        <v>0</v>
      </c>
      <c r="AL141">
        <v>2</v>
      </c>
      <c r="AM141">
        <v>60000</v>
      </c>
      <c r="AN141">
        <v>120</v>
      </c>
      <c r="AQ141">
        <v>0</v>
      </c>
      <c r="AU141" t="s">
        <v>965</v>
      </c>
      <c r="AV141" t="s">
        <v>966</v>
      </c>
      <c r="AX141" t="s">
        <v>967</v>
      </c>
      <c r="AY141" t="s">
        <v>383</v>
      </c>
      <c r="AZ141">
        <v>0</v>
      </c>
    </row>
    <row r="142" spans="1:55">
      <c r="A142" t="s">
        <v>968</v>
      </c>
      <c r="B142" t="s">
        <v>142</v>
      </c>
      <c r="C142">
        <v>604</v>
      </c>
      <c r="D142" t="s">
        <v>871</v>
      </c>
      <c r="E142">
        <v>1</v>
      </c>
      <c r="F142" t="s">
        <v>391</v>
      </c>
      <c r="G142" t="s">
        <v>897</v>
      </c>
      <c r="H142" t="s">
        <v>391</v>
      </c>
      <c r="I142" t="s">
        <v>391</v>
      </c>
      <c r="J142">
        <v>200</v>
      </c>
      <c r="K142">
        <v>30</v>
      </c>
      <c r="L142">
        <v>30</v>
      </c>
      <c r="M142" t="s">
        <v>969</v>
      </c>
      <c r="O142">
        <v>2</v>
      </c>
      <c r="P142">
        <v>16583</v>
      </c>
      <c r="Q142">
        <v>16583</v>
      </c>
      <c r="R142">
        <v>0</v>
      </c>
      <c r="S142">
        <v>4</v>
      </c>
      <c r="T142">
        <v>0</v>
      </c>
      <c r="U142">
        <v>495</v>
      </c>
      <c r="V142">
        <v>495</v>
      </c>
      <c r="W142">
        <v>0</v>
      </c>
      <c r="X142">
        <v>35000</v>
      </c>
      <c r="Y142">
        <v>0</v>
      </c>
      <c r="AB142">
        <v>0</v>
      </c>
      <c r="AD142">
        <v>100000</v>
      </c>
      <c r="AE142">
        <v>0</v>
      </c>
      <c r="AF142">
        <v>2</v>
      </c>
      <c r="AG142">
        <v>50000</v>
      </c>
      <c r="AH142">
        <v>100</v>
      </c>
      <c r="AI142">
        <v>0</v>
      </c>
      <c r="AK142">
        <v>0</v>
      </c>
      <c r="AN142">
        <v>0</v>
      </c>
      <c r="AO142">
        <v>2</v>
      </c>
      <c r="AP142">
        <v>120000</v>
      </c>
      <c r="AQ142">
        <v>240</v>
      </c>
      <c r="AU142">
        <v>340</v>
      </c>
      <c r="AV142" t="s">
        <v>970</v>
      </c>
      <c r="AW142" t="s">
        <v>971</v>
      </c>
      <c r="AX142" t="s">
        <v>972</v>
      </c>
      <c r="AY142" t="s">
        <v>383</v>
      </c>
      <c r="AZ142">
        <v>0</v>
      </c>
    </row>
    <row r="143" spans="1:55">
      <c r="A143" t="s">
        <v>973</v>
      </c>
      <c r="B143" t="s">
        <v>242</v>
      </c>
      <c r="C143">
        <v>101</v>
      </c>
      <c r="D143" t="s">
        <v>974</v>
      </c>
      <c r="E143">
        <v>1</v>
      </c>
      <c r="F143" t="s">
        <v>552</v>
      </c>
      <c r="G143" t="s">
        <v>386</v>
      </c>
      <c r="H143" t="s">
        <v>552</v>
      </c>
      <c r="I143" t="s">
        <v>552</v>
      </c>
      <c r="K143">
        <v>30</v>
      </c>
      <c r="L143">
        <v>30</v>
      </c>
      <c r="O143">
        <v>1</v>
      </c>
      <c r="P143">
        <v>10938</v>
      </c>
      <c r="Q143">
        <v>11117</v>
      </c>
      <c r="R143">
        <v>179</v>
      </c>
      <c r="S143">
        <v>4000</v>
      </c>
      <c r="T143">
        <v>716</v>
      </c>
      <c r="W143">
        <v>1</v>
      </c>
      <c r="X143">
        <v>120000</v>
      </c>
      <c r="Y143">
        <v>120</v>
      </c>
      <c r="Z143">
        <v>1</v>
      </c>
      <c r="AA143">
        <v>60000</v>
      </c>
      <c r="AB143">
        <v>60</v>
      </c>
      <c r="AC143">
        <v>1</v>
      </c>
      <c r="AD143">
        <v>100000</v>
      </c>
      <c r="AE143">
        <v>100</v>
      </c>
      <c r="AF143">
        <v>0</v>
      </c>
      <c r="AG143">
        <v>50000</v>
      </c>
      <c r="AH143">
        <v>0</v>
      </c>
      <c r="AI143">
        <v>0</v>
      </c>
      <c r="AK143">
        <v>0</v>
      </c>
      <c r="AL143">
        <v>1</v>
      </c>
      <c r="AM143">
        <v>150000</v>
      </c>
      <c r="AN143">
        <v>150</v>
      </c>
      <c r="AQ143">
        <v>0</v>
      </c>
      <c r="AU143" t="s">
        <v>975</v>
      </c>
      <c r="AV143" t="s">
        <v>976</v>
      </c>
      <c r="AX143" t="s">
        <v>977</v>
      </c>
      <c r="AY143" t="s">
        <v>383</v>
      </c>
      <c r="AZ143">
        <v>0</v>
      </c>
    </row>
    <row r="144" spans="1:55">
      <c r="A144" t="s">
        <v>978</v>
      </c>
      <c r="B144" t="s">
        <v>242</v>
      </c>
      <c r="C144">
        <v>201</v>
      </c>
      <c r="D144" t="s">
        <v>974</v>
      </c>
      <c r="E144">
        <v>1</v>
      </c>
      <c r="F144" t="s">
        <v>385</v>
      </c>
      <c r="G144" t="s">
        <v>420</v>
      </c>
      <c r="H144" t="s">
        <v>385</v>
      </c>
      <c r="I144" t="s">
        <v>385</v>
      </c>
      <c r="K144">
        <v>30</v>
      </c>
      <c r="L144">
        <v>30</v>
      </c>
      <c r="O144">
        <v>2</v>
      </c>
      <c r="P144">
        <v>10742</v>
      </c>
      <c r="Q144">
        <v>10979</v>
      </c>
      <c r="R144">
        <v>237</v>
      </c>
      <c r="S144">
        <v>4000</v>
      </c>
      <c r="T144">
        <v>948</v>
      </c>
      <c r="W144">
        <v>2</v>
      </c>
      <c r="X144">
        <v>100000</v>
      </c>
      <c r="Y144">
        <v>200</v>
      </c>
      <c r="AB144">
        <v>0</v>
      </c>
      <c r="AC144">
        <v>1</v>
      </c>
      <c r="AD144">
        <v>100000</v>
      </c>
      <c r="AE144">
        <v>100</v>
      </c>
      <c r="AF144">
        <v>2</v>
      </c>
      <c r="AG144">
        <v>50000</v>
      </c>
      <c r="AH144">
        <v>100</v>
      </c>
      <c r="AI144">
        <v>0</v>
      </c>
      <c r="AK144">
        <v>0</v>
      </c>
      <c r="AM144">
        <v>100000</v>
      </c>
      <c r="AN144">
        <v>0</v>
      </c>
      <c r="AO144">
        <v>2</v>
      </c>
      <c r="AP144">
        <v>120000</v>
      </c>
      <c r="AQ144">
        <v>240</v>
      </c>
      <c r="AU144" t="s">
        <v>979</v>
      </c>
      <c r="AV144" t="s">
        <v>980</v>
      </c>
      <c r="AX144" t="s">
        <v>981</v>
      </c>
      <c r="AY144" t="s">
        <v>383</v>
      </c>
      <c r="AZ144">
        <v>0</v>
      </c>
    </row>
    <row r="145" spans="1:65">
      <c r="A145" t="s">
        <v>982</v>
      </c>
      <c r="B145" t="s">
        <v>242</v>
      </c>
      <c r="C145">
        <v>202</v>
      </c>
      <c r="D145" t="s">
        <v>974</v>
      </c>
      <c r="E145">
        <v>1</v>
      </c>
      <c r="F145" t="s">
        <v>552</v>
      </c>
      <c r="G145" t="s">
        <v>385</v>
      </c>
      <c r="H145" t="s">
        <v>552</v>
      </c>
      <c r="I145" t="s">
        <v>552</v>
      </c>
      <c r="K145">
        <v>30</v>
      </c>
      <c r="L145">
        <v>30</v>
      </c>
      <c r="O145">
        <v>1</v>
      </c>
      <c r="P145">
        <v>8086</v>
      </c>
      <c r="Q145">
        <v>8275</v>
      </c>
      <c r="R145">
        <v>189</v>
      </c>
      <c r="S145">
        <v>4000</v>
      </c>
      <c r="T145">
        <v>756</v>
      </c>
      <c r="U145">
        <v>368</v>
      </c>
      <c r="V145">
        <v>370</v>
      </c>
      <c r="W145">
        <v>2</v>
      </c>
      <c r="X145">
        <v>35000</v>
      </c>
      <c r="Y145">
        <v>70</v>
      </c>
      <c r="Z145">
        <v>1</v>
      </c>
      <c r="AA145">
        <v>60000</v>
      </c>
      <c r="AB145">
        <v>60</v>
      </c>
      <c r="AD145">
        <v>100000</v>
      </c>
      <c r="AE145">
        <v>0</v>
      </c>
      <c r="AF145">
        <v>0</v>
      </c>
      <c r="AG145">
        <v>50000</v>
      </c>
      <c r="AH145">
        <v>0</v>
      </c>
      <c r="AI145">
        <v>0</v>
      </c>
      <c r="AK145">
        <v>0</v>
      </c>
      <c r="AL145">
        <v>1</v>
      </c>
      <c r="AM145">
        <v>150000</v>
      </c>
      <c r="AN145">
        <v>150</v>
      </c>
      <c r="AQ145">
        <v>0</v>
      </c>
      <c r="AU145" t="s">
        <v>738</v>
      </c>
      <c r="AV145" t="s">
        <v>983</v>
      </c>
      <c r="AW145" t="s">
        <v>984</v>
      </c>
      <c r="AX145" t="s">
        <v>985</v>
      </c>
      <c r="AY145" t="s">
        <v>383</v>
      </c>
      <c r="AZ145">
        <v>0</v>
      </c>
    </row>
    <row r="146" spans="1:65">
      <c r="A146" t="s">
        <v>986</v>
      </c>
      <c r="B146" t="s">
        <v>242</v>
      </c>
      <c r="C146">
        <v>301</v>
      </c>
      <c r="D146" t="s">
        <v>974</v>
      </c>
      <c r="E146">
        <v>1</v>
      </c>
      <c r="F146" t="s">
        <v>391</v>
      </c>
      <c r="G146" t="s">
        <v>420</v>
      </c>
      <c r="H146" t="s">
        <v>391</v>
      </c>
      <c r="I146" t="s">
        <v>391</v>
      </c>
      <c r="J146" t="s">
        <v>391</v>
      </c>
      <c r="K146">
        <v>30</v>
      </c>
      <c r="L146">
        <v>30</v>
      </c>
      <c r="O146">
        <v>1</v>
      </c>
      <c r="P146">
        <v>8559</v>
      </c>
      <c r="Q146">
        <v>8559</v>
      </c>
      <c r="R146">
        <v>0</v>
      </c>
      <c r="S146">
        <v>4000</v>
      </c>
      <c r="T146">
        <v>0</v>
      </c>
      <c r="U146">
        <v>396</v>
      </c>
      <c r="V146">
        <v>396</v>
      </c>
      <c r="W146">
        <v>0</v>
      </c>
      <c r="X146">
        <v>35000</v>
      </c>
      <c r="Y146">
        <v>0</v>
      </c>
      <c r="AB146">
        <v>0</v>
      </c>
      <c r="AC146">
        <v>1</v>
      </c>
      <c r="AD146">
        <v>100000</v>
      </c>
      <c r="AE146">
        <v>100</v>
      </c>
      <c r="AF146">
        <v>1</v>
      </c>
      <c r="AG146">
        <v>50000</v>
      </c>
      <c r="AH146">
        <v>50</v>
      </c>
      <c r="AI146">
        <v>0</v>
      </c>
      <c r="AK146">
        <v>0</v>
      </c>
      <c r="AM146">
        <v>90000</v>
      </c>
      <c r="AN146">
        <v>0</v>
      </c>
      <c r="AO146">
        <v>1</v>
      </c>
      <c r="AP146">
        <v>120000</v>
      </c>
      <c r="AQ146">
        <v>120</v>
      </c>
      <c r="AU146">
        <v>270</v>
      </c>
      <c r="AV146" t="s">
        <v>987</v>
      </c>
      <c r="AW146" t="s">
        <v>988</v>
      </c>
      <c r="AX146" t="s">
        <v>989</v>
      </c>
      <c r="AY146" t="s">
        <v>383</v>
      </c>
      <c r="AZ146">
        <v>0</v>
      </c>
    </row>
    <row r="147" spans="1:65">
      <c r="A147" t="s">
        <v>990</v>
      </c>
      <c r="B147" t="s">
        <v>242</v>
      </c>
      <c r="C147">
        <v>302</v>
      </c>
      <c r="D147" t="s">
        <v>974</v>
      </c>
      <c r="E147">
        <v>1</v>
      </c>
      <c r="F147" t="s">
        <v>552</v>
      </c>
      <c r="G147" t="s">
        <v>385</v>
      </c>
      <c r="H147" t="s">
        <v>552</v>
      </c>
      <c r="I147" t="s">
        <v>552</v>
      </c>
      <c r="K147">
        <v>30</v>
      </c>
      <c r="L147">
        <v>30</v>
      </c>
      <c r="O147">
        <v>1</v>
      </c>
      <c r="P147">
        <v>9452</v>
      </c>
      <c r="Q147">
        <v>9554</v>
      </c>
      <c r="R147">
        <v>102</v>
      </c>
      <c r="S147">
        <v>4000</v>
      </c>
      <c r="T147">
        <v>408</v>
      </c>
      <c r="W147">
        <v>1</v>
      </c>
      <c r="X147">
        <v>120000</v>
      </c>
      <c r="Y147">
        <v>120</v>
      </c>
      <c r="AB147">
        <v>0</v>
      </c>
      <c r="AC147">
        <v>1</v>
      </c>
      <c r="AD147">
        <v>100000</v>
      </c>
      <c r="AE147">
        <v>100</v>
      </c>
      <c r="AF147">
        <v>1</v>
      </c>
      <c r="AG147">
        <v>50000</v>
      </c>
      <c r="AH147">
        <v>50</v>
      </c>
      <c r="AI147">
        <v>0</v>
      </c>
      <c r="AK147">
        <v>0</v>
      </c>
      <c r="AL147">
        <v>1</v>
      </c>
      <c r="AM147">
        <v>80000</v>
      </c>
      <c r="AN147">
        <v>80</v>
      </c>
      <c r="AO147">
        <v>1</v>
      </c>
      <c r="AP147">
        <v>120000</v>
      </c>
      <c r="AQ147">
        <v>120</v>
      </c>
      <c r="AU147">
        <v>878</v>
      </c>
      <c r="AV147" t="s">
        <v>991</v>
      </c>
      <c r="AX147" t="s">
        <v>992</v>
      </c>
      <c r="AY147" t="s">
        <v>383</v>
      </c>
      <c r="AZ147">
        <v>0</v>
      </c>
    </row>
    <row r="148" spans="1:65">
      <c r="A148" t="s">
        <v>993</v>
      </c>
      <c r="B148" t="s">
        <v>242</v>
      </c>
      <c r="C148">
        <v>401</v>
      </c>
      <c r="D148" t="s">
        <v>974</v>
      </c>
      <c r="E148">
        <v>1</v>
      </c>
      <c r="F148" t="s">
        <v>385</v>
      </c>
      <c r="G148" t="s">
        <v>420</v>
      </c>
      <c r="H148" t="s">
        <v>385</v>
      </c>
      <c r="I148" t="s">
        <v>385</v>
      </c>
      <c r="K148">
        <v>30</v>
      </c>
      <c r="L148">
        <v>30</v>
      </c>
      <c r="O148">
        <v>1</v>
      </c>
      <c r="P148">
        <v>9638</v>
      </c>
      <c r="Q148">
        <v>9853</v>
      </c>
      <c r="R148">
        <v>215</v>
      </c>
      <c r="S148">
        <v>4000</v>
      </c>
      <c r="T148">
        <v>860</v>
      </c>
      <c r="W148">
        <v>1</v>
      </c>
      <c r="X148">
        <v>120000</v>
      </c>
      <c r="Y148">
        <v>120</v>
      </c>
      <c r="AB148">
        <v>0</v>
      </c>
      <c r="AC148">
        <v>1</v>
      </c>
      <c r="AD148">
        <v>50000</v>
      </c>
      <c r="AE148">
        <v>50</v>
      </c>
      <c r="AF148">
        <v>1</v>
      </c>
      <c r="AG148">
        <v>50000</v>
      </c>
      <c r="AH148">
        <v>50</v>
      </c>
      <c r="AI148">
        <v>0</v>
      </c>
      <c r="AK148">
        <v>0</v>
      </c>
      <c r="AL148">
        <v>1</v>
      </c>
      <c r="AM148">
        <v>100000</v>
      </c>
      <c r="AN148">
        <v>100</v>
      </c>
      <c r="AO148">
        <v>1</v>
      </c>
      <c r="AP148">
        <v>120000</v>
      </c>
      <c r="AQ148">
        <v>120</v>
      </c>
      <c r="AU148" t="s">
        <v>446</v>
      </c>
      <c r="AV148" t="s">
        <v>994</v>
      </c>
      <c r="AX148" t="s">
        <v>995</v>
      </c>
      <c r="AY148" t="s">
        <v>383</v>
      </c>
      <c r="AZ148">
        <v>0</v>
      </c>
    </row>
    <row r="149" spans="1:65">
      <c r="A149" t="s">
        <v>996</v>
      </c>
      <c r="B149" t="s">
        <v>242</v>
      </c>
      <c r="C149">
        <v>402</v>
      </c>
      <c r="D149" t="s">
        <v>974</v>
      </c>
      <c r="E149">
        <v>1</v>
      </c>
      <c r="F149" t="s">
        <v>552</v>
      </c>
      <c r="G149" t="s">
        <v>385</v>
      </c>
      <c r="H149" t="s">
        <v>552</v>
      </c>
      <c r="I149" t="s">
        <v>552</v>
      </c>
      <c r="K149">
        <v>30</v>
      </c>
      <c r="L149">
        <v>30</v>
      </c>
      <c r="O149">
        <v>1</v>
      </c>
      <c r="P149">
        <v>10603</v>
      </c>
      <c r="Q149">
        <v>10687</v>
      </c>
      <c r="R149">
        <v>84</v>
      </c>
      <c r="S149">
        <v>4000</v>
      </c>
      <c r="T149">
        <v>336</v>
      </c>
      <c r="U149">
        <v>301</v>
      </c>
      <c r="V149">
        <v>301</v>
      </c>
      <c r="W149">
        <v>0</v>
      </c>
      <c r="X149">
        <v>30000</v>
      </c>
      <c r="Y149">
        <v>0</v>
      </c>
      <c r="Z149">
        <v>1</v>
      </c>
      <c r="AA149">
        <v>30000</v>
      </c>
      <c r="AB149">
        <v>30</v>
      </c>
      <c r="AC149">
        <v>1</v>
      </c>
      <c r="AD149">
        <v>90000</v>
      </c>
      <c r="AE149">
        <v>90</v>
      </c>
      <c r="AF149">
        <v>1</v>
      </c>
      <c r="AG149">
        <v>50000</v>
      </c>
      <c r="AH149">
        <v>50</v>
      </c>
      <c r="AI149">
        <v>0</v>
      </c>
      <c r="AK149">
        <v>0</v>
      </c>
      <c r="AL149">
        <v>1</v>
      </c>
      <c r="AM149">
        <v>100000</v>
      </c>
      <c r="AN149">
        <v>100</v>
      </c>
      <c r="AQ149">
        <v>0</v>
      </c>
      <c r="AU149">
        <v>606</v>
      </c>
      <c r="AV149" t="s">
        <v>997</v>
      </c>
      <c r="AX149" t="s">
        <v>998</v>
      </c>
      <c r="AY149" t="s">
        <v>383</v>
      </c>
      <c r="AZ149">
        <v>0</v>
      </c>
    </row>
    <row r="150" spans="1:65">
      <c r="A150" t="s">
        <v>999</v>
      </c>
      <c r="B150" t="s">
        <v>242</v>
      </c>
      <c r="C150" t="s">
        <v>999</v>
      </c>
      <c r="D150" t="s">
        <v>974</v>
      </c>
      <c r="E150">
        <v>1</v>
      </c>
      <c r="F150" t="s">
        <v>420</v>
      </c>
      <c r="G150" t="s">
        <v>420</v>
      </c>
      <c r="H150" t="s">
        <v>420</v>
      </c>
      <c r="I150" t="s">
        <v>420</v>
      </c>
      <c r="K150">
        <v>30</v>
      </c>
      <c r="L150">
        <v>30</v>
      </c>
      <c r="O150">
        <v>1</v>
      </c>
      <c r="P150">
        <v>5207</v>
      </c>
      <c r="Q150">
        <v>5472</v>
      </c>
      <c r="R150">
        <v>265</v>
      </c>
      <c r="S150">
        <v>4000</v>
      </c>
      <c r="T150" t="s">
        <v>1000</v>
      </c>
      <c r="W150">
        <v>1</v>
      </c>
      <c r="X150">
        <v>120000</v>
      </c>
      <c r="Y150">
        <v>120</v>
      </c>
      <c r="AB150">
        <v>0</v>
      </c>
      <c r="AC150">
        <v>1</v>
      </c>
      <c r="AD150">
        <v>100000</v>
      </c>
      <c r="AE150">
        <v>100</v>
      </c>
      <c r="AF150">
        <v>1</v>
      </c>
      <c r="AG150">
        <v>50000</v>
      </c>
      <c r="AH150">
        <v>50</v>
      </c>
      <c r="AK150">
        <v>0</v>
      </c>
      <c r="AL150">
        <v>1</v>
      </c>
      <c r="AM150">
        <v>90000</v>
      </c>
      <c r="AN150">
        <v>90</v>
      </c>
      <c r="AO150">
        <v>1</v>
      </c>
      <c r="AP150">
        <v>120000</v>
      </c>
      <c r="AQ150">
        <v>120</v>
      </c>
      <c r="AU150" t="s">
        <v>1001</v>
      </c>
      <c r="AV150" t="s">
        <v>1002</v>
      </c>
      <c r="AW150" t="s">
        <v>1003</v>
      </c>
      <c r="AX150" t="s">
        <v>1004</v>
      </c>
      <c r="AY150" t="s">
        <v>417</v>
      </c>
      <c r="AZ150">
        <v>-960</v>
      </c>
    </row>
    <row r="151" spans="1:65">
      <c r="A151" t="s">
        <v>1005</v>
      </c>
      <c r="B151" t="s">
        <v>242</v>
      </c>
      <c r="C151" t="s">
        <v>1005</v>
      </c>
      <c r="D151" t="s">
        <v>974</v>
      </c>
      <c r="E151">
        <v>1</v>
      </c>
      <c r="F151" t="s">
        <v>552</v>
      </c>
      <c r="G151" t="s">
        <v>385</v>
      </c>
      <c r="H151" t="s">
        <v>552</v>
      </c>
      <c r="I151" t="s">
        <v>552</v>
      </c>
      <c r="K151">
        <v>30</v>
      </c>
      <c r="L151">
        <v>30</v>
      </c>
      <c r="O151">
        <v>2</v>
      </c>
      <c r="P151">
        <v>3490</v>
      </c>
      <c r="Q151">
        <v>3837</v>
      </c>
      <c r="R151">
        <v>347</v>
      </c>
      <c r="S151">
        <v>4000</v>
      </c>
      <c r="T151" t="s">
        <v>1006</v>
      </c>
      <c r="W151">
        <v>2</v>
      </c>
      <c r="X151">
        <v>120000</v>
      </c>
      <c r="Y151">
        <v>240</v>
      </c>
      <c r="AB151">
        <v>0</v>
      </c>
      <c r="AC151">
        <v>1</v>
      </c>
      <c r="AD151">
        <v>100000</v>
      </c>
      <c r="AE151">
        <v>100</v>
      </c>
      <c r="AF151">
        <v>1</v>
      </c>
      <c r="AG151">
        <v>50000</v>
      </c>
      <c r="AH151">
        <v>50</v>
      </c>
      <c r="AK151">
        <v>0</v>
      </c>
      <c r="AL151">
        <v>1</v>
      </c>
      <c r="AM151">
        <v>200000</v>
      </c>
      <c r="AN151">
        <v>200</v>
      </c>
      <c r="AO151">
        <v>1</v>
      </c>
      <c r="AP151">
        <v>100000</v>
      </c>
      <c r="AQ151">
        <v>100</v>
      </c>
      <c r="AU151" t="s">
        <v>1007</v>
      </c>
      <c r="AV151" t="s">
        <v>1008</v>
      </c>
      <c r="AX151" t="s">
        <v>1009</v>
      </c>
      <c r="AY151" t="s">
        <v>383</v>
      </c>
      <c r="AZ151">
        <v>0</v>
      </c>
    </row>
    <row r="152" spans="1:65">
      <c r="A152" t="s">
        <v>1010</v>
      </c>
      <c r="B152" t="s">
        <v>242</v>
      </c>
      <c r="C152" t="s">
        <v>1010</v>
      </c>
      <c r="D152" t="s">
        <v>974</v>
      </c>
      <c r="E152">
        <v>1</v>
      </c>
      <c r="F152" t="s">
        <v>897</v>
      </c>
      <c r="G152" t="s">
        <v>897</v>
      </c>
      <c r="H152" t="s">
        <v>897</v>
      </c>
      <c r="I152" t="s">
        <v>897</v>
      </c>
      <c r="K152">
        <v>30</v>
      </c>
      <c r="L152">
        <v>30</v>
      </c>
      <c r="M152">
        <v>158</v>
      </c>
      <c r="O152">
        <v>1</v>
      </c>
      <c r="P152">
        <v>8323</v>
      </c>
      <c r="Q152">
        <v>8522</v>
      </c>
      <c r="R152">
        <v>199</v>
      </c>
      <c r="S152">
        <v>4000</v>
      </c>
      <c r="T152">
        <v>796</v>
      </c>
      <c r="W152">
        <v>2</v>
      </c>
      <c r="X152">
        <v>100000</v>
      </c>
      <c r="Y152">
        <v>200</v>
      </c>
      <c r="AB152">
        <v>0</v>
      </c>
      <c r="AC152">
        <v>1</v>
      </c>
      <c r="AD152">
        <v>100000</v>
      </c>
      <c r="AE152">
        <v>100</v>
      </c>
      <c r="AF152">
        <v>1</v>
      </c>
      <c r="AG152">
        <v>50000</v>
      </c>
      <c r="AH152">
        <v>50</v>
      </c>
      <c r="AK152">
        <v>0</v>
      </c>
      <c r="AM152">
        <v>100000</v>
      </c>
      <c r="AN152">
        <v>0</v>
      </c>
      <c r="AO152">
        <v>1</v>
      </c>
      <c r="AP152">
        <v>60000</v>
      </c>
      <c r="AQ152">
        <v>60</v>
      </c>
      <c r="AU152" t="s">
        <v>1011</v>
      </c>
      <c r="AV152" t="s">
        <v>1012</v>
      </c>
      <c r="AW152" t="s">
        <v>1013</v>
      </c>
      <c r="AX152" t="s">
        <v>1014</v>
      </c>
      <c r="AY152" t="s">
        <v>383</v>
      </c>
      <c r="AZ152">
        <v>0</v>
      </c>
    </row>
    <row r="153" spans="1:65">
      <c r="A153" t="s">
        <v>1015</v>
      </c>
      <c r="B153" t="s">
        <v>218</v>
      </c>
      <c r="C153">
        <v>101</v>
      </c>
      <c r="D153" t="s">
        <v>375</v>
      </c>
      <c r="E153">
        <v>1</v>
      </c>
      <c r="F153" t="s">
        <v>395</v>
      </c>
      <c r="G153" t="s">
        <v>376</v>
      </c>
      <c r="H153" t="s">
        <v>609</v>
      </c>
      <c r="I153" t="s">
        <v>395</v>
      </c>
      <c r="K153">
        <v>30</v>
      </c>
      <c r="L153">
        <v>30</v>
      </c>
      <c r="O153">
        <v>2</v>
      </c>
      <c r="P153">
        <v>7578</v>
      </c>
      <c r="Q153">
        <v>7873</v>
      </c>
      <c r="R153">
        <v>295</v>
      </c>
      <c r="S153">
        <v>4000</v>
      </c>
      <c r="T153" t="s">
        <v>862</v>
      </c>
      <c r="W153">
        <v>2</v>
      </c>
      <c r="X153">
        <v>120000</v>
      </c>
      <c r="Y153">
        <v>240</v>
      </c>
      <c r="AA153">
        <v>30000</v>
      </c>
      <c r="AB153">
        <v>0</v>
      </c>
      <c r="AC153">
        <v>1</v>
      </c>
      <c r="AD153">
        <v>100000</v>
      </c>
      <c r="AE153">
        <v>100</v>
      </c>
      <c r="AH153">
        <v>0</v>
      </c>
      <c r="AK153">
        <v>0</v>
      </c>
      <c r="AL153">
        <v>2</v>
      </c>
      <c r="AM153">
        <v>90000</v>
      </c>
      <c r="AN153">
        <v>180</v>
      </c>
      <c r="AO153">
        <v>2</v>
      </c>
      <c r="AP153">
        <v>100000</v>
      </c>
      <c r="AQ153">
        <v>200</v>
      </c>
      <c r="AU153" t="s">
        <v>1016</v>
      </c>
      <c r="AV153" t="s">
        <v>1017</v>
      </c>
      <c r="AX153" t="s">
        <v>1018</v>
      </c>
      <c r="AY153" t="s">
        <v>383</v>
      </c>
      <c r="AZ153">
        <v>0</v>
      </c>
    </row>
    <row r="154" spans="1:65">
      <c r="A154" t="s">
        <v>1019</v>
      </c>
      <c r="B154" t="s">
        <v>218</v>
      </c>
      <c r="C154">
        <v>201</v>
      </c>
      <c r="D154" t="s">
        <v>375</v>
      </c>
      <c r="E154">
        <v>1</v>
      </c>
      <c r="F154" t="s">
        <v>552</v>
      </c>
      <c r="G154" t="s">
        <v>408</v>
      </c>
      <c r="H154" t="s">
        <v>552</v>
      </c>
      <c r="I154" t="s">
        <v>395</v>
      </c>
      <c r="K154">
        <v>30</v>
      </c>
      <c r="L154">
        <v>30</v>
      </c>
      <c r="O154">
        <v>2</v>
      </c>
      <c r="P154">
        <v>5681</v>
      </c>
      <c r="Q154">
        <v>5758</v>
      </c>
      <c r="R154">
        <v>77</v>
      </c>
      <c r="S154">
        <v>4000</v>
      </c>
      <c r="T154">
        <v>308</v>
      </c>
      <c r="W154">
        <v>2</v>
      </c>
      <c r="X154">
        <v>120000</v>
      </c>
      <c r="Y154">
        <v>240</v>
      </c>
      <c r="AB154">
        <v>0</v>
      </c>
      <c r="AC154">
        <v>1</v>
      </c>
      <c r="AD154">
        <v>100000</v>
      </c>
      <c r="AE154">
        <v>100</v>
      </c>
      <c r="AH154">
        <v>0</v>
      </c>
      <c r="AI154">
        <v>0</v>
      </c>
      <c r="AK154">
        <v>0</v>
      </c>
      <c r="AL154">
        <v>2</v>
      </c>
      <c r="AM154">
        <v>80000</v>
      </c>
      <c r="AN154">
        <v>160</v>
      </c>
      <c r="AO154">
        <v>2</v>
      </c>
      <c r="AP154">
        <v>120000</v>
      </c>
      <c r="AQ154">
        <v>240</v>
      </c>
      <c r="AU154" t="s">
        <v>1020</v>
      </c>
      <c r="AV154" t="s">
        <v>1021</v>
      </c>
      <c r="AW154" t="s">
        <v>1022</v>
      </c>
      <c r="AX154" t="s">
        <v>1023</v>
      </c>
      <c r="AY154" t="s">
        <v>383</v>
      </c>
      <c r="AZ154">
        <v>0</v>
      </c>
    </row>
    <row r="155" spans="1:65">
      <c r="A155" t="s">
        <v>1024</v>
      </c>
      <c r="B155" t="s">
        <v>218</v>
      </c>
      <c r="C155">
        <v>301</v>
      </c>
      <c r="D155" t="s">
        <v>375</v>
      </c>
      <c r="E155">
        <v>1</v>
      </c>
      <c r="F155" t="s">
        <v>445</v>
      </c>
      <c r="G155" t="s">
        <v>552</v>
      </c>
      <c r="H155" t="s">
        <v>445</v>
      </c>
      <c r="I155" t="s">
        <v>1025</v>
      </c>
      <c r="K155">
        <v>30</v>
      </c>
      <c r="L155">
        <v>30</v>
      </c>
      <c r="O155">
        <v>1</v>
      </c>
      <c r="P155">
        <v>3459</v>
      </c>
      <c r="Q155">
        <v>3471</v>
      </c>
      <c r="R155">
        <v>12</v>
      </c>
      <c r="S155">
        <v>4000</v>
      </c>
      <c r="T155">
        <v>48</v>
      </c>
      <c r="W155">
        <v>1</v>
      </c>
      <c r="X155">
        <v>100000</v>
      </c>
      <c r="Y155">
        <v>100</v>
      </c>
      <c r="AB155">
        <v>0</v>
      </c>
      <c r="AC155">
        <v>1</v>
      </c>
      <c r="AD155">
        <v>100000</v>
      </c>
      <c r="AE155">
        <v>100</v>
      </c>
      <c r="AH155">
        <v>0</v>
      </c>
      <c r="AK155">
        <v>0</v>
      </c>
      <c r="AL155">
        <v>1</v>
      </c>
      <c r="AM155">
        <v>80000</v>
      </c>
      <c r="AN155">
        <v>80</v>
      </c>
      <c r="AO155">
        <v>1</v>
      </c>
      <c r="AP155">
        <v>120000</v>
      </c>
      <c r="AQ155">
        <v>120</v>
      </c>
      <c r="AU155">
        <v>448</v>
      </c>
      <c r="AV155" t="s">
        <v>1026</v>
      </c>
      <c r="AW155" t="s">
        <v>829</v>
      </c>
      <c r="AX155">
        <v>50</v>
      </c>
      <c r="AY155" t="s">
        <v>417</v>
      </c>
      <c r="AZ155" t="s">
        <v>1027</v>
      </c>
    </row>
    <row r="156" spans="1:65">
      <c r="A156" t="s">
        <v>1028</v>
      </c>
      <c r="B156" t="s">
        <v>218</v>
      </c>
      <c r="C156">
        <v>302</v>
      </c>
      <c r="D156" t="s">
        <v>375</v>
      </c>
      <c r="E156">
        <v>1</v>
      </c>
      <c r="F156" t="s">
        <v>1029</v>
      </c>
      <c r="G156" t="s">
        <v>789</v>
      </c>
      <c r="H156" t="s">
        <v>1029</v>
      </c>
      <c r="I156" t="s">
        <v>1029</v>
      </c>
      <c r="K156">
        <v>30</v>
      </c>
      <c r="L156">
        <v>30</v>
      </c>
      <c r="O156">
        <v>2</v>
      </c>
      <c r="P156">
        <v>6880</v>
      </c>
      <c r="Q156">
        <v>7052</v>
      </c>
      <c r="R156">
        <v>172</v>
      </c>
      <c r="S156">
        <v>4000</v>
      </c>
      <c r="T156">
        <v>688</v>
      </c>
      <c r="W156">
        <v>2</v>
      </c>
      <c r="X156">
        <v>120000</v>
      </c>
      <c r="Y156">
        <v>240</v>
      </c>
      <c r="AB156">
        <v>0</v>
      </c>
      <c r="AC156">
        <v>1</v>
      </c>
      <c r="AD156">
        <v>100000</v>
      </c>
      <c r="AE156">
        <v>100</v>
      </c>
      <c r="AH156">
        <v>0</v>
      </c>
      <c r="AI156">
        <v>0</v>
      </c>
      <c r="AL156">
        <v>2</v>
      </c>
      <c r="AM156">
        <v>80000</v>
      </c>
      <c r="AN156">
        <v>160</v>
      </c>
      <c r="AO156">
        <v>2</v>
      </c>
      <c r="AP156">
        <v>120000</v>
      </c>
      <c r="AQ156">
        <v>240</v>
      </c>
      <c r="AU156" t="s">
        <v>396</v>
      </c>
      <c r="AV156" t="s">
        <v>1030</v>
      </c>
      <c r="AX156" t="s">
        <v>1031</v>
      </c>
      <c r="AY156" t="s">
        <v>383</v>
      </c>
      <c r="AZ156">
        <v>0</v>
      </c>
    </row>
    <row r="157" spans="1:65">
      <c r="A157" t="s">
        <v>1032</v>
      </c>
      <c r="B157" t="s">
        <v>218</v>
      </c>
      <c r="C157">
        <v>401</v>
      </c>
      <c r="D157" t="s">
        <v>375</v>
      </c>
      <c r="E157">
        <v>1</v>
      </c>
      <c r="F157" t="s">
        <v>426</v>
      </c>
      <c r="G157" t="s">
        <v>552</v>
      </c>
      <c r="H157" t="s">
        <v>426</v>
      </c>
      <c r="I157" t="s">
        <v>426</v>
      </c>
      <c r="K157">
        <v>30</v>
      </c>
      <c r="L157">
        <v>30</v>
      </c>
      <c r="O157">
        <v>1</v>
      </c>
      <c r="P157">
        <v>4565</v>
      </c>
      <c r="Q157">
        <v>4757</v>
      </c>
      <c r="R157">
        <v>192</v>
      </c>
      <c r="S157">
        <v>4000</v>
      </c>
      <c r="T157">
        <v>768</v>
      </c>
      <c r="W157">
        <v>1</v>
      </c>
      <c r="X157">
        <v>120000</v>
      </c>
      <c r="Y157">
        <v>120</v>
      </c>
      <c r="AB157">
        <v>0</v>
      </c>
      <c r="AC157">
        <v>1</v>
      </c>
      <c r="AD157">
        <v>100000</v>
      </c>
      <c r="AE157">
        <v>100</v>
      </c>
      <c r="AH157">
        <v>0</v>
      </c>
      <c r="AK157">
        <v>0</v>
      </c>
      <c r="AL157">
        <v>1</v>
      </c>
      <c r="AM157">
        <v>90000</v>
      </c>
      <c r="AN157">
        <v>90</v>
      </c>
      <c r="AO157">
        <v>1</v>
      </c>
      <c r="AP157">
        <v>120000</v>
      </c>
      <c r="AQ157">
        <v>120</v>
      </c>
      <c r="AU157" t="s">
        <v>960</v>
      </c>
      <c r="AV157" t="s">
        <v>1033</v>
      </c>
      <c r="AX157" t="s">
        <v>1034</v>
      </c>
      <c r="AY157" t="s">
        <v>383</v>
      </c>
      <c r="AZ157">
        <v>0</v>
      </c>
    </row>
    <row r="158" spans="1:65">
      <c r="A158" t="s">
        <v>1035</v>
      </c>
      <c r="B158" t="s">
        <v>218</v>
      </c>
      <c r="C158">
        <v>402</v>
      </c>
      <c r="D158" t="s">
        <v>375</v>
      </c>
      <c r="E158">
        <v>1</v>
      </c>
      <c r="F158" t="s">
        <v>385</v>
      </c>
      <c r="G158" t="s">
        <v>789</v>
      </c>
      <c r="H158" t="s">
        <v>385</v>
      </c>
      <c r="I158" t="s">
        <v>385</v>
      </c>
      <c r="K158">
        <v>30</v>
      </c>
      <c r="L158">
        <v>30</v>
      </c>
      <c r="O158">
        <v>2</v>
      </c>
      <c r="P158">
        <v>8173</v>
      </c>
      <c r="Q158">
        <v>8530</v>
      </c>
      <c r="R158">
        <v>357</v>
      </c>
      <c r="S158">
        <v>4000</v>
      </c>
      <c r="T158" t="s">
        <v>1036</v>
      </c>
      <c r="W158">
        <v>1</v>
      </c>
      <c r="X158">
        <v>120000</v>
      </c>
      <c r="Y158">
        <v>120</v>
      </c>
      <c r="AB158">
        <v>0</v>
      </c>
      <c r="AC158">
        <v>1</v>
      </c>
      <c r="AD158">
        <v>100000</v>
      </c>
      <c r="AE158">
        <v>100</v>
      </c>
      <c r="AH158">
        <v>0</v>
      </c>
      <c r="AK158">
        <v>0</v>
      </c>
      <c r="AM158">
        <v>60000</v>
      </c>
      <c r="AN158">
        <v>0</v>
      </c>
      <c r="AO158">
        <v>2</v>
      </c>
      <c r="AP158">
        <v>125000</v>
      </c>
      <c r="AQ158">
        <v>250</v>
      </c>
      <c r="AU158" t="s">
        <v>808</v>
      </c>
      <c r="AV158" t="s">
        <v>1037</v>
      </c>
      <c r="AX158" t="s">
        <v>1038</v>
      </c>
      <c r="AY158" t="s">
        <v>383</v>
      </c>
      <c r="AZ158">
        <v>0</v>
      </c>
      <c r="BI158">
        <v>4201</v>
      </c>
      <c r="BJ158">
        <v>4691</v>
      </c>
      <c r="BK158">
        <v>490</v>
      </c>
      <c r="BL158">
        <v>3800</v>
      </c>
      <c r="BM158" t="s">
        <v>1039</v>
      </c>
    </row>
    <row r="159" spans="1:65">
      <c r="A159" t="s">
        <v>1040</v>
      </c>
      <c r="B159" t="s">
        <v>218</v>
      </c>
      <c r="C159">
        <v>501</v>
      </c>
      <c r="D159" t="s">
        <v>375</v>
      </c>
      <c r="E159">
        <v>1</v>
      </c>
      <c r="F159" t="s">
        <v>609</v>
      </c>
      <c r="G159" t="s">
        <v>609</v>
      </c>
      <c r="H159" t="s">
        <v>609</v>
      </c>
      <c r="I159" t="s">
        <v>609</v>
      </c>
      <c r="K159">
        <v>30</v>
      </c>
      <c r="L159">
        <v>30</v>
      </c>
      <c r="O159">
        <v>1</v>
      </c>
      <c r="P159">
        <v>5519</v>
      </c>
      <c r="Q159">
        <v>5543</v>
      </c>
      <c r="R159">
        <v>24</v>
      </c>
      <c r="S159">
        <v>4000</v>
      </c>
      <c r="T159">
        <v>96</v>
      </c>
      <c r="W159">
        <v>1</v>
      </c>
      <c r="X159">
        <v>120000</v>
      </c>
      <c r="Y159">
        <v>120</v>
      </c>
      <c r="AB159">
        <v>0</v>
      </c>
      <c r="AC159">
        <v>1</v>
      </c>
      <c r="AD159">
        <v>100000</v>
      </c>
      <c r="AE159">
        <v>100</v>
      </c>
      <c r="AH159">
        <v>0</v>
      </c>
      <c r="AK159">
        <v>0</v>
      </c>
      <c r="AL159">
        <v>1</v>
      </c>
      <c r="AM159">
        <v>90000</v>
      </c>
      <c r="AN159">
        <v>90</v>
      </c>
      <c r="AO159">
        <v>1</v>
      </c>
      <c r="AP159">
        <v>120000</v>
      </c>
      <c r="AQ159">
        <v>120</v>
      </c>
      <c r="AU159">
        <v>526</v>
      </c>
      <c r="AV159" t="s">
        <v>1041</v>
      </c>
      <c r="AW159" t="s">
        <v>697</v>
      </c>
      <c r="AX159" t="s">
        <v>1042</v>
      </c>
      <c r="AY159" t="s">
        <v>383</v>
      </c>
      <c r="AZ159">
        <v>0</v>
      </c>
    </row>
    <row r="160" spans="1:65">
      <c r="A160" t="s">
        <v>1043</v>
      </c>
      <c r="B160" t="s">
        <v>218</v>
      </c>
      <c r="C160">
        <v>502</v>
      </c>
      <c r="D160" t="s">
        <v>375</v>
      </c>
      <c r="E160">
        <v>1</v>
      </c>
      <c r="F160" t="s">
        <v>385</v>
      </c>
      <c r="G160" t="s">
        <v>386</v>
      </c>
      <c r="H160" t="s">
        <v>385</v>
      </c>
      <c r="I160" t="s">
        <v>385</v>
      </c>
      <c r="K160">
        <v>30</v>
      </c>
      <c r="L160">
        <v>30</v>
      </c>
      <c r="O160">
        <v>1</v>
      </c>
      <c r="P160">
        <v>7914</v>
      </c>
      <c r="Q160">
        <v>7932</v>
      </c>
      <c r="R160">
        <v>18</v>
      </c>
      <c r="S160">
        <v>4000</v>
      </c>
      <c r="T160">
        <v>72</v>
      </c>
      <c r="W160">
        <v>1</v>
      </c>
      <c r="X160">
        <v>120000</v>
      </c>
      <c r="Y160">
        <v>120</v>
      </c>
      <c r="AA160">
        <v>300000</v>
      </c>
      <c r="AB160">
        <v>0</v>
      </c>
      <c r="AD160">
        <v>100000</v>
      </c>
      <c r="AE160">
        <v>0</v>
      </c>
      <c r="AH160">
        <v>0</v>
      </c>
      <c r="AK160">
        <v>0</v>
      </c>
      <c r="AL160">
        <v>1</v>
      </c>
      <c r="AM160">
        <v>80000</v>
      </c>
      <c r="AN160">
        <v>80</v>
      </c>
      <c r="AO160">
        <v>1</v>
      </c>
      <c r="AP160">
        <v>120000</v>
      </c>
      <c r="AQ160">
        <v>120</v>
      </c>
      <c r="AU160">
        <v>392</v>
      </c>
      <c r="AV160" t="s">
        <v>1044</v>
      </c>
      <c r="AX160" t="s">
        <v>1045</v>
      </c>
      <c r="AY160" t="s">
        <v>383</v>
      </c>
      <c r="AZ160">
        <v>0</v>
      </c>
      <c r="BA160" s="1">
        <v>46030</v>
      </c>
      <c r="BB160" t="s">
        <v>474</v>
      </c>
      <c r="BC160" t="s">
        <v>937</v>
      </c>
    </row>
    <row r="161" spans="1:56">
      <c r="A161" t="s">
        <v>1046</v>
      </c>
      <c r="B161" t="s">
        <v>204</v>
      </c>
      <c r="C161">
        <v>101</v>
      </c>
      <c r="D161" t="s">
        <v>375</v>
      </c>
      <c r="E161">
        <v>0</v>
      </c>
      <c r="F161" t="s">
        <v>1047</v>
      </c>
      <c r="G161" t="s">
        <v>1048</v>
      </c>
      <c r="H161" t="s">
        <v>1047</v>
      </c>
      <c r="I161" t="s">
        <v>1047</v>
      </c>
      <c r="K161">
        <v>30</v>
      </c>
      <c r="L161">
        <v>30</v>
      </c>
      <c r="O161">
        <v>2</v>
      </c>
      <c r="P161">
        <v>23818</v>
      </c>
      <c r="Q161">
        <v>24145</v>
      </c>
      <c r="R161">
        <v>327</v>
      </c>
      <c r="S161">
        <v>3800</v>
      </c>
      <c r="T161" t="s">
        <v>1049</v>
      </c>
      <c r="U161">
        <v>1149</v>
      </c>
      <c r="V161">
        <v>1152</v>
      </c>
      <c r="W161">
        <v>3</v>
      </c>
      <c r="X161">
        <v>30000</v>
      </c>
      <c r="Y161">
        <v>90</v>
      </c>
      <c r="Z161">
        <v>2</v>
      </c>
      <c r="AA161">
        <v>60000</v>
      </c>
      <c r="AB161">
        <v>120</v>
      </c>
      <c r="AC161">
        <v>1</v>
      </c>
      <c r="AD161">
        <v>100000</v>
      </c>
      <c r="AE161">
        <v>100</v>
      </c>
      <c r="AH161">
        <v>0</v>
      </c>
      <c r="AK161">
        <v>0</v>
      </c>
      <c r="AM161">
        <v>60000</v>
      </c>
      <c r="AN161">
        <v>0</v>
      </c>
      <c r="AQ161">
        <v>0</v>
      </c>
      <c r="AU161" t="s">
        <v>1050</v>
      </c>
      <c r="AV161" t="s">
        <v>1050</v>
      </c>
      <c r="AX161" t="s">
        <v>1051</v>
      </c>
      <c r="AY161" t="s">
        <v>417</v>
      </c>
      <c r="AZ161">
        <v>-600</v>
      </c>
    </row>
    <row r="162" spans="1:56">
      <c r="A162" t="s">
        <v>1052</v>
      </c>
      <c r="B162" t="s">
        <v>204</v>
      </c>
      <c r="C162">
        <v>201</v>
      </c>
      <c r="D162" t="s">
        <v>375</v>
      </c>
      <c r="E162">
        <v>1</v>
      </c>
      <c r="F162" t="s">
        <v>386</v>
      </c>
      <c r="G162" t="s">
        <v>391</v>
      </c>
      <c r="H162" t="s">
        <v>386</v>
      </c>
      <c r="I162" t="s">
        <v>386</v>
      </c>
      <c r="K162">
        <v>30</v>
      </c>
      <c r="L162">
        <v>30</v>
      </c>
      <c r="O162">
        <v>2</v>
      </c>
      <c r="P162">
        <v>8588</v>
      </c>
      <c r="Q162">
        <v>8777</v>
      </c>
      <c r="R162">
        <v>189</v>
      </c>
      <c r="S162">
        <v>4000</v>
      </c>
      <c r="T162">
        <v>756</v>
      </c>
      <c r="W162">
        <v>2</v>
      </c>
      <c r="X162">
        <v>120000</v>
      </c>
      <c r="Y162">
        <v>240</v>
      </c>
      <c r="AB162">
        <v>0</v>
      </c>
      <c r="AC162">
        <v>0</v>
      </c>
      <c r="AD162">
        <v>100000</v>
      </c>
      <c r="AE162">
        <v>0</v>
      </c>
      <c r="AH162">
        <v>0</v>
      </c>
      <c r="AK162">
        <v>0</v>
      </c>
      <c r="AN162">
        <v>0</v>
      </c>
      <c r="AO162">
        <v>2</v>
      </c>
      <c r="AP162">
        <v>120000</v>
      </c>
      <c r="AQ162">
        <v>240</v>
      </c>
      <c r="AU162" t="s">
        <v>1053</v>
      </c>
      <c r="AV162" t="s">
        <v>1054</v>
      </c>
      <c r="AX162" t="s">
        <v>1055</v>
      </c>
      <c r="AY162" t="s">
        <v>417</v>
      </c>
      <c r="AZ162">
        <v>-240</v>
      </c>
    </row>
    <row r="163" spans="1:56">
      <c r="A163" t="s">
        <v>1056</v>
      </c>
      <c r="B163" t="s">
        <v>204</v>
      </c>
      <c r="C163">
        <v>202</v>
      </c>
      <c r="D163" t="s">
        <v>375</v>
      </c>
      <c r="E163">
        <v>1</v>
      </c>
      <c r="F163" t="s">
        <v>1057</v>
      </c>
      <c r="G163" t="s">
        <v>1058</v>
      </c>
      <c r="H163" t="s">
        <v>1057</v>
      </c>
      <c r="I163" t="s">
        <v>1057</v>
      </c>
      <c r="K163">
        <v>30</v>
      </c>
      <c r="L163">
        <v>30</v>
      </c>
      <c r="O163">
        <v>2</v>
      </c>
      <c r="P163">
        <v>11902</v>
      </c>
      <c r="Q163">
        <v>12058</v>
      </c>
      <c r="R163">
        <v>156</v>
      </c>
      <c r="S163">
        <v>4000</v>
      </c>
      <c r="T163">
        <v>624</v>
      </c>
      <c r="W163">
        <v>2</v>
      </c>
      <c r="X163">
        <v>120000</v>
      </c>
      <c r="Y163">
        <v>240</v>
      </c>
      <c r="AB163">
        <v>0</v>
      </c>
      <c r="AC163">
        <v>0</v>
      </c>
      <c r="AD163">
        <v>100000</v>
      </c>
      <c r="AE163">
        <v>0</v>
      </c>
      <c r="AH163">
        <v>0</v>
      </c>
      <c r="AK163">
        <v>0</v>
      </c>
      <c r="AL163">
        <v>0</v>
      </c>
      <c r="AN163">
        <v>0</v>
      </c>
      <c r="AO163">
        <v>2</v>
      </c>
      <c r="AP163">
        <v>60000</v>
      </c>
      <c r="AQ163">
        <v>120</v>
      </c>
      <c r="AU163">
        <v>984</v>
      </c>
      <c r="AV163" t="s">
        <v>1059</v>
      </c>
      <c r="AX163" t="s">
        <v>1060</v>
      </c>
      <c r="AY163" t="s">
        <v>383</v>
      </c>
      <c r="AZ163">
        <v>0</v>
      </c>
    </row>
    <row r="164" spans="1:56">
      <c r="A164" t="s">
        <v>1061</v>
      </c>
      <c r="B164" t="s">
        <v>204</v>
      </c>
      <c r="C164">
        <v>301</v>
      </c>
      <c r="D164" t="s">
        <v>375</v>
      </c>
      <c r="E164">
        <v>1</v>
      </c>
      <c r="F164" t="s">
        <v>386</v>
      </c>
      <c r="G164" t="s">
        <v>409</v>
      </c>
      <c r="H164" t="s">
        <v>386</v>
      </c>
      <c r="I164" t="s">
        <v>386</v>
      </c>
      <c r="J164">
        <v>200</v>
      </c>
      <c r="K164">
        <v>30</v>
      </c>
      <c r="L164">
        <v>30</v>
      </c>
      <c r="O164">
        <v>2</v>
      </c>
      <c r="P164">
        <v>3667</v>
      </c>
      <c r="Q164">
        <v>3775</v>
      </c>
      <c r="R164">
        <v>108</v>
      </c>
      <c r="S164">
        <v>4000</v>
      </c>
      <c r="T164">
        <v>432</v>
      </c>
      <c r="W164">
        <v>2</v>
      </c>
      <c r="X164">
        <v>120000</v>
      </c>
      <c r="Y164">
        <v>240</v>
      </c>
      <c r="AB164">
        <v>0</v>
      </c>
      <c r="AC164">
        <v>1</v>
      </c>
      <c r="AD164">
        <v>100000</v>
      </c>
      <c r="AE164">
        <v>100</v>
      </c>
      <c r="AH164">
        <v>0</v>
      </c>
      <c r="AK164">
        <v>0</v>
      </c>
      <c r="AN164">
        <v>0</v>
      </c>
      <c r="AO164">
        <v>2</v>
      </c>
      <c r="AP164">
        <v>120000</v>
      </c>
      <c r="AQ164">
        <v>240</v>
      </c>
      <c r="AU164" t="s">
        <v>1062</v>
      </c>
      <c r="AV164" t="s">
        <v>1063</v>
      </c>
      <c r="AW164" t="s">
        <v>763</v>
      </c>
      <c r="AX164" t="s">
        <v>1064</v>
      </c>
      <c r="AY164" t="s">
        <v>383</v>
      </c>
      <c r="AZ164">
        <v>0</v>
      </c>
    </row>
    <row r="165" spans="1:56">
      <c r="A165" t="s">
        <v>1065</v>
      </c>
      <c r="B165" t="s">
        <v>204</v>
      </c>
      <c r="C165">
        <v>302</v>
      </c>
      <c r="D165" t="s">
        <v>375</v>
      </c>
      <c r="E165">
        <v>1</v>
      </c>
      <c r="F165" t="s">
        <v>886</v>
      </c>
      <c r="G165" t="s">
        <v>1058</v>
      </c>
      <c r="H165" t="s">
        <v>886</v>
      </c>
      <c r="I165" t="s">
        <v>886</v>
      </c>
      <c r="K165">
        <v>30</v>
      </c>
      <c r="L165">
        <v>30</v>
      </c>
      <c r="O165">
        <v>2</v>
      </c>
      <c r="P165">
        <v>11886</v>
      </c>
      <c r="Q165">
        <v>12123</v>
      </c>
      <c r="R165">
        <v>237</v>
      </c>
      <c r="S165">
        <v>4000</v>
      </c>
      <c r="T165">
        <v>948</v>
      </c>
      <c r="W165">
        <v>2</v>
      </c>
      <c r="X165">
        <v>120000</v>
      </c>
      <c r="Y165">
        <v>240</v>
      </c>
      <c r="AB165">
        <v>0</v>
      </c>
      <c r="AC165">
        <v>1</v>
      </c>
      <c r="AD165">
        <v>100000</v>
      </c>
      <c r="AE165">
        <v>100</v>
      </c>
      <c r="AH165">
        <v>0</v>
      </c>
      <c r="AK165">
        <v>0</v>
      </c>
      <c r="AN165">
        <v>0</v>
      </c>
      <c r="AO165">
        <v>2</v>
      </c>
      <c r="AP165">
        <v>120000</v>
      </c>
      <c r="AQ165">
        <v>240</v>
      </c>
      <c r="AU165" t="s">
        <v>1066</v>
      </c>
      <c r="AV165" t="s">
        <v>1067</v>
      </c>
      <c r="AX165" t="s">
        <v>1068</v>
      </c>
      <c r="AY165" t="s">
        <v>383</v>
      </c>
      <c r="AZ165">
        <v>0</v>
      </c>
    </row>
    <row r="166" spans="1:56">
      <c r="A166" t="s">
        <v>1069</v>
      </c>
      <c r="B166" t="s">
        <v>204</v>
      </c>
      <c r="C166">
        <v>401</v>
      </c>
      <c r="D166" t="s">
        <v>375</v>
      </c>
      <c r="E166">
        <v>1</v>
      </c>
      <c r="F166" t="s">
        <v>386</v>
      </c>
      <c r="G166" t="s">
        <v>391</v>
      </c>
      <c r="H166" t="s">
        <v>386</v>
      </c>
      <c r="I166" t="s">
        <v>386</v>
      </c>
      <c r="J166" t="s">
        <v>386</v>
      </c>
      <c r="K166">
        <v>30</v>
      </c>
      <c r="L166">
        <v>30</v>
      </c>
      <c r="O166">
        <v>2</v>
      </c>
      <c r="P166">
        <v>7515</v>
      </c>
      <c r="Q166">
        <v>7515</v>
      </c>
      <c r="R166">
        <v>0</v>
      </c>
      <c r="S166">
        <v>4000</v>
      </c>
      <c r="T166">
        <v>0</v>
      </c>
      <c r="W166">
        <v>2</v>
      </c>
      <c r="X166">
        <v>120000</v>
      </c>
      <c r="Y166">
        <v>240</v>
      </c>
      <c r="AB166">
        <v>0</v>
      </c>
      <c r="AC166">
        <v>1</v>
      </c>
      <c r="AD166">
        <v>100000</v>
      </c>
      <c r="AE166">
        <v>100</v>
      </c>
      <c r="AH166">
        <v>0</v>
      </c>
      <c r="AK166">
        <v>0</v>
      </c>
      <c r="AN166">
        <v>0</v>
      </c>
      <c r="AO166">
        <v>2</v>
      </c>
      <c r="AP166">
        <v>120000</v>
      </c>
      <c r="AQ166">
        <v>240</v>
      </c>
      <c r="AU166">
        <v>580</v>
      </c>
      <c r="AV166" t="s">
        <v>1070</v>
      </c>
      <c r="AW166" t="s">
        <v>1071</v>
      </c>
      <c r="AX166" t="s">
        <v>1072</v>
      </c>
      <c r="AY166" t="s">
        <v>417</v>
      </c>
      <c r="AZ166">
        <v>-580</v>
      </c>
    </row>
    <row r="167" spans="1:56">
      <c r="A167" t="s">
        <v>1073</v>
      </c>
      <c r="B167" t="s">
        <v>204</v>
      </c>
      <c r="C167">
        <v>402</v>
      </c>
      <c r="D167" t="s">
        <v>375</v>
      </c>
      <c r="E167">
        <v>1</v>
      </c>
      <c r="F167" t="s">
        <v>897</v>
      </c>
      <c r="G167" t="s">
        <v>897</v>
      </c>
      <c r="H167" t="s">
        <v>897</v>
      </c>
      <c r="I167" t="s">
        <v>897</v>
      </c>
      <c r="K167">
        <v>30</v>
      </c>
      <c r="L167">
        <v>30</v>
      </c>
      <c r="O167">
        <v>2</v>
      </c>
      <c r="P167">
        <v>3786</v>
      </c>
      <c r="Q167">
        <v>3837</v>
      </c>
      <c r="R167">
        <v>51</v>
      </c>
      <c r="S167">
        <v>4000</v>
      </c>
      <c r="T167">
        <v>204</v>
      </c>
      <c r="W167">
        <v>2</v>
      </c>
      <c r="X167">
        <v>120000</v>
      </c>
      <c r="Y167">
        <v>240</v>
      </c>
      <c r="AB167">
        <v>0</v>
      </c>
      <c r="AC167">
        <v>1</v>
      </c>
      <c r="AD167">
        <v>100000</v>
      </c>
      <c r="AE167">
        <v>100</v>
      </c>
      <c r="AH167">
        <v>0</v>
      </c>
      <c r="AK167">
        <v>0</v>
      </c>
      <c r="AN167">
        <v>0</v>
      </c>
      <c r="AO167">
        <v>2</v>
      </c>
      <c r="AP167">
        <v>120000</v>
      </c>
      <c r="AQ167">
        <v>240</v>
      </c>
      <c r="AU167">
        <v>784</v>
      </c>
      <c r="AV167" t="s">
        <v>1074</v>
      </c>
      <c r="AX167" t="s">
        <v>1075</v>
      </c>
      <c r="AY167" t="s">
        <v>383</v>
      </c>
      <c r="AZ167">
        <v>0</v>
      </c>
    </row>
    <row r="168" spans="1:56">
      <c r="A168" t="s">
        <v>1076</v>
      </c>
      <c r="B168" t="s">
        <v>204</v>
      </c>
      <c r="C168">
        <v>501</v>
      </c>
      <c r="D168" t="s">
        <v>375</v>
      </c>
      <c r="E168">
        <v>1</v>
      </c>
      <c r="F168" t="s">
        <v>400</v>
      </c>
      <c r="G168" t="s">
        <v>420</v>
      </c>
      <c r="H168" t="s">
        <v>400</v>
      </c>
      <c r="I168" t="s">
        <v>400</v>
      </c>
      <c r="K168">
        <v>30</v>
      </c>
      <c r="L168">
        <v>30</v>
      </c>
      <c r="O168">
        <v>1</v>
      </c>
      <c r="P168">
        <v>7336</v>
      </c>
      <c r="Q168">
        <v>7651</v>
      </c>
      <c r="R168">
        <v>315</v>
      </c>
      <c r="S168">
        <v>4000</v>
      </c>
      <c r="T168" t="s">
        <v>599</v>
      </c>
      <c r="W168">
        <v>1</v>
      </c>
      <c r="X168">
        <v>120000</v>
      </c>
      <c r="Y168">
        <v>120</v>
      </c>
      <c r="AB168">
        <v>0</v>
      </c>
      <c r="AD168">
        <v>100000</v>
      </c>
      <c r="AE168">
        <v>0</v>
      </c>
      <c r="AH168">
        <v>0</v>
      </c>
      <c r="AK168">
        <v>0</v>
      </c>
      <c r="AL168">
        <v>0</v>
      </c>
      <c r="AM168">
        <v>60000</v>
      </c>
      <c r="AN168">
        <v>0</v>
      </c>
      <c r="AO168">
        <v>1</v>
      </c>
      <c r="AP168">
        <v>120000</v>
      </c>
      <c r="AQ168">
        <v>120</v>
      </c>
      <c r="AU168" t="s">
        <v>1077</v>
      </c>
      <c r="AV168" t="s">
        <v>1078</v>
      </c>
      <c r="AX168" t="s">
        <v>1079</v>
      </c>
      <c r="AY168" t="s">
        <v>383</v>
      </c>
      <c r="AZ168">
        <v>0</v>
      </c>
    </row>
    <row r="169" spans="1:56">
      <c r="A169" t="s">
        <v>1080</v>
      </c>
      <c r="B169" t="s">
        <v>204</v>
      </c>
      <c r="C169">
        <v>502</v>
      </c>
      <c r="D169" t="s">
        <v>375</v>
      </c>
      <c r="E169">
        <v>1</v>
      </c>
      <c r="F169" t="s">
        <v>377</v>
      </c>
      <c r="G169" t="s">
        <v>789</v>
      </c>
      <c r="H169" t="s">
        <v>377</v>
      </c>
      <c r="I169" t="s">
        <v>377</v>
      </c>
      <c r="J169">
        <v>100</v>
      </c>
      <c r="K169">
        <v>30</v>
      </c>
      <c r="L169">
        <v>30</v>
      </c>
      <c r="O169">
        <v>2</v>
      </c>
      <c r="P169">
        <v>5079</v>
      </c>
      <c r="Q169">
        <v>5304</v>
      </c>
      <c r="R169">
        <v>225</v>
      </c>
      <c r="S169">
        <v>4000</v>
      </c>
      <c r="T169">
        <v>900</v>
      </c>
      <c r="W169">
        <v>2</v>
      </c>
      <c r="X169">
        <v>120000</v>
      </c>
      <c r="Y169">
        <v>240</v>
      </c>
      <c r="AB169">
        <v>0</v>
      </c>
      <c r="AC169">
        <v>1</v>
      </c>
      <c r="AD169">
        <v>100000</v>
      </c>
      <c r="AE169">
        <v>100</v>
      </c>
      <c r="AH169">
        <v>0</v>
      </c>
      <c r="AK169">
        <v>0</v>
      </c>
      <c r="AN169">
        <v>0</v>
      </c>
      <c r="AO169">
        <v>2</v>
      </c>
      <c r="AP169">
        <v>120000</v>
      </c>
      <c r="AQ169">
        <v>240</v>
      </c>
      <c r="AU169" t="s">
        <v>1081</v>
      </c>
      <c r="AV169" t="s">
        <v>1082</v>
      </c>
      <c r="AW169" t="s">
        <v>1083</v>
      </c>
      <c r="AX169" t="s">
        <v>1084</v>
      </c>
      <c r="AY169" t="s">
        <v>383</v>
      </c>
      <c r="AZ169">
        <v>0</v>
      </c>
    </row>
    <row r="170" spans="1:56">
      <c r="A170" t="s">
        <v>1085</v>
      </c>
      <c r="B170" t="s">
        <v>144</v>
      </c>
      <c r="C170">
        <v>102</v>
      </c>
      <c r="D170" t="s">
        <v>871</v>
      </c>
      <c r="E170">
        <v>1</v>
      </c>
      <c r="F170" t="s">
        <v>416</v>
      </c>
      <c r="G170" t="s">
        <v>416</v>
      </c>
      <c r="H170" t="s">
        <v>416</v>
      </c>
      <c r="I170" t="s">
        <v>416</v>
      </c>
      <c r="J170" t="s">
        <v>416</v>
      </c>
      <c r="K170">
        <v>30</v>
      </c>
      <c r="L170">
        <v>30</v>
      </c>
      <c r="O170">
        <v>1</v>
      </c>
      <c r="P170">
        <v>10848</v>
      </c>
      <c r="Q170">
        <v>10848</v>
      </c>
      <c r="R170">
        <v>0</v>
      </c>
      <c r="S170">
        <v>4000</v>
      </c>
      <c r="T170">
        <v>0</v>
      </c>
      <c r="W170">
        <v>1</v>
      </c>
      <c r="X170">
        <v>120000</v>
      </c>
      <c r="Y170">
        <v>120</v>
      </c>
      <c r="AA170">
        <v>60000</v>
      </c>
      <c r="AB170">
        <v>0</v>
      </c>
      <c r="AC170">
        <v>1</v>
      </c>
      <c r="AD170">
        <v>100000</v>
      </c>
      <c r="AE170">
        <v>100</v>
      </c>
      <c r="AH170">
        <v>0</v>
      </c>
      <c r="AK170">
        <v>0</v>
      </c>
      <c r="AM170">
        <v>60000</v>
      </c>
      <c r="AN170">
        <v>0</v>
      </c>
      <c r="AO170">
        <v>1</v>
      </c>
      <c r="AP170">
        <v>120000</v>
      </c>
      <c r="AQ170">
        <v>120000</v>
      </c>
      <c r="AR170">
        <v>1</v>
      </c>
      <c r="AS170">
        <v>26.667</v>
      </c>
      <c r="AT170">
        <v>26.667</v>
      </c>
      <c r="AU170">
        <v>246.667</v>
      </c>
      <c r="AV170" t="s">
        <v>1086</v>
      </c>
      <c r="AW170" t="s">
        <v>1087</v>
      </c>
      <c r="AX170" t="s">
        <v>1088</v>
      </c>
      <c r="AY170" t="s">
        <v>522</v>
      </c>
      <c r="AZ170">
        <v>93.333</v>
      </c>
      <c r="BA170" s="1">
        <v>46031</v>
      </c>
      <c r="BB170" t="s">
        <v>474</v>
      </c>
      <c r="BC170" t="s">
        <v>475</v>
      </c>
      <c r="BD170" t="s">
        <v>1089</v>
      </c>
    </row>
    <row r="171" spans="1:56">
      <c r="A171" t="s">
        <v>1090</v>
      </c>
      <c r="B171" t="s">
        <v>144</v>
      </c>
      <c r="C171">
        <v>201</v>
      </c>
      <c r="D171" t="s">
        <v>871</v>
      </c>
      <c r="E171">
        <v>1</v>
      </c>
      <c r="F171" t="s">
        <v>416</v>
      </c>
      <c r="G171" t="s">
        <v>416</v>
      </c>
      <c r="H171" t="s">
        <v>416</v>
      </c>
      <c r="I171" t="s">
        <v>416</v>
      </c>
      <c r="K171">
        <v>30</v>
      </c>
      <c r="L171">
        <v>30</v>
      </c>
      <c r="O171">
        <v>1</v>
      </c>
      <c r="P171">
        <v>8864</v>
      </c>
      <c r="Q171">
        <v>8907</v>
      </c>
      <c r="R171">
        <v>43</v>
      </c>
      <c r="S171">
        <v>4000</v>
      </c>
      <c r="T171">
        <v>172</v>
      </c>
      <c r="W171">
        <v>1</v>
      </c>
      <c r="X171">
        <v>100000</v>
      </c>
      <c r="Y171">
        <v>100</v>
      </c>
      <c r="Z171">
        <v>1</v>
      </c>
      <c r="AA171">
        <v>60000</v>
      </c>
      <c r="AB171">
        <v>60</v>
      </c>
      <c r="AD171">
        <v>100000</v>
      </c>
      <c r="AE171">
        <v>0</v>
      </c>
      <c r="AH171">
        <v>0</v>
      </c>
      <c r="AK171">
        <v>0</v>
      </c>
      <c r="AL171">
        <v>0</v>
      </c>
      <c r="AM171">
        <v>60000</v>
      </c>
      <c r="AN171">
        <v>0</v>
      </c>
      <c r="AR171">
        <v>1</v>
      </c>
      <c r="AS171">
        <v>34</v>
      </c>
      <c r="AT171">
        <v>34</v>
      </c>
      <c r="AU171">
        <v>366</v>
      </c>
      <c r="AV171" t="s">
        <v>1091</v>
      </c>
      <c r="AX171" t="s">
        <v>1092</v>
      </c>
      <c r="AY171" t="s">
        <v>383</v>
      </c>
      <c r="AZ171">
        <v>0</v>
      </c>
    </row>
    <row r="172" spans="1:56">
      <c r="A172" t="s">
        <v>1093</v>
      </c>
      <c r="B172" t="s">
        <v>144</v>
      </c>
      <c r="C172">
        <v>202</v>
      </c>
      <c r="D172" t="s">
        <v>871</v>
      </c>
      <c r="E172">
        <v>1</v>
      </c>
      <c r="F172" t="s">
        <v>1094</v>
      </c>
      <c r="G172" t="s">
        <v>416</v>
      </c>
      <c r="H172" t="s">
        <v>1094</v>
      </c>
      <c r="I172" t="s">
        <v>1094</v>
      </c>
      <c r="K172">
        <v>30</v>
      </c>
      <c r="L172">
        <v>30</v>
      </c>
      <c r="O172">
        <v>1</v>
      </c>
      <c r="P172">
        <v>11996</v>
      </c>
      <c r="Q172">
        <v>12037</v>
      </c>
      <c r="R172">
        <v>41</v>
      </c>
      <c r="S172">
        <v>4000</v>
      </c>
      <c r="T172">
        <v>164</v>
      </c>
      <c r="W172">
        <v>1</v>
      </c>
      <c r="X172">
        <v>120000</v>
      </c>
      <c r="Y172">
        <v>120</v>
      </c>
      <c r="Z172">
        <v>1</v>
      </c>
      <c r="AA172">
        <v>60000</v>
      </c>
      <c r="AB172">
        <v>60</v>
      </c>
      <c r="AC172">
        <v>1</v>
      </c>
      <c r="AD172">
        <v>100000</v>
      </c>
      <c r="AE172">
        <v>100</v>
      </c>
      <c r="AH172">
        <v>0</v>
      </c>
      <c r="AK172">
        <v>0</v>
      </c>
      <c r="AL172">
        <v>1</v>
      </c>
      <c r="AM172">
        <v>60000</v>
      </c>
      <c r="AN172">
        <v>60</v>
      </c>
      <c r="AR172">
        <v>1</v>
      </c>
      <c r="AS172">
        <v>34</v>
      </c>
      <c r="AT172">
        <v>34</v>
      </c>
      <c r="AU172">
        <v>538</v>
      </c>
      <c r="AV172" t="s">
        <v>1095</v>
      </c>
      <c r="AX172" t="s">
        <v>1096</v>
      </c>
      <c r="AY172" t="s">
        <v>383</v>
      </c>
      <c r="AZ172">
        <v>0</v>
      </c>
    </row>
    <row r="173" spans="1:56">
      <c r="A173" t="s">
        <v>1097</v>
      </c>
      <c r="B173" t="s">
        <v>144</v>
      </c>
      <c r="C173">
        <v>203</v>
      </c>
      <c r="D173" t="s">
        <v>871</v>
      </c>
      <c r="E173">
        <v>1</v>
      </c>
      <c r="F173" t="s">
        <v>1094</v>
      </c>
      <c r="G173" t="s">
        <v>416</v>
      </c>
      <c r="H173" t="s">
        <v>1094</v>
      </c>
      <c r="I173" t="s">
        <v>1094</v>
      </c>
      <c r="K173">
        <v>30</v>
      </c>
      <c r="L173">
        <v>30</v>
      </c>
      <c r="O173">
        <v>1</v>
      </c>
      <c r="P173">
        <v>7676</v>
      </c>
      <c r="Q173">
        <v>7863</v>
      </c>
      <c r="R173">
        <v>187</v>
      </c>
      <c r="S173">
        <v>4000</v>
      </c>
      <c r="T173">
        <v>748</v>
      </c>
      <c r="W173">
        <v>1</v>
      </c>
      <c r="X173">
        <v>90000</v>
      </c>
      <c r="Y173">
        <v>90</v>
      </c>
      <c r="Z173">
        <v>1</v>
      </c>
      <c r="AA173">
        <v>30000</v>
      </c>
      <c r="AB173">
        <v>30</v>
      </c>
      <c r="AC173">
        <v>0</v>
      </c>
      <c r="AD173">
        <v>100000</v>
      </c>
      <c r="AE173">
        <v>0</v>
      </c>
      <c r="AH173">
        <v>0</v>
      </c>
      <c r="AK173">
        <v>0</v>
      </c>
      <c r="AL173">
        <v>1</v>
      </c>
      <c r="AM173">
        <v>60000</v>
      </c>
      <c r="AN173">
        <v>60</v>
      </c>
      <c r="AR173">
        <v>1</v>
      </c>
      <c r="AS173">
        <v>42</v>
      </c>
      <c r="AT173">
        <v>42</v>
      </c>
      <c r="AU173">
        <v>970</v>
      </c>
      <c r="AV173" t="s">
        <v>1098</v>
      </c>
      <c r="AX173" t="s">
        <v>1099</v>
      </c>
      <c r="AY173" t="s">
        <v>383</v>
      </c>
      <c r="AZ173">
        <v>0</v>
      </c>
    </row>
    <row r="174" spans="1:56">
      <c r="A174" t="s">
        <v>1100</v>
      </c>
      <c r="B174" t="s">
        <v>144</v>
      </c>
      <c r="C174">
        <v>204</v>
      </c>
      <c r="D174" t="s">
        <v>871</v>
      </c>
      <c r="E174">
        <v>1</v>
      </c>
      <c r="F174" t="s">
        <v>1094</v>
      </c>
      <c r="G174" t="s">
        <v>416</v>
      </c>
      <c r="H174" t="s">
        <v>1094</v>
      </c>
      <c r="I174" t="s">
        <v>1094</v>
      </c>
      <c r="K174">
        <v>30</v>
      </c>
      <c r="L174">
        <v>30</v>
      </c>
      <c r="O174">
        <v>1</v>
      </c>
      <c r="P174">
        <v>13637</v>
      </c>
      <c r="Q174">
        <v>13754</v>
      </c>
      <c r="R174">
        <v>117</v>
      </c>
      <c r="S174">
        <v>4000</v>
      </c>
      <c r="T174">
        <v>468</v>
      </c>
      <c r="W174">
        <v>1</v>
      </c>
      <c r="X174">
        <v>120000</v>
      </c>
      <c r="Y174">
        <v>120</v>
      </c>
      <c r="Z174">
        <v>1</v>
      </c>
      <c r="AA174">
        <v>60000</v>
      </c>
      <c r="AB174">
        <v>60</v>
      </c>
      <c r="AC174">
        <v>1</v>
      </c>
      <c r="AD174">
        <v>100000</v>
      </c>
      <c r="AE174">
        <v>100</v>
      </c>
      <c r="AH174">
        <v>0</v>
      </c>
      <c r="AK174">
        <v>0</v>
      </c>
      <c r="AL174">
        <v>1</v>
      </c>
      <c r="AM174">
        <v>60000</v>
      </c>
      <c r="AN174">
        <v>60</v>
      </c>
      <c r="AR174">
        <v>1</v>
      </c>
      <c r="AS174">
        <v>42</v>
      </c>
      <c r="AT174">
        <v>42</v>
      </c>
      <c r="AU174">
        <v>850</v>
      </c>
      <c r="AV174" t="s">
        <v>1101</v>
      </c>
      <c r="AX174" t="s">
        <v>1102</v>
      </c>
      <c r="AY174" t="s">
        <v>383</v>
      </c>
      <c r="AZ174">
        <v>0</v>
      </c>
    </row>
    <row r="175" spans="1:56">
      <c r="A175" t="s">
        <v>1103</v>
      </c>
      <c r="B175" t="s">
        <v>144</v>
      </c>
      <c r="C175">
        <v>301</v>
      </c>
      <c r="D175" t="s">
        <v>871</v>
      </c>
      <c r="E175">
        <v>1</v>
      </c>
      <c r="F175" t="s">
        <v>416</v>
      </c>
      <c r="G175" t="s">
        <v>416</v>
      </c>
      <c r="H175" t="s">
        <v>416</v>
      </c>
      <c r="I175" t="s">
        <v>416</v>
      </c>
      <c r="K175">
        <v>30</v>
      </c>
      <c r="L175">
        <v>30</v>
      </c>
      <c r="O175">
        <v>1</v>
      </c>
      <c r="P175">
        <v>8767</v>
      </c>
      <c r="Q175">
        <v>8867</v>
      </c>
      <c r="R175">
        <v>100</v>
      </c>
      <c r="S175">
        <v>4000</v>
      </c>
      <c r="T175">
        <v>400</v>
      </c>
      <c r="W175">
        <v>1</v>
      </c>
      <c r="X175">
        <v>120000</v>
      </c>
      <c r="Y175">
        <v>120</v>
      </c>
      <c r="AB175">
        <v>0</v>
      </c>
      <c r="AC175">
        <v>1</v>
      </c>
      <c r="AD175">
        <v>100000</v>
      </c>
      <c r="AE175">
        <v>100</v>
      </c>
      <c r="AH175">
        <v>0</v>
      </c>
      <c r="AK175">
        <v>0</v>
      </c>
      <c r="AN175">
        <v>0</v>
      </c>
      <c r="AO175">
        <v>1</v>
      </c>
      <c r="AP175">
        <v>120</v>
      </c>
      <c r="AQ175">
        <v>120</v>
      </c>
      <c r="AR175">
        <v>1</v>
      </c>
      <c r="AS175">
        <v>38</v>
      </c>
      <c r="AT175">
        <v>38</v>
      </c>
      <c r="AU175">
        <v>778</v>
      </c>
      <c r="AV175" t="s">
        <v>1104</v>
      </c>
      <c r="AX175" t="s">
        <v>1105</v>
      </c>
      <c r="AY175" t="s">
        <v>383</v>
      </c>
      <c r="AZ175">
        <v>0</v>
      </c>
    </row>
    <row r="176" spans="1:56">
      <c r="A176" t="s">
        <v>1106</v>
      </c>
      <c r="B176" t="s">
        <v>144</v>
      </c>
      <c r="C176">
        <v>302</v>
      </c>
      <c r="D176" t="s">
        <v>871</v>
      </c>
      <c r="E176">
        <v>1</v>
      </c>
      <c r="F176" t="s">
        <v>1094</v>
      </c>
      <c r="G176" t="s">
        <v>416</v>
      </c>
      <c r="H176" t="s">
        <v>1094</v>
      </c>
      <c r="I176" t="s">
        <v>1094</v>
      </c>
      <c r="K176">
        <v>30</v>
      </c>
      <c r="L176">
        <v>30</v>
      </c>
      <c r="O176">
        <v>1</v>
      </c>
      <c r="P176">
        <v>13545</v>
      </c>
      <c r="Q176">
        <v>13739</v>
      </c>
      <c r="R176">
        <v>194</v>
      </c>
      <c r="S176">
        <v>4000</v>
      </c>
      <c r="T176">
        <v>776</v>
      </c>
      <c r="W176">
        <v>1</v>
      </c>
      <c r="X176">
        <v>120000</v>
      </c>
      <c r="Y176">
        <v>120</v>
      </c>
      <c r="AB176">
        <v>0</v>
      </c>
      <c r="AD176">
        <v>100000</v>
      </c>
      <c r="AE176">
        <v>0</v>
      </c>
      <c r="AH176">
        <v>0</v>
      </c>
      <c r="AK176">
        <v>0</v>
      </c>
      <c r="AN176">
        <v>0</v>
      </c>
      <c r="AO176">
        <v>1</v>
      </c>
      <c r="AP176">
        <v>120000</v>
      </c>
      <c r="AQ176">
        <v>120000</v>
      </c>
      <c r="AR176">
        <v>1</v>
      </c>
      <c r="AS176">
        <v>38</v>
      </c>
      <c r="AT176">
        <v>38</v>
      </c>
      <c r="AU176" t="s">
        <v>1107</v>
      </c>
      <c r="AV176" t="s">
        <v>1108</v>
      </c>
      <c r="AX176" t="s">
        <v>1109</v>
      </c>
      <c r="AY176" t="s">
        <v>383</v>
      </c>
      <c r="AZ176">
        <v>0</v>
      </c>
    </row>
    <row r="177" spans="1:57">
      <c r="A177" t="s">
        <v>1110</v>
      </c>
      <c r="B177" t="s">
        <v>144</v>
      </c>
      <c r="C177">
        <v>303</v>
      </c>
      <c r="D177" t="s">
        <v>871</v>
      </c>
      <c r="E177">
        <v>1</v>
      </c>
      <c r="F177" t="s">
        <v>416</v>
      </c>
      <c r="G177" t="s">
        <v>416</v>
      </c>
      <c r="H177" t="s">
        <v>416</v>
      </c>
      <c r="I177" t="s">
        <v>416</v>
      </c>
      <c r="K177">
        <v>30</v>
      </c>
      <c r="L177">
        <v>30</v>
      </c>
      <c r="O177">
        <v>2</v>
      </c>
      <c r="P177">
        <v>12106</v>
      </c>
      <c r="Q177">
        <v>12291</v>
      </c>
      <c r="R177">
        <v>185</v>
      </c>
      <c r="S177">
        <v>4000</v>
      </c>
      <c r="T177">
        <v>740</v>
      </c>
      <c r="W177">
        <v>1</v>
      </c>
      <c r="X177">
        <v>120000</v>
      </c>
      <c r="Y177">
        <v>120</v>
      </c>
      <c r="AB177">
        <v>0</v>
      </c>
      <c r="AC177">
        <v>1</v>
      </c>
      <c r="AD177">
        <v>100000</v>
      </c>
      <c r="AE177">
        <v>100</v>
      </c>
      <c r="AH177">
        <v>0</v>
      </c>
      <c r="AK177">
        <v>0</v>
      </c>
      <c r="AM177">
        <v>60000</v>
      </c>
      <c r="AN177">
        <v>0</v>
      </c>
      <c r="AO177">
        <v>1</v>
      </c>
      <c r="AP177">
        <v>120000</v>
      </c>
      <c r="AQ177">
        <v>120000</v>
      </c>
      <c r="AR177">
        <v>2</v>
      </c>
      <c r="AS177">
        <v>17.333</v>
      </c>
      <c r="AT177">
        <v>34.667</v>
      </c>
      <c r="AU177" t="s">
        <v>1111</v>
      </c>
      <c r="AV177" t="s">
        <v>1112</v>
      </c>
      <c r="AX177" t="s">
        <v>1113</v>
      </c>
      <c r="AY177" t="s">
        <v>522</v>
      </c>
      <c r="AZ177">
        <v>333</v>
      </c>
      <c r="BA177" s="1">
        <v>46030</v>
      </c>
      <c r="BB177" t="s">
        <v>474</v>
      </c>
      <c r="BC177" t="s">
        <v>1114</v>
      </c>
    </row>
    <row r="178" spans="1:57">
      <c r="A178" t="s">
        <v>1115</v>
      </c>
      <c r="B178" t="s">
        <v>144</v>
      </c>
      <c r="C178">
        <v>304</v>
      </c>
      <c r="D178" t="s">
        <v>871</v>
      </c>
      <c r="E178">
        <v>1</v>
      </c>
      <c r="F178" t="s">
        <v>416</v>
      </c>
      <c r="G178" t="s">
        <v>416</v>
      </c>
      <c r="H178" t="s">
        <v>416</v>
      </c>
      <c r="I178" t="s">
        <v>416</v>
      </c>
      <c r="K178">
        <v>30</v>
      </c>
      <c r="L178">
        <v>30</v>
      </c>
      <c r="O178">
        <v>1</v>
      </c>
      <c r="P178">
        <v>10776</v>
      </c>
      <c r="Q178">
        <v>10882</v>
      </c>
      <c r="R178">
        <v>106</v>
      </c>
      <c r="S178">
        <v>4000</v>
      </c>
      <c r="T178">
        <v>424</v>
      </c>
      <c r="W178">
        <v>1</v>
      </c>
      <c r="X178">
        <v>90000</v>
      </c>
      <c r="Y178">
        <v>90</v>
      </c>
      <c r="Z178">
        <v>1</v>
      </c>
      <c r="AA178">
        <v>30000</v>
      </c>
      <c r="AB178">
        <v>30</v>
      </c>
      <c r="AC178">
        <v>1</v>
      </c>
      <c r="AD178">
        <v>100000</v>
      </c>
      <c r="AE178">
        <v>100</v>
      </c>
      <c r="AH178">
        <v>0</v>
      </c>
      <c r="AK178">
        <v>0</v>
      </c>
      <c r="AL178">
        <v>1</v>
      </c>
      <c r="AM178">
        <v>60000</v>
      </c>
      <c r="AN178">
        <v>60</v>
      </c>
      <c r="AR178">
        <v>1</v>
      </c>
      <c r="AS178">
        <v>17.333</v>
      </c>
      <c r="AT178">
        <v>17.333</v>
      </c>
      <c r="AU178">
        <v>721.333</v>
      </c>
      <c r="AV178" t="s">
        <v>1116</v>
      </c>
      <c r="AX178" t="s">
        <v>1117</v>
      </c>
      <c r="AY178" t="s">
        <v>417</v>
      </c>
      <c r="AZ178">
        <v>0</v>
      </c>
    </row>
    <row r="179" spans="1:57">
      <c r="A179" t="s">
        <v>1118</v>
      </c>
      <c r="B179" t="s">
        <v>144</v>
      </c>
      <c r="C179">
        <v>401</v>
      </c>
      <c r="D179" t="s">
        <v>871</v>
      </c>
      <c r="E179">
        <v>1</v>
      </c>
      <c r="F179" t="s">
        <v>1094</v>
      </c>
      <c r="G179" t="s">
        <v>416</v>
      </c>
      <c r="H179" t="s">
        <v>1094</v>
      </c>
      <c r="I179" t="s">
        <v>1094</v>
      </c>
      <c r="K179">
        <v>30</v>
      </c>
      <c r="L179">
        <v>30</v>
      </c>
      <c r="O179">
        <v>1</v>
      </c>
      <c r="P179">
        <v>9358</v>
      </c>
      <c r="Q179">
        <v>9360</v>
      </c>
      <c r="R179">
        <v>2</v>
      </c>
      <c r="S179">
        <v>4000</v>
      </c>
      <c r="T179">
        <v>8</v>
      </c>
      <c r="W179">
        <v>1</v>
      </c>
      <c r="X179">
        <v>120000</v>
      </c>
      <c r="Y179">
        <v>120</v>
      </c>
      <c r="Z179">
        <v>1</v>
      </c>
      <c r="AA179">
        <v>60000</v>
      </c>
      <c r="AB179">
        <v>60</v>
      </c>
      <c r="AC179">
        <v>1</v>
      </c>
      <c r="AD179">
        <v>100000</v>
      </c>
      <c r="AE179">
        <v>100</v>
      </c>
      <c r="AH179">
        <v>0</v>
      </c>
      <c r="AK179">
        <v>0</v>
      </c>
      <c r="AL179">
        <v>1</v>
      </c>
      <c r="AM179">
        <v>60000</v>
      </c>
      <c r="AN179">
        <v>60</v>
      </c>
      <c r="AR179">
        <v>1</v>
      </c>
      <c r="AS179">
        <v>20</v>
      </c>
      <c r="AT179">
        <v>20</v>
      </c>
      <c r="AU179">
        <v>368</v>
      </c>
      <c r="AV179" t="s">
        <v>1119</v>
      </c>
      <c r="AX179" t="s">
        <v>1120</v>
      </c>
      <c r="AY179" t="s">
        <v>383</v>
      </c>
      <c r="AZ179">
        <v>0</v>
      </c>
    </row>
    <row r="180" spans="1:57">
      <c r="A180" t="s">
        <v>1121</v>
      </c>
      <c r="B180" t="s">
        <v>144</v>
      </c>
      <c r="C180">
        <v>402</v>
      </c>
      <c r="D180" t="s">
        <v>871</v>
      </c>
      <c r="E180">
        <v>1</v>
      </c>
      <c r="F180" t="s">
        <v>416</v>
      </c>
      <c r="G180" t="s">
        <v>416</v>
      </c>
      <c r="H180" t="s">
        <v>416</v>
      </c>
      <c r="I180" t="s">
        <v>416</v>
      </c>
      <c r="K180">
        <v>30</v>
      </c>
      <c r="L180">
        <v>30</v>
      </c>
      <c r="O180">
        <v>2</v>
      </c>
      <c r="P180">
        <v>8346</v>
      </c>
      <c r="Q180">
        <v>8496</v>
      </c>
      <c r="R180">
        <v>150</v>
      </c>
      <c r="S180">
        <v>4000</v>
      </c>
      <c r="T180">
        <v>600</v>
      </c>
      <c r="W180">
        <v>2</v>
      </c>
      <c r="X180">
        <v>100000</v>
      </c>
      <c r="Y180">
        <v>200</v>
      </c>
      <c r="Z180">
        <v>2</v>
      </c>
      <c r="AA180">
        <v>30000</v>
      </c>
      <c r="AB180">
        <v>60</v>
      </c>
      <c r="AC180">
        <v>1</v>
      </c>
      <c r="AD180">
        <v>100000</v>
      </c>
      <c r="AE180">
        <v>100</v>
      </c>
      <c r="AH180">
        <v>0</v>
      </c>
      <c r="AK180">
        <v>0</v>
      </c>
      <c r="AL180">
        <v>2</v>
      </c>
      <c r="AM180">
        <v>60000</v>
      </c>
      <c r="AN180">
        <v>120</v>
      </c>
      <c r="AR180">
        <v>2</v>
      </c>
      <c r="AS180">
        <v>20</v>
      </c>
      <c r="AT180">
        <v>40</v>
      </c>
      <c r="AU180" t="s">
        <v>1122</v>
      </c>
      <c r="AV180" t="s">
        <v>1123</v>
      </c>
      <c r="AX180" t="s">
        <v>1124</v>
      </c>
      <c r="AY180" t="s">
        <v>383</v>
      </c>
      <c r="AZ180">
        <v>0</v>
      </c>
    </row>
    <row r="181" spans="1:57">
      <c r="A181" t="s">
        <v>1125</v>
      </c>
      <c r="B181" t="s">
        <v>144</v>
      </c>
      <c r="C181">
        <v>403</v>
      </c>
      <c r="D181" t="s">
        <v>871</v>
      </c>
      <c r="E181">
        <v>1</v>
      </c>
      <c r="F181" t="s">
        <v>1126</v>
      </c>
      <c r="G181" t="s">
        <v>416</v>
      </c>
      <c r="H181" t="s">
        <v>1126</v>
      </c>
      <c r="I181" t="s">
        <v>1126</v>
      </c>
      <c r="J181" t="s">
        <v>1126</v>
      </c>
      <c r="K181">
        <v>30</v>
      </c>
      <c r="L181">
        <v>30</v>
      </c>
      <c r="N181" s="2">
        <v>5032258065</v>
      </c>
      <c r="O181">
        <v>1</v>
      </c>
      <c r="P181">
        <v>10911</v>
      </c>
      <c r="Q181">
        <v>10911</v>
      </c>
      <c r="R181">
        <v>0</v>
      </c>
      <c r="S181">
        <v>4000</v>
      </c>
      <c r="T181">
        <v>0</v>
      </c>
      <c r="W181">
        <v>1</v>
      </c>
      <c r="X181">
        <v>120000</v>
      </c>
      <c r="Y181">
        <v>120</v>
      </c>
      <c r="AA181">
        <v>40000</v>
      </c>
      <c r="AB181">
        <v>0</v>
      </c>
      <c r="AC181">
        <v>1</v>
      </c>
      <c r="AD181">
        <v>100000</v>
      </c>
      <c r="AE181">
        <v>100</v>
      </c>
      <c r="AH181">
        <v>0</v>
      </c>
      <c r="AK181">
        <v>0</v>
      </c>
      <c r="AM181">
        <v>60000</v>
      </c>
      <c r="AN181">
        <v>0</v>
      </c>
      <c r="AO181">
        <v>1</v>
      </c>
      <c r="AP181">
        <v>120000</v>
      </c>
      <c r="AQ181">
        <v>120000</v>
      </c>
      <c r="AR181">
        <v>1</v>
      </c>
      <c r="AS181">
        <v>26.667</v>
      </c>
      <c r="AT181">
        <v>26.667</v>
      </c>
      <c r="AU181">
        <v>366.667</v>
      </c>
      <c r="AV181" t="s">
        <v>1127</v>
      </c>
      <c r="AW181" t="s">
        <v>1128</v>
      </c>
      <c r="AX181" t="s">
        <v>1129</v>
      </c>
      <c r="AY181" t="s">
        <v>417</v>
      </c>
      <c r="AZ181">
        <v>-892</v>
      </c>
      <c r="BA181" s="1">
        <v>46031</v>
      </c>
      <c r="BB181" t="s">
        <v>474</v>
      </c>
      <c r="BC181" t="s">
        <v>475</v>
      </c>
    </row>
    <row r="182" spans="1:57">
      <c r="A182" t="s">
        <v>1130</v>
      </c>
      <c r="B182" t="s">
        <v>144</v>
      </c>
      <c r="C182">
        <v>404</v>
      </c>
      <c r="D182" t="s">
        <v>871</v>
      </c>
      <c r="E182">
        <v>1</v>
      </c>
      <c r="F182" t="s">
        <v>416</v>
      </c>
      <c r="G182" t="s">
        <v>416</v>
      </c>
      <c r="H182" t="s">
        <v>416</v>
      </c>
      <c r="I182" t="s">
        <v>416</v>
      </c>
      <c r="K182">
        <v>30</v>
      </c>
      <c r="L182">
        <v>30</v>
      </c>
      <c r="O182">
        <v>2</v>
      </c>
      <c r="P182">
        <v>9513</v>
      </c>
      <c r="Q182">
        <v>9623</v>
      </c>
      <c r="R182">
        <v>110</v>
      </c>
      <c r="S182">
        <v>4000</v>
      </c>
      <c r="T182">
        <v>440</v>
      </c>
      <c r="W182">
        <v>1</v>
      </c>
      <c r="X182">
        <v>90000</v>
      </c>
      <c r="Y182">
        <v>90</v>
      </c>
      <c r="Z182">
        <v>1</v>
      </c>
      <c r="AA182">
        <v>30000</v>
      </c>
      <c r="AB182">
        <v>30</v>
      </c>
      <c r="AC182">
        <v>1</v>
      </c>
      <c r="AD182">
        <v>100000</v>
      </c>
      <c r="AE182">
        <v>100</v>
      </c>
      <c r="AH182">
        <v>0</v>
      </c>
      <c r="AK182">
        <v>0</v>
      </c>
      <c r="AL182">
        <v>1</v>
      </c>
      <c r="AM182">
        <v>60000</v>
      </c>
      <c r="AN182">
        <v>60</v>
      </c>
      <c r="AR182">
        <v>2</v>
      </c>
      <c r="AS182">
        <v>26.667</v>
      </c>
      <c r="AT182">
        <v>53.333</v>
      </c>
      <c r="AU182">
        <v>773.333</v>
      </c>
      <c r="AV182" t="s">
        <v>1131</v>
      </c>
      <c r="AX182" t="s">
        <v>1132</v>
      </c>
      <c r="AY182" t="s">
        <v>417</v>
      </c>
      <c r="AZ182">
        <v>-13.333</v>
      </c>
    </row>
    <row r="183" spans="1:57">
      <c r="A183" t="s">
        <v>1133</v>
      </c>
      <c r="B183" t="s">
        <v>144</v>
      </c>
      <c r="C183">
        <v>501</v>
      </c>
      <c r="D183" t="s">
        <v>871</v>
      </c>
      <c r="E183">
        <v>1</v>
      </c>
      <c r="F183" t="s">
        <v>1134</v>
      </c>
      <c r="G183" t="s">
        <v>416</v>
      </c>
      <c r="H183" t="s">
        <v>1134</v>
      </c>
      <c r="I183" t="s">
        <v>1134</v>
      </c>
      <c r="K183">
        <v>30</v>
      </c>
      <c r="L183">
        <v>30</v>
      </c>
      <c r="O183">
        <v>3</v>
      </c>
      <c r="P183">
        <v>12813</v>
      </c>
      <c r="Q183">
        <v>13130</v>
      </c>
      <c r="R183">
        <v>317</v>
      </c>
      <c r="S183">
        <v>4000</v>
      </c>
      <c r="T183" t="s">
        <v>1135</v>
      </c>
      <c r="W183">
        <v>3</v>
      </c>
      <c r="X183">
        <v>90000</v>
      </c>
      <c r="Y183">
        <v>270</v>
      </c>
      <c r="Z183">
        <v>3</v>
      </c>
      <c r="AA183">
        <v>30000</v>
      </c>
      <c r="AB183">
        <v>90</v>
      </c>
      <c r="AC183">
        <v>1</v>
      </c>
      <c r="AD183">
        <v>100000</v>
      </c>
      <c r="AE183">
        <v>100</v>
      </c>
      <c r="AH183">
        <v>0</v>
      </c>
      <c r="AK183">
        <v>0</v>
      </c>
      <c r="AL183">
        <v>3</v>
      </c>
      <c r="AM183">
        <v>60000</v>
      </c>
      <c r="AN183">
        <v>180</v>
      </c>
      <c r="AR183">
        <v>3</v>
      </c>
      <c r="AS183">
        <v>10</v>
      </c>
      <c r="AT183">
        <v>30</v>
      </c>
      <c r="AU183" t="s">
        <v>1136</v>
      </c>
      <c r="AV183" t="s">
        <v>1137</v>
      </c>
      <c r="AW183" t="s">
        <v>706</v>
      </c>
      <c r="AX183" t="s">
        <v>1138</v>
      </c>
      <c r="AY183" t="s">
        <v>383</v>
      </c>
      <c r="AZ183">
        <v>0</v>
      </c>
    </row>
    <row r="184" spans="1:57">
      <c r="A184" t="s">
        <v>1139</v>
      </c>
      <c r="B184" t="s">
        <v>144</v>
      </c>
      <c r="C184">
        <v>502</v>
      </c>
      <c r="D184" t="s">
        <v>871</v>
      </c>
      <c r="E184">
        <v>1</v>
      </c>
      <c r="F184" t="s">
        <v>1094</v>
      </c>
      <c r="G184" t="s">
        <v>416</v>
      </c>
      <c r="H184" t="s">
        <v>1094</v>
      </c>
      <c r="I184" t="s">
        <v>1094</v>
      </c>
      <c r="K184">
        <v>30</v>
      </c>
      <c r="L184">
        <v>30</v>
      </c>
      <c r="O184">
        <v>1</v>
      </c>
      <c r="P184">
        <v>11818</v>
      </c>
      <c r="Q184">
        <v>11854</v>
      </c>
      <c r="R184">
        <v>36</v>
      </c>
      <c r="S184">
        <v>4000</v>
      </c>
      <c r="T184">
        <v>144</v>
      </c>
      <c r="W184">
        <v>1</v>
      </c>
      <c r="X184">
        <v>120000</v>
      </c>
      <c r="Y184">
        <v>120</v>
      </c>
      <c r="Z184">
        <v>1</v>
      </c>
      <c r="AA184">
        <v>60000</v>
      </c>
      <c r="AB184">
        <v>60</v>
      </c>
      <c r="AC184">
        <v>1</v>
      </c>
      <c r="AD184">
        <v>100000</v>
      </c>
      <c r="AE184">
        <v>100000</v>
      </c>
      <c r="AH184">
        <v>0</v>
      </c>
      <c r="AK184">
        <v>0</v>
      </c>
      <c r="AL184">
        <v>1</v>
      </c>
      <c r="AM184">
        <v>60000</v>
      </c>
      <c r="AN184">
        <v>60</v>
      </c>
      <c r="AR184">
        <v>1</v>
      </c>
      <c r="AS184">
        <v>10</v>
      </c>
      <c r="AT184">
        <v>10</v>
      </c>
      <c r="AU184">
        <v>494</v>
      </c>
      <c r="AV184" t="s">
        <v>1140</v>
      </c>
      <c r="AW184" t="s">
        <v>1141</v>
      </c>
      <c r="AY184" t="s">
        <v>393</v>
      </c>
      <c r="AZ184" t="s">
        <v>1142</v>
      </c>
    </row>
    <row r="185" spans="1:57">
      <c r="A185" t="s">
        <v>1143</v>
      </c>
      <c r="B185" t="s">
        <v>144</v>
      </c>
      <c r="C185">
        <v>503</v>
      </c>
      <c r="D185" t="s">
        <v>871</v>
      </c>
      <c r="E185">
        <v>1</v>
      </c>
      <c r="F185" t="s">
        <v>1094</v>
      </c>
      <c r="G185" t="s">
        <v>1134</v>
      </c>
      <c r="H185" t="s">
        <v>1094</v>
      </c>
      <c r="I185" t="s">
        <v>1094</v>
      </c>
      <c r="K185">
        <v>30</v>
      </c>
      <c r="L185">
        <v>30</v>
      </c>
      <c r="O185">
        <v>1</v>
      </c>
      <c r="P185">
        <v>10830</v>
      </c>
      <c r="Q185">
        <v>10990</v>
      </c>
      <c r="R185">
        <v>160</v>
      </c>
      <c r="S185">
        <v>4000</v>
      </c>
      <c r="T185">
        <v>640</v>
      </c>
      <c r="W185">
        <v>1</v>
      </c>
      <c r="X185">
        <v>120000</v>
      </c>
      <c r="Y185">
        <v>120</v>
      </c>
      <c r="AB185">
        <v>0</v>
      </c>
      <c r="AD185">
        <v>100000</v>
      </c>
      <c r="AE185">
        <v>0</v>
      </c>
      <c r="AH185">
        <v>0</v>
      </c>
      <c r="AK185">
        <v>0</v>
      </c>
      <c r="AN185">
        <v>0</v>
      </c>
      <c r="AO185">
        <v>1</v>
      </c>
      <c r="AP185">
        <v>120000</v>
      </c>
      <c r="AQ185">
        <v>120000</v>
      </c>
      <c r="AR185">
        <v>1</v>
      </c>
      <c r="AS185">
        <v>0</v>
      </c>
      <c r="AT185">
        <v>0</v>
      </c>
      <c r="AU185">
        <v>880</v>
      </c>
      <c r="AV185" t="s">
        <v>1144</v>
      </c>
      <c r="AX185" t="s">
        <v>1145</v>
      </c>
      <c r="AY185" t="s">
        <v>383</v>
      </c>
      <c r="AZ185">
        <v>0</v>
      </c>
    </row>
    <row r="186" spans="1:57">
      <c r="A186" t="s">
        <v>1146</v>
      </c>
      <c r="B186" t="s">
        <v>144</v>
      </c>
      <c r="C186">
        <v>504</v>
      </c>
      <c r="D186" t="s">
        <v>871</v>
      </c>
      <c r="E186">
        <v>1</v>
      </c>
      <c r="F186" t="s">
        <v>1134</v>
      </c>
      <c r="G186" t="s">
        <v>416</v>
      </c>
      <c r="H186" t="s">
        <v>1134</v>
      </c>
      <c r="I186" t="s">
        <v>1134</v>
      </c>
      <c r="K186">
        <v>30</v>
      </c>
      <c r="L186">
        <v>30</v>
      </c>
      <c r="O186">
        <v>1</v>
      </c>
      <c r="P186">
        <v>3426</v>
      </c>
      <c r="Q186">
        <v>3434</v>
      </c>
      <c r="R186">
        <v>8</v>
      </c>
      <c r="S186">
        <v>4000</v>
      </c>
      <c r="T186">
        <v>32</v>
      </c>
      <c r="W186">
        <v>1</v>
      </c>
      <c r="X186">
        <v>120000</v>
      </c>
      <c r="Y186">
        <v>120</v>
      </c>
      <c r="Z186">
        <v>1</v>
      </c>
      <c r="AA186">
        <v>60000</v>
      </c>
      <c r="AB186">
        <v>60</v>
      </c>
      <c r="AD186">
        <v>100000</v>
      </c>
      <c r="AE186">
        <v>0</v>
      </c>
      <c r="AH186">
        <v>0</v>
      </c>
      <c r="AK186">
        <v>0</v>
      </c>
      <c r="AL186">
        <v>1</v>
      </c>
      <c r="AM186">
        <v>60000</v>
      </c>
      <c r="AN186">
        <v>60</v>
      </c>
      <c r="AR186">
        <v>1</v>
      </c>
      <c r="AS186">
        <v>0</v>
      </c>
      <c r="AT186">
        <v>0</v>
      </c>
      <c r="AU186">
        <v>272</v>
      </c>
      <c r="AV186" t="s">
        <v>1147</v>
      </c>
      <c r="AX186" t="s">
        <v>1148</v>
      </c>
      <c r="AY186" t="s">
        <v>383</v>
      </c>
      <c r="AZ186">
        <v>0</v>
      </c>
      <c r="BA186" s="1">
        <v>46030</v>
      </c>
      <c r="BB186" t="s">
        <v>474</v>
      </c>
      <c r="BC186" t="s">
        <v>1114</v>
      </c>
      <c r="BE186" t="s">
        <v>439</v>
      </c>
    </row>
    <row r="187" spans="1:57">
      <c r="A187" t="s">
        <v>1149</v>
      </c>
      <c r="B187" t="s">
        <v>154</v>
      </c>
      <c r="C187">
        <v>101</v>
      </c>
      <c r="D187" t="s">
        <v>761</v>
      </c>
      <c r="E187">
        <v>1</v>
      </c>
      <c r="F187" t="s">
        <v>552</v>
      </c>
      <c r="G187" t="s">
        <v>377</v>
      </c>
      <c r="H187" t="s">
        <v>552</v>
      </c>
      <c r="I187" t="s">
        <v>552</v>
      </c>
      <c r="K187">
        <v>30</v>
      </c>
      <c r="L187">
        <v>30</v>
      </c>
      <c r="O187">
        <v>1</v>
      </c>
      <c r="P187">
        <v>8821</v>
      </c>
      <c r="Q187">
        <v>9056</v>
      </c>
      <c r="R187">
        <v>235</v>
      </c>
      <c r="S187">
        <v>4</v>
      </c>
      <c r="T187">
        <v>940</v>
      </c>
      <c r="W187">
        <v>1</v>
      </c>
      <c r="X187">
        <v>120</v>
      </c>
      <c r="Y187">
        <v>120</v>
      </c>
      <c r="AB187">
        <v>0</v>
      </c>
      <c r="AD187">
        <v>100000</v>
      </c>
      <c r="AE187">
        <v>0</v>
      </c>
      <c r="AG187">
        <v>50000</v>
      </c>
      <c r="AH187">
        <v>0</v>
      </c>
      <c r="AK187">
        <v>0</v>
      </c>
      <c r="AM187">
        <v>60000</v>
      </c>
      <c r="AN187">
        <v>0</v>
      </c>
      <c r="AO187">
        <v>1</v>
      </c>
      <c r="AP187">
        <v>120000</v>
      </c>
      <c r="AQ187">
        <v>120</v>
      </c>
      <c r="AU187" t="s">
        <v>490</v>
      </c>
      <c r="AV187" t="s">
        <v>1150</v>
      </c>
      <c r="AW187" t="s">
        <v>829</v>
      </c>
      <c r="AX187" t="s">
        <v>1151</v>
      </c>
      <c r="AY187" t="s">
        <v>417</v>
      </c>
      <c r="AZ187" t="s">
        <v>1152</v>
      </c>
    </row>
    <row r="188" spans="1:57">
      <c r="A188" t="s">
        <v>1153</v>
      </c>
      <c r="B188" t="s">
        <v>154</v>
      </c>
      <c r="C188">
        <v>102</v>
      </c>
      <c r="D188" t="s">
        <v>761</v>
      </c>
      <c r="E188">
        <v>1</v>
      </c>
      <c r="F188" t="s">
        <v>386</v>
      </c>
      <c r="G188" t="s">
        <v>789</v>
      </c>
      <c r="H188" t="s">
        <v>386</v>
      </c>
      <c r="I188" t="s">
        <v>386</v>
      </c>
      <c r="K188">
        <v>30</v>
      </c>
      <c r="L188">
        <v>30</v>
      </c>
      <c r="O188">
        <v>1</v>
      </c>
      <c r="P188">
        <v>17488</v>
      </c>
      <c r="Q188">
        <v>17857</v>
      </c>
      <c r="R188">
        <v>369</v>
      </c>
      <c r="S188">
        <v>4</v>
      </c>
      <c r="T188" t="s">
        <v>1154</v>
      </c>
      <c r="W188">
        <v>1</v>
      </c>
      <c r="X188">
        <v>120</v>
      </c>
      <c r="Y188">
        <v>120</v>
      </c>
      <c r="AB188">
        <v>0</v>
      </c>
      <c r="AC188">
        <v>1</v>
      </c>
      <c r="AD188">
        <v>100000</v>
      </c>
      <c r="AE188">
        <v>100</v>
      </c>
      <c r="AG188">
        <v>50000</v>
      </c>
      <c r="AH188">
        <v>0</v>
      </c>
      <c r="AK188">
        <v>0</v>
      </c>
      <c r="AM188">
        <v>60000</v>
      </c>
      <c r="AN188">
        <v>0</v>
      </c>
      <c r="AO188">
        <v>1</v>
      </c>
      <c r="AP188">
        <v>120000</v>
      </c>
      <c r="AQ188">
        <v>120</v>
      </c>
      <c r="AU188" t="s">
        <v>1155</v>
      </c>
      <c r="AV188" t="s">
        <v>1156</v>
      </c>
      <c r="AX188" t="s">
        <v>1157</v>
      </c>
      <c r="AY188" t="s">
        <v>383</v>
      </c>
      <c r="AZ188">
        <v>0</v>
      </c>
    </row>
    <row r="189" spans="1:57">
      <c r="A189" t="s">
        <v>1158</v>
      </c>
      <c r="B189" t="s">
        <v>154</v>
      </c>
      <c r="C189">
        <v>201</v>
      </c>
      <c r="D189" t="s">
        <v>761</v>
      </c>
      <c r="E189">
        <v>1</v>
      </c>
      <c r="F189" t="s">
        <v>391</v>
      </c>
      <c r="G189" t="s">
        <v>1159</v>
      </c>
      <c r="H189" t="s">
        <v>391</v>
      </c>
      <c r="I189" t="s">
        <v>391</v>
      </c>
      <c r="K189">
        <v>30</v>
      </c>
      <c r="L189">
        <v>30</v>
      </c>
      <c r="O189">
        <v>2</v>
      </c>
      <c r="P189">
        <v>18823</v>
      </c>
      <c r="Q189">
        <v>18973</v>
      </c>
      <c r="R189">
        <v>150</v>
      </c>
      <c r="S189">
        <v>4</v>
      </c>
      <c r="T189">
        <v>600</v>
      </c>
      <c r="W189">
        <v>2</v>
      </c>
      <c r="X189">
        <v>120</v>
      </c>
      <c r="Y189">
        <v>240</v>
      </c>
      <c r="AB189">
        <v>0</v>
      </c>
      <c r="AC189">
        <v>1</v>
      </c>
      <c r="AD189">
        <v>100000</v>
      </c>
      <c r="AE189">
        <v>100</v>
      </c>
      <c r="AF189">
        <v>2</v>
      </c>
      <c r="AG189">
        <v>50000</v>
      </c>
      <c r="AH189">
        <v>100</v>
      </c>
      <c r="AK189">
        <v>0</v>
      </c>
      <c r="AL189">
        <v>0</v>
      </c>
      <c r="AN189">
        <v>0</v>
      </c>
      <c r="AO189">
        <v>2</v>
      </c>
      <c r="AP189">
        <v>120000</v>
      </c>
      <c r="AQ189">
        <v>240</v>
      </c>
      <c r="AU189" t="s">
        <v>1160</v>
      </c>
      <c r="AV189" t="s">
        <v>792</v>
      </c>
      <c r="AX189" t="s">
        <v>793</v>
      </c>
      <c r="AY189" t="s">
        <v>383</v>
      </c>
      <c r="AZ189">
        <v>0</v>
      </c>
    </row>
    <row r="190" spans="1:57">
      <c r="A190" t="s">
        <v>1161</v>
      </c>
      <c r="B190" t="s">
        <v>154</v>
      </c>
      <c r="C190">
        <v>202</v>
      </c>
      <c r="D190" t="s">
        <v>761</v>
      </c>
      <c r="E190">
        <v>1</v>
      </c>
      <c r="F190" t="s">
        <v>391</v>
      </c>
      <c r="G190" t="s">
        <v>892</v>
      </c>
      <c r="H190" t="s">
        <v>391</v>
      </c>
      <c r="I190" t="s">
        <v>391</v>
      </c>
      <c r="K190">
        <v>30</v>
      </c>
      <c r="L190">
        <v>30</v>
      </c>
      <c r="O190">
        <v>2</v>
      </c>
      <c r="P190">
        <v>12771</v>
      </c>
      <c r="Q190">
        <v>13019</v>
      </c>
      <c r="R190">
        <v>248</v>
      </c>
      <c r="S190">
        <v>4</v>
      </c>
      <c r="T190">
        <v>992</v>
      </c>
      <c r="W190">
        <v>2</v>
      </c>
      <c r="X190">
        <v>120</v>
      </c>
      <c r="Y190">
        <v>240</v>
      </c>
      <c r="AB190">
        <v>0</v>
      </c>
      <c r="AD190">
        <v>100000</v>
      </c>
      <c r="AE190">
        <v>0</v>
      </c>
      <c r="AF190">
        <v>2</v>
      </c>
      <c r="AG190">
        <v>50000</v>
      </c>
      <c r="AH190">
        <v>100</v>
      </c>
      <c r="AK190">
        <v>0</v>
      </c>
      <c r="AM190">
        <v>60000</v>
      </c>
      <c r="AN190">
        <v>0</v>
      </c>
      <c r="AO190">
        <v>2</v>
      </c>
      <c r="AP190">
        <v>120000</v>
      </c>
      <c r="AQ190">
        <v>240</v>
      </c>
      <c r="AU190" t="s">
        <v>1162</v>
      </c>
      <c r="AV190" t="s">
        <v>1163</v>
      </c>
      <c r="AW190" t="s">
        <v>509</v>
      </c>
      <c r="AX190" t="s">
        <v>1164</v>
      </c>
      <c r="AY190" t="s">
        <v>383</v>
      </c>
      <c r="AZ190">
        <v>0</v>
      </c>
    </row>
    <row r="191" spans="1:57">
      <c r="A191" t="s">
        <v>1165</v>
      </c>
      <c r="B191" t="s">
        <v>154</v>
      </c>
      <c r="C191">
        <v>203</v>
      </c>
      <c r="D191" t="s">
        <v>761</v>
      </c>
      <c r="E191">
        <v>1</v>
      </c>
      <c r="F191" t="s">
        <v>892</v>
      </c>
      <c r="G191" t="s">
        <v>886</v>
      </c>
      <c r="H191" t="s">
        <v>892</v>
      </c>
      <c r="I191" t="s">
        <v>892</v>
      </c>
      <c r="K191">
        <v>30</v>
      </c>
      <c r="L191">
        <v>30</v>
      </c>
      <c r="O191">
        <v>3</v>
      </c>
      <c r="P191">
        <v>16061</v>
      </c>
      <c r="Q191">
        <v>16303</v>
      </c>
      <c r="R191">
        <v>242</v>
      </c>
      <c r="S191">
        <v>4</v>
      </c>
      <c r="T191">
        <v>968</v>
      </c>
      <c r="W191">
        <v>3</v>
      </c>
      <c r="X191">
        <v>100</v>
      </c>
      <c r="Y191">
        <v>300</v>
      </c>
      <c r="AB191">
        <v>0</v>
      </c>
      <c r="AC191">
        <v>1</v>
      </c>
      <c r="AD191">
        <v>100000</v>
      </c>
      <c r="AE191">
        <v>100</v>
      </c>
      <c r="AF191">
        <v>3</v>
      </c>
      <c r="AG191">
        <v>50000</v>
      </c>
      <c r="AH191">
        <v>150</v>
      </c>
      <c r="AK191">
        <v>0</v>
      </c>
      <c r="AM191">
        <v>60000</v>
      </c>
      <c r="AN191">
        <v>0</v>
      </c>
      <c r="AO191">
        <v>3</v>
      </c>
      <c r="AP191">
        <v>60000</v>
      </c>
      <c r="AQ191">
        <v>180</v>
      </c>
      <c r="AU191" t="s">
        <v>1166</v>
      </c>
      <c r="AV191" t="s">
        <v>1167</v>
      </c>
      <c r="AX191" t="s">
        <v>1168</v>
      </c>
      <c r="AY191" t="s">
        <v>383</v>
      </c>
      <c r="AZ191">
        <v>0</v>
      </c>
    </row>
    <row r="192" spans="1:57">
      <c r="A192" t="s">
        <v>1169</v>
      </c>
      <c r="B192" t="s">
        <v>154</v>
      </c>
      <c r="C192">
        <v>204</v>
      </c>
      <c r="D192" t="s">
        <v>761</v>
      </c>
      <c r="E192">
        <v>1</v>
      </c>
      <c r="F192" t="s">
        <v>886</v>
      </c>
      <c r="G192" t="s">
        <v>886</v>
      </c>
      <c r="H192" t="s">
        <v>886</v>
      </c>
      <c r="I192" t="s">
        <v>886</v>
      </c>
      <c r="K192">
        <v>30</v>
      </c>
      <c r="L192">
        <v>30</v>
      </c>
      <c r="O192">
        <v>1</v>
      </c>
      <c r="P192">
        <v>17450</v>
      </c>
      <c r="Q192">
        <v>17569</v>
      </c>
      <c r="R192">
        <v>119</v>
      </c>
      <c r="S192">
        <v>4</v>
      </c>
      <c r="T192">
        <v>476</v>
      </c>
      <c r="W192">
        <v>1</v>
      </c>
      <c r="X192">
        <v>120</v>
      </c>
      <c r="Y192">
        <v>120</v>
      </c>
      <c r="AB192">
        <v>0</v>
      </c>
      <c r="AC192">
        <v>1</v>
      </c>
      <c r="AD192">
        <v>100000</v>
      </c>
      <c r="AE192">
        <v>100</v>
      </c>
      <c r="AF192">
        <v>1</v>
      </c>
      <c r="AG192">
        <v>50000</v>
      </c>
      <c r="AH192">
        <v>50</v>
      </c>
      <c r="AK192">
        <v>0</v>
      </c>
      <c r="AN192">
        <v>0</v>
      </c>
      <c r="AO192">
        <v>1</v>
      </c>
      <c r="AP192">
        <v>120000</v>
      </c>
      <c r="AQ192">
        <v>120</v>
      </c>
      <c r="AU192">
        <v>866</v>
      </c>
      <c r="AV192" t="s">
        <v>1170</v>
      </c>
      <c r="AW192" t="s">
        <v>635</v>
      </c>
      <c r="AX192" t="s">
        <v>1171</v>
      </c>
      <c r="AY192" t="s">
        <v>383</v>
      </c>
      <c r="AZ192">
        <v>0</v>
      </c>
    </row>
    <row r="193" spans="1:60">
      <c r="A193" t="s">
        <v>1172</v>
      </c>
      <c r="B193" t="s">
        <v>154</v>
      </c>
      <c r="C193">
        <v>301</v>
      </c>
      <c r="D193" t="s">
        <v>761</v>
      </c>
      <c r="E193">
        <v>1</v>
      </c>
      <c r="F193" t="s">
        <v>897</v>
      </c>
      <c r="G193" t="s">
        <v>1159</v>
      </c>
      <c r="H193" t="s">
        <v>897</v>
      </c>
      <c r="I193" t="s">
        <v>897</v>
      </c>
      <c r="K193">
        <v>30</v>
      </c>
      <c r="L193">
        <v>30</v>
      </c>
      <c r="O193">
        <v>2</v>
      </c>
      <c r="P193">
        <v>16407</v>
      </c>
      <c r="Q193">
        <v>16666</v>
      </c>
      <c r="R193">
        <v>259</v>
      </c>
      <c r="S193">
        <v>4</v>
      </c>
      <c r="T193" t="s">
        <v>1173</v>
      </c>
      <c r="W193">
        <v>2</v>
      </c>
      <c r="X193">
        <v>90</v>
      </c>
      <c r="Y193">
        <v>180</v>
      </c>
      <c r="Z193">
        <v>2</v>
      </c>
      <c r="AA193">
        <v>30000</v>
      </c>
      <c r="AB193">
        <v>60</v>
      </c>
      <c r="AC193">
        <v>1</v>
      </c>
      <c r="AD193">
        <v>100000</v>
      </c>
      <c r="AE193">
        <v>100</v>
      </c>
      <c r="AF193">
        <v>2</v>
      </c>
      <c r="AG193">
        <v>50000</v>
      </c>
      <c r="AH193">
        <v>100</v>
      </c>
      <c r="AK193">
        <v>0</v>
      </c>
      <c r="AM193">
        <v>60000</v>
      </c>
      <c r="AN193">
        <v>0</v>
      </c>
      <c r="AQ193">
        <v>0</v>
      </c>
      <c r="AU193" t="s">
        <v>1174</v>
      </c>
      <c r="AV193" t="s">
        <v>1175</v>
      </c>
      <c r="AX193" t="s">
        <v>1176</v>
      </c>
      <c r="AY193" t="s">
        <v>383</v>
      </c>
      <c r="AZ193">
        <v>0</v>
      </c>
    </row>
    <row r="194" spans="1:60">
      <c r="A194" t="s">
        <v>1177</v>
      </c>
      <c r="B194" t="s">
        <v>154</v>
      </c>
      <c r="C194">
        <v>302</v>
      </c>
      <c r="D194" t="s">
        <v>761</v>
      </c>
      <c r="E194">
        <v>1</v>
      </c>
      <c r="F194" t="s">
        <v>409</v>
      </c>
      <c r="G194" t="s">
        <v>892</v>
      </c>
      <c r="H194" t="s">
        <v>409</v>
      </c>
      <c r="I194" t="s">
        <v>409</v>
      </c>
      <c r="K194">
        <v>30</v>
      </c>
      <c r="L194">
        <v>30</v>
      </c>
      <c r="M194">
        <v>360</v>
      </c>
      <c r="O194">
        <v>3</v>
      </c>
      <c r="P194">
        <v>12794</v>
      </c>
      <c r="Q194">
        <v>13125</v>
      </c>
      <c r="R194">
        <v>331</v>
      </c>
      <c r="S194">
        <v>4</v>
      </c>
      <c r="T194" t="s">
        <v>1178</v>
      </c>
      <c r="W194">
        <v>3</v>
      </c>
      <c r="X194">
        <v>120</v>
      </c>
      <c r="Y194">
        <v>360</v>
      </c>
      <c r="AB194">
        <v>0</v>
      </c>
      <c r="AC194">
        <v>1</v>
      </c>
      <c r="AD194">
        <v>100000</v>
      </c>
      <c r="AE194">
        <v>100</v>
      </c>
      <c r="AF194">
        <v>3</v>
      </c>
      <c r="AG194">
        <v>50000</v>
      </c>
      <c r="AH194">
        <v>150</v>
      </c>
      <c r="AM194">
        <v>60000</v>
      </c>
      <c r="AN194">
        <v>0</v>
      </c>
      <c r="AO194">
        <v>3</v>
      </c>
      <c r="AP194">
        <v>120000</v>
      </c>
      <c r="AQ194">
        <v>360</v>
      </c>
      <c r="AU194" t="s">
        <v>1179</v>
      </c>
      <c r="AV194" t="s">
        <v>1180</v>
      </c>
      <c r="AW194" t="s">
        <v>1181</v>
      </c>
      <c r="AX194" t="s">
        <v>1182</v>
      </c>
      <c r="AY194" t="s">
        <v>383</v>
      </c>
      <c r="AZ194">
        <v>0</v>
      </c>
    </row>
    <row r="195" spans="1:60">
      <c r="A195" t="s">
        <v>1183</v>
      </c>
      <c r="B195" t="s">
        <v>154</v>
      </c>
      <c r="C195">
        <v>303</v>
      </c>
      <c r="D195" t="s">
        <v>761</v>
      </c>
      <c r="E195">
        <v>1</v>
      </c>
      <c r="F195" t="s">
        <v>409</v>
      </c>
      <c r="G195" t="s">
        <v>886</v>
      </c>
      <c r="H195" t="s">
        <v>409</v>
      </c>
      <c r="I195" t="s">
        <v>409</v>
      </c>
      <c r="K195">
        <v>30</v>
      </c>
      <c r="L195">
        <v>30</v>
      </c>
      <c r="O195">
        <v>2</v>
      </c>
      <c r="P195">
        <v>22566</v>
      </c>
      <c r="Q195">
        <v>22812</v>
      </c>
      <c r="R195">
        <v>246</v>
      </c>
      <c r="S195">
        <v>4</v>
      </c>
      <c r="T195">
        <v>984</v>
      </c>
      <c r="W195">
        <v>2</v>
      </c>
      <c r="X195">
        <v>100</v>
      </c>
      <c r="Y195">
        <v>200</v>
      </c>
      <c r="AB195">
        <v>0</v>
      </c>
      <c r="AC195">
        <v>1</v>
      </c>
      <c r="AD195">
        <v>100000</v>
      </c>
      <c r="AE195">
        <v>100</v>
      </c>
      <c r="AF195">
        <v>2</v>
      </c>
      <c r="AG195">
        <v>50000</v>
      </c>
      <c r="AH195">
        <v>100</v>
      </c>
      <c r="AK195">
        <v>0</v>
      </c>
      <c r="AL195">
        <v>0</v>
      </c>
      <c r="AM195">
        <v>60000</v>
      </c>
      <c r="AN195">
        <v>0</v>
      </c>
      <c r="AO195">
        <v>2</v>
      </c>
      <c r="AP195">
        <v>120000</v>
      </c>
      <c r="AQ195">
        <v>240</v>
      </c>
      <c r="AU195" t="s">
        <v>1184</v>
      </c>
      <c r="AV195" t="s">
        <v>1185</v>
      </c>
      <c r="AX195" t="s">
        <v>1186</v>
      </c>
      <c r="AY195" t="s">
        <v>383</v>
      </c>
      <c r="AZ195">
        <v>0</v>
      </c>
    </row>
    <row r="196" spans="1:60">
      <c r="A196" t="s">
        <v>1187</v>
      </c>
      <c r="B196" t="s">
        <v>154</v>
      </c>
      <c r="C196">
        <v>304</v>
      </c>
      <c r="D196" t="s">
        <v>761</v>
      </c>
      <c r="E196">
        <v>1</v>
      </c>
      <c r="F196" t="s">
        <v>391</v>
      </c>
      <c r="G196" t="s">
        <v>886</v>
      </c>
      <c r="H196" t="s">
        <v>391</v>
      </c>
      <c r="I196" t="s">
        <v>391</v>
      </c>
      <c r="K196">
        <v>30</v>
      </c>
      <c r="L196">
        <v>30</v>
      </c>
      <c r="O196">
        <v>3</v>
      </c>
      <c r="P196">
        <v>14685</v>
      </c>
      <c r="Q196">
        <v>14955</v>
      </c>
      <c r="R196">
        <v>270</v>
      </c>
      <c r="S196">
        <v>4</v>
      </c>
      <c r="T196" t="s">
        <v>1188</v>
      </c>
      <c r="W196">
        <v>3</v>
      </c>
      <c r="X196">
        <v>120</v>
      </c>
      <c r="Y196">
        <v>360</v>
      </c>
      <c r="AA196">
        <v>30000</v>
      </c>
      <c r="AB196">
        <v>0</v>
      </c>
      <c r="AC196">
        <v>1</v>
      </c>
      <c r="AD196">
        <v>100000</v>
      </c>
      <c r="AE196">
        <v>100</v>
      </c>
      <c r="AF196">
        <v>3</v>
      </c>
      <c r="AG196">
        <v>50000</v>
      </c>
      <c r="AH196">
        <v>150</v>
      </c>
      <c r="AK196">
        <v>0</v>
      </c>
      <c r="AM196">
        <v>60000</v>
      </c>
      <c r="AN196">
        <v>0</v>
      </c>
      <c r="AO196">
        <v>3</v>
      </c>
      <c r="AP196">
        <v>100000</v>
      </c>
      <c r="AQ196">
        <v>300</v>
      </c>
      <c r="AU196" t="s">
        <v>1189</v>
      </c>
      <c r="AV196" t="s">
        <v>1190</v>
      </c>
      <c r="AX196" t="s">
        <v>1191</v>
      </c>
      <c r="AY196" t="s">
        <v>383</v>
      </c>
      <c r="AZ196">
        <v>0</v>
      </c>
    </row>
    <row r="197" spans="1:60">
      <c r="A197" t="s">
        <v>1192</v>
      </c>
      <c r="B197" t="s">
        <v>154</v>
      </c>
      <c r="C197">
        <v>401</v>
      </c>
      <c r="D197" t="s">
        <v>761</v>
      </c>
      <c r="E197">
        <v>1</v>
      </c>
      <c r="F197" t="s">
        <v>897</v>
      </c>
      <c r="G197" t="s">
        <v>1159</v>
      </c>
      <c r="H197" t="s">
        <v>897</v>
      </c>
      <c r="I197" t="s">
        <v>897</v>
      </c>
      <c r="K197">
        <v>30</v>
      </c>
      <c r="L197">
        <v>30</v>
      </c>
      <c r="O197">
        <v>4</v>
      </c>
      <c r="P197">
        <v>26525</v>
      </c>
      <c r="Q197">
        <v>26836</v>
      </c>
      <c r="R197">
        <v>311</v>
      </c>
      <c r="S197">
        <v>4</v>
      </c>
      <c r="T197" t="s">
        <v>1193</v>
      </c>
      <c r="U197">
        <v>1313</v>
      </c>
      <c r="V197">
        <v>1323</v>
      </c>
      <c r="W197">
        <v>10</v>
      </c>
      <c r="X197">
        <v>35</v>
      </c>
      <c r="Y197">
        <v>350</v>
      </c>
      <c r="AB197">
        <v>0</v>
      </c>
      <c r="AC197">
        <v>1</v>
      </c>
      <c r="AD197">
        <v>100000</v>
      </c>
      <c r="AE197">
        <v>100</v>
      </c>
      <c r="AF197">
        <v>4</v>
      </c>
      <c r="AG197">
        <v>50000</v>
      </c>
      <c r="AH197">
        <v>200</v>
      </c>
      <c r="AK197">
        <v>0</v>
      </c>
      <c r="AL197">
        <v>0</v>
      </c>
      <c r="AN197">
        <v>0</v>
      </c>
      <c r="AO197">
        <v>4</v>
      </c>
      <c r="AP197">
        <v>120000</v>
      </c>
      <c r="AQ197">
        <v>480</v>
      </c>
      <c r="AU197" t="s">
        <v>1194</v>
      </c>
      <c r="AV197" t="s">
        <v>1195</v>
      </c>
      <c r="AX197" t="s">
        <v>1196</v>
      </c>
      <c r="AY197" t="s">
        <v>383</v>
      </c>
      <c r="AZ197">
        <v>0</v>
      </c>
    </row>
    <row r="198" spans="1:60">
      <c r="A198" t="s">
        <v>1197</v>
      </c>
      <c r="B198" t="s">
        <v>154</v>
      </c>
      <c r="C198">
        <v>402</v>
      </c>
      <c r="D198" t="s">
        <v>761</v>
      </c>
      <c r="E198">
        <v>1</v>
      </c>
      <c r="F198" t="s">
        <v>391</v>
      </c>
      <c r="G198" t="s">
        <v>892</v>
      </c>
      <c r="H198" t="s">
        <v>391</v>
      </c>
      <c r="I198" t="s">
        <v>391</v>
      </c>
      <c r="K198">
        <v>30</v>
      </c>
      <c r="L198">
        <v>30</v>
      </c>
      <c r="N198">
        <v>240000</v>
      </c>
      <c r="O198">
        <v>2</v>
      </c>
      <c r="P198">
        <v>14516</v>
      </c>
      <c r="Q198">
        <v>14695</v>
      </c>
      <c r="R198">
        <v>179</v>
      </c>
      <c r="S198">
        <v>4</v>
      </c>
      <c r="T198">
        <v>716</v>
      </c>
      <c r="U198">
        <v>1061</v>
      </c>
      <c r="V198">
        <v>1068</v>
      </c>
      <c r="W198">
        <v>7</v>
      </c>
      <c r="X198">
        <v>35</v>
      </c>
      <c r="Y198">
        <v>245</v>
      </c>
      <c r="AB198">
        <v>0</v>
      </c>
      <c r="AC198">
        <v>1</v>
      </c>
      <c r="AD198">
        <v>100000</v>
      </c>
      <c r="AE198">
        <v>100</v>
      </c>
      <c r="AF198">
        <v>2</v>
      </c>
      <c r="AG198">
        <v>50000</v>
      </c>
      <c r="AH198">
        <v>100</v>
      </c>
      <c r="AK198">
        <v>0</v>
      </c>
      <c r="AN198">
        <v>0</v>
      </c>
      <c r="AO198">
        <v>2</v>
      </c>
      <c r="AP198">
        <v>120000</v>
      </c>
      <c r="AQ198">
        <v>240</v>
      </c>
      <c r="AU198" t="s">
        <v>1198</v>
      </c>
      <c r="AV198" t="s">
        <v>1199</v>
      </c>
      <c r="AW198" t="s">
        <v>635</v>
      </c>
      <c r="AX198" t="s">
        <v>1200</v>
      </c>
      <c r="AY198" t="s">
        <v>383</v>
      </c>
      <c r="AZ198">
        <v>0</v>
      </c>
    </row>
    <row r="199" spans="1:60">
      <c r="A199" t="s">
        <v>1201</v>
      </c>
      <c r="B199" t="s">
        <v>154</v>
      </c>
      <c r="C199">
        <v>403</v>
      </c>
      <c r="D199" t="s">
        <v>761</v>
      </c>
      <c r="E199">
        <v>1</v>
      </c>
      <c r="F199" t="s">
        <v>420</v>
      </c>
      <c r="G199" t="s">
        <v>886</v>
      </c>
      <c r="H199" t="s">
        <v>420</v>
      </c>
      <c r="I199" t="s">
        <v>420</v>
      </c>
      <c r="K199">
        <v>30</v>
      </c>
      <c r="L199">
        <v>30</v>
      </c>
      <c r="O199">
        <v>3</v>
      </c>
      <c r="P199">
        <v>14590</v>
      </c>
      <c r="Q199">
        <v>14786</v>
      </c>
      <c r="R199">
        <v>196</v>
      </c>
      <c r="S199">
        <v>4</v>
      </c>
      <c r="T199">
        <v>784</v>
      </c>
      <c r="U199">
        <v>1301</v>
      </c>
      <c r="V199">
        <v>1307</v>
      </c>
      <c r="W199">
        <v>6</v>
      </c>
      <c r="X199">
        <v>35</v>
      </c>
      <c r="Y199">
        <v>210</v>
      </c>
      <c r="AB199">
        <v>0</v>
      </c>
      <c r="AC199">
        <v>1</v>
      </c>
      <c r="AD199">
        <v>100000</v>
      </c>
      <c r="AE199">
        <v>100</v>
      </c>
      <c r="AF199">
        <v>3</v>
      </c>
      <c r="AG199">
        <v>50000</v>
      </c>
      <c r="AH199">
        <v>150</v>
      </c>
      <c r="AK199">
        <v>0</v>
      </c>
      <c r="AN199">
        <v>0</v>
      </c>
      <c r="AO199">
        <v>3</v>
      </c>
      <c r="AP199">
        <v>120000</v>
      </c>
      <c r="AQ199">
        <v>360</v>
      </c>
      <c r="AU199" t="s">
        <v>380</v>
      </c>
      <c r="AV199" t="s">
        <v>1202</v>
      </c>
      <c r="AX199" t="s">
        <v>1203</v>
      </c>
      <c r="AY199" t="s">
        <v>383</v>
      </c>
      <c r="AZ199">
        <v>0</v>
      </c>
    </row>
    <row r="200" spans="1:60">
      <c r="A200" t="s">
        <v>1204</v>
      </c>
      <c r="B200" t="s">
        <v>154</v>
      </c>
      <c r="C200">
        <v>404</v>
      </c>
      <c r="D200" t="s">
        <v>761</v>
      </c>
      <c r="E200">
        <v>1</v>
      </c>
      <c r="F200" t="s">
        <v>391</v>
      </c>
      <c r="G200" t="s">
        <v>886</v>
      </c>
      <c r="H200" t="s">
        <v>391</v>
      </c>
      <c r="I200" t="s">
        <v>391</v>
      </c>
      <c r="K200">
        <v>30</v>
      </c>
      <c r="L200">
        <v>30</v>
      </c>
      <c r="O200">
        <v>2</v>
      </c>
      <c r="P200">
        <v>21280</v>
      </c>
      <c r="Q200">
        <v>21729</v>
      </c>
      <c r="R200">
        <v>449</v>
      </c>
      <c r="S200">
        <v>4</v>
      </c>
      <c r="T200" t="s">
        <v>1205</v>
      </c>
      <c r="W200">
        <v>4</v>
      </c>
      <c r="X200">
        <v>120</v>
      </c>
      <c r="Y200">
        <v>480</v>
      </c>
      <c r="AB200">
        <v>0</v>
      </c>
      <c r="AC200">
        <v>1</v>
      </c>
      <c r="AD200">
        <v>100000</v>
      </c>
      <c r="AE200">
        <v>100</v>
      </c>
      <c r="AF200">
        <v>2</v>
      </c>
      <c r="AG200">
        <v>50000</v>
      </c>
      <c r="AH200">
        <v>100</v>
      </c>
      <c r="AK200">
        <v>0</v>
      </c>
      <c r="AN200">
        <v>0</v>
      </c>
      <c r="AO200">
        <v>2</v>
      </c>
      <c r="AP200">
        <v>120000</v>
      </c>
      <c r="AQ200">
        <v>240</v>
      </c>
      <c r="AU200" t="s">
        <v>1206</v>
      </c>
      <c r="AV200" t="s">
        <v>1207</v>
      </c>
      <c r="AX200" t="s">
        <v>1208</v>
      </c>
      <c r="AY200" t="s">
        <v>383</v>
      </c>
      <c r="AZ200">
        <v>0</v>
      </c>
      <c r="BF200">
        <v>0</v>
      </c>
      <c r="BH200">
        <v>0</v>
      </c>
    </row>
    <row r="201" spans="1:60">
      <c r="A201" t="s">
        <v>1209</v>
      </c>
      <c r="B201" t="s">
        <v>154</v>
      </c>
      <c r="C201">
        <v>501</v>
      </c>
      <c r="D201" t="s">
        <v>761</v>
      </c>
      <c r="E201">
        <v>1</v>
      </c>
      <c r="F201" t="s">
        <v>1159</v>
      </c>
      <c r="G201" t="s">
        <v>1159</v>
      </c>
      <c r="H201" t="s">
        <v>1159</v>
      </c>
      <c r="I201" t="s">
        <v>1159</v>
      </c>
      <c r="K201">
        <v>30</v>
      </c>
      <c r="L201">
        <v>30</v>
      </c>
      <c r="O201">
        <v>3</v>
      </c>
      <c r="P201">
        <v>14765</v>
      </c>
      <c r="Q201">
        <v>14999</v>
      </c>
      <c r="R201">
        <v>234</v>
      </c>
      <c r="S201">
        <v>4</v>
      </c>
      <c r="T201">
        <v>936</v>
      </c>
      <c r="W201">
        <v>3</v>
      </c>
      <c r="X201">
        <v>120</v>
      </c>
      <c r="Y201">
        <v>360</v>
      </c>
      <c r="AB201">
        <v>0</v>
      </c>
      <c r="AC201">
        <v>1</v>
      </c>
      <c r="AD201">
        <v>100000</v>
      </c>
      <c r="AE201">
        <v>100</v>
      </c>
      <c r="AF201">
        <v>3</v>
      </c>
      <c r="AG201">
        <v>50000</v>
      </c>
      <c r="AH201">
        <v>150</v>
      </c>
      <c r="AM201">
        <v>60000</v>
      </c>
      <c r="AN201">
        <v>0</v>
      </c>
      <c r="AO201">
        <v>3</v>
      </c>
      <c r="AP201">
        <v>120000</v>
      </c>
      <c r="AQ201">
        <v>360</v>
      </c>
      <c r="AU201" t="s">
        <v>1210</v>
      </c>
      <c r="AV201" t="s">
        <v>1211</v>
      </c>
      <c r="AX201" t="s">
        <v>1212</v>
      </c>
      <c r="AY201" t="s">
        <v>383</v>
      </c>
      <c r="AZ201">
        <v>0</v>
      </c>
    </row>
    <row r="202" spans="1:60">
      <c r="A202" t="s">
        <v>1213</v>
      </c>
      <c r="B202" t="s">
        <v>154</v>
      </c>
      <c r="C202">
        <v>502</v>
      </c>
      <c r="D202" t="s">
        <v>761</v>
      </c>
      <c r="E202">
        <v>1</v>
      </c>
      <c r="F202" t="s">
        <v>391</v>
      </c>
      <c r="G202" t="s">
        <v>892</v>
      </c>
      <c r="H202" t="s">
        <v>391</v>
      </c>
      <c r="I202" t="s">
        <v>391</v>
      </c>
      <c r="J202" t="s">
        <v>391</v>
      </c>
      <c r="K202">
        <v>30</v>
      </c>
      <c r="L202">
        <v>30</v>
      </c>
      <c r="O202">
        <v>1</v>
      </c>
      <c r="P202">
        <v>16409</v>
      </c>
      <c r="Q202">
        <v>16409</v>
      </c>
      <c r="R202">
        <v>0</v>
      </c>
      <c r="S202">
        <v>4</v>
      </c>
      <c r="T202">
        <v>0</v>
      </c>
      <c r="W202">
        <v>1</v>
      </c>
      <c r="X202">
        <v>120</v>
      </c>
      <c r="Y202">
        <v>120</v>
      </c>
      <c r="AB202">
        <v>0</v>
      </c>
      <c r="AC202">
        <v>1</v>
      </c>
      <c r="AD202">
        <v>100000</v>
      </c>
      <c r="AE202">
        <v>100</v>
      </c>
      <c r="AF202">
        <v>1</v>
      </c>
      <c r="AG202">
        <v>50000</v>
      </c>
      <c r="AH202">
        <v>50</v>
      </c>
      <c r="AK202">
        <v>0</v>
      </c>
      <c r="AM202">
        <v>60000</v>
      </c>
      <c r="AN202">
        <v>0</v>
      </c>
      <c r="AO202">
        <v>1</v>
      </c>
      <c r="AP202">
        <v>120000</v>
      </c>
      <c r="AQ202">
        <v>120</v>
      </c>
      <c r="AU202">
        <v>390</v>
      </c>
      <c r="AV202" t="s">
        <v>1214</v>
      </c>
      <c r="AW202" t="s">
        <v>1215</v>
      </c>
      <c r="AX202" t="s">
        <v>1216</v>
      </c>
      <c r="AY202" t="s">
        <v>522</v>
      </c>
      <c r="AZ202">
        <v>160</v>
      </c>
      <c r="BA202" s="1">
        <v>46031</v>
      </c>
      <c r="BB202" t="s">
        <v>474</v>
      </c>
      <c r="BC202" t="s">
        <v>475</v>
      </c>
    </row>
    <row r="203" spans="1:60">
      <c r="A203" t="s">
        <v>1217</v>
      </c>
      <c r="B203" t="s">
        <v>154</v>
      </c>
      <c r="C203">
        <v>503</v>
      </c>
      <c r="D203" t="s">
        <v>761</v>
      </c>
      <c r="E203">
        <v>1</v>
      </c>
      <c r="F203" t="s">
        <v>391</v>
      </c>
      <c r="G203" t="s">
        <v>886</v>
      </c>
      <c r="H203" t="s">
        <v>391</v>
      </c>
      <c r="I203" t="s">
        <v>391</v>
      </c>
      <c r="J203" t="s">
        <v>391</v>
      </c>
      <c r="K203">
        <v>30</v>
      </c>
      <c r="L203">
        <v>30</v>
      </c>
      <c r="O203">
        <v>3</v>
      </c>
      <c r="P203">
        <v>17796</v>
      </c>
      <c r="Q203">
        <v>18006</v>
      </c>
      <c r="R203">
        <v>210</v>
      </c>
      <c r="S203">
        <v>4</v>
      </c>
      <c r="T203">
        <v>840</v>
      </c>
      <c r="W203">
        <v>3</v>
      </c>
      <c r="X203">
        <v>120</v>
      </c>
      <c r="Y203">
        <v>360</v>
      </c>
      <c r="AB203">
        <v>0</v>
      </c>
      <c r="AC203">
        <v>1</v>
      </c>
      <c r="AD203">
        <v>100000</v>
      </c>
      <c r="AE203">
        <v>100</v>
      </c>
      <c r="AF203">
        <v>3</v>
      </c>
      <c r="AG203">
        <v>50000</v>
      </c>
      <c r="AH203">
        <v>150</v>
      </c>
      <c r="AK203">
        <v>0</v>
      </c>
      <c r="AM203">
        <v>60000</v>
      </c>
      <c r="AN203">
        <v>0</v>
      </c>
      <c r="AO203">
        <v>3</v>
      </c>
      <c r="AP203">
        <v>120000</v>
      </c>
      <c r="AQ203">
        <v>360</v>
      </c>
      <c r="AU203" t="s">
        <v>1218</v>
      </c>
      <c r="AV203" t="s">
        <v>1219</v>
      </c>
      <c r="AW203" t="s">
        <v>949</v>
      </c>
      <c r="AX203" t="s">
        <v>1220</v>
      </c>
      <c r="AY203" t="s">
        <v>383</v>
      </c>
      <c r="AZ203">
        <v>0</v>
      </c>
    </row>
    <row r="204" spans="1:60">
      <c r="A204" t="s">
        <v>1221</v>
      </c>
      <c r="B204" t="s">
        <v>154</v>
      </c>
      <c r="C204">
        <v>504</v>
      </c>
      <c r="D204" t="s">
        <v>761</v>
      </c>
      <c r="E204">
        <v>1</v>
      </c>
      <c r="F204" t="s">
        <v>1159</v>
      </c>
      <c r="G204" t="s">
        <v>886</v>
      </c>
      <c r="H204" t="s">
        <v>1159</v>
      </c>
      <c r="I204" t="s">
        <v>1159</v>
      </c>
      <c r="K204">
        <v>30</v>
      </c>
      <c r="L204">
        <v>30</v>
      </c>
      <c r="O204">
        <v>1</v>
      </c>
      <c r="P204">
        <v>21369</v>
      </c>
      <c r="Q204">
        <v>21465</v>
      </c>
      <c r="R204">
        <v>96</v>
      </c>
      <c r="S204">
        <v>4</v>
      </c>
      <c r="T204">
        <v>384</v>
      </c>
      <c r="W204">
        <v>1</v>
      </c>
      <c r="X204">
        <v>120</v>
      </c>
      <c r="Y204">
        <v>120</v>
      </c>
      <c r="AB204">
        <v>0</v>
      </c>
      <c r="AC204">
        <v>1</v>
      </c>
      <c r="AD204">
        <v>100000</v>
      </c>
      <c r="AE204">
        <v>100</v>
      </c>
      <c r="AF204">
        <v>1</v>
      </c>
      <c r="AG204">
        <v>50000</v>
      </c>
      <c r="AH204">
        <v>50</v>
      </c>
      <c r="AK204">
        <v>0</v>
      </c>
      <c r="AN204">
        <v>0</v>
      </c>
      <c r="AO204">
        <v>1</v>
      </c>
      <c r="AP204">
        <v>120000</v>
      </c>
      <c r="AQ204">
        <v>120</v>
      </c>
      <c r="AU204">
        <v>774</v>
      </c>
      <c r="AV204" t="s">
        <v>1222</v>
      </c>
      <c r="AX204" t="s">
        <v>1223</v>
      </c>
      <c r="AY204" t="s">
        <v>383</v>
      </c>
      <c r="AZ204">
        <v>0</v>
      </c>
    </row>
    <row r="205" spans="1:60">
      <c r="A205" t="s">
        <v>1224</v>
      </c>
      <c r="B205" t="s">
        <v>145</v>
      </c>
      <c r="C205">
        <v>201</v>
      </c>
      <c r="D205" t="s">
        <v>871</v>
      </c>
      <c r="E205">
        <v>1</v>
      </c>
      <c r="F205" t="s">
        <v>552</v>
      </c>
      <c r="G205" t="s">
        <v>552</v>
      </c>
      <c r="H205" t="s">
        <v>552</v>
      </c>
      <c r="I205" t="s">
        <v>552</v>
      </c>
      <c r="K205">
        <v>30</v>
      </c>
      <c r="L205">
        <v>30</v>
      </c>
      <c r="O205">
        <v>1</v>
      </c>
      <c r="P205">
        <v>18900</v>
      </c>
      <c r="Q205">
        <v>19046</v>
      </c>
      <c r="R205">
        <v>146</v>
      </c>
      <c r="S205">
        <v>4</v>
      </c>
      <c r="T205">
        <v>584</v>
      </c>
      <c r="W205">
        <v>1</v>
      </c>
      <c r="X205">
        <v>100000</v>
      </c>
      <c r="Y205">
        <v>100</v>
      </c>
      <c r="Z205">
        <v>1</v>
      </c>
      <c r="AA205">
        <v>30000</v>
      </c>
      <c r="AB205">
        <v>30</v>
      </c>
      <c r="AC205">
        <v>1</v>
      </c>
      <c r="AD205">
        <v>100000</v>
      </c>
      <c r="AE205">
        <v>100</v>
      </c>
      <c r="AH205">
        <v>0</v>
      </c>
      <c r="AK205">
        <v>0</v>
      </c>
      <c r="AL205">
        <v>1</v>
      </c>
      <c r="AM205">
        <v>60000</v>
      </c>
      <c r="AN205">
        <v>60</v>
      </c>
      <c r="AQ205">
        <v>0</v>
      </c>
      <c r="AU205">
        <v>874</v>
      </c>
      <c r="AV205" t="s">
        <v>1225</v>
      </c>
      <c r="AX205" t="s">
        <v>768</v>
      </c>
      <c r="AY205" t="s">
        <v>383</v>
      </c>
      <c r="AZ205">
        <v>0</v>
      </c>
    </row>
    <row r="206" spans="1:60">
      <c r="A206" t="s">
        <v>1226</v>
      </c>
      <c r="B206" t="s">
        <v>145</v>
      </c>
      <c r="C206">
        <v>202</v>
      </c>
      <c r="D206" t="s">
        <v>871</v>
      </c>
      <c r="E206">
        <v>1</v>
      </c>
      <c r="F206" t="s">
        <v>552</v>
      </c>
      <c r="G206" t="s">
        <v>552</v>
      </c>
      <c r="H206" t="s">
        <v>552</v>
      </c>
      <c r="I206" t="s">
        <v>552</v>
      </c>
      <c r="K206">
        <v>30</v>
      </c>
      <c r="L206">
        <v>30</v>
      </c>
      <c r="O206">
        <v>2</v>
      </c>
      <c r="P206">
        <v>15046</v>
      </c>
      <c r="Q206">
        <v>15157</v>
      </c>
      <c r="R206">
        <v>111</v>
      </c>
      <c r="S206">
        <v>4</v>
      </c>
      <c r="T206">
        <v>444</v>
      </c>
      <c r="W206">
        <v>2</v>
      </c>
      <c r="X206">
        <v>120000</v>
      </c>
      <c r="Y206">
        <v>240</v>
      </c>
      <c r="AB206">
        <v>0</v>
      </c>
      <c r="AC206">
        <v>1</v>
      </c>
      <c r="AD206">
        <v>100000</v>
      </c>
      <c r="AE206">
        <v>100</v>
      </c>
      <c r="AH206">
        <v>0</v>
      </c>
      <c r="AK206">
        <v>0</v>
      </c>
      <c r="AN206">
        <v>0</v>
      </c>
      <c r="AO206">
        <v>2</v>
      </c>
      <c r="AP206">
        <v>120000</v>
      </c>
      <c r="AQ206">
        <v>240</v>
      </c>
      <c r="AU206" t="s">
        <v>1227</v>
      </c>
      <c r="AV206" t="s">
        <v>1228</v>
      </c>
      <c r="AX206" t="s">
        <v>1229</v>
      </c>
      <c r="AY206" t="s">
        <v>383</v>
      </c>
      <c r="AZ206">
        <v>0</v>
      </c>
    </row>
    <row r="207" spans="1:60">
      <c r="A207" t="s">
        <v>1230</v>
      </c>
      <c r="B207" t="s">
        <v>145</v>
      </c>
      <c r="C207">
        <v>301</v>
      </c>
      <c r="D207" t="s">
        <v>871</v>
      </c>
      <c r="E207">
        <v>1</v>
      </c>
      <c r="F207" t="s">
        <v>552</v>
      </c>
      <c r="G207" t="s">
        <v>552</v>
      </c>
      <c r="H207" t="s">
        <v>552</v>
      </c>
      <c r="I207" t="s">
        <v>552</v>
      </c>
      <c r="K207">
        <v>30</v>
      </c>
      <c r="L207">
        <v>30</v>
      </c>
      <c r="O207">
        <v>1</v>
      </c>
      <c r="P207">
        <v>23225</v>
      </c>
      <c r="Q207">
        <v>23741</v>
      </c>
      <c r="R207">
        <v>516</v>
      </c>
      <c r="S207">
        <v>4</v>
      </c>
      <c r="T207" t="s">
        <v>1231</v>
      </c>
      <c r="W207">
        <v>1</v>
      </c>
      <c r="X207">
        <v>100000</v>
      </c>
      <c r="Y207">
        <v>100</v>
      </c>
      <c r="Z207">
        <v>1</v>
      </c>
      <c r="AA207">
        <v>30000</v>
      </c>
      <c r="AB207">
        <v>30</v>
      </c>
      <c r="AC207">
        <v>1</v>
      </c>
      <c r="AD207">
        <v>100000</v>
      </c>
      <c r="AE207">
        <v>100</v>
      </c>
      <c r="AH207">
        <v>0</v>
      </c>
      <c r="AK207">
        <v>0</v>
      </c>
      <c r="AL207">
        <v>0</v>
      </c>
      <c r="AM207">
        <v>60000</v>
      </c>
      <c r="AN207">
        <v>0</v>
      </c>
      <c r="AQ207">
        <v>0</v>
      </c>
      <c r="AU207" t="s">
        <v>1179</v>
      </c>
      <c r="AV207" t="s">
        <v>1232</v>
      </c>
      <c r="AX207" t="s">
        <v>1233</v>
      </c>
      <c r="AY207" t="s">
        <v>383</v>
      </c>
      <c r="AZ207">
        <v>0</v>
      </c>
    </row>
    <row r="208" spans="1:60">
      <c r="A208" t="s">
        <v>1234</v>
      </c>
      <c r="B208" t="s">
        <v>145</v>
      </c>
      <c r="C208">
        <v>302</v>
      </c>
      <c r="D208" t="s">
        <v>871</v>
      </c>
      <c r="E208">
        <v>1</v>
      </c>
      <c r="F208" t="s">
        <v>552</v>
      </c>
      <c r="G208" t="s">
        <v>552</v>
      </c>
      <c r="H208" t="s">
        <v>552</v>
      </c>
      <c r="I208" t="s">
        <v>552</v>
      </c>
      <c r="K208">
        <v>30</v>
      </c>
      <c r="L208">
        <v>30</v>
      </c>
      <c r="O208">
        <v>1</v>
      </c>
      <c r="P208">
        <v>10158</v>
      </c>
      <c r="Q208">
        <v>10235</v>
      </c>
      <c r="R208">
        <v>77</v>
      </c>
      <c r="S208">
        <v>4</v>
      </c>
      <c r="T208">
        <v>308</v>
      </c>
      <c r="W208">
        <v>1</v>
      </c>
      <c r="X208">
        <v>100000</v>
      </c>
      <c r="Y208">
        <v>100</v>
      </c>
      <c r="Z208">
        <v>1</v>
      </c>
      <c r="AA208">
        <v>30000</v>
      </c>
      <c r="AB208">
        <v>30</v>
      </c>
      <c r="AC208">
        <v>1</v>
      </c>
      <c r="AD208">
        <v>100000</v>
      </c>
      <c r="AE208">
        <v>100</v>
      </c>
      <c r="AH208">
        <v>0</v>
      </c>
      <c r="AK208">
        <v>0</v>
      </c>
      <c r="AL208">
        <v>1</v>
      </c>
      <c r="AM208">
        <v>60000</v>
      </c>
      <c r="AN208">
        <v>60</v>
      </c>
      <c r="AQ208">
        <v>0</v>
      </c>
      <c r="AU208">
        <v>598</v>
      </c>
      <c r="AV208" t="s">
        <v>1235</v>
      </c>
      <c r="AX208" t="s">
        <v>1236</v>
      </c>
      <c r="AY208" t="s">
        <v>383</v>
      </c>
      <c r="AZ208">
        <v>0</v>
      </c>
    </row>
    <row r="209" spans="1:52">
      <c r="A209" t="s">
        <v>1237</v>
      </c>
      <c r="B209" t="s">
        <v>145</v>
      </c>
      <c r="C209">
        <v>401</v>
      </c>
      <c r="D209" t="s">
        <v>871</v>
      </c>
      <c r="E209">
        <v>1</v>
      </c>
      <c r="F209" t="s">
        <v>552</v>
      </c>
      <c r="G209" t="s">
        <v>552</v>
      </c>
      <c r="H209" t="s">
        <v>552</v>
      </c>
      <c r="I209" t="s">
        <v>552</v>
      </c>
      <c r="K209">
        <v>30</v>
      </c>
      <c r="L209">
        <v>30</v>
      </c>
      <c r="O209">
        <v>3</v>
      </c>
      <c r="P209">
        <v>18105</v>
      </c>
      <c r="Q209">
        <v>18359</v>
      </c>
      <c r="R209">
        <v>254</v>
      </c>
      <c r="S209">
        <v>4</v>
      </c>
      <c r="T209" t="s">
        <v>1238</v>
      </c>
      <c r="W209">
        <v>3</v>
      </c>
      <c r="X209">
        <v>120000</v>
      </c>
      <c r="Y209">
        <v>360</v>
      </c>
      <c r="AB209">
        <v>0</v>
      </c>
      <c r="AC209">
        <v>1</v>
      </c>
      <c r="AD209">
        <v>100000</v>
      </c>
      <c r="AE209">
        <v>100</v>
      </c>
      <c r="AH209">
        <v>0</v>
      </c>
      <c r="AK209">
        <v>0</v>
      </c>
      <c r="AN209">
        <v>0</v>
      </c>
      <c r="AO209">
        <v>3</v>
      </c>
      <c r="AP209">
        <v>120000</v>
      </c>
      <c r="AQ209">
        <v>360</v>
      </c>
      <c r="AU209" t="s">
        <v>1239</v>
      </c>
      <c r="AV209" t="s">
        <v>1240</v>
      </c>
      <c r="AX209" t="s">
        <v>1241</v>
      </c>
      <c r="AY209" t="s">
        <v>383</v>
      </c>
      <c r="AZ209">
        <v>0</v>
      </c>
    </row>
    <row r="210" spans="1:52">
      <c r="A210" t="s">
        <v>1242</v>
      </c>
      <c r="B210" t="s">
        <v>145</v>
      </c>
      <c r="C210">
        <v>402</v>
      </c>
      <c r="D210" t="s">
        <v>871</v>
      </c>
      <c r="E210">
        <v>1</v>
      </c>
      <c r="F210" t="s">
        <v>552</v>
      </c>
      <c r="G210" t="s">
        <v>552</v>
      </c>
      <c r="H210" t="s">
        <v>552</v>
      </c>
      <c r="I210" t="s">
        <v>552</v>
      </c>
      <c r="K210">
        <v>30</v>
      </c>
      <c r="L210">
        <v>30</v>
      </c>
      <c r="O210">
        <v>1</v>
      </c>
      <c r="P210">
        <v>16927</v>
      </c>
      <c r="Q210">
        <v>17282</v>
      </c>
      <c r="R210">
        <v>355</v>
      </c>
      <c r="S210">
        <v>4</v>
      </c>
      <c r="T210" t="s">
        <v>1243</v>
      </c>
      <c r="W210">
        <v>1</v>
      </c>
      <c r="X210">
        <v>120000</v>
      </c>
      <c r="Y210">
        <v>120</v>
      </c>
      <c r="AB210">
        <v>0</v>
      </c>
      <c r="AC210">
        <v>1</v>
      </c>
      <c r="AD210">
        <v>100000</v>
      </c>
      <c r="AE210">
        <v>100</v>
      </c>
      <c r="AH210">
        <v>0</v>
      </c>
      <c r="AK210">
        <v>0</v>
      </c>
      <c r="AM210">
        <v>60000</v>
      </c>
      <c r="AN210">
        <v>0</v>
      </c>
      <c r="AO210">
        <v>1</v>
      </c>
      <c r="AP210">
        <v>120000</v>
      </c>
      <c r="AQ210">
        <v>120</v>
      </c>
      <c r="AU210" t="s">
        <v>1244</v>
      </c>
      <c r="AV210" t="s">
        <v>1245</v>
      </c>
      <c r="AX210" t="s">
        <v>1246</v>
      </c>
      <c r="AY210" t="s">
        <v>383</v>
      </c>
      <c r="AZ210">
        <v>0</v>
      </c>
    </row>
    <row r="211" spans="1:52">
      <c r="A211" t="s">
        <v>1247</v>
      </c>
      <c r="B211" t="s">
        <v>145</v>
      </c>
      <c r="C211">
        <v>501</v>
      </c>
      <c r="D211" t="s">
        <v>871</v>
      </c>
      <c r="E211">
        <v>1</v>
      </c>
      <c r="F211" t="s">
        <v>552</v>
      </c>
      <c r="G211" t="s">
        <v>552</v>
      </c>
      <c r="H211" t="s">
        <v>552</v>
      </c>
      <c r="I211" t="s">
        <v>552</v>
      </c>
      <c r="J211" t="s">
        <v>552</v>
      </c>
      <c r="K211">
        <v>30</v>
      </c>
      <c r="L211">
        <v>30</v>
      </c>
      <c r="O211">
        <v>2</v>
      </c>
      <c r="P211">
        <v>19722</v>
      </c>
      <c r="Q211">
        <v>19722</v>
      </c>
      <c r="R211">
        <v>0</v>
      </c>
      <c r="S211">
        <v>4</v>
      </c>
      <c r="T211">
        <v>0</v>
      </c>
      <c r="W211">
        <v>2</v>
      </c>
      <c r="X211">
        <v>120000</v>
      </c>
      <c r="Y211">
        <v>240</v>
      </c>
      <c r="AB211">
        <v>0</v>
      </c>
      <c r="AC211">
        <v>1</v>
      </c>
      <c r="AD211">
        <v>100000</v>
      </c>
      <c r="AE211">
        <v>100</v>
      </c>
      <c r="AH211">
        <v>0</v>
      </c>
      <c r="AJ211">
        <v>150000</v>
      </c>
      <c r="AK211">
        <v>0</v>
      </c>
      <c r="AN211">
        <v>0</v>
      </c>
      <c r="AO211">
        <v>2</v>
      </c>
      <c r="AP211">
        <v>120000</v>
      </c>
      <c r="AQ211">
        <v>240</v>
      </c>
      <c r="AU211">
        <v>580</v>
      </c>
      <c r="AV211" t="s">
        <v>796</v>
      </c>
      <c r="AW211" t="s">
        <v>558</v>
      </c>
      <c r="AX211" t="s">
        <v>798</v>
      </c>
      <c r="AY211" t="s">
        <v>383</v>
      </c>
      <c r="AZ211">
        <v>0</v>
      </c>
    </row>
    <row r="212" spans="1:52">
      <c r="A212" t="s">
        <v>1248</v>
      </c>
      <c r="B212" t="s">
        <v>145</v>
      </c>
      <c r="C212">
        <v>502</v>
      </c>
      <c r="D212" t="s">
        <v>871</v>
      </c>
      <c r="E212">
        <v>1</v>
      </c>
      <c r="F212" t="s">
        <v>552</v>
      </c>
      <c r="G212" t="s">
        <v>552</v>
      </c>
      <c r="H212" t="s">
        <v>552</v>
      </c>
      <c r="I212" t="s">
        <v>552</v>
      </c>
      <c r="K212">
        <v>30</v>
      </c>
      <c r="L212">
        <v>30</v>
      </c>
      <c r="O212">
        <v>2</v>
      </c>
      <c r="P212">
        <v>23088</v>
      </c>
      <c r="Q212">
        <v>23272</v>
      </c>
      <c r="R212">
        <v>184</v>
      </c>
      <c r="S212">
        <v>4</v>
      </c>
      <c r="T212">
        <v>736</v>
      </c>
      <c r="W212">
        <v>2</v>
      </c>
      <c r="X212">
        <v>100000</v>
      </c>
      <c r="Y212">
        <v>200</v>
      </c>
      <c r="Z212">
        <v>2</v>
      </c>
      <c r="AA212">
        <v>30000</v>
      </c>
      <c r="AB212">
        <v>60</v>
      </c>
      <c r="AC212">
        <v>1</v>
      </c>
      <c r="AD212">
        <v>100000</v>
      </c>
      <c r="AE212">
        <v>100</v>
      </c>
      <c r="AH212">
        <v>0</v>
      </c>
      <c r="AK212">
        <v>0</v>
      </c>
      <c r="AL212">
        <v>2</v>
      </c>
      <c r="AM212">
        <v>60000</v>
      </c>
      <c r="AN212">
        <v>120</v>
      </c>
      <c r="AQ212">
        <v>0</v>
      </c>
      <c r="AU212" t="s">
        <v>773</v>
      </c>
      <c r="AV212" t="s">
        <v>774</v>
      </c>
      <c r="AW212" t="s">
        <v>706</v>
      </c>
      <c r="AX212" t="s">
        <v>775</v>
      </c>
      <c r="AY212" t="s">
        <v>383</v>
      </c>
      <c r="AZ212">
        <v>0</v>
      </c>
    </row>
    <row r="213" spans="1:52">
      <c r="A213" t="s">
        <v>1249</v>
      </c>
      <c r="B213" t="s">
        <v>145</v>
      </c>
      <c r="C213">
        <v>601</v>
      </c>
      <c r="D213" t="s">
        <v>871</v>
      </c>
      <c r="E213">
        <v>1</v>
      </c>
      <c r="F213" t="s">
        <v>552</v>
      </c>
      <c r="G213" t="s">
        <v>552</v>
      </c>
      <c r="H213" t="s">
        <v>552</v>
      </c>
      <c r="I213" t="s">
        <v>552</v>
      </c>
      <c r="K213">
        <v>30</v>
      </c>
      <c r="L213">
        <v>30</v>
      </c>
      <c r="O213">
        <v>2</v>
      </c>
      <c r="P213">
        <v>21993</v>
      </c>
      <c r="Q213">
        <v>22249</v>
      </c>
      <c r="R213">
        <v>256</v>
      </c>
      <c r="S213">
        <v>4</v>
      </c>
      <c r="T213" t="s">
        <v>579</v>
      </c>
      <c r="W213">
        <v>2</v>
      </c>
      <c r="X213">
        <v>100000</v>
      </c>
      <c r="Y213">
        <v>200</v>
      </c>
      <c r="Z213">
        <v>2</v>
      </c>
      <c r="AA213">
        <v>30000</v>
      </c>
      <c r="AB213">
        <v>60</v>
      </c>
      <c r="AC213">
        <v>1</v>
      </c>
      <c r="AD213">
        <v>100000</v>
      </c>
      <c r="AE213">
        <v>100</v>
      </c>
      <c r="AH213">
        <v>0</v>
      </c>
      <c r="AK213">
        <v>0</v>
      </c>
      <c r="AL213">
        <v>1</v>
      </c>
      <c r="AM213">
        <v>60000</v>
      </c>
      <c r="AN213">
        <v>60</v>
      </c>
      <c r="AQ213">
        <v>0</v>
      </c>
      <c r="AU213" t="s">
        <v>1250</v>
      </c>
      <c r="AV213" t="s">
        <v>1251</v>
      </c>
      <c r="AX213" t="s">
        <v>1252</v>
      </c>
      <c r="AY213" t="s">
        <v>383</v>
      </c>
      <c r="AZ213">
        <v>0</v>
      </c>
    </row>
    <row r="214" spans="1:52">
      <c r="A214" t="s">
        <v>1253</v>
      </c>
      <c r="B214" t="s">
        <v>146</v>
      </c>
      <c r="C214">
        <v>101</v>
      </c>
      <c r="D214" t="s">
        <v>871</v>
      </c>
      <c r="E214">
        <v>1</v>
      </c>
      <c r="F214" t="s">
        <v>1025</v>
      </c>
      <c r="G214" t="s">
        <v>277</v>
      </c>
      <c r="H214" t="s">
        <v>1025</v>
      </c>
      <c r="I214" t="s">
        <v>1025</v>
      </c>
      <c r="K214">
        <v>30</v>
      </c>
      <c r="L214">
        <v>30</v>
      </c>
      <c r="O214">
        <v>1</v>
      </c>
      <c r="P214">
        <v>11962</v>
      </c>
      <c r="Q214">
        <v>12046</v>
      </c>
      <c r="R214">
        <v>84</v>
      </c>
      <c r="S214">
        <v>4</v>
      </c>
      <c r="T214">
        <v>336</v>
      </c>
      <c r="W214">
        <v>1</v>
      </c>
      <c r="X214">
        <v>120000</v>
      </c>
      <c r="Y214">
        <v>120</v>
      </c>
      <c r="AB214">
        <v>0</v>
      </c>
      <c r="AC214">
        <v>1</v>
      </c>
      <c r="AD214">
        <v>100000</v>
      </c>
      <c r="AE214">
        <v>100</v>
      </c>
      <c r="AN214">
        <v>0</v>
      </c>
      <c r="AO214">
        <v>1</v>
      </c>
      <c r="AP214">
        <v>120000</v>
      </c>
      <c r="AQ214">
        <v>120000</v>
      </c>
      <c r="AU214">
        <v>676</v>
      </c>
      <c r="AV214" t="s">
        <v>1254</v>
      </c>
      <c r="AX214" t="s">
        <v>1255</v>
      </c>
      <c r="AY214" t="s">
        <v>383</v>
      </c>
      <c r="AZ214">
        <v>0</v>
      </c>
    </row>
    <row r="215" spans="1:52">
      <c r="A215" t="s">
        <v>1256</v>
      </c>
      <c r="B215" t="s">
        <v>146</v>
      </c>
      <c r="C215">
        <v>201</v>
      </c>
      <c r="D215" t="s">
        <v>871</v>
      </c>
      <c r="E215">
        <v>1</v>
      </c>
      <c r="F215" t="s">
        <v>386</v>
      </c>
      <c r="G215" t="s">
        <v>386</v>
      </c>
      <c r="H215" t="s">
        <v>386</v>
      </c>
      <c r="I215" t="s">
        <v>386</v>
      </c>
      <c r="J215" t="s">
        <v>386</v>
      </c>
      <c r="K215">
        <v>30</v>
      </c>
      <c r="L215">
        <v>30</v>
      </c>
      <c r="O215">
        <v>2</v>
      </c>
      <c r="P215">
        <v>19757</v>
      </c>
      <c r="Q215">
        <v>19757</v>
      </c>
      <c r="R215">
        <v>0</v>
      </c>
      <c r="S215">
        <v>4</v>
      </c>
      <c r="T215">
        <v>0</v>
      </c>
      <c r="W215">
        <v>2</v>
      </c>
      <c r="X215">
        <v>120000</v>
      </c>
      <c r="Y215">
        <v>240</v>
      </c>
      <c r="AB215">
        <v>0</v>
      </c>
      <c r="AC215">
        <v>1</v>
      </c>
      <c r="AD215">
        <v>100000</v>
      </c>
      <c r="AE215">
        <v>100</v>
      </c>
      <c r="AK215">
        <v>0</v>
      </c>
      <c r="AN215">
        <v>0</v>
      </c>
      <c r="AO215">
        <v>2</v>
      </c>
      <c r="AP215">
        <v>120000</v>
      </c>
      <c r="AQ215">
        <v>240000</v>
      </c>
      <c r="AU215">
        <v>580</v>
      </c>
      <c r="AV215" t="s">
        <v>1070</v>
      </c>
      <c r="AW215" t="s">
        <v>1257</v>
      </c>
      <c r="AX215" t="s">
        <v>1258</v>
      </c>
      <c r="AY215" t="s">
        <v>383</v>
      </c>
      <c r="AZ215">
        <v>0</v>
      </c>
    </row>
    <row r="216" spans="1:52">
      <c r="A216" t="s">
        <v>1259</v>
      </c>
      <c r="B216" t="s">
        <v>146</v>
      </c>
      <c r="C216">
        <v>202</v>
      </c>
      <c r="D216" t="s">
        <v>871</v>
      </c>
      <c r="E216">
        <v>1</v>
      </c>
      <c r="G216" t="s">
        <v>552</v>
      </c>
      <c r="K216">
        <v>30</v>
      </c>
      <c r="L216">
        <v>30</v>
      </c>
      <c r="P216">
        <v>7810</v>
      </c>
      <c r="Q216">
        <v>7810</v>
      </c>
      <c r="R216">
        <v>0</v>
      </c>
      <c r="S216">
        <v>4</v>
      </c>
      <c r="T216">
        <v>0</v>
      </c>
      <c r="X216">
        <v>120000</v>
      </c>
      <c r="Y216">
        <v>0</v>
      </c>
      <c r="AB216">
        <v>0</v>
      </c>
      <c r="AD216">
        <v>100000</v>
      </c>
      <c r="AE216">
        <v>0</v>
      </c>
      <c r="AN216">
        <v>0</v>
      </c>
      <c r="AP216">
        <v>120000</v>
      </c>
      <c r="AQ216">
        <v>0</v>
      </c>
      <c r="AU216">
        <v>0</v>
      </c>
      <c r="AV216">
        <v>0</v>
      </c>
      <c r="AW216" t="s">
        <v>1260</v>
      </c>
      <c r="AX216" t="s">
        <v>552</v>
      </c>
      <c r="AY216" t="s">
        <v>522</v>
      </c>
      <c r="AZ216" t="s">
        <v>1261</v>
      </c>
    </row>
    <row r="217" spans="1:52">
      <c r="A217" t="s">
        <v>1262</v>
      </c>
      <c r="B217" t="s">
        <v>146</v>
      </c>
      <c r="C217">
        <v>301</v>
      </c>
      <c r="D217" t="s">
        <v>871</v>
      </c>
      <c r="E217">
        <v>1</v>
      </c>
      <c r="F217" t="s">
        <v>386</v>
      </c>
      <c r="G217" t="s">
        <v>386</v>
      </c>
      <c r="H217" t="s">
        <v>386</v>
      </c>
      <c r="I217" t="s">
        <v>386</v>
      </c>
      <c r="J217" t="s">
        <v>386</v>
      </c>
      <c r="K217">
        <v>30</v>
      </c>
      <c r="L217">
        <v>30</v>
      </c>
      <c r="O217">
        <v>1</v>
      </c>
      <c r="P217">
        <v>22464</v>
      </c>
      <c r="Q217">
        <v>22464</v>
      </c>
      <c r="R217">
        <v>0</v>
      </c>
      <c r="S217">
        <v>4</v>
      </c>
      <c r="T217">
        <v>0</v>
      </c>
      <c r="W217">
        <v>1</v>
      </c>
      <c r="X217">
        <v>120000</v>
      </c>
      <c r="Y217">
        <v>120</v>
      </c>
      <c r="AB217">
        <v>0</v>
      </c>
      <c r="AC217">
        <v>1</v>
      </c>
      <c r="AD217">
        <v>100000</v>
      </c>
      <c r="AE217">
        <v>100</v>
      </c>
      <c r="AI217">
        <v>1</v>
      </c>
      <c r="AJ217">
        <v>150000</v>
      </c>
      <c r="AK217">
        <v>150000</v>
      </c>
      <c r="AO217">
        <v>1</v>
      </c>
      <c r="AP217">
        <v>120000</v>
      </c>
      <c r="AQ217">
        <v>120000</v>
      </c>
      <c r="AU217">
        <v>490</v>
      </c>
      <c r="AV217" t="s">
        <v>1263</v>
      </c>
      <c r="AW217" t="s">
        <v>1264</v>
      </c>
      <c r="AX217" t="s">
        <v>1265</v>
      </c>
      <c r="AY217" t="s">
        <v>383</v>
      </c>
      <c r="AZ217">
        <v>0</v>
      </c>
    </row>
    <row r="218" spans="1:52">
      <c r="A218" t="s">
        <v>1266</v>
      </c>
      <c r="B218" t="s">
        <v>146</v>
      </c>
      <c r="C218">
        <v>302</v>
      </c>
      <c r="D218" t="s">
        <v>871</v>
      </c>
      <c r="E218">
        <v>1</v>
      </c>
      <c r="F218" t="s">
        <v>552</v>
      </c>
      <c r="G218" t="s">
        <v>552</v>
      </c>
      <c r="H218" t="s">
        <v>552</v>
      </c>
      <c r="I218" t="s">
        <v>552</v>
      </c>
      <c r="K218">
        <v>30</v>
      </c>
      <c r="L218">
        <v>30</v>
      </c>
      <c r="O218">
        <v>3</v>
      </c>
      <c r="P218">
        <v>23277</v>
      </c>
      <c r="Q218">
        <v>23566</v>
      </c>
      <c r="R218">
        <v>289</v>
      </c>
      <c r="S218">
        <v>4</v>
      </c>
      <c r="T218" t="s">
        <v>1267</v>
      </c>
      <c r="W218">
        <v>3</v>
      </c>
      <c r="X218">
        <v>120000</v>
      </c>
      <c r="Y218">
        <v>360</v>
      </c>
      <c r="AB218">
        <v>0</v>
      </c>
      <c r="AC218">
        <v>1</v>
      </c>
      <c r="AD218">
        <v>100000</v>
      </c>
      <c r="AE218">
        <v>100</v>
      </c>
      <c r="AL218">
        <v>0</v>
      </c>
      <c r="AN218">
        <v>0</v>
      </c>
      <c r="AO218">
        <v>3</v>
      </c>
      <c r="AP218">
        <v>120000</v>
      </c>
      <c r="AQ218">
        <v>360000</v>
      </c>
      <c r="AU218" t="s">
        <v>1268</v>
      </c>
      <c r="AV218" t="s">
        <v>1269</v>
      </c>
      <c r="AW218" t="s">
        <v>1270</v>
      </c>
      <c r="AX218" t="s">
        <v>1271</v>
      </c>
      <c r="AY218" t="s">
        <v>383</v>
      </c>
      <c r="AZ218">
        <v>0</v>
      </c>
    </row>
    <row r="219" spans="1:52">
      <c r="A219" t="s">
        <v>1272</v>
      </c>
      <c r="B219" t="s">
        <v>146</v>
      </c>
      <c r="C219">
        <v>401</v>
      </c>
      <c r="D219" t="s">
        <v>871</v>
      </c>
      <c r="E219">
        <v>1</v>
      </c>
      <c r="F219" t="s">
        <v>386</v>
      </c>
      <c r="G219" t="s">
        <v>386</v>
      </c>
      <c r="H219" t="s">
        <v>386</v>
      </c>
      <c r="I219" t="s">
        <v>386</v>
      </c>
      <c r="K219">
        <v>30</v>
      </c>
      <c r="L219">
        <v>30</v>
      </c>
      <c r="O219">
        <v>2</v>
      </c>
      <c r="P219">
        <v>21461</v>
      </c>
      <c r="Q219">
        <v>21769</v>
      </c>
      <c r="R219">
        <v>308</v>
      </c>
      <c r="S219">
        <v>4</v>
      </c>
      <c r="T219" t="s">
        <v>1273</v>
      </c>
      <c r="W219">
        <v>2</v>
      </c>
      <c r="X219">
        <v>100000</v>
      </c>
      <c r="Y219">
        <v>200</v>
      </c>
      <c r="Z219">
        <v>2</v>
      </c>
      <c r="AA219">
        <v>30000</v>
      </c>
      <c r="AB219">
        <v>60</v>
      </c>
      <c r="AD219">
        <v>100000</v>
      </c>
      <c r="AE219">
        <v>0</v>
      </c>
      <c r="AL219">
        <v>2</v>
      </c>
      <c r="AM219">
        <v>60000</v>
      </c>
      <c r="AN219">
        <v>120000</v>
      </c>
      <c r="AU219" t="s">
        <v>1274</v>
      </c>
      <c r="AV219" t="s">
        <v>1275</v>
      </c>
      <c r="AX219" t="s">
        <v>1276</v>
      </c>
      <c r="AY219" t="s">
        <v>383</v>
      </c>
      <c r="AZ219">
        <v>0</v>
      </c>
    </row>
    <row r="220" spans="1:52">
      <c r="A220" t="s">
        <v>1277</v>
      </c>
      <c r="B220" t="s">
        <v>146</v>
      </c>
      <c r="C220">
        <v>402</v>
      </c>
      <c r="D220" t="s">
        <v>871</v>
      </c>
      <c r="E220">
        <v>1</v>
      </c>
      <c r="F220" t="s">
        <v>552</v>
      </c>
      <c r="G220" t="s">
        <v>552</v>
      </c>
      <c r="H220" t="s">
        <v>552</v>
      </c>
      <c r="I220" t="s">
        <v>552</v>
      </c>
      <c r="K220">
        <v>30</v>
      </c>
      <c r="L220">
        <v>30</v>
      </c>
      <c r="O220">
        <v>2</v>
      </c>
      <c r="P220">
        <v>19490</v>
      </c>
      <c r="Q220">
        <v>19889</v>
      </c>
      <c r="R220">
        <v>399</v>
      </c>
      <c r="S220">
        <v>4</v>
      </c>
      <c r="T220" t="s">
        <v>1278</v>
      </c>
      <c r="W220">
        <v>2</v>
      </c>
      <c r="X220">
        <v>100000</v>
      </c>
      <c r="Y220">
        <v>200</v>
      </c>
      <c r="Z220">
        <v>2</v>
      </c>
      <c r="AA220">
        <v>30000</v>
      </c>
      <c r="AB220">
        <v>60</v>
      </c>
      <c r="AC220">
        <v>1</v>
      </c>
      <c r="AD220">
        <v>100000</v>
      </c>
      <c r="AE220">
        <v>100</v>
      </c>
      <c r="AK220">
        <v>0</v>
      </c>
      <c r="AL220">
        <v>2</v>
      </c>
      <c r="AM220">
        <v>60000</v>
      </c>
      <c r="AN220">
        <v>120000</v>
      </c>
      <c r="AQ220">
        <v>0</v>
      </c>
      <c r="AU220" t="s">
        <v>1279</v>
      </c>
      <c r="AV220" t="s">
        <v>1280</v>
      </c>
      <c r="AX220" t="s">
        <v>1281</v>
      </c>
      <c r="AY220" t="s">
        <v>383</v>
      </c>
      <c r="AZ220">
        <v>0</v>
      </c>
    </row>
    <row r="221" spans="1:52">
      <c r="A221" t="s">
        <v>1282</v>
      </c>
      <c r="B221" t="s">
        <v>146</v>
      </c>
      <c r="C221">
        <v>501</v>
      </c>
      <c r="D221" t="s">
        <v>871</v>
      </c>
      <c r="E221">
        <v>1</v>
      </c>
      <c r="F221" t="s">
        <v>377</v>
      </c>
      <c r="G221" t="s">
        <v>386</v>
      </c>
      <c r="H221" t="s">
        <v>377</v>
      </c>
      <c r="I221" t="s">
        <v>377</v>
      </c>
      <c r="K221">
        <v>30</v>
      </c>
      <c r="L221">
        <v>30</v>
      </c>
      <c r="O221">
        <v>3</v>
      </c>
      <c r="P221">
        <v>9195</v>
      </c>
      <c r="Q221">
        <v>9466</v>
      </c>
      <c r="R221">
        <v>271</v>
      </c>
      <c r="S221">
        <v>4</v>
      </c>
      <c r="T221" t="s">
        <v>1283</v>
      </c>
      <c r="W221">
        <v>3</v>
      </c>
      <c r="X221">
        <v>100000</v>
      </c>
      <c r="Y221">
        <v>300</v>
      </c>
      <c r="Z221">
        <v>2</v>
      </c>
      <c r="AA221">
        <v>30000</v>
      </c>
      <c r="AB221">
        <v>60</v>
      </c>
      <c r="AC221">
        <v>1</v>
      </c>
      <c r="AD221">
        <v>100000</v>
      </c>
      <c r="AE221">
        <v>100</v>
      </c>
      <c r="AL221">
        <v>0</v>
      </c>
      <c r="AM221">
        <v>60000</v>
      </c>
      <c r="AN221">
        <v>0</v>
      </c>
      <c r="AQ221">
        <v>0</v>
      </c>
      <c r="AU221" t="s">
        <v>1284</v>
      </c>
      <c r="AV221" t="s">
        <v>1285</v>
      </c>
      <c r="AX221" t="s">
        <v>1286</v>
      </c>
      <c r="AY221" t="s">
        <v>383</v>
      </c>
      <c r="AZ221">
        <v>0</v>
      </c>
    </row>
    <row r="222" spans="1:52">
      <c r="A222" t="s">
        <v>1287</v>
      </c>
      <c r="B222" t="s">
        <v>146</v>
      </c>
      <c r="C222">
        <v>502</v>
      </c>
      <c r="D222" t="s">
        <v>871</v>
      </c>
      <c r="E222">
        <v>1</v>
      </c>
      <c r="F222" t="s">
        <v>376</v>
      </c>
      <c r="G222" t="s">
        <v>552</v>
      </c>
      <c r="H222" t="s">
        <v>376</v>
      </c>
      <c r="I222" t="s">
        <v>376</v>
      </c>
      <c r="K222">
        <v>30</v>
      </c>
      <c r="L222">
        <v>30</v>
      </c>
      <c r="O222">
        <v>1</v>
      </c>
      <c r="P222">
        <v>14762</v>
      </c>
      <c r="Q222">
        <v>14985</v>
      </c>
      <c r="R222">
        <v>223</v>
      </c>
      <c r="S222">
        <v>4</v>
      </c>
      <c r="T222">
        <v>892</v>
      </c>
      <c r="W222">
        <v>1</v>
      </c>
      <c r="X222">
        <v>100000</v>
      </c>
      <c r="Y222">
        <v>100</v>
      </c>
      <c r="Z222">
        <v>1</v>
      </c>
      <c r="AA222">
        <v>30000</v>
      </c>
      <c r="AB222">
        <v>30</v>
      </c>
      <c r="AC222">
        <v>1</v>
      </c>
      <c r="AD222">
        <v>100000</v>
      </c>
      <c r="AE222">
        <v>100</v>
      </c>
      <c r="AL222">
        <v>1</v>
      </c>
      <c r="AM222">
        <v>60000</v>
      </c>
      <c r="AN222">
        <v>60000</v>
      </c>
      <c r="AU222" t="s">
        <v>1288</v>
      </c>
      <c r="AV222" t="s">
        <v>1289</v>
      </c>
      <c r="AX222" t="s">
        <v>1290</v>
      </c>
      <c r="AY222" t="s">
        <v>383</v>
      </c>
      <c r="AZ222">
        <v>0</v>
      </c>
    </row>
    <row r="223" spans="1:52">
      <c r="A223" t="s">
        <v>1291</v>
      </c>
      <c r="B223" t="s">
        <v>146</v>
      </c>
      <c r="C223">
        <v>601</v>
      </c>
      <c r="D223" t="s">
        <v>871</v>
      </c>
      <c r="E223">
        <v>1</v>
      </c>
      <c r="F223" t="s">
        <v>445</v>
      </c>
      <c r="G223" t="s">
        <v>445</v>
      </c>
      <c r="H223" t="s">
        <v>445</v>
      </c>
      <c r="I223" t="s">
        <v>445</v>
      </c>
      <c r="K223">
        <v>30</v>
      </c>
      <c r="L223">
        <v>30</v>
      </c>
      <c r="O223">
        <v>2</v>
      </c>
      <c r="P223">
        <v>21699</v>
      </c>
      <c r="Q223">
        <v>21893</v>
      </c>
      <c r="R223">
        <v>194</v>
      </c>
      <c r="S223">
        <v>4</v>
      </c>
      <c r="T223">
        <v>776</v>
      </c>
      <c r="W223">
        <v>2</v>
      </c>
      <c r="X223">
        <v>100000</v>
      </c>
      <c r="Y223">
        <v>200</v>
      </c>
      <c r="Z223">
        <v>2</v>
      </c>
      <c r="AA223">
        <v>30000</v>
      </c>
      <c r="AB223">
        <v>60</v>
      </c>
      <c r="AC223">
        <v>1</v>
      </c>
      <c r="AD223">
        <v>100000</v>
      </c>
      <c r="AE223">
        <v>100</v>
      </c>
      <c r="AK223">
        <v>0</v>
      </c>
      <c r="AL223">
        <v>2</v>
      </c>
      <c r="AM223">
        <v>60000</v>
      </c>
      <c r="AN223">
        <v>120000</v>
      </c>
      <c r="AQ223">
        <v>0</v>
      </c>
      <c r="AU223" t="s">
        <v>1292</v>
      </c>
      <c r="AV223" t="s">
        <v>1293</v>
      </c>
      <c r="AW223" t="s">
        <v>883</v>
      </c>
      <c r="AX223" t="s">
        <v>1294</v>
      </c>
      <c r="AY223" t="s">
        <v>383</v>
      </c>
      <c r="AZ223">
        <v>0</v>
      </c>
    </row>
    <row r="224" spans="1:52">
      <c r="A224" t="s">
        <v>1295</v>
      </c>
      <c r="B224" t="s">
        <v>205</v>
      </c>
      <c r="C224">
        <v>101</v>
      </c>
      <c r="D224" t="s">
        <v>1296</v>
      </c>
      <c r="E224">
        <v>1</v>
      </c>
      <c r="F224" t="s">
        <v>609</v>
      </c>
      <c r="G224" t="s">
        <v>376</v>
      </c>
      <c r="H224" t="s">
        <v>609</v>
      </c>
      <c r="I224" t="s">
        <v>609</v>
      </c>
      <c r="K224">
        <v>30</v>
      </c>
      <c r="L224">
        <v>30</v>
      </c>
      <c r="O224">
        <v>1</v>
      </c>
      <c r="P224">
        <v>5654</v>
      </c>
      <c r="Q224">
        <v>5723</v>
      </c>
      <c r="R224">
        <v>69</v>
      </c>
      <c r="S224">
        <v>4</v>
      </c>
      <c r="T224">
        <v>276</v>
      </c>
      <c r="W224">
        <v>1</v>
      </c>
      <c r="X224">
        <v>90000</v>
      </c>
      <c r="Y224">
        <v>90000</v>
      </c>
      <c r="Z224">
        <v>1</v>
      </c>
      <c r="AA224">
        <v>30</v>
      </c>
      <c r="AB224">
        <v>30000</v>
      </c>
      <c r="AC224">
        <v>0</v>
      </c>
      <c r="AD224">
        <v>100000</v>
      </c>
      <c r="AE224">
        <v>0</v>
      </c>
      <c r="AI224">
        <v>1</v>
      </c>
      <c r="AJ224">
        <v>120000</v>
      </c>
      <c r="AK224">
        <v>120000</v>
      </c>
      <c r="AL224">
        <v>0</v>
      </c>
      <c r="AM224">
        <v>60000</v>
      </c>
      <c r="AN224">
        <v>0</v>
      </c>
      <c r="AO224">
        <v>10</v>
      </c>
      <c r="AP224">
        <v>-3800</v>
      </c>
      <c r="AQ224">
        <v>-38000</v>
      </c>
      <c r="AU224">
        <v>478</v>
      </c>
      <c r="AV224" t="s">
        <v>1297</v>
      </c>
      <c r="AW224" t="s">
        <v>1298</v>
      </c>
      <c r="AX224" t="s">
        <v>1299</v>
      </c>
      <c r="AY224" t="s">
        <v>383</v>
      </c>
      <c r="AZ224">
        <v>0</v>
      </c>
    </row>
    <row r="225" spans="1:60">
      <c r="A225" t="s">
        <v>1300</v>
      </c>
      <c r="B225" t="s">
        <v>205</v>
      </c>
      <c r="C225">
        <v>102</v>
      </c>
      <c r="D225" t="s">
        <v>1296</v>
      </c>
      <c r="E225">
        <v>1</v>
      </c>
      <c r="F225" t="s">
        <v>376</v>
      </c>
      <c r="G225" t="s">
        <v>376</v>
      </c>
      <c r="H225" t="s">
        <v>376</v>
      </c>
      <c r="I225" t="s">
        <v>376</v>
      </c>
      <c r="K225">
        <v>30</v>
      </c>
      <c r="L225">
        <v>30</v>
      </c>
      <c r="O225">
        <v>1</v>
      </c>
      <c r="P225">
        <v>14787</v>
      </c>
      <c r="Q225">
        <v>14838</v>
      </c>
      <c r="R225">
        <v>51</v>
      </c>
      <c r="S225">
        <v>4</v>
      </c>
      <c r="T225">
        <v>204</v>
      </c>
      <c r="W225">
        <v>1</v>
      </c>
      <c r="X225">
        <v>90000</v>
      </c>
      <c r="Y225">
        <v>90000</v>
      </c>
      <c r="Z225">
        <v>1</v>
      </c>
      <c r="AA225">
        <v>30</v>
      </c>
      <c r="AB225">
        <v>30000</v>
      </c>
      <c r="AC225">
        <v>1</v>
      </c>
      <c r="AD225">
        <v>100000</v>
      </c>
      <c r="AE225">
        <v>100000</v>
      </c>
      <c r="AI225">
        <v>1</v>
      </c>
      <c r="AJ225">
        <v>100000</v>
      </c>
      <c r="AK225">
        <v>100000</v>
      </c>
      <c r="AL225">
        <v>1</v>
      </c>
      <c r="AM225">
        <v>60000</v>
      </c>
      <c r="AN225">
        <v>60</v>
      </c>
      <c r="AP225">
        <v>120000</v>
      </c>
      <c r="AQ225">
        <v>0</v>
      </c>
      <c r="AU225">
        <v>584</v>
      </c>
      <c r="AV225" t="s">
        <v>835</v>
      </c>
      <c r="AX225" t="s">
        <v>1301</v>
      </c>
      <c r="AY225" t="s">
        <v>383</v>
      </c>
      <c r="AZ225">
        <v>0</v>
      </c>
    </row>
    <row r="226" spans="1:60">
      <c r="A226" t="s">
        <v>1302</v>
      </c>
      <c r="B226" t="s">
        <v>205</v>
      </c>
      <c r="C226">
        <v>103</v>
      </c>
      <c r="D226" t="s">
        <v>1296</v>
      </c>
      <c r="E226">
        <v>1</v>
      </c>
      <c r="F226" t="s">
        <v>1134</v>
      </c>
      <c r="G226" t="s">
        <v>1134</v>
      </c>
      <c r="H226" t="s">
        <v>1134</v>
      </c>
      <c r="I226" t="s">
        <v>1134</v>
      </c>
      <c r="K226">
        <v>30</v>
      </c>
      <c r="L226">
        <v>30</v>
      </c>
      <c r="O226">
        <v>1</v>
      </c>
      <c r="P226">
        <v>25842</v>
      </c>
      <c r="Q226">
        <v>26034</v>
      </c>
      <c r="R226">
        <v>192</v>
      </c>
      <c r="S226">
        <v>4</v>
      </c>
      <c r="T226">
        <v>768</v>
      </c>
      <c r="W226">
        <v>1</v>
      </c>
      <c r="X226">
        <v>90000</v>
      </c>
      <c r="Y226">
        <v>90000</v>
      </c>
      <c r="Z226">
        <v>1</v>
      </c>
      <c r="AA226">
        <v>30</v>
      </c>
      <c r="AB226">
        <v>30000</v>
      </c>
      <c r="AC226">
        <v>0</v>
      </c>
      <c r="AD226">
        <v>100000</v>
      </c>
      <c r="AE226">
        <v>0</v>
      </c>
      <c r="AJ226">
        <v>120000</v>
      </c>
      <c r="AK226">
        <v>0</v>
      </c>
      <c r="AM226">
        <v>60000</v>
      </c>
      <c r="AN226">
        <v>0</v>
      </c>
      <c r="AQ226">
        <v>0</v>
      </c>
      <c r="AU226">
        <v>888</v>
      </c>
      <c r="AV226" t="s">
        <v>1303</v>
      </c>
      <c r="AX226" t="s">
        <v>1304</v>
      </c>
      <c r="AY226" t="s">
        <v>383</v>
      </c>
      <c r="AZ226">
        <v>0</v>
      </c>
    </row>
    <row r="227" spans="1:60">
      <c r="A227" t="s">
        <v>1305</v>
      </c>
      <c r="B227" t="s">
        <v>205</v>
      </c>
      <c r="C227">
        <v>104</v>
      </c>
      <c r="D227" t="s">
        <v>1296</v>
      </c>
      <c r="E227">
        <v>1</v>
      </c>
      <c r="F227" t="s">
        <v>395</v>
      </c>
      <c r="G227" t="s">
        <v>376</v>
      </c>
      <c r="H227" t="s">
        <v>395</v>
      </c>
      <c r="I227" t="s">
        <v>395</v>
      </c>
      <c r="K227">
        <v>30</v>
      </c>
      <c r="L227">
        <v>30</v>
      </c>
      <c r="O227">
        <v>1</v>
      </c>
      <c r="P227">
        <v>17741</v>
      </c>
      <c r="Q227">
        <v>17780</v>
      </c>
      <c r="R227">
        <v>39</v>
      </c>
      <c r="S227">
        <v>4</v>
      </c>
      <c r="T227">
        <v>156</v>
      </c>
      <c r="W227">
        <v>1</v>
      </c>
      <c r="X227">
        <v>90000</v>
      </c>
      <c r="Y227">
        <v>90000</v>
      </c>
      <c r="Z227">
        <v>1</v>
      </c>
      <c r="AA227">
        <v>30</v>
      </c>
      <c r="AB227">
        <v>30000</v>
      </c>
      <c r="AD227">
        <v>100000</v>
      </c>
      <c r="AE227">
        <v>0</v>
      </c>
      <c r="AJ227">
        <v>120000</v>
      </c>
      <c r="AK227">
        <v>0</v>
      </c>
      <c r="AL227">
        <v>1</v>
      </c>
      <c r="AM227">
        <v>60000</v>
      </c>
      <c r="AN227">
        <v>60</v>
      </c>
      <c r="AQ227">
        <v>0</v>
      </c>
      <c r="AU227">
        <v>336</v>
      </c>
      <c r="AV227" t="s">
        <v>1306</v>
      </c>
      <c r="AX227" t="s">
        <v>1307</v>
      </c>
      <c r="AY227" t="s">
        <v>383</v>
      </c>
      <c r="AZ227">
        <v>0</v>
      </c>
    </row>
    <row r="228" spans="1:60">
      <c r="A228" t="s">
        <v>1308</v>
      </c>
      <c r="B228" t="s">
        <v>205</v>
      </c>
      <c r="C228">
        <v>105</v>
      </c>
      <c r="D228" t="s">
        <v>1296</v>
      </c>
      <c r="E228">
        <v>1</v>
      </c>
      <c r="F228" t="s">
        <v>376</v>
      </c>
      <c r="G228" t="s">
        <v>376</v>
      </c>
      <c r="H228" t="s">
        <v>376</v>
      </c>
      <c r="I228" t="s">
        <v>376</v>
      </c>
      <c r="K228">
        <v>30</v>
      </c>
      <c r="L228">
        <v>30</v>
      </c>
      <c r="O228">
        <v>2</v>
      </c>
      <c r="P228">
        <v>13648</v>
      </c>
      <c r="Q228">
        <v>13821</v>
      </c>
      <c r="R228">
        <v>173</v>
      </c>
      <c r="S228">
        <v>4</v>
      </c>
      <c r="T228">
        <v>692</v>
      </c>
      <c r="W228">
        <v>2</v>
      </c>
      <c r="X228">
        <v>90000</v>
      </c>
      <c r="Y228">
        <v>180000</v>
      </c>
      <c r="Z228">
        <v>2</v>
      </c>
      <c r="AA228">
        <v>30</v>
      </c>
      <c r="AB228">
        <v>60000</v>
      </c>
      <c r="AC228">
        <v>1</v>
      </c>
      <c r="AD228">
        <v>100000</v>
      </c>
      <c r="AE228">
        <v>100000</v>
      </c>
      <c r="AI228">
        <v>0</v>
      </c>
      <c r="AJ228">
        <v>50000</v>
      </c>
      <c r="AK228">
        <v>0</v>
      </c>
      <c r="AL228">
        <v>2</v>
      </c>
      <c r="AM228">
        <v>60000</v>
      </c>
      <c r="AN228">
        <v>120</v>
      </c>
      <c r="AQ228">
        <v>0</v>
      </c>
      <c r="AU228" t="s">
        <v>1309</v>
      </c>
      <c r="AV228" t="s">
        <v>1310</v>
      </c>
      <c r="AX228" t="s">
        <v>1311</v>
      </c>
      <c r="AY228" t="s">
        <v>383</v>
      </c>
      <c r="AZ228">
        <v>0</v>
      </c>
    </row>
    <row r="229" spans="1:60">
      <c r="A229" t="s">
        <v>1312</v>
      </c>
      <c r="B229" t="s">
        <v>205</v>
      </c>
      <c r="C229">
        <v>106</v>
      </c>
      <c r="D229" t="s">
        <v>1296</v>
      </c>
      <c r="E229">
        <v>1</v>
      </c>
      <c r="F229" t="s">
        <v>408</v>
      </c>
      <c r="G229" t="s">
        <v>391</v>
      </c>
      <c r="H229" t="s">
        <v>408</v>
      </c>
      <c r="I229" t="s">
        <v>408</v>
      </c>
      <c r="K229">
        <v>30</v>
      </c>
      <c r="L229">
        <v>30</v>
      </c>
      <c r="O229">
        <v>3</v>
      </c>
      <c r="P229">
        <v>23317</v>
      </c>
      <c r="Q229">
        <v>23333</v>
      </c>
      <c r="R229">
        <v>16</v>
      </c>
      <c r="S229">
        <v>4</v>
      </c>
      <c r="T229">
        <v>64</v>
      </c>
      <c r="W229">
        <v>3</v>
      </c>
      <c r="X229">
        <v>90000</v>
      </c>
      <c r="Y229">
        <v>270000</v>
      </c>
      <c r="Z229">
        <v>3</v>
      </c>
      <c r="AA229">
        <v>30</v>
      </c>
      <c r="AB229">
        <v>90000</v>
      </c>
      <c r="AD229">
        <v>100000</v>
      </c>
      <c r="AE229">
        <v>0</v>
      </c>
      <c r="AI229">
        <v>2</v>
      </c>
      <c r="AJ229">
        <v>120000</v>
      </c>
      <c r="AK229">
        <v>240000</v>
      </c>
      <c r="AL229">
        <v>3</v>
      </c>
      <c r="AM229">
        <v>60000</v>
      </c>
      <c r="AN229">
        <v>180</v>
      </c>
      <c r="AQ229">
        <v>0</v>
      </c>
      <c r="AU229">
        <v>844</v>
      </c>
      <c r="AV229" t="s">
        <v>1313</v>
      </c>
      <c r="AW229" t="s">
        <v>1314</v>
      </c>
      <c r="AX229" t="s">
        <v>1315</v>
      </c>
      <c r="AY229" t="s">
        <v>383</v>
      </c>
      <c r="AZ229">
        <v>0</v>
      </c>
    </row>
    <row r="230" spans="1:60">
      <c r="A230" t="s">
        <v>1316</v>
      </c>
      <c r="B230" t="s">
        <v>205</v>
      </c>
      <c r="C230">
        <v>201</v>
      </c>
      <c r="D230" t="s">
        <v>1296</v>
      </c>
      <c r="E230">
        <v>1</v>
      </c>
      <c r="F230" t="s">
        <v>386</v>
      </c>
      <c r="G230" t="s">
        <v>386</v>
      </c>
      <c r="H230" t="s">
        <v>386</v>
      </c>
      <c r="I230" t="s">
        <v>386</v>
      </c>
      <c r="J230" t="s">
        <v>386</v>
      </c>
      <c r="K230">
        <v>30</v>
      </c>
      <c r="L230">
        <v>30</v>
      </c>
      <c r="O230">
        <v>2</v>
      </c>
      <c r="P230">
        <v>21521</v>
      </c>
      <c r="Q230">
        <v>21521</v>
      </c>
      <c r="R230">
        <v>0</v>
      </c>
      <c r="S230">
        <v>4</v>
      </c>
      <c r="T230">
        <v>0</v>
      </c>
      <c r="W230">
        <v>2</v>
      </c>
      <c r="X230">
        <v>120000</v>
      </c>
      <c r="Y230">
        <v>240000</v>
      </c>
      <c r="Z230">
        <v>2</v>
      </c>
      <c r="AA230">
        <v>30</v>
      </c>
      <c r="AB230">
        <v>60000</v>
      </c>
      <c r="AC230">
        <v>1</v>
      </c>
      <c r="AD230">
        <v>100000</v>
      </c>
      <c r="AE230">
        <v>100000</v>
      </c>
      <c r="AJ230">
        <v>120000</v>
      </c>
      <c r="AK230">
        <v>0</v>
      </c>
      <c r="AL230">
        <v>2</v>
      </c>
      <c r="AM230">
        <v>60000</v>
      </c>
      <c r="AN230">
        <v>120</v>
      </c>
      <c r="AQ230">
        <v>0</v>
      </c>
      <c r="AU230">
        <v>520</v>
      </c>
      <c r="AV230" t="s">
        <v>1317</v>
      </c>
      <c r="AW230" t="s">
        <v>714</v>
      </c>
      <c r="AX230" t="s">
        <v>1318</v>
      </c>
      <c r="AY230" t="s">
        <v>383</v>
      </c>
      <c r="AZ230">
        <v>0</v>
      </c>
      <c r="BA230" s="1">
        <v>46031</v>
      </c>
      <c r="BB230" t="s">
        <v>474</v>
      </c>
      <c r="BC230" t="s">
        <v>475</v>
      </c>
    </row>
    <row r="231" spans="1:60">
      <c r="A231" t="s">
        <v>1319</v>
      </c>
      <c r="B231" t="s">
        <v>205</v>
      </c>
      <c r="C231">
        <v>202</v>
      </c>
      <c r="D231" t="s">
        <v>1296</v>
      </c>
      <c r="E231">
        <v>1</v>
      </c>
      <c r="F231" t="s">
        <v>552</v>
      </c>
      <c r="G231" t="s">
        <v>376</v>
      </c>
      <c r="H231" t="s">
        <v>552</v>
      </c>
      <c r="I231" t="s">
        <v>552</v>
      </c>
      <c r="K231">
        <v>30</v>
      </c>
      <c r="L231">
        <v>30</v>
      </c>
      <c r="O231">
        <v>3</v>
      </c>
      <c r="P231">
        <v>16100</v>
      </c>
      <c r="Q231">
        <v>16298</v>
      </c>
      <c r="R231">
        <v>198</v>
      </c>
      <c r="S231">
        <v>4</v>
      </c>
      <c r="T231">
        <v>792</v>
      </c>
      <c r="W231">
        <v>3</v>
      </c>
      <c r="X231">
        <v>90000</v>
      </c>
      <c r="Y231">
        <v>270000</v>
      </c>
      <c r="Z231">
        <v>3</v>
      </c>
      <c r="AA231">
        <v>30</v>
      </c>
      <c r="AB231">
        <v>90000</v>
      </c>
      <c r="AD231">
        <v>100000</v>
      </c>
      <c r="AE231">
        <v>0</v>
      </c>
      <c r="AK231">
        <v>0</v>
      </c>
      <c r="AM231">
        <v>60000</v>
      </c>
      <c r="AN231">
        <v>0</v>
      </c>
      <c r="AQ231">
        <v>0</v>
      </c>
      <c r="AU231" t="s">
        <v>1309</v>
      </c>
      <c r="AV231" t="s">
        <v>1320</v>
      </c>
      <c r="AX231" t="s">
        <v>1321</v>
      </c>
      <c r="AY231" t="s">
        <v>383</v>
      </c>
      <c r="AZ231">
        <v>0</v>
      </c>
    </row>
    <row r="232" spans="1:60">
      <c r="A232" t="s">
        <v>1322</v>
      </c>
      <c r="B232" t="s">
        <v>205</v>
      </c>
      <c r="C232">
        <v>203</v>
      </c>
      <c r="D232" t="s">
        <v>1296</v>
      </c>
      <c r="E232">
        <v>1</v>
      </c>
      <c r="F232" t="s">
        <v>376</v>
      </c>
      <c r="G232" t="s">
        <v>376</v>
      </c>
      <c r="H232" t="s">
        <v>376</v>
      </c>
      <c r="I232" t="s">
        <v>376</v>
      </c>
      <c r="K232">
        <v>30</v>
      </c>
      <c r="L232">
        <v>30</v>
      </c>
      <c r="O232">
        <v>3</v>
      </c>
      <c r="P232">
        <v>10806</v>
      </c>
      <c r="Q232">
        <v>10806</v>
      </c>
      <c r="R232">
        <v>0</v>
      </c>
      <c r="S232">
        <v>4</v>
      </c>
      <c r="T232">
        <v>0</v>
      </c>
      <c r="W232">
        <v>3</v>
      </c>
      <c r="X232">
        <v>90000</v>
      </c>
      <c r="Y232">
        <v>270000</v>
      </c>
      <c r="Z232">
        <v>3</v>
      </c>
      <c r="AA232">
        <v>30</v>
      </c>
      <c r="AB232">
        <v>90000</v>
      </c>
      <c r="AC232">
        <v>1</v>
      </c>
      <c r="AD232">
        <v>100000</v>
      </c>
      <c r="AE232">
        <v>100000</v>
      </c>
      <c r="AI232">
        <v>3</v>
      </c>
      <c r="AJ232">
        <v>120000</v>
      </c>
      <c r="AK232">
        <v>360000</v>
      </c>
      <c r="AL232">
        <v>3</v>
      </c>
      <c r="AM232">
        <v>60000</v>
      </c>
      <c r="AN232">
        <v>180</v>
      </c>
      <c r="AQ232">
        <v>0</v>
      </c>
      <c r="AU232" t="s">
        <v>672</v>
      </c>
      <c r="AV232" t="s">
        <v>647</v>
      </c>
      <c r="AW232" t="s">
        <v>1323</v>
      </c>
      <c r="AX232" t="s">
        <v>649</v>
      </c>
      <c r="AY232" t="s">
        <v>383</v>
      </c>
      <c r="AZ232">
        <v>0</v>
      </c>
    </row>
    <row r="233" spans="1:60">
      <c r="A233" t="s">
        <v>1324</v>
      </c>
      <c r="B233" t="s">
        <v>205</v>
      </c>
      <c r="C233">
        <v>204</v>
      </c>
      <c r="D233" t="s">
        <v>1296</v>
      </c>
      <c r="E233">
        <v>1</v>
      </c>
      <c r="F233" t="s">
        <v>376</v>
      </c>
      <c r="G233" t="s">
        <v>377</v>
      </c>
      <c r="H233" t="s">
        <v>376</v>
      </c>
      <c r="I233" t="s">
        <v>376</v>
      </c>
      <c r="J233">
        <v>100</v>
      </c>
      <c r="K233">
        <v>30</v>
      </c>
      <c r="L233">
        <v>30</v>
      </c>
      <c r="O233">
        <v>2</v>
      </c>
      <c r="P233">
        <v>11391</v>
      </c>
      <c r="Q233">
        <v>11603</v>
      </c>
      <c r="R233">
        <v>212</v>
      </c>
      <c r="S233">
        <v>4</v>
      </c>
      <c r="T233">
        <v>848</v>
      </c>
      <c r="W233">
        <v>2</v>
      </c>
      <c r="X233">
        <v>120000</v>
      </c>
      <c r="Y233">
        <v>240000</v>
      </c>
      <c r="Z233">
        <v>2</v>
      </c>
      <c r="AA233">
        <v>30</v>
      </c>
      <c r="AB233">
        <v>60000</v>
      </c>
      <c r="AC233">
        <v>1</v>
      </c>
      <c r="AD233">
        <v>100000</v>
      </c>
      <c r="AE233">
        <v>100000</v>
      </c>
      <c r="AI233">
        <v>1</v>
      </c>
      <c r="AJ233">
        <v>120000</v>
      </c>
      <c r="AK233">
        <v>120000</v>
      </c>
      <c r="AL233">
        <v>2</v>
      </c>
      <c r="AM233">
        <v>60000</v>
      </c>
      <c r="AN233">
        <v>120</v>
      </c>
      <c r="AQ233">
        <v>0</v>
      </c>
      <c r="AU233" t="s">
        <v>1325</v>
      </c>
      <c r="AV233" t="s">
        <v>1326</v>
      </c>
      <c r="AX233" t="s">
        <v>1327</v>
      </c>
      <c r="AY233" t="s">
        <v>383</v>
      </c>
      <c r="AZ233">
        <v>0</v>
      </c>
    </row>
    <row r="234" spans="1:60">
      <c r="A234" t="s">
        <v>1328</v>
      </c>
      <c r="B234" t="s">
        <v>205</v>
      </c>
      <c r="C234">
        <v>205</v>
      </c>
      <c r="D234" t="s">
        <v>1296</v>
      </c>
      <c r="E234">
        <v>1</v>
      </c>
      <c r="F234" t="s">
        <v>376</v>
      </c>
      <c r="G234" t="s">
        <v>376</v>
      </c>
      <c r="H234" t="s">
        <v>376</v>
      </c>
      <c r="I234" t="s">
        <v>376</v>
      </c>
      <c r="K234">
        <v>30</v>
      </c>
      <c r="L234">
        <v>30</v>
      </c>
      <c r="O234">
        <v>2</v>
      </c>
      <c r="P234">
        <v>15356</v>
      </c>
      <c r="Q234">
        <v>15356</v>
      </c>
      <c r="R234">
        <v>0</v>
      </c>
      <c r="S234">
        <v>4</v>
      </c>
      <c r="T234">
        <v>0</v>
      </c>
      <c r="W234">
        <v>2</v>
      </c>
      <c r="X234">
        <v>120000</v>
      </c>
      <c r="Y234">
        <v>240000</v>
      </c>
      <c r="AB234">
        <v>0</v>
      </c>
      <c r="AC234">
        <v>1</v>
      </c>
      <c r="AD234">
        <v>100000</v>
      </c>
      <c r="AE234">
        <v>100000</v>
      </c>
      <c r="AI234">
        <v>1</v>
      </c>
      <c r="AJ234">
        <v>120000</v>
      </c>
      <c r="AK234">
        <v>120000</v>
      </c>
      <c r="AN234">
        <v>0</v>
      </c>
      <c r="AO234">
        <v>2</v>
      </c>
      <c r="AP234">
        <v>120000</v>
      </c>
      <c r="AQ234">
        <v>240000</v>
      </c>
      <c r="AU234">
        <v>700</v>
      </c>
      <c r="AV234" t="s">
        <v>447</v>
      </c>
      <c r="AW234" t="s">
        <v>1329</v>
      </c>
      <c r="AX234" t="s">
        <v>449</v>
      </c>
      <c r="AY234" t="s">
        <v>383</v>
      </c>
      <c r="AZ234">
        <v>0</v>
      </c>
    </row>
    <row r="235" spans="1:60">
      <c r="A235" t="s">
        <v>1330</v>
      </c>
      <c r="B235" t="s">
        <v>205</v>
      </c>
      <c r="C235">
        <v>206</v>
      </c>
      <c r="D235" t="s">
        <v>1296</v>
      </c>
      <c r="E235">
        <v>1</v>
      </c>
      <c r="F235" t="s">
        <v>552</v>
      </c>
      <c r="G235" t="s">
        <v>376</v>
      </c>
      <c r="H235" t="s">
        <v>552</v>
      </c>
      <c r="I235" t="s">
        <v>552</v>
      </c>
      <c r="K235">
        <v>30</v>
      </c>
      <c r="L235">
        <v>30</v>
      </c>
      <c r="O235">
        <v>2</v>
      </c>
      <c r="P235">
        <v>5936</v>
      </c>
      <c r="Q235">
        <v>6293</v>
      </c>
      <c r="R235">
        <v>357</v>
      </c>
      <c r="S235">
        <v>4</v>
      </c>
      <c r="T235" t="s">
        <v>1036</v>
      </c>
      <c r="W235">
        <v>2</v>
      </c>
      <c r="X235">
        <v>90000</v>
      </c>
      <c r="Y235">
        <v>180000</v>
      </c>
      <c r="Z235">
        <v>2</v>
      </c>
      <c r="AA235">
        <v>30</v>
      </c>
      <c r="AB235">
        <v>60000</v>
      </c>
      <c r="AC235">
        <v>1</v>
      </c>
      <c r="AD235">
        <v>100000</v>
      </c>
      <c r="AE235">
        <v>100000</v>
      </c>
      <c r="AI235">
        <v>1</v>
      </c>
      <c r="AJ235">
        <v>120000</v>
      </c>
      <c r="AK235">
        <v>120000</v>
      </c>
      <c r="AL235">
        <v>2</v>
      </c>
      <c r="AM235">
        <v>60000</v>
      </c>
      <c r="AN235">
        <v>120</v>
      </c>
      <c r="AQ235">
        <v>0</v>
      </c>
      <c r="AU235" t="s">
        <v>1331</v>
      </c>
      <c r="AV235" t="s">
        <v>1332</v>
      </c>
      <c r="AX235" t="s">
        <v>1333</v>
      </c>
      <c r="AY235" t="s">
        <v>522</v>
      </c>
      <c r="AZ235">
        <v>2</v>
      </c>
    </row>
    <row r="236" spans="1:60">
      <c r="A236" t="s">
        <v>1334</v>
      </c>
      <c r="B236" t="s">
        <v>205</v>
      </c>
      <c r="C236">
        <v>207</v>
      </c>
      <c r="D236" t="s">
        <v>1296</v>
      </c>
      <c r="E236">
        <v>1</v>
      </c>
      <c r="F236" t="s">
        <v>376</v>
      </c>
      <c r="G236" t="s">
        <v>376</v>
      </c>
      <c r="H236" t="s">
        <v>376</v>
      </c>
      <c r="I236" t="s">
        <v>376</v>
      </c>
      <c r="K236">
        <v>30</v>
      </c>
      <c r="L236">
        <v>30</v>
      </c>
      <c r="O236">
        <v>2</v>
      </c>
      <c r="P236">
        <v>6587</v>
      </c>
      <c r="Q236">
        <v>6814</v>
      </c>
      <c r="R236">
        <v>227</v>
      </c>
      <c r="S236">
        <v>4</v>
      </c>
      <c r="T236">
        <v>908</v>
      </c>
      <c r="W236">
        <v>2</v>
      </c>
      <c r="X236">
        <v>90000</v>
      </c>
      <c r="Y236">
        <v>180000</v>
      </c>
      <c r="Z236">
        <v>2</v>
      </c>
      <c r="AA236">
        <v>30</v>
      </c>
      <c r="AB236">
        <v>60000</v>
      </c>
      <c r="AC236">
        <v>1</v>
      </c>
      <c r="AD236">
        <v>100000</v>
      </c>
      <c r="AE236">
        <v>100000</v>
      </c>
      <c r="AI236">
        <v>1</v>
      </c>
      <c r="AJ236">
        <v>100000</v>
      </c>
      <c r="AK236">
        <v>100000</v>
      </c>
      <c r="AM236">
        <v>60000</v>
      </c>
      <c r="AN236">
        <v>0</v>
      </c>
      <c r="AQ236">
        <v>0</v>
      </c>
      <c r="AU236" t="s">
        <v>1335</v>
      </c>
      <c r="AV236" t="s">
        <v>1336</v>
      </c>
      <c r="AW236" t="s">
        <v>1337</v>
      </c>
      <c r="AX236" t="s">
        <v>1338</v>
      </c>
      <c r="AY236" t="s">
        <v>383</v>
      </c>
      <c r="AZ236">
        <v>0</v>
      </c>
    </row>
    <row r="237" spans="1:60">
      <c r="A237" t="s">
        <v>1339</v>
      </c>
      <c r="B237" t="s">
        <v>205</v>
      </c>
      <c r="C237">
        <v>208</v>
      </c>
      <c r="D237" t="s">
        <v>1296</v>
      </c>
      <c r="E237">
        <v>1</v>
      </c>
      <c r="F237" t="s">
        <v>376</v>
      </c>
      <c r="G237" t="s">
        <v>376</v>
      </c>
      <c r="H237" t="s">
        <v>376</v>
      </c>
      <c r="I237" t="s">
        <v>376</v>
      </c>
      <c r="K237">
        <v>30</v>
      </c>
      <c r="L237">
        <v>30</v>
      </c>
      <c r="O237">
        <v>1</v>
      </c>
      <c r="P237">
        <v>2057</v>
      </c>
      <c r="Q237">
        <v>2155</v>
      </c>
      <c r="R237">
        <v>98</v>
      </c>
      <c r="S237">
        <v>4</v>
      </c>
      <c r="T237">
        <v>392</v>
      </c>
      <c r="W237">
        <v>1</v>
      </c>
      <c r="X237">
        <v>90000</v>
      </c>
      <c r="Y237">
        <v>90000</v>
      </c>
      <c r="Z237">
        <v>1</v>
      </c>
      <c r="AA237">
        <v>30</v>
      </c>
      <c r="AB237">
        <v>30000</v>
      </c>
      <c r="AC237">
        <v>1</v>
      </c>
      <c r="AD237">
        <v>100000</v>
      </c>
      <c r="AE237">
        <v>100000</v>
      </c>
      <c r="AI237">
        <v>1</v>
      </c>
      <c r="AJ237">
        <v>120000</v>
      </c>
      <c r="AK237">
        <v>120000</v>
      </c>
      <c r="AL237">
        <v>1</v>
      </c>
      <c r="AM237">
        <v>60000</v>
      </c>
      <c r="AN237">
        <v>60</v>
      </c>
      <c r="AQ237">
        <v>0</v>
      </c>
      <c r="AU237">
        <v>792</v>
      </c>
      <c r="AV237" t="s">
        <v>1340</v>
      </c>
      <c r="AX237" t="s">
        <v>1341</v>
      </c>
      <c r="AY237" t="s">
        <v>383</v>
      </c>
      <c r="AZ237">
        <v>0</v>
      </c>
    </row>
    <row r="238" spans="1:60">
      <c r="A238" t="s">
        <v>1342</v>
      </c>
      <c r="B238" t="s">
        <v>205</v>
      </c>
      <c r="C238">
        <v>209</v>
      </c>
      <c r="D238" t="s">
        <v>1296</v>
      </c>
      <c r="E238">
        <v>1</v>
      </c>
      <c r="F238" t="s">
        <v>420</v>
      </c>
      <c r="G238" t="s">
        <v>886</v>
      </c>
      <c r="H238" t="s">
        <v>420</v>
      </c>
      <c r="I238" t="s">
        <v>420</v>
      </c>
      <c r="K238">
        <v>30</v>
      </c>
      <c r="L238">
        <v>30</v>
      </c>
      <c r="O238">
        <v>3</v>
      </c>
      <c r="P238">
        <v>30035</v>
      </c>
      <c r="Q238">
        <v>30224</v>
      </c>
      <c r="R238">
        <v>189</v>
      </c>
      <c r="S238">
        <v>4</v>
      </c>
      <c r="T238">
        <v>756</v>
      </c>
      <c r="W238">
        <v>3</v>
      </c>
      <c r="X238">
        <v>90000</v>
      </c>
      <c r="Y238">
        <v>270000</v>
      </c>
      <c r="Z238">
        <v>3</v>
      </c>
      <c r="AA238">
        <v>30</v>
      </c>
      <c r="AB238">
        <v>90000</v>
      </c>
      <c r="AC238">
        <v>1</v>
      </c>
      <c r="AD238">
        <v>100000</v>
      </c>
      <c r="AE238">
        <v>100000</v>
      </c>
      <c r="AI238">
        <v>3</v>
      </c>
      <c r="AJ238">
        <v>120000</v>
      </c>
      <c r="AK238">
        <v>360000</v>
      </c>
      <c r="AL238">
        <v>3</v>
      </c>
      <c r="AM238">
        <v>60000</v>
      </c>
      <c r="AN238">
        <v>180</v>
      </c>
      <c r="AQ238">
        <v>0</v>
      </c>
      <c r="AU238" t="s">
        <v>1343</v>
      </c>
      <c r="AV238" t="s">
        <v>1344</v>
      </c>
      <c r="AX238" t="s">
        <v>1345</v>
      </c>
      <c r="AY238" t="s">
        <v>522</v>
      </c>
      <c r="AZ238">
        <v>1</v>
      </c>
      <c r="BH238">
        <v>0</v>
      </c>
    </row>
    <row r="239" spans="1:60">
      <c r="A239" t="s">
        <v>1346</v>
      </c>
      <c r="B239" t="s">
        <v>205</v>
      </c>
      <c r="C239">
        <v>301</v>
      </c>
      <c r="D239" t="s">
        <v>1296</v>
      </c>
      <c r="E239">
        <v>1</v>
      </c>
      <c r="F239" t="s">
        <v>385</v>
      </c>
      <c r="G239" t="s">
        <v>386</v>
      </c>
      <c r="H239" t="s">
        <v>385</v>
      </c>
      <c r="I239" t="s">
        <v>385</v>
      </c>
      <c r="K239">
        <v>30</v>
      </c>
      <c r="L239">
        <v>30</v>
      </c>
      <c r="O239">
        <v>3</v>
      </c>
      <c r="P239">
        <v>19801</v>
      </c>
      <c r="Q239">
        <v>20066</v>
      </c>
      <c r="R239">
        <v>265</v>
      </c>
      <c r="S239">
        <v>4</v>
      </c>
      <c r="T239" t="s">
        <v>1000</v>
      </c>
      <c r="W239">
        <v>3</v>
      </c>
      <c r="X239">
        <v>90000</v>
      </c>
      <c r="Y239">
        <v>270000</v>
      </c>
      <c r="Z239">
        <v>3</v>
      </c>
      <c r="AA239">
        <v>30</v>
      </c>
      <c r="AB239">
        <v>90000</v>
      </c>
      <c r="AC239">
        <v>0</v>
      </c>
      <c r="AD239">
        <v>100000</v>
      </c>
      <c r="AE239">
        <v>0</v>
      </c>
      <c r="AI239">
        <v>2</v>
      </c>
      <c r="AJ239">
        <v>100000</v>
      </c>
      <c r="AK239">
        <v>200000</v>
      </c>
      <c r="AL239">
        <v>0</v>
      </c>
      <c r="AM239">
        <v>60000</v>
      </c>
      <c r="AN239">
        <v>0</v>
      </c>
      <c r="AQ239">
        <v>0</v>
      </c>
      <c r="AU239" t="s">
        <v>1347</v>
      </c>
      <c r="AV239" t="s">
        <v>1348</v>
      </c>
      <c r="AX239" t="s">
        <v>1349</v>
      </c>
      <c r="AY239" t="s">
        <v>383</v>
      </c>
      <c r="AZ239">
        <v>0</v>
      </c>
      <c r="BH239">
        <v>0</v>
      </c>
    </row>
    <row r="240" spans="1:60">
      <c r="A240" t="s">
        <v>1350</v>
      </c>
      <c r="B240" t="s">
        <v>205</v>
      </c>
      <c r="C240">
        <v>302</v>
      </c>
      <c r="D240" t="s">
        <v>1296</v>
      </c>
      <c r="E240">
        <v>1</v>
      </c>
      <c r="F240" t="s">
        <v>376</v>
      </c>
      <c r="G240" t="s">
        <v>376</v>
      </c>
      <c r="H240" t="s">
        <v>376</v>
      </c>
      <c r="I240" t="s">
        <v>376</v>
      </c>
      <c r="K240">
        <v>30</v>
      </c>
      <c r="L240">
        <v>30</v>
      </c>
      <c r="O240">
        <v>2</v>
      </c>
      <c r="P240">
        <v>13874</v>
      </c>
      <c r="Q240">
        <v>14035</v>
      </c>
      <c r="R240">
        <v>161</v>
      </c>
      <c r="S240">
        <v>4</v>
      </c>
      <c r="T240">
        <v>644</v>
      </c>
      <c r="W240">
        <v>2</v>
      </c>
      <c r="X240">
        <v>90000</v>
      </c>
      <c r="Y240">
        <v>180000</v>
      </c>
      <c r="Z240">
        <v>2</v>
      </c>
      <c r="AA240">
        <v>30</v>
      </c>
      <c r="AB240">
        <v>60000</v>
      </c>
      <c r="AC240">
        <v>1</v>
      </c>
      <c r="AD240">
        <v>100000</v>
      </c>
      <c r="AE240">
        <v>100000</v>
      </c>
      <c r="AI240">
        <v>1</v>
      </c>
      <c r="AJ240">
        <v>120000</v>
      </c>
      <c r="AK240">
        <v>120000</v>
      </c>
      <c r="AL240">
        <v>2</v>
      </c>
      <c r="AM240">
        <v>60000</v>
      </c>
      <c r="AN240">
        <v>120</v>
      </c>
      <c r="AQ240">
        <v>0</v>
      </c>
      <c r="AU240" t="s">
        <v>1351</v>
      </c>
      <c r="AV240" t="s">
        <v>1352</v>
      </c>
      <c r="AX240" t="s">
        <v>1353</v>
      </c>
      <c r="AY240" t="s">
        <v>383</v>
      </c>
      <c r="AZ240">
        <v>0</v>
      </c>
    </row>
    <row r="241" spans="1:55">
      <c r="A241" t="s">
        <v>1354</v>
      </c>
      <c r="B241" t="s">
        <v>205</v>
      </c>
      <c r="C241">
        <v>303</v>
      </c>
      <c r="D241" t="s">
        <v>1296</v>
      </c>
      <c r="E241">
        <v>1</v>
      </c>
      <c r="F241" t="s">
        <v>376</v>
      </c>
      <c r="G241" t="s">
        <v>376</v>
      </c>
      <c r="H241" t="s">
        <v>376</v>
      </c>
      <c r="I241" t="s">
        <v>376</v>
      </c>
      <c r="K241">
        <v>30</v>
      </c>
      <c r="L241">
        <v>30</v>
      </c>
      <c r="O241">
        <v>2</v>
      </c>
      <c r="P241">
        <v>15981</v>
      </c>
      <c r="Q241">
        <v>16193</v>
      </c>
      <c r="R241">
        <v>212</v>
      </c>
      <c r="S241">
        <v>4</v>
      </c>
      <c r="T241">
        <v>848</v>
      </c>
      <c r="W241">
        <v>2</v>
      </c>
      <c r="X241">
        <v>90000</v>
      </c>
      <c r="Y241">
        <v>180000</v>
      </c>
      <c r="Z241">
        <v>2</v>
      </c>
      <c r="AA241">
        <v>30</v>
      </c>
      <c r="AB241">
        <v>60000</v>
      </c>
      <c r="AC241">
        <v>1</v>
      </c>
      <c r="AD241">
        <v>100000</v>
      </c>
      <c r="AE241">
        <v>100000</v>
      </c>
      <c r="AI241">
        <v>1</v>
      </c>
      <c r="AJ241">
        <v>120000</v>
      </c>
      <c r="AK241">
        <v>120000</v>
      </c>
      <c r="AL241">
        <v>2</v>
      </c>
      <c r="AM241">
        <v>60000</v>
      </c>
      <c r="AN241">
        <v>120</v>
      </c>
      <c r="AQ241">
        <v>0</v>
      </c>
      <c r="AU241" t="s">
        <v>396</v>
      </c>
      <c r="AV241" t="s">
        <v>1355</v>
      </c>
      <c r="AX241" t="s">
        <v>1356</v>
      </c>
      <c r="AY241" t="s">
        <v>383</v>
      </c>
      <c r="AZ241">
        <v>0</v>
      </c>
    </row>
    <row r="242" spans="1:55">
      <c r="A242" t="s">
        <v>1357</v>
      </c>
      <c r="B242" t="s">
        <v>205</v>
      </c>
      <c r="C242">
        <v>304</v>
      </c>
      <c r="D242" t="s">
        <v>1296</v>
      </c>
      <c r="E242">
        <v>1</v>
      </c>
      <c r="F242" t="s">
        <v>376</v>
      </c>
      <c r="G242" t="s">
        <v>377</v>
      </c>
      <c r="H242" t="s">
        <v>376</v>
      </c>
      <c r="I242" t="s">
        <v>376</v>
      </c>
      <c r="K242">
        <v>30</v>
      </c>
      <c r="L242">
        <v>30</v>
      </c>
      <c r="O242">
        <v>2</v>
      </c>
      <c r="P242">
        <v>16827</v>
      </c>
      <c r="Q242">
        <v>17067</v>
      </c>
      <c r="R242">
        <v>240</v>
      </c>
      <c r="S242">
        <v>4</v>
      </c>
      <c r="T242">
        <v>960</v>
      </c>
      <c r="W242">
        <v>2</v>
      </c>
      <c r="X242">
        <v>90000</v>
      </c>
      <c r="Y242">
        <v>180000</v>
      </c>
      <c r="Z242">
        <v>2</v>
      </c>
      <c r="AA242">
        <v>30</v>
      </c>
      <c r="AB242">
        <v>60000</v>
      </c>
      <c r="AC242">
        <v>1</v>
      </c>
      <c r="AD242">
        <v>100000</v>
      </c>
      <c r="AE242">
        <v>100000</v>
      </c>
      <c r="AI242">
        <v>2</v>
      </c>
      <c r="AJ242">
        <v>120000</v>
      </c>
      <c r="AK242">
        <v>240000</v>
      </c>
      <c r="AL242">
        <v>2</v>
      </c>
      <c r="AM242">
        <v>60000</v>
      </c>
      <c r="AN242">
        <v>120</v>
      </c>
      <c r="AQ242">
        <v>0</v>
      </c>
      <c r="AU242" t="s">
        <v>1358</v>
      </c>
      <c r="AV242" t="s">
        <v>1245</v>
      </c>
      <c r="AX242" t="s">
        <v>1246</v>
      </c>
      <c r="AY242" t="s">
        <v>383</v>
      </c>
      <c r="AZ242">
        <v>0</v>
      </c>
    </row>
    <row r="243" spans="1:55">
      <c r="A243" t="s">
        <v>1359</v>
      </c>
      <c r="B243" t="s">
        <v>205</v>
      </c>
      <c r="C243">
        <v>305</v>
      </c>
      <c r="D243" t="s">
        <v>1296</v>
      </c>
      <c r="E243">
        <v>1</v>
      </c>
      <c r="F243" t="s">
        <v>552</v>
      </c>
      <c r="G243" t="s">
        <v>376</v>
      </c>
      <c r="H243" t="s">
        <v>552</v>
      </c>
      <c r="I243" t="s">
        <v>552</v>
      </c>
      <c r="K243">
        <v>30</v>
      </c>
      <c r="L243">
        <v>30</v>
      </c>
      <c r="O243">
        <v>1</v>
      </c>
      <c r="P243">
        <v>18622</v>
      </c>
      <c r="Q243">
        <v>18751</v>
      </c>
      <c r="R243">
        <v>129</v>
      </c>
      <c r="S243">
        <v>4</v>
      </c>
      <c r="T243">
        <v>516</v>
      </c>
      <c r="W243">
        <v>1</v>
      </c>
      <c r="X243">
        <v>120000</v>
      </c>
      <c r="Y243">
        <v>120000</v>
      </c>
      <c r="AB243">
        <v>0</v>
      </c>
      <c r="AC243">
        <v>1</v>
      </c>
      <c r="AD243">
        <v>100000</v>
      </c>
      <c r="AE243">
        <v>100000</v>
      </c>
      <c r="AJ243">
        <v>120000</v>
      </c>
      <c r="AK243">
        <v>0</v>
      </c>
      <c r="AN243">
        <v>0</v>
      </c>
      <c r="AO243">
        <v>1</v>
      </c>
      <c r="AP243">
        <v>120000</v>
      </c>
      <c r="AQ243">
        <v>120000</v>
      </c>
      <c r="AU243">
        <v>856</v>
      </c>
      <c r="AV243" t="s">
        <v>468</v>
      </c>
      <c r="AX243" t="s">
        <v>469</v>
      </c>
      <c r="AY243" t="s">
        <v>383</v>
      </c>
      <c r="AZ243">
        <v>0</v>
      </c>
    </row>
    <row r="244" spans="1:55">
      <c r="A244" t="s">
        <v>1360</v>
      </c>
      <c r="B244" t="s">
        <v>205</v>
      </c>
      <c r="C244">
        <v>306</v>
      </c>
      <c r="D244" t="s">
        <v>1296</v>
      </c>
      <c r="E244">
        <v>1</v>
      </c>
      <c r="F244" t="s">
        <v>376</v>
      </c>
      <c r="G244" t="s">
        <v>376</v>
      </c>
      <c r="H244" t="s">
        <v>376</v>
      </c>
      <c r="I244" t="s">
        <v>376</v>
      </c>
      <c r="K244">
        <v>30</v>
      </c>
      <c r="L244">
        <v>30</v>
      </c>
      <c r="O244">
        <v>2</v>
      </c>
      <c r="P244">
        <v>12923</v>
      </c>
      <c r="Q244">
        <v>13147</v>
      </c>
      <c r="R244">
        <v>224</v>
      </c>
      <c r="S244">
        <v>4</v>
      </c>
      <c r="T244">
        <v>896</v>
      </c>
      <c r="W244">
        <v>2</v>
      </c>
      <c r="X244">
        <v>90000</v>
      </c>
      <c r="Y244">
        <v>180000</v>
      </c>
      <c r="Z244">
        <v>2</v>
      </c>
      <c r="AA244">
        <v>30</v>
      </c>
      <c r="AB244">
        <v>60000</v>
      </c>
      <c r="AD244">
        <v>100000</v>
      </c>
      <c r="AE244">
        <v>0</v>
      </c>
      <c r="AJ244">
        <v>120000</v>
      </c>
      <c r="AK244">
        <v>0</v>
      </c>
      <c r="AL244">
        <v>2</v>
      </c>
      <c r="AM244">
        <v>60000</v>
      </c>
      <c r="AN244">
        <v>120</v>
      </c>
      <c r="AQ244">
        <v>0</v>
      </c>
      <c r="AU244" t="s">
        <v>1292</v>
      </c>
      <c r="AV244" t="s">
        <v>1361</v>
      </c>
      <c r="AW244" t="s">
        <v>1362</v>
      </c>
      <c r="AX244" t="s">
        <v>1363</v>
      </c>
      <c r="AY244" t="s">
        <v>383</v>
      </c>
      <c r="AZ244">
        <v>0</v>
      </c>
    </row>
    <row r="245" spans="1:55">
      <c r="A245" t="s">
        <v>1364</v>
      </c>
      <c r="B245" t="s">
        <v>205</v>
      </c>
      <c r="C245">
        <v>307</v>
      </c>
      <c r="D245" t="s">
        <v>1296</v>
      </c>
      <c r="E245">
        <v>1</v>
      </c>
      <c r="F245" t="s">
        <v>552</v>
      </c>
      <c r="G245" t="s">
        <v>376</v>
      </c>
      <c r="H245" t="s">
        <v>552</v>
      </c>
      <c r="I245" t="s">
        <v>552</v>
      </c>
      <c r="K245">
        <v>30</v>
      </c>
      <c r="L245">
        <v>30</v>
      </c>
      <c r="O245">
        <v>2</v>
      </c>
      <c r="P245">
        <v>15397</v>
      </c>
      <c r="Q245">
        <v>15634</v>
      </c>
      <c r="R245">
        <v>237</v>
      </c>
      <c r="S245">
        <v>4</v>
      </c>
      <c r="T245">
        <v>948</v>
      </c>
      <c r="W245">
        <v>2</v>
      </c>
      <c r="X245">
        <v>90000</v>
      </c>
      <c r="Y245">
        <v>180000</v>
      </c>
      <c r="Z245">
        <v>2</v>
      </c>
      <c r="AA245">
        <v>30</v>
      </c>
      <c r="AB245">
        <v>60000</v>
      </c>
      <c r="AC245">
        <v>1</v>
      </c>
      <c r="AD245">
        <v>100000</v>
      </c>
      <c r="AE245">
        <v>100000</v>
      </c>
      <c r="AI245">
        <v>1</v>
      </c>
      <c r="AJ245">
        <v>120000</v>
      </c>
      <c r="AK245">
        <v>120000</v>
      </c>
      <c r="AL245">
        <v>2</v>
      </c>
      <c r="AM245">
        <v>60000</v>
      </c>
      <c r="AN245">
        <v>120</v>
      </c>
      <c r="AQ245">
        <v>0</v>
      </c>
      <c r="AU245" t="s">
        <v>1066</v>
      </c>
      <c r="AV245" t="s">
        <v>1355</v>
      </c>
      <c r="AX245" t="s">
        <v>1356</v>
      </c>
      <c r="AY245" t="s">
        <v>383</v>
      </c>
      <c r="AZ245">
        <v>0</v>
      </c>
    </row>
    <row r="246" spans="1:55">
      <c r="A246" t="s">
        <v>1365</v>
      </c>
      <c r="B246" t="s">
        <v>205</v>
      </c>
      <c r="C246">
        <v>308</v>
      </c>
      <c r="D246" t="s">
        <v>1296</v>
      </c>
      <c r="E246">
        <v>1</v>
      </c>
      <c r="F246" t="s">
        <v>376</v>
      </c>
      <c r="G246" t="s">
        <v>376</v>
      </c>
      <c r="H246" t="s">
        <v>376</v>
      </c>
      <c r="I246" t="s">
        <v>376</v>
      </c>
      <c r="K246">
        <v>30</v>
      </c>
      <c r="L246">
        <v>30</v>
      </c>
      <c r="O246">
        <v>1</v>
      </c>
      <c r="P246">
        <v>272</v>
      </c>
      <c r="Q246">
        <v>334</v>
      </c>
      <c r="R246">
        <v>62</v>
      </c>
      <c r="S246">
        <v>4</v>
      </c>
      <c r="T246">
        <v>248</v>
      </c>
      <c r="W246">
        <v>1</v>
      </c>
      <c r="X246">
        <v>90000</v>
      </c>
      <c r="Y246">
        <v>90000</v>
      </c>
      <c r="Z246">
        <v>1</v>
      </c>
      <c r="AA246">
        <v>30</v>
      </c>
      <c r="AB246">
        <v>30000</v>
      </c>
      <c r="AC246">
        <v>1</v>
      </c>
      <c r="AD246">
        <v>100000</v>
      </c>
      <c r="AE246">
        <v>100000</v>
      </c>
      <c r="AJ246">
        <v>120000</v>
      </c>
      <c r="AK246">
        <v>0</v>
      </c>
      <c r="AL246">
        <v>1</v>
      </c>
      <c r="AM246">
        <v>60000</v>
      </c>
      <c r="AN246">
        <v>60</v>
      </c>
      <c r="AQ246">
        <v>0</v>
      </c>
      <c r="AU246">
        <v>528</v>
      </c>
      <c r="AV246" t="s">
        <v>1366</v>
      </c>
      <c r="AX246" t="s">
        <v>1367</v>
      </c>
      <c r="AY246" t="s">
        <v>383</v>
      </c>
      <c r="AZ246">
        <v>0</v>
      </c>
    </row>
    <row r="247" spans="1:55">
      <c r="A247" t="s">
        <v>1368</v>
      </c>
      <c r="B247" t="s">
        <v>205</v>
      </c>
      <c r="C247">
        <v>309</v>
      </c>
      <c r="D247" t="s">
        <v>1296</v>
      </c>
      <c r="E247">
        <v>1</v>
      </c>
      <c r="F247" t="s">
        <v>524</v>
      </c>
      <c r="G247" t="s">
        <v>886</v>
      </c>
      <c r="H247" t="s">
        <v>524</v>
      </c>
      <c r="I247" t="s">
        <v>524</v>
      </c>
      <c r="K247">
        <v>30</v>
      </c>
      <c r="L247">
        <v>30</v>
      </c>
      <c r="O247">
        <v>2</v>
      </c>
      <c r="P247">
        <v>32480</v>
      </c>
      <c r="Q247">
        <v>32691</v>
      </c>
      <c r="R247">
        <v>211</v>
      </c>
      <c r="S247">
        <v>4</v>
      </c>
      <c r="T247">
        <v>844</v>
      </c>
      <c r="W247">
        <v>2</v>
      </c>
      <c r="X247">
        <v>90000</v>
      </c>
      <c r="Y247">
        <v>180000</v>
      </c>
      <c r="Z247">
        <v>2</v>
      </c>
      <c r="AA247">
        <v>30</v>
      </c>
      <c r="AB247">
        <v>60000</v>
      </c>
      <c r="AD247">
        <v>100000</v>
      </c>
      <c r="AE247">
        <v>0</v>
      </c>
      <c r="AI247">
        <v>1</v>
      </c>
      <c r="AJ247">
        <v>120000</v>
      </c>
      <c r="AK247">
        <v>120000</v>
      </c>
      <c r="AM247">
        <v>60000</v>
      </c>
      <c r="AN247">
        <v>0</v>
      </c>
      <c r="AP247">
        <v>200000</v>
      </c>
      <c r="AQ247">
        <v>0</v>
      </c>
      <c r="AU247" t="s">
        <v>1369</v>
      </c>
      <c r="AV247" t="s">
        <v>591</v>
      </c>
      <c r="AX247" t="s">
        <v>593</v>
      </c>
      <c r="AY247" t="s">
        <v>383</v>
      </c>
      <c r="AZ247">
        <v>0</v>
      </c>
    </row>
    <row r="248" spans="1:55">
      <c r="A248" t="s">
        <v>1370</v>
      </c>
      <c r="B248" t="s">
        <v>205</v>
      </c>
      <c r="C248">
        <v>401</v>
      </c>
      <c r="D248" t="s">
        <v>1296</v>
      </c>
      <c r="E248">
        <v>1</v>
      </c>
      <c r="F248" t="s">
        <v>386</v>
      </c>
      <c r="G248" t="s">
        <v>386</v>
      </c>
      <c r="H248" t="s">
        <v>386</v>
      </c>
      <c r="I248" t="s">
        <v>386</v>
      </c>
      <c r="J248" t="s">
        <v>386</v>
      </c>
      <c r="K248">
        <v>30</v>
      </c>
      <c r="L248">
        <v>30</v>
      </c>
      <c r="O248">
        <v>2</v>
      </c>
      <c r="P248">
        <v>23383</v>
      </c>
      <c r="Q248">
        <v>23403</v>
      </c>
      <c r="R248">
        <v>20</v>
      </c>
      <c r="S248">
        <v>4</v>
      </c>
      <c r="T248">
        <v>80</v>
      </c>
      <c r="W248">
        <v>2</v>
      </c>
      <c r="X248">
        <v>120000</v>
      </c>
      <c r="Y248">
        <v>240000</v>
      </c>
      <c r="Z248">
        <v>2</v>
      </c>
      <c r="AA248">
        <v>30</v>
      </c>
      <c r="AB248">
        <v>60000</v>
      </c>
      <c r="AC248">
        <v>1</v>
      </c>
      <c r="AD248">
        <v>100000</v>
      </c>
      <c r="AE248">
        <v>100000</v>
      </c>
      <c r="AJ248">
        <v>100000</v>
      </c>
      <c r="AK248">
        <v>0</v>
      </c>
      <c r="AL248">
        <v>2</v>
      </c>
      <c r="AM248">
        <v>60000</v>
      </c>
      <c r="AN248">
        <v>120</v>
      </c>
      <c r="AQ248">
        <v>0</v>
      </c>
      <c r="AU248">
        <v>600</v>
      </c>
      <c r="AV248" t="s">
        <v>850</v>
      </c>
      <c r="AW248" t="s">
        <v>1371</v>
      </c>
      <c r="AX248" t="s">
        <v>852</v>
      </c>
      <c r="AY248" t="s">
        <v>383</v>
      </c>
      <c r="AZ248">
        <v>0</v>
      </c>
      <c r="BA248" s="1">
        <v>46031</v>
      </c>
      <c r="BB248" t="s">
        <v>474</v>
      </c>
      <c r="BC248" t="s">
        <v>475</v>
      </c>
    </row>
    <row r="249" spans="1:55">
      <c r="A249" t="s">
        <v>1372</v>
      </c>
      <c r="B249" t="s">
        <v>205</v>
      </c>
      <c r="C249">
        <v>402</v>
      </c>
      <c r="D249" t="s">
        <v>1296</v>
      </c>
      <c r="E249">
        <v>1</v>
      </c>
      <c r="F249" t="s">
        <v>376</v>
      </c>
      <c r="G249" t="s">
        <v>376</v>
      </c>
      <c r="H249" t="s">
        <v>376</v>
      </c>
      <c r="I249" t="s">
        <v>376</v>
      </c>
      <c r="J249" t="s">
        <v>376</v>
      </c>
      <c r="K249">
        <v>30</v>
      </c>
      <c r="L249">
        <v>30</v>
      </c>
      <c r="O249">
        <v>2</v>
      </c>
      <c r="P249">
        <v>11764</v>
      </c>
      <c r="Q249">
        <v>11764</v>
      </c>
      <c r="R249">
        <v>0</v>
      </c>
      <c r="S249">
        <v>4</v>
      </c>
      <c r="T249">
        <v>0</v>
      </c>
      <c r="W249">
        <v>2</v>
      </c>
      <c r="X249">
        <v>90000</v>
      </c>
      <c r="Y249">
        <v>180000</v>
      </c>
      <c r="Z249">
        <v>2</v>
      </c>
      <c r="AA249">
        <v>30</v>
      </c>
      <c r="AB249">
        <v>60000</v>
      </c>
      <c r="AC249">
        <v>1</v>
      </c>
      <c r="AD249">
        <v>100000</v>
      </c>
      <c r="AE249">
        <v>100000</v>
      </c>
      <c r="AI249">
        <v>1</v>
      </c>
      <c r="AJ249">
        <v>120000</v>
      </c>
      <c r="AK249">
        <v>120000</v>
      </c>
      <c r="AL249">
        <v>2</v>
      </c>
      <c r="AM249">
        <v>60000</v>
      </c>
      <c r="AN249">
        <v>120</v>
      </c>
      <c r="AQ249">
        <v>0</v>
      </c>
      <c r="AU249">
        <v>580</v>
      </c>
      <c r="AV249" t="s">
        <v>1373</v>
      </c>
      <c r="AW249" t="s">
        <v>1374</v>
      </c>
      <c r="AX249" t="s">
        <v>1375</v>
      </c>
      <c r="AY249" t="s">
        <v>522</v>
      </c>
      <c r="AZ249">
        <v>10</v>
      </c>
      <c r="BA249" s="1">
        <v>46031</v>
      </c>
      <c r="BB249" t="s">
        <v>474</v>
      </c>
      <c r="BC249" t="s">
        <v>475</v>
      </c>
    </row>
    <row r="250" spans="1:55">
      <c r="A250" t="s">
        <v>1376</v>
      </c>
      <c r="B250" t="s">
        <v>205</v>
      </c>
      <c r="C250">
        <v>403</v>
      </c>
      <c r="D250" t="s">
        <v>1296</v>
      </c>
      <c r="E250">
        <v>1</v>
      </c>
      <c r="F250" t="s">
        <v>552</v>
      </c>
      <c r="G250" t="s">
        <v>376</v>
      </c>
      <c r="H250" t="s">
        <v>552</v>
      </c>
      <c r="I250" t="s">
        <v>552</v>
      </c>
      <c r="K250">
        <v>30</v>
      </c>
      <c r="L250">
        <v>30</v>
      </c>
      <c r="O250">
        <v>1</v>
      </c>
      <c r="P250">
        <v>13712</v>
      </c>
      <c r="Q250">
        <v>13856</v>
      </c>
      <c r="R250">
        <v>144</v>
      </c>
      <c r="S250">
        <v>4</v>
      </c>
      <c r="T250">
        <v>576</v>
      </c>
      <c r="W250">
        <v>1</v>
      </c>
      <c r="X250">
        <v>90000</v>
      </c>
      <c r="Y250">
        <v>90000</v>
      </c>
      <c r="Z250">
        <v>1</v>
      </c>
      <c r="AA250">
        <v>30</v>
      </c>
      <c r="AB250">
        <v>30000</v>
      </c>
      <c r="AC250">
        <v>1</v>
      </c>
      <c r="AD250">
        <v>100000</v>
      </c>
      <c r="AE250">
        <v>100000</v>
      </c>
      <c r="AI250">
        <v>0</v>
      </c>
      <c r="AJ250">
        <v>120000</v>
      </c>
      <c r="AK250">
        <v>0</v>
      </c>
      <c r="AL250">
        <v>1</v>
      </c>
      <c r="AM250">
        <v>60000</v>
      </c>
      <c r="AN250">
        <v>60</v>
      </c>
      <c r="AQ250">
        <v>0</v>
      </c>
      <c r="AU250">
        <v>856</v>
      </c>
      <c r="AV250" t="s">
        <v>468</v>
      </c>
      <c r="AX250" t="s">
        <v>469</v>
      </c>
      <c r="AY250" t="s">
        <v>383</v>
      </c>
      <c r="AZ250">
        <v>0</v>
      </c>
    </row>
    <row r="251" spans="1:55">
      <c r="A251" t="s">
        <v>1377</v>
      </c>
      <c r="B251" t="s">
        <v>205</v>
      </c>
      <c r="C251">
        <v>404</v>
      </c>
      <c r="D251" t="s">
        <v>1296</v>
      </c>
      <c r="E251">
        <v>1</v>
      </c>
      <c r="F251" t="s">
        <v>385</v>
      </c>
      <c r="G251" t="s">
        <v>377</v>
      </c>
      <c r="H251" t="s">
        <v>385</v>
      </c>
      <c r="I251" t="s">
        <v>385</v>
      </c>
      <c r="J251">
        <v>200</v>
      </c>
      <c r="K251">
        <v>30</v>
      </c>
      <c r="L251">
        <v>30</v>
      </c>
      <c r="O251">
        <v>2</v>
      </c>
      <c r="P251">
        <v>13395</v>
      </c>
      <c r="Q251">
        <v>13601</v>
      </c>
      <c r="R251">
        <v>206</v>
      </c>
      <c r="S251">
        <v>4</v>
      </c>
      <c r="T251">
        <v>824</v>
      </c>
      <c r="W251">
        <v>2</v>
      </c>
      <c r="X251">
        <v>90000</v>
      </c>
      <c r="Y251">
        <v>180000</v>
      </c>
      <c r="Z251">
        <v>2</v>
      </c>
      <c r="AA251">
        <v>30</v>
      </c>
      <c r="AB251">
        <v>60000</v>
      </c>
      <c r="AC251">
        <v>1</v>
      </c>
      <c r="AD251">
        <v>100000</v>
      </c>
      <c r="AE251">
        <v>100000</v>
      </c>
      <c r="AI251">
        <v>0</v>
      </c>
      <c r="AJ251">
        <v>120000</v>
      </c>
      <c r="AK251">
        <v>0</v>
      </c>
      <c r="AL251">
        <v>2</v>
      </c>
      <c r="AM251">
        <v>60000</v>
      </c>
      <c r="AN251">
        <v>120</v>
      </c>
      <c r="AQ251">
        <v>0</v>
      </c>
      <c r="AU251" t="s">
        <v>1378</v>
      </c>
      <c r="AV251" t="s">
        <v>1379</v>
      </c>
      <c r="AW251" t="s">
        <v>530</v>
      </c>
      <c r="AX251" t="s">
        <v>1380</v>
      </c>
      <c r="AY251" t="s">
        <v>383</v>
      </c>
      <c r="AZ251">
        <v>0</v>
      </c>
    </row>
    <row r="252" spans="1:55">
      <c r="A252" t="s">
        <v>1381</v>
      </c>
      <c r="B252" t="s">
        <v>205</v>
      </c>
      <c r="C252">
        <v>405</v>
      </c>
      <c r="D252" t="s">
        <v>1296</v>
      </c>
      <c r="E252">
        <v>1</v>
      </c>
      <c r="F252" t="s">
        <v>376</v>
      </c>
      <c r="G252" t="s">
        <v>376</v>
      </c>
      <c r="H252" t="s">
        <v>376</v>
      </c>
      <c r="I252" t="s">
        <v>376</v>
      </c>
      <c r="K252">
        <v>30</v>
      </c>
      <c r="L252">
        <v>30</v>
      </c>
      <c r="O252">
        <v>2</v>
      </c>
      <c r="P252">
        <v>5057</v>
      </c>
      <c r="Q252">
        <v>5184</v>
      </c>
      <c r="R252">
        <v>127</v>
      </c>
      <c r="S252">
        <v>4</v>
      </c>
      <c r="T252">
        <v>508</v>
      </c>
      <c r="W252">
        <v>2</v>
      </c>
      <c r="X252">
        <v>90000</v>
      </c>
      <c r="Y252">
        <v>180000</v>
      </c>
      <c r="Z252">
        <v>2</v>
      </c>
      <c r="AA252">
        <v>30</v>
      </c>
      <c r="AB252">
        <v>60000</v>
      </c>
      <c r="AC252">
        <v>1</v>
      </c>
      <c r="AD252">
        <v>100000</v>
      </c>
      <c r="AE252">
        <v>100000</v>
      </c>
      <c r="AJ252">
        <v>120000</v>
      </c>
      <c r="AK252">
        <v>0</v>
      </c>
      <c r="AM252">
        <v>60000</v>
      </c>
      <c r="AN252">
        <v>0</v>
      </c>
      <c r="AQ252">
        <v>0</v>
      </c>
      <c r="AU252">
        <v>848</v>
      </c>
      <c r="AV252" t="s">
        <v>804</v>
      </c>
      <c r="AX252" t="s">
        <v>1382</v>
      </c>
      <c r="AY252" t="s">
        <v>383</v>
      </c>
      <c r="AZ252">
        <v>0</v>
      </c>
    </row>
    <row r="253" spans="1:55">
      <c r="A253" t="s">
        <v>1383</v>
      </c>
      <c r="B253" t="s">
        <v>205</v>
      </c>
      <c r="C253">
        <v>406</v>
      </c>
      <c r="D253" t="s">
        <v>1296</v>
      </c>
      <c r="E253">
        <v>1</v>
      </c>
      <c r="F253" t="s">
        <v>1384</v>
      </c>
      <c r="G253" t="s">
        <v>376</v>
      </c>
      <c r="H253" t="s">
        <v>1384</v>
      </c>
      <c r="I253" t="s">
        <v>1384</v>
      </c>
      <c r="K253">
        <v>30</v>
      </c>
      <c r="L253">
        <v>30</v>
      </c>
      <c r="O253">
        <v>2</v>
      </c>
      <c r="P253">
        <v>5883</v>
      </c>
      <c r="Q253">
        <v>6094</v>
      </c>
      <c r="R253">
        <v>211</v>
      </c>
      <c r="S253">
        <v>4</v>
      </c>
      <c r="T253">
        <v>844</v>
      </c>
      <c r="W253">
        <v>2</v>
      </c>
      <c r="X253">
        <v>90000</v>
      </c>
      <c r="Y253">
        <v>180000</v>
      </c>
      <c r="Z253">
        <v>2</v>
      </c>
      <c r="AA253">
        <v>30</v>
      </c>
      <c r="AB253">
        <v>60000</v>
      </c>
      <c r="AC253">
        <v>1</v>
      </c>
      <c r="AD253">
        <v>100000</v>
      </c>
      <c r="AE253">
        <v>100000</v>
      </c>
      <c r="AI253">
        <v>2</v>
      </c>
      <c r="AJ253">
        <v>90000</v>
      </c>
      <c r="AK253">
        <v>180000</v>
      </c>
      <c r="AL253">
        <v>2</v>
      </c>
      <c r="AM253">
        <v>60000</v>
      </c>
      <c r="AN253">
        <v>120</v>
      </c>
      <c r="AQ253">
        <v>0</v>
      </c>
      <c r="AU253" t="s">
        <v>1385</v>
      </c>
      <c r="AV253" t="s">
        <v>1386</v>
      </c>
      <c r="AX253" t="s">
        <v>1387</v>
      </c>
      <c r="AY253" t="s">
        <v>383</v>
      </c>
      <c r="AZ253">
        <v>0</v>
      </c>
    </row>
    <row r="254" spans="1:55">
      <c r="A254" t="s">
        <v>1388</v>
      </c>
      <c r="B254" t="s">
        <v>205</v>
      </c>
      <c r="C254">
        <v>407</v>
      </c>
      <c r="D254" t="s">
        <v>1296</v>
      </c>
      <c r="E254">
        <v>1</v>
      </c>
      <c r="F254" t="s">
        <v>552</v>
      </c>
      <c r="G254" t="s">
        <v>376</v>
      </c>
      <c r="H254" t="s">
        <v>552</v>
      </c>
      <c r="I254" t="s">
        <v>552</v>
      </c>
      <c r="K254">
        <v>30</v>
      </c>
      <c r="L254">
        <v>30</v>
      </c>
      <c r="O254">
        <v>2</v>
      </c>
      <c r="P254">
        <v>10217</v>
      </c>
      <c r="Q254">
        <v>10328</v>
      </c>
      <c r="R254">
        <v>111</v>
      </c>
      <c r="S254">
        <v>4</v>
      </c>
      <c r="T254">
        <v>444</v>
      </c>
      <c r="W254">
        <v>2</v>
      </c>
      <c r="X254">
        <v>90000</v>
      </c>
      <c r="Y254">
        <v>180000</v>
      </c>
      <c r="Z254">
        <v>2</v>
      </c>
      <c r="AA254">
        <v>30</v>
      </c>
      <c r="AB254">
        <v>60000</v>
      </c>
      <c r="AC254">
        <v>1</v>
      </c>
      <c r="AD254">
        <v>100000</v>
      </c>
      <c r="AE254">
        <v>100000</v>
      </c>
      <c r="AI254">
        <v>1</v>
      </c>
      <c r="AJ254">
        <v>120000</v>
      </c>
      <c r="AK254">
        <v>120000</v>
      </c>
      <c r="AL254">
        <v>2</v>
      </c>
      <c r="AM254">
        <v>60000</v>
      </c>
      <c r="AN254">
        <v>120</v>
      </c>
      <c r="AQ254">
        <v>0</v>
      </c>
      <c r="AU254" t="s">
        <v>1227</v>
      </c>
      <c r="AV254" t="s">
        <v>1228</v>
      </c>
      <c r="AX254" t="s">
        <v>1229</v>
      </c>
      <c r="AY254" t="s">
        <v>383</v>
      </c>
      <c r="AZ254">
        <v>0</v>
      </c>
    </row>
    <row r="255" spans="1:55">
      <c r="A255" t="s">
        <v>1389</v>
      </c>
      <c r="B255" t="s">
        <v>205</v>
      </c>
      <c r="C255">
        <v>408</v>
      </c>
      <c r="D255" t="s">
        <v>1296</v>
      </c>
      <c r="E255">
        <v>1</v>
      </c>
      <c r="F255" t="s">
        <v>376</v>
      </c>
      <c r="G255" t="s">
        <v>376</v>
      </c>
      <c r="H255" t="s">
        <v>376</v>
      </c>
      <c r="I255" t="s">
        <v>376</v>
      </c>
      <c r="K255">
        <v>30</v>
      </c>
      <c r="L255">
        <v>30</v>
      </c>
      <c r="O255">
        <v>1</v>
      </c>
      <c r="P255">
        <v>13276</v>
      </c>
      <c r="Q255">
        <v>13348</v>
      </c>
      <c r="R255">
        <v>72</v>
      </c>
      <c r="S255">
        <v>4</v>
      </c>
      <c r="T255">
        <v>288</v>
      </c>
      <c r="W255">
        <v>1</v>
      </c>
      <c r="X255">
        <v>90000</v>
      </c>
      <c r="Y255">
        <v>90000</v>
      </c>
      <c r="Z255">
        <v>1</v>
      </c>
      <c r="AA255">
        <v>30</v>
      </c>
      <c r="AB255">
        <v>30000</v>
      </c>
      <c r="AD255">
        <v>100000</v>
      </c>
      <c r="AE255">
        <v>0</v>
      </c>
      <c r="AI255">
        <v>1</v>
      </c>
      <c r="AJ255">
        <v>120000</v>
      </c>
      <c r="AK255">
        <v>120000</v>
      </c>
      <c r="AM255">
        <v>60000</v>
      </c>
      <c r="AN255">
        <v>0</v>
      </c>
      <c r="AQ255">
        <v>0</v>
      </c>
      <c r="AU255">
        <v>528</v>
      </c>
      <c r="AV255" t="s">
        <v>1366</v>
      </c>
      <c r="AX255" t="s">
        <v>1367</v>
      </c>
      <c r="AY255" t="s">
        <v>383</v>
      </c>
      <c r="AZ255">
        <v>0</v>
      </c>
    </row>
    <row r="256" spans="1:55">
      <c r="A256" t="s">
        <v>1390</v>
      </c>
      <c r="B256" t="s">
        <v>205</v>
      </c>
      <c r="C256">
        <v>409</v>
      </c>
      <c r="D256" t="s">
        <v>1296</v>
      </c>
      <c r="E256">
        <v>1</v>
      </c>
      <c r="F256" t="s">
        <v>391</v>
      </c>
      <c r="G256" t="s">
        <v>886</v>
      </c>
      <c r="H256" t="s">
        <v>391</v>
      </c>
      <c r="I256" t="s">
        <v>391</v>
      </c>
      <c r="J256">
        <v>200</v>
      </c>
      <c r="K256">
        <v>30</v>
      </c>
      <c r="L256">
        <v>30</v>
      </c>
      <c r="O256">
        <v>2</v>
      </c>
      <c r="P256">
        <v>28804</v>
      </c>
      <c r="Q256">
        <v>29024</v>
      </c>
      <c r="R256">
        <v>220</v>
      </c>
      <c r="S256">
        <v>4</v>
      </c>
      <c r="T256">
        <v>880</v>
      </c>
      <c r="W256">
        <v>2</v>
      </c>
      <c r="X256">
        <v>90000</v>
      </c>
      <c r="Y256">
        <v>180000</v>
      </c>
      <c r="Z256">
        <v>2</v>
      </c>
      <c r="AA256">
        <v>30</v>
      </c>
      <c r="AB256">
        <v>60000</v>
      </c>
      <c r="AC256">
        <v>0</v>
      </c>
      <c r="AD256">
        <v>100000</v>
      </c>
      <c r="AE256">
        <v>0</v>
      </c>
      <c r="AI256">
        <v>2</v>
      </c>
      <c r="AJ256">
        <v>120000</v>
      </c>
      <c r="AK256">
        <v>240000</v>
      </c>
      <c r="AM256">
        <v>60000</v>
      </c>
      <c r="AN256">
        <v>0</v>
      </c>
      <c r="AQ256">
        <v>0</v>
      </c>
      <c r="AU256" t="s">
        <v>1391</v>
      </c>
      <c r="AV256" t="s">
        <v>1392</v>
      </c>
      <c r="AW256" t="s">
        <v>530</v>
      </c>
      <c r="AX256" t="s">
        <v>1393</v>
      </c>
      <c r="AY256" t="s">
        <v>383</v>
      </c>
      <c r="AZ256">
        <v>0</v>
      </c>
    </row>
    <row r="257" spans="1:55">
      <c r="A257" t="s">
        <v>1394</v>
      </c>
      <c r="B257" t="s">
        <v>205</v>
      </c>
      <c r="C257">
        <v>501</v>
      </c>
      <c r="D257" t="s">
        <v>1296</v>
      </c>
      <c r="E257">
        <v>1</v>
      </c>
      <c r="F257" t="s">
        <v>400</v>
      </c>
      <c r="G257" t="s">
        <v>386</v>
      </c>
      <c r="H257" t="s">
        <v>400</v>
      </c>
      <c r="I257" t="s">
        <v>400</v>
      </c>
      <c r="K257">
        <v>30</v>
      </c>
      <c r="L257">
        <v>30</v>
      </c>
      <c r="O257">
        <v>3</v>
      </c>
      <c r="P257">
        <v>1800</v>
      </c>
      <c r="Q257">
        <v>2156</v>
      </c>
      <c r="R257">
        <v>356</v>
      </c>
      <c r="S257">
        <v>4</v>
      </c>
      <c r="T257" t="s">
        <v>1395</v>
      </c>
      <c r="W257">
        <v>3</v>
      </c>
      <c r="X257">
        <v>90000</v>
      </c>
      <c r="Y257">
        <v>270000</v>
      </c>
      <c r="Z257">
        <v>3</v>
      </c>
      <c r="AA257">
        <v>30</v>
      </c>
      <c r="AB257">
        <v>90000</v>
      </c>
      <c r="AC257">
        <v>1</v>
      </c>
      <c r="AD257">
        <v>100000</v>
      </c>
      <c r="AE257">
        <v>100000</v>
      </c>
      <c r="AI257">
        <v>3</v>
      </c>
      <c r="AJ257">
        <v>100000</v>
      </c>
      <c r="AK257">
        <v>300000</v>
      </c>
      <c r="AL257">
        <v>3</v>
      </c>
      <c r="AM257">
        <v>60000</v>
      </c>
      <c r="AN257">
        <v>180</v>
      </c>
      <c r="AQ257">
        <v>0</v>
      </c>
      <c r="AU257" t="s">
        <v>1396</v>
      </c>
      <c r="AV257" t="s">
        <v>1397</v>
      </c>
      <c r="AX257" t="s">
        <v>1398</v>
      </c>
      <c r="AY257" t="s">
        <v>383</v>
      </c>
      <c r="AZ257">
        <v>0</v>
      </c>
    </row>
    <row r="258" spans="1:55">
      <c r="A258" t="s">
        <v>1399</v>
      </c>
      <c r="B258" t="s">
        <v>205</v>
      </c>
      <c r="C258">
        <v>502</v>
      </c>
      <c r="D258" t="s">
        <v>1296</v>
      </c>
      <c r="E258">
        <v>1</v>
      </c>
      <c r="F258" t="s">
        <v>609</v>
      </c>
      <c r="G258" t="s">
        <v>376</v>
      </c>
      <c r="H258" t="s">
        <v>609</v>
      </c>
      <c r="I258" t="s">
        <v>609</v>
      </c>
      <c r="K258">
        <v>30</v>
      </c>
      <c r="L258">
        <v>30</v>
      </c>
      <c r="O258">
        <v>1</v>
      </c>
      <c r="P258">
        <v>12362</v>
      </c>
      <c r="Q258">
        <v>12694</v>
      </c>
      <c r="R258">
        <v>332</v>
      </c>
      <c r="S258">
        <v>4</v>
      </c>
      <c r="T258" t="s">
        <v>1400</v>
      </c>
      <c r="W258">
        <v>1</v>
      </c>
      <c r="X258">
        <v>90000</v>
      </c>
      <c r="Y258">
        <v>90000</v>
      </c>
      <c r="Z258">
        <v>1</v>
      </c>
      <c r="AA258">
        <v>30</v>
      </c>
      <c r="AB258">
        <v>30000</v>
      </c>
      <c r="AC258">
        <v>0</v>
      </c>
      <c r="AD258">
        <v>100000</v>
      </c>
      <c r="AE258">
        <v>0</v>
      </c>
      <c r="AI258">
        <v>1</v>
      </c>
      <c r="AJ258">
        <v>100000</v>
      </c>
      <c r="AK258">
        <v>100000</v>
      </c>
      <c r="AL258">
        <v>1</v>
      </c>
      <c r="AM258">
        <v>60000</v>
      </c>
      <c r="AN258">
        <v>60</v>
      </c>
      <c r="AQ258">
        <v>0</v>
      </c>
      <c r="AU258" t="s">
        <v>633</v>
      </c>
      <c r="AV258" t="s">
        <v>1401</v>
      </c>
      <c r="AX258" t="s">
        <v>1402</v>
      </c>
      <c r="AY258" t="s">
        <v>383</v>
      </c>
      <c r="AZ258">
        <v>0</v>
      </c>
    </row>
    <row r="259" spans="1:55">
      <c r="A259" t="s">
        <v>1403</v>
      </c>
      <c r="B259" t="s">
        <v>205</v>
      </c>
      <c r="C259">
        <v>503</v>
      </c>
      <c r="D259" t="s">
        <v>1296</v>
      </c>
      <c r="E259">
        <v>1</v>
      </c>
      <c r="F259" t="s">
        <v>552</v>
      </c>
      <c r="G259" t="s">
        <v>376</v>
      </c>
      <c r="H259" t="s">
        <v>552</v>
      </c>
      <c r="I259" t="s">
        <v>552</v>
      </c>
      <c r="K259">
        <v>30</v>
      </c>
      <c r="L259">
        <v>30</v>
      </c>
      <c r="O259">
        <v>1</v>
      </c>
      <c r="P259">
        <v>17469</v>
      </c>
      <c r="Q259">
        <v>17673</v>
      </c>
      <c r="R259">
        <v>204</v>
      </c>
      <c r="S259">
        <v>4</v>
      </c>
      <c r="T259">
        <v>816</v>
      </c>
      <c r="W259">
        <v>1</v>
      </c>
      <c r="X259">
        <v>90000</v>
      </c>
      <c r="Y259">
        <v>90000</v>
      </c>
      <c r="Z259">
        <v>1</v>
      </c>
      <c r="AA259">
        <v>30</v>
      </c>
      <c r="AB259">
        <v>30000</v>
      </c>
      <c r="AC259">
        <v>1</v>
      </c>
      <c r="AD259">
        <v>100000</v>
      </c>
      <c r="AE259">
        <v>100000</v>
      </c>
      <c r="AI259">
        <v>1</v>
      </c>
      <c r="AJ259">
        <v>100000</v>
      </c>
      <c r="AK259">
        <v>100000</v>
      </c>
      <c r="AM259">
        <v>60000</v>
      </c>
      <c r="AN259">
        <v>0</v>
      </c>
      <c r="AQ259">
        <v>0</v>
      </c>
      <c r="AU259" t="s">
        <v>1404</v>
      </c>
      <c r="AV259" t="s">
        <v>1405</v>
      </c>
      <c r="AX259" t="s">
        <v>1406</v>
      </c>
      <c r="AY259" t="s">
        <v>383</v>
      </c>
      <c r="AZ259">
        <v>0</v>
      </c>
    </row>
    <row r="260" spans="1:55">
      <c r="A260" t="s">
        <v>1407</v>
      </c>
      <c r="B260" t="s">
        <v>205</v>
      </c>
      <c r="C260">
        <v>504</v>
      </c>
      <c r="D260" t="s">
        <v>1296</v>
      </c>
      <c r="E260">
        <v>1</v>
      </c>
      <c r="F260" t="s">
        <v>376</v>
      </c>
      <c r="G260" t="s">
        <v>376</v>
      </c>
      <c r="H260" t="s">
        <v>376</v>
      </c>
      <c r="I260" t="s">
        <v>376</v>
      </c>
      <c r="J260" t="s">
        <v>376</v>
      </c>
      <c r="K260">
        <v>30</v>
      </c>
      <c r="L260">
        <v>30</v>
      </c>
      <c r="O260">
        <v>2</v>
      </c>
      <c r="P260">
        <v>12733</v>
      </c>
      <c r="Q260">
        <v>12733</v>
      </c>
      <c r="R260">
        <v>0</v>
      </c>
      <c r="S260">
        <v>4</v>
      </c>
      <c r="T260">
        <v>0</v>
      </c>
      <c r="W260">
        <v>2</v>
      </c>
      <c r="X260">
        <v>90000</v>
      </c>
      <c r="Y260">
        <v>180000</v>
      </c>
      <c r="Z260">
        <v>2</v>
      </c>
      <c r="AA260">
        <v>30</v>
      </c>
      <c r="AB260">
        <v>60000</v>
      </c>
      <c r="AC260">
        <v>1</v>
      </c>
      <c r="AD260">
        <v>100000</v>
      </c>
      <c r="AE260">
        <v>100000</v>
      </c>
      <c r="AJ260">
        <v>120000</v>
      </c>
      <c r="AK260">
        <v>0</v>
      </c>
      <c r="AL260">
        <v>2</v>
      </c>
      <c r="AM260">
        <v>60000</v>
      </c>
      <c r="AN260">
        <v>120</v>
      </c>
      <c r="AQ260">
        <v>0</v>
      </c>
      <c r="AU260">
        <v>460</v>
      </c>
      <c r="AV260" t="s">
        <v>1408</v>
      </c>
      <c r="AW260" t="s">
        <v>1409</v>
      </c>
      <c r="AX260" t="s">
        <v>1410</v>
      </c>
      <c r="AY260" t="s">
        <v>383</v>
      </c>
      <c r="AZ260">
        <v>0</v>
      </c>
      <c r="BA260" s="1">
        <v>46031</v>
      </c>
      <c r="BB260" t="s">
        <v>474</v>
      </c>
      <c r="BC260" t="s">
        <v>475</v>
      </c>
    </row>
    <row r="261" spans="1:55">
      <c r="A261" t="s">
        <v>1411</v>
      </c>
      <c r="B261" t="s">
        <v>205</v>
      </c>
      <c r="C261">
        <v>505</v>
      </c>
      <c r="D261" t="s">
        <v>1296</v>
      </c>
      <c r="E261">
        <v>1</v>
      </c>
      <c r="F261" t="s">
        <v>409</v>
      </c>
      <c r="G261" t="s">
        <v>886</v>
      </c>
      <c r="H261" t="s">
        <v>409</v>
      </c>
      <c r="I261" t="s">
        <v>409</v>
      </c>
      <c r="J261">
        <v>400</v>
      </c>
      <c r="K261">
        <v>30</v>
      </c>
      <c r="L261">
        <v>30</v>
      </c>
      <c r="O261">
        <v>4</v>
      </c>
      <c r="P261">
        <v>27731</v>
      </c>
      <c r="Q261">
        <v>28166</v>
      </c>
      <c r="R261">
        <v>435</v>
      </c>
      <c r="S261">
        <v>4</v>
      </c>
      <c r="T261" t="s">
        <v>1412</v>
      </c>
      <c r="W261">
        <v>4</v>
      </c>
      <c r="X261">
        <v>120000</v>
      </c>
      <c r="Y261">
        <v>480000</v>
      </c>
      <c r="Z261">
        <v>4</v>
      </c>
      <c r="AA261">
        <v>30</v>
      </c>
      <c r="AB261">
        <v>120000</v>
      </c>
      <c r="AC261">
        <v>1</v>
      </c>
      <c r="AD261">
        <v>100000</v>
      </c>
      <c r="AE261">
        <v>100000</v>
      </c>
      <c r="AI261">
        <v>2</v>
      </c>
      <c r="AJ261">
        <v>120000</v>
      </c>
      <c r="AK261">
        <v>240000</v>
      </c>
      <c r="AL261">
        <v>4</v>
      </c>
      <c r="AM261">
        <v>60000</v>
      </c>
      <c r="AN261">
        <v>240</v>
      </c>
      <c r="AQ261">
        <v>0</v>
      </c>
      <c r="AU261" t="s">
        <v>1413</v>
      </c>
      <c r="AV261" t="s">
        <v>1414</v>
      </c>
      <c r="AX261" t="s">
        <v>1415</v>
      </c>
      <c r="AY261" t="s">
        <v>383</v>
      </c>
      <c r="AZ261">
        <v>0</v>
      </c>
    </row>
    <row r="262" spans="1:55">
      <c r="A262" t="s">
        <v>1416</v>
      </c>
      <c r="B262" t="s">
        <v>181</v>
      </c>
      <c r="C262">
        <v>101</v>
      </c>
      <c r="D262" t="s">
        <v>375</v>
      </c>
      <c r="E262">
        <v>1</v>
      </c>
      <c r="F262" t="s">
        <v>1417</v>
      </c>
      <c r="G262" t="s">
        <v>1418</v>
      </c>
      <c r="H262" t="s">
        <v>1417</v>
      </c>
      <c r="I262" t="s">
        <v>1417</v>
      </c>
      <c r="J262" t="s">
        <v>1417</v>
      </c>
      <c r="K262">
        <v>30</v>
      </c>
      <c r="L262">
        <v>30</v>
      </c>
      <c r="O262">
        <v>1</v>
      </c>
      <c r="P262">
        <v>5393</v>
      </c>
      <c r="Q262">
        <v>5393</v>
      </c>
      <c r="R262">
        <v>0</v>
      </c>
      <c r="S262">
        <v>4000</v>
      </c>
      <c r="T262">
        <v>0</v>
      </c>
      <c r="U262">
        <v>146</v>
      </c>
      <c r="V262">
        <v>146</v>
      </c>
      <c r="W262">
        <v>0</v>
      </c>
      <c r="X262">
        <v>35000</v>
      </c>
      <c r="Y262">
        <v>0</v>
      </c>
      <c r="AB262">
        <v>0</v>
      </c>
      <c r="AC262">
        <v>1</v>
      </c>
      <c r="AD262">
        <v>100000</v>
      </c>
      <c r="AE262">
        <v>100</v>
      </c>
      <c r="AK262">
        <v>0</v>
      </c>
      <c r="AL262">
        <v>1</v>
      </c>
      <c r="AM262">
        <v>90000</v>
      </c>
      <c r="AN262">
        <v>90</v>
      </c>
      <c r="AO262">
        <v>1</v>
      </c>
      <c r="AP262">
        <v>120000</v>
      </c>
      <c r="AQ262">
        <v>120000</v>
      </c>
      <c r="AU262">
        <v>310</v>
      </c>
      <c r="AV262" t="s">
        <v>1419</v>
      </c>
      <c r="AW262" t="s">
        <v>1420</v>
      </c>
      <c r="AX262" t="s">
        <v>750</v>
      </c>
      <c r="AY262" t="s">
        <v>522</v>
      </c>
      <c r="AZ262">
        <v>150</v>
      </c>
    </row>
    <row r="263" spans="1:55">
      <c r="A263" t="s">
        <v>1421</v>
      </c>
      <c r="B263" t="s">
        <v>181</v>
      </c>
      <c r="C263">
        <v>201</v>
      </c>
      <c r="D263" t="s">
        <v>375</v>
      </c>
      <c r="E263">
        <v>1</v>
      </c>
      <c r="F263" t="s">
        <v>1417</v>
      </c>
      <c r="G263" t="s">
        <v>1418</v>
      </c>
      <c r="H263" t="s">
        <v>1417</v>
      </c>
      <c r="I263" t="s">
        <v>1417</v>
      </c>
      <c r="J263" t="s">
        <v>1417</v>
      </c>
      <c r="K263">
        <v>30</v>
      </c>
      <c r="L263">
        <v>30</v>
      </c>
      <c r="O263">
        <v>1</v>
      </c>
      <c r="P263">
        <v>3881</v>
      </c>
      <c r="Q263">
        <v>3881</v>
      </c>
      <c r="R263">
        <v>0</v>
      </c>
      <c r="S263">
        <v>4000</v>
      </c>
      <c r="T263">
        <v>0</v>
      </c>
      <c r="U263">
        <v>70</v>
      </c>
      <c r="V263">
        <v>70</v>
      </c>
      <c r="W263">
        <v>0</v>
      </c>
      <c r="X263">
        <v>35000</v>
      </c>
      <c r="Y263">
        <v>0</v>
      </c>
      <c r="AB263">
        <v>0</v>
      </c>
      <c r="AC263">
        <v>1</v>
      </c>
      <c r="AD263">
        <v>100000</v>
      </c>
      <c r="AE263">
        <v>100</v>
      </c>
      <c r="AK263">
        <v>0</v>
      </c>
      <c r="AL263">
        <v>1</v>
      </c>
      <c r="AM263">
        <v>90000</v>
      </c>
      <c r="AN263">
        <v>90</v>
      </c>
      <c r="AO263">
        <v>1</v>
      </c>
      <c r="AP263">
        <v>120000</v>
      </c>
      <c r="AQ263">
        <v>120000</v>
      </c>
      <c r="AU263">
        <v>310</v>
      </c>
      <c r="AV263" t="s">
        <v>1419</v>
      </c>
      <c r="AW263" t="s">
        <v>596</v>
      </c>
      <c r="AX263" t="s">
        <v>1422</v>
      </c>
      <c r="AY263" t="s">
        <v>383</v>
      </c>
      <c r="AZ263">
        <v>0</v>
      </c>
    </row>
    <row r="264" spans="1:55">
      <c r="A264" t="s">
        <v>1423</v>
      </c>
      <c r="B264" t="s">
        <v>181</v>
      </c>
      <c r="C264">
        <v>202</v>
      </c>
      <c r="D264" t="s">
        <v>375</v>
      </c>
      <c r="E264">
        <v>1</v>
      </c>
      <c r="F264" t="s">
        <v>1417</v>
      </c>
      <c r="G264" t="s">
        <v>1418</v>
      </c>
      <c r="H264" t="s">
        <v>1417</v>
      </c>
      <c r="I264" t="s">
        <v>1417</v>
      </c>
      <c r="K264">
        <v>30</v>
      </c>
      <c r="L264">
        <v>30</v>
      </c>
      <c r="O264">
        <v>1</v>
      </c>
      <c r="P264">
        <v>3695</v>
      </c>
      <c r="Q264">
        <v>3758</v>
      </c>
      <c r="R264">
        <v>63</v>
      </c>
      <c r="S264">
        <v>4000</v>
      </c>
      <c r="T264">
        <v>252</v>
      </c>
      <c r="U264">
        <v>157</v>
      </c>
      <c r="V264">
        <v>159</v>
      </c>
      <c r="W264">
        <v>2</v>
      </c>
      <c r="X264">
        <v>35000</v>
      </c>
      <c r="Y264">
        <v>70</v>
      </c>
      <c r="AB264">
        <v>0</v>
      </c>
      <c r="AC264">
        <v>1</v>
      </c>
      <c r="AD264">
        <v>100000</v>
      </c>
      <c r="AE264">
        <v>100</v>
      </c>
      <c r="AK264">
        <v>0</v>
      </c>
      <c r="AL264">
        <v>1</v>
      </c>
      <c r="AM264">
        <v>130000</v>
      </c>
      <c r="AN264">
        <v>130</v>
      </c>
      <c r="AO264">
        <v>1</v>
      </c>
      <c r="AP264">
        <v>120000</v>
      </c>
      <c r="AQ264">
        <v>120000</v>
      </c>
      <c r="AU264">
        <v>672</v>
      </c>
      <c r="AV264" t="s">
        <v>818</v>
      </c>
      <c r="AX264" t="s">
        <v>819</v>
      </c>
      <c r="AY264" t="s">
        <v>383</v>
      </c>
      <c r="AZ264">
        <v>0</v>
      </c>
    </row>
    <row r="265" spans="1:55">
      <c r="A265" t="s">
        <v>1424</v>
      </c>
      <c r="B265" t="s">
        <v>181</v>
      </c>
      <c r="C265">
        <v>203</v>
      </c>
      <c r="D265" t="s">
        <v>375</v>
      </c>
      <c r="E265">
        <v>1</v>
      </c>
      <c r="F265" t="s">
        <v>447</v>
      </c>
      <c r="G265" t="s">
        <v>1425</v>
      </c>
      <c r="H265" t="s">
        <v>447</v>
      </c>
      <c r="I265" t="s">
        <v>447</v>
      </c>
      <c r="J265" t="s">
        <v>447</v>
      </c>
      <c r="K265">
        <v>30</v>
      </c>
      <c r="L265">
        <v>30</v>
      </c>
      <c r="O265">
        <v>1</v>
      </c>
      <c r="P265">
        <v>6397</v>
      </c>
      <c r="Q265">
        <v>6397</v>
      </c>
      <c r="R265">
        <v>0</v>
      </c>
      <c r="S265">
        <v>4000</v>
      </c>
      <c r="T265">
        <v>0</v>
      </c>
      <c r="U265">
        <v>138</v>
      </c>
      <c r="V265">
        <v>138</v>
      </c>
      <c r="W265">
        <v>0</v>
      </c>
      <c r="X265">
        <v>35000</v>
      </c>
      <c r="Y265">
        <v>0</v>
      </c>
      <c r="AB265">
        <v>0</v>
      </c>
      <c r="AC265">
        <v>1</v>
      </c>
      <c r="AD265">
        <v>100000</v>
      </c>
      <c r="AE265">
        <v>100</v>
      </c>
      <c r="AK265">
        <v>0</v>
      </c>
      <c r="AL265">
        <v>1</v>
      </c>
      <c r="AM265">
        <v>90000</v>
      </c>
      <c r="AN265">
        <v>90</v>
      </c>
      <c r="AO265">
        <v>1</v>
      </c>
      <c r="AP265">
        <v>120000</v>
      </c>
      <c r="AQ265">
        <v>120000</v>
      </c>
      <c r="AU265">
        <v>310</v>
      </c>
      <c r="AV265" t="s">
        <v>1426</v>
      </c>
      <c r="AW265" t="s">
        <v>1427</v>
      </c>
      <c r="AX265" t="s">
        <v>1428</v>
      </c>
      <c r="AY265" t="s">
        <v>383</v>
      </c>
      <c r="AZ265">
        <v>0</v>
      </c>
    </row>
    <row r="266" spans="1:55">
      <c r="A266" t="s">
        <v>1429</v>
      </c>
      <c r="B266" t="s">
        <v>181</v>
      </c>
      <c r="C266">
        <v>301</v>
      </c>
      <c r="D266" t="s">
        <v>375</v>
      </c>
      <c r="E266">
        <v>1</v>
      </c>
      <c r="F266" t="s">
        <v>1417</v>
      </c>
      <c r="G266" t="s">
        <v>1418</v>
      </c>
      <c r="H266" t="s">
        <v>1417</v>
      </c>
      <c r="I266" t="s">
        <v>1417</v>
      </c>
      <c r="K266">
        <v>30</v>
      </c>
      <c r="L266">
        <v>30</v>
      </c>
      <c r="O266">
        <v>1</v>
      </c>
      <c r="P266">
        <v>3512</v>
      </c>
      <c r="Q266">
        <v>3600</v>
      </c>
      <c r="R266">
        <v>88</v>
      </c>
      <c r="S266">
        <v>4000</v>
      </c>
      <c r="T266">
        <v>352</v>
      </c>
      <c r="U266">
        <v>108</v>
      </c>
      <c r="V266">
        <v>110</v>
      </c>
      <c r="W266">
        <v>2</v>
      </c>
      <c r="X266">
        <v>35000</v>
      </c>
      <c r="Y266">
        <v>70</v>
      </c>
      <c r="AB266">
        <v>0</v>
      </c>
      <c r="AC266">
        <v>1</v>
      </c>
      <c r="AD266">
        <v>100000</v>
      </c>
      <c r="AE266">
        <v>100</v>
      </c>
      <c r="AK266">
        <v>0</v>
      </c>
      <c r="AL266">
        <v>1</v>
      </c>
      <c r="AM266">
        <v>90000</v>
      </c>
      <c r="AN266">
        <v>90</v>
      </c>
      <c r="AO266">
        <v>1</v>
      </c>
      <c r="AP266">
        <v>120000</v>
      </c>
      <c r="AQ266">
        <v>120000</v>
      </c>
      <c r="AU266">
        <v>732</v>
      </c>
      <c r="AV266" t="s">
        <v>1430</v>
      </c>
      <c r="AX266" t="s">
        <v>1431</v>
      </c>
      <c r="AY266" t="s">
        <v>383</v>
      </c>
      <c r="AZ266">
        <v>0</v>
      </c>
    </row>
    <row r="267" spans="1:55">
      <c r="A267" t="s">
        <v>1432</v>
      </c>
      <c r="B267" t="s">
        <v>181</v>
      </c>
      <c r="C267">
        <v>302</v>
      </c>
      <c r="D267" t="s">
        <v>375</v>
      </c>
      <c r="E267">
        <v>1</v>
      </c>
      <c r="F267" t="s">
        <v>1417</v>
      </c>
      <c r="G267" t="s">
        <v>1418</v>
      </c>
      <c r="H267" t="s">
        <v>1417</v>
      </c>
      <c r="I267" t="s">
        <v>1417</v>
      </c>
      <c r="K267">
        <v>30</v>
      </c>
      <c r="L267">
        <v>30</v>
      </c>
      <c r="M267">
        <v>132.968</v>
      </c>
      <c r="O267">
        <v>1</v>
      </c>
      <c r="P267">
        <v>3860</v>
      </c>
      <c r="Q267">
        <v>3861</v>
      </c>
      <c r="R267">
        <v>1</v>
      </c>
      <c r="S267">
        <v>4000</v>
      </c>
      <c r="T267">
        <v>4</v>
      </c>
      <c r="U267">
        <v>173</v>
      </c>
      <c r="V267">
        <v>174</v>
      </c>
      <c r="W267">
        <v>1</v>
      </c>
      <c r="X267">
        <v>35000</v>
      </c>
      <c r="Y267">
        <v>35</v>
      </c>
      <c r="AB267">
        <v>0</v>
      </c>
      <c r="AC267">
        <v>1</v>
      </c>
      <c r="AD267">
        <v>100000</v>
      </c>
      <c r="AE267">
        <v>100</v>
      </c>
      <c r="AK267">
        <v>0</v>
      </c>
      <c r="AL267">
        <v>1</v>
      </c>
      <c r="AM267">
        <v>90000</v>
      </c>
      <c r="AN267">
        <v>90</v>
      </c>
      <c r="AO267">
        <v>1</v>
      </c>
      <c r="AP267">
        <v>120000</v>
      </c>
      <c r="AQ267">
        <v>120000</v>
      </c>
      <c r="AU267">
        <v>349</v>
      </c>
      <c r="AV267" t="s">
        <v>1433</v>
      </c>
      <c r="AW267" t="s">
        <v>697</v>
      </c>
      <c r="AX267" t="s">
        <v>1434</v>
      </c>
      <c r="AY267" t="s">
        <v>417</v>
      </c>
      <c r="AZ267">
        <v>-968</v>
      </c>
    </row>
    <row r="268" spans="1:55">
      <c r="A268" t="s">
        <v>1435</v>
      </c>
      <c r="B268" t="s">
        <v>181</v>
      </c>
      <c r="C268">
        <v>303</v>
      </c>
      <c r="D268" t="s">
        <v>375</v>
      </c>
      <c r="E268">
        <v>1</v>
      </c>
      <c r="F268" t="s">
        <v>1418</v>
      </c>
      <c r="G268" t="s">
        <v>1425</v>
      </c>
      <c r="H268" t="s">
        <v>1418</v>
      </c>
      <c r="I268" t="s">
        <v>1418</v>
      </c>
      <c r="J268" t="s">
        <v>1418</v>
      </c>
      <c r="K268">
        <v>30</v>
      </c>
      <c r="L268">
        <v>30</v>
      </c>
      <c r="O268">
        <v>1</v>
      </c>
      <c r="P268">
        <v>5394</v>
      </c>
      <c r="Q268">
        <v>5394</v>
      </c>
      <c r="R268">
        <v>0</v>
      </c>
      <c r="S268">
        <v>4000</v>
      </c>
      <c r="T268">
        <v>0</v>
      </c>
      <c r="U268">
        <v>135</v>
      </c>
      <c r="V268">
        <v>135</v>
      </c>
      <c r="W268">
        <v>0</v>
      </c>
      <c r="X268">
        <v>35000</v>
      </c>
      <c r="Y268">
        <v>0</v>
      </c>
      <c r="AB268">
        <v>0</v>
      </c>
      <c r="AC268">
        <v>1</v>
      </c>
      <c r="AD268">
        <v>100000</v>
      </c>
      <c r="AE268">
        <v>100</v>
      </c>
      <c r="AK268">
        <v>0</v>
      </c>
      <c r="AL268">
        <v>1</v>
      </c>
      <c r="AM268">
        <v>90000</v>
      </c>
      <c r="AN268">
        <v>90</v>
      </c>
      <c r="AO268">
        <v>1</v>
      </c>
      <c r="AP268">
        <v>120000</v>
      </c>
      <c r="AQ268">
        <v>120000</v>
      </c>
      <c r="AU268">
        <v>310</v>
      </c>
      <c r="AV268" t="s">
        <v>1436</v>
      </c>
      <c r="AW268" t="s">
        <v>714</v>
      </c>
      <c r="AX268" t="s">
        <v>1437</v>
      </c>
      <c r="AY268" t="s">
        <v>383</v>
      </c>
      <c r="AZ268">
        <v>0</v>
      </c>
    </row>
    <row r="269" spans="1:55">
      <c r="A269" t="s">
        <v>1438</v>
      </c>
      <c r="B269" t="s">
        <v>181</v>
      </c>
      <c r="C269">
        <v>401</v>
      </c>
      <c r="D269" t="s">
        <v>375</v>
      </c>
      <c r="E269">
        <v>1</v>
      </c>
      <c r="F269" t="s">
        <v>1417</v>
      </c>
      <c r="G269" t="s">
        <v>1418</v>
      </c>
      <c r="H269" t="s">
        <v>1417</v>
      </c>
      <c r="I269" t="s">
        <v>1417</v>
      </c>
      <c r="K269">
        <v>30</v>
      </c>
      <c r="L269">
        <v>30</v>
      </c>
      <c r="O269">
        <v>1</v>
      </c>
      <c r="P269">
        <v>1515</v>
      </c>
      <c r="Q269">
        <v>1559</v>
      </c>
      <c r="R269">
        <v>44</v>
      </c>
      <c r="S269">
        <v>4000</v>
      </c>
      <c r="T269">
        <v>176</v>
      </c>
      <c r="U269">
        <v>98</v>
      </c>
      <c r="V269">
        <v>98</v>
      </c>
      <c r="W269">
        <v>0</v>
      </c>
      <c r="X269">
        <v>35000</v>
      </c>
      <c r="Y269">
        <v>0</v>
      </c>
      <c r="AB269">
        <v>0</v>
      </c>
      <c r="AC269">
        <v>1</v>
      </c>
      <c r="AD269">
        <v>100000</v>
      </c>
      <c r="AE269">
        <v>100</v>
      </c>
      <c r="AK269">
        <v>0</v>
      </c>
      <c r="AL269">
        <v>1</v>
      </c>
      <c r="AM269">
        <v>90000</v>
      </c>
      <c r="AN269">
        <v>90</v>
      </c>
      <c r="AO269">
        <v>1</v>
      </c>
      <c r="AP269">
        <v>120000</v>
      </c>
      <c r="AQ269">
        <v>120000</v>
      </c>
      <c r="AU269">
        <v>486</v>
      </c>
      <c r="AV269" t="s">
        <v>1439</v>
      </c>
      <c r="AX269" t="s">
        <v>1440</v>
      </c>
      <c r="AY269" t="s">
        <v>383</v>
      </c>
      <c r="AZ269">
        <v>0</v>
      </c>
    </row>
    <row r="270" spans="1:55">
      <c r="A270" t="s">
        <v>1441</v>
      </c>
      <c r="B270" t="s">
        <v>181</v>
      </c>
      <c r="C270">
        <v>402</v>
      </c>
      <c r="D270" t="s">
        <v>375</v>
      </c>
      <c r="E270">
        <v>1</v>
      </c>
      <c r="F270" t="s">
        <v>1417</v>
      </c>
      <c r="G270" t="s">
        <v>1418</v>
      </c>
      <c r="H270" t="s">
        <v>1417</v>
      </c>
      <c r="I270" t="s">
        <v>1417</v>
      </c>
      <c r="K270">
        <v>30</v>
      </c>
      <c r="L270">
        <v>30</v>
      </c>
      <c r="M270">
        <v>100</v>
      </c>
      <c r="O270">
        <v>1</v>
      </c>
      <c r="P270">
        <v>4167</v>
      </c>
      <c r="Q270">
        <v>4472</v>
      </c>
      <c r="R270">
        <v>305</v>
      </c>
      <c r="S270">
        <v>4000</v>
      </c>
      <c r="T270" t="s">
        <v>1442</v>
      </c>
      <c r="U270">
        <v>124</v>
      </c>
      <c r="V270">
        <v>126</v>
      </c>
      <c r="W270">
        <v>2</v>
      </c>
      <c r="X270">
        <v>35000</v>
      </c>
      <c r="Y270">
        <v>70</v>
      </c>
      <c r="AB270">
        <v>0</v>
      </c>
      <c r="AC270">
        <v>1</v>
      </c>
      <c r="AD270">
        <v>100000</v>
      </c>
      <c r="AE270">
        <v>100</v>
      </c>
      <c r="AK270">
        <v>0</v>
      </c>
      <c r="AL270">
        <v>1</v>
      </c>
      <c r="AM270">
        <v>90000</v>
      </c>
      <c r="AN270">
        <v>90</v>
      </c>
      <c r="AO270">
        <v>1</v>
      </c>
      <c r="AP270">
        <v>120000</v>
      </c>
      <c r="AQ270">
        <v>120000</v>
      </c>
      <c r="AU270" t="s">
        <v>1443</v>
      </c>
      <c r="AV270" t="s">
        <v>1444</v>
      </c>
      <c r="AW270" t="s">
        <v>1445</v>
      </c>
      <c r="AX270" t="s">
        <v>1446</v>
      </c>
      <c r="AY270" t="s">
        <v>383</v>
      </c>
      <c r="AZ270">
        <v>0</v>
      </c>
    </row>
    <row r="271" spans="1:55">
      <c r="A271" t="s">
        <v>1447</v>
      </c>
      <c r="B271" t="s">
        <v>181</v>
      </c>
      <c r="C271">
        <v>403</v>
      </c>
      <c r="D271" t="s">
        <v>375</v>
      </c>
      <c r="E271">
        <v>1</v>
      </c>
      <c r="F271" t="s">
        <v>1418</v>
      </c>
      <c r="G271" t="s">
        <v>1425</v>
      </c>
      <c r="H271" t="s">
        <v>1418</v>
      </c>
      <c r="I271" t="s">
        <v>1418</v>
      </c>
      <c r="J271" t="s">
        <v>1418</v>
      </c>
      <c r="K271">
        <v>30</v>
      </c>
      <c r="L271">
        <v>30</v>
      </c>
      <c r="O271">
        <v>1</v>
      </c>
      <c r="P271">
        <v>4931</v>
      </c>
      <c r="Q271">
        <v>4931</v>
      </c>
      <c r="R271">
        <v>0</v>
      </c>
      <c r="S271">
        <v>4000</v>
      </c>
      <c r="T271">
        <v>0</v>
      </c>
      <c r="U271">
        <v>114</v>
      </c>
      <c r="V271">
        <v>114</v>
      </c>
      <c r="W271">
        <v>0</v>
      </c>
      <c r="X271">
        <v>35000</v>
      </c>
      <c r="Y271">
        <v>0</v>
      </c>
      <c r="AB271">
        <v>0</v>
      </c>
      <c r="AC271">
        <v>1</v>
      </c>
      <c r="AD271">
        <v>100000</v>
      </c>
      <c r="AE271">
        <v>100</v>
      </c>
      <c r="AK271">
        <v>0</v>
      </c>
      <c r="AL271">
        <v>1</v>
      </c>
      <c r="AM271">
        <v>90000</v>
      </c>
      <c r="AN271">
        <v>90</v>
      </c>
      <c r="AO271">
        <v>1</v>
      </c>
      <c r="AP271">
        <v>120000</v>
      </c>
      <c r="AQ271">
        <v>120000</v>
      </c>
      <c r="AU271">
        <v>310</v>
      </c>
      <c r="AV271" t="s">
        <v>1436</v>
      </c>
      <c r="AW271" t="s">
        <v>1448</v>
      </c>
      <c r="AX271" t="s">
        <v>1449</v>
      </c>
      <c r="AY271" t="s">
        <v>383</v>
      </c>
      <c r="AZ271">
        <v>0</v>
      </c>
    </row>
    <row r="272" spans="1:55">
      <c r="A272" t="s">
        <v>1450</v>
      </c>
      <c r="B272" t="s">
        <v>181</v>
      </c>
      <c r="C272">
        <v>501</v>
      </c>
      <c r="D272" t="s">
        <v>375</v>
      </c>
      <c r="E272">
        <v>1</v>
      </c>
      <c r="F272" t="s">
        <v>1417</v>
      </c>
      <c r="G272" t="s">
        <v>1417</v>
      </c>
      <c r="H272" t="s">
        <v>1417</v>
      </c>
      <c r="I272" t="s">
        <v>1417</v>
      </c>
      <c r="K272">
        <v>30</v>
      </c>
      <c r="L272">
        <v>30</v>
      </c>
      <c r="M272">
        <v>100</v>
      </c>
      <c r="O272">
        <v>1</v>
      </c>
      <c r="P272">
        <v>3638</v>
      </c>
      <c r="Q272">
        <v>3875</v>
      </c>
      <c r="R272">
        <v>237</v>
      </c>
      <c r="S272">
        <v>4000</v>
      </c>
      <c r="T272">
        <v>948</v>
      </c>
      <c r="U272">
        <v>60</v>
      </c>
      <c r="V272">
        <v>66</v>
      </c>
      <c r="W272">
        <v>6</v>
      </c>
      <c r="X272">
        <v>35000</v>
      </c>
      <c r="Y272">
        <v>210</v>
      </c>
      <c r="AB272">
        <v>0</v>
      </c>
      <c r="AC272">
        <v>1</v>
      </c>
      <c r="AD272">
        <v>100000</v>
      </c>
      <c r="AE272">
        <v>100</v>
      </c>
      <c r="AK272">
        <v>0</v>
      </c>
      <c r="AL272">
        <v>1</v>
      </c>
      <c r="AM272">
        <v>90000</v>
      </c>
      <c r="AN272">
        <v>90</v>
      </c>
      <c r="AO272">
        <v>1</v>
      </c>
      <c r="AP272">
        <v>120000</v>
      </c>
      <c r="AQ272">
        <v>120000</v>
      </c>
      <c r="AU272" t="s">
        <v>1451</v>
      </c>
      <c r="AV272" t="s">
        <v>1452</v>
      </c>
      <c r="AW272" t="s">
        <v>1445</v>
      </c>
      <c r="AX272" t="s">
        <v>1453</v>
      </c>
      <c r="AY272" t="s">
        <v>383</v>
      </c>
      <c r="AZ272">
        <v>0</v>
      </c>
    </row>
    <row r="273" spans="1:55">
      <c r="A273" t="s">
        <v>1454</v>
      </c>
      <c r="B273" t="s">
        <v>181</v>
      </c>
      <c r="C273">
        <v>502</v>
      </c>
      <c r="D273" t="s">
        <v>375</v>
      </c>
      <c r="E273">
        <v>1</v>
      </c>
      <c r="F273" t="s">
        <v>1417</v>
      </c>
      <c r="G273" t="s">
        <v>1417</v>
      </c>
      <c r="H273" t="s">
        <v>1417</v>
      </c>
      <c r="I273" t="s">
        <v>1417</v>
      </c>
      <c r="K273">
        <v>30</v>
      </c>
      <c r="L273">
        <v>30</v>
      </c>
      <c r="O273">
        <v>2</v>
      </c>
      <c r="P273">
        <v>4461</v>
      </c>
      <c r="Q273">
        <v>4622</v>
      </c>
      <c r="R273">
        <v>161</v>
      </c>
      <c r="S273">
        <v>4000</v>
      </c>
      <c r="T273">
        <v>644</v>
      </c>
      <c r="U273">
        <v>79</v>
      </c>
      <c r="V273">
        <v>80</v>
      </c>
      <c r="W273">
        <v>1</v>
      </c>
      <c r="X273">
        <v>35000</v>
      </c>
      <c r="Y273">
        <v>35</v>
      </c>
      <c r="AB273">
        <v>0</v>
      </c>
      <c r="AC273">
        <v>1</v>
      </c>
      <c r="AD273">
        <v>100000</v>
      </c>
      <c r="AE273">
        <v>100</v>
      </c>
      <c r="AK273">
        <v>0</v>
      </c>
      <c r="AL273">
        <v>2</v>
      </c>
      <c r="AM273">
        <v>90000</v>
      </c>
      <c r="AN273">
        <v>180</v>
      </c>
      <c r="AO273">
        <v>2</v>
      </c>
      <c r="AP273">
        <v>120000</v>
      </c>
      <c r="AQ273">
        <v>240000</v>
      </c>
      <c r="AU273" t="s">
        <v>1455</v>
      </c>
      <c r="AV273" t="s">
        <v>1456</v>
      </c>
      <c r="AX273" t="s">
        <v>1457</v>
      </c>
      <c r="AY273" t="s">
        <v>383</v>
      </c>
      <c r="AZ273">
        <v>0</v>
      </c>
    </row>
    <row r="274" spans="1:55">
      <c r="A274" t="s">
        <v>1458</v>
      </c>
      <c r="B274" t="s">
        <v>181</v>
      </c>
      <c r="C274">
        <v>503</v>
      </c>
      <c r="D274" t="s">
        <v>375</v>
      </c>
      <c r="E274">
        <v>1</v>
      </c>
      <c r="F274" t="s">
        <v>1418</v>
      </c>
      <c r="G274" t="s">
        <v>1425</v>
      </c>
      <c r="H274" t="s">
        <v>1418</v>
      </c>
      <c r="I274" t="s">
        <v>1418</v>
      </c>
      <c r="J274" t="s">
        <v>1418</v>
      </c>
      <c r="K274">
        <v>30</v>
      </c>
      <c r="L274">
        <v>30</v>
      </c>
      <c r="O274">
        <v>1</v>
      </c>
      <c r="P274">
        <v>6786</v>
      </c>
      <c r="Q274">
        <v>6786</v>
      </c>
      <c r="R274">
        <v>0</v>
      </c>
      <c r="S274">
        <v>4000</v>
      </c>
      <c r="T274">
        <v>0</v>
      </c>
      <c r="U274">
        <v>114</v>
      </c>
      <c r="V274">
        <v>114</v>
      </c>
      <c r="W274">
        <v>0</v>
      </c>
      <c r="X274">
        <v>35000</v>
      </c>
      <c r="Y274">
        <v>0</v>
      </c>
      <c r="AB274">
        <v>0</v>
      </c>
      <c r="AC274">
        <v>1</v>
      </c>
      <c r="AD274">
        <v>100000</v>
      </c>
      <c r="AE274">
        <v>100</v>
      </c>
      <c r="AK274">
        <v>0</v>
      </c>
      <c r="AL274">
        <v>1</v>
      </c>
      <c r="AM274">
        <v>90000</v>
      </c>
      <c r="AN274">
        <v>90</v>
      </c>
      <c r="AO274">
        <v>1</v>
      </c>
      <c r="AP274">
        <v>120000</v>
      </c>
      <c r="AQ274">
        <v>120000</v>
      </c>
      <c r="AU274">
        <v>310</v>
      </c>
      <c r="AV274" t="s">
        <v>1436</v>
      </c>
      <c r="AW274" t="s">
        <v>1459</v>
      </c>
      <c r="AX274" t="s">
        <v>1437</v>
      </c>
      <c r="AY274" t="s">
        <v>383</v>
      </c>
      <c r="AZ274">
        <v>0</v>
      </c>
    </row>
    <row r="275" spans="1:55">
      <c r="A275" t="s">
        <v>1460</v>
      </c>
      <c r="B275" t="s">
        <v>181</v>
      </c>
      <c r="C275">
        <v>601</v>
      </c>
      <c r="D275" t="s">
        <v>375</v>
      </c>
      <c r="E275">
        <v>1</v>
      </c>
      <c r="F275" t="s">
        <v>1461</v>
      </c>
      <c r="G275" t="s">
        <v>1417</v>
      </c>
      <c r="H275" t="s">
        <v>1461</v>
      </c>
      <c r="I275" t="s">
        <v>1461</v>
      </c>
      <c r="J275" t="s">
        <v>1461</v>
      </c>
      <c r="K275">
        <v>30</v>
      </c>
      <c r="L275">
        <v>30</v>
      </c>
      <c r="O275">
        <v>1</v>
      </c>
      <c r="P275">
        <v>4048</v>
      </c>
      <c r="Q275">
        <v>4048</v>
      </c>
      <c r="R275">
        <v>0</v>
      </c>
      <c r="S275">
        <v>3800</v>
      </c>
      <c r="T275">
        <v>0</v>
      </c>
      <c r="U275">
        <v>74</v>
      </c>
      <c r="V275">
        <v>74</v>
      </c>
      <c r="W275">
        <v>0</v>
      </c>
      <c r="X275">
        <v>35000</v>
      </c>
      <c r="Y275">
        <v>0</v>
      </c>
      <c r="AB275">
        <v>0</v>
      </c>
      <c r="AC275">
        <v>1</v>
      </c>
      <c r="AD275">
        <v>100000</v>
      </c>
      <c r="AE275">
        <v>100</v>
      </c>
      <c r="AK275">
        <v>0</v>
      </c>
      <c r="AL275">
        <v>1</v>
      </c>
      <c r="AM275">
        <v>90000</v>
      </c>
      <c r="AN275">
        <v>90</v>
      </c>
      <c r="AO275">
        <v>1</v>
      </c>
      <c r="AP275">
        <v>120000</v>
      </c>
      <c r="AQ275">
        <v>120000</v>
      </c>
      <c r="AU275">
        <v>310</v>
      </c>
      <c r="AV275" t="s">
        <v>1462</v>
      </c>
      <c r="AW275" t="s">
        <v>1463</v>
      </c>
      <c r="AX275" t="s">
        <v>1464</v>
      </c>
      <c r="AY275" t="s">
        <v>417</v>
      </c>
      <c r="AZ275">
        <v>-710</v>
      </c>
    </row>
    <row r="276" spans="1:55">
      <c r="A276" t="s">
        <v>1465</v>
      </c>
      <c r="B276" t="s">
        <v>181</v>
      </c>
      <c r="C276">
        <v>602</v>
      </c>
      <c r="D276" t="s">
        <v>375</v>
      </c>
      <c r="E276">
        <v>1</v>
      </c>
      <c r="F276" t="s">
        <v>1461</v>
      </c>
      <c r="G276" t="s">
        <v>1417</v>
      </c>
      <c r="H276" t="s">
        <v>1461</v>
      </c>
      <c r="I276" t="s">
        <v>1461</v>
      </c>
      <c r="K276">
        <v>30</v>
      </c>
      <c r="L276">
        <v>30</v>
      </c>
      <c r="O276">
        <v>1</v>
      </c>
      <c r="P276">
        <v>4937</v>
      </c>
      <c r="Q276">
        <v>5089</v>
      </c>
      <c r="R276">
        <v>152</v>
      </c>
      <c r="S276">
        <v>4000</v>
      </c>
      <c r="T276">
        <v>608</v>
      </c>
      <c r="U276">
        <v>106</v>
      </c>
      <c r="V276">
        <v>108</v>
      </c>
      <c r="W276">
        <v>2</v>
      </c>
      <c r="X276">
        <v>35000</v>
      </c>
      <c r="Y276">
        <v>70</v>
      </c>
      <c r="Z276">
        <v>1</v>
      </c>
      <c r="AA276">
        <v>60000</v>
      </c>
      <c r="AB276">
        <v>60</v>
      </c>
      <c r="AD276">
        <v>100000</v>
      </c>
      <c r="AE276">
        <v>0</v>
      </c>
      <c r="AK276">
        <v>0</v>
      </c>
      <c r="AL276">
        <v>1</v>
      </c>
      <c r="AM276">
        <v>150000</v>
      </c>
      <c r="AN276">
        <v>150</v>
      </c>
      <c r="AQ276">
        <v>0</v>
      </c>
      <c r="AU276">
        <v>888</v>
      </c>
      <c r="AV276" t="s">
        <v>442</v>
      </c>
      <c r="AX276" t="s">
        <v>1466</v>
      </c>
      <c r="AY276" t="s">
        <v>417</v>
      </c>
      <c r="AZ276">
        <v>-22</v>
      </c>
    </row>
    <row r="277" spans="1:55">
      <c r="A277" t="s">
        <v>1467</v>
      </c>
      <c r="B277" t="s">
        <v>206</v>
      </c>
      <c r="C277" t="s">
        <v>1467</v>
      </c>
      <c r="D277" t="s">
        <v>1468</v>
      </c>
      <c r="E277">
        <v>1</v>
      </c>
      <c r="F277" t="s">
        <v>1025</v>
      </c>
      <c r="G277" t="s">
        <v>395</v>
      </c>
      <c r="H277" t="s">
        <v>1025</v>
      </c>
      <c r="I277" t="s">
        <v>1025</v>
      </c>
      <c r="K277">
        <v>30</v>
      </c>
      <c r="L277">
        <v>30</v>
      </c>
      <c r="O277">
        <v>2</v>
      </c>
      <c r="P277">
        <v>8236</v>
      </c>
      <c r="Q277">
        <v>8507</v>
      </c>
      <c r="R277">
        <v>271</v>
      </c>
      <c r="S277">
        <v>4000</v>
      </c>
      <c r="T277" t="s">
        <v>1283</v>
      </c>
      <c r="W277">
        <v>2</v>
      </c>
      <c r="X277">
        <v>120000</v>
      </c>
      <c r="Y277">
        <v>240000</v>
      </c>
      <c r="AB277">
        <v>0</v>
      </c>
      <c r="AC277">
        <v>1</v>
      </c>
      <c r="AD277">
        <v>100000</v>
      </c>
      <c r="AE277">
        <v>100000</v>
      </c>
      <c r="AF277">
        <v>2</v>
      </c>
      <c r="AG277">
        <v>50000</v>
      </c>
      <c r="AH277">
        <v>100000</v>
      </c>
      <c r="AN277">
        <v>0</v>
      </c>
      <c r="AO277">
        <v>2</v>
      </c>
      <c r="AP277">
        <v>120000</v>
      </c>
      <c r="AQ277">
        <v>240000</v>
      </c>
      <c r="AU277" t="s">
        <v>1469</v>
      </c>
      <c r="AV277" t="s">
        <v>1470</v>
      </c>
      <c r="AX277" t="s">
        <v>1471</v>
      </c>
      <c r="AY277" t="s">
        <v>383</v>
      </c>
      <c r="AZ277" t="s">
        <v>1472</v>
      </c>
    </row>
    <row r="278" spans="1:55">
      <c r="A278" t="s">
        <v>1473</v>
      </c>
      <c r="B278" t="s">
        <v>206</v>
      </c>
      <c r="C278" t="s">
        <v>1473</v>
      </c>
      <c r="D278" t="s">
        <v>1468</v>
      </c>
      <c r="E278">
        <v>1</v>
      </c>
      <c r="F278" t="s">
        <v>277</v>
      </c>
      <c r="G278" t="s">
        <v>395</v>
      </c>
      <c r="H278" t="s">
        <v>277</v>
      </c>
      <c r="I278" t="s">
        <v>277</v>
      </c>
      <c r="J278" t="s">
        <v>277</v>
      </c>
      <c r="K278">
        <v>30</v>
      </c>
      <c r="L278">
        <v>30</v>
      </c>
      <c r="O278">
        <v>1</v>
      </c>
      <c r="P278">
        <v>6003</v>
      </c>
      <c r="Q278">
        <v>6003</v>
      </c>
      <c r="R278">
        <v>0</v>
      </c>
      <c r="S278">
        <v>4000</v>
      </c>
      <c r="T278">
        <v>0</v>
      </c>
      <c r="W278">
        <v>1</v>
      </c>
      <c r="X278">
        <v>120000</v>
      </c>
      <c r="Y278">
        <v>120000</v>
      </c>
      <c r="AB278">
        <v>0</v>
      </c>
      <c r="AD278">
        <v>100000</v>
      </c>
      <c r="AE278">
        <v>0</v>
      </c>
      <c r="AF278">
        <v>1</v>
      </c>
      <c r="AG278">
        <v>50000</v>
      </c>
      <c r="AH278">
        <v>50000</v>
      </c>
      <c r="AN278">
        <v>0</v>
      </c>
      <c r="AO278">
        <v>1</v>
      </c>
      <c r="AP278">
        <v>120000</v>
      </c>
      <c r="AQ278">
        <v>120000</v>
      </c>
      <c r="AU278">
        <v>290</v>
      </c>
      <c r="AV278" t="s">
        <v>1474</v>
      </c>
      <c r="AW278" t="s">
        <v>1475</v>
      </c>
      <c r="AX278" t="s">
        <v>1476</v>
      </c>
      <c r="AY278" t="s">
        <v>383</v>
      </c>
      <c r="AZ278">
        <v>0</v>
      </c>
      <c r="BA278" s="1">
        <v>46031</v>
      </c>
      <c r="BB278" t="s">
        <v>474</v>
      </c>
      <c r="BC278" t="s">
        <v>475</v>
      </c>
    </row>
    <row r="279" spans="1:55">
      <c r="A279" t="s">
        <v>1477</v>
      </c>
      <c r="B279" t="s">
        <v>206</v>
      </c>
      <c r="C279" t="s">
        <v>1477</v>
      </c>
      <c r="D279" t="s">
        <v>1468</v>
      </c>
      <c r="E279">
        <v>1</v>
      </c>
      <c r="F279" t="s">
        <v>277</v>
      </c>
      <c r="G279" t="s">
        <v>395</v>
      </c>
      <c r="H279" t="s">
        <v>277</v>
      </c>
      <c r="I279" t="s">
        <v>277</v>
      </c>
      <c r="J279" t="s">
        <v>277</v>
      </c>
      <c r="K279">
        <v>30</v>
      </c>
      <c r="L279">
        <v>30</v>
      </c>
      <c r="O279">
        <v>2</v>
      </c>
      <c r="P279">
        <v>5996</v>
      </c>
      <c r="Q279">
        <v>5996</v>
      </c>
      <c r="R279">
        <v>0</v>
      </c>
      <c r="S279">
        <v>4000</v>
      </c>
      <c r="T279">
        <v>0</v>
      </c>
      <c r="W279">
        <v>2</v>
      </c>
      <c r="X279">
        <v>120000</v>
      </c>
      <c r="Y279">
        <v>240000</v>
      </c>
      <c r="AB279">
        <v>0</v>
      </c>
      <c r="AC279">
        <v>1</v>
      </c>
      <c r="AD279">
        <v>100000</v>
      </c>
      <c r="AE279">
        <v>100000</v>
      </c>
      <c r="AF279">
        <v>2</v>
      </c>
      <c r="AG279">
        <v>50000</v>
      </c>
      <c r="AH279">
        <v>100000</v>
      </c>
      <c r="AN279">
        <v>0</v>
      </c>
      <c r="AO279">
        <v>2</v>
      </c>
      <c r="AP279">
        <v>120000</v>
      </c>
      <c r="AQ279">
        <v>240000</v>
      </c>
      <c r="AU279">
        <v>680</v>
      </c>
      <c r="AV279" t="s">
        <v>1478</v>
      </c>
      <c r="AW279" t="s">
        <v>1479</v>
      </c>
      <c r="AX279" t="s">
        <v>1480</v>
      </c>
      <c r="AY279" t="s">
        <v>383</v>
      </c>
      <c r="AZ279">
        <v>0</v>
      </c>
      <c r="BA279" s="1">
        <v>46031</v>
      </c>
      <c r="BB279" t="s">
        <v>474</v>
      </c>
      <c r="BC279" t="s">
        <v>475</v>
      </c>
    </row>
    <row r="280" spans="1:55">
      <c r="A280" t="s">
        <v>1481</v>
      </c>
      <c r="B280" t="s">
        <v>206</v>
      </c>
      <c r="C280" t="s">
        <v>1481</v>
      </c>
      <c r="D280" t="s">
        <v>1468</v>
      </c>
      <c r="E280">
        <v>1</v>
      </c>
      <c r="F280" t="s">
        <v>445</v>
      </c>
      <c r="G280" t="s">
        <v>395</v>
      </c>
      <c r="H280" t="s">
        <v>445</v>
      </c>
      <c r="I280" t="s">
        <v>445</v>
      </c>
      <c r="J280" t="s">
        <v>445</v>
      </c>
      <c r="K280">
        <v>30</v>
      </c>
      <c r="L280">
        <v>30</v>
      </c>
      <c r="O280">
        <v>1</v>
      </c>
      <c r="P280">
        <v>8532</v>
      </c>
      <c r="Q280">
        <v>8532</v>
      </c>
      <c r="R280">
        <v>0</v>
      </c>
      <c r="S280">
        <v>4000</v>
      </c>
      <c r="T280">
        <v>0</v>
      </c>
      <c r="W280">
        <v>1</v>
      </c>
      <c r="X280">
        <v>120000</v>
      </c>
      <c r="Y280">
        <v>120000</v>
      </c>
      <c r="AB280">
        <v>0</v>
      </c>
      <c r="AC280">
        <v>1</v>
      </c>
      <c r="AD280">
        <v>100000</v>
      </c>
      <c r="AE280">
        <v>100000</v>
      </c>
      <c r="AF280">
        <v>1</v>
      </c>
      <c r="AG280">
        <v>50000</v>
      </c>
      <c r="AH280">
        <v>50000</v>
      </c>
      <c r="AL280">
        <v>0</v>
      </c>
      <c r="AN280">
        <v>0</v>
      </c>
      <c r="AO280">
        <v>1</v>
      </c>
      <c r="AP280">
        <v>120000</v>
      </c>
      <c r="AQ280">
        <v>120000</v>
      </c>
      <c r="AU280">
        <v>390</v>
      </c>
      <c r="AV280" t="s">
        <v>1482</v>
      </c>
      <c r="AW280" t="s">
        <v>1483</v>
      </c>
      <c r="AX280" t="s">
        <v>1484</v>
      </c>
      <c r="AY280" t="s">
        <v>383</v>
      </c>
      <c r="AZ280">
        <v>0</v>
      </c>
      <c r="BA280" s="1">
        <v>46031</v>
      </c>
      <c r="BB280" t="s">
        <v>474</v>
      </c>
      <c r="BC280" t="s">
        <v>475</v>
      </c>
    </row>
    <row r="281" spans="1:55">
      <c r="A281" t="s">
        <v>1485</v>
      </c>
      <c r="B281" t="s">
        <v>206</v>
      </c>
      <c r="C281" t="s">
        <v>1485</v>
      </c>
      <c r="D281" t="s">
        <v>1468</v>
      </c>
      <c r="E281">
        <v>1</v>
      </c>
      <c r="F281" t="s">
        <v>445</v>
      </c>
      <c r="G281" t="s">
        <v>395</v>
      </c>
      <c r="H281" t="s">
        <v>445</v>
      </c>
      <c r="I281" t="s">
        <v>445</v>
      </c>
      <c r="K281">
        <v>30</v>
      </c>
      <c r="L281">
        <v>30</v>
      </c>
      <c r="O281">
        <v>1</v>
      </c>
      <c r="P281">
        <v>10430</v>
      </c>
      <c r="Q281">
        <v>10753</v>
      </c>
      <c r="R281">
        <v>323</v>
      </c>
      <c r="S281">
        <v>4000</v>
      </c>
      <c r="T281" t="s">
        <v>624</v>
      </c>
      <c r="W281">
        <v>1</v>
      </c>
      <c r="X281">
        <v>100000</v>
      </c>
      <c r="Y281">
        <v>100000</v>
      </c>
      <c r="Z281">
        <v>1</v>
      </c>
      <c r="AA281">
        <v>30000</v>
      </c>
      <c r="AB281">
        <v>30000</v>
      </c>
      <c r="AD281">
        <v>100000</v>
      </c>
      <c r="AE281">
        <v>0</v>
      </c>
      <c r="AF281">
        <v>1</v>
      </c>
      <c r="AG281">
        <v>50000</v>
      </c>
      <c r="AH281">
        <v>50000</v>
      </c>
      <c r="AL281">
        <v>1</v>
      </c>
      <c r="AM281">
        <v>60000</v>
      </c>
      <c r="AN281">
        <v>60</v>
      </c>
      <c r="AQ281">
        <v>0</v>
      </c>
      <c r="AU281" t="s">
        <v>1486</v>
      </c>
      <c r="AV281" t="s">
        <v>1430</v>
      </c>
      <c r="AX281" t="s">
        <v>1431</v>
      </c>
      <c r="AY281" t="s">
        <v>383</v>
      </c>
      <c r="AZ281">
        <v>0</v>
      </c>
    </row>
    <row r="282" spans="1:55">
      <c r="A282" t="s">
        <v>1487</v>
      </c>
      <c r="B282" t="s">
        <v>206</v>
      </c>
      <c r="C282" t="s">
        <v>1487</v>
      </c>
      <c r="D282" t="s">
        <v>1468</v>
      </c>
      <c r="E282">
        <v>1</v>
      </c>
      <c r="F282" t="s">
        <v>498</v>
      </c>
      <c r="G282" t="s">
        <v>395</v>
      </c>
      <c r="H282" t="s">
        <v>498</v>
      </c>
      <c r="I282" t="s">
        <v>498</v>
      </c>
      <c r="K282">
        <v>30</v>
      </c>
      <c r="L282">
        <v>30</v>
      </c>
      <c r="O282">
        <v>1</v>
      </c>
      <c r="P282">
        <v>8403</v>
      </c>
      <c r="Q282">
        <v>8666</v>
      </c>
      <c r="R282">
        <v>263</v>
      </c>
      <c r="S282">
        <v>4000</v>
      </c>
      <c r="T282" t="s">
        <v>1488</v>
      </c>
      <c r="W282">
        <v>1</v>
      </c>
      <c r="X282">
        <v>120000</v>
      </c>
      <c r="Y282">
        <v>120000</v>
      </c>
      <c r="AB282">
        <v>0</v>
      </c>
      <c r="AD282">
        <v>100000</v>
      </c>
      <c r="AE282">
        <v>0</v>
      </c>
      <c r="AF282">
        <v>1</v>
      </c>
      <c r="AG282">
        <v>50000</v>
      </c>
      <c r="AH282">
        <v>50000</v>
      </c>
      <c r="AM282">
        <v>60000</v>
      </c>
      <c r="AN282">
        <v>0</v>
      </c>
      <c r="AO282">
        <v>1</v>
      </c>
      <c r="AP282">
        <v>120000</v>
      </c>
      <c r="AQ282">
        <v>120000</v>
      </c>
      <c r="AU282" t="s">
        <v>1489</v>
      </c>
      <c r="AV282" t="s">
        <v>1490</v>
      </c>
      <c r="AX282" t="s">
        <v>1491</v>
      </c>
      <c r="AY282" t="s">
        <v>383</v>
      </c>
      <c r="AZ282">
        <v>0</v>
      </c>
    </row>
    <row r="283" spans="1:55">
      <c r="A283" t="s">
        <v>1492</v>
      </c>
      <c r="B283" t="s">
        <v>206</v>
      </c>
      <c r="C283" t="s">
        <v>1492</v>
      </c>
      <c r="D283" t="s">
        <v>1468</v>
      </c>
      <c r="E283">
        <v>1</v>
      </c>
      <c r="F283" t="s">
        <v>445</v>
      </c>
      <c r="G283" t="s">
        <v>395</v>
      </c>
      <c r="H283" t="s">
        <v>445</v>
      </c>
      <c r="I283" t="s">
        <v>445</v>
      </c>
      <c r="K283">
        <v>30</v>
      </c>
      <c r="L283">
        <v>30</v>
      </c>
      <c r="O283">
        <v>1</v>
      </c>
      <c r="P283">
        <v>7250</v>
      </c>
      <c r="Q283">
        <v>7559</v>
      </c>
      <c r="R283">
        <v>309</v>
      </c>
      <c r="S283">
        <v>4000</v>
      </c>
      <c r="T283" t="s">
        <v>690</v>
      </c>
      <c r="W283">
        <v>1</v>
      </c>
      <c r="X283">
        <v>100000</v>
      </c>
      <c r="Y283">
        <v>100000</v>
      </c>
      <c r="Z283">
        <v>1</v>
      </c>
      <c r="AA283">
        <v>30000</v>
      </c>
      <c r="AB283">
        <v>30000</v>
      </c>
      <c r="AC283">
        <v>1</v>
      </c>
      <c r="AD283">
        <v>100000</v>
      </c>
      <c r="AE283">
        <v>100000</v>
      </c>
      <c r="AF283">
        <v>1</v>
      </c>
      <c r="AG283">
        <v>50000</v>
      </c>
      <c r="AH283">
        <v>50000</v>
      </c>
      <c r="AL283">
        <v>1</v>
      </c>
      <c r="AM283">
        <v>60000</v>
      </c>
      <c r="AN283">
        <v>60</v>
      </c>
      <c r="AU283" t="s">
        <v>1493</v>
      </c>
      <c r="AV283" t="s">
        <v>1494</v>
      </c>
      <c r="AX283" t="s">
        <v>1495</v>
      </c>
      <c r="AY283" t="s">
        <v>383</v>
      </c>
      <c r="AZ283">
        <v>0</v>
      </c>
    </row>
    <row r="284" spans="1:55">
      <c r="A284" t="s">
        <v>1496</v>
      </c>
      <c r="B284" t="s">
        <v>206</v>
      </c>
      <c r="C284" t="s">
        <v>1496</v>
      </c>
      <c r="D284" t="s">
        <v>1468</v>
      </c>
      <c r="E284">
        <v>1</v>
      </c>
      <c r="F284" t="s">
        <v>277</v>
      </c>
      <c r="G284" t="s">
        <v>395</v>
      </c>
      <c r="H284" t="s">
        <v>277</v>
      </c>
      <c r="I284" t="s">
        <v>277</v>
      </c>
      <c r="J284" t="s">
        <v>277</v>
      </c>
      <c r="K284">
        <v>30</v>
      </c>
      <c r="L284">
        <v>30</v>
      </c>
      <c r="O284">
        <v>1</v>
      </c>
      <c r="P284">
        <v>6784</v>
      </c>
      <c r="Q284">
        <v>6784</v>
      </c>
      <c r="R284">
        <v>0</v>
      </c>
      <c r="S284">
        <v>4000</v>
      </c>
      <c r="T284">
        <v>0</v>
      </c>
      <c r="W284">
        <v>1</v>
      </c>
      <c r="X284">
        <v>120000</v>
      </c>
      <c r="Y284">
        <v>120000</v>
      </c>
      <c r="AB284">
        <v>0</v>
      </c>
      <c r="AC284">
        <v>1</v>
      </c>
      <c r="AD284">
        <v>100000</v>
      </c>
      <c r="AE284">
        <v>100000</v>
      </c>
      <c r="AF284">
        <v>1</v>
      </c>
      <c r="AG284">
        <v>50000</v>
      </c>
      <c r="AH284">
        <v>50000</v>
      </c>
      <c r="AN284">
        <v>0</v>
      </c>
      <c r="AO284">
        <v>1</v>
      </c>
      <c r="AP284">
        <v>120000</v>
      </c>
      <c r="AQ284">
        <v>120000</v>
      </c>
      <c r="AU284">
        <v>390</v>
      </c>
      <c r="AV284" t="s">
        <v>1497</v>
      </c>
      <c r="AW284" t="s">
        <v>1498</v>
      </c>
      <c r="AX284" t="s">
        <v>1499</v>
      </c>
      <c r="AY284" t="s">
        <v>383</v>
      </c>
      <c r="AZ284">
        <v>0</v>
      </c>
      <c r="BA284" s="1">
        <v>46031</v>
      </c>
      <c r="BB284" t="s">
        <v>474</v>
      </c>
      <c r="BC284" t="s">
        <v>475</v>
      </c>
    </row>
    <row r="285" spans="1:55">
      <c r="A285" t="s">
        <v>1500</v>
      </c>
      <c r="B285" t="s">
        <v>206</v>
      </c>
      <c r="C285" t="s">
        <v>1500</v>
      </c>
      <c r="D285" t="s">
        <v>1468</v>
      </c>
      <c r="E285">
        <v>1</v>
      </c>
      <c r="F285" t="s">
        <v>609</v>
      </c>
      <c r="G285" t="s">
        <v>395</v>
      </c>
      <c r="H285" t="s">
        <v>609</v>
      </c>
      <c r="I285" t="s">
        <v>609</v>
      </c>
      <c r="K285">
        <v>30</v>
      </c>
      <c r="L285">
        <v>30</v>
      </c>
      <c r="O285">
        <v>1</v>
      </c>
      <c r="P285">
        <v>11000</v>
      </c>
      <c r="Q285">
        <v>11086</v>
      </c>
      <c r="R285">
        <v>86</v>
      </c>
      <c r="S285">
        <v>4000</v>
      </c>
      <c r="T285">
        <v>344</v>
      </c>
      <c r="W285">
        <v>1</v>
      </c>
      <c r="X285">
        <v>120000</v>
      </c>
      <c r="Y285">
        <v>120000</v>
      </c>
      <c r="AB285">
        <v>0</v>
      </c>
      <c r="AC285">
        <v>1</v>
      </c>
      <c r="AD285">
        <v>100000</v>
      </c>
      <c r="AE285">
        <v>100000</v>
      </c>
      <c r="AF285">
        <v>1</v>
      </c>
      <c r="AG285">
        <v>50000</v>
      </c>
      <c r="AH285">
        <v>50000</v>
      </c>
      <c r="AK285">
        <v>0</v>
      </c>
      <c r="AN285">
        <v>0</v>
      </c>
      <c r="AO285">
        <v>1</v>
      </c>
      <c r="AP285">
        <v>120000</v>
      </c>
      <c r="AQ285">
        <v>120000</v>
      </c>
      <c r="AU285">
        <v>734</v>
      </c>
      <c r="AV285" t="s">
        <v>1501</v>
      </c>
      <c r="AX285" t="s">
        <v>1502</v>
      </c>
      <c r="AY285" t="s">
        <v>383</v>
      </c>
      <c r="AZ285">
        <v>0</v>
      </c>
    </row>
    <row r="286" spans="1:55">
      <c r="A286" t="s">
        <v>1503</v>
      </c>
      <c r="B286" t="s">
        <v>206</v>
      </c>
      <c r="C286" t="s">
        <v>1503</v>
      </c>
      <c r="D286" t="s">
        <v>1468</v>
      </c>
      <c r="E286">
        <v>1</v>
      </c>
      <c r="F286" t="s">
        <v>445</v>
      </c>
      <c r="G286" t="s">
        <v>395</v>
      </c>
      <c r="H286" t="s">
        <v>445</v>
      </c>
      <c r="I286" t="s">
        <v>445</v>
      </c>
      <c r="K286">
        <v>30</v>
      </c>
      <c r="L286">
        <v>30</v>
      </c>
      <c r="O286">
        <v>1</v>
      </c>
      <c r="P286">
        <v>9381</v>
      </c>
      <c r="Q286">
        <v>9591</v>
      </c>
      <c r="R286">
        <v>210</v>
      </c>
      <c r="S286">
        <v>4000</v>
      </c>
      <c r="T286">
        <v>840</v>
      </c>
      <c r="W286">
        <v>1</v>
      </c>
      <c r="X286">
        <v>120000</v>
      </c>
      <c r="Y286">
        <v>120000</v>
      </c>
      <c r="AB286">
        <v>0</v>
      </c>
      <c r="AC286">
        <v>1</v>
      </c>
      <c r="AD286">
        <v>100000</v>
      </c>
      <c r="AE286">
        <v>100000</v>
      </c>
      <c r="AF286">
        <v>1</v>
      </c>
      <c r="AG286">
        <v>50000</v>
      </c>
      <c r="AH286">
        <v>50000</v>
      </c>
      <c r="AK286">
        <v>0</v>
      </c>
      <c r="AN286">
        <v>0</v>
      </c>
      <c r="AO286">
        <v>1</v>
      </c>
      <c r="AP286">
        <v>120000</v>
      </c>
      <c r="AQ286">
        <v>120000</v>
      </c>
      <c r="AU286" t="s">
        <v>1504</v>
      </c>
      <c r="AV286" t="s">
        <v>1505</v>
      </c>
      <c r="AX286" t="s">
        <v>1506</v>
      </c>
      <c r="AY286" t="s">
        <v>383</v>
      </c>
      <c r="AZ286">
        <v>0</v>
      </c>
    </row>
    <row r="287" spans="1:55">
      <c r="A287" t="s">
        <v>1507</v>
      </c>
      <c r="B287" t="s">
        <v>206</v>
      </c>
      <c r="C287" t="s">
        <v>1507</v>
      </c>
      <c r="D287" t="s">
        <v>1468</v>
      </c>
      <c r="E287">
        <v>1</v>
      </c>
      <c r="F287" t="s">
        <v>277</v>
      </c>
      <c r="G287" t="s">
        <v>395</v>
      </c>
      <c r="H287" t="s">
        <v>277</v>
      </c>
      <c r="I287" t="s">
        <v>277</v>
      </c>
      <c r="J287" t="s">
        <v>277</v>
      </c>
      <c r="K287">
        <v>30</v>
      </c>
      <c r="L287">
        <v>30</v>
      </c>
      <c r="O287">
        <v>2</v>
      </c>
      <c r="P287">
        <v>10755</v>
      </c>
      <c r="Q287">
        <v>10755</v>
      </c>
      <c r="R287">
        <v>0</v>
      </c>
      <c r="S287">
        <v>4000</v>
      </c>
      <c r="T287">
        <v>0</v>
      </c>
      <c r="W287">
        <v>2</v>
      </c>
      <c r="X287">
        <v>120000</v>
      </c>
      <c r="Y287">
        <v>240000</v>
      </c>
      <c r="AB287">
        <v>0</v>
      </c>
      <c r="AC287">
        <v>1</v>
      </c>
      <c r="AD287">
        <v>100000</v>
      </c>
      <c r="AE287">
        <v>100000</v>
      </c>
      <c r="AF287">
        <v>2</v>
      </c>
      <c r="AG287">
        <v>50000</v>
      </c>
      <c r="AH287">
        <v>100000</v>
      </c>
      <c r="AK287">
        <v>0</v>
      </c>
      <c r="AN287">
        <v>0</v>
      </c>
      <c r="AO287">
        <v>2</v>
      </c>
      <c r="AP287">
        <v>120000</v>
      </c>
      <c r="AQ287">
        <v>240000</v>
      </c>
      <c r="AU287">
        <v>680</v>
      </c>
      <c r="AV287" t="s">
        <v>1478</v>
      </c>
      <c r="AW287" t="s">
        <v>1508</v>
      </c>
      <c r="AX287" t="s">
        <v>1509</v>
      </c>
      <c r="AY287" t="s">
        <v>383</v>
      </c>
      <c r="AZ287">
        <v>0</v>
      </c>
      <c r="BA287" s="1">
        <v>46031</v>
      </c>
      <c r="BB287" t="s">
        <v>474</v>
      </c>
      <c r="BC287" t="s">
        <v>475</v>
      </c>
    </row>
    <row r="288" spans="1:55">
      <c r="A288" t="s">
        <v>1510</v>
      </c>
      <c r="B288" t="s">
        <v>206</v>
      </c>
      <c r="C288" t="s">
        <v>1510</v>
      </c>
      <c r="D288" t="s">
        <v>1468</v>
      </c>
      <c r="E288">
        <v>1</v>
      </c>
      <c r="F288" t="s">
        <v>445</v>
      </c>
      <c r="G288" t="s">
        <v>395</v>
      </c>
      <c r="H288" t="s">
        <v>445</v>
      </c>
      <c r="I288" t="s">
        <v>445</v>
      </c>
      <c r="K288">
        <v>30</v>
      </c>
      <c r="L288">
        <v>30</v>
      </c>
      <c r="O288">
        <v>1</v>
      </c>
      <c r="P288">
        <v>9076</v>
      </c>
      <c r="Q288">
        <v>9298</v>
      </c>
      <c r="R288">
        <v>222</v>
      </c>
      <c r="S288">
        <v>4000</v>
      </c>
      <c r="T288">
        <v>888</v>
      </c>
      <c r="W288">
        <v>1</v>
      </c>
      <c r="X288">
        <v>100000</v>
      </c>
      <c r="Y288">
        <v>100000</v>
      </c>
      <c r="Z288">
        <v>1</v>
      </c>
      <c r="AA288">
        <v>30000</v>
      </c>
      <c r="AB288">
        <v>30000</v>
      </c>
      <c r="AC288">
        <v>0</v>
      </c>
      <c r="AD288">
        <v>100000</v>
      </c>
      <c r="AE288">
        <v>0</v>
      </c>
      <c r="AF288">
        <v>1</v>
      </c>
      <c r="AG288">
        <v>50000</v>
      </c>
      <c r="AH288">
        <v>50000</v>
      </c>
      <c r="AL288">
        <v>1</v>
      </c>
      <c r="AM288">
        <v>60000</v>
      </c>
      <c r="AN288">
        <v>60</v>
      </c>
      <c r="AU288" t="s">
        <v>1511</v>
      </c>
      <c r="AV288" t="s">
        <v>1366</v>
      </c>
      <c r="AX288" t="s">
        <v>1367</v>
      </c>
      <c r="AY288" t="s">
        <v>383</v>
      </c>
      <c r="AZ288">
        <v>0</v>
      </c>
    </row>
    <row r="289" spans="1:60">
      <c r="A289" t="s">
        <v>1512</v>
      </c>
      <c r="B289" t="s">
        <v>206</v>
      </c>
      <c r="C289" t="s">
        <v>1512</v>
      </c>
      <c r="D289" t="s">
        <v>1468</v>
      </c>
      <c r="E289">
        <v>1</v>
      </c>
      <c r="F289" t="s">
        <v>277</v>
      </c>
      <c r="G289" t="s">
        <v>277</v>
      </c>
      <c r="H289" t="s">
        <v>277</v>
      </c>
      <c r="I289" t="s">
        <v>277</v>
      </c>
      <c r="K289">
        <v>30</v>
      </c>
      <c r="L289">
        <v>30</v>
      </c>
      <c r="O289">
        <v>1</v>
      </c>
      <c r="P289">
        <v>7415</v>
      </c>
      <c r="Q289">
        <v>7491</v>
      </c>
      <c r="R289">
        <v>76</v>
      </c>
      <c r="S289">
        <v>4000</v>
      </c>
      <c r="T289">
        <v>304</v>
      </c>
      <c r="W289">
        <v>1</v>
      </c>
      <c r="X289">
        <v>100000</v>
      </c>
      <c r="Y289">
        <v>100000</v>
      </c>
      <c r="AA289">
        <v>30000</v>
      </c>
      <c r="AB289">
        <v>0</v>
      </c>
      <c r="AC289">
        <v>1</v>
      </c>
      <c r="AD289">
        <v>100000</v>
      </c>
      <c r="AE289">
        <v>100000</v>
      </c>
      <c r="AF289">
        <v>1</v>
      </c>
      <c r="AG289">
        <v>50000</v>
      </c>
      <c r="AH289">
        <v>50000</v>
      </c>
      <c r="AN289">
        <v>0</v>
      </c>
      <c r="AO289">
        <v>1</v>
      </c>
      <c r="AP289">
        <v>120000</v>
      </c>
      <c r="AQ289">
        <v>120000</v>
      </c>
      <c r="AU289">
        <v>674</v>
      </c>
      <c r="AV289" t="s">
        <v>1513</v>
      </c>
      <c r="AX289" t="s">
        <v>1514</v>
      </c>
      <c r="AY289" t="s">
        <v>383</v>
      </c>
      <c r="AZ289">
        <v>0</v>
      </c>
    </row>
    <row r="290" spans="1:60">
      <c r="A290" t="s">
        <v>1515</v>
      </c>
      <c r="B290" t="s">
        <v>206</v>
      </c>
      <c r="C290" t="s">
        <v>1515</v>
      </c>
      <c r="D290" t="s">
        <v>1468</v>
      </c>
      <c r="E290">
        <v>1</v>
      </c>
      <c r="F290" t="s">
        <v>277</v>
      </c>
      <c r="G290" t="s">
        <v>277</v>
      </c>
      <c r="H290" t="s">
        <v>277</v>
      </c>
      <c r="I290" t="s">
        <v>277</v>
      </c>
      <c r="K290">
        <v>30</v>
      </c>
      <c r="L290">
        <v>30</v>
      </c>
      <c r="O290">
        <v>1</v>
      </c>
      <c r="P290">
        <v>7239</v>
      </c>
      <c r="Q290">
        <v>7353</v>
      </c>
      <c r="R290">
        <v>114</v>
      </c>
      <c r="S290">
        <v>4000</v>
      </c>
      <c r="T290">
        <v>456</v>
      </c>
      <c r="W290">
        <v>1</v>
      </c>
      <c r="X290">
        <v>120000</v>
      </c>
      <c r="Y290">
        <v>120000</v>
      </c>
      <c r="AB290">
        <v>0</v>
      </c>
      <c r="AC290">
        <v>1</v>
      </c>
      <c r="AD290">
        <v>100000</v>
      </c>
      <c r="AE290">
        <v>100000</v>
      </c>
      <c r="AF290">
        <v>1</v>
      </c>
      <c r="AG290">
        <v>50000</v>
      </c>
      <c r="AH290">
        <v>50000</v>
      </c>
      <c r="AL290">
        <v>0</v>
      </c>
      <c r="AN290">
        <v>0</v>
      </c>
      <c r="AO290">
        <v>1</v>
      </c>
      <c r="AP290">
        <v>120000</v>
      </c>
      <c r="AQ290">
        <v>120000</v>
      </c>
      <c r="AU290">
        <v>846</v>
      </c>
      <c r="AV290" t="s">
        <v>1516</v>
      </c>
      <c r="AX290" t="s">
        <v>1517</v>
      </c>
      <c r="AY290" t="s">
        <v>383</v>
      </c>
      <c r="AZ290">
        <v>0</v>
      </c>
    </row>
    <row r="291" spans="1:60">
      <c r="A291" t="s">
        <v>1518</v>
      </c>
      <c r="B291" t="s">
        <v>206</v>
      </c>
      <c r="C291" t="s">
        <v>1518</v>
      </c>
      <c r="D291" t="s">
        <v>1468</v>
      </c>
      <c r="E291">
        <v>1</v>
      </c>
      <c r="F291" t="s">
        <v>609</v>
      </c>
      <c r="G291" t="s">
        <v>277</v>
      </c>
      <c r="H291" t="s">
        <v>609</v>
      </c>
      <c r="I291" t="s">
        <v>609</v>
      </c>
      <c r="K291">
        <v>30</v>
      </c>
      <c r="L291">
        <v>30</v>
      </c>
      <c r="O291">
        <v>1</v>
      </c>
      <c r="P291">
        <v>9865</v>
      </c>
      <c r="Q291">
        <v>9866</v>
      </c>
      <c r="R291">
        <v>1</v>
      </c>
      <c r="S291">
        <v>4000</v>
      </c>
      <c r="T291">
        <v>4</v>
      </c>
      <c r="W291">
        <v>1</v>
      </c>
      <c r="X291">
        <v>120000</v>
      </c>
      <c r="Y291">
        <v>120000</v>
      </c>
      <c r="AB291">
        <v>0</v>
      </c>
      <c r="AD291">
        <v>100000</v>
      </c>
      <c r="AE291">
        <v>0</v>
      </c>
      <c r="AF291">
        <v>1</v>
      </c>
      <c r="AG291">
        <v>50000</v>
      </c>
      <c r="AH291">
        <v>50000</v>
      </c>
      <c r="AL291">
        <v>0</v>
      </c>
      <c r="AN291">
        <v>0</v>
      </c>
      <c r="AO291">
        <v>1</v>
      </c>
      <c r="AP291">
        <v>120000</v>
      </c>
      <c r="AQ291">
        <v>120000</v>
      </c>
      <c r="AU291">
        <v>294</v>
      </c>
      <c r="AV291" t="s">
        <v>1519</v>
      </c>
      <c r="AX291" t="s">
        <v>1520</v>
      </c>
      <c r="AY291" t="s">
        <v>383</v>
      </c>
      <c r="AZ291">
        <v>0</v>
      </c>
    </row>
    <row r="292" spans="1:60">
      <c r="A292" t="s">
        <v>1521</v>
      </c>
      <c r="B292" t="s">
        <v>206</v>
      </c>
      <c r="C292" t="s">
        <v>1521</v>
      </c>
      <c r="D292" t="s">
        <v>1468</v>
      </c>
      <c r="E292">
        <v>1</v>
      </c>
      <c r="F292" t="s">
        <v>445</v>
      </c>
      <c r="G292" t="s">
        <v>277</v>
      </c>
      <c r="H292" t="s">
        <v>445</v>
      </c>
      <c r="I292" t="s">
        <v>445</v>
      </c>
      <c r="K292">
        <v>30</v>
      </c>
      <c r="L292">
        <v>30</v>
      </c>
      <c r="O292">
        <v>1</v>
      </c>
      <c r="P292">
        <v>10882</v>
      </c>
      <c r="Q292">
        <v>11164</v>
      </c>
      <c r="R292">
        <v>282</v>
      </c>
      <c r="S292">
        <v>4000</v>
      </c>
      <c r="T292" t="s">
        <v>1522</v>
      </c>
      <c r="W292">
        <v>1</v>
      </c>
      <c r="X292">
        <v>120000</v>
      </c>
      <c r="Y292">
        <v>120000</v>
      </c>
      <c r="AB292">
        <v>0</v>
      </c>
      <c r="AC292">
        <v>1</v>
      </c>
      <c r="AD292">
        <v>100000</v>
      </c>
      <c r="AE292">
        <v>100000</v>
      </c>
      <c r="AF292">
        <v>1</v>
      </c>
      <c r="AG292">
        <v>50000</v>
      </c>
      <c r="AH292">
        <v>50000</v>
      </c>
      <c r="AM292">
        <v>60000</v>
      </c>
      <c r="AN292">
        <v>0</v>
      </c>
      <c r="AO292">
        <v>1</v>
      </c>
      <c r="AP292">
        <v>120000</v>
      </c>
      <c r="AQ292">
        <v>120000</v>
      </c>
      <c r="AU292" t="s">
        <v>1523</v>
      </c>
      <c r="AV292" t="s">
        <v>1524</v>
      </c>
      <c r="AX292" t="s">
        <v>1525</v>
      </c>
      <c r="AY292" t="s">
        <v>383</v>
      </c>
      <c r="AZ292">
        <v>0</v>
      </c>
      <c r="BF292">
        <v>0</v>
      </c>
      <c r="BH292">
        <v>0</v>
      </c>
    </row>
    <row r="293" spans="1:60">
      <c r="A293" t="s">
        <v>1526</v>
      </c>
      <c r="B293" t="s">
        <v>206</v>
      </c>
      <c r="C293" t="s">
        <v>1526</v>
      </c>
      <c r="D293" t="s">
        <v>1468</v>
      </c>
      <c r="E293">
        <v>1</v>
      </c>
      <c r="F293" t="s">
        <v>445</v>
      </c>
      <c r="G293" t="s">
        <v>277</v>
      </c>
      <c r="H293" t="s">
        <v>445</v>
      </c>
      <c r="I293" t="s">
        <v>445</v>
      </c>
      <c r="K293">
        <v>30</v>
      </c>
      <c r="L293">
        <v>30</v>
      </c>
      <c r="O293">
        <v>1</v>
      </c>
      <c r="P293">
        <v>7790</v>
      </c>
      <c r="Q293">
        <v>7871</v>
      </c>
      <c r="R293">
        <v>81</v>
      </c>
      <c r="S293">
        <v>4000</v>
      </c>
      <c r="T293">
        <v>324</v>
      </c>
      <c r="W293">
        <v>1</v>
      </c>
      <c r="X293">
        <v>120000</v>
      </c>
      <c r="Y293">
        <v>120000</v>
      </c>
      <c r="AB293">
        <v>0</v>
      </c>
      <c r="AC293">
        <v>1</v>
      </c>
      <c r="AD293">
        <v>100000</v>
      </c>
      <c r="AE293">
        <v>100000</v>
      </c>
      <c r="AF293">
        <v>1</v>
      </c>
      <c r="AG293">
        <v>50000</v>
      </c>
      <c r="AH293">
        <v>50000</v>
      </c>
      <c r="AM293">
        <v>60000</v>
      </c>
      <c r="AN293">
        <v>0</v>
      </c>
      <c r="AO293">
        <v>1</v>
      </c>
      <c r="AP293">
        <v>120000</v>
      </c>
      <c r="AQ293">
        <v>120000</v>
      </c>
      <c r="AU293">
        <v>714</v>
      </c>
      <c r="AV293" t="s">
        <v>1527</v>
      </c>
      <c r="AX293" t="s">
        <v>1528</v>
      </c>
      <c r="AY293" t="s">
        <v>383</v>
      </c>
      <c r="AZ293">
        <v>0</v>
      </c>
    </row>
    <row r="294" spans="1:60">
      <c r="A294" t="s">
        <v>1529</v>
      </c>
      <c r="B294" t="s">
        <v>206</v>
      </c>
      <c r="C294" t="s">
        <v>1530</v>
      </c>
      <c r="D294" t="s">
        <v>1468</v>
      </c>
      <c r="E294">
        <v>1</v>
      </c>
      <c r="F294" t="s">
        <v>277</v>
      </c>
      <c r="G294" t="s">
        <v>277</v>
      </c>
      <c r="H294" t="s">
        <v>277</v>
      </c>
      <c r="I294" t="s">
        <v>277</v>
      </c>
      <c r="K294">
        <v>30</v>
      </c>
      <c r="L294">
        <v>30</v>
      </c>
      <c r="O294">
        <v>1</v>
      </c>
      <c r="P294">
        <v>9694</v>
      </c>
      <c r="Q294">
        <v>9695</v>
      </c>
      <c r="R294">
        <v>1</v>
      </c>
      <c r="S294">
        <v>4000</v>
      </c>
      <c r="T294">
        <v>4</v>
      </c>
      <c r="W294">
        <v>1</v>
      </c>
      <c r="X294">
        <v>120000</v>
      </c>
      <c r="Y294">
        <v>120000</v>
      </c>
      <c r="AB294">
        <v>0</v>
      </c>
      <c r="AC294">
        <v>1</v>
      </c>
      <c r="AD294">
        <v>100000</v>
      </c>
      <c r="AE294">
        <v>100000</v>
      </c>
      <c r="AF294">
        <v>1</v>
      </c>
      <c r="AG294">
        <v>50000</v>
      </c>
      <c r="AH294">
        <v>50000</v>
      </c>
      <c r="AK294">
        <v>0</v>
      </c>
      <c r="AL294">
        <v>0</v>
      </c>
      <c r="AN294">
        <v>0</v>
      </c>
      <c r="AO294">
        <v>1</v>
      </c>
      <c r="AP294">
        <v>120000</v>
      </c>
      <c r="AQ294">
        <v>120000</v>
      </c>
      <c r="AU294">
        <v>394</v>
      </c>
      <c r="AV294" t="s">
        <v>1531</v>
      </c>
      <c r="AW294" t="s">
        <v>1532</v>
      </c>
      <c r="AX294" t="s">
        <v>1533</v>
      </c>
      <c r="AY294" t="s">
        <v>383</v>
      </c>
      <c r="AZ294">
        <v>0</v>
      </c>
    </row>
    <row r="295" spans="1:60">
      <c r="A295" t="s">
        <v>1534</v>
      </c>
      <c r="B295" t="s">
        <v>206</v>
      </c>
      <c r="C295" t="s">
        <v>1534</v>
      </c>
      <c r="D295" t="s">
        <v>1468</v>
      </c>
      <c r="E295">
        <v>1</v>
      </c>
      <c r="F295" t="s">
        <v>445</v>
      </c>
      <c r="G295" t="s">
        <v>277</v>
      </c>
      <c r="H295" t="s">
        <v>445</v>
      </c>
      <c r="I295" t="s">
        <v>445</v>
      </c>
      <c r="K295">
        <v>30</v>
      </c>
      <c r="L295">
        <v>30</v>
      </c>
      <c r="O295">
        <v>1</v>
      </c>
      <c r="P295">
        <v>7231</v>
      </c>
      <c r="Q295">
        <v>7346</v>
      </c>
      <c r="R295">
        <v>115</v>
      </c>
      <c r="S295">
        <v>4000</v>
      </c>
      <c r="T295">
        <v>460</v>
      </c>
      <c r="W295">
        <v>1</v>
      </c>
      <c r="X295">
        <v>100000</v>
      </c>
      <c r="Y295">
        <v>100000</v>
      </c>
      <c r="Z295">
        <v>1</v>
      </c>
      <c r="AA295">
        <v>30000</v>
      </c>
      <c r="AB295">
        <v>30000</v>
      </c>
      <c r="AC295">
        <v>1</v>
      </c>
      <c r="AD295">
        <v>100000</v>
      </c>
      <c r="AE295">
        <v>100000</v>
      </c>
      <c r="AF295">
        <v>1</v>
      </c>
      <c r="AG295">
        <v>50000</v>
      </c>
      <c r="AH295">
        <v>50000</v>
      </c>
      <c r="AM295">
        <v>60000</v>
      </c>
      <c r="AN295">
        <v>0</v>
      </c>
      <c r="AU295">
        <v>740</v>
      </c>
      <c r="AV295" t="s">
        <v>1535</v>
      </c>
      <c r="AX295" t="s">
        <v>1536</v>
      </c>
      <c r="AY295" t="s">
        <v>383</v>
      </c>
      <c r="AZ295">
        <v>0</v>
      </c>
    </row>
    <row r="296" spans="1:60">
      <c r="A296" t="s">
        <v>1537</v>
      </c>
      <c r="B296" t="s">
        <v>206</v>
      </c>
      <c r="C296" t="s">
        <v>1537</v>
      </c>
      <c r="D296" t="s">
        <v>1468</v>
      </c>
      <c r="E296">
        <v>1</v>
      </c>
      <c r="F296" t="s">
        <v>445</v>
      </c>
      <c r="G296" t="s">
        <v>277</v>
      </c>
      <c r="H296" t="s">
        <v>445</v>
      </c>
      <c r="I296" t="s">
        <v>445</v>
      </c>
      <c r="K296">
        <v>30</v>
      </c>
      <c r="L296">
        <v>30</v>
      </c>
      <c r="O296">
        <v>1</v>
      </c>
      <c r="P296">
        <v>5840</v>
      </c>
      <c r="Q296">
        <v>6043</v>
      </c>
      <c r="R296">
        <v>203</v>
      </c>
      <c r="S296">
        <v>4000</v>
      </c>
      <c r="T296">
        <v>812</v>
      </c>
      <c r="W296">
        <v>1</v>
      </c>
      <c r="X296">
        <v>100000</v>
      </c>
      <c r="Y296">
        <v>100000</v>
      </c>
      <c r="Z296">
        <v>1</v>
      </c>
      <c r="AA296">
        <v>30000</v>
      </c>
      <c r="AB296">
        <v>30000</v>
      </c>
      <c r="AC296">
        <v>0</v>
      </c>
      <c r="AD296">
        <v>100000</v>
      </c>
      <c r="AE296">
        <v>0</v>
      </c>
      <c r="AF296">
        <v>1</v>
      </c>
      <c r="AG296">
        <v>50000</v>
      </c>
      <c r="AH296">
        <v>50000</v>
      </c>
      <c r="AL296">
        <v>1</v>
      </c>
      <c r="AM296">
        <v>60000</v>
      </c>
      <c r="AN296">
        <v>60</v>
      </c>
      <c r="AQ296">
        <v>0</v>
      </c>
      <c r="AU296" t="s">
        <v>1538</v>
      </c>
      <c r="AV296" t="s">
        <v>1539</v>
      </c>
      <c r="AX296" t="s">
        <v>1540</v>
      </c>
      <c r="AY296" t="s">
        <v>383</v>
      </c>
      <c r="AZ296">
        <v>0</v>
      </c>
    </row>
    <row r="297" spans="1:60">
      <c r="A297" t="s">
        <v>1541</v>
      </c>
      <c r="B297" t="s">
        <v>206</v>
      </c>
      <c r="C297" t="s">
        <v>1541</v>
      </c>
      <c r="D297" t="s">
        <v>1468</v>
      </c>
      <c r="E297">
        <v>1</v>
      </c>
      <c r="F297" t="s">
        <v>395</v>
      </c>
      <c r="G297" t="s">
        <v>277</v>
      </c>
      <c r="H297" t="s">
        <v>395</v>
      </c>
      <c r="I297" t="s">
        <v>395</v>
      </c>
      <c r="K297">
        <v>30</v>
      </c>
      <c r="L297">
        <v>30</v>
      </c>
      <c r="O297">
        <v>2</v>
      </c>
      <c r="P297">
        <v>11480</v>
      </c>
      <c r="Q297">
        <v>11958</v>
      </c>
      <c r="R297">
        <v>478</v>
      </c>
      <c r="S297">
        <v>4000</v>
      </c>
      <c r="T297" t="s">
        <v>1542</v>
      </c>
      <c r="W297">
        <v>2</v>
      </c>
      <c r="X297">
        <v>120000</v>
      </c>
      <c r="Y297">
        <v>240000</v>
      </c>
      <c r="AB297">
        <v>0</v>
      </c>
      <c r="AC297">
        <v>1</v>
      </c>
      <c r="AD297">
        <v>100000</v>
      </c>
      <c r="AE297">
        <v>100000</v>
      </c>
      <c r="AF297">
        <v>2</v>
      </c>
      <c r="AG297">
        <v>50000</v>
      </c>
      <c r="AH297">
        <v>100000</v>
      </c>
      <c r="AN297">
        <v>0</v>
      </c>
      <c r="AO297">
        <v>2</v>
      </c>
      <c r="AP297">
        <v>120000</v>
      </c>
      <c r="AQ297">
        <v>240000</v>
      </c>
      <c r="AU297" t="s">
        <v>1543</v>
      </c>
      <c r="AV297" t="s">
        <v>786</v>
      </c>
      <c r="AX297" t="s">
        <v>787</v>
      </c>
      <c r="AY297" t="s">
        <v>383</v>
      </c>
      <c r="AZ297">
        <v>0</v>
      </c>
    </row>
    <row r="298" spans="1:60">
      <c r="A298" t="s">
        <v>1544</v>
      </c>
      <c r="B298" t="s">
        <v>206</v>
      </c>
      <c r="C298" t="s">
        <v>1544</v>
      </c>
      <c r="D298" t="s">
        <v>1468</v>
      </c>
      <c r="E298">
        <v>1</v>
      </c>
      <c r="F298" t="s">
        <v>395</v>
      </c>
      <c r="G298" t="s">
        <v>277</v>
      </c>
      <c r="H298" t="s">
        <v>395</v>
      </c>
      <c r="I298" t="s">
        <v>395</v>
      </c>
      <c r="K298">
        <v>30</v>
      </c>
      <c r="L298">
        <v>30</v>
      </c>
      <c r="O298">
        <v>1</v>
      </c>
      <c r="P298">
        <v>6808</v>
      </c>
      <c r="Q298">
        <v>7139</v>
      </c>
      <c r="R298">
        <v>331</v>
      </c>
      <c r="S298">
        <v>4000</v>
      </c>
      <c r="T298" t="s">
        <v>1178</v>
      </c>
      <c r="W298">
        <v>1</v>
      </c>
      <c r="X298">
        <v>120000</v>
      </c>
      <c r="Y298">
        <v>120000</v>
      </c>
      <c r="AB298">
        <v>0</v>
      </c>
      <c r="AC298">
        <v>0</v>
      </c>
      <c r="AD298">
        <v>100000</v>
      </c>
      <c r="AE298">
        <v>0</v>
      </c>
      <c r="AF298">
        <v>1</v>
      </c>
      <c r="AG298">
        <v>50000</v>
      </c>
      <c r="AH298">
        <v>50000</v>
      </c>
      <c r="AL298">
        <v>1</v>
      </c>
      <c r="AM298">
        <v>70000</v>
      </c>
      <c r="AN298">
        <v>70</v>
      </c>
      <c r="AO298">
        <v>1</v>
      </c>
      <c r="AP298">
        <v>120000</v>
      </c>
      <c r="AQ298">
        <v>120000</v>
      </c>
      <c r="AU298" t="s">
        <v>1545</v>
      </c>
      <c r="AV298" t="s">
        <v>735</v>
      </c>
      <c r="AX298" t="s">
        <v>1546</v>
      </c>
      <c r="AY298" t="s">
        <v>383</v>
      </c>
      <c r="AZ298">
        <v>0</v>
      </c>
    </row>
    <row r="299" spans="1:60">
      <c r="A299" t="s">
        <v>1547</v>
      </c>
      <c r="B299" t="s">
        <v>206</v>
      </c>
      <c r="C299" t="s">
        <v>1547</v>
      </c>
      <c r="D299" t="s">
        <v>1468</v>
      </c>
      <c r="E299">
        <v>1</v>
      </c>
      <c r="F299" t="s">
        <v>277</v>
      </c>
      <c r="G299" t="s">
        <v>277</v>
      </c>
      <c r="H299" t="s">
        <v>277</v>
      </c>
      <c r="I299" t="s">
        <v>277</v>
      </c>
      <c r="K299">
        <v>30</v>
      </c>
      <c r="L299">
        <v>30</v>
      </c>
      <c r="O299">
        <v>1</v>
      </c>
      <c r="P299">
        <v>6263</v>
      </c>
      <c r="Q299">
        <v>6266</v>
      </c>
      <c r="R299">
        <v>3</v>
      </c>
      <c r="S299">
        <v>4000</v>
      </c>
      <c r="T299">
        <v>12</v>
      </c>
      <c r="W299">
        <v>1</v>
      </c>
      <c r="X299">
        <v>120000</v>
      </c>
      <c r="Y299">
        <v>120000</v>
      </c>
      <c r="AB299">
        <v>0</v>
      </c>
      <c r="AD299">
        <v>100000</v>
      </c>
      <c r="AE299">
        <v>0</v>
      </c>
      <c r="AF299">
        <v>1</v>
      </c>
      <c r="AG299">
        <v>50000</v>
      </c>
      <c r="AH299">
        <v>50000</v>
      </c>
      <c r="AN299">
        <v>0</v>
      </c>
      <c r="AO299">
        <v>1</v>
      </c>
      <c r="AP299">
        <v>120000</v>
      </c>
      <c r="AQ299">
        <v>120000</v>
      </c>
      <c r="AU299">
        <v>302</v>
      </c>
      <c r="AV299" t="s">
        <v>1548</v>
      </c>
      <c r="AW299" t="s">
        <v>697</v>
      </c>
      <c r="AX299" t="s">
        <v>1549</v>
      </c>
      <c r="AY299" t="s">
        <v>383</v>
      </c>
      <c r="AZ299">
        <v>0</v>
      </c>
    </row>
    <row r="300" spans="1:60">
      <c r="A300" t="s">
        <v>1550</v>
      </c>
      <c r="B300" t="s">
        <v>206</v>
      </c>
      <c r="C300" t="s">
        <v>1550</v>
      </c>
      <c r="D300" t="s">
        <v>1468</v>
      </c>
      <c r="E300">
        <v>1</v>
      </c>
      <c r="F300" t="s">
        <v>277</v>
      </c>
      <c r="G300" t="s">
        <v>277</v>
      </c>
      <c r="H300" t="s">
        <v>277</v>
      </c>
      <c r="I300" t="s">
        <v>277</v>
      </c>
      <c r="K300">
        <v>30</v>
      </c>
      <c r="L300">
        <v>30</v>
      </c>
      <c r="O300">
        <v>1</v>
      </c>
      <c r="P300">
        <v>7592</v>
      </c>
      <c r="Q300">
        <v>7836</v>
      </c>
      <c r="R300">
        <v>244</v>
      </c>
      <c r="S300">
        <v>4000</v>
      </c>
      <c r="T300">
        <v>976</v>
      </c>
      <c r="W300">
        <v>1</v>
      </c>
      <c r="X300">
        <v>120000</v>
      </c>
      <c r="Y300">
        <v>120000</v>
      </c>
      <c r="AA300">
        <v>30000</v>
      </c>
      <c r="AB300">
        <v>0</v>
      </c>
      <c r="AC300">
        <v>0</v>
      </c>
      <c r="AD300">
        <v>100000</v>
      </c>
      <c r="AE300">
        <v>0</v>
      </c>
      <c r="AF300">
        <v>1</v>
      </c>
      <c r="AG300">
        <v>50000</v>
      </c>
      <c r="AH300">
        <v>50000</v>
      </c>
      <c r="AL300">
        <v>0</v>
      </c>
      <c r="AM300">
        <v>60000</v>
      </c>
      <c r="AN300">
        <v>0</v>
      </c>
      <c r="AO300">
        <v>1</v>
      </c>
      <c r="AP300">
        <v>120000</v>
      </c>
      <c r="AQ300">
        <v>120000</v>
      </c>
      <c r="AU300" t="s">
        <v>1551</v>
      </c>
      <c r="AV300" t="s">
        <v>1552</v>
      </c>
      <c r="AX300" t="s">
        <v>1553</v>
      </c>
      <c r="AY300" t="s">
        <v>383</v>
      </c>
      <c r="AZ300">
        <v>0</v>
      </c>
    </row>
    <row r="301" spans="1:60">
      <c r="A301" t="s">
        <v>1554</v>
      </c>
      <c r="B301" t="s">
        <v>182</v>
      </c>
      <c r="C301" t="s">
        <v>1554</v>
      </c>
      <c r="D301" t="s">
        <v>375</v>
      </c>
      <c r="E301">
        <v>1</v>
      </c>
      <c r="F301" t="s">
        <v>552</v>
      </c>
      <c r="G301" t="s">
        <v>408</v>
      </c>
      <c r="H301" t="s">
        <v>552</v>
      </c>
      <c r="I301" t="s">
        <v>552</v>
      </c>
      <c r="J301">
        <v>300</v>
      </c>
      <c r="K301">
        <v>30</v>
      </c>
      <c r="L301">
        <v>30</v>
      </c>
      <c r="O301">
        <v>1</v>
      </c>
      <c r="P301">
        <v>9960</v>
      </c>
      <c r="Q301">
        <v>10113</v>
      </c>
      <c r="R301">
        <v>153</v>
      </c>
      <c r="S301">
        <v>4</v>
      </c>
      <c r="T301">
        <v>612</v>
      </c>
      <c r="W301">
        <v>1</v>
      </c>
      <c r="X301">
        <v>120000</v>
      </c>
      <c r="Y301">
        <v>120000</v>
      </c>
      <c r="AB301">
        <v>0</v>
      </c>
      <c r="AC301">
        <v>1</v>
      </c>
      <c r="AD301">
        <v>100000</v>
      </c>
      <c r="AE301">
        <v>100000</v>
      </c>
      <c r="AN301">
        <v>0</v>
      </c>
      <c r="AO301">
        <v>1</v>
      </c>
      <c r="AP301">
        <v>120000</v>
      </c>
      <c r="AQ301">
        <v>120000</v>
      </c>
      <c r="AU301">
        <v>952</v>
      </c>
      <c r="AV301" t="s">
        <v>1310</v>
      </c>
      <c r="AW301" t="s">
        <v>606</v>
      </c>
      <c r="AX301" t="s">
        <v>1311</v>
      </c>
      <c r="AY301" t="s">
        <v>383</v>
      </c>
      <c r="AZ301">
        <v>0</v>
      </c>
    </row>
    <row r="302" spans="1:60">
      <c r="A302" t="s">
        <v>1555</v>
      </c>
      <c r="B302" t="s">
        <v>182</v>
      </c>
      <c r="C302" t="s">
        <v>1555</v>
      </c>
      <c r="D302" t="s">
        <v>375</v>
      </c>
      <c r="E302">
        <v>1</v>
      </c>
      <c r="F302" t="s">
        <v>386</v>
      </c>
      <c r="G302" t="s">
        <v>391</v>
      </c>
      <c r="H302" t="s">
        <v>386</v>
      </c>
      <c r="I302" t="s">
        <v>386</v>
      </c>
      <c r="K302">
        <v>30</v>
      </c>
      <c r="L302">
        <v>30</v>
      </c>
      <c r="O302">
        <v>1</v>
      </c>
      <c r="P302">
        <v>14396</v>
      </c>
      <c r="Q302">
        <v>14504</v>
      </c>
      <c r="R302">
        <v>108</v>
      </c>
      <c r="S302">
        <v>4</v>
      </c>
      <c r="T302">
        <v>432</v>
      </c>
      <c r="U302">
        <v>468</v>
      </c>
      <c r="V302">
        <v>469</v>
      </c>
      <c r="W302">
        <v>1</v>
      </c>
      <c r="X302">
        <v>30000</v>
      </c>
      <c r="Y302">
        <v>30000</v>
      </c>
      <c r="AB302">
        <v>0</v>
      </c>
      <c r="AC302">
        <v>1</v>
      </c>
      <c r="AD302">
        <v>100000</v>
      </c>
      <c r="AE302">
        <v>100000</v>
      </c>
      <c r="AN302">
        <v>0</v>
      </c>
      <c r="AO302">
        <v>1</v>
      </c>
      <c r="AP302">
        <v>120000</v>
      </c>
      <c r="AQ302">
        <v>120000</v>
      </c>
      <c r="AU302">
        <v>682</v>
      </c>
      <c r="AV302" t="s">
        <v>1556</v>
      </c>
      <c r="AX302" t="s">
        <v>1557</v>
      </c>
      <c r="AY302" t="s">
        <v>383</v>
      </c>
      <c r="AZ302">
        <v>0</v>
      </c>
    </row>
    <row r="303" spans="1:60">
      <c r="A303" t="s">
        <v>1558</v>
      </c>
      <c r="B303" t="s">
        <v>182</v>
      </c>
      <c r="C303" t="s">
        <v>1558</v>
      </c>
      <c r="D303" t="s">
        <v>375</v>
      </c>
      <c r="E303">
        <v>1</v>
      </c>
      <c r="F303" t="s">
        <v>377</v>
      </c>
      <c r="G303" t="s">
        <v>408</v>
      </c>
      <c r="H303" t="s">
        <v>377</v>
      </c>
      <c r="I303" t="s">
        <v>377</v>
      </c>
      <c r="K303">
        <v>30</v>
      </c>
      <c r="L303">
        <v>30</v>
      </c>
      <c r="O303">
        <v>3</v>
      </c>
      <c r="P303">
        <v>11478</v>
      </c>
      <c r="Q303">
        <v>11768</v>
      </c>
      <c r="R303">
        <v>290</v>
      </c>
      <c r="S303">
        <v>4</v>
      </c>
      <c r="T303" t="s">
        <v>1559</v>
      </c>
      <c r="U303">
        <v>463</v>
      </c>
      <c r="V303">
        <v>472</v>
      </c>
      <c r="W303">
        <v>9</v>
      </c>
      <c r="X303">
        <v>30000</v>
      </c>
      <c r="Y303">
        <v>270000</v>
      </c>
      <c r="Z303">
        <v>3</v>
      </c>
      <c r="AA303">
        <v>30000</v>
      </c>
      <c r="AB303">
        <v>90000</v>
      </c>
      <c r="AC303">
        <v>1</v>
      </c>
      <c r="AD303">
        <v>100000</v>
      </c>
      <c r="AE303">
        <v>100000</v>
      </c>
      <c r="AL303">
        <v>0</v>
      </c>
      <c r="AM303">
        <v>60000</v>
      </c>
      <c r="AN303">
        <v>0</v>
      </c>
      <c r="AQ303">
        <v>0</v>
      </c>
      <c r="AU303" t="s">
        <v>1347</v>
      </c>
      <c r="AV303" t="s">
        <v>1560</v>
      </c>
      <c r="AX303" t="s">
        <v>1561</v>
      </c>
      <c r="AY303" t="s">
        <v>383</v>
      </c>
      <c r="AZ303">
        <v>0</v>
      </c>
      <c r="BH303">
        <v>0</v>
      </c>
    </row>
    <row r="304" spans="1:60">
      <c r="A304" t="s">
        <v>1562</v>
      </c>
      <c r="B304" t="s">
        <v>182</v>
      </c>
      <c r="C304" t="s">
        <v>1562</v>
      </c>
      <c r="D304" t="s">
        <v>375</v>
      </c>
      <c r="E304">
        <v>1</v>
      </c>
      <c r="F304" t="s">
        <v>391</v>
      </c>
      <c r="G304" t="s">
        <v>391</v>
      </c>
      <c r="H304" t="s">
        <v>391</v>
      </c>
      <c r="I304" t="s">
        <v>391</v>
      </c>
      <c r="K304">
        <v>30</v>
      </c>
      <c r="L304">
        <v>30</v>
      </c>
      <c r="O304">
        <v>3</v>
      </c>
      <c r="P304">
        <v>12347</v>
      </c>
      <c r="Q304">
        <v>12552</v>
      </c>
      <c r="R304">
        <v>205</v>
      </c>
      <c r="S304">
        <v>4</v>
      </c>
      <c r="T304">
        <v>820</v>
      </c>
      <c r="U304">
        <v>510</v>
      </c>
      <c r="V304">
        <v>515</v>
      </c>
      <c r="W304">
        <v>5</v>
      </c>
      <c r="X304">
        <v>35000</v>
      </c>
      <c r="Y304">
        <v>175000</v>
      </c>
      <c r="AB304">
        <v>0</v>
      </c>
      <c r="AC304">
        <v>1</v>
      </c>
      <c r="AD304">
        <v>100000</v>
      </c>
      <c r="AE304">
        <v>100000</v>
      </c>
      <c r="AN304">
        <v>0</v>
      </c>
      <c r="AO304">
        <v>3</v>
      </c>
      <c r="AP304">
        <v>120000</v>
      </c>
      <c r="AQ304">
        <v>360000</v>
      </c>
      <c r="AU304" t="s">
        <v>1563</v>
      </c>
      <c r="AV304" t="s">
        <v>1564</v>
      </c>
      <c r="AX304" t="s">
        <v>1565</v>
      </c>
      <c r="AY304" t="s">
        <v>383</v>
      </c>
      <c r="AZ304">
        <v>0</v>
      </c>
    </row>
    <row r="305" spans="1:52">
      <c r="A305" t="s">
        <v>1566</v>
      </c>
      <c r="B305" t="s">
        <v>182</v>
      </c>
      <c r="C305" t="s">
        <v>1566</v>
      </c>
      <c r="D305" t="s">
        <v>375</v>
      </c>
      <c r="E305">
        <v>1</v>
      </c>
      <c r="F305" t="s">
        <v>377</v>
      </c>
      <c r="G305" t="s">
        <v>408</v>
      </c>
      <c r="H305" t="s">
        <v>377</v>
      </c>
      <c r="I305" t="s">
        <v>377</v>
      </c>
      <c r="J305" t="s">
        <v>377</v>
      </c>
      <c r="K305">
        <v>30</v>
      </c>
      <c r="L305">
        <v>30</v>
      </c>
      <c r="O305">
        <v>1</v>
      </c>
      <c r="P305">
        <v>12315</v>
      </c>
      <c r="Q305">
        <v>12315</v>
      </c>
      <c r="R305">
        <v>0</v>
      </c>
      <c r="S305">
        <v>4</v>
      </c>
      <c r="T305">
        <v>0</v>
      </c>
      <c r="U305">
        <v>575</v>
      </c>
      <c r="V305">
        <v>575</v>
      </c>
      <c r="W305">
        <v>0</v>
      </c>
      <c r="X305">
        <v>35000</v>
      </c>
      <c r="Y305">
        <v>0</v>
      </c>
      <c r="AB305">
        <v>0</v>
      </c>
      <c r="AC305">
        <v>1</v>
      </c>
      <c r="AD305">
        <v>100000</v>
      </c>
      <c r="AE305">
        <v>100000</v>
      </c>
      <c r="AN305">
        <v>0</v>
      </c>
      <c r="AO305">
        <v>1</v>
      </c>
      <c r="AP305">
        <v>120000</v>
      </c>
      <c r="AQ305">
        <v>120000</v>
      </c>
      <c r="AU305">
        <v>220</v>
      </c>
      <c r="AV305" t="s">
        <v>1567</v>
      </c>
      <c r="AW305" t="s">
        <v>596</v>
      </c>
      <c r="AX305" t="s">
        <v>1568</v>
      </c>
      <c r="AY305" t="s">
        <v>522</v>
      </c>
      <c r="AZ305">
        <v>130</v>
      </c>
    </row>
    <row r="306" spans="1:52">
      <c r="A306" t="s">
        <v>1569</v>
      </c>
      <c r="B306" t="s">
        <v>182</v>
      </c>
      <c r="C306" t="s">
        <v>1569</v>
      </c>
      <c r="D306" t="s">
        <v>375</v>
      </c>
      <c r="E306">
        <v>1</v>
      </c>
      <c r="F306" t="s">
        <v>386</v>
      </c>
      <c r="G306" t="s">
        <v>391</v>
      </c>
      <c r="H306" t="s">
        <v>386</v>
      </c>
      <c r="I306" t="s">
        <v>386</v>
      </c>
      <c r="K306">
        <v>30</v>
      </c>
      <c r="L306">
        <v>30</v>
      </c>
      <c r="M306">
        <v>200</v>
      </c>
      <c r="O306">
        <v>1</v>
      </c>
      <c r="P306">
        <v>11223</v>
      </c>
      <c r="Q306">
        <v>11301</v>
      </c>
      <c r="R306">
        <v>78</v>
      </c>
      <c r="S306">
        <v>3.8</v>
      </c>
      <c r="T306">
        <v>296.4</v>
      </c>
      <c r="U306">
        <v>360</v>
      </c>
      <c r="V306">
        <v>365</v>
      </c>
      <c r="W306">
        <v>5</v>
      </c>
      <c r="X306">
        <v>35000</v>
      </c>
      <c r="Y306">
        <v>175000</v>
      </c>
      <c r="AB306">
        <v>0</v>
      </c>
      <c r="AC306">
        <v>1</v>
      </c>
      <c r="AD306">
        <v>100000</v>
      </c>
      <c r="AE306">
        <v>100000</v>
      </c>
      <c r="AK306">
        <v>0</v>
      </c>
      <c r="AM306">
        <v>60000</v>
      </c>
      <c r="AN306">
        <v>0</v>
      </c>
      <c r="AO306">
        <v>1</v>
      </c>
      <c r="AP306">
        <v>120000</v>
      </c>
      <c r="AQ306">
        <v>120000</v>
      </c>
      <c r="AU306">
        <v>691.4</v>
      </c>
      <c r="AV306" t="s">
        <v>1570</v>
      </c>
      <c r="AW306" t="s">
        <v>1571</v>
      </c>
      <c r="AX306" t="s">
        <v>1572</v>
      </c>
      <c r="AY306" t="s">
        <v>417</v>
      </c>
      <c r="AZ306">
        <v>-200</v>
      </c>
    </row>
    <row r="307" spans="1:52">
      <c r="A307" t="s">
        <v>1573</v>
      </c>
      <c r="B307" t="s">
        <v>183</v>
      </c>
      <c r="C307" t="s">
        <v>1573</v>
      </c>
      <c r="D307" t="s">
        <v>375</v>
      </c>
      <c r="E307">
        <v>1</v>
      </c>
      <c r="F307" t="s">
        <v>376</v>
      </c>
      <c r="G307" t="s">
        <v>376</v>
      </c>
      <c r="H307" t="s">
        <v>376</v>
      </c>
      <c r="I307" t="s">
        <v>376</v>
      </c>
      <c r="K307">
        <v>30</v>
      </c>
      <c r="L307">
        <v>30</v>
      </c>
      <c r="O307">
        <v>2</v>
      </c>
      <c r="P307">
        <v>13614</v>
      </c>
      <c r="Q307">
        <v>13684</v>
      </c>
      <c r="R307">
        <v>70</v>
      </c>
      <c r="S307">
        <v>4000</v>
      </c>
      <c r="T307">
        <v>280</v>
      </c>
      <c r="U307">
        <v>696</v>
      </c>
      <c r="V307">
        <v>699</v>
      </c>
      <c r="W307">
        <v>3</v>
      </c>
      <c r="X307">
        <v>30</v>
      </c>
      <c r="Y307">
        <v>90</v>
      </c>
      <c r="Z307">
        <v>1</v>
      </c>
      <c r="AA307">
        <v>30000</v>
      </c>
      <c r="AB307">
        <v>30000</v>
      </c>
      <c r="AC307">
        <v>1</v>
      </c>
      <c r="AD307">
        <v>100000</v>
      </c>
      <c r="AE307">
        <v>100000</v>
      </c>
      <c r="AL307">
        <v>0</v>
      </c>
      <c r="AM307">
        <v>60000</v>
      </c>
      <c r="AN307">
        <v>0</v>
      </c>
      <c r="AU307">
        <v>500</v>
      </c>
      <c r="AV307" t="s">
        <v>1574</v>
      </c>
      <c r="AX307" t="s">
        <v>1575</v>
      </c>
      <c r="AY307" t="s">
        <v>383</v>
      </c>
      <c r="AZ307">
        <v>0</v>
      </c>
    </row>
    <row r="308" spans="1:52">
      <c r="A308" t="s">
        <v>1576</v>
      </c>
      <c r="B308" t="s">
        <v>183</v>
      </c>
      <c r="C308" t="s">
        <v>1576</v>
      </c>
      <c r="D308" t="s">
        <v>375</v>
      </c>
      <c r="E308">
        <v>1</v>
      </c>
      <c r="F308" t="s">
        <v>385</v>
      </c>
      <c r="G308" t="s">
        <v>376</v>
      </c>
      <c r="H308" t="s">
        <v>385</v>
      </c>
      <c r="I308" t="s">
        <v>385</v>
      </c>
      <c r="K308">
        <v>30</v>
      </c>
      <c r="L308">
        <v>30</v>
      </c>
      <c r="O308">
        <v>2</v>
      </c>
      <c r="P308">
        <v>14750</v>
      </c>
      <c r="Q308">
        <v>14888</v>
      </c>
      <c r="R308">
        <v>138</v>
      </c>
      <c r="S308">
        <v>4000</v>
      </c>
      <c r="T308">
        <v>552</v>
      </c>
      <c r="U308">
        <v>676</v>
      </c>
      <c r="V308">
        <v>684</v>
      </c>
      <c r="W308">
        <v>8</v>
      </c>
      <c r="X308">
        <v>35</v>
      </c>
      <c r="Y308">
        <v>280</v>
      </c>
      <c r="Z308">
        <v>2</v>
      </c>
      <c r="AA308">
        <v>30000</v>
      </c>
      <c r="AB308">
        <v>60000</v>
      </c>
      <c r="AC308">
        <v>1</v>
      </c>
      <c r="AD308">
        <v>100000</v>
      </c>
      <c r="AE308">
        <v>100000</v>
      </c>
      <c r="AL308">
        <v>0</v>
      </c>
      <c r="AM308">
        <v>60000</v>
      </c>
      <c r="AN308">
        <v>0</v>
      </c>
      <c r="AU308">
        <v>992</v>
      </c>
      <c r="AV308" t="s">
        <v>1577</v>
      </c>
      <c r="AX308" t="s">
        <v>1578</v>
      </c>
      <c r="AY308" t="s">
        <v>383</v>
      </c>
      <c r="AZ308">
        <v>0</v>
      </c>
    </row>
    <row r="309" spans="1:52">
      <c r="A309" t="s">
        <v>1579</v>
      </c>
      <c r="B309" t="s">
        <v>183</v>
      </c>
      <c r="C309" t="s">
        <v>1579</v>
      </c>
      <c r="D309" t="s">
        <v>375</v>
      </c>
      <c r="E309">
        <v>1</v>
      </c>
      <c r="F309" t="s">
        <v>552</v>
      </c>
      <c r="G309" t="s">
        <v>376</v>
      </c>
      <c r="H309" t="s">
        <v>552</v>
      </c>
      <c r="I309" t="s">
        <v>552</v>
      </c>
      <c r="K309">
        <v>30</v>
      </c>
      <c r="L309">
        <v>30</v>
      </c>
      <c r="O309">
        <v>1</v>
      </c>
      <c r="P309">
        <v>20971</v>
      </c>
      <c r="Q309">
        <v>21152</v>
      </c>
      <c r="R309">
        <v>181</v>
      </c>
      <c r="S309">
        <v>4000</v>
      </c>
      <c r="T309">
        <v>724</v>
      </c>
      <c r="V309">
        <v>662</v>
      </c>
      <c r="W309">
        <v>1</v>
      </c>
      <c r="X309">
        <v>120</v>
      </c>
      <c r="Y309">
        <v>120</v>
      </c>
      <c r="AB309">
        <v>0</v>
      </c>
      <c r="AC309">
        <v>1</v>
      </c>
      <c r="AD309">
        <v>100000</v>
      </c>
      <c r="AE309">
        <v>100000</v>
      </c>
      <c r="AN309">
        <v>0</v>
      </c>
      <c r="AO309">
        <v>1</v>
      </c>
      <c r="AP309">
        <v>120000</v>
      </c>
      <c r="AQ309">
        <v>120000</v>
      </c>
      <c r="AU309" t="s">
        <v>1580</v>
      </c>
      <c r="AV309" t="s">
        <v>1470</v>
      </c>
      <c r="AW309" t="s">
        <v>697</v>
      </c>
      <c r="AX309" t="s">
        <v>1581</v>
      </c>
      <c r="AY309" t="s">
        <v>383</v>
      </c>
      <c r="AZ309">
        <v>0</v>
      </c>
    </row>
    <row r="310" spans="1:52">
      <c r="A310" t="s">
        <v>1582</v>
      </c>
      <c r="B310" t="s">
        <v>183</v>
      </c>
      <c r="C310" t="s">
        <v>1582</v>
      </c>
      <c r="D310" t="s">
        <v>375</v>
      </c>
      <c r="E310">
        <v>1</v>
      </c>
      <c r="F310" t="s">
        <v>376</v>
      </c>
      <c r="G310" t="s">
        <v>386</v>
      </c>
      <c r="H310" t="s">
        <v>376</v>
      </c>
      <c r="I310" t="s">
        <v>376</v>
      </c>
      <c r="J310" t="s">
        <v>376</v>
      </c>
      <c r="K310">
        <v>30</v>
      </c>
      <c r="L310">
        <v>30</v>
      </c>
      <c r="O310">
        <v>1</v>
      </c>
      <c r="P310">
        <v>20286</v>
      </c>
      <c r="Q310">
        <v>20286</v>
      </c>
      <c r="R310">
        <v>0</v>
      </c>
      <c r="S310">
        <v>4000</v>
      </c>
      <c r="T310">
        <v>0</v>
      </c>
      <c r="U310">
        <v>831</v>
      </c>
      <c r="V310">
        <v>831</v>
      </c>
      <c r="W310">
        <v>0</v>
      </c>
      <c r="X310">
        <v>35</v>
      </c>
      <c r="Y310">
        <v>0</v>
      </c>
      <c r="AB310">
        <v>0</v>
      </c>
      <c r="AC310">
        <v>1</v>
      </c>
      <c r="AD310">
        <v>100000</v>
      </c>
      <c r="AE310">
        <v>100000</v>
      </c>
      <c r="AN310">
        <v>0</v>
      </c>
      <c r="AO310">
        <v>1</v>
      </c>
      <c r="AP310">
        <v>120000</v>
      </c>
      <c r="AQ310">
        <v>120000</v>
      </c>
      <c r="AU310">
        <v>220</v>
      </c>
      <c r="AV310" t="s">
        <v>1583</v>
      </c>
      <c r="AW310" t="s">
        <v>674</v>
      </c>
      <c r="AX310" t="s">
        <v>1584</v>
      </c>
      <c r="AY310" t="s">
        <v>417</v>
      </c>
      <c r="AZ310">
        <v>-220</v>
      </c>
    </row>
    <row r="311" spans="1:52">
      <c r="A311" t="s">
        <v>1585</v>
      </c>
      <c r="B311" t="s">
        <v>183</v>
      </c>
      <c r="C311" t="s">
        <v>1585</v>
      </c>
      <c r="D311" t="s">
        <v>375</v>
      </c>
      <c r="E311">
        <v>1</v>
      </c>
      <c r="F311" t="s">
        <v>552</v>
      </c>
      <c r="G311" t="s">
        <v>376</v>
      </c>
      <c r="H311" t="s">
        <v>552</v>
      </c>
      <c r="I311" t="s">
        <v>552</v>
      </c>
      <c r="K311">
        <v>30</v>
      </c>
      <c r="L311">
        <v>30</v>
      </c>
      <c r="O311">
        <v>2</v>
      </c>
      <c r="P311">
        <v>2986</v>
      </c>
      <c r="Q311">
        <v>3220</v>
      </c>
      <c r="R311">
        <v>234</v>
      </c>
      <c r="S311">
        <v>4000</v>
      </c>
      <c r="T311">
        <v>936</v>
      </c>
      <c r="U311">
        <v>712</v>
      </c>
      <c r="V311">
        <v>719</v>
      </c>
      <c r="W311">
        <v>7</v>
      </c>
      <c r="X311">
        <v>35</v>
      </c>
      <c r="Y311">
        <v>245</v>
      </c>
      <c r="AA311">
        <v>30000</v>
      </c>
      <c r="AB311">
        <v>0</v>
      </c>
      <c r="AC311">
        <v>1</v>
      </c>
      <c r="AD311">
        <v>100000</v>
      </c>
      <c r="AE311">
        <v>100000</v>
      </c>
      <c r="AL311">
        <v>0</v>
      </c>
      <c r="AM311">
        <v>60000</v>
      </c>
      <c r="AN311">
        <v>0</v>
      </c>
      <c r="AO311">
        <v>2</v>
      </c>
      <c r="AP311">
        <v>60000</v>
      </c>
      <c r="AQ311">
        <v>120000</v>
      </c>
      <c r="AU311" t="s">
        <v>1198</v>
      </c>
      <c r="AV311" t="s">
        <v>1586</v>
      </c>
      <c r="AX311" t="s">
        <v>1587</v>
      </c>
      <c r="AY311" t="s">
        <v>383</v>
      </c>
      <c r="AZ311">
        <v>0</v>
      </c>
    </row>
    <row r="312" spans="1:52">
      <c r="A312" t="s">
        <v>1588</v>
      </c>
      <c r="B312" t="s">
        <v>183</v>
      </c>
      <c r="C312" t="s">
        <v>1588</v>
      </c>
      <c r="D312" t="s">
        <v>375</v>
      </c>
      <c r="E312">
        <v>1</v>
      </c>
      <c r="F312" t="s">
        <v>609</v>
      </c>
      <c r="G312" t="s">
        <v>376</v>
      </c>
      <c r="H312" t="s">
        <v>609</v>
      </c>
      <c r="I312" t="s">
        <v>609</v>
      </c>
      <c r="K312">
        <v>30</v>
      </c>
      <c r="L312">
        <v>30</v>
      </c>
      <c r="O312">
        <v>2</v>
      </c>
      <c r="P312">
        <v>12989</v>
      </c>
      <c r="Q312">
        <v>13183</v>
      </c>
      <c r="R312">
        <v>194</v>
      </c>
      <c r="S312">
        <v>4000</v>
      </c>
      <c r="T312">
        <v>776</v>
      </c>
      <c r="U312">
        <v>434</v>
      </c>
      <c r="V312">
        <v>437</v>
      </c>
      <c r="W312">
        <v>3</v>
      </c>
      <c r="X312">
        <v>30</v>
      </c>
      <c r="Y312">
        <v>90</v>
      </c>
      <c r="Z312">
        <v>2</v>
      </c>
      <c r="AA312">
        <v>30000</v>
      </c>
      <c r="AB312">
        <v>60000</v>
      </c>
      <c r="AC312">
        <v>1</v>
      </c>
      <c r="AD312">
        <v>100000</v>
      </c>
      <c r="AE312">
        <v>100000</v>
      </c>
      <c r="AL312">
        <v>2</v>
      </c>
      <c r="AM312">
        <v>60000</v>
      </c>
      <c r="AN312">
        <v>120</v>
      </c>
      <c r="AQ312">
        <v>0</v>
      </c>
      <c r="AU312" t="s">
        <v>975</v>
      </c>
      <c r="AV312" t="s">
        <v>742</v>
      </c>
      <c r="AW312" t="s">
        <v>1589</v>
      </c>
      <c r="AX312" t="s">
        <v>1590</v>
      </c>
      <c r="AY312" t="s">
        <v>383</v>
      </c>
      <c r="AZ312">
        <v>0</v>
      </c>
    </row>
    <row r="313" spans="1:52">
      <c r="A313" t="s">
        <v>1591</v>
      </c>
      <c r="B313" t="s">
        <v>183</v>
      </c>
      <c r="C313" t="s">
        <v>1591</v>
      </c>
      <c r="D313" t="s">
        <v>375</v>
      </c>
      <c r="E313">
        <v>1</v>
      </c>
      <c r="F313" t="s">
        <v>395</v>
      </c>
      <c r="G313" t="s">
        <v>376</v>
      </c>
      <c r="H313" t="s">
        <v>395</v>
      </c>
      <c r="I313" t="s">
        <v>395</v>
      </c>
      <c r="K313">
        <v>30</v>
      </c>
      <c r="L313">
        <v>30</v>
      </c>
      <c r="O313">
        <v>1</v>
      </c>
      <c r="P313">
        <v>15823</v>
      </c>
      <c r="Q313">
        <v>15994</v>
      </c>
      <c r="R313">
        <v>171</v>
      </c>
      <c r="S313">
        <v>4000</v>
      </c>
      <c r="T313">
        <v>684</v>
      </c>
      <c r="U313">
        <v>901</v>
      </c>
      <c r="V313">
        <v>905</v>
      </c>
      <c r="W313">
        <v>4</v>
      </c>
      <c r="X313">
        <v>35</v>
      </c>
      <c r="Y313">
        <v>140</v>
      </c>
      <c r="AB313">
        <v>0</v>
      </c>
      <c r="AC313">
        <v>1</v>
      </c>
      <c r="AD313">
        <v>100000</v>
      </c>
      <c r="AE313">
        <v>100000</v>
      </c>
      <c r="AN313">
        <v>0</v>
      </c>
      <c r="AO313">
        <v>1</v>
      </c>
      <c r="AP313">
        <v>120000</v>
      </c>
      <c r="AQ313">
        <v>120000</v>
      </c>
      <c r="AU313" t="s">
        <v>1592</v>
      </c>
      <c r="AV313" t="s">
        <v>1593</v>
      </c>
      <c r="AX313" t="s">
        <v>1594</v>
      </c>
      <c r="AY313" t="s">
        <v>383</v>
      </c>
      <c r="AZ313">
        <v>0</v>
      </c>
    </row>
    <row r="314" spans="1:52">
      <c r="A314" t="s">
        <v>1595</v>
      </c>
      <c r="B314" t="s">
        <v>183</v>
      </c>
      <c r="C314" t="s">
        <v>1595</v>
      </c>
      <c r="D314" t="s">
        <v>375</v>
      </c>
      <c r="E314">
        <v>1</v>
      </c>
      <c r="F314" t="s">
        <v>400</v>
      </c>
      <c r="G314" t="s">
        <v>386</v>
      </c>
      <c r="H314" t="s">
        <v>400</v>
      </c>
      <c r="I314" t="s">
        <v>400</v>
      </c>
      <c r="K314">
        <v>30</v>
      </c>
      <c r="L314">
        <v>30</v>
      </c>
      <c r="O314">
        <v>3</v>
      </c>
      <c r="P314">
        <v>18492</v>
      </c>
      <c r="Q314">
        <v>18585</v>
      </c>
      <c r="R314">
        <v>93</v>
      </c>
      <c r="S314">
        <v>4000</v>
      </c>
      <c r="T314">
        <v>372</v>
      </c>
      <c r="U314">
        <v>697</v>
      </c>
      <c r="V314">
        <v>699</v>
      </c>
      <c r="W314">
        <v>2</v>
      </c>
      <c r="X314">
        <v>30</v>
      </c>
      <c r="Y314">
        <v>60</v>
      </c>
      <c r="Z314">
        <v>3</v>
      </c>
      <c r="AA314">
        <v>30000</v>
      </c>
      <c r="AB314">
        <v>90000</v>
      </c>
      <c r="AC314">
        <v>1</v>
      </c>
      <c r="AD314">
        <v>100000</v>
      </c>
      <c r="AE314">
        <v>100000</v>
      </c>
      <c r="AL314">
        <v>0</v>
      </c>
      <c r="AM314">
        <v>60000</v>
      </c>
      <c r="AN314">
        <v>0</v>
      </c>
      <c r="AQ314">
        <v>0</v>
      </c>
      <c r="AU314">
        <v>622</v>
      </c>
      <c r="AV314" t="s">
        <v>1596</v>
      </c>
      <c r="AX314" t="s">
        <v>1597</v>
      </c>
      <c r="AY314" t="s">
        <v>383</v>
      </c>
      <c r="AZ314">
        <v>0</v>
      </c>
    </row>
    <row r="315" spans="1:52">
      <c r="A315" t="s">
        <v>1598</v>
      </c>
      <c r="B315" t="s">
        <v>183</v>
      </c>
      <c r="C315" t="s">
        <v>1598</v>
      </c>
      <c r="D315" t="s">
        <v>375</v>
      </c>
      <c r="E315">
        <v>1</v>
      </c>
      <c r="F315" t="s">
        <v>552</v>
      </c>
      <c r="G315" t="s">
        <v>376</v>
      </c>
      <c r="H315" t="s">
        <v>552</v>
      </c>
      <c r="I315" t="s">
        <v>552</v>
      </c>
      <c r="K315">
        <v>30</v>
      </c>
      <c r="L315">
        <v>30</v>
      </c>
      <c r="O315">
        <v>1</v>
      </c>
      <c r="P315">
        <v>2688</v>
      </c>
      <c r="Q315">
        <v>2823</v>
      </c>
      <c r="R315">
        <v>135</v>
      </c>
      <c r="S315">
        <v>4000</v>
      </c>
      <c r="T315">
        <v>540</v>
      </c>
      <c r="U315">
        <v>650</v>
      </c>
      <c r="V315">
        <v>650</v>
      </c>
      <c r="W315">
        <v>0</v>
      </c>
      <c r="X315">
        <v>30</v>
      </c>
      <c r="Y315">
        <v>0</v>
      </c>
      <c r="Z315">
        <v>1</v>
      </c>
      <c r="AA315">
        <v>30000</v>
      </c>
      <c r="AB315">
        <v>30000</v>
      </c>
      <c r="AC315">
        <v>1</v>
      </c>
      <c r="AD315">
        <v>100000</v>
      </c>
      <c r="AE315">
        <v>100000</v>
      </c>
      <c r="AL315">
        <v>1</v>
      </c>
      <c r="AM315">
        <v>60000</v>
      </c>
      <c r="AN315">
        <v>60</v>
      </c>
      <c r="AU315">
        <v>730</v>
      </c>
      <c r="AV315" t="s">
        <v>1505</v>
      </c>
      <c r="AX315" t="s">
        <v>1506</v>
      </c>
      <c r="AY315" t="s">
        <v>383</v>
      </c>
      <c r="AZ315">
        <v>0</v>
      </c>
    </row>
    <row r="316" spans="1:52">
      <c r="A316" t="s">
        <v>1599</v>
      </c>
      <c r="B316" t="s">
        <v>183</v>
      </c>
      <c r="C316" t="s">
        <v>1599</v>
      </c>
      <c r="D316" t="s">
        <v>375</v>
      </c>
      <c r="E316">
        <v>1</v>
      </c>
      <c r="F316" t="s">
        <v>385</v>
      </c>
      <c r="G316" t="s">
        <v>376</v>
      </c>
      <c r="H316" t="s">
        <v>385</v>
      </c>
      <c r="I316" t="s">
        <v>385</v>
      </c>
      <c r="K316">
        <v>30</v>
      </c>
      <c r="L316">
        <v>30</v>
      </c>
      <c r="O316">
        <v>2</v>
      </c>
      <c r="P316">
        <v>19764</v>
      </c>
      <c r="Q316">
        <v>19952</v>
      </c>
      <c r="R316">
        <v>188</v>
      </c>
      <c r="S316">
        <v>4000</v>
      </c>
      <c r="T316">
        <v>752</v>
      </c>
      <c r="U316">
        <v>679</v>
      </c>
      <c r="V316">
        <v>684</v>
      </c>
      <c r="W316">
        <v>5</v>
      </c>
      <c r="X316">
        <v>30</v>
      </c>
      <c r="Y316">
        <v>150</v>
      </c>
      <c r="Z316">
        <v>2</v>
      </c>
      <c r="AA316">
        <v>30000</v>
      </c>
      <c r="AB316">
        <v>60000</v>
      </c>
      <c r="AD316">
        <v>100000</v>
      </c>
      <c r="AE316">
        <v>0</v>
      </c>
      <c r="AL316">
        <v>2</v>
      </c>
      <c r="AM316">
        <v>60000</v>
      </c>
      <c r="AN316">
        <v>120</v>
      </c>
      <c r="AU316" t="s">
        <v>1600</v>
      </c>
      <c r="AV316" t="s">
        <v>1289</v>
      </c>
      <c r="AX316" t="s">
        <v>1290</v>
      </c>
      <c r="AY316" t="s">
        <v>383</v>
      </c>
      <c r="AZ316">
        <v>0</v>
      </c>
    </row>
    <row r="317" spans="1:52">
      <c r="A317" t="s">
        <v>1601</v>
      </c>
      <c r="B317" t="s">
        <v>183</v>
      </c>
      <c r="C317" t="s">
        <v>1601</v>
      </c>
      <c r="D317" t="s">
        <v>375</v>
      </c>
      <c r="E317">
        <v>1</v>
      </c>
      <c r="F317" t="s">
        <v>609</v>
      </c>
      <c r="G317" t="s">
        <v>376</v>
      </c>
      <c r="H317" t="s">
        <v>609</v>
      </c>
      <c r="I317" t="s">
        <v>609</v>
      </c>
      <c r="K317">
        <v>30</v>
      </c>
      <c r="L317">
        <v>30</v>
      </c>
      <c r="O317">
        <v>1</v>
      </c>
      <c r="P317">
        <v>2868</v>
      </c>
      <c r="Q317">
        <v>3028</v>
      </c>
      <c r="R317">
        <v>160</v>
      </c>
      <c r="S317">
        <v>4000</v>
      </c>
      <c r="T317">
        <v>640</v>
      </c>
      <c r="U317">
        <v>426</v>
      </c>
      <c r="V317">
        <v>428</v>
      </c>
      <c r="W317">
        <v>1</v>
      </c>
      <c r="X317">
        <v>120</v>
      </c>
      <c r="Y317">
        <v>120</v>
      </c>
      <c r="AB317">
        <v>0</v>
      </c>
      <c r="AC317">
        <v>1</v>
      </c>
      <c r="AD317">
        <v>100000</v>
      </c>
      <c r="AE317">
        <v>100000</v>
      </c>
      <c r="AN317">
        <v>0</v>
      </c>
      <c r="AO317">
        <v>1</v>
      </c>
      <c r="AP317">
        <v>120000</v>
      </c>
      <c r="AQ317">
        <v>120000</v>
      </c>
      <c r="AU317">
        <v>980</v>
      </c>
      <c r="AV317" t="s">
        <v>491</v>
      </c>
      <c r="AX317" t="s">
        <v>492</v>
      </c>
      <c r="AY317" t="s">
        <v>383</v>
      </c>
      <c r="AZ317">
        <v>0</v>
      </c>
    </row>
    <row r="318" spans="1:52">
      <c r="A318" t="s">
        <v>1602</v>
      </c>
      <c r="B318" t="s">
        <v>183</v>
      </c>
      <c r="C318" t="s">
        <v>1602</v>
      </c>
      <c r="D318" t="s">
        <v>375</v>
      </c>
      <c r="E318">
        <v>1</v>
      </c>
      <c r="F318" t="s">
        <v>552</v>
      </c>
      <c r="G318" t="s">
        <v>386</v>
      </c>
      <c r="H318" t="s">
        <v>552</v>
      </c>
      <c r="I318" t="s">
        <v>552</v>
      </c>
      <c r="K318">
        <v>30</v>
      </c>
      <c r="L318">
        <v>30</v>
      </c>
      <c r="O318">
        <v>1</v>
      </c>
      <c r="P318">
        <v>12074</v>
      </c>
      <c r="Q318">
        <v>12595</v>
      </c>
      <c r="R318">
        <v>521</v>
      </c>
      <c r="S318">
        <v>4000</v>
      </c>
      <c r="T318" t="s">
        <v>1603</v>
      </c>
      <c r="U318">
        <v>602</v>
      </c>
      <c r="V318">
        <v>605</v>
      </c>
      <c r="W318">
        <v>3</v>
      </c>
      <c r="X318">
        <v>35</v>
      </c>
      <c r="Y318">
        <v>105</v>
      </c>
      <c r="Z318">
        <v>1</v>
      </c>
      <c r="AA318">
        <v>30000</v>
      </c>
      <c r="AB318">
        <v>30000</v>
      </c>
      <c r="AC318">
        <v>1</v>
      </c>
      <c r="AD318">
        <v>100000</v>
      </c>
      <c r="AE318">
        <v>100000</v>
      </c>
      <c r="AL318">
        <v>0</v>
      </c>
      <c r="AM318">
        <v>60000</v>
      </c>
      <c r="AN318">
        <v>0</v>
      </c>
      <c r="AU318" t="s">
        <v>1604</v>
      </c>
      <c r="AV318" t="s">
        <v>1605</v>
      </c>
      <c r="AX318" t="s">
        <v>1606</v>
      </c>
      <c r="AY318" t="s">
        <v>383</v>
      </c>
      <c r="AZ318">
        <v>0</v>
      </c>
    </row>
    <row r="319" spans="1:52">
      <c r="A319" t="s">
        <v>1607</v>
      </c>
      <c r="B319" t="s">
        <v>183</v>
      </c>
      <c r="C319" t="s">
        <v>1607</v>
      </c>
      <c r="D319" t="s">
        <v>375</v>
      </c>
      <c r="E319">
        <v>1</v>
      </c>
      <c r="F319" t="s">
        <v>552</v>
      </c>
      <c r="G319" t="s">
        <v>376</v>
      </c>
      <c r="H319" t="s">
        <v>552</v>
      </c>
      <c r="I319" t="s">
        <v>552</v>
      </c>
      <c r="K319">
        <v>30</v>
      </c>
      <c r="L319">
        <v>30</v>
      </c>
      <c r="O319">
        <v>2</v>
      </c>
      <c r="P319">
        <v>11896</v>
      </c>
      <c r="Q319">
        <v>12032</v>
      </c>
      <c r="R319">
        <v>136</v>
      </c>
      <c r="S319">
        <v>4000</v>
      </c>
      <c r="T319">
        <v>544</v>
      </c>
      <c r="U319">
        <v>781</v>
      </c>
      <c r="V319">
        <v>785</v>
      </c>
      <c r="W319">
        <v>4</v>
      </c>
      <c r="X319">
        <v>35</v>
      </c>
      <c r="Y319">
        <v>140</v>
      </c>
      <c r="Z319">
        <v>2</v>
      </c>
      <c r="AA319">
        <v>30000</v>
      </c>
      <c r="AB319">
        <v>60000</v>
      </c>
      <c r="AC319">
        <v>1</v>
      </c>
      <c r="AD319">
        <v>100000</v>
      </c>
      <c r="AE319">
        <v>100000</v>
      </c>
      <c r="AL319">
        <v>2</v>
      </c>
      <c r="AM319">
        <v>60000</v>
      </c>
      <c r="AN319">
        <v>120</v>
      </c>
      <c r="AU319">
        <v>964</v>
      </c>
      <c r="AV319" t="s">
        <v>1608</v>
      </c>
      <c r="AX319" t="s">
        <v>1609</v>
      </c>
      <c r="AY319" t="s">
        <v>383</v>
      </c>
      <c r="AZ319">
        <v>0</v>
      </c>
    </row>
    <row r="320" spans="1:52">
      <c r="A320" t="s">
        <v>1610</v>
      </c>
      <c r="B320" t="s">
        <v>219</v>
      </c>
      <c r="C320">
        <v>101</v>
      </c>
      <c r="D320" t="s">
        <v>1296</v>
      </c>
      <c r="E320">
        <v>1</v>
      </c>
      <c r="F320" t="s">
        <v>1058</v>
      </c>
      <c r="G320" t="s">
        <v>1611</v>
      </c>
      <c r="H320" t="s">
        <v>1058</v>
      </c>
      <c r="I320" t="s">
        <v>1058</v>
      </c>
      <c r="K320">
        <v>30</v>
      </c>
      <c r="L320">
        <v>30</v>
      </c>
      <c r="O320">
        <v>2</v>
      </c>
      <c r="P320">
        <v>12072</v>
      </c>
      <c r="Q320">
        <v>12243</v>
      </c>
      <c r="R320">
        <v>171</v>
      </c>
      <c r="S320">
        <v>4000</v>
      </c>
      <c r="T320">
        <v>684</v>
      </c>
      <c r="U320">
        <v>469</v>
      </c>
      <c r="V320">
        <v>474</v>
      </c>
      <c r="W320">
        <v>5</v>
      </c>
      <c r="X320">
        <v>35</v>
      </c>
      <c r="Y320">
        <v>175000</v>
      </c>
      <c r="Z320">
        <v>2</v>
      </c>
      <c r="AA320">
        <v>60000</v>
      </c>
      <c r="AB320">
        <v>120</v>
      </c>
      <c r="AC320">
        <v>1</v>
      </c>
      <c r="AD320">
        <v>100000</v>
      </c>
      <c r="AE320">
        <v>100</v>
      </c>
      <c r="AU320" t="s">
        <v>1612</v>
      </c>
      <c r="AV320" t="s">
        <v>1613</v>
      </c>
      <c r="AX320" t="s">
        <v>1614</v>
      </c>
      <c r="AY320" t="s">
        <v>383</v>
      </c>
      <c r="AZ320">
        <v>0</v>
      </c>
    </row>
    <row r="321" spans="1:56">
      <c r="A321" t="s">
        <v>1615</v>
      </c>
      <c r="B321" t="s">
        <v>219</v>
      </c>
      <c r="C321">
        <v>102</v>
      </c>
      <c r="D321" t="s">
        <v>1296</v>
      </c>
      <c r="E321">
        <v>1</v>
      </c>
      <c r="F321" t="s">
        <v>1616</v>
      </c>
      <c r="G321" t="s">
        <v>416</v>
      </c>
      <c r="H321" t="s">
        <v>1616</v>
      </c>
      <c r="I321" t="s">
        <v>1616</v>
      </c>
      <c r="K321">
        <v>30</v>
      </c>
      <c r="L321">
        <v>30</v>
      </c>
      <c r="O321">
        <v>1</v>
      </c>
      <c r="P321">
        <v>1955</v>
      </c>
      <c r="Q321">
        <v>2084</v>
      </c>
      <c r="R321">
        <v>129</v>
      </c>
      <c r="S321">
        <v>4000</v>
      </c>
      <c r="T321">
        <v>516</v>
      </c>
      <c r="W321">
        <v>1</v>
      </c>
      <c r="X321">
        <v>100</v>
      </c>
      <c r="Y321">
        <v>100000</v>
      </c>
      <c r="Z321">
        <v>1</v>
      </c>
      <c r="AA321">
        <v>30000</v>
      </c>
      <c r="AB321">
        <v>30</v>
      </c>
      <c r="AC321">
        <v>1</v>
      </c>
      <c r="AD321">
        <v>100000</v>
      </c>
      <c r="AE321">
        <v>100</v>
      </c>
      <c r="AQ321">
        <v>0</v>
      </c>
      <c r="AU321">
        <v>746</v>
      </c>
      <c r="AV321" t="s">
        <v>1617</v>
      </c>
      <c r="AX321" t="s">
        <v>1618</v>
      </c>
      <c r="AY321" t="s">
        <v>383</v>
      </c>
      <c r="AZ321">
        <v>0</v>
      </c>
    </row>
    <row r="322" spans="1:56">
      <c r="A322" t="s">
        <v>1619</v>
      </c>
      <c r="B322" t="s">
        <v>219</v>
      </c>
      <c r="C322">
        <v>201</v>
      </c>
      <c r="D322" t="s">
        <v>1296</v>
      </c>
      <c r="E322">
        <v>1</v>
      </c>
      <c r="F322" t="s">
        <v>1611</v>
      </c>
      <c r="G322" t="s">
        <v>1611</v>
      </c>
      <c r="H322" t="s">
        <v>1611</v>
      </c>
      <c r="I322" t="s">
        <v>1611</v>
      </c>
      <c r="J322" t="s">
        <v>1611</v>
      </c>
      <c r="K322">
        <v>30</v>
      </c>
      <c r="L322">
        <v>30</v>
      </c>
      <c r="O322">
        <v>1</v>
      </c>
      <c r="P322">
        <v>9431</v>
      </c>
      <c r="Q322">
        <v>9431</v>
      </c>
      <c r="R322">
        <v>0</v>
      </c>
      <c r="S322">
        <v>4000</v>
      </c>
      <c r="T322">
        <v>0</v>
      </c>
      <c r="U322">
        <v>150</v>
      </c>
      <c r="V322">
        <v>150</v>
      </c>
      <c r="W322">
        <v>0</v>
      </c>
      <c r="X322">
        <v>30</v>
      </c>
      <c r="Y322">
        <v>0</v>
      </c>
      <c r="AA322">
        <v>100000</v>
      </c>
      <c r="AB322">
        <v>0</v>
      </c>
      <c r="AC322">
        <v>1</v>
      </c>
      <c r="AD322">
        <v>100000</v>
      </c>
      <c r="AE322">
        <v>100</v>
      </c>
      <c r="AO322">
        <v>1</v>
      </c>
      <c r="AP322">
        <v>60000</v>
      </c>
      <c r="AQ322">
        <v>60000</v>
      </c>
      <c r="AU322">
        <v>160</v>
      </c>
      <c r="AV322" t="s">
        <v>1620</v>
      </c>
      <c r="AW322" t="s">
        <v>1621</v>
      </c>
      <c r="AX322" t="s">
        <v>1622</v>
      </c>
      <c r="AY322" t="s">
        <v>522</v>
      </c>
      <c r="AZ322">
        <v>120</v>
      </c>
      <c r="BA322" s="1">
        <v>46031</v>
      </c>
      <c r="BB322" t="s">
        <v>474</v>
      </c>
      <c r="BC322" t="s">
        <v>475</v>
      </c>
    </row>
    <row r="323" spans="1:56">
      <c r="A323" t="s">
        <v>1623</v>
      </c>
      <c r="B323" t="s">
        <v>219</v>
      </c>
      <c r="C323">
        <v>301</v>
      </c>
      <c r="D323" t="s">
        <v>1296</v>
      </c>
      <c r="E323">
        <v>1</v>
      </c>
      <c r="F323" t="s">
        <v>1611</v>
      </c>
      <c r="G323" t="s">
        <v>1611</v>
      </c>
      <c r="H323" t="s">
        <v>1611</v>
      </c>
      <c r="I323" t="s">
        <v>1611</v>
      </c>
      <c r="K323">
        <v>30</v>
      </c>
      <c r="L323">
        <v>30</v>
      </c>
      <c r="O323">
        <v>3</v>
      </c>
      <c r="P323">
        <v>16825</v>
      </c>
      <c r="Q323">
        <v>17271</v>
      </c>
      <c r="R323">
        <v>446</v>
      </c>
      <c r="S323">
        <v>4000</v>
      </c>
      <c r="T323" t="s">
        <v>1624</v>
      </c>
      <c r="W323">
        <v>3</v>
      </c>
      <c r="X323">
        <v>120</v>
      </c>
      <c r="Y323">
        <v>360000</v>
      </c>
      <c r="Z323">
        <v>3</v>
      </c>
      <c r="AA323">
        <v>100000</v>
      </c>
      <c r="AB323">
        <v>300</v>
      </c>
      <c r="AC323">
        <v>1</v>
      </c>
      <c r="AD323">
        <v>100000</v>
      </c>
      <c r="AE323">
        <v>100</v>
      </c>
      <c r="AU323" t="s">
        <v>1625</v>
      </c>
      <c r="AV323" t="s">
        <v>1626</v>
      </c>
      <c r="AX323" t="s">
        <v>1627</v>
      </c>
      <c r="AY323" t="s">
        <v>383</v>
      </c>
      <c r="AZ323">
        <v>0</v>
      </c>
    </row>
    <row r="324" spans="1:56">
      <c r="A324" t="s">
        <v>1628</v>
      </c>
      <c r="B324" t="s">
        <v>219</v>
      </c>
      <c r="C324">
        <v>401</v>
      </c>
      <c r="D324" t="s">
        <v>1296</v>
      </c>
      <c r="E324">
        <v>1</v>
      </c>
      <c r="F324" t="s">
        <v>1629</v>
      </c>
      <c r="G324" t="s">
        <v>1611</v>
      </c>
      <c r="H324" t="s">
        <v>1629</v>
      </c>
      <c r="I324" t="s">
        <v>1629</v>
      </c>
      <c r="K324">
        <v>30</v>
      </c>
      <c r="L324">
        <v>30</v>
      </c>
      <c r="O324">
        <v>3</v>
      </c>
      <c r="P324">
        <v>11047</v>
      </c>
      <c r="Q324">
        <v>11231</v>
      </c>
      <c r="R324">
        <v>184</v>
      </c>
      <c r="S324">
        <v>4000</v>
      </c>
      <c r="T324">
        <v>736</v>
      </c>
      <c r="U324">
        <v>477</v>
      </c>
      <c r="V324">
        <v>484</v>
      </c>
      <c r="W324">
        <v>7</v>
      </c>
      <c r="X324">
        <v>35</v>
      </c>
      <c r="Y324">
        <v>245000</v>
      </c>
      <c r="Z324">
        <v>3</v>
      </c>
      <c r="AA324">
        <v>60</v>
      </c>
      <c r="AB324">
        <v>180</v>
      </c>
      <c r="AC324">
        <v>1</v>
      </c>
      <c r="AD324">
        <v>100000</v>
      </c>
      <c r="AE324">
        <v>100</v>
      </c>
      <c r="AU324" t="s">
        <v>1630</v>
      </c>
      <c r="AV324" t="s">
        <v>1631</v>
      </c>
      <c r="AX324" t="s">
        <v>1632</v>
      </c>
      <c r="AY324" t="s">
        <v>383</v>
      </c>
      <c r="AZ324">
        <v>0</v>
      </c>
      <c r="BA324" s="1">
        <v>46030</v>
      </c>
      <c r="BB324" t="s">
        <v>474</v>
      </c>
      <c r="BC324" t="s">
        <v>937</v>
      </c>
      <c r="BD324" t="s">
        <v>1633</v>
      </c>
    </row>
    <row r="325" spans="1:56">
      <c r="A325" t="s">
        <v>1634</v>
      </c>
      <c r="B325" t="s">
        <v>219</v>
      </c>
      <c r="C325">
        <v>501</v>
      </c>
      <c r="D325" t="s">
        <v>1296</v>
      </c>
      <c r="E325">
        <v>1</v>
      </c>
      <c r="F325" t="s">
        <v>1635</v>
      </c>
      <c r="G325" t="s">
        <v>1611</v>
      </c>
      <c r="H325" t="s">
        <v>1635</v>
      </c>
      <c r="I325" t="s">
        <v>1635</v>
      </c>
      <c r="K325">
        <v>30</v>
      </c>
      <c r="L325">
        <v>30</v>
      </c>
      <c r="O325">
        <v>2</v>
      </c>
      <c r="P325">
        <v>8952</v>
      </c>
      <c r="Q325">
        <v>9187</v>
      </c>
      <c r="R325">
        <v>235</v>
      </c>
      <c r="S325">
        <v>4000</v>
      </c>
      <c r="T325">
        <v>940</v>
      </c>
      <c r="U325">
        <v>392</v>
      </c>
      <c r="V325">
        <v>406</v>
      </c>
      <c r="W325">
        <v>14</v>
      </c>
      <c r="X325">
        <v>30</v>
      </c>
      <c r="Y325">
        <v>420000</v>
      </c>
      <c r="AA325">
        <v>100000</v>
      </c>
      <c r="AB325">
        <v>0</v>
      </c>
      <c r="AD325">
        <v>100000</v>
      </c>
      <c r="AE325">
        <v>0</v>
      </c>
      <c r="AO325">
        <v>2</v>
      </c>
      <c r="AP325">
        <v>120000</v>
      </c>
      <c r="AQ325">
        <v>240</v>
      </c>
      <c r="AU325" t="s">
        <v>1443</v>
      </c>
      <c r="AV325" t="s">
        <v>673</v>
      </c>
      <c r="AX325" t="s">
        <v>1636</v>
      </c>
      <c r="AY325" t="s">
        <v>383</v>
      </c>
      <c r="AZ325">
        <v>0</v>
      </c>
    </row>
    <row r="326" spans="1:56">
      <c r="A326" t="s">
        <v>1637</v>
      </c>
      <c r="B326" t="s">
        <v>207</v>
      </c>
      <c r="C326" t="s">
        <v>1638</v>
      </c>
      <c r="D326" t="s">
        <v>375</v>
      </c>
      <c r="E326">
        <v>0</v>
      </c>
      <c r="F326" t="s">
        <v>1639</v>
      </c>
      <c r="G326" t="s">
        <v>1640</v>
      </c>
      <c r="H326" t="s">
        <v>1639</v>
      </c>
      <c r="I326" t="s">
        <v>1639</v>
      </c>
      <c r="K326">
        <v>30</v>
      </c>
      <c r="L326">
        <v>30</v>
      </c>
      <c r="O326">
        <v>0</v>
      </c>
      <c r="P326">
        <v>55345</v>
      </c>
      <c r="Q326">
        <v>56255</v>
      </c>
      <c r="R326">
        <v>910</v>
      </c>
      <c r="S326">
        <v>4</v>
      </c>
      <c r="T326" t="s">
        <v>1641</v>
      </c>
      <c r="U326">
        <v>351</v>
      </c>
      <c r="V326">
        <v>354</v>
      </c>
      <c r="W326">
        <v>3</v>
      </c>
      <c r="X326">
        <v>30</v>
      </c>
      <c r="Y326">
        <v>90</v>
      </c>
      <c r="Z326">
        <v>1</v>
      </c>
      <c r="AA326">
        <v>60</v>
      </c>
      <c r="AB326">
        <v>60</v>
      </c>
      <c r="AC326">
        <v>0</v>
      </c>
      <c r="AD326">
        <v>100</v>
      </c>
      <c r="AE326">
        <v>0</v>
      </c>
      <c r="AK326">
        <v>0</v>
      </c>
      <c r="AL326">
        <v>0</v>
      </c>
      <c r="AM326">
        <v>60</v>
      </c>
      <c r="AN326">
        <v>0</v>
      </c>
      <c r="AQ326">
        <v>0</v>
      </c>
      <c r="AU326" t="s">
        <v>1642</v>
      </c>
      <c r="AV326" t="s">
        <v>1642</v>
      </c>
      <c r="AX326" t="s">
        <v>1642</v>
      </c>
      <c r="AY326" t="s">
        <v>383</v>
      </c>
      <c r="AZ326">
        <v>0</v>
      </c>
    </row>
    <row r="327" spans="1:56">
      <c r="A327" t="s">
        <v>1643</v>
      </c>
      <c r="B327" t="s">
        <v>207</v>
      </c>
      <c r="C327">
        <v>201</v>
      </c>
      <c r="D327" t="s">
        <v>375</v>
      </c>
      <c r="E327">
        <v>1</v>
      </c>
      <c r="F327" t="s">
        <v>552</v>
      </c>
      <c r="G327" t="s">
        <v>377</v>
      </c>
      <c r="H327" t="s">
        <v>552</v>
      </c>
      <c r="I327" t="s">
        <v>552</v>
      </c>
      <c r="J327">
        <v>100</v>
      </c>
      <c r="K327">
        <v>30</v>
      </c>
      <c r="L327">
        <v>30</v>
      </c>
      <c r="O327">
        <v>2</v>
      </c>
      <c r="P327">
        <v>10822</v>
      </c>
      <c r="Q327">
        <v>10965</v>
      </c>
      <c r="R327">
        <v>143</v>
      </c>
      <c r="S327">
        <v>4</v>
      </c>
      <c r="T327">
        <v>572</v>
      </c>
      <c r="W327">
        <v>2</v>
      </c>
      <c r="X327">
        <v>120</v>
      </c>
      <c r="Y327">
        <v>240</v>
      </c>
      <c r="AA327">
        <v>30</v>
      </c>
      <c r="AB327">
        <v>0</v>
      </c>
      <c r="AD327">
        <v>100</v>
      </c>
      <c r="AE327">
        <v>0</v>
      </c>
      <c r="AK327">
        <v>0</v>
      </c>
      <c r="AM327">
        <v>60</v>
      </c>
      <c r="AN327">
        <v>0</v>
      </c>
      <c r="AO327">
        <v>2</v>
      </c>
      <c r="AP327">
        <v>70</v>
      </c>
      <c r="AQ327">
        <v>140</v>
      </c>
      <c r="AU327">
        <v>952</v>
      </c>
      <c r="AV327" t="s">
        <v>1644</v>
      </c>
      <c r="AW327" t="s">
        <v>554</v>
      </c>
      <c r="AX327" t="s">
        <v>1644</v>
      </c>
      <c r="AY327" t="s">
        <v>383</v>
      </c>
      <c r="AZ327">
        <v>0</v>
      </c>
    </row>
    <row r="328" spans="1:56">
      <c r="A328" t="s">
        <v>1645</v>
      </c>
      <c r="B328" t="s">
        <v>207</v>
      </c>
      <c r="C328">
        <v>202</v>
      </c>
      <c r="D328" t="s">
        <v>375</v>
      </c>
      <c r="E328">
        <v>1</v>
      </c>
      <c r="F328" t="s">
        <v>277</v>
      </c>
      <c r="G328" t="s">
        <v>609</v>
      </c>
      <c r="H328" t="s">
        <v>277</v>
      </c>
      <c r="I328" t="s">
        <v>277</v>
      </c>
      <c r="K328">
        <v>30</v>
      </c>
      <c r="L328">
        <v>30</v>
      </c>
      <c r="O328">
        <v>2</v>
      </c>
      <c r="P328">
        <v>8480</v>
      </c>
      <c r="Q328">
        <v>8492</v>
      </c>
      <c r="R328">
        <v>12</v>
      </c>
      <c r="S328">
        <v>4</v>
      </c>
      <c r="T328">
        <v>48</v>
      </c>
      <c r="W328">
        <v>2</v>
      </c>
      <c r="X328">
        <v>120</v>
      </c>
      <c r="Y328">
        <v>240</v>
      </c>
      <c r="AB328">
        <v>0</v>
      </c>
      <c r="AD328">
        <v>100</v>
      </c>
      <c r="AE328">
        <v>0</v>
      </c>
      <c r="AK328">
        <v>0</v>
      </c>
      <c r="AN328">
        <v>0</v>
      </c>
      <c r="AO328">
        <v>2</v>
      </c>
      <c r="AP328">
        <v>120</v>
      </c>
      <c r="AQ328">
        <v>240</v>
      </c>
      <c r="AU328">
        <v>528</v>
      </c>
      <c r="AV328" t="s">
        <v>1646</v>
      </c>
      <c r="AW328" t="s">
        <v>1647</v>
      </c>
      <c r="AX328" t="s">
        <v>1646</v>
      </c>
      <c r="AY328" t="s">
        <v>383</v>
      </c>
      <c r="AZ328">
        <v>0</v>
      </c>
      <c r="BA328" s="1">
        <v>46031</v>
      </c>
      <c r="BB328" t="s">
        <v>474</v>
      </c>
      <c r="BC328" t="s">
        <v>475</v>
      </c>
    </row>
    <row r="329" spans="1:56">
      <c r="A329" t="s">
        <v>1648</v>
      </c>
      <c r="B329" t="s">
        <v>207</v>
      </c>
      <c r="C329">
        <v>204</v>
      </c>
      <c r="D329" t="s">
        <v>375</v>
      </c>
      <c r="E329">
        <v>1</v>
      </c>
      <c r="F329" t="s">
        <v>400</v>
      </c>
      <c r="G329" t="s">
        <v>386</v>
      </c>
      <c r="H329" t="s">
        <v>400</v>
      </c>
      <c r="I329" t="s">
        <v>400</v>
      </c>
      <c r="K329">
        <v>30</v>
      </c>
      <c r="L329">
        <v>30</v>
      </c>
      <c r="O329">
        <v>1</v>
      </c>
      <c r="P329">
        <v>9848</v>
      </c>
      <c r="Q329">
        <v>9974</v>
      </c>
      <c r="R329">
        <v>126</v>
      </c>
      <c r="S329">
        <v>4</v>
      </c>
      <c r="T329">
        <v>504</v>
      </c>
      <c r="W329">
        <v>1</v>
      </c>
      <c r="X329">
        <v>100</v>
      </c>
      <c r="Y329">
        <v>100</v>
      </c>
      <c r="Z329">
        <v>1</v>
      </c>
      <c r="AA329">
        <v>30</v>
      </c>
      <c r="AB329">
        <v>30</v>
      </c>
      <c r="AC329">
        <v>1</v>
      </c>
      <c r="AD329">
        <v>100</v>
      </c>
      <c r="AE329">
        <v>100</v>
      </c>
      <c r="AK329">
        <v>0</v>
      </c>
      <c r="AL329">
        <v>1</v>
      </c>
      <c r="AM329">
        <v>60</v>
      </c>
      <c r="AN329">
        <v>60</v>
      </c>
      <c r="AO329">
        <v>-20</v>
      </c>
      <c r="AP329">
        <v>3.8</v>
      </c>
      <c r="AQ329">
        <v>-76</v>
      </c>
      <c r="AU329">
        <v>718</v>
      </c>
      <c r="AV329" t="s">
        <v>1649</v>
      </c>
      <c r="AW329" t="s">
        <v>1650</v>
      </c>
      <c r="AX329" t="s">
        <v>1649</v>
      </c>
      <c r="AY329" t="s">
        <v>383</v>
      </c>
      <c r="AZ329">
        <v>0</v>
      </c>
    </row>
    <row r="330" spans="1:56">
      <c r="A330" t="s">
        <v>1651</v>
      </c>
      <c r="B330" t="s">
        <v>207</v>
      </c>
      <c r="C330">
        <v>301</v>
      </c>
      <c r="D330" t="s">
        <v>375</v>
      </c>
      <c r="E330">
        <v>1</v>
      </c>
      <c r="F330" t="s">
        <v>385</v>
      </c>
      <c r="G330" t="s">
        <v>377</v>
      </c>
      <c r="H330" t="s">
        <v>385</v>
      </c>
      <c r="I330" t="s">
        <v>385</v>
      </c>
      <c r="K330">
        <v>30</v>
      </c>
      <c r="L330">
        <v>30</v>
      </c>
      <c r="O330">
        <v>1</v>
      </c>
      <c r="P330">
        <v>8200</v>
      </c>
      <c r="Q330">
        <v>8392</v>
      </c>
      <c r="R330">
        <v>192</v>
      </c>
      <c r="S330">
        <v>4</v>
      </c>
      <c r="T330">
        <v>768</v>
      </c>
      <c r="W330">
        <v>1</v>
      </c>
      <c r="X330">
        <v>120</v>
      </c>
      <c r="Y330">
        <v>120</v>
      </c>
      <c r="AB330">
        <v>0</v>
      </c>
      <c r="AC330">
        <v>1</v>
      </c>
      <c r="AD330">
        <v>100</v>
      </c>
      <c r="AE330">
        <v>100</v>
      </c>
      <c r="AK330">
        <v>0</v>
      </c>
      <c r="AM330">
        <v>60</v>
      </c>
      <c r="AN330">
        <v>0</v>
      </c>
      <c r="AO330">
        <v>1</v>
      </c>
      <c r="AP330">
        <v>120</v>
      </c>
      <c r="AQ330">
        <v>120</v>
      </c>
      <c r="AU330" t="s">
        <v>684</v>
      </c>
      <c r="AV330" t="s">
        <v>1652</v>
      </c>
      <c r="AX330" t="s">
        <v>1652</v>
      </c>
      <c r="AY330" t="s">
        <v>383</v>
      </c>
      <c r="AZ330">
        <v>0</v>
      </c>
    </row>
    <row r="331" spans="1:56">
      <c r="A331" t="s">
        <v>1653</v>
      </c>
      <c r="B331" t="s">
        <v>207</v>
      </c>
      <c r="C331">
        <v>302</v>
      </c>
      <c r="D331" t="s">
        <v>375</v>
      </c>
      <c r="E331">
        <v>1</v>
      </c>
      <c r="F331" t="s">
        <v>277</v>
      </c>
      <c r="G331" t="s">
        <v>609</v>
      </c>
      <c r="H331" t="s">
        <v>277</v>
      </c>
      <c r="I331" t="s">
        <v>277</v>
      </c>
      <c r="K331">
        <v>30</v>
      </c>
      <c r="L331">
        <v>30</v>
      </c>
      <c r="O331">
        <v>1</v>
      </c>
      <c r="P331">
        <v>8143</v>
      </c>
      <c r="Q331">
        <v>8259</v>
      </c>
      <c r="R331">
        <v>116</v>
      </c>
      <c r="S331">
        <v>4</v>
      </c>
      <c r="T331">
        <v>464</v>
      </c>
      <c r="W331">
        <v>1</v>
      </c>
      <c r="X331">
        <v>100</v>
      </c>
      <c r="Y331">
        <v>100</v>
      </c>
      <c r="Z331">
        <v>1</v>
      </c>
      <c r="AA331">
        <v>30</v>
      </c>
      <c r="AB331">
        <v>30</v>
      </c>
      <c r="AC331">
        <v>1</v>
      </c>
      <c r="AD331">
        <v>100</v>
      </c>
      <c r="AE331">
        <v>100</v>
      </c>
      <c r="AK331">
        <v>0</v>
      </c>
      <c r="AL331">
        <v>1</v>
      </c>
      <c r="AM331">
        <v>60</v>
      </c>
      <c r="AN331">
        <v>60</v>
      </c>
      <c r="AQ331">
        <v>0</v>
      </c>
      <c r="AU331">
        <v>754</v>
      </c>
      <c r="AV331" t="s">
        <v>1654</v>
      </c>
      <c r="AX331" t="s">
        <v>1654</v>
      </c>
      <c r="AY331" t="s">
        <v>383</v>
      </c>
      <c r="AZ331">
        <v>0</v>
      </c>
    </row>
    <row r="332" spans="1:56">
      <c r="A332" t="s">
        <v>1655</v>
      </c>
      <c r="B332" t="s">
        <v>207</v>
      </c>
      <c r="C332">
        <v>304</v>
      </c>
      <c r="D332" t="s">
        <v>375</v>
      </c>
      <c r="E332">
        <v>1</v>
      </c>
      <c r="F332" t="s">
        <v>385</v>
      </c>
      <c r="G332" t="s">
        <v>386</v>
      </c>
      <c r="H332" t="s">
        <v>385</v>
      </c>
      <c r="I332" t="s">
        <v>385</v>
      </c>
      <c r="J332" t="s">
        <v>385</v>
      </c>
      <c r="K332">
        <v>30</v>
      </c>
      <c r="L332">
        <v>30</v>
      </c>
      <c r="O332">
        <v>2</v>
      </c>
      <c r="P332">
        <v>17514</v>
      </c>
      <c r="Q332">
        <v>17514</v>
      </c>
      <c r="R332">
        <v>0</v>
      </c>
      <c r="S332">
        <v>4</v>
      </c>
      <c r="T332">
        <v>0</v>
      </c>
      <c r="W332">
        <v>2</v>
      </c>
      <c r="X332">
        <v>120</v>
      </c>
      <c r="Y332">
        <v>240</v>
      </c>
      <c r="AB332">
        <v>0</v>
      </c>
      <c r="AC332">
        <v>1</v>
      </c>
      <c r="AD332">
        <v>100</v>
      </c>
      <c r="AE332">
        <v>100</v>
      </c>
      <c r="AK332">
        <v>0</v>
      </c>
      <c r="AM332">
        <v>60</v>
      </c>
      <c r="AN332">
        <v>0</v>
      </c>
      <c r="AO332">
        <v>2</v>
      </c>
      <c r="AP332">
        <v>120</v>
      </c>
      <c r="AQ332">
        <v>240</v>
      </c>
      <c r="AU332">
        <v>580</v>
      </c>
      <c r="AV332" t="s">
        <v>1656</v>
      </c>
      <c r="AW332" t="s">
        <v>1657</v>
      </c>
      <c r="AX332" t="s">
        <v>1656</v>
      </c>
      <c r="AY332" t="s">
        <v>383</v>
      </c>
      <c r="AZ332">
        <v>0</v>
      </c>
    </row>
    <row r="333" spans="1:56">
      <c r="A333" t="s">
        <v>1658</v>
      </c>
      <c r="B333" t="s">
        <v>207</v>
      </c>
      <c r="C333">
        <v>401</v>
      </c>
      <c r="D333" t="s">
        <v>375</v>
      </c>
      <c r="E333">
        <v>1</v>
      </c>
      <c r="F333" t="s">
        <v>376</v>
      </c>
      <c r="G333" t="s">
        <v>377</v>
      </c>
      <c r="H333" t="s">
        <v>376</v>
      </c>
      <c r="I333" t="s">
        <v>376</v>
      </c>
      <c r="K333">
        <v>30</v>
      </c>
      <c r="L333">
        <v>30</v>
      </c>
      <c r="O333">
        <v>2</v>
      </c>
      <c r="P333">
        <v>11300</v>
      </c>
      <c r="Q333">
        <v>11452</v>
      </c>
      <c r="R333">
        <v>152</v>
      </c>
      <c r="S333">
        <v>4</v>
      </c>
      <c r="T333">
        <v>608</v>
      </c>
      <c r="W333">
        <v>2</v>
      </c>
      <c r="X333">
        <v>100</v>
      </c>
      <c r="Y333">
        <v>200</v>
      </c>
      <c r="Z333">
        <v>2</v>
      </c>
      <c r="AA333">
        <v>30</v>
      </c>
      <c r="AB333">
        <v>60</v>
      </c>
      <c r="AC333">
        <v>0</v>
      </c>
      <c r="AD333">
        <v>100</v>
      </c>
      <c r="AE333">
        <v>0</v>
      </c>
      <c r="AK333">
        <v>0</v>
      </c>
      <c r="AL333">
        <v>2</v>
      </c>
      <c r="AM333">
        <v>60</v>
      </c>
      <c r="AN333">
        <v>120</v>
      </c>
      <c r="AQ333">
        <v>0</v>
      </c>
      <c r="AU333">
        <v>988</v>
      </c>
      <c r="AV333" t="s">
        <v>1659</v>
      </c>
      <c r="AX333" t="s">
        <v>1659</v>
      </c>
      <c r="AY333" t="s">
        <v>383</v>
      </c>
      <c r="AZ333">
        <v>0</v>
      </c>
    </row>
    <row r="334" spans="1:56">
      <c r="A334" t="s">
        <v>1660</v>
      </c>
      <c r="B334" t="s">
        <v>207</v>
      </c>
      <c r="C334">
        <v>402</v>
      </c>
      <c r="D334" t="s">
        <v>375</v>
      </c>
      <c r="E334">
        <v>1</v>
      </c>
      <c r="F334" t="s">
        <v>277</v>
      </c>
      <c r="G334" t="s">
        <v>609</v>
      </c>
      <c r="H334" t="s">
        <v>277</v>
      </c>
      <c r="I334" t="s">
        <v>277</v>
      </c>
      <c r="J334">
        <v>200</v>
      </c>
      <c r="K334">
        <v>30</v>
      </c>
      <c r="L334">
        <v>30</v>
      </c>
      <c r="O334">
        <v>2</v>
      </c>
      <c r="P334">
        <v>6201</v>
      </c>
      <c r="Q334">
        <v>6370</v>
      </c>
      <c r="R334">
        <v>169</v>
      </c>
      <c r="S334">
        <v>4</v>
      </c>
      <c r="T334">
        <v>676</v>
      </c>
      <c r="W334">
        <v>2</v>
      </c>
      <c r="X334">
        <v>120</v>
      </c>
      <c r="Y334">
        <v>240</v>
      </c>
      <c r="AB334">
        <v>0</v>
      </c>
      <c r="AC334">
        <v>1</v>
      </c>
      <c r="AD334">
        <v>100</v>
      </c>
      <c r="AE334">
        <v>100</v>
      </c>
      <c r="AK334">
        <v>0</v>
      </c>
      <c r="AN334">
        <v>0</v>
      </c>
      <c r="AO334">
        <v>2</v>
      </c>
      <c r="AP334">
        <v>120</v>
      </c>
      <c r="AQ334">
        <v>240</v>
      </c>
      <c r="AU334" t="s">
        <v>1661</v>
      </c>
      <c r="AV334" t="s">
        <v>1662</v>
      </c>
      <c r="AW334" t="s">
        <v>530</v>
      </c>
      <c r="AX334" t="s">
        <v>1662</v>
      </c>
      <c r="AY334" t="s">
        <v>383</v>
      </c>
      <c r="AZ334">
        <v>0</v>
      </c>
    </row>
    <row r="335" spans="1:56">
      <c r="A335" t="s">
        <v>1663</v>
      </c>
      <c r="B335" t="s">
        <v>207</v>
      </c>
      <c r="C335">
        <v>404</v>
      </c>
      <c r="D335" t="s">
        <v>375</v>
      </c>
      <c r="E335">
        <v>1</v>
      </c>
      <c r="F335" t="s">
        <v>377</v>
      </c>
      <c r="G335" t="s">
        <v>386</v>
      </c>
      <c r="H335" t="s">
        <v>377</v>
      </c>
      <c r="I335" t="s">
        <v>377</v>
      </c>
      <c r="K335">
        <v>30</v>
      </c>
      <c r="L335">
        <v>30</v>
      </c>
      <c r="O335">
        <v>2</v>
      </c>
      <c r="P335">
        <v>11895</v>
      </c>
      <c r="Q335">
        <v>11895</v>
      </c>
      <c r="R335">
        <v>0</v>
      </c>
      <c r="S335">
        <v>4</v>
      </c>
      <c r="T335">
        <v>0</v>
      </c>
      <c r="W335">
        <v>2</v>
      </c>
      <c r="X335">
        <v>120</v>
      </c>
      <c r="Y335">
        <v>240</v>
      </c>
      <c r="AB335">
        <v>0</v>
      </c>
      <c r="AC335">
        <v>1</v>
      </c>
      <c r="AD335">
        <v>100</v>
      </c>
      <c r="AE335">
        <v>100</v>
      </c>
      <c r="AI335">
        <v>1</v>
      </c>
      <c r="AJ335">
        <v>200</v>
      </c>
      <c r="AK335">
        <v>200</v>
      </c>
      <c r="AN335">
        <v>0</v>
      </c>
      <c r="AO335">
        <v>2</v>
      </c>
      <c r="AP335">
        <v>120</v>
      </c>
      <c r="AQ335">
        <v>240</v>
      </c>
      <c r="AU335">
        <v>780</v>
      </c>
      <c r="AV335" t="s">
        <v>1664</v>
      </c>
      <c r="AW335" t="s">
        <v>1665</v>
      </c>
      <c r="AX335" t="s">
        <v>1666</v>
      </c>
      <c r="AY335" t="s">
        <v>522</v>
      </c>
      <c r="AZ335">
        <v>100</v>
      </c>
    </row>
    <row r="336" spans="1:56">
      <c r="A336" t="s">
        <v>1667</v>
      </c>
      <c r="B336" t="s">
        <v>207</v>
      </c>
      <c r="C336">
        <v>501</v>
      </c>
      <c r="D336" t="s">
        <v>375</v>
      </c>
      <c r="E336">
        <v>1</v>
      </c>
      <c r="F336" t="s">
        <v>552</v>
      </c>
      <c r="G336" t="s">
        <v>377</v>
      </c>
      <c r="H336" t="s">
        <v>552</v>
      </c>
      <c r="I336" t="s">
        <v>552</v>
      </c>
      <c r="K336">
        <v>30</v>
      </c>
      <c r="L336">
        <v>30</v>
      </c>
      <c r="O336">
        <v>1</v>
      </c>
      <c r="P336">
        <v>10022</v>
      </c>
      <c r="Q336">
        <v>10316</v>
      </c>
      <c r="R336">
        <v>294</v>
      </c>
      <c r="S336">
        <v>4</v>
      </c>
      <c r="T336" t="s">
        <v>912</v>
      </c>
      <c r="W336">
        <v>1</v>
      </c>
      <c r="X336">
        <v>120</v>
      </c>
      <c r="Y336">
        <v>120</v>
      </c>
      <c r="AB336">
        <v>0</v>
      </c>
      <c r="AD336">
        <v>100</v>
      </c>
      <c r="AE336">
        <v>0</v>
      </c>
      <c r="AK336">
        <v>0</v>
      </c>
      <c r="AN336">
        <v>0</v>
      </c>
      <c r="AO336">
        <v>1</v>
      </c>
      <c r="AP336">
        <v>120</v>
      </c>
      <c r="AQ336">
        <v>120</v>
      </c>
      <c r="AU336" t="s">
        <v>1668</v>
      </c>
      <c r="AV336" t="s">
        <v>1669</v>
      </c>
      <c r="AX336" t="s">
        <v>1669</v>
      </c>
      <c r="AY336" t="s">
        <v>383</v>
      </c>
      <c r="AZ336">
        <v>0</v>
      </c>
    </row>
    <row r="337" spans="1:60">
      <c r="A337" t="s">
        <v>1670</v>
      </c>
      <c r="B337" t="s">
        <v>207</v>
      </c>
      <c r="C337">
        <v>502</v>
      </c>
      <c r="D337" t="s">
        <v>375</v>
      </c>
      <c r="E337">
        <v>1</v>
      </c>
      <c r="F337" t="s">
        <v>277</v>
      </c>
      <c r="G337" t="s">
        <v>609</v>
      </c>
      <c r="H337" t="s">
        <v>277</v>
      </c>
      <c r="I337" t="s">
        <v>277</v>
      </c>
      <c r="K337">
        <v>30</v>
      </c>
      <c r="L337">
        <v>30</v>
      </c>
      <c r="O337">
        <v>2</v>
      </c>
      <c r="P337">
        <v>14454</v>
      </c>
      <c r="Q337">
        <v>14559</v>
      </c>
      <c r="R337">
        <v>105</v>
      </c>
      <c r="S337">
        <v>4</v>
      </c>
      <c r="T337">
        <v>420</v>
      </c>
      <c r="W337">
        <v>2</v>
      </c>
      <c r="X337">
        <v>100</v>
      </c>
      <c r="Y337">
        <v>200</v>
      </c>
      <c r="AA337">
        <v>30</v>
      </c>
      <c r="AB337">
        <v>0</v>
      </c>
      <c r="AC337">
        <v>1</v>
      </c>
      <c r="AD337">
        <v>100</v>
      </c>
      <c r="AE337">
        <v>100</v>
      </c>
      <c r="AK337">
        <v>0</v>
      </c>
      <c r="AM337">
        <v>60</v>
      </c>
      <c r="AN337">
        <v>0</v>
      </c>
      <c r="AO337">
        <v>2</v>
      </c>
      <c r="AP337">
        <v>120</v>
      </c>
      <c r="AQ337">
        <v>240</v>
      </c>
      <c r="AU337">
        <v>960</v>
      </c>
      <c r="AV337" t="s">
        <v>1671</v>
      </c>
      <c r="AX337" t="s">
        <v>1671</v>
      </c>
      <c r="AY337" t="s">
        <v>383</v>
      </c>
      <c r="AZ337">
        <v>0</v>
      </c>
    </row>
    <row r="338" spans="1:60">
      <c r="A338" t="s">
        <v>1672</v>
      </c>
      <c r="B338" t="s">
        <v>207</v>
      </c>
      <c r="C338">
        <v>504</v>
      </c>
      <c r="D338" t="s">
        <v>375</v>
      </c>
      <c r="E338">
        <v>1</v>
      </c>
      <c r="F338" t="s">
        <v>376</v>
      </c>
      <c r="G338" t="s">
        <v>386</v>
      </c>
      <c r="H338" t="s">
        <v>376</v>
      </c>
      <c r="I338" t="s">
        <v>445</v>
      </c>
      <c r="K338">
        <v>30</v>
      </c>
      <c r="L338">
        <v>30</v>
      </c>
      <c r="O338">
        <v>1</v>
      </c>
      <c r="P338">
        <v>1077</v>
      </c>
      <c r="Q338">
        <v>1225</v>
      </c>
      <c r="R338">
        <v>148</v>
      </c>
      <c r="S338">
        <v>4</v>
      </c>
      <c r="T338">
        <v>592</v>
      </c>
      <c r="W338">
        <v>1</v>
      </c>
      <c r="X338">
        <v>100</v>
      </c>
      <c r="Y338">
        <v>100</v>
      </c>
      <c r="Z338">
        <v>1</v>
      </c>
      <c r="AA338">
        <v>30</v>
      </c>
      <c r="AB338">
        <v>30</v>
      </c>
      <c r="AC338">
        <v>1</v>
      </c>
      <c r="AD338">
        <v>100</v>
      </c>
      <c r="AE338">
        <v>100</v>
      </c>
      <c r="AK338">
        <v>0</v>
      </c>
      <c r="AL338">
        <v>1</v>
      </c>
      <c r="AM338">
        <v>60</v>
      </c>
      <c r="AN338">
        <v>60</v>
      </c>
      <c r="AQ338">
        <v>0</v>
      </c>
      <c r="AU338">
        <v>882</v>
      </c>
      <c r="AV338" t="s">
        <v>1673</v>
      </c>
      <c r="AX338" t="s">
        <v>1673</v>
      </c>
      <c r="AY338" t="s">
        <v>383</v>
      </c>
      <c r="AZ338">
        <v>0</v>
      </c>
    </row>
    <row r="339" spans="1:60">
      <c r="A339" t="s">
        <v>1674</v>
      </c>
      <c r="B339" t="s">
        <v>208</v>
      </c>
      <c r="C339">
        <v>101</v>
      </c>
      <c r="D339" t="s">
        <v>1468</v>
      </c>
      <c r="E339">
        <v>1</v>
      </c>
      <c r="F339" t="s">
        <v>1126</v>
      </c>
      <c r="G339" t="s">
        <v>1025</v>
      </c>
      <c r="H339" t="s">
        <v>1126</v>
      </c>
      <c r="I339" t="s">
        <v>1126</v>
      </c>
      <c r="K339">
        <v>30</v>
      </c>
      <c r="L339">
        <v>30</v>
      </c>
      <c r="O339">
        <v>2</v>
      </c>
      <c r="P339">
        <v>6474</v>
      </c>
      <c r="Q339">
        <v>6842</v>
      </c>
      <c r="R339">
        <v>368</v>
      </c>
      <c r="S339">
        <v>4000</v>
      </c>
      <c r="T339" t="s">
        <v>1675</v>
      </c>
      <c r="W339">
        <v>2</v>
      </c>
      <c r="X339">
        <v>120</v>
      </c>
      <c r="Y339">
        <v>240000</v>
      </c>
      <c r="AB339">
        <v>0</v>
      </c>
      <c r="AC339">
        <v>1</v>
      </c>
      <c r="AD339">
        <v>100000</v>
      </c>
      <c r="AE339">
        <v>100000</v>
      </c>
      <c r="AO339">
        <v>2</v>
      </c>
      <c r="AP339">
        <v>120000</v>
      </c>
      <c r="AQ339">
        <v>240000</v>
      </c>
      <c r="AU339" t="s">
        <v>1676</v>
      </c>
      <c r="AV339" t="s">
        <v>1320</v>
      </c>
      <c r="AW339" t="s">
        <v>1677</v>
      </c>
      <c r="AX339" t="s">
        <v>1321</v>
      </c>
      <c r="AY339" t="s">
        <v>383</v>
      </c>
      <c r="AZ339">
        <v>0</v>
      </c>
    </row>
    <row r="340" spans="1:60">
      <c r="A340" t="s">
        <v>1678</v>
      </c>
      <c r="B340" t="s">
        <v>208</v>
      </c>
      <c r="C340">
        <v>201</v>
      </c>
      <c r="D340" t="s">
        <v>1468</v>
      </c>
      <c r="E340">
        <v>1</v>
      </c>
      <c r="F340" t="s">
        <v>552</v>
      </c>
      <c r="G340" t="s">
        <v>395</v>
      </c>
      <c r="H340" t="s">
        <v>552</v>
      </c>
      <c r="I340" t="s">
        <v>552</v>
      </c>
      <c r="K340">
        <v>30</v>
      </c>
      <c r="L340">
        <v>30</v>
      </c>
      <c r="O340">
        <v>3</v>
      </c>
      <c r="P340">
        <v>14347</v>
      </c>
      <c r="Q340">
        <v>14603</v>
      </c>
      <c r="R340">
        <v>256</v>
      </c>
      <c r="S340">
        <v>4000</v>
      </c>
      <c r="T340" t="s">
        <v>579</v>
      </c>
      <c r="W340">
        <v>3</v>
      </c>
      <c r="X340">
        <v>90</v>
      </c>
      <c r="Y340">
        <v>270000</v>
      </c>
      <c r="Z340">
        <v>3</v>
      </c>
      <c r="AA340">
        <v>30000</v>
      </c>
      <c r="AB340">
        <v>90000</v>
      </c>
      <c r="AC340">
        <v>1</v>
      </c>
      <c r="AD340">
        <v>100000</v>
      </c>
      <c r="AE340">
        <v>100000</v>
      </c>
      <c r="AI340">
        <v>1</v>
      </c>
      <c r="AJ340">
        <v>200000</v>
      </c>
      <c r="AK340">
        <v>200000</v>
      </c>
      <c r="AL340">
        <v>1</v>
      </c>
      <c r="AM340">
        <v>60000</v>
      </c>
      <c r="AN340">
        <v>60</v>
      </c>
      <c r="AQ340">
        <v>0</v>
      </c>
      <c r="AU340" t="s">
        <v>1679</v>
      </c>
      <c r="AV340" t="s">
        <v>1680</v>
      </c>
      <c r="AX340" t="s">
        <v>1681</v>
      </c>
      <c r="AY340" t="s">
        <v>383</v>
      </c>
      <c r="AZ340">
        <v>0</v>
      </c>
    </row>
    <row r="341" spans="1:60">
      <c r="A341" t="s">
        <v>1682</v>
      </c>
      <c r="B341" t="s">
        <v>208</v>
      </c>
      <c r="C341">
        <v>202</v>
      </c>
      <c r="D341" t="s">
        <v>1468</v>
      </c>
      <c r="E341">
        <v>1</v>
      </c>
      <c r="F341" t="s">
        <v>498</v>
      </c>
      <c r="G341" t="s">
        <v>552</v>
      </c>
      <c r="H341" t="s">
        <v>498</v>
      </c>
      <c r="I341" t="s">
        <v>498</v>
      </c>
      <c r="K341">
        <v>30</v>
      </c>
      <c r="L341">
        <v>30</v>
      </c>
      <c r="O341">
        <v>2</v>
      </c>
      <c r="P341">
        <v>12883</v>
      </c>
      <c r="Q341">
        <v>13044</v>
      </c>
      <c r="R341">
        <v>161</v>
      </c>
      <c r="S341">
        <v>4000</v>
      </c>
      <c r="T341">
        <v>644</v>
      </c>
      <c r="W341">
        <v>2</v>
      </c>
      <c r="X341">
        <v>120</v>
      </c>
      <c r="Y341">
        <v>240000</v>
      </c>
      <c r="AB341">
        <v>0</v>
      </c>
      <c r="AC341">
        <v>1</v>
      </c>
      <c r="AD341">
        <v>100000</v>
      </c>
      <c r="AE341">
        <v>100000</v>
      </c>
      <c r="AK341">
        <v>0</v>
      </c>
      <c r="AN341">
        <v>0</v>
      </c>
      <c r="AO341">
        <v>2</v>
      </c>
      <c r="AP341">
        <v>120000</v>
      </c>
      <c r="AQ341">
        <v>240000</v>
      </c>
      <c r="AU341" t="s">
        <v>1351</v>
      </c>
      <c r="AV341" t="s">
        <v>1683</v>
      </c>
      <c r="AX341" t="s">
        <v>1684</v>
      </c>
      <c r="AY341" t="s">
        <v>383</v>
      </c>
      <c r="AZ341">
        <v>0</v>
      </c>
      <c r="BF341">
        <v>0</v>
      </c>
      <c r="BG341">
        <v>3800</v>
      </c>
      <c r="BH341">
        <v>0</v>
      </c>
    </row>
    <row r="342" spans="1:60">
      <c r="A342" t="s">
        <v>1685</v>
      </c>
      <c r="B342" t="s">
        <v>208</v>
      </c>
      <c r="C342">
        <v>301</v>
      </c>
      <c r="D342" t="s">
        <v>1468</v>
      </c>
      <c r="E342">
        <v>1</v>
      </c>
      <c r="F342" t="s">
        <v>498</v>
      </c>
      <c r="G342" t="s">
        <v>395</v>
      </c>
      <c r="H342" t="s">
        <v>498</v>
      </c>
      <c r="I342" t="s">
        <v>498</v>
      </c>
      <c r="K342">
        <v>30</v>
      </c>
      <c r="L342">
        <v>30</v>
      </c>
      <c r="O342">
        <v>2</v>
      </c>
      <c r="P342">
        <v>13086</v>
      </c>
      <c r="Q342">
        <v>13277</v>
      </c>
      <c r="R342">
        <v>191</v>
      </c>
      <c r="S342">
        <v>4000</v>
      </c>
      <c r="T342">
        <v>764</v>
      </c>
      <c r="W342">
        <v>2</v>
      </c>
      <c r="X342">
        <v>120</v>
      </c>
      <c r="Y342">
        <v>240000</v>
      </c>
      <c r="AB342">
        <v>0</v>
      </c>
      <c r="AC342">
        <v>1</v>
      </c>
      <c r="AD342">
        <v>100000</v>
      </c>
      <c r="AE342">
        <v>100000</v>
      </c>
      <c r="AN342">
        <v>0</v>
      </c>
      <c r="AO342">
        <v>2</v>
      </c>
      <c r="AP342">
        <v>120000</v>
      </c>
      <c r="AQ342">
        <v>240000</v>
      </c>
      <c r="AU342" t="s">
        <v>1686</v>
      </c>
      <c r="AV342" t="s">
        <v>1687</v>
      </c>
      <c r="AX342" t="s">
        <v>1688</v>
      </c>
      <c r="AY342" t="s">
        <v>383</v>
      </c>
      <c r="AZ342">
        <v>0</v>
      </c>
    </row>
    <row r="343" spans="1:60">
      <c r="A343" t="s">
        <v>1689</v>
      </c>
      <c r="B343" t="s">
        <v>208</v>
      </c>
      <c r="C343">
        <v>302</v>
      </c>
      <c r="D343" t="s">
        <v>1468</v>
      </c>
      <c r="E343">
        <v>1</v>
      </c>
      <c r="F343" t="s">
        <v>552</v>
      </c>
      <c r="G343" t="s">
        <v>552</v>
      </c>
      <c r="H343" t="s">
        <v>552</v>
      </c>
      <c r="I343" t="s">
        <v>552</v>
      </c>
      <c r="K343">
        <v>30</v>
      </c>
      <c r="L343">
        <v>30</v>
      </c>
      <c r="O343">
        <v>1</v>
      </c>
      <c r="P343">
        <v>8993</v>
      </c>
      <c r="Q343">
        <v>9129</v>
      </c>
      <c r="R343">
        <v>136</v>
      </c>
      <c r="S343">
        <v>4000</v>
      </c>
      <c r="T343">
        <v>544</v>
      </c>
      <c r="W343">
        <v>1</v>
      </c>
      <c r="X343">
        <v>90</v>
      </c>
      <c r="Y343">
        <v>90000</v>
      </c>
      <c r="Z343">
        <v>1</v>
      </c>
      <c r="AA343">
        <v>30000</v>
      </c>
      <c r="AB343">
        <v>30000</v>
      </c>
      <c r="AC343">
        <v>1</v>
      </c>
      <c r="AD343">
        <v>100000</v>
      </c>
      <c r="AE343">
        <v>100000</v>
      </c>
      <c r="AI343">
        <v>0</v>
      </c>
      <c r="AK343">
        <v>0</v>
      </c>
      <c r="AL343">
        <v>0</v>
      </c>
      <c r="AM343">
        <v>60000</v>
      </c>
      <c r="AN343">
        <v>0</v>
      </c>
      <c r="AQ343">
        <v>0</v>
      </c>
      <c r="AU343">
        <v>764</v>
      </c>
      <c r="AV343" t="s">
        <v>696</v>
      </c>
      <c r="AX343" t="s">
        <v>1690</v>
      </c>
      <c r="AY343" t="s">
        <v>383</v>
      </c>
      <c r="AZ343">
        <v>0</v>
      </c>
    </row>
    <row r="344" spans="1:60">
      <c r="A344" t="s">
        <v>1691</v>
      </c>
      <c r="B344" t="s">
        <v>208</v>
      </c>
      <c r="C344">
        <v>401</v>
      </c>
      <c r="D344" t="s">
        <v>1468</v>
      </c>
      <c r="E344">
        <v>1</v>
      </c>
      <c r="F344" t="s">
        <v>277</v>
      </c>
      <c r="G344" t="s">
        <v>395</v>
      </c>
      <c r="H344" t="s">
        <v>277</v>
      </c>
      <c r="I344" t="s">
        <v>277</v>
      </c>
      <c r="K344">
        <v>30</v>
      </c>
      <c r="L344">
        <v>30</v>
      </c>
      <c r="O344">
        <v>2</v>
      </c>
      <c r="P344">
        <v>15006</v>
      </c>
      <c r="Q344">
        <v>15080</v>
      </c>
      <c r="R344">
        <v>74</v>
      </c>
      <c r="S344">
        <v>4000</v>
      </c>
      <c r="T344">
        <v>296</v>
      </c>
      <c r="W344">
        <v>2</v>
      </c>
      <c r="X344">
        <v>120</v>
      </c>
      <c r="Y344">
        <v>240000</v>
      </c>
      <c r="AB344">
        <v>0</v>
      </c>
      <c r="AC344">
        <v>1</v>
      </c>
      <c r="AD344">
        <v>100000</v>
      </c>
      <c r="AE344">
        <v>100000</v>
      </c>
      <c r="AN344">
        <v>0</v>
      </c>
      <c r="AO344">
        <v>2</v>
      </c>
      <c r="AP344">
        <v>120000</v>
      </c>
      <c r="AQ344">
        <v>240000</v>
      </c>
      <c r="AU344">
        <v>876</v>
      </c>
      <c r="AV344" t="s">
        <v>1692</v>
      </c>
      <c r="AW344" t="s">
        <v>697</v>
      </c>
      <c r="AX344" t="s">
        <v>1693</v>
      </c>
      <c r="AY344" t="s">
        <v>383</v>
      </c>
      <c r="AZ344">
        <v>0</v>
      </c>
    </row>
    <row r="345" spans="1:60">
      <c r="A345" t="s">
        <v>1694</v>
      </c>
      <c r="B345" t="s">
        <v>208</v>
      </c>
      <c r="C345">
        <v>402</v>
      </c>
      <c r="D345" t="s">
        <v>1468</v>
      </c>
      <c r="E345">
        <v>1</v>
      </c>
      <c r="F345" t="s">
        <v>498</v>
      </c>
      <c r="G345" t="s">
        <v>552</v>
      </c>
      <c r="H345" t="s">
        <v>498</v>
      </c>
      <c r="I345" t="s">
        <v>498</v>
      </c>
      <c r="K345">
        <v>30</v>
      </c>
      <c r="L345">
        <v>30</v>
      </c>
      <c r="O345">
        <v>1</v>
      </c>
      <c r="P345">
        <v>8569</v>
      </c>
      <c r="Q345">
        <v>8699</v>
      </c>
      <c r="R345">
        <v>130</v>
      </c>
      <c r="S345">
        <v>4000</v>
      </c>
      <c r="T345">
        <v>520</v>
      </c>
      <c r="W345">
        <v>1</v>
      </c>
      <c r="X345">
        <v>120</v>
      </c>
      <c r="Y345">
        <v>120000</v>
      </c>
      <c r="AB345">
        <v>0</v>
      </c>
      <c r="AC345">
        <v>1</v>
      </c>
      <c r="AD345">
        <v>100000</v>
      </c>
      <c r="AE345">
        <v>100000</v>
      </c>
      <c r="AN345">
        <v>0</v>
      </c>
      <c r="AO345">
        <v>1</v>
      </c>
      <c r="AP345">
        <v>120000</v>
      </c>
      <c r="AQ345">
        <v>120000</v>
      </c>
      <c r="AU345">
        <v>860</v>
      </c>
      <c r="AV345" t="s">
        <v>1695</v>
      </c>
      <c r="AX345" t="s">
        <v>1696</v>
      </c>
      <c r="AY345" t="s">
        <v>383</v>
      </c>
      <c r="AZ345">
        <v>0</v>
      </c>
    </row>
    <row r="346" spans="1:60">
      <c r="A346" t="s">
        <v>1697</v>
      </c>
      <c r="B346" t="s">
        <v>209</v>
      </c>
      <c r="C346">
        <v>101</v>
      </c>
      <c r="D346" t="s">
        <v>1468</v>
      </c>
      <c r="E346">
        <v>1</v>
      </c>
      <c r="F346" t="s">
        <v>277</v>
      </c>
      <c r="G346" t="s">
        <v>395</v>
      </c>
      <c r="H346" t="s">
        <v>277</v>
      </c>
      <c r="I346" t="s">
        <v>277</v>
      </c>
      <c r="K346">
        <v>30</v>
      </c>
      <c r="L346">
        <v>30</v>
      </c>
      <c r="O346">
        <v>2</v>
      </c>
      <c r="P346">
        <v>6939</v>
      </c>
      <c r="Q346">
        <v>7134</v>
      </c>
      <c r="R346">
        <v>195</v>
      </c>
      <c r="S346">
        <v>4000</v>
      </c>
      <c r="T346">
        <v>780</v>
      </c>
      <c r="W346">
        <v>2</v>
      </c>
      <c r="X346">
        <v>120</v>
      </c>
      <c r="Y346">
        <v>240000</v>
      </c>
      <c r="Z346">
        <v>0</v>
      </c>
      <c r="AB346">
        <v>0</v>
      </c>
      <c r="AC346">
        <v>1</v>
      </c>
      <c r="AD346">
        <v>100000</v>
      </c>
      <c r="AE346">
        <v>100000</v>
      </c>
      <c r="AN346">
        <v>0</v>
      </c>
      <c r="AO346">
        <v>2</v>
      </c>
      <c r="AP346">
        <v>120000</v>
      </c>
      <c r="AQ346">
        <v>240000</v>
      </c>
      <c r="AU346" t="s">
        <v>1391</v>
      </c>
      <c r="AV346" t="s">
        <v>1698</v>
      </c>
      <c r="AW346" t="s">
        <v>697</v>
      </c>
      <c r="AX346" t="s">
        <v>1699</v>
      </c>
      <c r="AY346" t="s">
        <v>383</v>
      </c>
      <c r="AZ346">
        <v>0</v>
      </c>
    </row>
    <row r="347" spans="1:60">
      <c r="A347" t="s">
        <v>1700</v>
      </c>
      <c r="B347" t="s">
        <v>209</v>
      </c>
      <c r="C347">
        <v>102</v>
      </c>
      <c r="D347" t="s">
        <v>1468</v>
      </c>
      <c r="E347">
        <v>1</v>
      </c>
      <c r="F347" t="s">
        <v>498</v>
      </c>
      <c r="G347" t="s">
        <v>395</v>
      </c>
      <c r="H347" t="s">
        <v>498</v>
      </c>
      <c r="I347" t="s">
        <v>498</v>
      </c>
      <c r="K347">
        <v>30</v>
      </c>
      <c r="L347">
        <v>30</v>
      </c>
      <c r="O347">
        <v>1</v>
      </c>
      <c r="P347">
        <v>12026</v>
      </c>
      <c r="Q347">
        <v>12251</v>
      </c>
      <c r="R347">
        <v>225</v>
      </c>
      <c r="S347">
        <v>4000</v>
      </c>
      <c r="T347">
        <v>900</v>
      </c>
      <c r="U347">
        <v>794</v>
      </c>
      <c r="V347">
        <v>796</v>
      </c>
      <c r="W347">
        <v>2</v>
      </c>
      <c r="X347">
        <v>35</v>
      </c>
      <c r="Y347">
        <v>70000</v>
      </c>
      <c r="AB347">
        <v>0</v>
      </c>
      <c r="AD347">
        <v>100000</v>
      </c>
      <c r="AE347">
        <v>0</v>
      </c>
      <c r="AN347">
        <v>0</v>
      </c>
      <c r="AO347">
        <v>1</v>
      </c>
      <c r="AP347">
        <v>120000</v>
      </c>
      <c r="AQ347">
        <v>120000</v>
      </c>
      <c r="AU347" t="s">
        <v>1701</v>
      </c>
      <c r="AV347" t="s">
        <v>1702</v>
      </c>
      <c r="AX347" t="s">
        <v>1703</v>
      </c>
      <c r="AY347" t="s">
        <v>383</v>
      </c>
      <c r="AZ347">
        <v>0</v>
      </c>
    </row>
    <row r="348" spans="1:60">
      <c r="A348" t="s">
        <v>1704</v>
      </c>
      <c r="B348" t="s">
        <v>209</v>
      </c>
      <c r="C348">
        <v>201</v>
      </c>
      <c r="D348" t="s">
        <v>1468</v>
      </c>
      <c r="E348">
        <v>1</v>
      </c>
      <c r="F348" t="s">
        <v>609</v>
      </c>
      <c r="G348" t="s">
        <v>609</v>
      </c>
      <c r="H348" t="s">
        <v>609</v>
      </c>
      <c r="I348" t="s">
        <v>609</v>
      </c>
      <c r="K348">
        <v>30</v>
      </c>
      <c r="L348">
        <v>30</v>
      </c>
      <c r="O348">
        <v>2</v>
      </c>
      <c r="P348">
        <v>11326</v>
      </c>
      <c r="Q348">
        <v>11748</v>
      </c>
      <c r="R348">
        <v>422</v>
      </c>
      <c r="S348">
        <v>4000</v>
      </c>
      <c r="T348" t="s">
        <v>1705</v>
      </c>
      <c r="W348">
        <v>2</v>
      </c>
      <c r="X348">
        <v>120</v>
      </c>
      <c r="Y348">
        <v>240000</v>
      </c>
      <c r="AB348">
        <v>0</v>
      </c>
      <c r="AC348">
        <v>1</v>
      </c>
      <c r="AD348">
        <v>100000</v>
      </c>
      <c r="AE348">
        <v>100000</v>
      </c>
      <c r="AN348">
        <v>0</v>
      </c>
      <c r="AO348">
        <v>2</v>
      </c>
      <c r="AP348">
        <v>120000</v>
      </c>
      <c r="AQ348">
        <v>240000</v>
      </c>
      <c r="AU348" t="s">
        <v>1706</v>
      </c>
      <c r="AV348" t="s">
        <v>1707</v>
      </c>
      <c r="AX348" t="s">
        <v>1708</v>
      </c>
      <c r="AY348" t="s">
        <v>522</v>
      </c>
      <c r="AZ348">
        <v>20</v>
      </c>
    </row>
    <row r="349" spans="1:60">
      <c r="A349" t="s">
        <v>1709</v>
      </c>
      <c r="B349" t="s">
        <v>209</v>
      </c>
      <c r="C349">
        <v>202</v>
      </c>
      <c r="D349" t="s">
        <v>1468</v>
      </c>
      <c r="E349">
        <v>1</v>
      </c>
      <c r="F349" t="s">
        <v>395</v>
      </c>
      <c r="G349" t="s">
        <v>609</v>
      </c>
      <c r="H349" t="s">
        <v>395</v>
      </c>
      <c r="I349" t="s">
        <v>395</v>
      </c>
      <c r="K349">
        <v>30</v>
      </c>
      <c r="L349">
        <v>30</v>
      </c>
      <c r="O349">
        <v>1</v>
      </c>
      <c r="P349">
        <v>12926</v>
      </c>
      <c r="Q349">
        <v>13012</v>
      </c>
      <c r="R349">
        <v>86</v>
      </c>
      <c r="S349">
        <v>4000</v>
      </c>
      <c r="T349">
        <v>344</v>
      </c>
      <c r="W349">
        <v>1</v>
      </c>
      <c r="X349">
        <v>150</v>
      </c>
      <c r="Y349">
        <v>150000</v>
      </c>
      <c r="AA349">
        <v>30000</v>
      </c>
      <c r="AB349">
        <v>0</v>
      </c>
      <c r="AC349">
        <v>1</v>
      </c>
      <c r="AD349">
        <v>100000</v>
      </c>
      <c r="AE349">
        <v>100000</v>
      </c>
      <c r="AN349">
        <v>0</v>
      </c>
      <c r="AO349">
        <v>1</v>
      </c>
      <c r="AP349">
        <v>60000</v>
      </c>
      <c r="AQ349">
        <v>60000</v>
      </c>
      <c r="AU349">
        <v>654</v>
      </c>
      <c r="AV349" t="s">
        <v>1710</v>
      </c>
      <c r="AX349" t="s">
        <v>1711</v>
      </c>
      <c r="AY349" t="s">
        <v>383</v>
      </c>
      <c r="AZ349">
        <v>0</v>
      </c>
    </row>
    <row r="350" spans="1:60">
      <c r="A350" t="s">
        <v>1712</v>
      </c>
      <c r="B350" t="s">
        <v>209</v>
      </c>
      <c r="C350">
        <v>203</v>
      </c>
      <c r="D350" t="s">
        <v>1468</v>
      </c>
      <c r="G350" t="s">
        <v>609</v>
      </c>
      <c r="H350" t="s">
        <v>445</v>
      </c>
      <c r="I350" t="s">
        <v>445</v>
      </c>
      <c r="K350">
        <v>30</v>
      </c>
      <c r="L350">
        <v>30</v>
      </c>
      <c r="P350">
        <v>13550</v>
      </c>
      <c r="Q350">
        <v>13765</v>
      </c>
      <c r="R350">
        <v>215</v>
      </c>
      <c r="S350">
        <v>4000</v>
      </c>
      <c r="T350">
        <v>860</v>
      </c>
      <c r="X350">
        <v>120</v>
      </c>
      <c r="Y350">
        <v>0</v>
      </c>
      <c r="AA350">
        <v>30000</v>
      </c>
      <c r="AB350">
        <v>0</v>
      </c>
      <c r="AD350">
        <v>100000</v>
      </c>
      <c r="AE350">
        <v>0</v>
      </c>
      <c r="AN350">
        <v>0</v>
      </c>
      <c r="AQ350">
        <v>0</v>
      </c>
      <c r="AU350">
        <v>860</v>
      </c>
      <c r="AV350">
        <v>860</v>
      </c>
      <c r="AW350" t="s">
        <v>1713</v>
      </c>
      <c r="AX350">
        <v>860</v>
      </c>
      <c r="AY350" t="s">
        <v>383</v>
      </c>
      <c r="AZ350">
        <v>0</v>
      </c>
    </row>
    <row r="351" spans="1:60">
      <c r="A351" t="s">
        <v>1714</v>
      </c>
      <c r="B351" t="s">
        <v>209</v>
      </c>
      <c r="C351">
        <v>204</v>
      </c>
      <c r="D351" t="s">
        <v>1468</v>
      </c>
      <c r="G351" t="s">
        <v>609</v>
      </c>
      <c r="H351" t="s">
        <v>277</v>
      </c>
      <c r="I351" t="s">
        <v>277</v>
      </c>
      <c r="K351">
        <v>30</v>
      </c>
      <c r="L351">
        <v>30</v>
      </c>
      <c r="P351">
        <v>12341</v>
      </c>
      <c r="Q351">
        <v>12513</v>
      </c>
      <c r="R351">
        <v>172</v>
      </c>
      <c r="S351">
        <v>4000</v>
      </c>
      <c r="T351">
        <v>688</v>
      </c>
      <c r="W351">
        <v>0</v>
      </c>
      <c r="X351">
        <v>35</v>
      </c>
      <c r="Y351">
        <v>0</v>
      </c>
      <c r="AB351">
        <v>0</v>
      </c>
      <c r="AD351">
        <v>100000</v>
      </c>
      <c r="AE351">
        <v>0</v>
      </c>
      <c r="AL351">
        <v>0</v>
      </c>
      <c r="AM351">
        <v>60000</v>
      </c>
      <c r="AN351">
        <v>0</v>
      </c>
      <c r="AP351">
        <v>120000</v>
      </c>
      <c r="AQ351">
        <v>0</v>
      </c>
      <c r="AU351">
        <v>688</v>
      </c>
      <c r="AV351">
        <v>688</v>
      </c>
      <c r="AW351" t="s">
        <v>1715</v>
      </c>
      <c r="AX351">
        <v>688</v>
      </c>
      <c r="AY351" t="s">
        <v>383</v>
      </c>
      <c r="AZ351">
        <v>0</v>
      </c>
    </row>
    <row r="352" spans="1:60">
      <c r="A352" t="s">
        <v>1716</v>
      </c>
      <c r="B352" t="s">
        <v>209</v>
      </c>
      <c r="C352">
        <v>301</v>
      </c>
      <c r="D352" t="s">
        <v>1468</v>
      </c>
      <c r="E352">
        <v>1</v>
      </c>
      <c r="F352" t="s">
        <v>552</v>
      </c>
      <c r="G352" t="s">
        <v>395</v>
      </c>
      <c r="H352" t="s">
        <v>552</v>
      </c>
      <c r="I352" t="s">
        <v>552</v>
      </c>
      <c r="K352">
        <v>30</v>
      </c>
      <c r="L352">
        <v>30</v>
      </c>
      <c r="O352">
        <v>2</v>
      </c>
      <c r="P352">
        <v>15649</v>
      </c>
      <c r="Q352">
        <v>15951</v>
      </c>
      <c r="R352">
        <v>302</v>
      </c>
      <c r="S352">
        <v>4000</v>
      </c>
      <c r="T352" t="s">
        <v>1717</v>
      </c>
      <c r="W352">
        <v>2</v>
      </c>
      <c r="X352">
        <v>90</v>
      </c>
      <c r="Y352">
        <v>180000</v>
      </c>
      <c r="Z352">
        <v>2</v>
      </c>
      <c r="AA352">
        <v>30000</v>
      </c>
      <c r="AB352">
        <v>60000</v>
      </c>
      <c r="AD352">
        <v>100000</v>
      </c>
      <c r="AE352">
        <v>0</v>
      </c>
      <c r="AN352">
        <v>0</v>
      </c>
      <c r="AU352" t="s">
        <v>1718</v>
      </c>
      <c r="AV352" t="s">
        <v>1336</v>
      </c>
      <c r="AX352" t="s">
        <v>1338</v>
      </c>
      <c r="AY352" t="s">
        <v>383</v>
      </c>
      <c r="AZ352">
        <v>0</v>
      </c>
    </row>
    <row r="353" spans="1:52">
      <c r="A353" t="s">
        <v>1719</v>
      </c>
      <c r="B353" t="s">
        <v>209</v>
      </c>
      <c r="C353">
        <v>302</v>
      </c>
      <c r="D353" t="s">
        <v>1468</v>
      </c>
      <c r="E353">
        <v>1</v>
      </c>
      <c r="F353" t="s">
        <v>445</v>
      </c>
      <c r="G353" t="s">
        <v>395</v>
      </c>
      <c r="H353" t="s">
        <v>445</v>
      </c>
      <c r="I353" t="s">
        <v>445</v>
      </c>
      <c r="K353">
        <v>30</v>
      </c>
      <c r="L353">
        <v>30</v>
      </c>
      <c r="O353">
        <v>1</v>
      </c>
      <c r="P353">
        <v>264</v>
      </c>
      <c r="Q353">
        <v>377</v>
      </c>
      <c r="R353">
        <v>113</v>
      </c>
      <c r="S353">
        <v>4000</v>
      </c>
      <c r="T353">
        <v>452</v>
      </c>
      <c r="W353">
        <v>1</v>
      </c>
      <c r="X353">
        <v>120</v>
      </c>
      <c r="Y353">
        <v>120000</v>
      </c>
      <c r="AB353">
        <v>0</v>
      </c>
      <c r="AC353">
        <v>1</v>
      </c>
      <c r="AD353">
        <v>100000</v>
      </c>
      <c r="AE353">
        <v>100000</v>
      </c>
      <c r="AN353">
        <v>0</v>
      </c>
      <c r="AO353">
        <v>1</v>
      </c>
      <c r="AP353">
        <v>120000</v>
      </c>
      <c r="AQ353">
        <v>120000</v>
      </c>
      <c r="AU353">
        <v>792</v>
      </c>
      <c r="AV353" t="s">
        <v>1720</v>
      </c>
      <c r="AX353" t="s">
        <v>1721</v>
      </c>
      <c r="AY353" t="s">
        <v>383</v>
      </c>
      <c r="AZ353">
        <v>0</v>
      </c>
    </row>
    <row r="354" spans="1:52">
      <c r="A354" t="s">
        <v>1722</v>
      </c>
      <c r="B354" t="s">
        <v>209</v>
      </c>
      <c r="C354">
        <v>303</v>
      </c>
      <c r="D354" t="s">
        <v>1468</v>
      </c>
      <c r="E354">
        <v>1</v>
      </c>
      <c r="F354" t="s">
        <v>395</v>
      </c>
      <c r="G354" t="s">
        <v>395</v>
      </c>
      <c r="H354" t="s">
        <v>395</v>
      </c>
      <c r="I354" t="s">
        <v>395</v>
      </c>
      <c r="K354">
        <v>30</v>
      </c>
      <c r="L354">
        <v>30</v>
      </c>
      <c r="O354">
        <v>1</v>
      </c>
      <c r="P354">
        <v>12506</v>
      </c>
      <c r="Q354">
        <v>12743</v>
      </c>
      <c r="R354">
        <v>237</v>
      </c>
      <c r="S354">
        <v>4000</v>
      </c>
      <c r="T354">
        <v>948</v>
      </c>
      <c r="U354">
        <v>595</v>
      </c>
      <c r="V354">
        <v>597</v>
      </c>
      <c r="W354">
        <v>2</v>
      </c>
      <c r="X354">
        <v>35</v>
      </c>
      <c r="Y354">
        <v>70000</v>
      </c>
      <c r="AB354">
        <v>0</v>
      </c>
      <c r="AD354">
        <v>100000</v>
      </c>
      <c r="AE354">
        <v>0</v>
      </c>
      <c r="AL354">
        <v>0</v>
      </c>
      <c r="AN354">
        <v>0</v>
      </c>
      <c r="AO354">
        <v>1</v>
      </c>
      <c r="AP354">
        <v>120000</v>
      </c>
      <c r="AQ354">
        <v>120000</v>
      </c>
      <c r="AU354" t="s">
        <v>1723</v>
      </c>
      <c r="AV354" t="s">
        <v>1724</v>
      </c>
      <c r="AX354" t="s">
        <v>1725</v>
      </c>
      <c r="AY354" t="s">
        <v>383</v>
      </c>
      <c r="AZ354">
        <v>0</v>
      </c>
    </row>
    <row r="355" spans="1:52">
      <c r="A355" t="s">
        <v>1726</v>
      </c>
      <c r="B355" t="s">
        <v>209</v>
      </c>
      <c r="C355">
        <v>304</v>
      </c>
      <c r="D355" t="s">
        <v>1468</v>
      </c>
      <c r="E355">
        <v>1</v>
      </c>
      <c r="F355" t="s">
        <v>426</v>
      </c>
      <c r="G355" t="s">
        <v>395</v>
      </c>
      <c r="H355" t="s">
        <v>426</v>
      </c>
      <c r="I355" t="s">
        <v>426</v>
      </c>
      <c r="K355">
        <v>30</v>
      </c>
      <c r="L355">
        <v>30</v>
      </c>
      <c r="O355">
        <v>3</v>
      </c>
      <c r="P355">
        <v>13399</v>
      </c>
      <c r="Q355">
        <v>13533</v>
      </c>
      <c r="R355">
        <v>134</v>
      </c>
      <c r="S355">
        <v>4000</v>
      </c>
      <c r="T355">
        <v>536</v>
      </c>
      <c r="W355">
        <v>3</v>
      </c>
      <c r="X355">
        <v>120</v>
      </c>
      <c r="Y355">
        <v>360000</v>
      </c>
      <c r="AB355">
        <v>0</v>
      </c>
      <c r="AC355">
        <v>1</v>
      </c>
      <c r="AD355">
        <v>100000</v>
      </c>
      <c r="AE355">
        <v>100000</v>
      </c>
      <c r="AN355">
        <v>0</v>
      </c>
      <c r="AO355">
        <v>3</v>
      </c>
      <c r="AP355">
        <v>120000</v>
      </c>
      <c r="AQ355">
        <v>360000</v>
      </c>
      <c r="AU355" t="s">
        <v>1727</v>
      </c>
      <c r="AV355" t="s">
        <v>1728</v>
      </c>
      <c r="AW355" t="s">
        <v>829</v>
      </c>
      <c r="AX355">
        <v>500</v>
      </c>
      <c r="AY355" t="s">
        <v>417</v>
      </c>
      <c r="AZ355" t="s">
        <v>1729</v>
      </c>
    </row>
    <row r="356" spans="1:52">
      <c r="A356" t="s">
        <v>1730</v>
      </c>
      <c r="B356" t="s">
        <v>209</v>
      </c>
      <c r="C356">
        <v>401</v>
      </c>
      <c r="D356" t="s">
        <v>1468</v>
      </c>
      <c r="E356">
        <v>1</v>
      </c>
      <c r="F356" t="s">
        <v>498</v>
      </c>
      <c r="G356" t="s">
        <v>277</v>
      </c>
      <c r="H356" t="s">
        <v>498</v>
      </c>
      <c r="I356" t="s">
        <v>498</v>
      </c>
      <c r="K356">
        <v>30</v>
      </c>
      <c r="L356">
        <v>30</v>
      </c>
      <c r="O356">
        <v>2</v>
      </c>
      <c r="P356">
        <v>10856</v>
      </c>
      <c r="Q356">
        <v>10973</v>
      </c>
      <c r="R356">
        <v>117</v>
      </c>
      <c r="S356">
        <v>4000</v>
      </c>
      <c r="T356">
        <v>468</v>
      </c>
      <c r="U356">
        <v>628</v>
      </c>
      <c r="V356">
        <v>632</v>
      </c>
      <c r="W356">
        <v>4</v>
      </c>
      <c r="X356">
        <v>35</v>
      </c>
      <c r="Y356">
        <v>140000</v>
      </c>
      <c r="AB356">
        <v>0</v>
      </c>
      <c r="AD356">
        <v>100000</v>
      </c>
      <c r="AE356">
        <v>0</v>
      </c>
      <c r="AN356">
        <v>0</v>
      </c>
      <c r="AO356">
        <v>2</v>
      </c>
      <c r="AP356">
        <v>120000</v>
      </c>
      <c r="AQ356">
        <v>240000</v>
      </c>
      <c r="AU356">
        <v>848</v>
      </c>
      <c r="AV356" t="s">
        <v>1731</v>
      </c>
      <c r="AX356" t="s">
        <v>1732</v>
      </c>
      <c r="AY356" t="s">
        <v>383</v>
      </c>
      <c r="AZ356">
        <v>0</v>
      </c>
    </row>
    <row r="357" spans="1:52">
      <c r="A357" t="s">
        <v>1733</v>
      </c>
      <c r="B357" t="s">
        <v>209</v>
      </c>
      <c r="C357">
        <v>402</v>
      </c>
      <c r="D357" t="s">
        <v>1468</v>
      </c>
      <c r="E357">
        <v>1</v>
      </c>
      <c r="F357" t="s">
        <v>445</v>
      </c>
      <c r="G357" t="s">
        <v>277</v>
      </c>
      <c r="H357" t="s">
        <v>445</v>
      </c>
      <c r="I357" t="s">
        <v>445</v>
      </c>
      <c r="K357">
        <v>30</v>
      </c>
      <c r="L357">
        <v>30</v>
      </c>
      <c r="O357">
        <v>2</v>
      </c>
      <c r="P357">
        <v>12412</v>
      </c>
      <c r="Q357">
        <v>12599</v>
      </c>
      <c r="R357">
        <v>187</v>
      </c>
      <c r="S357">
        <v>4000</v>
      </c>
      <c r="T357">
        <v>748</v>
      </c>
      <c r="W357">
        <v>2</v>
      </c>
      <c r="X357">
        <v>90</v>
      </c>
      <c r="Y357">
        <v>180000</v>
      </c>
      <c r="Z357">
        <v>2</v>
      </c>
      <c r="AA357">
        <v>30000</v>
      </c>
      <c r="AB357">
        <v>60000</v>
      </c>
      <c r="AC357">
        <v>1</v>
      </c>
      <c r="AD357">
        <v>100000</v>
      </c>
      <c r="AE357">
        <v>100000</v>
      </c>
      <c r="AL357">
        <v>2</v>
      </c>
      <c r="AM357">
        <v>60000</v>
      </c>
      <c r="AN357">
        <v>120</v>
      </c>
      <c r="AU357" t="s">
        <v>1734</v>
      </c>
      <c r="AV357" t="s">
        <v>1735</v>
      </c>
      <c r="AX357" t="s">
        <v>1736</v>
      </c>
      <c r="AY357" t="s">
        <v>383</v>
      </c>
      <c r="AZ357">
        <v>0</v>
      </c>
    </row>
    <row r="358" spans="1:52">
      <c r="A358" t="s">
        <v>1737</v>
      </c>
      <c r="B358" t="s">
        <v>209</v>
      </c>
      <c r="C358">
        <v>403</v>
      </c>
      <c r="D358" t="s">
        <v>1468</v>
      </c>
      <c r="E358">
        <v>1</v>
      </c>
      <c r="F358" t="s">
        <v>445</v>
      </c>
      <c r="G358" t="s">
        <v>277</v>
      </c>
      <c r="H358" t="s">
        <v>445</v>
      </c>
      <c r="I358" t="s">
        <v>445</v>
      </c>
      <c r="K358">
        <v>30</v>
      </c>
      <c r="L358">
        <v>30</v>
      </c>
      <c r="O358">
        <v>3</v>
      </c>
      <c r="P358">
        <v>19376</v>
      </c>
      <c r="Q358">
        <v>19585</v>
      </c>
      <c r="R358">
        <v>209</v>
      </c>
      <c r="S358">
        <v>4000</v>
      </c>
      <c r="T358">
        <v>836</v>
      </c>
      <c r="W358">
        <v>3</v>
      </c>
      <c r="X358">
        <v>90</v>
      </c>
      <c r="Y358">
        <v>270000</v>
      </c>
      <c r="Z358">
        <v>3</v>
      </c>
      <c r="AA358">
        <v>30000</v>
      </c>
      <c r="AB358">
        <v>90000</v>
      </c>
      <c r="AC358">
        <v>1</v>
      </c>
      <c r="AD358">
        <v>100000</v>
      </c>
      <c r="AE358">
        <v>100000</v>
      </c>
      <c r="AM358">
        <v>60000</v>
      </c>
      <c r="AN358">
        <v>0</v>
      </c>
      <c r="AU358" t="s">
        <v>1738</v>
      </c>
      <c r="AV358" t="s">
        <v>1739</v>
      </c>
      <c r="AX358" t="s">
        <v>1740</v>
      </c>
      <c r="AY358" t="s">
        <v>383</v>
      </c>
      <c r="AZ358">
        <v>0</v>
      </c>
    </row>
    <row r="359" spans="1:52">
      <c r="A359" t="s">
        <v>1741</v>
      </c>
      <c r="B359" t="s">
        <v>209</v>
      </c>
      <c r="C359">
        <v>404</v>
      </c>
      <c r="D359" t="s">
        <v>1468</v>
      </c>
      <c r="E359">
        <v>1</v>
      </c>
      <c r="F359" t="s">
        <v>277</v>
      </c>
      <c r="G359" t="s">
        <v>277</v>
      </c>
      <c r="H359" t="s">
        <v>277</v>
      </c>
      <c r="I359" t="s">
        <v>277</v>
      </c>
      <c r="J359" t="s">
        <v>277</v>
      </c>
      <c r="K359">
        <v>30</v>
      </c>
      <c r="L359">
        <v>30</v>
      </c>
      <c r="O359">
        <v>2</v>
      </c>
      <c r="P359">
        <v>16175</v>
      </c>
      <c r="Q359">
        <v>16175</v>
      </c>
      <c r="R359">
        <v>0</v>
      </c>
      <c r="S359">
        <v>4000</v>
      </c>
      <c r="T359">
        <v>0</v>
      </c>
      <c r="W359">
        <v>2</v>
      </c>
      <c r="X359">
        <v>120</v>
      </c>
      <c r="Y359">
        <v>240000</v>
      </c>
      <c r="AB359">
        <v>0</v>
      </c>
      <c r="AC359">
        <v>1</v>
      </c>
      <c r="AD359">
        <v>100000</v>
      </c>
      <c r="AE359">
        <v>100000</v>
      </c>
      <c r="AM359">
        <v>60000</v>
      </c>
      <c r="AN359">
        <v>0</v>
      </c>
      <c r="AO359">
        <v>2</v>
      </c>
      <c r="AP359">
        <v>120000</v>
      </c>
      <c r="AQ359">
        <v>240000</v>
      </c>
      <c r="AU359">
        <v>580</v>
      </c>
      <c r="AV359" t="s">
        <v>1742</v>
      </c>
      <c r="AW359" t="s">
        <v>1743</v>
      </c>
      <c r="AX359" t="s">
        <v>1744</v>
      </c>
      <c r="AY359" t="s">
        <v>383</v>
      </c>
      <c r="AZ359">
        <v>0</v>
      </c>
    </row>
    <row r="360" spans="1:52">
      <c r="A360" t="s">
        <v>1745</v>
      </c>
      <c r="B360" t="s">
        <v>209</v>
      </c>
      <c r="C360">
        <v>501</v>
      </c>
      <c r="D360" t="s">
        <v>1468</v>
      </c>
      <c r="E360">
        <v>1</v>
      </c>
      <c r="F360" t="s">
        <v>416</v>
      </c>
      <c r="G360" t="s">
        <v>498</v>
      </c>
      <c r="H360" t="s">
        <v>416</v>
      </c>
      <c r="I360" t="s">
        <v>416</v>
      </c>
      <c r="K360">
        <v>30</v>
      </c>
      <c r="L360">
        <v>30</v>
      </c>
      <c r="O360">
        <v>1</v>
      </c>
      <c r="P360">
        <v>6640</v>
      </c>
      <c r="Q360">
        <v>6753</v>
      </c>
      <c r="R360">
        <v>113</v>
      </c>
      <c r="S360">
        <v>4000</v>
      </c>
      <c r="T360">
        <v>452</v>
      </c>
      <c r="W360">
        <v>1</v>
      </c>
      <c r="X360">
        <v>120</v>
      </c>
      <c r="Y360">
        <v>120000</v>
      </c>
      <c r="AB360">
        <v>0</v>
      </c>
      <c r="AC360">
        <v>1</v>
      </c>
      <c r="AD360">
        <v>100000</v>
      </c>
      <c r="AE360">
        <v>100000</v>
      </c>
      <c r="AN360">
        <v>0</v>
      </c>
      <c r="AO360">
        <v>1</v>
      </c>
      <c r="AP360">
        <v>120000</v>
      </c>
      <c r="AQ360">
        <v>120000</v>
      </c>
      <c r="AU360">
        <v>792</v>
      </c>
      <c r="AV360" t="s">
        <v>1746</v>
      </c>
      <c r="AX360" t="s">
        <v>1747</v>
      </c>
      <c r="AY360" t="s">
        <v>383</v>
      </c>
      <c r="AZ360">
        <v>0</v>
      </c>
    </row>
    <row r="361" spans="1:52">
      <c r="A361" t="s">
        <v>1748</v>
      </c>
      <c r="B361" t="s">
        <v>209</v>
      </c>
      <c r="C361">
        <v>502</v>
      </c>
      <c r="D361" t="s">
        <v>1468</v>
      </c>
      <c r="E361">
        <v>1</v>
      </c>
      <c r="F361" t="s">
        <v>498</v>
      </c>
      <c r="G361" t="s">
        <v>498</v>
      </c>
      <c r="H361" t="s">
        <v>498</v>
      </c>
      <c r="I361" t="s">
        <v>498</v>
      </c>
      <c r="K361">
        <v>30</v>
      </c>
      <c r="L361">
        <v>30</v>
      </c>
      <c r="O361">
        <v>1</v>
      </c>
      <c r="P361">
        <v>9835</v>
      </c>
      <c r="Q361">
        <v>10013</v>
      </c>
      <c r="R361">
        <v>178</v>
      </c>
      <c r="S361">
        <v>4000</v>
      </c>
      <c r="T361">
        <v>712</v>
      </c>
      <c r="W361">
        <v>1</v>
      </c>
      <c r="X361">
        <v>120</v>
      </c>
      <c r="Y361">
        <v>120000</v>
      </c>
      <c r="AA361">
        <v>30000</v>
      </c>
      <c r="AB361">
        <v>0</v>
      </c>
      <c r="AC361">
        <v>1</v>
      </c>
      <c r="AD361">
        <v>100000</v>
      </c>
      <c r="AE361">
        <v>100000</v>
      </c>
      <c r="AM361">
        <v>60000</v>
      </c>
      <c r="AN361">
        <v>0</v>
      </c>
      <c r="AO361">
        <v>1</v>
      </c>
      <c r="AP361">
        <v>120000</v>
      </c>
      <c r="AQ361">
        <v>120000</v>
      </c>
      <c r="AU361" t="s">
        <v>1538</v>
      </c>
      <c r="AV361" t="s">
        <v>1749</v>
      </c>
      <c r="AX361" t="s">
        <v>1750</v>
      </c>
      <c r="AY361" t="s">
        <v>383</v>
      </c>
      <c r="AZ361">
        <v>0</v>
      </c>
    </row>
    <row r="362" spans="1:52">
      <c r="A362" t="s">
        <v>1751</v>
      </c>
      <c r="B362" t="s">
        <v>209</v>
      </c>
      <c r="C362">
        <v>503</v>
      </c>
      <c r="D362" t="s">
        <v>1468</v>
      </c>
      <c r="E362">
        <v>1</v>
      </c>
      <c r="F362" t="s">
        <v>445</v>
      </c>
      <c r="G362" t="s">
        <v>498</v>
      </c>
      <c r="H362" t="s">
        <v>445</v>
      </c>
      <c r="I362" t="s">
        <v>445</v>
      </c>
      <c r="K362">
        <v>30</v>
      </c>
      <c r="L362">
        <v>30</v>
      </c>
      <c r="O362">
        <v>1</v>
      </c>
      <c r="P362">
        <v>9967</v>
      </c>
      <c r="Q362">
        <v>10093</v>
      </c>
      <c r="R362">
        <v>126</v>
      </c>
      <c r="S362">
        <v>4000</v>
      </c>
      <c r="T362">
        <v>504</v>
      </c>
      <c r="W362">
        <v>1</v>
      </c>
      <c r="X362">
        <v>90</v>
      </c>
      <c r="Y362">
        <v>90000</v>
      </c>
      <c r="Z362">
        <v>1</v>
      </c>
      <c r="AA362">
        <v>30000</v>
      </c>
      <c r="AB362">
        <v>30000</v>
      </c>
      <c r="AC362">
        <v>1</v>
      </c>
      <c r="AD362">
        <v>90000</v>
      </c>
      <c r="AE362">
        <v>90000</v>
      </c>
      <c r="AL362">
        <v>1</v>
      </c>
      <c r="AM362">
        <v>60000</v>
      </c>
      <c r="AN362">
        <v>60</v>
      </c>
      <c r="AU362">
        <v>774</v>
      </c>
      <c r="AV362" t="s">
        <v>1752</v>
      </c>
      <c r="AX362" t="s">
        <v>1753</v>
      </c>
      <c r="AY362" t="s">
        <v>383</v>
      </c>
      <c r="AZ362">
        <v>0</v>
      </c>
    </row>
    <row r="363" spans="1:52">
      <c r="A363" t="s">
        <v>1754</v>
      </c>
      <c r="B363" t="s">
        <v>209</v>
      </c>
      <c r="C363">
        <v>504</v>
      </c>
      <c r="D363" t="s">
        <v>1468</v>
      </c>
      <c r="E363">
        <v>1</v>
      </c>
      <c r="F363" t="s">
        <v>1755</v>
      </c>
      <c r="G363" t="s">
        <v>498</v>
      </c>
      <c r="H363" t="s">
        <v>1755</v>
      </c>
      <c r="I363" t="s">
        <v>1755</v>
      </c>
      <c r="K363">
        <v>30</v>
      </c>
      <c r="L363">
        <v>30</v>
      </c>
      <c r="O363">
        <v>1</v>
      </c>
      <c r="P363">
        <v>7314</v>
      </c>
      <c r="Q363">
        <v>7398</v>
      </c>
      <c r="R363">
        <v>84</v>
      </c>
      <c r="S363">
        <v>4000</v>
      </c>
      <c r="T363">
        <v>336</v>
      </c>
      <c r="W363">
        <v>1</v>
      </c>
      <c r="X363">
        <v>90</v>
      </c>
      <c r="Y363">
        <v>90000</v>
      </c>
      <c r="Z363">
        <v>1</v>
      </c>
      <c r="AA363">
        <v>30000</v>
      </c>
      <c r="AB363">
        <v>30000</v>
      </c>
      <c r="AC363">
        <v>1</v>
      </c>
      <c r="AD363">
        <v>100000</v>
      </c>
      <c r="AE363">
        <v>100000</v>
      </c>
      <c r="AL363">
        <v>1</v>
      </c>
      <c r="AM363">
        <v>60000</v>
      </c>
      <c r="AN363">
        <v>60</v>
      </c>
      <c r="AU363">
        <v>616</v>
      </c>
      <c r="AV363" t="s">
        <v>1756</v>
      </c>
      <c r="AX363" t="s">
        <v>1757</v>
      </c>
      <c r="AY363" t="s">
        <v>383</v>
      </c>
      <c r="AZ363">
        <v>0</v>
      </c>
    </row>
    <row r="364" spans="1:52">
      <c r="A364" t="s">
        <v>1758</v>
      </c>
      <c r="B364" t="s">
        <v>231</v>
      </c>
      <c r="C364">
        <v>101</v>
      </c>
      <c r="D364" t="s">
        <v>795</v>
      </c>
      <c r="E364">
        <v>1</v>
      </c>
      <c r="F364" t="s">
        <v>376</v>
      </c>
      <c r="G364" t="s">
        <v>376</v>
      </c>
      <c r="H364" t="s">
        <v>376</v>
      </c>
      <c r="I364" t="s">
        <v>376</v>
      </c>
      <c r="K364">
        <v>30</v>
      </c>
      <c r="L364">
        <v>30</v>
      </c>
      <c r="O364">
        <v>2</v>
      </c>
      <c r="P364">
        <v>8908</v>
      </c>
      <c r="Q364">
        <v>9163</v>
      </c>
      <c r="R364">
        <v>255</v>
      </c>
      <c r="S364">
        <v>4000</v>
      </c>
      <c r="T364" t="s">
        <v>1759</v>
      </c>
      <c r="W364">
        <v>2</v>
      </c>
      <c r="X364">
        <v>100000</v>
      </c>
      <c r="Y364">
        <v>200000</v>
      </c>
      <c r="Z364">
        <v>2</v>
      </c>
      <c r="AA364">
        <v>30000</v>
      </c>
      <c r="AB364">
        <v>60000</v>
      </c>
      <c r="AD364">
        <v>100000</v>
      </c>
      <c r="AE364">
        <v>0</v>
      </c>
      <c r="AL364">
        <v>2</v>
      </c>
      <c r="AM364">
        <v>60000</v>
      </c>
      <c r="AN364">
        <v>120</v>
      </c>
      <c r="AQ364">
        <v>0</v>
      </c>
      <c r="AU364" t="s">
        <v>1760</v>
      </c>
      <c r="AV364" t="s">
        <v>994</v>
      </c>
      <c r="AW364" t="s">
        <v>706</v>
      </c>
      <c r="AX364" t="s">
        <v>995</v>
      </c>
      <c r="AY364" t="s">
        <v>383</v>
      </c>
      <c r="AZ364">
        <v>0</v>
      </c>
    </row>
    <row r="365" spans="1:52">
      <c r="A365" t="s">
        <v>1761</v>
      </c>
      <c r="B365" t="s">
        <v>231</v>
      </c>
      <c r="C365">
        <v>103</v>
      </c>
      <c r="D365" t="s">
        <v>795</v>
      </c>
      <c r="E365">
        <v>1</v>
      </c>
      <c r="F365" t="s">
        <v>377</v>
      </c>
      <c r="G365" t="s">
        <v>376</v>
      </c>
      <c r="H365" t="s">
        <v>376</v>
      </c>
      <c r="I365" t="s">
        <v>376</v>
      </c>
      <c r="K365">
        <v>30</v>
      </c>
      <c r="L365">
        <v>30</v>
      </c>
      <c r="O365">
        <v>3</v>
      </c>
      <c r="P365">
        <v>6861</v>
      </c>
      <c r="Q365">
        <v>7024</v>
      </c>
      <c r="R365">
        <v>163</v>
      </c>
      <c r="S365">
        <v>4000</v>
      </c>
      <c r="T365">
        <v>652</v>
      </c>
      <c r="W365">
        <v>3</v>
      </c>
      <c r="X365">
        <v>120000</v>
      </c>
      <c r="Y365">
        <v>360000</v>
      </c>
      <c r="AB365">
        <v>0</v>
      </c>
      <c r="AC365">
        <v>1</v>
      </c>
      <c r="AD365">
        <v>100000</v>
      </c>
      <c r="AE365">
        <v>100000</v>
      </c>
      <c r="AK365">
        <v>0</v>
      </c>
      <c r="AN365">
        <v>0</v>
      </c>
      <c r="AO365">
        <v>3</v>
      </c>
      <c r="AP365">
        <v>120000</v>
      </c>
      <c r="AQ365">
        <v>360000</v>
      </c>
      <c r="AU365" t="s">
        <v>677</v>
      </c>
      <c r="AV365" t="s">
        <v>1762</v>
      </c>
      <c r="AW365" t="s">
        <v>1763</v>
      </c>
      <c r="AX365" t="s">
        <v>1764</v>
      </c>
      <c r="AY365" t="s">
        <v>383</v>
      </c>
      <c r="AZ365">
        <v>0</v>
      </c>
    </row>
    <row r="366" spans="1:52">
      <c r="A366" t="s">
        <v>1765</v>
      </c>
      <c r="B366" t="s">
        <v>231</v>
      </c>
      <c r="C366">
        <v>201</v>
      </c>
      <c r="D366" t="s">
        <v>795</v>
      </c>
      <c r="E366">
        <v>1</v>
      </c>
      <c r="F366" t="s">
        <v>1766</v>
      </c>
      <c r="G366" t="s">
        <v>376</v>
      </c>
      <c r="H366" t="s">
        <v>552</v>
      </c>
      <c r="I366" t="s">
        <v>552</v>
      </c>
      <c r="K366">
        <v>30</v>
      </c>
      <c r="L366">
        <v>30</v>
      </c>
      <c r="O366">
        <v>1</v>
      </c>
      <c r="P366">
        <v>5964</v>
      </c>
      <c r="Q366">
        <v>6229</v>
      </c>
      <c r="R366">
        <v>265</v>
      </c>
      <c r="S366">
        <v>4000</v>
      </c>
      <c r="T366" t="s">
        <v>1000</v>
      </c>
      <c r="W366">
        <v>1</v>
      </c>
      <c r="X366">
        <v>120000</v>
      </c>
      <c r="Y366">
        <v>120000</v>
      </c>
      <c r="AB366">
        <v>0</v>
      </c>
      <c r="AC366">
        <v>1</v>
      </c>
      <c r="AD366">
        <v>100000</v>
      </c>
      <c r="AE366">
        <v>100000</v>
      </c>
      <c r="AN366">
        <v>0</v>
      </c>
      <c r="AO366">
        <v>1</v>
      </c>
      <c r="AP366">
        <v>120000</v>
      </c>
      <c r="AQ366">
        <v>120000</v>
      </c>
      <c r="AU366" t="s">
        <v>1760</v>
      </c>
      <c r="AV366" t="s">
        <v>1767</v>
      </c>
      <c r="AW366" t="s">
        <v>1768</v>
      </c>
      <c r="AX366" t="s">
        <v>1769</v>
      </c>
      <c r="AY366" t="s">
        <v>383</v>
      </c>
      <c r="AZ366">
        <v>0</v>
      </c>
    </row>
    <row r="367" spans="1:52">
      <c r="A367" t="s">
        <v>1770</v>
      </c>
      <c r="B367" t="s">
        <v>231</v>
      </c>
      <c r="C367">
        <v>202</v>
      </c>
      <c r="D367" t="s">
        <v>795</v>
      </c>
      <c r="E367">
        <v>1</v>
      </c>
      <c r="F367" t="s">
        <v>376</v>
      </c>
      <c r="G367" t="s">
        <v>376</v>
      </c>
      <c r="H367" t="s">
        <v>376</v>
      </c>
      <c r="I367" t="s">
        <v>376</v>
      </c>
      <c r="K367">
        <v>30</v>
      </c>
      <c r="L367">
        <v>30</v>
      </c>
      <c r="O367">
        <v>1</v>
      </c>
      <c r="P367">
        <v>5277</v>
      </c>
      <c r="Q367">
        <v>5363</v>
      </c>
      <c r="R367">
        <v>86</v>
      </c>
      <c r="S367">
        <v>4000</v>
      </c>
      <c r="T367">
        <v>344</v>
      </c>
      <c r="W367">
        <v>1</v>
      </c>
      <c r="X367">
        <v>120000</v>
      </c>
      <c r="Y367">
        <v>120000</v>
      </c>
      <c r="AB367">
        <v>0</v>
      </c>
      <c r="AD367">
        <v>100000</v>
      </c>
      <c r="AE367">
        <v>0</v>
      </c>
      <c r="AN367">
        <v>0</v>
      </c>
      <c r="AO367">
        <v>1</v>
      </c>
      <c r="AP367">
        <v>120000</v>
      </c>
      <c r="AQ367">
        <v>120000</v>
      </c>
      <c r="AU367">
        <v>584</v>
      </c>
      <c r="AV367" t="s">
        <v>835</v>
      </c>
      <c r="AX367" t="s">
        <v>1301</v>
      </c>
      <c r="AY367" t="s">
        <v>383</v>
      </c>
      <c r="AZ367">
        <v>0</v>
      </c>
    </row>
    <row r="368" spans="1:52">
      <c r="A368" t="s">
        <v>1771</v>
      </c>
      <c r="B368" t="s">
        <v>231</v>
      </c>
      <c r="C368">
        <v>203</v>
      </c>
      <c r="D368" t="s">
        <v>795</v>
      </c>
      <c r="E368">
        <v>1</v>
      </c>
      <c r="F368" t="s">
        <v>386</v>
      </c>
      <c r="G368" t="s">
        <v>391</v>
      </c>
      <c r="H368" t="s">
        <v>386</v>
      </c>
      <c r="I368" t="s">
        <v>386</v>
      </c>
      <c r="K368">
        <v>30</v>
      </c>
      <c r="L368">
        <v>30</v>
      </c>
      <c r="O368">
        <v>1</v>
      </c>
      <c r="P368">
        <v>5851</v>
      </c>
      <c r="Q368">
        <v>6141</v>
      </c>
      <c r="R368">
        <v>290</v>
      </c>
      <c r="S368">
        <v>4000</v>
      </c>
      <c r="T368" t="s">
        <v>1559</v>
      </c>
      <c r="W368">
        <v>1</v>
      </c>
      <c r="X368">
        <v>120000</v>
      </c>
      <c r="Y368">
        <v>120000</v>
      </c>
      <c r="AB368">
        <v>0</v>
      </c>
      <c r="AC368">
        <v>1</v>
      </c>
      <c r="AD368">
        <v>100000</v>
      </c>
      <c r="AE368">
        <v>100000</v>
      </c>
      <c r="AN368">
        <v>0</v>
      </c>
      <c r="AO368">
        <v>1</v>
      </c>
      <c r="AP368">
        <v>120000</v>
      </c>
      <c r="AQ368">
        <v>120000</v>
      </c>
      <c r="AU368" t="s">
        <v>1077</v>
      </c>
      <c r="AV368" t="s">
        <v>1444</v>
      </c>
      <c r="AX368" t="s">
        <v>1058</v>
      </c>
      <c r="AY368" t="s">
        <v>383</v>
      </c>
      <c r="AZ368">
        <v>0</v>
      </c>
    </row>
    <row r="369" spans="1:60">
      <c r="A369" t="s">
        <v>1772</v>
      </c>
      <c r="B369" t="s">
        <v>231</v>
      </c>
      <c r="C369">
        <v>301</v>
      </c>
      <c r="D369" t="s">
        <v>795</v>
      </c>
      <c r="E369">
        <v>1</v>
      </c>
      <c r="F369" t="s">
        <v>395</v>
      </c>
      <c r="G369" t="s">
        <v>376</v>
      </c>
      <c r="H369" t="s">
        <v>395</v>
      </c>
      <c r="I369" t="s">
        <v>395</v>
      </c>
      <c r="K369">
        <v>30</v>
      </c>
      <c r="L369">
        <v>30</v>
      </c>
      <c r="O369">
        <v>2</v>
      </c>
      <c r="P369">
        <v>9489</v>
      </c>
      <c r="Q369">
        <v>9785</v>
      </c>
      <c r="R369">
        <v>296</v>
      </c>
      <c r="S369">
        <v>4000</v>
      </c>
      <c r="T369" t="s">
        <v>589</v>
      </c>
      <c r="W369">
        <v>2</v>
      </c>
      <c r="X369">
        <v>120000</v>
      </c>
      <c r="Y369">
        <v>240000</v>
      </c>
      <c r="AB369">
        <v>0</v>
      </c>
      <c r="AD369">
        <v>100000</v>
      </c>
      <c r="AE369">
        <v>0</v>
      </c>
      <c r="AN369">
        <v>0</v>
      </c>
      <c r="AO369">
        <v>2</v>
      </c>
      <c r="AP369">
        <v>120000</v>
      </c>
      <c r="AQ369">
        <v>240000</v>
      </c>
      <c r="AU369" t="s">
        <v>1773</v>
      </c>
      <c r="AV369" t="s">
        <v>1774</v>
      </c>
      <c r="AX369" t="s">
        <v>1775</v>
      </c>
      <c r="AY369" t="s">
        <v>383</v>
      </c>
      <c r="AZ369">
        <v>0</v>
      </c>
    </row>
    <row r="370" spans="1:60">
      <c r="A370" t="s">
        <v>1776</v>
      </c>
      <c r="B370" t="s">
        <v>231</v>
      </c>
      <c r="C370">
        <v>302</v>
      </c>
      <c r="D370" t="s">
        <v>795</v>
      </c>
      <c r="E370">
        <v>1</v>
      </c>
      <c r="F370" t="s">
        <v>609</v>
      </c>
      <c r="G370" t="s">
        <v>376</v>
      </c>
      <c r="H370" t="s">
        <v>609</v>
      </c>
      <c r="I370" t="s">
        <v>609</v>
      </c>
      <c r="K370">
        <v>30</v>
      </c>
      <c r="L370">
        <v>30</v>
      </c>
      <c r="O370">
        <v>2</v>
      </c>
      <c r="P370">
        <v>5687</v>
      </c>
      <c r="Q370">
        <v>5845</v>
      </c>
      <c r="R370">
        <v>158</v>
      </c>
      <c r="S370">
        <v>4000</v>
      </c>
      <c r="T370">
        <v>632</v>
      </c>
      <c r="W370">
        <v>2</v>
      </c>
      <c r="X370">
        <v>120000</v>
      </c>
      <c r="Y370">
        <v>240000</v>
      </c>
      <c r="AB370">
        <v>0</v>
      </c>
      <c r="AC370">
        <v>1</v>
      </c>
      <c r="AD370">
        <v>100000</v>
      </c>
      <c r="AE370">
        <v>100000</v>
      </c>
      <c r="AN370">
        <v>0</v>
      </c>
      <c r="AO370">
        <v>2</v>
      </c>
      <c r="AP370">
        <v>120000</v>
      </c>
      <c r="AQ370">
        <v>240000</v>
      </c>
      <c r="AU370" t="s">
        <v>1777</v>
      </c>
      <c r="AV370" t="s">
        <v>1778</v>
      </c>
      <c r="AW370" t="s">
        <v>829</v>
      </c>
      <c r="AY370" t="s">
        <v>393</v>
      </c>
      <c r="AZ370" t="s">
        <v>1779</v>
      </c>
    </row>
    <row r="371" spans="1:60">
      <c r="A371" t="s">
        <v>1780</v>
      </c>
      <c r="B371" t="s">
        <v>231</v>
      </c>
      <c r="C371">
        <v>303</v>
      </c>
      <c r="D371" t="s">
        <v>795</v>
      </c>
      <c r="E371">
        <v>1</v>
      </c>
      <c r="F371" t="s">
        <v>386</v>
      </c>
      <c r="G371" t="s">
        <v>391</v>
      </c>
      <c r="H371" t="s">
        <v>386</v>
      </c>
      <c r="I371" t="s">
        <v>386</v>
      </c>
      <c r="J371" t="s">
        <v>386</v>
      </c>
      <c r="K371">
        <v>30</v>
      </c>
      <c r="L371">
        <v>30</v>
      </c>
      <c r="O371">
        <v>2</v>
      </c>
      <c r="P371">
        <v>7381</v>
      </c>
      <c r="Q371">
        <v>7381</v>
      </c>
      <c r="R371">
        <v>0</v>
      </c>
      <c r="S371">
        <v>4000</v>
      </c>
      <c r="T371">
        <v>0</v>
      </c>
      <c r="W371">
        <v>2</v>
      </c>
      <c r="X371">
        <v>120000</v>
      </c>
      <c r="Y371">
        <v>240000</v>
      </c>
      <c r="AB371">
        <v>0</v>
      </c>
      <c r="AC371">
        <v>1</v>
      </c>
      <c r="AD371">
        <v>100000</v>
      </c>
      <c r="AE371">
        <v>100000</v>
      </c>
      <c r="AN371">
        <v>0</v>
      </c>
      <c r="AO371">
        <v>2</v>
      </c>
      <c r="AP371">
        <v>120000</v>
      </c>
      <c r="AQ371">
        <v>240000</v>
      </c>
      <c r="AU371">
        <v>580</v>
      </c>
      <c r="AV371" t="s">
        <v>1070</v>
      </c>
      <c r="AW371" t="s">
        <v>1781</v>
      </c>
      <c r="AX371" t="s">
        <v>1258</v>
      </c>
      <c r="AY371" t="s">
        <v>383</v>
      </c>
      <c r="AZ371">
        <v>0</v>
      </c>
    </row>
    <row r="372" spans="1:60">
      <c r="A372" t="s">
        <v>1782</v>
      </c>
      <c r="B372" t="s">
        <v>244</v>
      </c>
      <c r="D372" t="s">
        <v>974</v>
      </c>
      <c r="E372">
        <v>1</v>
      </c>
      <c r="P372">
        <v>35335</v>
      </c>
      <c r="Q372">
        <v>36439</v>
      </c>
      <c r="R372">
        <v>1104</v>
      </c>
      <c r="S372">
        <v>2.3</v>
      </c>
      <c r="T372" t="s">
        <v>1783</v>
      </c>
      <c r="W372">
        <v>0</v>
      </c>
      <c r="X372">
        <v>7</v>
      </c>
      <c r="Y372">
        <v>0</v>
      </c>
      <c r="AU372" t="s">
        <v>1784</v>
      </c>
      <c r="AV372" t="s">
        <v>1784</v>
      </c>
      <c r="AX372" t="s">
        <v>1785</v>
      </c>
      <c r="AY372" t="s">
        <v>417</v>
      </c>
      <c r="AZ372">
        <v>-200</v>
      </c>
    </row>
    <row r="373" spans="1:60">
      <c r="A373" t="s">
        <v>1786</v>
      </c>
      <c r="B373" t="s">
        <v>244</v>
      </c>
      <c r="C373">
        <v>101</v>
      </c>
      <c r="D373" t="s">
        <v>974</v>
      </c>
      <c r="E373">
        <v>1</v>
      </c>
      <c r="F373" t="s">
        <v>377</v>
      </c>
      <c r="G373" t="s">
        <v>377</v>
      </c>
      <c r="H373" t="s">
        <v>377</v>
      </c>
      <c r="I373" t="s">
        <v>377</v>
      </c>
      <c r="K373">
        <v>30</v>
      </c>
      <c r="L373">
        <v>30</v>
      </c>
      <c r="O373">
        <v>2</v>
      </c>
      <c r="P373">
        <v>6191</v>
      </c>
      <c r="Q373">
        <v>6340</v>
      </c>
      <c r="R373">
        <v>149</v>
      </c>
      <c r="S373">
        <v>4</v>
      </c>
      <c r="T373">
        <v>596</v>
      </c>
      <c r="U373">
        <v>122</v>
      </c>
      <c r="V373">
        <v>125</v>
      </c>
      <c r="W373">
        <v>3</v>
      </c>
      <c r="X373">
        <v>35000</v>
      </c>
      <c r="Y373">
        <v>105000</v>
      </c>
      <c r="AA373">
        <v>30000</v>
      </c>
      <c r="AB373">
        <v>0</v>
      </c>
      <c r="AC373">
        <v>1</v>
      </c>
      <c r="AD373">
        <v>100000</v>
      </c>
      <c r="AE373">
        <v>100000</v>
      </c>
      <c r="AG373">
        <v>50000</v>
      </c>
      <c r="AH373">
        <v>0</v>
      </c>
      <c r="AK373">
        <v>0</v>
      </c>
      <c r="AM373">
        <v>60000</v>
      </c>
      <c r="AN373">
        <v>0</v>
      </c>
      <c r="AO373">
        <v>2</v>
      </c>
      <c r="AP373">
        <v>120000</v>
      </c>
      <c r="AQ373">
        <v>240000</v>
      </c>
      <c r="AU373" t="s">
        <v>1787</v>
      </c>
      <c r="AV373" t="s">
        <v>1788</v>
      </c>
      <c r="AX373" t="s">
        <v>1789</v>
      </c>
      <c r="AY373" t="s">
        <v>383</v>
      </c>
      <c r="AZ373">
        <v>0</v>
      </c>
    </row>
    <row r="374" spans="1:60">
      <c r="A374" t="s">
        <v>1790</v>
      </c>
      <c r="B374" t="s">
        <v>244</v>
      </c>
      <c r="C374">
        <v>102</v>
      </c>
      <c r="D374" t="s">
        <v>974</v>
      </c>
      <c r="E374">
        <v>1</v>
      </c>
      <c r="F374" t="s">
        <v>552</v>
      </c>
      <c r="G374" t="s">
        <v>385</v>
      </c>
      <c r="H374" t="s">
        <v>552</v>
      </c>
      <c r="I374" t="s">
        <v>552</v>
      </c>
      <c r="K374">
        <v>30</v>
      </c>
      <c r="L374">
        <v>30</v>
      </c>
      <c r="O374">
        <v>1</v>
      </c>
      <c r="P374">
        <v>6529</v>
      </c>
      <c r="Q374">
        <v>6649</v>
      </c>
      <c r="R374">
        <v>120</v>
      </c>
      <c r="S374">
        <v>4</v>
      </c>
      <c r="T374">
        <v>480</v>
      </c>
      <c r="W374">
        <v>1</v>
      </c>
      <c r="X374">
        <v>120000</v>
      </c>
      <c r="Y374">
        <v>120000</v>
      </c>
      <c r="AB374">
        <v>0</v>
      </c>
      <c r="AC374">
        <v>1</v>
      </c>
      <c r="AD374">
        <v>100000</v>
      </c>
      <c r="AE374">
        <v>100000</v>
      </c>
      <c r="AF374">
        <v>1</v>
      </c>
      <c r="AG374">
        <v>50000</v>
      </c>
      <c r="AH374">
        <v>50000</v>
      </c>
      <c r="AK374">
        <v>0</v>
      </c>
      <c r="AN374">
        <v>0</v>
      </c>
      <c r="AO374">
        <v>1</v>
      </c>
      <c r="AP374">
        <v>120000</v>
      </c>
      <c r="AQ374">
        <v>120000</v>
      </c>
      <c r="AU374">
        <v>870</v>
      </c>
      <c r="AV374" t="s">
        <v>1791</v>
      </c>
      <c r="AX374" t="s">
        <v>1792</v>
      </c>
      <c r="AY374" t="s">
        <v>383</v>
      </c>
      <c r="AZ374">
        <v>0</v>
      </c>
    </row>
    <row r="375" spans="1:60">
      <c r="A375" t="s">
        <v>1793</v>
      </c>
      <c r="B375" t="s">
        <v>244</v>
      </c>
      <c r="C375">
        <v>103</v>
      </c>
      <c r="D375" t="s">
        <v>974</v>
      </c>
      <c r="E375">
        <v>1</v>
      </c>
      <c r="F375" t="s">
        <v>376</v>
      </c>
      <c r="G375" t="s">
        <v>400</v>
      </c>
      <c r="H375" t="s">
        <v>376</v>
      </c>
      <c r="I375" t="s">
        <v>376</v>
      </c>
      <c r="K375">
        <v>30</v>
      </c>
      <c r="L375">
        <v>30</v>
      </c>
      <c r="O375">
        <v>3</v>
      </c>
      <c r="P375">
        <v>6075</v>
      </c>
      <c r="Q375">
        <v>6208</v>
      </c>
      <c r="R375">
        <v>133</v>
      </c>
      <c r="S375">
        <v>4</v>
      </c>
      <c r="T375">
        <v>532</v>
      </c>
      <c r="U375">
        <v>231</v>
      </c>
      <c r="V375">
        <v>241</v>
      </c>
      <c r="W375">
        <v>10</v>
      </c>
      <c r="X375">
        <v>35000</v>
      </c>
      <c r="Y375">
        <v>350000</v>
      </c>
      <c r="AA375">
        <v>30000</v>
      </c>
      <c r="AB375">
        <v>0</v>
      </c>
      <c r="AC375">
        <v>1</v>
      </c>
      <c r="AD375">
        <v>100000</v>
      </c>
      <c r="AE375">
        <v>100000</v>
      </c>
      <c r="AG375">
        <v>50000</v>
      </c>
      <c r="AH375">
        <v>0</v>
      </c>
      <c r="AK375">
        <v>0</v>
      </c>
      <c r="AL375">
        <v>0</v>
      </c>
      <c r="AM375">
        <v>60000</v>
      </c>
      <c r="AN375">
        <v>0</v>
      </c>
      <c r="AO375">
        <v>3</v>
      </c>
      <c r="AP375">
        <v>120000</v>
      </c>
      <c r="AQ375">
        <v>360000</v>
      </c>
      <c r="AU375" t="s">
        <v>1489</v>
      </c>
      <c r="AV375" t="s">
        <v>1794</v>
      </c>
      <c r="AX375" t="s">
        <v>1795</v>
      </c>
      <c r="AY375" t="s">
        <v>383</v>
      </c>
      <c r="AZ375">
        <v>0</v>
      </c>
    </row>
    <row r="376" spans="1:60">
      <c r="A376" t="s">
        <v>1796</v>
      </c>
      <c r="B376" t="s">
        <v>244</v>
      </c>
      <c r="C376">
        <v>201</v>
      </c>
      <c r="D376" t="s">
        <v>974</v>
      </c>
      <c r="E376">
        <v>1</v>
      </c>
      <c r="F376" t="s">
        <v>386</v>
      </c>
      <c r="G376" t="s">
        <v>377</v>
      </c>
      <c r="H376" t="s">
        <v>386</v>
      </c>
      <c r="I376" t="s">
        <v>386</v>
      </c>
      <c r="K376">
        <v>30</v>
      </c>
      <c r="L376">
        <v>30</v>
      </c>
      <c r="O376">
        <v>3</v>
      </c>
      <c r="P376">
        <v>7718</v>
      </c>
      <c r="Q376">
        <v>8166</v>
      </c>
      <c r="R376">
        <v>448</v>
      </c>
      <c r="S376">
        <v>4</v>
      </c>
      <c r="T376" t="s">
        <v>1797</v>
      </c>
      <c r="U376">
        <v>149</v>
      </c>
      <c r="V376">
        <v>157</v>
      </c>
      <c r="W376">
        <v>8</v>
      </c>
      <c r="X376">
        <v>30000</v>
      </c>
      <c r="Y376">
        <v>240000</v>
      </c>
      <c r="Z376">
        <v>3</v>
      </c>
      <c r="AA376">
        <v>30000</v>
      </c>
      <c r="AB376">
        <v>90000</v>
      </c>
      <c r="AC376">
        <v>1</v>
      </c>
      <c r="AD376">
        <v>100000</v>
      </c>
      <c r="AE376">
        <v>100000</v>
      </c>
      <c r="AF376">
        <v>0</v>
      </c>
      <c r="AG376">
        <v>50000</v>
      </c>
      <c r="AH376">
        <v>0</v>
      </c>
      <c r="AI376">
        <v>1</v>
      </c>
      <c r="AJ376">
        <v>50000</v>
      </c>
      <c r="AK376">
        <v>50000</v>
      </c>
      <c r="AL376">
        <v>0</v>
      </c>
      <c r="AM376">
        <v>60000</v>
      </c>
      <c r="AN376">
        <v>0</v>
      </c>
      <c r="AU376" t="s">
        <v>1147</v>
      </c>
      <c r="AV376" t="s">
        <v>1798</v>
      </c>
      <c r="AW376" t="s">
        <v>1799</v>
      </c>
      <c r="AX376" t="s">
        <v>1800</v>
      </c>
      <c r="AY376" t="s">
        <v>383</v>
      </c>
      <c r="AZ376">
        <v>0</v>
      </c>
    </row>
    <row r="377" spans="1:60">
      <c r="A377" t="s">
        <v>1801</v>
      </c>
      <c r="B377" t="s">
        <v>244</v>
      </c>
      <c r="C377">
        <v>202</v>
      </c>
      <c r="D377" t="s">
        <v>974</v>
      </c>
      <c r="E377">
        <v>1</v>
      </c>
      <c r="F377" t="s">
        <v>395</v>
      </c>
      <c r="G377" t="s">
        <v>385</v>
      </c>
      <c r="H377" t="s">
        <v>395</v>
      </c>
      <c r="I377" t="s">
        <v>395</v>
      </c>
      <c r="K377">
        <v>30</v>
      </c>
      <c r="L377">
        <v>30</v>
      </c>
      <c r="O377">
        <v>3</v>
      </c>
      <c r="P377">
        <v>6191</v>
      </c>
      <c r="Q377">
        <v>6408</v>
      </c>
      <c r="R377">
        <v>217</v>
      </c>
      <c r="S377">
        <v>4</v>
      </c>
      <c r="T377">
        <v>868</v>
      </c>
      <c r="U377">
        <v>181</v>
      </c>
      <c r="V377">
        <v>181</v>
      </c>
      <c r="W377">
        <v>0</v>
      </c>
      <c r="X377">
        <v>35000</v>
      </c>
      <c r="Y377">
        <v>0</v>
      </c>
      <c r="AB377">
        <v>0</v>
      </c>
      <c r="AC377">
        <v>1</v>
      </c>
      <c r="AD377">
        <v>100000</v>
      </c>
      <c r="AE377">
        <v>100000</v>
      </c>
      <c r="AF377">
        <v>3</v>
      </c>
      <c r="AG377">
        <v>50000</v>
      </c>
      <c r="AH377">
        <v>150000</v>
      </c>
      <c r="AK377">
        <v>0</v>
      </c>
      <c r="AM377">
        <v>60000</v>
      </c>
      <c r="AN377">
        <v>0</v>
      </c>
      <c r="AO377">
        <v>3</v>
      </c>
      <c r="AP377">
        <v>120000</v>
      </c>
      <c r="AQ377">
        <v>360000</v>
      </c>
      <c r="AU377" t="s">
        <v>1802</v>
      </c>
      <c r="AV377" t="s">
        <v>1030</v>
      </c>
      <c r="AX377" t="s">
        <v>1031</v>
      </c>
      <c r="AY377" t="s">
        <v>383</v>
      </c>
      <c r="AZ377">
        <v>0</v>
      </c>
    </row>
    <row r="378" spans="1:60">
      <c r="A378" t="s">
        <v>1803</v>
      </c>
      <c r="B378" t="s">
        <v>244</v>
      </c>
      <c r="C378">
        <v>203</v>
      </c>
      <c r="D378" t="s">
        <v>974</v>
      </c>
      <c r="E378">
        <v>1</v>
      </c>
      <c r="F378" t="s">
        <v>385</v>
      </c>
      <c r="G378" t="s">
        <v>400</v>
      </c>
      <c r="H378" t="s">
        <v>385</v>
      </c>
      <c r="I378" t="s">
        <v>385</v>
      </c>
      <c r="K378">
        <v>30</v>
      </c>
      <c r="L378">
        <v>30</v>
      </c>
      <c r="O378">
        <v>2</v>
      </c>
      <c r="P378">
        <v>6903</v>
      </c>
      <c r="Q378">
        <v>7356</v>
      </c>
      <c r="R378">
        <v>453</v>
      </c>
      <c r="S378">
        <v>4</v>
      </c>
      <c r="T378" t="s">
        <v>1804</v>
      </c>
      <c r="U378">
        <v>153</v>
      </c>
      <c r="V378">
        <v>157</v>
      </c>
      <c r="W378">
        <v>4</v>
      </c>
      <c r="X378">
        <v>35000</v>
      </c>
      <c r="Y378">
        <v>140000</v>
      </c>
      <c r="AA378">
        <v>30000</v>
      </c>
      <c r="AB378">
        <v>0</v>
      </c>
      <c r="AD378">
        <v>100000</v>
      </c>
      <c r="AE378">
        <v>0</v>
      </c>
      <c r="AG378">
        <v>50000</v>
      </c>
      <c r="AH378">
        <v>0</v>
      </c>
      <c r="AK378">
        <v>0</v>
      </c>
      <c r="AL378">
        <v>0</v>
      </c>
      <c r="AM378">
        <v>60000</v>
      </c>
      <c r="AN378">
        <v>0</v>
      </c>
      <c r="AO378">
        <v>2</v>
      </c>
      <c r="AP378">
        <v>120000</v>
      </c>
      <c r="AQ378">
        <v>240000</v>
      </c>
      <c r="AU378" t="s">
        <v>1805</v>
      </c>
      <c r="AV378" t="s">
        <v>786</v>
      </c>
      <c r="AX378" t="s">
        <v>787</v>
      </c>
      <c r="AY378" t="s">
        <v>383</v>
      </c>
      <c r="AZ378">
        <v>0</v>
      </c>
    </row>
    <row r="379" spans="1:60">
      <c r="A379" t="s">
        <v>1806</v>
      </c>
      <c r="B379" t="s">
        <v>244</v>
      </c>
      <c r="C379">
        <v>301</v>
      </c>
      <c r="D379" t="s">
        <v>974</v>
      </c>
      <c r="E379">
        <v>1</v>
      </c>
      <c r="F379" t="s">
        <v>408</v>
      </c>
      <c r="G379" t="s">
        <v>377</v>
      </c>
      <c r="H379" t="s">
        <v>408</v>
      </c>
      <c r="I379" t="s">
        <v>408</v>
      </c>
      <c r="K379">
        <v>30</v>
      </c>
      <c r="L379">
        <v>30</v>
      </c>
      <c r="O379">
        <v>3</v>
      </c>
      <c r="P379">
        <v>4653</v>
      </c>
      <c r="Q379">
        <v>4822</v>
      </c>
      <c r="R379">
        <v>169</v>
      </c>
      <c r="S379">
        <v>4</v>
      </c>
      <c r="T379">
        <v>676</v>
      </c>
      <c r="U379">
        <v>288</v>
      </c>
      <c r="V379">
        <v>291</v>
      </c>
      <c r="W379">
        <v>3</v>
      </c>
      <c r="X379">
        <v>30000</v>
      </c>
      <c r="Y379">
        <v>90000</v>
      </c>
      <c r="Z379">
        <v>3</v>
      </c>
      <c r="AA379">
        <v>30000</v>
      </c>
      <c r="AB379">
        <v>90000</v>
      </c>
      <c r="AC379">
        <v>1</v>
      </c>
      <c r="AD379">
        <v>100000</v>
      </c>
      <c r="AE379">
        <v>100000</v>
      </c>
      <c r="AF379">
        <v>0</v>
      </c>
      <c r="AG379">
        <v>50000</v>
      </c>
      <c r="AH379">
        <v>0</v>
      </c>
      <c r="AK379">
        <v>0</v>
      </c>
      <c r="AL379">
        <v>0</v>
      </c>
      <c r="AM379">
        <v>60000</v>
      </c>
      <c r="AN379">
        <v>0</v>
      </c>
      <c r="AU379">
        <v>956</v>
      </c>
      <c r="AV379" t="s">
        <v>1807</v>
      </c>
      <c r="AX379" t="s">
        <v>1808</v>
      </c>
      <c r="AY379" t="s">
        <v>383</v>
      </c>
      <c r="AZ379">
        <v>0</v>
      </c>
    </row>
    <row r="380" spans="1:60">
      <c r="A380" t="s">
        <v>1809</v>
      </c>
      <c r="B380" t="s">
        <v>244</v>
      </c>
      <c r="C380">
        <v>302</v>
      </c>
      <c r="D380" t="s">
        <v>974</v>
      </c>
      <c r="E380">
        <v>1</v>
      </c>
      <c r="F380" t="s">
        <v>377</v>
      </c>
      <c r="G380" t="s">
        <v>385</v>
      </c>
      <c r="H380" t="s">
        <v>377</v>
      </c>
      <c r="I380" t="s">
        <v>377</v>
      </c>
      <c r="K380">
        <v>30</v>
      </c>
      <c r="L380">
        <v>30</v>
      </c>
      <c r="O380">
        <v>2</v>
      </c>
      <c r="P380">
        <v>5143</v>
      </c>
      <c r="Q380">
        <v>5244</v>
      </c>
      <c r="R380">
        <v>101</v>
      </c>
      <c r="S380">
        <v>4</v>
      </c>
      <c r="T380">
        <v>404</v>
      </c>
      <c r="U380">
        <v>119</v>
      </c>
      <c r="V380">
        <v>119</v>
      </c>
      <c r="W380">
        <v>0</v>
      </c>
      <c r="X380">
        <v>35000</v>
      </c>
      <c r="Y380">
        <v>0</v>
      </c>
      <c r="AB380">
        <v>0</v>
      </c>
      <c r="AC380">
        <v>1</v>
      </c>
      <c r="AD380">
        <v>100000</v>
      </c>
      <c r="AE380">
        <v>100000</v>
      </c>
      <c r="AF380">
        <v>2</v>
      </c>
      <c r="AG380">
        <v>50000</v>
      </c>
      <c r="AH380">
        <v>100000</v>
      </c>
      <c r="AK380">
        <v>0</v>
      </c>
      <c r="AN380">
        <v>0</v>
      </c>
      <c r="AO380">
        <v>2</v>
      </c>
      <c r="AP380">
        <v>120000</v>
      </c>
      <c r="AQ380">
        <v>240000</v>
      </c>
      <c r="AU380">
        <v>844</v>
      </c>
      <c r="AV380" t="s">
        <v>1810</v>
      </c>
      <c r="AX380" t="s">
        <v>1811</v>
      </c>
      <c r="AY380" t="s">
        <v>383</v>
      </c>
      <c r="AZ380">
        <v>0</v>
      </c>
    </row>
    <row r="381" spans="1:60">
      <c r="A381" t="s">
        <v>1812</v>
      </c>
      <c r="B381" t="s">
        <v>244</v>
      </c>
      <c r="C381">
        <v>303</v>
      </c>
      <c r="D381" t="s">
        <v>974</v>
      </c>
      <c r="E381">
        <v>1</v>
      </c>
      <c r="F381" t="s">
        <v>377</v>
      </c>
      <c r="G381" t="s">
        <v>400</v>
      </c>
      <c r="H381" t="s">
        <v>377</v>
      </c>
      <c r="I381" t="s">
        <v>377</v>
      </c>
      <c r="K381">
        <v>30</v>
      </c>
      <c r="L381">
        <v>30</v>
      </c>
      <c r="O381">
        <v>1</v>
      </c>
      <c r="P381">
        <v>3811</v>
      </c>
      <c r="Q381">
        <v>3984</v>
      </c>
      <c r="R381">
        <v>173</v>
      </c>
      <c r="S381">
        <v>4</v>
      </c>
      <c r="T381">
        <v>692</v>
      </c>
      <c r="U381">
        <v>144</v>
      </c>
      <c r="V381">
        <v>147</v>
      </c>
      <c r="W381">
        <v>3</v>
      </c>
      <c r="X381">
        <v>30000</v>
      </c>
      <c r="Y381">
        <v>90000</v>
      </c>
      <c r="Z381">
        <v>1</v>
      </c>
      <c r="AA381">
        <v>30000</v>
      </c>
      <c r="AB381">
        <v>30000</v>
      </c>
      <c r="AC381">
        <v>0</v>
      </c>
      <c r="AD381">
        <v>100000</v>
      </c>
      <c r="AE381">
        <v>0</v>
      </c>
      <c r="AF381">
        <v>1</v>
      </c>
      <c r="AG381">
        <v>50000</v>
      </c>
      <c r="AH381">
        <v>50000</v>
      </c>
      <c r="AK381">
        <v>0</v>
      </c>
      <c r="AL381">
        <v>1</v>
      </c>
      <c r="AM381">
        <v>60000</v>
      </c>
      <c r="AN381">
        <v>60</v>
      </c>
      <c r="AU381">
        <v>922</v>
      </c>
      <c r="AV381" t="s">
        <v>1813</v>
      </c>
      <c r="AW381" t="s">
        <v>1814</v>
      </c>
      <c r="AX381" t="s">
        <v>1815</v>
      </c>
      <c r="AY381" t="s">
        <v>522</v>
      </c>
      <c r="AZ381">
        <v>8</v>
      </c>
    </row>
    <row r="382" spans="1:60">
      <c r="A382" t="s">
        <v>1816</v>
      </c>
      <c r="B382" t="s">
        <v>244</v>
      </c>
      <c r="C382">
        <v>401</v>
      </c>
      <c r="D382" t="s">
        <v>974</v>
      </c>
      <c r="E382">
        <v>1</v>
      </c>
      <c r="F382" t="s">
        <v>377</v>
      </c>
      <c r="G382" t="s">
        <v>377</v>
      </c>
      <c r="H382" t="s">
        <v>377</v>
      </c>
      <c r="I382" t="s">
        <v>377</v>
      </c>
      <c r="K382">
        <v>30</v>
      </c>
      <c r="L382">
        <v>30</v>
      </c>
      <c r="O382">
        <v>4</v>
      </c>
      <c r="P382">
        <v>5460</v>
      </c>
      <c r="Q382">
        <v>5547</v>
      </c>
      <c r="R382">
        <v>87</v>
      </c>
      <c r="S382">
        <v>4</v>
      </c>
      <c r="T382">
        <v>348</v>
      </c>
      <c r="W382">
        <v>4</v>
      </c>
      <c r="X382">
        <v>120000</v>
      </c>
      <c r="Y382">
        <v>480000</v>
      </c>
      <c r="AB382">
        <v>0</v>
      </c>
      <c r="AD382">
        <v>100000</v>
      </c>
      <c r="AE382">
        <v>0</v>
      </c>
      <c r="AF382">
        <v>4</v>
      </c>
      <c r="AG382">
        <v>50000</v>
      </c>
      <c r="AH382">
        <v>200000</v>
      </c>
      <c r="AK382">
        <v>0</v>
      </c>
      <c r="AN382">
        <v>0</v>
      </c>
      <c r="AO382">
        <v>4</v>
      </c>
      <c r="AP382">
        <v>120000</v>
      </c>
      <c r="AQ382">
        <v>480000</v>
      </c>
      <c r="AU382" t="s">
        <v>1817</v>
      </c>
      <c r="AV382" t="s">
        <v>634</v>
      </c>
      <c r="AW382" t="s">
        <v>1818</v>
      </c>
      <c r="AX382" t="s">
        <v>1819</v>
      </c>
      <c r="AY382" t="s">
        <v>417</v>
      </c>
      <c r="AZ382">
        <v>-84</v>
      </c>
    </row>
    <row r="383" spans="1:60">
      <c r="A383" t="s">
        <v>1820</v>
      </c>
      <c r="B383" t="s">
        <v>244</v>
      </c>
      <c r="C383">
        <v>402</v>
      </c>
      <c r="D383" t="s">
        <v>974</v>
      </c>
      <c r="E383">
        <v>1</v>
      </c>
      <c r="F383" t="s">
        <v>552</v>
      </c>
      <c r="G383" t="s">
        <v>385</v>
      </c>
      <c r="H383" t="s">
        <v>552</v>
      </c>
      <c r="I383" t="s">
        <v>552</v>
      </c>
      <c r="K383">
        <v>30</v>
      </c>
      <c r="L383">
        <v>30</v>
      </c>
      <c r="O383">
        <v>3</v>
      </c>
      <c r="P383">
        <v>7155</v>
      </c>
      <c r="Q383">
        <v>7534</v>
      </c>
      <c r="R383">
        <v>379</v>
      </c>
      <c r="S383">
        <v>4</v>
      </c>
      <c r="T383" t="s">
        <v>1821</v>
      </c>
      <c r="U383">
        <v>151</v>
      </c>
      <c r="V383">
        <v>157</v>
      </c>
      <c r="W383">
        <v>6</v>
      </c>
      <c r="X383">
        <v>35000</v>
      </c>
      <c r="Y383">
        <v>210000</v>
      </c>
      <c r="AB383">
        <v>0</v>
      </c>
      <c r="AC383">
        <v>1</v>
      </c>
      <c r="AD383">
        <v>100000</v>
      </c>
      <c r="AE383">
        <v>100000</v>
      </c>
      <c r="AF383">
        <v>3</v>
      </c>
      <c r="AG383">
        <v>50000</v>
      </c>
      <c r="AH383">
        <v>150000</v>
      </c>
      <c r="AK383">
        <v>0</v>
      </c>
      <c r="AN383">
        <v>0</v>
      </c>
      <c r="AO383">
        <v>3</v>
      </c>
      <c r="AP383">
        <v>120000</v>
      </c>
      <c r="AQ383">
        <v>360000</v>
      </c>
      <c r="AU383" t="s">
        <v>1822</v>
      </c>
      <c r="AV383" t="s">
        <v>1823</v>
      </c>
      <c r="AX383" t="s">
        <v>1824</v>
      </c>
      <c r="AY383" t="s">
        <v>383</v>
      </c>
      <c r="AZ383">
        <v>0</v>
      </c>
      <c r="BH383">
        <v>0</v>
      </c>
    </row>
    <row r="384" spans="1:60">
      <c r="A384" t="s">
        <v>1825</v>
      </c>
      <c r="B384" t="s">
        <v>244</v>
      </c>
      <c r="C384">
        <v>403</v>
      </c>
      <c r="D384" t="s">
        <v>974</v>
      </c>
      <c r="E384">
        <v>1</v>
      </c>
      <c r="F384" t="s">
        <v>789</v>
      </c>
      <c r="G384" t="s">
        <v>400</v>
      </c>
      <c r="H384" t="s">
        <v>789</v>
      </c>
      <c r="I384" t="s">
        <v>789</v>
      </c>
      <c r="K384">
        <v>30</v>
      </c>
      <c r="L384">
        <v>30</v>
      </c>
      <c r="O384">
        <v>2</v>
      </c>
      <c r="P384">
        <v>6787</v>
      </c>
      <c r="Q384">
        <v>6896</v>
      </c>
      <c r="R384">
        <v>109</v>
      </c>
      <c r="S384">
        <v>4</v>
      </c>
      <c r="T384">
        <v>436</v>
      </c>
      <c r="U384">
        <v>195</v>
      </c>
      <c r="V384">
        <v>200</v>
      </c>
      <c r="W384">
        <v>5</v>
      </c>
      <c r="X384">
        <v>30000</v>
      </c>
      <c r="Y384">
        <v>150000</v>
      </c>
      <c r="AB384">
        <v>0</v>
      </c>
      <c r="AC384">
        <v>1</v>
      </c>
      <c r="AD384">
        <v>100000</v>
      </c>
      <c r="AE384">
        <v>100000</v>
      </c>
      <c r="AF384">
        <v>2</v>
      </c>
      <c r="AG384">
        <v>50000</v>
      </c>
      <c r="AH384">
        <v>100000</v>
      </c>
      <c r="AK384">
        <v>0</v>
      </c>
      <c r="AM384">
        <v>60000</v>
      </c>
      <c r="AN384">
        <v>0</v>
      </c>
      <c r="AO384">
        <v>2</v>
      </c>
      <c r="AP384">
        <v>120000</v>
      </c>
      <c r="AQ384">
        <v>240000</v>
      </c>
      <c r="AU384" t="s">
        <v>1826</v>
      </c>
      <c r="AV384" t="s">
        <v>1827</v>
      </c>
      <c r="AX384" t="s">
        <v>1828</v>
      </c>
      <c r="AY384" t="s">
        <v>383</v>
      </c>
      <c r="AZ384">
        <v>0</v>
      </c>
    </row>
    <row r="385" spans="1:70">
      <c r="A385" t="s">
        <v>1829</v>
      </c>
      <c r="B385" t="s">
        <v>244</v>
      </c>
      <c r="C385">
        <v>501</v>
      </c>
      <c r="D385" t="s">
        <v>974</v>
      </c>
      <c r="E385">
        <v>1</v>
      </c>
      <c r="F385" t="s">
        <v>386</v>
      </c>
      <c r="G385" t="s">
        <v>377</v>
      </c>
      <c r="H385" t="s">
        <v>386</v>
      </c>
      <c r="I385" t="s">
        <v>386</v>
      </c>
      <c r="K385">
        <v>30</v>
      </c>
      <c r="L385">
        <v>30</v>
      </c>
      <c r="O385">
        <v>2</v>
      </c>
      <c r="P385">
        <v>5262</v>
      </c>
      <c r="Q385">
        <v>5495</v>
      </c>
      <c r="R385">
        <v>233</v>
      </c>
      <c r="S385">
        <v>4</v>
      </c>
      <c r="T385">
        <v>932</v>
      </c>
      <c r="U385">
        <v>99</v>
      </c>
      <c r="V385">
        <v>102</v>
      </c>
      <c r="W385">
        <v>3</v>
      </c>
      <c r="X385">
        <v>30000</v>
      </c>
      <c r="Y385">
        <v>90000</v>
      </c>
      <c r="Z385">
        <v>2</v>
      </c>
      <c r="AA385">
        <v>30000</v>
      </c>
      <c r="AB385">
        <v>60000</v>
      </c>
      <c r="AC385">
        <v>1</v>
      </c>
      <c r="AD385">
        <v>100000</v>
      </c>
      <c r="AE385">
        <v>100000</v>
      </c>
      <c r="AF385">
        <v>2</v>
      </c>
      <c r="AG385">
        <v>50000</v>
      </c>
      <c r="AH385">
        <v>100000</v>
      </c>
      <c r="AK385">
        <v>0</v>
      </c>
      <c r="AL385">
        <v>0</v>
      </c>
      <c r="AM385">
        <v>60000</v>
      </c>
      <c r="AN385">
        <v>0</v>
      </c>
      <c r="AU385" t="s">
        <v>1830</v>
      </c>
      <c r="AV385" t="s">
        <v>1831</v>
      </c>
      <c r="AX385" t="s">
        <v>1832</v>
      </c>
      <c r="AY385" t="s">
        <v>383</v>
      </c>
      <c r="AZ385">
        <v>0</v>
      </c>
    </row>
    <row r="386" spans="1:70">
      <c r="A386" t="s">
        <v>1833</v>
      </c>
      <c r="B386" t="s">
        <v>244</v>
      </c>
      <c r="C386">
        <v>502</v>
      </c>
      <c r="D386" t="s">
        <v>974</v>
      </c>
      <c r="E386">
        <v>1</v>
      </c>
      <c r="F386" t="s">
        <v>377</v>
      </c>
      <c r="G386" t="s">
        <v>385</v>
      </c>
      <c r="H386" t="s">
        <v>420</v>
      </c>
      <c r="I386" t="s">
        <v>376</v>
      </c>
      <c r="K386">
        <v>30</v>
      </c>
      <c r="L386">
        <v>30</v>
      </c>
      <c r="O386">
        <v>2</v>
      </c>
      <c r="P386">
        <v>6384</v>
      </c>
      <c r="Q386">
        <v>6691</v>
      </c>
      <c r="R386">
        <v>307</v>
      </c>
      <c r="S386">
        <v>4</v>
      </c>
      <c r="T386" t="s">
        <v>584</v>
      </c>
      <c r="U386">
        <v>115</v>
      </c>
      <c r="V386">
        <v>120</v>
      </c>
      <c r="W386">
        <v>5</v>
      </c>
      <c r="X386">
        <v>35000</v>
      </c>
      <c r="Y386">
        <v>175000</v>
      </c>
      <c r="Z386">
        <v>2</v>
      </c>
      <c r="AA386">
        <v>30000</v>
      </c>
      <c r="AB386">
        <v>60000</v>
      </c>
      <c r="AC386">
        <v>1</v>
      </c>
      <c r="AD386">
        <v>100000</v>
      </c>
      <c r="AE386">
        <v>100000</v>
      </c>
      <c r="AF386">
        <v>2</v>
      </c>
      <c r="AG386">
        <v>50000</v>
      </c>
      <c r="AH386">
        <v>100000</v>
      </c>
      <c r="AK386">
        <v>0</v>
      </c>
      <c r="AL386">
        <v>2</v>
      </c>
      <c r="AM386">
        <v>60000</v>
      </c>
      <c r="AN386">
        <v>120</v>
      </c>
      <c r="AU386" t="s">
        <v>1834</v>
      </c>
      <c r="AV386" t="s">
        <v>1835</v>
      </c>
      <c r="AX386" t="s">
        <v>1836</v>
      </c>
      <c r="AY386" t="s">
        <v>383</v>
      </c>
      <c r="AZ386">
        <v>0</v>
      </c>
    </row>
    <row r="387" spans="1:70">
      <c r="A387" t="s">
        <v>1837</v>
      </c>
      <c r="B387" t="s">
        <v>244</v>
      </c>
      <c r="C387">
        <v>503</v>
      </c>
      <c r="D387" t="s">
        <v>974</v>
      </c>
      <c r="E387">
        <v>1</v>
      </c>
      <c r="F387" t="s">
        <v>377</v>
      </c>
      <c r="G387" t="s">
        <v>400</v>
      </c>
      <c r="H387" t="s">
        <v>377</v>
      </c>
      <c r="I387" t="s">
        <v>377</v>
      </c>
      <c r="K387">
        <v>30</v>
      </c>
      <c r="L387">
        <v>30</v>
      </c>
      <c r="O387">
        <v>2</v>
      </c>
      <c r="P387">
        <v>7075</v>
      </c>
      <c r="Q387">
        <v>7499</v>
      </c>
      <c r="R387">
        <v>424</v>
      </c>
      <c r="S387">
        <v>4</v>
      </c>
      <c r="T387" t="s">
        <v>1838</v>
      </c>
      <c r="U387">
        <v>107</v>
      </c>
      <c r="V387">
        <v>110</v>
      </c>
      <c r="W387">
        <v>3</v>
      </c>
      <c r="X387">
        <v>35000</v>
      </c>
      <c r="Y387">
        <v>105000</v>
      </c>
      <c r="AB387">
        <v>0</v>
      </c>
      <c r="AD387">
        <v>100000</v>
      </c>
      <c r="AE387">
        <v>0</v>
      </c>
      <c r="AF387">
        <v>2</v>
      </c>
      <c r="AG387">
        <v>50000</v>
      </c>
      <c r="AH387">
        <v>100000</v>
      </c>
      <c r="AK387">
        <v>0</v>
      </c>
      <c r="AN387">
        <v>0</v>
      </c>
      <c r="AO387">
        <v>2</v>
      </c>
      <c r="AP387">
        <v>120000</v>
      </c>
      <c r="AQ387">
        <v>240000</v>
      </c>
      <c r="AU387" t="s">
        <v>1839</v>
      </c>
      <c r="AV387" t="s">
        <v>1840</v>
      </c>
      <c r="AX387" t="s">
        <v>1841</v>
      </c>
      <c r="AY387" t="s">
        <v>383</v>
      </c>
      <c r="AZ387">
        <v>0</v>
      </c>
    </row>
    <row r="388" spans="1:70">
      <c r="A388" t="s">
        <v>1842</v>
      </c>
      <c r="B388" t="s">
        <v>244</v>
      </c>
      <c r="C388">
        <v>601</v>
      </c>
      <c r="D388" t="s">
        <v>974</v>
      </c>
      <c r="E388">
        <v>1</v>
      </c>
      <c r="F388" t="s">
        <v>409</v>
      </c>
      <c r="G388" t="s">
        <v>377</v>
      </c>
      <c r="H388" t="s">
        <v>409</v>
      </c>
      <c r="I388" t="s">
        <v>409</v>
      </c>
      <c r="K388">
        <v>30</v>
      </c>
      <c r="L388">
        <v>30</v>
      </c>
      <c r="O388">
        <v>3</v>
      </c>
      <c r="P388">
        <v>7431</v>
      </c>
      <c r="Q388">
        <v>8141</v>
      </c>
      <c r="R388">
        <v>710</v>
      </c>
      <c r="S388">
        <v>4</v>
      </c>
      <c r="T388" t="s">
        <v>1843</v>
      </c>
      <c r="U388">
        <v>163</v>
      </c>
      <c r="V388">
        <v>167</v>
      </c>
      <c r="W388">
        <v>4</v>
      </c>
      <c r="X388">
        <v>35000</v>
      </c>
      <c r="Y388">
        <v>140000</v>
      </c>
      <c r="AB388">
        <v>0</v>
      </c>
      <c r="AC388">
        <v>1</v>
      </c>
      <c r="AD388">
        <v>100000</v>
      </c>
      <c r="AE388">
        <v>100000</v>
      </c>
      <c r="AF388">
        <v>3</v>
      </c>
      <c r="AG388">
        <v>50000</v>
      </c>
      <c r="AH388">
        <v>150000</v>
      </c>
      <c r="AK388">
        <v>0</v>
      </c>
      <c r="AL388">
        <v>0</v>
      </c>
      <c r="AN388">
        <v>0</v>
      </c>
      <c r="AO388">
        <v>3</v>
      </c>
      <c r="AP388">
        <v>120000</v>
      </c>
      <c r="AQ388">
        <v>360000</v>
      </c>
      <c r="AU388" t="s">
        <v>1844</v>
      </c>
      <c r="AV388" t="s">
        <v>1845</v>
      </c>
      <c r="AX388" t="s">
        <v>1846</v>
      </c>
      <c r="AY388" t="s">
        <v>383</v>
      </c>
      <c r="AZ388">
        <v>0</v>
      </c>
    </row>
    <row r="389" spans="1:70">
      <c r="A389" t="s">
        <v>1847</v>
      </c>
      <c r="B389" t="s">
        <v>244</v>
      </c>
      <c r="C389">
        <v>602</v>
      </c>
      <c r="D389" t="s">
        <v>974</v>
      </c>
      <c r="E389">
        <v>1</v>
      </c>
      <c r="F389" t="s">
        <v>385</v>
      </c>
      <c r="G389" t="s">
        <v>385</v>
      </c>
      <c r="H389" t="s">
        <v>385</v>
      </c>
      <c r="I389" t="s">
        <v>385</v>
      </c>
      <c r="K389">
        <v>30</v>
      </c>
      <c r="L389">
        <v>30</v>
      </c>
      <c r="O389">
        <v>1</v>
      </c>
      <c r="P389">
        <v>5136</v>
      </c>
      <c r="Q389">
        <v>5305</v>
      </c>
      <c r="R389">
        <v>169</v>
      </c>
      <c r="S389">
        <v>4</v>
      </c>
      <c r="T389">
        <v>676</v>
      </c>
      <c r="U389">
        <v>79</v>
      </c>
      <c r="V389">
        <v>81</v>
      </c>
      <c r="W389">
        <v>2</v>
      </c>
      <c r="X389">
        <v>35000</v>
      </c>
      <c r="Y389">
        <v>70000</v>
      </c>
      <c r="AB389">
        <v>0</v>
      </c>
      <c r="AD389">
        <v>100000</v>
      </c>
      <c r="AE389">
        <v>0</v>
      </c>
      <c r="AF389">
        <v>1</v>
      </c>
      <c r="AG389">
        <v>50000</v>
      </c>
      <c r="AH389">
        <v>50000</v>
      </c>
      <c r="AK389">
        <v>0</v>
      </c>
      <c r="AN389">
        <v>0</v>
      </c>
      <c r="AO389">
        <v>1</v>
      </c>
      <c r="AP389">
        <v>120000</v>
      </c>
      <c r="AQ389">
        <v>120000</v>
      </c>
      <c r="AU389">
        <v>916</v>
      </c>
      <c r="AV389" t="s">
        <v>1848</v>
      </c>
      <c r="AX389" t="s">
        <v>1849</v>
      </c>
      <c r="AY389" t="s">
        <v>383</v>
      </c>
      <c r="AZ389">
        <v>0</v>
      </c>
      <c r="BN389">
        <v>15</v>
      </c>
      <c r="BO389">
        <v>17</v>
      </c>
      <c r="BP389">
        <v>2</v>
      </c>
      <c r="BQ389">
        <v>30000</v>
      </c>
      <c r="BR389">
        <v>60000</v>
      </c>
    </row>
    <row r="390" spans="1:70">
      <c r="A390" t="s">
        <v>1850</v>
      </c>
      <c r="B390" t="s">
        <v>244</v>
      </c>
      <c r="C390">
        <v>603</v>
      </c>
      <c r="D390" t="s">
        <v>974</v>
      </c>
      <c r="E390">
        <v>1</v>
      </c>
      <c r="F390" t="s">
        <v>377</v>
      </c>
      <c r="G390" t="s">
        <v>400</v>
      </c>
      <c r="H390" t="s">
        <v>377</v>
      </c>
      <c r="I390" t="s">
        <v>377</v>
      </c>
      <c r="K390">
        <v>30</v>
      </c>
      <c r="L390">
        <v>30</v>
      </c>
      <c r="O390">
        <v>2</v>
      </c>
      <c r="P390">
        <v>7564</v>
      </c>
      <c r="Q390">
        <v>7590</v>
      </c>
      <c r="R390">
        <v>26</v>
      </c>
      <c r="S390">
        <v>4</v>
      </c>
      <c r="T390">
        <v>104</v>
      </c>
      <c r="U390">
        <v>171</v>
      </c>
      <c r="V390">
        <v>176</v>
      </c>
      <c r="W390">
        <v>5</v>
      </c>
      <c r="X390">
        <v>35000</v>
      </c>
      <c r="Y390">
        <v>175000</v>
      </c>
      <c r="AA390">
        <v>60000</v>
      </c>
      <c r="AB390">
        <v>0</v>
      </c>
      <c r="AC390">
        <v>1</v>
      </c>
      <c r="AD390">
        <v>100000</v>
      </c>
      <c r="AE390">
        <v>100000</v>
      </c>
      <c r="AF390">
        <v>2</v>
      </c>
      <c r="AG390">
        <v>50000</v>
      </c>
      <c r="AH390">
        <v>100000</v>
      </c>
      <c r="AK390">
        <v>0</v>
      </c>
      <c r="AN390">
        <v>0</v>
      </c>
      <c r="AO390">
        <v>2</v>
      </c>
      <c r="AP390">
        <v>120000</v>
      </c>
      <c r="AQ390">
        <v>240000</v>
      </c>
      <c r="AU390">
        <v>719</v>
      </c>
      <c r="AV390" t="s">
        <v>1851</v>
      </c>
      <c r="AX390" t="s">
        <v>1852</v>
      </c>
      <c r="AY390" t="s">
        <v>383</v>
      </c>
      <c r="AZ390">
        <v>0</v>
      </c>
    </row>
    <row r="391" spans="1:70">
      <c r="A391" t="s">
        <v>1853</v>
      </c>
      <c r="B391" t="s">
        <v>244</v>
      </c>
      <c r="C391">
        <v>701</v>
      </c>
      <c r="D391" t="s">
        <v>974</v>
      </c>
      <c r="E391">
        <v>1</v>
      </c>
      <c r="F391" t="s">
        <v>552</v>
      </c>
      <c r="G391" t="s">
        <v>377</v>
      </c>
      <c r="H391" t="s">
        <v>552</v>
      </c>
      <c r="I391" t="s">
        <v>552</v>
      </c>
      <c r="K391">
        <v>30</v>
      </c>
      <c r="L391">
        <v>30</v>
      </c>
      <c r="O391">
        <v>2</v>
      </c>
      <c r="P391">
        <v>5187</v>
      </c>
      <c r="Q391">
        <v>5395</v>
      </c>
      <c r="R391">
        <v>208</v>
      </c>
      <c r="S391">
        <v>4</v>
      </c>
      <c r="T391">
        <v>832</v>
      </c>
      <c r="U391">
        <v>112</v>
      </c>
      <c r="V391">
        <v>114</v>
      </c>
      <c r="W391">
        <v>2</v>
      </c>
      <c r="X391">
        <v>30000</v>
      </c>
      <c r="Y391">
        <v>60000</v>
      </c>
      <c r="AB391">
        <v>0</v>
      </c>
      <c r="AC391">
        <v>1</v>
      </c>
      <c r="AD391">
        <v>100000</v>
      </c>
      <c r="AE391">
        <v>100000</v>
      </c>
      <c r="AF391">
        <v>2</v>
      </c>
      <c r="AG391">
        <v>50000</v>
      </c>
      <c r="AH391">
        <v>100000</v>
      </c>
      <c r="AK391">
        <v>0</v>
      </c>
      <c r="AL391">
        <v>0</v>
      </c>
      <c r="AN391">
        <v>0</v>
      </c>
      <c r="AO391">
        <v>2</v>
      </c>
      <c r="AP391">
        <v>120000</v>
      </c>
      <c r="AQ391">
        <v>240000</v>
      </c>
      <c r="AU391" t="s">
        <v>704</v>
      </c>
      <c r="AV391" t="s">
        <v>1854</v>
      </c>
      <c r="AX391" t="s">
        <v>1855</v>
      </c>
      <c r="AY391" t="s">
        <v>383</v>
      </c>
      <c r="AZ391">
        <v>0</v>
      </c>
    </row>
    <row r="392" spans="1:70">
      <c r="A392" t="s">
        <v>1856</v>
      </c>
      <c r="B392" t="s">
        <v>244</v>
      </c>
      <c r="C392">
        <v>702</v>
      </c>
      <c r="D392" t="s">
        <v>974</v>
      </c>
      <c r="E392">
        <v>1</v>
      </c>
      <c r="F392" t="s">
        <v>395</v>
      </c>
      <c r="G392" t="s">
        <v>385</v>
      </c>
      <c r="H392" t="s">
        <v>395</v>
      </c>
      <c r="I392" t="s">
        <v>395</v>
      </c>
      <c r="K392">
        <v>30</v>
      </c>
      <c r="L392">
        <v>30</v>
      </c>
      <c r="O392">
        <v>1</v>
      </c>
      <c r="P392">
        <v>3972</v>
      </c>
      <c r="Q392">
        <v>4366</v>
      </c>
      <c r="R392">
        <v>394</v>
      </c>
      <c r="S392">
        <v>4</v>
      </c>
      <c r="T392" t="s">
        <v>1857</v>
      </c>
      <c r="W392">
        <v>1</v>
      </c>
      <c r="X392">
        <v>120000</v>
      </c>
      <c r="Y392">
        <v>120000</v>
      </c>
      <c r="AB392">
        <v>0</v>
      </c>
      <c r="AC392">
        <v>1</v>
      </c>
      <c r="AD392">
        <v>100000</v>
      </c>
      <c r="AE392">
        <v>100000</v>
      </c>
      <c r="AF392">
        <v>1</v>
      </c>
      <c r="AG392">
        <v>50000</v>
      </c>
      <c r="AH392">
        <v>50000</v>
      </c>
      <c r="AK392">
        <v>0</v>
      </c>
      <c r="AN392">
        <v>0</v>
      </c>
      <c r="AO392">
        <v>1</v>
      </c>
      <c r="AP392">
        <v>120000</v>
      </c>
      <c r="AQ392">
        <v>120000</v>
      </c>
      <c r="AU392" t="s">
        <v>1858</v>
      </c>
      <c r="AV392" t="s">
        <v>1859</v>
      </c>
      <c r="AX392" t="s">
        <v>1860</v>
      </c>
      <c r="AY392" t="s">
        <v>383</v>
      </c>
      <c r="AZ392">
        <v>0</v>
      </c>
    </row>
    <row r="393" spans="1:70">
      <c r="A393" t="s">
        <v>1861</v>
      </c>
      <c r="B393" t="s">
        <v>147</v>
      </c>
      <c r="C393">
        <v>201</v>
      </c>
      <c r="D393" t="s">
        <v>871</v>
      </c>
      <c r="E393">
        <v>1</v>
      </c>
      <c r="F393" t="s">
        <v>376</v>
      </c>
      <c r="G393" t="s">
        <v>386</v>
      </c>
      <c r="H393" t="s">
        <v>376</v>
      </c>
      <c r="I393" t="s">
        <v>376</v>
      </c>
      <c r="J393" t="s">
        <v>376</v>
      </c>
      <c r="K393">
        <v>30</v>
      </c>
      <c r="L393">
        <v>30</v>
      </c>
      <c r="O393">
        <v>2</v>
      </c>
      <c r="P393">
        <v>10300</v>
      </c>
      <c r="Q393">
        <v>10300</v>
      </c>
      <c r="R393">
        <v>0</v>
      </c>
      <c r="S393">
        <v>4</v>
      </c>
      <c r="T393">
        <v>0</v>
      </c>
      <c r="W393">
        <v>2</v>
      </c>
      <c r="X393">
        <v>120000</v>
      </c>
      <c r="Y393">
        <v>240000</v>
      </c>
      <c r="AB393">
        <v>0</v>
      </c>
      <c r="AC393">
        <v>1</v>
      </c>
      <c r="AD393">
        <v>100000</v>
      </c>
      <c r="AE393">
        <v>100000</v>
      </c>
      <c r="AF393">
        <v>2</v>
      </c>
      <c r="AG393">
        <v>50000</v>
      </c>
      <c r="AH393">
        <v>100000</v>
      </c>
      <c r="AK393">
        <v>0</v>
      </c>
      <c r="AL393">
        <v>0</v>
      </c>
      <c r="AN393">
        <v>0</v>
      </c>
      <c r="AO393">
        <v>2</v>
      </c>
      <c r="AP393">
        <v>120000</v>
      </c>
      <c r="AQ393">
        <v>240000</v>
      </c>
      <c r="AU393">
        <v>680</v>
      </c>
      <c r="AV393" t="s">
        <v>1862</v>
      </c>
      <c r="AW393" t="s">
        <v>1863</v>
      </c>
      <c r="AX393" t="s">
        <v>1864</v>
      </c>
      <c r="AY393" t="s">
        <v>383</v>
      </c>
      <c r="AZ393">
        <v>0</v>
      </c>
      <c r="BA393" s="1">
        <v>46031</v>
      </c>
      <c r="BB393" t="s">
        <v>474</v>
      </c>
      <c r="BC393" t="s">
        <v>475</v>
      </c>
    </row>
    <row r="394" spans="1:70">
      <c r="A394" t="s">
        <v>1865</v>
      </c>
      <c r="B394" t="s">
        <v>147</v>
      </c>
      <c r="C394">
        <v>202</v>
      </c>
      <c r="D394" t="s">
        <v>871</v>
      </c>
      <c r="E394">
        <v>1</v>
      </c>
      <c r="F394" t="s">
        <v>386</v>
      </c>
      <c r="G394" t="s">
        <v>386</v>
      </c>
      <c r="H394" t="s">
        <v>386</v>
      </c>
      <c r="I394" t="s">
        <v>386</v>
      </c>
      <c r="K394">
        <v>30</v>
      </c>
      <c r="L394">
        <v>30</v>
      </c>
      <c r="O394">
        <v>1</v>
      </c>
      <c r="P394">
        <v>8250</v>
      </c>
      <c r="Q394">
        <v>8286</v>
      </c>
      <c r="R394">
        <v>36</v>
      </c>
      <c r="S394">
        <v>4</v>
      </c>
      <c r="T394">
        <v>144</v>
      </c>
      <c r="W394">
        <v>1</v>
      </c>
      <c r="X394">
        <v>120000</v>
      </c>
      <c r="Y394">
        <v>120000</v>
      </c>
      <c r="AB394">
        <v>0</v>
      </c>
      <c r="AC394">
        <v>1</v>
      </c>
      <c r="AD394">
        <v>100000</v>
      </c>
      <c r="AE394">
        <v>100000</v>
      </c>
      <c r="AF394">
        <v>1</v>
      </c>
      <c r="AG394">
        <v>50000</v>
      </c>
      <c r="AH394">
        <v>50000</v>
      </c>
      <c r="AL394">
        <v>0</v>
      </c>
      <c r="AN394">
        <v>0</v>
      </c>
      <c r="AO394">
        <v>1</v>
      </c>
      <c r="AP394">
        <v>120000</v>
      </c>
      <c r="AQ394">
        <v>120000</v>
      </c>
      <c r="AU394">
        <v>534</v>
      </c>
      <c r="AV394" t="s">
        <v>1866</v>
      </c>
      <c r="AX394" t="s">
        <v>1867</v>
      </c>
      <c r="AY394" t="s">
        <v>383</v>
      </c>
      <c r="AZ394">
        <v>0</v>
      </c>
    </row>
    <row r="395" spans="1:70">
      <c r="A395" t="s">
        <v>1868</v>
      </c>
      <c r="B395" t="s">
        <v>147</v>
      </c>
      <c r="C395">
        <v>203</v>
      </c>
      <c r="D395" t="s">
        <v>871</v>
      </c>
      <c r="E395">
        <v>1</v>
      </c>
      <c r="F395" t="s">
        <v>609</v>
      </c>
      <c r="G395" t="s">
        <v>386</v>
      </c>
      <c r="H395" t="s">
        <v>609</v>
      </c>
      <c r="I395" t="s">
        <v>609</v>
      </c>
      <c r="K395">
        <v>30</v>
      </c>
      <c r="L395">
        <v>30</v>
      </c>
      <c r="O395">
        <v>1</v>
      </c>
      <c r="P395">
        <v>13299</v>
      </c>
      <c r="Q395">
        <v>13337</v>
      </c>
      <c r="R395">
        <v>38</v>
      </c>
      <c r="S395">
        <v>4</v>
      </c>
      <c r="T395">
        <v>152</v>
      </c>
      <c r="X395">
        <v>120000</v>
      </c>
      <c r="Y395">
        <v>0</v>
      </c>
      <c r="AB395">
        <v>0</v>
      </c>
      <c r="AC395">
        <v>1</v>
      </c>
      <c r="AD395">
        <v>100000</v>
      </c>
      <c r="AE395">
        <v>100000</v>
      </c>
      <c r="AF395">
        <v>1</v>
      </c>
      <c r="AG395">
        <v>50000</v>
      </c>
      <c r="AH395">
        <v>50000</v>
      </c>
      <c r="AN395">
        <v>0</v>
      </c>
      <c r="AO395">
        <v>1</v>
      </c>
      <c r="AP395">
        <v>60000</v>
      </c>
      <c r="AQ395">
        <v>60000</v>
      </c>
      <c r="AU395">
        <v>362</v>
      </c>
      <c r="AV395" t="s">
        <v>1869</v>
      </c>
      <c r="AW395" t="s">
        <v>1870</v>
      </c>
      <c r="AX395" t="s">
        <v>1871</v>
      </c>
      <c r="AY395" t="s">
        <v>383</v>
      </c>
      <c r="AZ395">
        <v>0</v>
      </c>
    </row>
    <row r="396" spans="1:70">
      <c r="A396" t="s">
        <v>1872</v>
      </c>
      <c r="B396" t="s">
        <v>147</v>
      </c>
      <c r="C396">
        <v>301</v>
      </c>
      <c r="D396" t="s">
        <v>871</v>
      </c>
      <c r="E396">
        <v>1</v>
      </c>
      <c r="F396" t="s">
        <v>377</v>
      </c>
      <c r="G396" t="s">
        <v>386</v>
      </c>
      <c r="H396" t="s">
        <v>377</v>
      </c>
      <c r="I396" t="s">
        <v>377</v>
      </c>
      <c r="J396" t="s">
        <v>377</v>
      </c>
      <c r="K396">
        <v>30</v>
      </c>
      <c r="L396">
        <v>30</v>
      </c>
      <c r="O396">
        <v>1</v>
      </c>
      <c r="P396">
        <v>9275</v>
      </c>
      <c r="Q396">
        <v>9275</v>
      </c>
      <c r="R396">
        <v>0</v>
      </c>
      <c r="S396">
        <v>4</v>
      </c>
      <c r="T396">
        <v>0</v>
      </c>
      <c r="W396">
        <v>1</v>
      </c>
      <c r="X396">
        <v>120000</v>
      </c>
      <c r="Y396">
        <v>120000</v>
      </c>
      <c r="AB396">
        <v>0</v>
      </c>
      <c r="AC396">
        <v>1</v>
      </c>
      <c r="AD396">
        <v>100000</v>
      </c>
      <c r="AE396">
        <v>100000</v>
      </c>
      <c r="AF396">
        <v>1</v>
      </c>
      <c r="AG396">
        <v>50000</v>
      </c>
      <c r="AH396">
        <v>50000</v>
      </c>
      <c r="AL396">
        <v>0</v>
      </c>
      <c r="AN396">
        <v>0</v>
      </c>
      <c r="AO396">
        <v>1</v>
      </c>
      <c r="AP396">
        <v>120000</v>
      </c>
      <c r="AQ396">
        <v>120000</v>
      </c>
      <c r="AU396">
        <v>390</v>
      </c>
      <c r="AV396" t="s">
        <v>1845</v>
      </c>
      <c r="AW396" t="s">
        <v>1873</v>
      </c>
      <c r="AX396" t="s">
        <v>1874</v>
      </c>
      <c r="AY396" t="s">
        <v>417</v>
      </c>
      <c r="AZ396">
        <v>-452</v>
      </c>
      <c r="BA396" s="1">
        <v>46031</v>
      </c>
      <c r="BB396" t="s">
        <v>474</v>
      </c>
      <c r="BC396" t="s">
        <v>475</v>
      </c>
    </row>
    <row r="397" spans="1:70">
      <c r="A397" t="s">
        <v>1875</v>
      </c>
      <c r="B397" t="s">
        <v>147</v>
      </c>
      <c r="C397">
        <v>302</v>
      </c>
      <c r="D397" t="s">
        <v>871</v>
      </c>
      <c r="E397">
        <v>1</v>
      </c>
      <c r="F397" t="s">
        <v>377</v>
      </c>
      <c r="G397" t="s">
        <v>386</v>
      </c>
      <c r="H397" t="s">
        <v>377</v>
      </c>
      <c r="I397" t="s">
        <v>377</v>
      </c>
      <c r="K397">
        <v>30</v>
      </c>
      <c r="L397">
        <v>30</v>
      </c>
      <c r="O397">
        <v>1</v>
      </c>
      <c r="P397">
        <v>11899</v>
      </c>
      <c r="Q397">
        <v>12017</v>
      </c>
      <c r="R397">
        <v>118</v>
      </c>
      <c r="S397">
        <v>4</v>
      </c>
      <c r="T397">
        <v>472</v>
      </c>
      <c r="W397">
        <v>1</v>
      </c>
      <c r="X397">
        <v>100000</v>
      </c>
      <c r="Y397">
        <v>100000</v>
      </c>
      <c r="Z397">
        <v>1</v>
      </c>
      <c r="AA397">
        <v>30000</v>
      </c>
      <c r="AB397">
        <v>30000</v>
      </c>
      <c r="AC397">
        <v>1</v>
      </c>
      <c r="AD397">
        <v>100000</v>
      </c>
      <c r="AE397">
        <v>100000</v>
      </c>
      <c r="AF397">
        <v>1</v>
      </c>
      <c r="AG397">
        <v>50000</v>
      </c>
      <c r="AH397">
        <v>50000</v>
      </c>
      <c r="AL397">
        <v>1</v>
      </c>
      <c r="AM397">
        <v>60000</v>
      </c>
      <c r="AN397">
        <v>60</v>
      </c>
      <c r="AU397">
        <v>812</v>
      </c>
      <c r="AV397" t="s">
        <v>1778</v>
      </c>
      <c r="AW397" t="s">
        <v>1876</v>
      </c>
      <c r="AX397" t="s">
        <v>1877</v>
      </c>
      <c r="AY397" t="s">
        <v>383</v>
      </c>
      <c r="AZ397">
        <v>0</v>
      </c>
    </row>
    <row r="398" spans="1:70">
      <c r="A398" t="s">
        <v>1878</v>
      </c>
      <c r="B398" t="s">
        <v>147</v>
      </c>
      <c r="C398">
        <v>303</v>
      </c>
      <c r="D398" t="s">
        <v>871</v>
      </c>
      <c r="E398">
        <v>1</v>
      </c>
      <c r="F398" t="s">
        <v>377</v>
      </c>
      <c r="G398" t="s">
        <v>386</v>
      </c>
      <c r="H398" t="s">
        <v>377</v>
      </c>
      <c r="I398" t="s">
        <v>377</v>
      </c>
      <c r="K398">
        <v>30</v>
      </c>
      <c r="L398">
        <v>30</v>
      </c>
      <c r="O398">
        <v>1</v>
      </c>
      <c r="P398">
        <v>12497</v>
      </c>
      <c r="Q398">
        <v>12817</v>
      </c>
      <c r="R398">
        <v>320</v>
      </c>
      <c r="S398">
        <v>4</v>
      </c>
      <c r="T398" t="s">
        <v>887</v>
      </c>
      <c r="W398">
        <v>1</v>
      </c>
      <c r="X398">
        <v>120000</v>
      </c>
      <c r="Y398">
        <v>120000</v>
      </c>
      <c r="AB398">
        <v>0</v>
      </c>
      <c r="AD398">
        <v>100000</v>
      </c>
      <c r="AE398">
        <v>0</v>
      </c>
      <c r="AF398">
        <v>1</v>
      </c>
      <c r="AG398">
        <v>50000</v>
      </c>
      <c r="AH398">
        <v>50000</v>
      </c>
      <c r="AN398">
        <v>0</v>
      </c>
      <c r="AO398">
        <v>1</v>
      </c>
      <c r="AP398">
        <v>120000</v>
      </c>
      <c r="AQ398">
        <v>120000</v>
      </c>
      <c r="AU398" t="s">
        <v>1879</v>
      </c>
      <c r="AV398" t="s">
        <v>1880</v>
      </c>
      <c r="AW398" t="s">
        <v>1881</v>
      </c>
      <c r="AX398" t="s">
        <v>1882</v>
      </c>
      <c r="AY398" t="s">
        <v>383</v>
      </c>
      <c r="AZ398">
        <v>0</v>
      </c>
    </row>
    <row r="399" spans="1:70">
      <c r="A399" t="s">
        <v>1883</v>
      </c>
      <c r="B399" t="s">
        <v>147</v>
      </c>
      <c r="C399">
        <v>401</v>
      </c>
      <c r="D399" t="s">
        <v>871</v>
      </c>
      <c r="E399">
        <v>1</v>
      </c>
      <c r="F399" t="s">
        <v>376</v>
      </c>
      <c r="G399" t="s">
        <v>386</v>
      </c>
      <c r="H399" t="s">
        <v>376</v>
      </c>
      <c r="I399" t="s">
        <v>376</v>
      </c>
      <c r="K399">
        <v>30</v>
      </c>
      <c r="L399">
        <v>30</v>
      </c>
      <c r="O399">
        <v>1</v>
      </c>
      <c r="P399">
        <v>9871</v>
      </c>
      <c r="Q399">
        <v>9994</v>
      </c>
      <c r="R399">
        <v>123</v>
      </c>
      <c r="S399">
        <v>4</v>
      </c>
      <c r="T399">
        <v>492</v>
      </c>
      <c r="W399">
        <v>1</v>
      </c>
      <c r="X399">
        <v>120000</v>
      </c>
      <c r="Y399">
        <v>120000</v>
      </c>
      <c r="AB399">
        <v>0</v>
      </c>
      <c r="AC399">
        <v>1</v>
      </c>
      <c r="AD399">
        <v>100000</v>
      </c>
      <c r="AE399">
        <v>100000</v>
      </c>
      <c r="AF399">
        <v>1</v>
      </c>
      <c r="AG399">
        <v>50000</v>
      </c>
      <c r="AH399">
        <v>50000</v>
      </c>
      <c r="AN399">
        <v>0</v>
      </c>
      <c r="AO399">
        <v>1</v>
      </c>
      <c r="AP399">
        <v>120000</v>
      </c>
      <c r="AQ399">
        <v>120000</v>
      </c>
      <c r="AU399">
        <v>882</v>
      </c>
      <c r="AV399" t="s">
        <v>1884</v>
      </c>
      <c r="AX399" t="s">
        <v>1885</v>
      </c>
      <c r="AY399" t="s">
        <v>383</v>
      </c>
      <c r="AZ399">
        <v>0</v>
      </c>
    </row>
    <row r="400" spans="1:70">
      <c r="A400" t="s">
        <v>1886</v>
      </c>
      <c r="B400" t="s">
        <v>147</v>
      </c>
      <c r="C400">
        <v>402</v>
      </c>
      <c r="D400" t="s">
        <v>871</v>
      </c>
      <c r="E400">
        <v>1</v>
      </c>
      <c r="F400" t="s">
        <v>400</v>
      </c>
      <c r="G400" t="s">
        <v>386</v>
      </c>
      <c r="H400" t="s">
        <v>400</v>
      </c>
      <c r="I400" t="s">
        <v>400</v>
      </c>
      <c r="K400">
        <v>30</v>
      </c>
      <c r="L400">
        <v>30</v>
      </c>
      <c r="O400">
        <v>1</v>
      </c>
      <c r="P400">
        <v>11976</v>
      </c>
      <c r="Q400">
        <v>12150</v>
      </c>
      <c r="R400">
        <v>174</v>
      </c>
      <c r="S400">
        <v>4</v>
      </c>
      <c r="T400">
        <v>696</v>
      </c>
      <c r="W400">
        <v>1</v>
      </c>
      <c r="X400">
        <v>120000</v>
      </c>
      <c r="Y400">
        <v>120000</v>
      </c>
      <c r="AB400">
        <v>0</v>
      </c>
      <c r="AC400">
        <v>1</v>
      </c>
      <c r="AD400">
        <v>100000</v>
      </c>
      <c r="AE400">
        <v>100000</v>
      </c>
      <c r="AF400">
        <v>1</v>
      </c>
      <c r="AG400">
        <v>50000</v>
      </c>
      <c r="AH400">
        <v>50000</v>
      </c>
      <c r="AN400">
        <v>0</v>
      </c>
      <c r="AO400">
        <v>1</v>
      </c>
      <c r="AP400">
        <v>120000</v>
      </c>
      <c r="AQ400">
        <v>120000</v>
      </c>
      <c r="AU400" t="s">
        <v>1887</v>
      </c>
      <c r="AV400" t="s">
        <v>1888</v>
      </c>
      <c r="AX400" t="s">
        <v>1889</v>
      </c>
      <c r="AY400" t="s">
        <v>383</v>
      </c>
      <c r="AZ400">
        <v>0</v>
      </c>
    </row>
    <row r="401" spans="1:56">
      <c r="A401" t="s">
        <v>1890</v>
      </c>
      <c r="B401" t="s">
        <v>147</v>
      </c>
      <c r="C401">
        <v>403</v>
      </c>
      <c r="D401" t="s">
        <v>871</v>
      </c>
      <c r="E401">
        <v>1</v>
      </c>
      <c r="F401" t="s">
        <v>376</v>
      </c>
      <c r="G401" t="s">
        <v>386</v>
      </c>
      <c r="H401" t="s">
        <v>376</v>
      </c>
      <c r="I401" t="s">
        <v>376</v>
      </c>
      <c r="K401">
        <v>30</v>
      </c>
      <c r="L401">
        <v>30</v>
      </c>
      <c r="O401">
        <v>1</v>
      </c>
      <c r="P401">
        <v>12744</v>
      </c>
      <c r="Q401">
        <v>12963</v>
      </c>
      <c r="R401">
        <v>219</v>
      </c>
      <c r="S401">
        <v>4</v>
      </c>
      <c r="T401">
        <v>876</v>
      </c>
      <c r="W401">
        <v>1</v>
      </c>
      <c r="X401">
        <v>120000</v>
      </c>
      <c r="Y401">
        <v>120000</v>
      </c>
      <c r="AB401">
        <v>0</v>
      </c>
      <c r="AD401">
        <v>100000</v>
      </c>
      <c r="AE401">
        <v>0</v>
      </c>
      <c r="AF401">
        <v>1</v>
      </c>
      <c r="AG401">
        <v>50000</v>
      </c>
      <c r="AH401">
        <v>50000</v>
      </c>
      <c r="AM401">
        <v>60000</v>
      </c>
      <c r="AN401">
        <v>0</v>
      </c>
      <c r="AO401">
        <v>1</v>
      </c>
      <c r="AP401">
        <v>120000</v>
      </c>
      <c r="AQ401">
        <v>120000</v>
      </c>
      <c r="AU401" t="s">
        <v>1891</v>
      </c>
      <c r="AV401" t="s">
        <v>1892</v>
      </c>
      <c r="AX401" t="s">
        <v>1893</v>
      </c>
      <c r="AY401" t="s">
        <v>383</v>
      </c>
      <c r="AZ401">
        <v>0</v>
      </c>
    </row>
    <row r="402" spans="1:56">
      <c r="A402" t="s">
        <v>1894</v>
      </c>
      <c r="B402" t="s">
        <v>147</v>
      </c>
      <c r="C402">
        <v>501</v>
      </c>
      <c r="D402" t="s">
        <v>871</v>
      </c>
      <c r="E402">
        <v>1</v>
      </c>
      <c r="F402" t="s">
        <v>376</v>
      </c>
      <c r="G402" t="s">
        <v>386</v>
      </c>
      <c r="H402" t="s">
        <v>376</v>
      </c>
      <c r="I402" t="s">
        <v>376</v>
      </c>
      <c r="K402">
        <v>30</v>
      </c>
      <c r="L402">
        <v>30</v>
      </c>
      <c r="O402">
        <v>1</v>
      </c>
      <c r="P402">
        <v>9479</v>
      </c>
      <c r="Q402">
        <v>9697</v>
      </c>
      <c r="R402">
        <v>218</v>
      </c>
      <c r="S402">
        <v>4</v>
      </c>
      <c r="T402">
        <v>872</v>
      </c>
      <c r="W402">
        <v>1</v>
      </c>
      <c r="X402">
        <v>150000</v>
      </c>
      <c r="Y402">
        <v>150000</v>
      </c>
      <c r="AB402">
        <v>0</v>
      </c>
      <c r="AC402">
        <v>1</v>
      </c>
      <c r="AD402">
        <v>100000</v>
      </c>
      <c r="AE402">
        <v>100000</v>
      </c>
      <c r="AF402">
        <v>1</v>
      </c>
      <c r="AG402">
        <v>50000</v>
      </c>
      <c r="AH402">
        <v>50000</v>
      </c>
      <c r="AN402">
        <v>0</v>
      </c>
      <c r="AO402">
        <v>1</v>
      </c>
      <c r="AP402">
        <v>60000</v>
      </c>
      <c r="AQ402">
        <v>60000</v>
      </c>
      <c r="AU402" t="s">
        <v>1895</v>
      </c>
      <c r="AV402" t="s">
        <v>1854</v>
      </c>
      <c r="AW402" t="s">
        <v>1896</v>
      </c>
      <c r="AX402" t="s">
        <v>1855</v>
      </c>
      <c r="AY402" t="s">
        <v>383</v>
      </c>
      <c r="AZ402">
        <v>0</v>
      </c>
    </row>
    <row r="403" spans="1:56">
      <c r="A403" t="s">
        <v>1897</v>
      </c>
      <c r="B403" t="s">
        <v>147</v>
      </c>
      <c r="C403">
        <v>502</v>
      </c>
      <c r="D403" t="s">
        <v>871</v>
      </c>
      <c r="E403">
        <v>1</v>
      </c>
      <c r="F403" t="s">
        <v>400</v>
      </c>
      <c r="G403" t="s">
        <v>386</v>
      </c>
      <c r="H403" t="s">
        <v>400</v>
      </c>
      <c r="I403" t="s">
        <v>400</v>
      </c>
      <c r="K403">
        <v>30</v>
      </c>
      <c r="L403">
        <v>30</v>
      </c>
      <c r="O403">
        <v>2</v>
      </c>
      <c r="P403">
        <v>11913</v>
      </c>
      <c r="Q403">
        <v>12240</v>
      </c>
      <c r="R403">
        <v>327</v>
      </c>
      <c r="S403">
        <v>4</v>
      </c>
      <c r="T403" t="s">
        <v>1898</v>
      </c>
      <c r="W403">
        <v>2</v>
      </c>
      <c r="X403">
        <v>120000</v>
      </c>
      <c r="Y403">
        <v>240000</v>
      </c>
      <c r="AB403">
        <v>0</v>
      </c>
      <c r="AC403">
        <v>1</v>
      </c>
      <c r="AD403">
        <v>100000</v>
      </c>
      <c r="AE403">
        <v>100000</v>
      </c>
      <c r="AF403">
        <v>2</v>
      </c>
      <c r="AG403">
        <v>50000</v>
      </c>
      <c r="AH403">
        <v>100000</v>
      </c>
      <c r="AL403">
        <v>0</v>
      </c>
      <c r="AN403">
        <v>0</v>
      </c>
      <c r="AO403">
        <v>2</v>
      </c>
      <c r="AP403">
        <v>120000</v>
      </c>
      <c r="AQ403">
        <v>240000</v>
      </c>
      <c r="AU403" t="s">
        <v>1899</v>
      </c>
      <c r="AV403" t="s">
        <v>1900</v>
      </c>
      <c r="AX403" t="s">
        <v>1901</v>
      </c>
      <c r="AY403" t="s">
        <v>383</v>
      </c>
      <c r="AZ403">
        <v>0</v>
      </c>
    </row>
    <row r="404" spans="1:56">
      <c r="A404" t="s">
        <v>1902</v>
      </c>
      <c r="B404" t="s">
        <v>147</v>
      </c>
      <c r="C404">
        <v>503</v>
      </c>
      <c r="D404" t="s">
        <v>871</v>
      </c>
      <c r="E404">
        <v>1</v>
      </c>
      <c r="F404" t="s">
        <v>376</v>
      </c>
      <c r="G404" t="s">
        <v>386</v>
      </c>
      <c r="H404" t="s">
        <v>376</v>
      </c>
      <c r="I404" t="s">
        <v>376</v>
      </c>
      <c r="K404">
        <v>30</v>
      </c>
      <c r="L404">
        <v>30</v>
      </c>
      <c r="O404">
        <v>1</v>
      </c>
      <c r="P404">
        <v>8409</v>
      </c>
      <c r="Q404">
        <v>8499</v>
      </c>
      <c r="R404">
        <v>90</v>
      </c>
      <c r="S404">
        <v>4</v>
      </c>
      <c r="T404">
        <v>360</v>
      </c>
      <c r="W404">
        <v>1</v>
      </c>
      <c r="X404">
        <v>150000</v>
      </c>
      <c r="Y404">
        <v>150000</v>
      </c>
      <c r="AB404">
        <v>0</v>
      </c>
      <c r="AC404">
        <v>1</v>
      </c>
      <c r="AD404">
        <v>100000</v>
      </c>
      <c r="AE404">
        <v>100000</v>
      </c>
      <c r="AF404">
        <v>1</v>
      </c>
      <c r="AG404">
        <v>50000</v>
      </c>
      <c r="AH404">
        <v>50000</v>
      </c>
      <c r="AI404">
        <v>1</v>
      </c>
      <c r="AJ404">
        <v>200000</v>
      </c>
      <c r="AK404">
        <v>200000</v>
      </c>
      <c r="AN404">
        <v>0</v>
      </c>
      <c r="AO404">
        <v>1</v>
      </c>
      <c r="AP404">
        <v>60000</v>
      </c>
      <c r="AQ404">
        <v>60000</v>
      </c>
      <c r="AU404">
        <v>920</v>
      </c>
      <c r="AV404" t="s">
        <v>1903</v>
      </c>
      <c r="AW404" t="s">
        <v>1904</v>
      </c>
      <c r="AX404" t="s">
        <v>1905</v>
      </c>
      <c r="AY404" t="s">
        <v>383</v>
      </c>
      <c r="AZ404">
        <v>0</v>
      </c>
    </row>
    <row r="405" spans="1:56">
      <c r="A405" t="s">
        <v>1906</v>
      </c>
      <c r="B405" t="s">
        <v>147</v>
      </c>
      <c r="C405">
        <v>601</v>
      </c>
      <c r="D405" t="s">
        <v>871</v>
      </c>
      <c r="E405">
        <v>1</v>
      </c>
      <c r="F405" t="s">
        <v>377</v>
      </c>
      <c r="G405" t="s">
        <v>386</v>
      </c>
      <c r="H405" t="s">
        <v>377</v>
      </c>
      <c r="I405" t="s">
        <v>377</v>
      </c>
      <c r="J405" t="s">
        <v>377</v>
      </c>
      <c r="K405">
        <v>30</v>
      </c>
      <c r="L405">
        <v>30</v>
      </c>
      <c r="O405">
        <v>1</v>
      </c>
      <c r="P405">
        <v>10060</v>
      </c>
      <c r="Q405">
        <v>10060</v>
      </c>
      <c r="R405">
        <v>0</v>
      </c>
      <c r="S405">
        <v>4</v>
      </c>
      <c r="T405">
        <v>0</v>
      </c>
      <c r="W405">
        <v>1</v>
      </c>
      <c r="X405">
        <v>120000</v>
      </c>
      <c r="Y405">
        <v>120000</v>
      </c>
      <c r="AB405">
        <v>0</v>
      </c>
      <c r="AC405">
        <v>1</v>
      </c>
      <c r="AD405">
        <v>100000</v>
      </c>
      <c r="AE405">
        <v>100000</v>
      </c>
      <c r="AF405">
        <v>1</v>
      </c>
      <c r="AG405">
        <v>50000</v>
      </c>
      <c r="AH405">
        <v>50000</v>
      </c>
      <c r="AN405">
        <v>0</v>
      </c>
      <c r="AO405">
        <v>1</v>
      </c>
      <c r="AP405">
        <v>120000</v>
      </c>
      <c r="AQ405">
        <v>120000</v>
      </c>
      <c r="AU405">
        <v>390</v>
      </c>
      <c r="AV405" t="s">
        <v>1845</v>
      </c>
      <c r="AW405" t="s">
        <v>1907</v>
      </c>
      <c r="AX405" t="s">
        <v>1908</v>
      </c>
      <c r="AY405" t="s">
        <v>383</v>
      </c>
      <c r="AZ405">
        <v>0</v>
      </c>
      <c r="BD405" t="s">
        <v>1089</v>
      </c>
    </row>
    <row r="406" spans="1:56">
      <c r="A406" t="s">
        <v>1909</v>
      </c>
      <c r="B406" t="s">
        <v>147</v>
      </c>
      <c r="C406">
        <v>602</v>
      </c>
      <c r="D406" t="s">
        <v>871</v>
      </c>
      <c r="E406">
        <v>1</v>
      </c>
      <c r="F406" t="s">
        <v>386</v>
      </c>
      <c r="G406" t="s">
        <v>386</v>
      </c>
      <c r="H406" t="s">
        <v>386</v>
      </c>
      <c r="I406" t="s">
        <v>386</v>
      </c>
      <c r="K406">
        <v>30</v>
      </c>
      <c r="L406">
        <v>30</v>
      </c>
      <c r="O406">
        <v>2</v>
      </c>
      <c r="P406">
        <v>15647</v>
      </c>
      <c r="Q406">
        <v>16458</v>
      </c>
      <c r="R406">
        <v>811</v>
      </c>
      <c r="S406">
        <v>4</v>
      </c>
      <c r="T406" t="s">
        <v>1910</v>
      </c>
      <c r="W406">
        <v>2</v>
      </c>
      <c r="X406">
        <v>100000</v>
      </c>
      <c r="Y406">
        <v>200000</v>
      </c>
      <c r="Z406">
        <v>2</v>
      </c>
      <c r="AA406">
        <v>30000</v>
      </c>
      <c r="AB406">
        <v>60000</v>
      </c>
      <c r="AC406">
        <v>0</v>
      </c>
      <c r="AD406">
        <v>100000</v>
      </c>
      <c r="AE406">
        <v>0</v>
      </c>
      <c r="AF406">
        <v>2</v>
      </c>
      <c r="AG406">
        <v>50000</v>
      </c>
      <c r="AH406">
        <v>100000</v>
      </c>
      <c r="AL406">
        <v>1</v>
      </c>
      <c r="AM406">
        <v>60000</v>
      </c>
      <c r="AN406">
        <v>60</v>
      </c>
      <c r="AQ406">
        <v>0</v>
      </c>
      <c r="AU406" t="s">
        <v>1911</v>
      </c>
      <c r="AV406" t="s">
        <v>1912</v>
      </c>
      <c r="AX406" t="s">
        <v>1913</v>
      </c>
      <c r="AY406" t="s">
        <v>383</v>
      </c>
      <c r="AZ406">
        <v>0</v>
      </c>
    </row>
    <row r="407" spans="1:56">
      <c r="A407" t="s">
        <v>1914</v>
      </c>
      <c r="B407" t="s">
        <v>147</v>
      </c>
      <c r="C407">
        <v>603</v>
      </c>
      <c r="D407" t="s">
        <v>871</v>
      </c>
      <c r="E407">
        <v>1</v>
      </c>
      <c r="F407" t="s">
        <v>789</v>
      </c>
      <c r="G407" t="s">
        <v>386</v>
      </c>
      <c r="H407" t="s">
        <v>789</v>
      </c>
      <c r="I407" t="s">
        <v>789</v>
      </c>
      <c r="K407">
        <v>30</v>
      </c>
      <c r="L407">
        <v>30</v>
      </c>
      <c r="O407">
        <v>1</v>
      </c>
      <c r="P407">
        <v>9701</v>
      </c>
      <c r="Q407">
        <v>10056</v>
      </c>
      <c r="R407">
        <v>355</v>
      </c>
      <c r="S407">
        <v>4</v>
      </c>
      <c r="T407" t="s">
        <v>1243</v>
      </c>
      <c r="W407">
        <v>1</v>
      </c>
      <c r="X407">
        <v>120000</v>
      </c>
      <c r="Y407">
        <v>120000</v>
      </c>
      <c r="AB407">
        <v>0</v>
      </c>
      <c r="AC407">
        <v>1</v>
      </c>
      <c r="AD407">
        <v>100000</v>
      </c>
      <c r="AE407">
        <v>100000</v>
      </c>
      <c r="AF407">
        <v>1</v>
      </c>
      <c r="AG407">
        <v>50000</v>
      </c>
      <c r="AH407">
        <v>50000</v>
      </c>
      <c r="AK407">
        <v>0</v>
      </c>
      <c r="AN407">
        <v>0</v>
      </c>
      <c r="AO407">
        <v>1</v>
      </c>
      <c r="AP407">
        <v>120000</v>
      </c>
      <c r="AQ407">
        <v>120000</v>
      </c>
      <c r="AU407" t="s">
        <v>1218</v>
      </c>
      <c r="AV407" t="s">
        <v>1915</v>
      </c>
      <c r="AX407" t="s">
        <v>1916</v>
      </c>
      <c r="AY407" t="s">
        <v>383</v>
      </c>
      <c r="AZ407">
        <v>0</v>
      </c>
    </row>
    <row r="408" spans="1:56">
      <c r="A408" t="s">
        <v>1917</v>
      </c>
      <c r="B408" t="s">
        <v>147</v>
      </c>
      <c r="C408">
        <v>701</v>
      </c>
      <c r="D408" t="s">
        <v>871</v>
      </c>
      <c r="E408">
        <v>1</v>
      </c>
      <c r="F408" t="s">
        <v>886</v>
      </c>
      <c r="G408" t="s">
        <v>1057</v>
      </c>
      <c r="H408" t="s">
        <v>886</v>
      </c>
      <c r="I408" t="s">
        <v>886</v>
      </c>
      <c r="K408">
        <v>30</v>
      </c>
      <c r="L408">
        <v>30</v>
      </c>
      <c r="O408">
        <v>4</v>
      </c>
      <c r="P408">
        <v>10480</v>
      </c>
      <c r="Q408">
        <v>10730</v>
      </c>
      <c r="R408">
        <v>250</v>
      </c>
      <c r="S408">
        <v>4</v>
      </c>
      <c r="T408" t="s">
        <v>1918</v>
      </c>
      <c r="W408">
        <v>4</v>
      </c>
      <c r="X408">
        <v>120000</v>
      </c>
      <c r="Y408">
        <v>480000</v>
      </c>
      <c r="AB408">
        <v>0</v>
      </c>
      <c r="AD408">
        <v>100000</v>
      </c>
      <c r="AE408">
        <v>0</v>
      </c>
      <c r="AF408">
        <v>4</v>
      </c>
      <c r="AG408">
        <v>50000</v>
      </c>
      <c r="AH408">
        <v>200000</v>
      </c>
      <c r="AN408">
        <v>0</v>
      </c>
      <c r="AO408">
        <v>4</v>
      </c>
      <c r="AP408">
        <v>120000</v>
      </c>
      <c r="AQ408">
        <v>480000</v>
      </c>
      <c r="AU408" t="s">
        <v>1919</v>
      </c>
      <c r="AV408" t="s">
        <v>1920</v>
      </c>
      <c r="AW408" t="s">
        <v>1921</v>
      </c>
      <c r="AX408" t="s">
        <v>1922</v>
      </c>
      <c r="AY408" t="s">
        <v>383</v>
      </c>
      <c r="AZ408">
        <v>0</v>
      </c>
    </row>
    <row r="409" spans="1:56">
      <c r="A409" t="s">
        <v>1923</v>
      </c>
      <c r="B409" t="s">
        <v>170</v>
      </c>
      <c r="C409">
        <v>101</v>
      </c>
      <c r="D409" t="s">
        <v>425</v>
      </c>
      <c r="E409">
        <v>1</v>
      </c>
      <c r="F409" t="s">
        <v>1025</v>
      </c>
      <c r="G409" t="s">
        <v>395</v>
      </c>
      <c r="H409" t="s">
        <v>1025</v>
      </c>
      <c r="I409" t="s">
        <v>1025</v>
      </c>
      <c r="K409">
        <v>30</v>
      </c>
      <c r="L409">
        <v>30</v>
      </c>
      <c r="O409">
        <v>2</v>
      </c>
      <c r="P409">
        <v>8264</v>
      </c>
      <c r="Q409">
        <v>8470</v>
      </c>
      <c r="R409">
        <v>206</v>
      </c>
      <c r="S409">
        <v>4000</v>
      </c>
      <c r="T409">
        <v>824</v>
      </c>
      <c r="W409">
        <v>2</v>
      </c>
      <c r="X409">
        <v>120000</v>
      </c>
      <c r="Y409">
        <v>240000</v>
      </c>
      <c r="AB409">
        <v>0</v>
      </c>
      <c r="AC409">
        <v>1</v>
      </c>
      <c r="AD409">
        <v>100000</v>
      </c>
      <c r="AE409">
        <v>100000</v>
      </c>
      <c r="AK409">
        <v>0</v>
      </c>
      <c r="AN409">
        <v>0</v>
      </c>
      <c r="AO409">
        <v>2</v>
      </c>
      <c r="AP409">
        <v>120000</v>
      </c>
      <c r="AQ409">
        <v>240000</v>
      </c>
      <c r="AU409" t="s">
        <v>1924</v>
      </c>
      <c r="AV409" t="s">
        <v>1925</v>
      </c>
      <c r="AW409" t="s">
        <v>1926</v>
      </c>
      <c r="AX409" t="s">
        <v>1927</v>
      </c>
      <c r="AY409" t="s">
        <v>383</v>
      </c>
      <c r="AZ409">
        <v>0</v>
      </c>
    </row>
    <row r="410" spans="1:56">
      <c r="A410" t="s">
        <v>1928</v>
      </c>
      <c r="B410" t="s">
        <v>170</v>
      </c>
      <c r="C410">
        <v>102</v>
      </c>
      <c r="D410" t="s">
        <v>425</v>
      </c>
      <c r="E410">
        <v>1</v>
      </c>
      <c r="F410" t="s">
        <v>1755</v>
      </c>
      <c r="G410" t="s">
        <v>395</v>
      </c>
      <c r="H410" t="s">
        <v>1755</v>
      </c>
      <c r="I410" t="s">
        <v>1126</v>
      </c>
      <c r="K410">
        <v>30</v>
      </c>
      <c r="L410">
        <v>30</v>
      </c>
      <c r="O410">
        <v>2</v>
      </c>
      <c r="P410">
        <v>7678</v>
      </c>
      <c r="Q410">
        <v>7870</v>
      </c>
      <c r="R410">
        <v>192</v>
      </c>
      <c r="S410">
        <v>4000</v>
      </c>
      <c r="T410">
        <v>768</v>
      </c>
      <c r="W410">
        <v>2</v>
      </c>
      <c r="X410">
        <v>120000</v>
      </c>
      <c r="Y410">
        <v>240000</v>
      </c>
      <c r="AB410">
        <v>0</v>
      </c>
      <c r="AC410">
        <v>1</v>
      </c>
      <c r="AD410">
        <v>100000</v>
      </c>
      <c r="AE410">
        <v>100000</v>
      </c>
      <c r="AN410">
        <v>0</v>
      </c>
      <c r="AO410">
        <v>2</v>
      </c>
      <c r="AP410">
        <v>120000</v>
      </c>
      <c r="AQ410">
        <v>240000</v>
      </c>
      <c r="AU410" t="s">
        <v>1335</v>
      </c>
      <c r="AV410" t="s">
        <v>1929</v>
      </c>
      <c r="AX410" t="s">
        <v>1930</v>
      </c>
      <c r="AY410" t="s">
        <v>383</v>
      </c>
      <c r="AZ410">
        <v>0</v>
      </c>
    </row>
    <row r="411" spans="1:56">
      <c r="A411" t="s">
        <v>1931</v>
      </c>
      <c r="B411" t="s">
        <v>170</v>
      </c>
      <c r="C411">
        <v>103</v>
      </c>
      <c r="D411" t="s">
        <v>425</v>
      </c>
      <c r="E411">
        <v>1</v>
      </c>
      <c r="F411" t="s">
        <v>1126</v>
      </c>
      <c r="G411" t="s">
        <v>395</v>
      </c>
      <c r="H411" t="s">
        <v>1126</v>
      </c>
      <c r="I411" t="s">
        <v>1126</v>
      </c>
      <c r="K411">
        <v>30</v>
      </c>
      <c r="L411">
        <v>30</v>
      </c>
      <c r="O411">
        <v>2</v>
      </c>
      <c r="P411">
        <v>13530</v>
      </c>
      <c r="Q411">
        <v>13636</v>
      </c>
      <c r="R411">
        <v>106</v>
      </c>
      <c r="S411">
        <v>4000</v>
      </c>
      <c r="T411">
        <v>424</v>
      </c>
      <c r="U411">
        <v>808</v>
      </c>
      <c r="V411">
        <v>810</v>
      </c>
      <c r="W411">
        <v>2</v>
      </c>
      <c r="X411">
        <v>35000</v>
      </c>
      <c r="Y411">
        <v>70000</v>
      </c>
      <c r="AA411">
        <v>30000</v>
      </c>
      <c r="AB411">
        <v>0</v>
      </c>
      <c r="AC411">
        <v>1</v>
      </c>
      <c r="AD411">
        <v>100000</v>
      </c>
      <c r="AE411">
        <v>100000</v>
      </c>
      <c r="AM411">
        <v>60000</v>
      </c>
      <c r="AN411">
        <v>0</v>
      </c>
      <c r="AO411">
        <v>2</v>
      </c>
      <c r="AP411">
        <v>120000</v>
      </c>
      <c r="AQ411">
        <v>240000</v>
      </c>
      <c r="AU411">
        <v>834</v>
      </c>
      <c r="AV411" t="s">
        <v>1932</v>
      </c>
      <c r="AX411" t="s">
        <v>1933</v>
      </c>
      <c r="AY411" t="s">
        <v>383</v>
      </c>
      <c r="AZ411">
        <v>0</v>
      </c>
    </row>
    <row r="412" spans="1:56">
      <c r="A412" t="s">
        <v>1934</v>
      </c>
      <c r="B412" t="s">
        <v>170</v>
      </c>
      <c r="C412">
        <v>104</v>
      </c>
      <c r="D412" t="s">
        <v>425</v>
      </c>
      <c r="E412">
        <v>1</v>
      </c>
      <c r="F412" t="s">
        <v>445</v>
      </c>
      <c r="G412" t="s">
        <v>395</v>
      </c>
      <c r="H412" t="s">
        <v>445</v>
      </c>
      <c r="I412" t="s">
        <v>445</v>
      </c>
      <c r="J412">
        <v>200</v>
      </c>
      <c r="K412">
        <v>30</v>
      </c>
      <c r="L412">
        <v>30</v>
      </c>
      <c r="O412">
        <v>4</v>
      </c>
      <c r="P412">
        <v>12083</v>
      </c>
      <c r="Q412">
        <v>12168</v>
      </c>
      <c r="R412">
        <v>85</v>
      </c>
      <c r="S412">
        <v>4000</v>
      </c>
      <c r="T412">
        <v>340</v>
      </c>
      <c r="W412">
        <v>4</v>
      </c>
      <c r="X412">
        <v>120000</v>
      </c>
      <c r="Y412">
        <v>480000</v>
      </c>
      <c r="AB412">
        <v>0</v>
      </c>
      <c r="AC412">
        <v>1</v>
      </c>
      <c r="AD412">
        <v>100000</v>
      </c>
      <c r="AE412">
        <v>100000</v>
      </c>
      <c r="AK412">
        <v>0</v>
      </c>
      <c r="AN412">
        <v>0</v>
      </c>
      <c r="AO412">
        <v>4</v>
      </c>
      <c r="AP412">
        <v>120000</v>
      </c>
      <c r="AQ412">
        <v>480000</v>
      </c>
      <c r="AU412" t="s">
        <v>1760</v>
      </c>
      <c r="AV412" t="s">
        <v>647</v>
      </c>
      <c r="AX412" t="s">
        <v>649</v>
      </c>
      <c r="AY412" t="s">
        <v>383</v>
      </c>
      <c r="AZ412">
        <v>0</v>
      </c>
    </row>
    <row r="413" spans="1:56">
      <c r="A413" t="s">
        <v>1935</v>
      </c>
      <c r="B413" t="s">
        <v>170</v>
      </c>
      <c r="C413">
        <v>105</v>
      </c>
      <c r="D413" t="s">
        <v>425</v>
      </c>
      <c r="E413">
        <v>1</v>
      </c>
      <c r="F413" t="s">
        <v>445</v>
      </c>
      <c r="G413" t="s">
        <v>395</v>
      </c>
      <c r="H413" t="s">
        <v>445</v>
      </c>
      <c r="I413" t="s">
        <v>445</v>
      </c>
      <c r="J413" t="s">
        <v>445</v>
      </c>
      <c r="K413">
        <v>30</v>
      </c>
      <c r="L413">
        <v>30</v>
      </c>
      <c r="O413">
        <v>2</v>
      </c>
      <c r="P413">
        <v>14022</v>
      </c>
      <c r="Q413">
        <v>14022</v>
      </c>
      <c r="R413">
        <v>0</v>
      </c>
      <c r="S413">
        <v>4000</v>
      </c>
      <c r="T413">
        <v>0</v>
      </c>
      <c r="W413">
        <v>2</v>
      </c>
      <c r="X413">
        <v>120000</v>
      </c>
      <c r="Y413">
        <v>240000</v>
      </c>
      <c r="AB413">
        <v>0</v>
      </c>
      <c r="AC413">
        <v>1</v>
      </c>
      <c r="AD413">
        <v>100000</v>
      </c>
      <c r="AE413">
        <v>100000</v>
      </c>
      <c r="AN413">
        <v>0</v>
      </c>
      <c r="AO413">
        <v>2</v>
      </c>
      <c r="AP413">
        <v>120000</v>
      </c>
      <c r="AQ413">
        <v>240000</v>
      </c>
      <c r="AU413">
        <v>580</v>
      </c>
      <c r="AV413" t="s">
        <v>1936</v>
      </c>
      <c r="AW413" t="s">
        <v>1483</v>
      </c>
      <c r="AX413" t="s">
        <v>1937</v>
      </c>
      <c r="AY413" t="s">
        <v>383</v>
      </c>
      <c r="AZ413">
        <v>0</v>
      </c>
    </row>
    <row r="414" spans="1:56">
      <c r="A414" t="s">
        <v>1938</v>
      </c>
      <c r="B414" t="s">
        <v>170</v>
      </c>
      <c r="C414">
        <v>106</v>
      </c>
      <c r="D414" t="s">
        <v>425</v>
      </c>
      <c r="E414">
        <v>1</v>
      </c>
      <c r="F414" t="s">
        <v>445</v>
      </c>
      <c r="G414" t="s">
        <v>395</v>
      </c>
      <c r="H414" t="s">
        <v>445</v>
      </c>
      <c r="I414" t="s">
        <v>445</v>
      </c>
      <c r="K414">
        <v>30</v>
      </c>
      <c r="L414">
        <v>30</v>
      </c>
      <c r="O414">
        <v>1</v>
      </c>
      <c r="P414">
        <v>9236</v>
      </c>
      <c r="Q414">
        <v>9355</v>
      </c>
      <c r="R414">
        <v>119</v>
      </c>
      <c r="S414">
        <v>4000</v>
      </c>
      <c r="T414">
        <v>476</v>
      </c>
      <c r="W414">
        <v>1</v>
      </c>
      <c r="X414">
        <v>120000</v>
      </c>
      <c r="Y414">
        <v>120000</v>
      </c>
      <c r="AB414">
        <v>0</v>
      </c>
      <c r="AC414">
        <v>1</v>
      </c>
      <c r="AD414">
        <v>100000</v>
      </c>
      <c r="AE414">
        <v>100000</v>
      </c>
      <c r="AK414">
        <v>0</v>
      </c>
      <c r="AN414">
        <v>0</v>
      </c>
      <c r="AO414">
        <v>1</v>
      </c>
      <c r="AP414">
        <v>120000</v>
      </c>
      <c r="AQ414">
        <v>120000</v>
      </c>
      <c r="AU414">
        <v>816</v>
      </c>
      <c r="AV414" t="s">
        <v>1939</v>
      </c>
      <c r="AX414" t="s">
        <v>1940</v>
      </c>
      <c r="AY414" t="s">
        <v>383</v>
      </c>
      <c r="AZ414">
        <v>0</v>
      </c>
    </row>
    <row r="415" spans="1:56">
      <c r="A415" t="s">
        <v>1941</v>
      </c>
      <c r="B415" t="s">
        <v>170</v>
      </c>
      <c r="C415">
        <v>107</v>
      </c>
      <c r="D415" t="s">
        <v>425</v>
      </c>
      <c r="E415">
        <v>1</v>
      </c>
      <c r="F415" t="s">
        <v>426</v>
      </c>
      <c r="G415" t="s">
        <v>395</v>
      </c>
      <c r="H415" t="s">
        <v>426</v>
      </c>
      <c r="I415" t="s">
        <v>426</v>
      </c>
      <c r="K415">
        <v>30</v>
      </c>
      <c r="L415">
        <v>30</v>
      </c>
      <c r="O415">
        <v>3</v>
      </c>
      <c r="P415">
        <v>16770</v>
      </c>
      <c r="Q415">
        <v>16871</v>
      </c>
      <c r="R415">
        <v>101</v>
      </c>
      <c r="S415">
        <v>4000</v>
      </c>
      <c r="T415">
        <v>404</v>
      </c>
      <c r="W415">
        <v>3</v>
      </c>
      <c r="X415">
        <v>100000</v>
      </c>
      <c r="Y415">
        <v>300000</v>
      </c>
      <c r="Z415">
        <v>3</v>
      </c>
      <c r="AA415">
        <v>30000</v>
      </c>
      <c r="AB415">
        <v>90000</v>
      </c>
      <c r="AC415">
        <v>1</v>
      </c>
      <c r="AD415">
        <v>100000</v>
      </c>
      <c r="AE415">
        <v>100000</v>
      </c>
      <c r="AL415">
        <v>3</v>
      </c>
      <c r="AM415">
        <v>60000</v>
      </c>
      <c r="AN415">
        <v>180</v>
      </c>
      <c r="AU415" t="s">
        <v>1942</v>
      </c>
      <c r="AV415" t="s">
        <v>1943</v>
      </c>
      <c r="AX415" t="s">
        <v>1944</v>
      </c>
      <c r="AY415" t="s">
        <v>383</v>
      </c>
      <c r="AZ415">
        <v>0</v>
      </c>
    </row>
    <row r="416" spans="1:56">
      <c r="A416" t="s">
        <v>1945</v>
      </c>
      <c r="B416" t="s">
        <v>170</v>
      </c>
      <c r="C416">
        <v>108</v>
      </c>
      <c r="D416" t="s">
        <v>425</v>
      </c>
      <c r="E416">
        <v>1</v>
      </c>
      <c r="F416" t="s">
        <v>277</v>
      </c>
      <c r="G416" t="s">
        <v>395</v>
      </c>
      <c r="H416" t="s">
        <v>498</v>
      </c>
      <c r="I416" t="s">
        <v>498</v>
      </c>
      <c r="K416">
        <v>30</v>
      </c>
      <c r="L416">
        <v>30</v>
      </c>
      <c r="O416">
        <v>3</v>
      </c>
      <c r="P416">
        <v>10808</v>
      </c>
      <c r="Q416">
        <v>10990</v>
      </c>
      <c r="R416">
        <v>182</v>
      </c>
      <c r="S416">
        <v>4000</v>
      </c>
      <c r="T416">
        <v>728</v>
      </c>
      <c r="W416">
        <v>3</v>
      </c>
      <c r="X416">
        <v>120000</v>
      </c>
      <c r="Y416">
        <v>360000</v>
      </c>
      <c r="AB416">
        <v>0</v>
      </c>
      <c r="AC416">
        <v>1</v>
      </c>
      <c r="AD416">
        <v>100000</v>
      </c>
      <c r="AE416">
        <v>100000</v>
      </c>
      <c r="AN416">
        <v>0</v>
      </c>
      <c r="AO416">
        <v>3</v>
      </c>
      <c r="AP416">
        <v>120000</v>
      </c>
      <c r="AQ416">
        <v>360000</v>
      </c>
      <c r="AU416" t="s">
        <v>1946</v>
      </c>
      <c r="AV416" t="s">
        <v>804</v>
      </c>
      <c r="AX416" t="s">
        <v>1382</v>
      </c>
      <c r="AY416" t="s">
        <v>383</v>
      </c>
      <c r="AZ416">
        <v>0</v>
      </c>
    </row>
    <row r="417" spans="1:65">
      <c r="A417" t="s">
        <v>1947</v>
      </c>
      <c r="B417" t="s">
        <v>170</v>
      </c>
      <c r="C417">
        <v>109</v>
      </c>
      <c r="D417" t="s">
        <v>425</v>
      </c>
      <c r="E417">
        <v>1</v>
      </c>
      <c r="F417" t="s">
        <v>1025</v>
      </c>
      <c r="G417" t="s">
        <v>395</v>
      </c>
      <c r="H417" t="s">
        <v>1025</v>
      </c>
      <c r="I417" t="s">
        <v>1025</v>
      </c>
      <c r="K417">
        <v>30</v>
      </c>
      <c r="L417">
        <v>30</v>
      </c>
      <c r="O417">
        <v>2</v>
      </c>
      <c r="P417">
        <v>15418</v>
      </c>
      <c r="Q417">
        <v>15444</v>
      </c>
      <c r="R417">
        <v>26</v>
      </c>
      <c r="S417">
        <v>4000</v>
      </c>
      <c r="T417">
        <v>104</v>
      </c>
      <c r="W417">
        <v>2</v>
      </c>
      <c r="X417">
        <v>120000</v>
      </c>
      <c r="Y417">
        <v>240000</v>
      </c>
      <c r="AB417">
        <v>0</v>
      </c>
      <c r="AC417">
        <v>1</v>
      </c>
      <c r="AD417">
        <v>100000</v>
      </c>
      <c r="AE417">
        <v>100000</v>
      </c>
      <c r="AI417">
        <v>1</v>
      </c>
      <c r="AJ417">
        <v>150000</v>
      </c>
      <c r="AK417">
        <v>150000</v>
      </c>
      <c r="AN417">
        <v>0</v>
      </c>
      <c r="AO417">
        <v>2</v>
      </c>
      <c r="AP417">
        <v>120000</v>
      </c>
      <c r="AQ417">
        <v>240000</v>
      </c>
      <c r="AU417">
        <v>834</v>
      </c>
      <c r="AV417" t="s">
        <v>1948</v>
      </c>
      <c r="AW417" t="s">
        <v>1949</v>
      </c>
      <c r="AX417">
        <v>104</v>
      </c>
      <c r="AY417" t="s">
        <v>417</v>
      </c>
      <c r="AZ417" t="s">
        <v>1950</v>
      </c>
    </row>
    <row r="418" spans="1:65">
      <c r="A418" t="s">
        <v>1951</v>
      </c>
      <c r="B418" t="s">
        <v>170</v>
      </c>
      <c r="C418">
        <v>110</v>
      </c>
      <c r="D418" t="s">
        <v>425</v>
      </c>
      <c r="E418">
        <v>1</v>
      </c>
      <c r="F418" t="s">
        <v>445</v>
      </c>
      <c r="G418" t="s">
        <v>395</v>
      </c>
      <c r="H418" t="s">
        <v>445</v>
      </c>
      <c r="I418" t="s">
        <v>445</v>
      </c>
      <c r="K418">
        <v>30</v>
      </c>
      <c r="L418">
        <v>30</v>
      </c>
      <c r="O418">
        <v>2</v>
      </c>
      <c r="P418">
        <v>13284</v>
      </c>
      <c r="Q418">
        <v>13400</v>
      </c>
      <c r="R418">
        <v>116</v>
      </c>
      <c r="S418">
        <v>4000</v>
      </c>
      <c r="T418">
        <v>464</v>
      </c>
      <c r="W418">
        <v>2</v>
      </c>
      <c r="X418">
        <v>120000</v>
      </c>
      <c r="Y418">
        <v>240000</v>
      </c>
      <c r="AB418">
        <v>0</v>
      </c>
      <c r="AC418">
        <v>1</v>
      </c>
      <c r="AD418">
        <v>100000</v>
      </c>
      <c r="AE418">
        <v>100000</v>
      </c>
      <c r="AN418">
        <v>0</v>
      </c>
      <c r="AO418">
        <v>2</v>
      </c>
      <c r="AP418">
        <v>120000</v>
      </c>
      <c r="AQ418">
        <v>240000</v>
      </c>
      <c r="AU418" t="s">
        <v>1592</v>
      </c>
      <c r="AV418" t="s">
        <v>1952</v>
      </c>
      <c r="AX418" t="s">
        <v>1953</v>
      </c>
      <c r="AY418" t="s">
        <v>383</v>
      </c>
      <c r="AZ418">
        <v>0</v>
      </c>
    </row>
    <row r="419" spans="1:65">
      <c r="A419" t="s">
        <v>1954</v>
      </c>
      <c r="B419" t="s">
        <v>170</v>
      </c>
      <c r="C419">
        <v>201</v>
      </c>
      <c r="D419" t="s">
        <v>425</v>
      </c>
      <c r="E419">
        <v>1</v>
      </c>
      <c r="F419" t="s">
        <v>609</v>
      </c>
      <c r="G419" t="s">
        <v>609</v>
      </c>
      <c r="H419" t="s">
        <v>609</v>
      </c>
      <c r="I419" t="s">
        <v>609</v>
      </c>
      <c r="K419">
        <v>30</v>
      </c>
      <c r="L419">
        <v>30</v>
      </c>
      <c r="O419">
        <v>2</v>
      </c>
      <c r="P419">
        <v>8832</v>
      </c>
      <c r="Q419">
        <v>8878</v>
      </c>
      <c r="R419">
        <v>46</v>
      </c>
      <c r="S419">
        <v>4000</v>
      </c>
      <c r="T419">
        <v>184</v>
      </c>
      <c r="W419">
        <v>2</v>
      </c>
      <c r="X419">
        <v>120000</v>
      </c>
      <c r="Y419">
        <v>240000</v>
      </c>
      <c r="AB419">
        <v>0</v>
      </c>
      <c r="AC419">
        <v>1</v>
      </c>
      <c r="AD419">
        <v>100000</v>
      </c>
      <c r="AE419">
        <v>100000</v>
      </c>
      <c r="AN419">
        <v>0</v>
      </c>
      <c r="AO419">
        <v>2</v>
      </c>
      <c r="AP419">
        <v>120000</v>
      </c>
      <c r="AQ419">
        <v>240000</v>
      </c>
      <c r="AU419">
        <v>764</v>
      </c>
      <c r="AV419" t="s">
        <v>1955</v>
      </c>
      <c r="AW419" t="s">
        <v>1956</v>
      </c>
      <c r="AX419" t="s">
        <v>1957</v>
      </c>
      <c r="AY419" t="s">
        <v>522</v>
      </c>
      <c r="AZ419">
        <v>178</v>
      </c>
    </row>
    <row r="420" spans="1:65">
      <c r="A420" t="s">
        <v>1958</v>
      </c>
      <c r="B420" t="s">
        <v>170</v>
      </c>
      <c r="C420">
        <v>202</v>
      </c>
      <c r="D420" t="s">
        <v>425</v>
      </c>
      <c r="E420">
        <v>1</v>
      </c>
      <c r="F420" t="s">
        <v>426</v>
      </c>
      <c r="G420" t="s">
        <v>609</v>
      </c>
      <c r="H420" t="s">
        <v>426</v>
      </c>
      <c r="I420" t="s">
        <v>426</v>
      </c>
      <c r="K420">
        <v>30</v>
      </c>
      <c r="L420">
        <v>30</v>
      </c>
      <c r="O420">
        <v>1</v>
      </c>
      <c r="P420">
        <v>13886</v>
      </c>
      <c r="Q420">
        <v>13990</v>
      </c>
      <c r="R420">
        <v>104</v>
      </c>
      <c r="S420">
        <v>4000</v>
      </c>
      <c r="T420">
        <v>416</v>
      </c>
      <c r="W420">
        <v>1</v>
      </c>
      <c r="X420">
        <v>100000</v>
      </c>
      <c r="Y420">
        <v>100000</v>
      </c>
      <c r="AA420">
        <v>30000</v>
      </c>
      <c r="AB420">
        <v>0</v>
      </c>
      <c r="AD420">
        <v>100000</v>
      </c>
      <c r="AE420">
        <v>0</v>
      </c>
      <c r="AM420">
        <v>60000</v>
      </c>
      <c r="AN420">
        <v>0</v>
      </c>
      <c r="AO420">
        <v>1</v>
      </c>
      <c r="AP420">
        <v>120000</v>
      </c>
      <c r="AQ420">
        <v>120000</v>
      </c>
      <c r="AU420">
        <v>636</v>
      </c>
      <c r="AV420" t="s">
        <v>1959</v>
      </c>
      <c r="AX420" t="s">
        <v>1960</v>
      </c>
      <c r="AY420" t="s">
        <v>383</v>
      </c>
      <c r="AZ420">
        <v>0</v>
      </c>
    </row>
    <row r="421" spans="1:65">
      <c r="A421" t="s">
        <v>1961</v>
      </c>
      <c r="B421" t="s">
        <v>170</v>
      </c>
      <c r="C421">
        <v>203</v>
      </c>
      <c r="D421" t="s">
        <v>425</v>
      </c>
      <c r="E421">
        <v>1</v>
      </c>
      <c r="F421" t="s">
        <v>1025</v>
      </c>
      <c r="G421" t="s">
        <v>609</v>
      </c>
      <c r="H421" t="s">
        <v>1025</v>
      </c>
      <c r="I421" t="s">
        <v>1025</v>
      </c>
      <c r="K421">
        <v>30</v>
      </c>
      <c r="L421">
        <v>30</v>
      </c>
      <c r="O421">
        <v>1</v>
      </c>
      <c r="P421">
        <v>10389</v>
      </c>
      <c r="Q421">
        <v>10564</v>
      </c>
      <c r="R421">
        <v>175</v>
      </c>
      <c r="S421">
        <v>4000</v>
      </c>
      <c r="T421">
        <v>700</v>
      </c>
      <c r="W421">
        <v>1</v>
      </c>
      <c r="X421">
        <v>120000</v>
      </c>
      <c r="Y421">
        <v>120000</v>
      </c>
      <c r="AB421">
        <v>0</v>
      </c>
      <c r="AC421">
        <v>1</v>
      </c>
      <c r="AD421">
        <v>100000</v>
      </c>
      <c r="AE421">
        <v>100000</v>
      </c>
      <c r="AI421">
        <v>1</v>
      </c>
      <c r="AJ421">
        <v>150000</v>
      </c>
      <c r="AK421">
        <v>150000</v>
      </c>
      <c r="AN421">
        <v>0</v>
      </c>
      <c r="AO421">
        <v>1</v>
      </c>
      <c r="AP421">
        <v>120000</v>
      </c>
      <c r="AQ421">
        <v>120000</v>
      </c>
      <c r="AU421" t="s">
        <v>1962</v>
      </c>
      <c r="AV421" t="s">
        <v>1702</v>
      </c>
      <c r="AW421" t="s">
        <v>1963</v>
      </c>
      <c r="AX421" t="s">
        <v>1703</v>
      </c>
      <c r="AY421" t="s">
        <v>383</v>
      </c>
      <c r="AZ421">
        <v>0</v>
      </c>
    </row>
    <row r="422" spans="1:65">
      <c r="A422" t="s">
        <v>1964</v>
      </c>
      <c r="B422" t="s">
        <v>170</v>
      </c>
      <c r="C422">
        <v>204</v>
      </c>
      <c r="D422" t="s">
        <v>425</v>
      </c>
      <c r="E422">
        <v>1</v>
      </c>
      <c r="F422" t="s">
        <v>277</v>
      </c>
      <c r="G422" t="s">
        <v>609</v>
      </c>
      <c r="H422" t="s">
        <v>277</v>
      </c>
      <c r="I422" t="s">
        <v>277</v>
      </c>
      <c r="K422">
        <v>30</v>
      </c>
      <c r="L422">
        <v>30</v>
      </c>
      <c r="O422">
        <v>1</v>
      </c>
      <c r="P422">
        <v>12270</v>
      </c>
      <c r="Q422">
        <v>12487</v>
      </c>
      <c r="R422">
        <v>217</v>
      </c>
      <c r="S422">
        <v>4000</v>
      </c>
      <c r="T422">
        <v>868</v>
      </c>
      <c r="W422">
        <v>1</v>
      </c>
      <c r="X422">
        <v>120000</v>
      </c>
      <c r="Y422">
        <v>120000</v>
      </c>
      <c r="AB422">
        <v>0</v>
      </c>
      <c r="AC422">
        <v>1</v>
      </c>
      <c r="AD422">
        <v>100000</v>
      </c>
      <c r="AE422">
        <v>100000</v>
      </c>
      <c r="AM422">
        <v>50000</v>
      </c>
      <c r="AN422">
        <v>0</v>
      </c>
      <c r="AO422">
        <v>1</v>
      </c>
      <c r="AP422">
        <v>120000</v>
      </c>
      <c r="AQ422">
        <v>120000</v>
      </c>
      <c r="AU422" t="s">
        <v>1734</v>
      </c>
      <c r="AV422" t="s">
        <v>1965</v>
      </c>
      <c r="AX422" t="s">
        <v>1966</v>
      </c>
      <c r="AY422" t="s">
        <v>383</v>
      </c>
      <c r="AZ422">
        <v>0</v>
      </c>
      <c r="BA422" s="1">
        <v>46030</v>
      </c>
      <c r="BB422" t="s">
        <v>1967</v>
      </c>
      <c r="BC422" t="s">
        <v>438</v>
      </c>
    </row>
    <row r="423" spans="1:65">
      <c r="A423" t="s">
        <v>1968</v>
      </c>
      <c r="B423" t="s">
        <v>170</v>
      </c>
      <c r="C423">
        <v>205</v>
      </c>
      <c r="D423" t="s">
        <v>425</v>
      </c>
      <c r="E423">
        <v>1</v>
      </c>
      <c r="F423" t="s">
        <v>609</v>
      </c>
      <c r="G423" t="s">
        <v>609</v>
      </c>
      <c r="H423" t="s">
        <v>609</v>
      </c>
      <c r="I423" t="s">
        <v>609</v>
      </c>
      <c r="J423" t="s">
        <v>609</v>
      </c>
      <c r="K423">
        <v>30</v>
      </c>
      <c r="L423">
        <v>30</v>
      </c>
      <c r="O423">
        <v>2</v>
      </c>
      <c r="P423">
        <v>12749</v>
      </c>
      <c r="Q423">
        <v>12749</v>
      </c>
      <c r="R423">
        <v>0</v>
      </c>
      <c r="S423">
        <v>4000</v>
      </c>
      <c r="T423">
        <v>0</v>
      </c>
      <c r="W423">
        <v>2</v>
      </c>
      <c r="X423">
        <v>120000</v>
      </c>
      <c r="Y423">
        <v>240000</v>
      </c>
      <c r="AB423">
        <v>0</v>
      </c>
      <c r="AC423">
        <v>1</v>
      </c>
      <c r="AD423">
        <v>100000</v>
      </c>
      <c r="AE423">
        <v>100000</v>
      </c>
      <c r="AN423">
        <v>0</v>
      </c>
      <c r="AO423">
        <v>2</v>
      </c>
      <c r="AP423">
        <v>120000</v>
      </c>
      <c r="AQ423">
        <v>240000</v>
      </c>
      <c r="AU423">
        <v>580</v>
      </c>
      <c r="AV423" t="s">
        <v>1969</v>
      </c>
      <c r="AW423" t="s">
        <v>1970</v>
      </c>
      <c r="AX423" t="s">
        <v>1971</v>
      </c>
      <c r="AY423" t="s">
        <v>383</v>
      </c>
      <c r="AZ423">
        <v>0</v>
      </c>
      <c r="BA423" s="1">
        <v>46031</v>
      </c>
      <c r="BB423" t="s">
        <v>474</v>
      </c>
      <c r="BC423" t="s">
        <v>475</v>
      </c>
    </row>
    <row r="424" spans="1:65">
      <c r="A424" t="s">
        <v>1972</v>
      </c>
      <c r="B424" t="s">
        <v>170</v>
      </c>
      <c r="C424">
        <v>206</v>
      </c>
      <c r="D424" t="s">
        <v>425</v>
      </c>
      <c r="E424">
        <v>1</v>
      </c>
      <c r="F424" t="s">
        <v>609</v>
      </c>
      <c r="G424" t="s">
        <v>552</v>
      </c>
      <c r="H424" t="s">
        <v>609</v>
      </c>
      <c r="I424" t="s">
        <v>609</v>
      </c>
      <c r="K424">
        <v>30</v>
      </c>
      <c r="L424">
        <v>30</v>
      </c>
      <c r="O424">
        <v>1</v>
      </c>
      <c r="P424">
        <v>19375</v>
      </c>
      <c r="Q424">
        <v>19616</v>
      </c>
      <c r="R424">
        <v>241</v>
      </c>
      <c r="S424">
        <v>4000</v>
      </c>
      <c r="T424">
        <v>964</v>
      </c>
      <c r="W424">
        <v>1</v>
      </c>
      <c r="X424">
        <v>120000</v>
      </c>
      <c r="Y424">
        <v>120000</v>
      </c>
      <c r="AB424">
        <v>0</v>
      </c>
      <c r="AC424">
        <v>1</v>
      </c>
      <c r="AD424">
        <v>100000</v>
      </c>
      <c r="AE424">
        <v>100000</v>
      </c>
      <c r="AN424">
        <v>0</v>
      </c>
      <c r="AO424">
        <v>1</v>
      </c>
      <c r="AP424">
        <v>120000</v>
      </c>
      <c r="AQ424">
        <v>120000</v>
      </c>
      <c r="AU424" t="s">
        <v>1973</v>
      </c>
      <c r="AV424" t="s">
        <v>1974</v>
      </c>
      <c r="AX424" t="s">
        <v>1975</v>
      </c>
      <c r="AY424" t="s">
        <v>383</v>
      </c>
      <c r="AZ424">
        <v>0</v>
      </c>
    </row>
    <row r="425" spans="1:65">
      <c r="A425" t="s">
        <v>1976</v>
      </c>
      <c r="B425" t="s">
        <v>170</v>
      </c>
      <c r="C425">
        <v>207</v>
      </c>
      <c r="D425" t="s">
        <v>425</v>
      </c>
      <c r="E425">
        <v>1</v>
      </c>
      <c r="F425" t="s">
        <v>609</v>
      </c>
      <c r="G425" t="s">
        <v>395</v>
      </c>
      <c r="H425" t="s">
        <v>609</v>
      </c>
      <c r="I425" t="s">
        <v>609</v>
      </c>
      <c r="K425">
        <v>30</v>
      </c>
      <c r="L425">
        <v>30</v>
      </c>
      <c r="O425">
        <v>1</v>
      </c>
      <c r="P425">
        <v>9637</v>
      </c>
      <c r="Q425">
        <v>9786</v>
      </c>
      <c r="R425">
        <v>149</v>
      </c>
      <c r="S425">
        <v>4000</v>
      </c>
      <c r="T425">
        <v>596</v>
      </c>
      <c r="X425">
        <v>120000</v>
      </c>
      <c r="Y425">
        <v>0</v>
      </c>
      <c r="AB425">
        <v>0</v>
      </c>
      <c r="AD425">
        <v>100000</v>
      </c>
      <c r="AE425">
        <v>0</v>
      </c>
      <c r="AN425">
        <v>0</v>
      </c>
      <c r="AO425">
        <v>1</v>
      </c>
      <c r="AP425">
        <v>60000</v>
      </c>
      <c r="AQ425">
        <v>60000</v>
      </c>
      <c r="AU425">
        <v>656</v>
      </c>
      <c r="AV425" t="s">
        <v>1977</v>
      </c>
      <c r="AW425" t="s">
        <v>1978</v>
      </c>
      <c r="AX425" t="s">
        <v>1979</v>
      </c>
      <c r="AY425" t="s">
        <v>383</v>
      </c>
      <c r="AZ425">
        <v>0</v>
      </c>
    </row>
    <row r="426" spans="1:65">
      <c r="A426" t="s">
        <v>1980</v>
      </c>
      <c r="B426" t="s">
        <v>170</v>
      </c>
      <c r="C426">
        <v>208</v>
      </c>
      <c r="D426" t="s">
        <v>425</v>
      </c>
      <c r="E426">
        <v>1</v>
      </c>
      <c r="F426" t="s">
        <v>277</v>
      </c>
      <c r="G426" t="s">
        <v>395</v>
      </c>
      <c r="H426" t="s">
        <v>277</v>
      </c>
      <c r="I426" t="s">
        <v>277</v>
      </c>
      <c r="K426">
        <v>30</v>
      </c>
      <c r="L426">
        <v>30</v>
      </c>
      <c r="O426">
        <v>2</v>
      </c>
      <c r="P426">
        <v>11181</v>
      </c>
      <c r="Q426">
        <v>11356</v>
      </c>
      <c r="R426">
        <v>175</v>
      </c>
      <c r="S426">
        <v>4000</v>
      </c>
      <c r="T426">
        <v>700</v>
      </c>
      <c r="W426">
        <v>2</v>
      </c>
      <c r="X426">
        <v>120000</v>
      </c>
      <c r="Y426">
        <v>240000</v>
      </c>
      <c r="AB426">
        <v>0</v>
      </c>
      <c r="AD426">
        <v>100000</v>
      </c>
      <c r="AE426">
        <v>0</v>
      </c>
      <c r="AN426">
        <v>0</v>
      </c>
      <c r="AO426">
        <v>2</v>
      </c>
      <c r="AP426">
        <v>120000</v>
      </c>
      <c r="AQ426">
        <v>240000</v>
      </c>
      <c r="AU426" t="s">
        <v>490</v>
      </c>
      <c r="AV426" t="s">
        <v>491</v>
      </c>
      <c r="AW426" t="s">
        <v>706</v>
      </c>
      <c r="AX426" t="s">
        <v>492</v>
      </c>
      <c r="AY426" t="s">
        <v>383</v>
      </c>
      <c r="AZ426">
        <v>0</v>
      </c>
      <c r="BA426" s="1">
        <v>46030</v>
      </c>
      <c r="BB426" t="s">
        <v>474</v>
      </c>
      <c r="BC426" t="s">
        <v>475</v>
      </c>
    </row>
    <row r="427" spans="1:65">
      <c r="A427" t="s">
        <v>1981</v>
      </c>
      <c r="B427" t="s">
        <v>170</v>
      </c>
      <c r="C427">
        <v>301</v>
      </c>
      <c r="D427" t="s">
        <v>425</v>
      </c>
      <c r="E427">
        <v>1</v>
      </c>
      <c r="F427" t="s">
        <v>609</v>
      </c>
      <c r="G427" t="s">
        <v>395</v>
      </c>
      <c r="H427" t="s">
        <v>609</v>
      </c>
      <c r="I427" t="s">
        <v>609</v>
      </c>
      <c r="K427">
        <v>30</v>
      </c>
      <c r="L427">
        <v>30</v>
      </c>
      <c r="O427">
        <v>3</v>
      </c>
      <c r="P427">
        <v>15433</v>
      </c>
      <c r="Q427">
        <v>15876</v>
      </c>
      <c r="R427">
        <v>443</v>
      </c>
      <c r="S427">
        <v>4000</v>
      </c>
      <c r="T427" t="s">
        <v>1982</v>
      </c>
      <c r="W427">
        <v>3</v>
      </c>
      <c r="X427">
        <v>120000</v>
      </c>
      <c r="Y427">
        <v>360000</v>
      </c>
      <c r="AA427">
        <v>30000</v>
      </c>
      <c r="AB427">
        <v>0</v>
      </c>
      <c r="AC427">
        <v>1</v>
      </c>
      <c r="AD427">
        <v>100000</v>
      </c>
      <c r="AE427">
        <v>100000</v>
      </c>
      <c r="AK427">
        <v>0</v>
      </c>
      <c r="AN427">
        <v>0</v>
      </c>
      <c r="AO427">
        <v>3</v>
      </c>
      <c r="AP427">
        <v>120000</v>
      </c>
      <c r="AQ427">
        <v>360000</v>
      </c>
      <c r="AU427" t="s">
        <v>1543</v>
      </c>
      <c r="AV427" t="s">
        <v>1983</v>
      </c>
      <c r="AX427" t="s">
        <v>1984</v>
      </c>
      <c r="AY427" t="s">
        <v>383</v>
      </c>
      <c r="AZ427">
        <v>0</v>
      </c>
      <c r="BA427" s="1">
        <v>46030</v>
      </c>
      <c r="BB427" t="s">
        <v>474</v>
      </c>
      <c r="BC427" t="s">
        <v>1114</v>
      </c>
    </row>
    <row r="428" spans="1:65">
      <c r="A428" t="s">
        <v>1985</v>
      </c>
      <c r="B428" t="s">
        <v>170</v>
      </c>
      <c r="C428">
        <v>302</v>
      </c>
      <c r="D428" t="s">
        <v>425</v>
      </c>
      <c r="E428">
        <v>1</v>
      </c>
      <c r="F428" t="s">
        <v>277</v>
      </c>
      <c r="G428" t="s">
        <v>395</v>
      </c>
      <c r="H428" t="s">
        <v>277</v>
      </c>
      <c r="I428" t="s">
        <v>277</v>
      </c>
      <c r="K428">
        <v>30</v>
      </c>
      <c r="L428">
        <v>30</v>
      </c>
      <c r="O428">
        <v>2</v>
      </c>
      <c r="P428">
        <v>21096</v>
      </c>
      <c r="Q428">
        <v>21394</v>
      </c>
      <c r="R428">
        <v>298</v>
      </c>
      <c r="S428">
        <v>4000</v>
      </c>
      <c r="T428" t="s">
        <v>1986</v>
      </c>
      <c r="W428">
        <v>2</v>
      </c>
      <c r="X428">
        <v>100000</v>
      </c>
      <c r="Y428">
        <v>200000</v>
      </c>
      <c r="Z428">
        <v>2</v>
      </c>
      <c r="AA428">
        <v>30000</v>
      </c>
      <c r="AB428">
        <v>60000</v>
      </c>
      <c r="AC428">
        <v>1</v>
      </c>
      <c r="AD428">
        <v>100000</v>
      </c>
      <c r="AE428">
        <v>100000</v>
      </c>
      <c r="AL428">
        <v>2</v>
      </c>
      <c r="AM428">
        <v>60000</v>
      </c>
      <c r="AN428">
        <v>120</v>
      </c>
      <c r="AU428" t="s">
        <v>1987</v>
      </c>
      <c r="AV428" t="s">
        <v>1988</v>
      </c>
      <c r="AX428" t="s">
        <v>1989</v>
      </c>
      <c r="AY428" t="s">
        <v>383</v>
      </c>
      <c r="AZ428">
        <v>0</v>
      </c>
    </row>
    <row r="429" spans="1:65">
      <c r="A429" t="s">
        <v>1990</v>
      </c>
      <c r="B429" t="s">
        <v>170</v>
      </c>
      <c r="C429">
        <v>303</v>
      </c>
      <c r="D429" t="s">
        <v>425</v>
      </c>
      <c r="E429">
        <v>1</v>
      </c>
      <c r="F429" t="s">
        <v>445</v>
      </c>
      <c r="G429" t="s">
        <v>395</v>
      </c>
      <c r="H429" t="s">
        <v>445</v>
      </c>
      <c r="I429" t="s">
        <v>445</v>
      </c>
      <c r="K429">
        <v>30</v>
      </c>
      <c r="L429">
        <v>30</v>
      </c>
      <c r="O429">
        <v>2</v>
      </c>
      <c r="P429">
        <v>15912</v>
      </c>
      <c r="Q429">
        <v>16092</v>
      </c>
      <c r="R429">
        <v>180</v>
      </c>
      <c r="S429">
        <v>4000</v>
      </c>
      <c r="T429">
        <v>720</v>
      </c>
      <c r="W429">
        <v>2</v>
      </c>
      <c r="X429">
        <v>120000</v>
      </c>
      <c r="Y429">
        <v>240000</v>
      </c>
      <c r="AB429">
        <v>0</v>
      </c>
      <c r="AD429">
        <v>100000</v>
      </c>
      <c r="AE429">
        <v>0</v>
      </c>
      <c r="AN429">
        <v>0</v>
      </c>
      <c r="AO429">
        <v>2</v>
      </c>
      <c r="AP429">
        <v>120000</v>
      </c>
      <c r="AQ429">
        <v>240000</v>
      </c>
      <c r="AU429" t="s">
        <v>1991</v>
      </c>
      <c r="AV429" t="s">
        <v>1992</v>
      </c>
      <c r="AX429" t="s">
        <v>1993</v>
      </c>
      <c r="AY429" t="s">
        <v>383</v>
      </c>
      <c r="AZ429">
        <v>0</v>
      </c>
    </row>
    <row r="430" spans="1:65">
      <c r="A430" t="s">
        <v>1994</v>
      </c>
      <c r="B430" t="s">
        <v>170</v>
      </c>
      <c r="C430">
        <v>304</v>
      </c>
      <c r="D430" t="s">
        <v>425</v>
      </c>
      <c r="E430">
        <v>1</v>
      </c>
      <c r="F430" t="s">
        <v>445</v>
      </c>
      <c r="G430" t="s">
        <v>395</v>
      </c>
      <c r="H430" t="s">
        <v>445</v>
      </c>
      <c r="I430" t="s">
        <v>445</v>
      </c>
      <c r="K430">
        <v>30</v>
      </c>
      <c r="L430">
        <v>30</v>
      </c>
      <c r="O430">
        <v>2</v>
      </c>
      <c r="P430">
        <v>17075</v>
      </c>
      <c r="Q430">
        <v>17462</v>
      </c>
      <c r="R430">
        <v>387</v>
      </c>
      <c r="S430">
        <v>4000</v>
      </c>
      <c r="T430" t="s">
        <v>1995</v>
      </c>
      <c r="W430">
        <v>2</v>
      </c>
      <c r="X430">
        <v>100000</v>
      </c>
      <c r="Y430">
        <v>200000</v>
      </c>
      <c r="Z430">
        <v>2</v>
      </c>
      <c r="AA430">
        <v>30000</v>
      </c>
      <c r="AB430">
        <v>60000</v>
      </c>
      <c r="AC430">
        <v>1</v>
      </c>
      <c r="AD430">
        <v>100000</v>
      </c>
      <c r="AE430">
        <v>100000</v>
      </c>
      <c r="AL430">
        <v>2</v>
      </c>
      <c r="AM430">
        <v>60000</v>
      </c>
      <c r="AN430">
        <v>120</v>
      </c>
      <c r="AU430" t="s">
        <v>1996</v>
      </c>
      <c r="AV430" t="s">
        <v>1355</v>
      </c>
      <c r="AX430" t="s">
        <v>1356</v>
      </c>
      <c r="AY430" t="s">
        <v>383</v>
      </c>
      <c r="AZ430">
        <v>0</v>
      </c>
    </row>
    <row r="431" spans="1:65">
      <c r="A431" t="s">
        <v>1997</v>
      </c>
      <c r="B431" t="s">
        <v>170</v>
      </c>
      <c r="C431">
        <v>305</v>
      </c>
      <c r="D431" t="s">
        <v>425</v>
      </c>
      <c r="E431">
        <v>1</v>
      </c>
      <c r="F431" t="s">
        <v>789</v>
      </c>
      <c r="G431" t="s">
        <v>395</v>
      </c>
      <c r="H431" t="s">
        <v>426</v>
      </c>
      <c r="I431" t="s">
        <v>426</v>
      </c>
      <c r="K431">
        <v>30</v>
      </c>
      <c r="L431">
        <v>30</v>
      </c>
      <c r="O431">
        <v>1</v>
      </c>
      <c r="P431">
        <v>15692</v>
      </c>
      <c r="Q431">
        <v>16088</v>
      </c>
      <c r="R431">
        <v>396</v>
      </c>
      <c r="S431">
        <v>4000</v>
      </c>
      <c r="T431" t="s">
        <v>1998</v>
      </c>
      <c r="W431">
        <v>1</v>
      </c>
      <c r="X431">
        <v>100000</v>
      </c>
      <c r="Y431">
        <v>100000</v>
      </c>
      <c r="Z431">
        <v>1</v>
      </c>
      <c r="AA431">
        <v>30000</v>
      </c>
      <c r="AB431">
        <v>30000</v>
      </c>
      <c r="AC431">
        <v>1</v>
      </c>
      <c r="AD431">
        <v>100000</v>
      </c>
      <c r="AE431">
        <v>100000</v>
      </c>
      <c r="AL431">
        <v>1</v>
      </c>
      <c r="AM431">
        <v>60000</v>
      </c>
      <c r="AN431">
        <v>60</v>
      </c>
      <c r="AQ431">
        <v>0</v>
      </c>
      <c r="AU431" t="s">
        <v>1999</v>
      </c>
      <c r="AV431" t="s">
        <v>2000</v>
      </c>
      <c r="AW431" t="s">
        <v>2001</v>
      </c>
      <c r="AX431" t="s">
        <v>2002</v>
      </c>
      <c r="AY431" t="s">
        <v>383</v>
      </c>
      <c r="AZ431">
        <v>0</v>
      </c>
    </row>
    <row r="432" spans="1:65">
      <c r="A432" t="s">
        <v>2003</v>
      </c>
      <c r="B432" t="s">
        <v>170</v>
      </c>
      <c r="C432">
        <v>306</v>
      </c>
      <c r="D432" t="s">
        <v>425</v>
      </c>
      <c r="E432">
        <v>1</v>
      </c>
      <c r="F432" t="s">
        <v>609</v>
      </c>
      <c r="G432" t="s">
        <v>395</v>
      </c>
      <c r="H432" t="s">
        <v>609</v>
      </c>
      <c r="I432" t="s">
        <v>609</v>
      </c>
      <c r="K432">
        <v>30</v>
      </c>
      <c r="L432">
        <v>30</v>
      </c>
      <c r="O432">
        <v>1</v>
      </c>
      <c r="P432">
        <v>16951</v>
      </c>
      <c r="Q432">
        <v>17142</v>
      </c>
      <c r="R432">
        <v>191</v>
      </c>
      <c r="S432">
        <v>4000</v>
      </c>
      <c r="T432">
        <v>764</v>
      </c>
      <c r="W432">
        <v>1</v>
      </c>
      <c r="X432">
        <v>120000</v>
      </c>
      <c r="Y432">
        <v>120000</v>
      </c>
      <c r="AB432">
        <v>0</v>
      </c>
      <c r="AC432">
        <v>1</v>
      </c>
      <c r="AD432">
        <v>100000</v>
      </c>
      <c r="AE432">
        <v>100000</v>
      </c>
      <c r="AN432">
        <v>0</v>
      </c>
      <c r="AO432">
        <v>1</v>
      </c>
      <c r="AP432">
        <v>120000</v>
      </c>
      <c r="AQ432">
        <v>120000</v>
      </c>
      <c r="AU432" t="s">
        <v>494</v>
      </c>
      <c r="AV432" t="s">
        <v>2004</v>
      </c>
      <c r="AX432" t="s">
        <v>2005</v>
      </c>
      <c r="AY432" t="s">
        <v>383</v>
      </c>
      <c r="AZ432">
        <v>0</v>
      </c>
      <c r="BI432">
        <v>12483</v>
      </c>
      <c r="BJ432">
        <v>12623</v>
      </c>
      <c r="BK432">
        <v>140</v>
      </c>
      <c r="BL432">
        <v>3800</v>
      </c>
      <c r="BM432">
        <v>532</v>
      </c>
    </row>
    <row r="433" spans="1:57">
      <c r="A433" t="s">
        <v>2006</v>
      </c>
      <c r="B433" t="s">
        <v>170</v>
      </c>
      <c r="C433">
        <v>307</v>
      </c>
      <c r="D433" t="s">
        <v>425</v>
      </c>
      <c r="E433">
        <v>1</v>
      </c>
      <c r="F433" t="s">
        <v>445</v>
      </c>
      <c r="G433" t="s">
        <v>395</v>
      </c>
      <c r="H433" t="s">
        <v>445</v>
      </c>
      <c r="I433" t="s">
        <v>445</v>
      </c>
      <c r="J433">
        <v>200</v>
      </c>
      <c r="K433">
        <v>30</v>
      </c>
      <c r="L433">
        <v>30</v>
      </c>
      <c r="O433">
        <v>1</v>
      </c>
      <c r="P433">
        <v>13873</v>
      </c>
      <c r="Q433">
        <v>14038</v>
      </c>
      <c r="R433">
        <v>165</v>
      </c>
      <c r="S433">
        <v>4000</v>
      </c>
      <c r="T433">
        <v>660</v>
      </c>
      <c r="W433">
        <v>1</v>
      </c>
      <c r="X433">
        <v>120000</v>
      </c>
      <c r="Y433">
        <v>120000</v>
      </c>
      <c r="AB433">
        <v>0</v>
      </c>
      <c r="AC433">
        <v>1</v>
      </c>
      <c r="AD433">
        <v>100000</v>
      </c>
      <c r="AE433">
        <v>100000</v>
      </c>
      <c r="AN433">
        <v>0</v>
      </c>
      <c r="AO433">
        <v>1</v>
      </c>
      <c r="AP433">
        <v>120000</v>
      </c>
      <c r="AQ433">
        <v>120000</v>
      </c>
      <c r="AU433" t="s">
        <v>672</v>
      </c>
      <c r="AV433" t="s">
        <v>1992</v>
      </c>
      <c r="AW433" t="s">
        <v>530</v>
      </c>
      <c r="AX433" t="s">
        <v>1993</v>
      </c>
      <c r="AY433" t="s">
        <v>383</v>
      </c>
      <c r="AZ433">
        <v>0</v>
      </c>
    </row>
    <row r="434" spans="1:57">
      <c r="A434" t="s">
        <v>2007</v>
      </c>
      <c r="B434" t="s">
        <v>170</v>
      </c>
      <c r="C434">
        <v>308</v>
      </c>
      <c r="D434" t="s">
        <v>425</v>
      </c>
      <c r="E434">
        <v>1</v>
      </c>
      <c r="F434" t="s">
        <v>1025</v>
      </c>
      <c r="G434" t="s">
        <v>395</v>
      </c>
      <c r="H434" t="s">
        <v>1025</v>
      </c>
      <c r="I434" t="s">
        <v>1025</v>
      </c>
      <c r="K434">
        <v>30</v>
      </c>
      <c r="L434">
        <v>30</v>
      </c>
      <c r="O434">
        <v>2</v>
      </c>
      <c r="P434">
        <v>4414</v>
      </c>
      <c r="Q434">
        <v>4585</v>
      </c>
      <c r="R434">
        <v>171</v>
      </c>
      <c r="S434">
        <v>4000</v>
      </c>
      <c r="T434">
        <v>684</v>
      </c>
      <c r="W434">
        <v>2</v>
      </c>
      <c r="X434">
        <v>120000</v>
      </c>
      <c r="Y434">
        <v>240000</v>
      </c>
      <c r="AB434">
        <v>0</v>
      </c>
      <c r="AD434">
        <v>100000</v>
      </c>
      <c r="AE434">
        <v>0</v>
      </c>
      <c r="AN434">
        <v>0</v>
      </c>
      <c r="AO434">
        <v>2</v>
      </c>
      <c r="AP434">
        <v>120000</v>
      </c>
      <c r="AQ434">
        <v>240000</v>
      </c>
      <c r="AU434" t="s">
        <v>2008</v>
      </c>
      <c r="AV434" t="s">
        <v>2009</v>
      </c>
      <c r="AX434" t="s">
        <v>2010</v>
      </c>
      <c r="AY434" t="s">
        <v>383</v>
      </c>
      <c r="AZ434">
        <v>0</v>
      </c>
    </row>
    <row r="435" spans="1:57">
      <c r="A435" t="s">
        <v>2011</v>
      </c>
      <c r="B435" t="s">
        <v>170</v>
      </c>
      <c r="C435">
        <v>401</v>
      </c>
      <c r="D435" t="s">
        <v>425</v>
      </c>
      <c r="E435">
        <v>1</v>
      </c>
      <c r="F435" t="s">
        <v>445</v>
      </c>
      <c r="G435" t="s">
        <v>395</v>
      </c>
      <c r="H435" t="s">
        <v>445</v>
      </c>
      <c r="I435" t="s">
        <v>445</v>
      </c>
      <c r="K435">
        <v>30</v>
      </c>
      <c r="L435">
        <v>30</v>
      </c>
      <c r="O435">
        <v>1</v>
      </c>
      <c r="P435">
        <v>2247</v>
      </c>
      <c r="Q435">
        <v>2538</v>
      </c>
      <c r="R435">
        <v>291</v>
      </c>
      <c r="S435">
        <v>4000</v>
      </c>
      <c r="T435" t="s">
        <v>943</v>
      </c>
      <c r="W435">
        <v>1</v>
      </c>
      <c r="X435">
        <v>100000</v>
      </c>
      <c r="Y435">
        <v>100000</v>
      </c>
      <c r="Z435">
        <v>1</v>
      </c>
      <c r="AA435">
        <v>30000</v>
      </c>
      <c r="AB435">
        <v>30000</v>
      </c>
      <c r="AC435">
        <v>1</v>
      </c>
      <c r="AD435">
        <v>100000</v>
      </c>
      <c r="AE435">
        <v>100000</v>
      </c>
      <c r="AL435">
        <v>1</v>
      </c>
      <c r="AM435">
        <v>60000</v>
      </c>
      <c r="AN435">
        <v>60</v>
      </c>
      <c r="AU435" t="s">
        <v>2012</v>
      </c>
      <c r="AV435" t="s">
        <v>2013</v>
      </c>
      <c r="AX435" t="s">
        <v>2014</v>
      </c>
      <c r="AY435" t="s">
        <v>383</v>
      </c>
      <c r="AZ435">
        <v>0</v>
      </c>
    </row>
    <row r="436" spans="1:57">
      <c r="A436" t="s">
        <v>2015</v>
      </c>
      <c r="B436" t="s">
        <v>170</v>
      </c>
      <c r="C436">
        <v>402</v>
      </c>
      <c r="D436" t="s">
        <v>425</v>
      </c>
      <c r="E436">
        <v>1</v>
      </c>
      <c r="F436" t="s">
        <v>445</v>
      </c>
      <c r="G436" t="s">
        <v>395</v>
      </c>
      <c r="H436" t="s">
        <v>445</v>
      </c>
      <c r="I436" t="s">
        <v>445</v>
      </c>
      <c r="K436">
        <v>30</v>
      </c>
      <c r="L436">
        <v>30</v>
      </c>
      <c r="O436">
        <v>2</v>
      </c>
      <c r="P436">
        <v>14953</v>
      </c>
      <c r="Q436">
        <v>15205</v>
      </c>
      <c r="R436">
        <v>252</v>
      </c>
      <c r="S436">
        <v>4000</v>
      </c>
      <c r="T436" t="s">
        <v>2016</v>
      </c>
      <c r="W436">
        <v>2</v>
      </c>
      <c r="X436">
        <v>100000</v>
      </c>
      <c r="Y436">
        <v>200000</v>
      </c>
      <c r="Z436">
        <v>2</v>
      </c>
      <c r="AA436">
        <v>30000</v>
      </c>
      <c r="AB436">
        <v>60000</v>
      </c>
      <c r="AC436">
        <v>1</v>
      </c>
      <c r="AD436">
        <v>100000</v>
      </c>
      <c r="AE436">
        <v>100000</v>
      </c>
      <c r="AL436">
        <v>0</v>
      </c>
      <c r="AM436">
        <v>60000</v>
      </c>
      <c r="AN436">
        <v>0</v>
      </c>
      <c r="AU436" t="s">
        <v>2017</v>
      </c>
      <c r="AV436" t="s">
        <v>2018</v>
      </c>
      <c r="AX436" t="s">
        <v>2019</v>
      </c>
      <c r="AY436" t="s">
        <v>383</v>
      </c>
      <c r="AZ436">
        <v>0</v>
      </c>
    </row>
    <row r="437" spans="1:57">
      <c r="A437" t="s">
        <v>2020</v>
      </c>
      <c r="B437" t="s">
        <v>170</v>
      </c>
      <c r="C437">
        <v>403</v>
      </c>
      <c r="D437" t="s">
        <v>425</v>
      </c>
      <c r="E437">
        <v>1</v>
      </c>
      <c r="F437" t="s">
        <v>277</v>
      </c>
      <c r="G437" t="s">
        <v>395</v>
      </c>
      <c r="H437" t="s">
        <v>277</v>
      </c>
      <c r="I437" t="s">
        <v>277</v>
      </c>
      <c r="J437" t="s">
        <v>277</v>
      </c>
      <c r="K437">
        <v>30</v>
      </c>
      <c r="L437">
        <v>30</v>
      </c>
      <c r="O437">
        <v>2</v>
      </c>
      <c r="P437">
        <v>14520</v>
      </c>
      <c r="Q437">
        <v>14520</v>
      </c>
      <c r="R437">
        <v>0</v>
      </c>
      <c r="S437">
        <v>4000</v>
      </c>
      <c r="T437">
        <v>0</v>
      </c>
      <c r="W437">
        <v>2</v>
      </c>
      <c r="X437">
        <v>120000</v>
      </c>
      <c r="Y437">
        <v>240000</v>
      </c>
      <c r="AB437">
        <v>0</v>
      </c>
      <c r="AC437">
        <v>1</v>
      </c>
      <c r="AD437">
        <v>100000</v>
      </c>
      <c r="AE437">
        <v>100000</v>
      </c>
      <c r="AN437">
        <v>0</v>
      </c>
      <c r="AO437">
        <v>2</v>
      </c>
      <c r="AP437">
        <v>120000</v>
      </c>
      <c r="AQ437">
        <v>240000</v>
      </c>
      <c r="AU437">
        <v>580</v>
      </c>
      <c r="AV437" t="s">
        <v>1742</v>
      </c>
      <c r="AW437" t="s">
        <v>2021</v>
      </c>
      <c r="AX437" t="s">
        <v>2022</v>
      </c>
      <c r="AY437" t="s">
        <v>417</v>
      </c>
      <c r="AZ437">
        <v>-10</v>
      </c>
    </row>
    <row r="438" spans="1:57">
      <c r="A438" t="s">
        <v>2023</v>
      </c>
      <c r="B438" t="s">
        <v>170</v>
      </c>
      <c r="C438">
        <v>404</v>
      </c>
      <c r="D438" t="s">
        <v>425</v>
      </c>
      <c r="E438">
        <v>1</v>
      </c>
      <c r="F438" t="s">
        <v>395</v>
      </c>
      <c r="G438" t="s">
        <v>395</v>
      </c>
      <c r="H438" t="s">
        <v>395</v>
      </c>
      <c r="I438" t="s">
        <v>395</v>
      </c>
      <c r="K438">
        <v>30</v>
      </c>
      <c r="L438">
        <v>30</v>
      </c>
      <c r="O438">
        <v>2</v>
      </c>
      <c r="P438">
        <v>13399</v>
      </c>
      <c r="Q438">
        <v>13582</v>
      </c>
      <c r="R438">
        <v>183</v>
      </c>
      <c r="S438">
        <v>4000</v>
      </c>
      <c r="T438">
        <v>732</v>
      </c>
      <c r="W438">
        <v>2</v>
      </c>
      <c r="X438">
        <v>120000</v>
      </c>
      <c r="Y438">
        <v>240000</v>
      </c>
      <c r="AB438">
        <v>0</v>
      </c>
      <c r="AC438">
        <v>1</v>
      </c>
      <c r="AD438">
        <v>100000</v>
      </c>
      <c r="AE438">
        <v>100000</v>
      </c>
      <c r="AN438">
        <v>0</v>
      </c>
      <c r="AO438">
        <v>2</v>
      </c>
      <c r="AP438">
        <v>120000</v>
      </c>
      <c r="AQ438">
        <v>240000</v>
      </c>
      <c r="AU438" t="s">
        <v>2024</v>
      </c>
      <c r="AV438" t="s">
        <v>1778</v>
      </c>
      <c r="AX438" t="s">
        <v>1877</v>
      </c>
      <c r="AY438" t="s">
        <v>383</v>
      </c>
      <c r="AZ438">
        <v>0</v>
      </c>
    </row>
    <row r="439" spans="1:57">
      <c r="A439" t="s">
        <v>2025</v>
      </c>
      <c r="B439" t="s">
        <v>170</v>
      </c>
      <c r="C439">
        <v>405</v>
      </c>
      <c r="D439" t="s">
        <v>425</v>
      </c>
      <c r="E439">
        <v>1</v>
      </c>
      <c r="F439" t="s">
        <v>609</v>
      </c>
      <c r="G439" t="s">
        <v>395</v>
      </c>
      <c r="H439" t="s">
        <v>609</v>
      </c>
      <c r="I439" t="s">
        <v>609</v>
      </c>
      <c r="J439" t="s">
        <v>609</v>
      </c>
      <c r="K439">
        <v>30</v>
      </c>
      <c r="L439">
        <v>30</v>
      </c>
      <c r="O439">
        <v>1</v>
      </c>
      <c r="P439">
        <v>12681</v>
      </c>
      <c r="Q439">
        <v>12681</v>
      </c>
      <c r="R439">
        <v>0</v>
      </c>
      <c r="S439">
        <v>4000</v>
      </c>
      <c r="T439">
        <v>0</v>
      </c>
      <c r="W439">
        <v>1</v>
      </c>
      <c r="X439">
        <v>120000</v>
      </c>
      <c r="Y439">
        <v>120000</v>
      </c>
      <c r="AB439">
        <v>0</v>
      </c>
      <c r="AD439">
        <v>100000</v>
      </c>
      <c r="AE439">
        <v>0</v>
      </c>
      <c r="AN439">
        <v>0</v>
      </c>
      <c r="AO439">
        <v>1</v>
      </c>
      <c r="AP439">
        <v>120000</v>
      </c>
      <c r="AQ439">
        <v>120000</v>
      </c>
      <c r="AU439">
        <v>240</v>
      </c>
      <c r="AV439" t="s">
        <v>2026</v>
      </c>
      <c r="AW439" t="s">
        <v>1970</v>
      </c>
      <c r="AX439" t="s">
        <v>2027</v>
      </c>
      <c r="AY439" t="s">
        <v>383</v>
      </c>
      <c r="AZ439">
        <v>0</v>
      </c>
      <c r="BA439" s="1">
        <v>46031</v>
      </c>
      <c r="BB439" t="s">
        <v>474</v>
      </c>
      <c r="BC439" t="s">
        <v>475</v>
      </c>
    </row>
    <row r="440" spans="1:57">
      <c r="A440" t="s">
        <v>2028</v>
      </c>
      <c r="B440" t="s">
        <v>170</v>
      </c>
      <c r="C440">
        <v>406</v>
      </c>
      <c r="D440" t="s">
        <v>425</v>
      </c>
      <c r="E440">
        <v>1</v>
      </c>
      <c r="F440" t="s">
        <v>1025</v>
      </c>
      <c r="G440" t="s">
        <v>376</v>
      </c>
      <c r="H440" t="s">
        <v>1025</v>
      </c>
      <c r="I440" t="s">
        <v>1025</v>
      </c>
      <c r="K440">
        <v>30</v>
      </c>
      <c r="L440">
        <v>30</v>
      </c>
      <c r="O440">
        <v>2</v>
      </c>
      <c r="P440">
        <v>5582</v>
      </c>
      <c r="Q440">
        <v>5697</v>
      </c>
      <c r="R440">
        <v>115</v>
      </c>
      <c r="S440">
        <v>4000</v>
      </c>
      <c r="T440">
        <v>460</v>
      </c>
      <c r="W440">
        <v>2</v>
      </c>
      <c r="X440">
        <v>120000</v>
      </c>
      <c r="Y440">
        <v>240000</v>
      </c>
      <c r="AB440">
        <v>0</v>
      </c>
      <c r="AC440">
        <v>1</v>
      </c>
      <c r="AD440">
        <v>100000</v>
      </c>
      <c r="AE440">
        <v>100000</v>
      </c>
      <c r="AN440">
        <v>0</v>
      </c>
      <c r="AO440">
        <v>2</v>
      </c>
      <c r="AP440">
        <v>120000</v>
      </c>
      <c r="AQ440">
        <v>240000</v>
      </c>
      <c r="AU440" t="s">
        <v>2029</v>
      </c>
      <c r="AV440" t="s">
        <v>2030</v>
      </c>
      <c r="AW440" t="s">
        <v>2031</v>
      </c>
      <c r="AX440" t="s">
        <v>2032</v>
      </c>
      <c r="AY440" t="s">
        <v>383</v>
      </c>
      <c r="AZ440">
        <v>0</v>
      </c>
    </row>
    <row r="441" spans="1:57">
      <c r="A441" t="s">
        <v>2033</v>
      </c>
      <c r="B441" t="s">
        <v>170</v>
      </c>
      <c r="C441">
        <v>407</v>
      </c>
      <c r="D441" t="s">
        <v>425</v>
      </c>
      <c r="E441">
        <v>1</v>
      </c>
      <c r="F441" t="s">
        <v>395</v>
      </c>
      <c r="G441" t="s">
        <v>609</v>
      </c>
      <c r="H441" t="s">
        <v>395</v>
      </c>
      <c r="I441" t="s">
        <v>395</v>
      </c>
      <c r="K441">
        <v>30</v>
      </c>
      <c r="L441">
        <v>30</v>
      </c>
      <c r="O441">
        <v>2</v>
      </c>
      <c r="P441">
        <v>2372</v>
      </c>
      <c r="Q441">
        <v>2588</v>
      </c>
      <c r="R441">
        <v>216</v>
      </c>
      <c r="S441">
        <v>4000</v>
      </c>
      <c r="T441">
        <v>864</v>
      </c>
      <c r="W441">
        <v>2</v>
      </c>
      <c r="X441">
        <v>120000</v>
      </c>
      <c r="Y441">
        <v>240000</v>
      </c>
      <c r="AB441">
        <v>0</v>
      </c>
      <c r="AC441">
        <v>1</v>
      </c>
      <c r="AD441">
        <v>100000</v>
      </c>
      <c r="AE441">
        <v>100000</v>
      </c>
      <c r="AN441">
        <v>0</v>
      </c>
      <c r="AO441">
        <v>2</v>
      </c>
      <c r="AP441">
        <v>120000</v>
      </c>
      <c r="AQ441">
        <v>240000</v>
      </c>
      <c r="AU441" t="s">
        <v>1250</v>
      </c>
      <c r="AV441" t="s">
        <v>2034</v>
      </c>
      <c r="AX441" t="s">
        <v>2035</v>
      </c>
      <c r="AY441" t="s">
        <v>383</v>
      </c>
      <c r="AZ441">
        <v>0</v>
      </c>
      <c r="BA441" s="1">
        <v>46030</v>
      </c>
      <c r="BB441" t="s">
        <v>480</v>
      </c>
      <c r="BC441" t="s">
        <v>475</v>
      </c>
      <c r="BE441" t="s">
        <v>439</v>
      </c>
    </row>
    <row r="442" spans="1:57">
      <c r="A442" t="s">
        <v>2036</v>
      </c>
      <c r="B442" t="s">
        <v>170</v>
      </c>
      <c r="C442">
        <v>408</v>
      </c>
      <c r="D442" t="s">
        <v>425</v>
      </c>
      <c r="E442">
        <v>1</v>
      </c>
      <c r="F442" t="s">
        <v>609</v>
      </c>
      <c r="G442" t="s">
        <v>609</v>
      </c>
      <c r="H442" t="s">
        <v>609</v>
      </c>
      <c r="I442" t="s">
        <v>609</v>
      </c>
      <c r="J442" t="s">
        <v>609</v>
      </c>
      <c r="K442">
        <v>30</v>
      </c>
      <c r="L442">
        <v>30</v>
      </c>
      <c r="O442">
        <v>2</v>
      </c>
      <c r="P442">
        <v>13529</v>
      </c>
      <c r="Q442">
        <v>13529</v>
      </c>
      <c r="R442">
        <v>0</v>
      </c>
      <c r="S442">
        <v>4000</v>
      </c>
      <c r="T442">
        <v>0</v>
      </c>
      <c r="W442">
        <v>2</v>
      </c>
      <c r="X442">
        <v>120000</v>
      </c>
      <c r="Y442">
        <v>240000</v>
      </c>
      <c r="AB442">
        <v>0</v>
      </c>
      <c r="AC442">
        <v>1</v>
      </c>
      <c r="AD442">
        <v>100000</v>
      </c>
      <c r="AE442">
        <v>100000</v>
      </c>
      <c r="AN442">
        <v>0</v>
      </c>
      <c r="AO442">
        <v>2</v>
      </c>
      <c r="AP442">
        <v>120000</v>
      </c>
      <c r="AQ442">
        <v>240000</v>
      </c>
      <c r="AU442">
        <v>580</v>
      </c>
      <c r="AV442" t="s">
        <v>1969</v>
      </c>
      <c r="AW442" t="s">
        <v>2037</v>
      </c>
      <c r="AX442" t="s">
        <v>1971</v>
      </c>
      <c r="AY442" t="s">
        <v>383</v>
      </c>
      <c r="AZ442">
        <v>0</v>
      </c>
    </row>
    <row r="443" spans="1:57">
      <c r="A443" t="s">
        <v>2038</v>
      </c>
      <c r="B443" t="s">
        <v>170</v>
      </c>
      <c r="C443">
        <v>501</v>
      </c>
      <c r="D443" t="s">
        <v>425</v>
      </c>
      <c r="E443">
        <v>1</v>
      </c>
      <c r="F443" t="s">
        <v>609</v>
      </c>
      <c r="G443" t="s">
        <v>609</v>
      </c>
      <c r="H443" t="s">
        <v>609</v>
      </c>
      <c r="I443" t="s">
        <v>609</v>
      </c>
      <c r="K443">
        <v>30</v>
      </c>
      <c r="L443">
        <v>30</v>
      </c>
      <c r="O443">
        <v>2</v>
      </c>
      <c r="P443">
        <v>10343</v>
      </c>
      <c r="Q443">
        <v>10448</v>
      </c>
      <c r="R443">
        <v>105</v>
      </c>
      <c r="S443">
        <v>4000</v>
      </c>
      <c r="T443">
        <v>420</v>
      </c>
      <c r="W443">
        <v>2</v>
      </c>
      <c r="X443">
        <v>100000</v>
      </c>
      <c r="Y443">
        <v>200000</v>
      </c>
      <c r="Z443">
        <v>2</v>
      </c>
      <c r="AA443">
        <v>30000</v>
      </c>
      <c r="AB443">
        <v>60000</v>
      </c>
      <c r="AC443">
        <v>1</v>
      </c>
      <c r="AD443">
        <v>100000</v>
      </c>
      <c r="AE443">
        <v>100000</v>
      </c>
      <c r="AL443">
        <v>2</v>
      </c>
      <c r="AM443">
        <v>60000</v>
      </c>
      <c r="AN443">
        <v>120</v>
      </c>
      <c r="AU443">
        <v>900</v>
      </c>
      <c r="AV443" t="s">
        <v>447</v>
      </c>
      <c r="AX443" t="s">
        <v>449</v>
      </c>
      <c r="AY443" t="s">
        <v>383</v>
      </c>
      <c r="AZ443">
        <v>0</v>
      </c>
    </row>
    <row r="444" spans="1:57">
      <c r="A444" t="s">
        <v>2039</v>
      </c>
      <c r="B444" t="s">
        <v>170</v>
      </c>
      <c r="C444">
        <v>502</v>
      </c>
      <c r="D444" t="s">
        <v>425</v>
      </c>
      <c r="E444">
        <v>1</v>
      </c>
      <c r="F444" t="s">
        <v>445</v>
      </c>
      <c r="G444" t="s">
        <v>609</v>
      </c>
      <c r="H444" t="s">
        <v>445</v>
      </c>
      <c r="I444" t="s">
        <v>445</v>
      </c>
      <c r="J444" t="s">
        <v>445</v>
      </c>
      <c r="K444">
        <v>30</v>
      </c>
      <c r="L444">
        <v>30</v>
      </c>
      <c r="O444">
        <v>1</v>
      </c>
      <c r="P444">
        <v>10378</v>
      </c>
      <c r="Q444">
        <v>10378</v>
      </c>
      <c r="R444">
        <v>0</v>
      </c>
      <c r="S444">
        <v>4000</v>
      </c>
      <c r="T444">
        <v>0</v>
      </c>
      <c r="W444">
        <v>1</v>
      </c>
      <c r="X444">
        <v>120000</v>
      </c>
      <c r="Y444">
        <v>120000</v>
      </c>
      <c r="AB444">
        <v>0</v>
      </c>
      <c r="AD444">
        <v>100000</v>
      </c>
      <c r="AE444">
        <v>0</v>
      </c>
      <c r="AM444">
        <v>60000</v>
      </c>
      <c r="AN444">
        <v>0</v>
      </c>
      <c r="AO444">
        <v>1</v>
      </c>
      <c r="AP444">
        <v>60000</v>
      </c>
      <c r="AQ444">
        <v>60000</v>
      </c>
      <c r="AU444">
        <v>180</v>
      </c>
      <c r="AV444" t="s">
        <v>2040</v>
      </c>
      <c r="AW444" t="s">
        <v>1483</v>
      </c>
      <c r="AX444" t="s">
        <v>2041</v>
      </c>
      <c r="AY444" t="s">
        <v>383</v>
      </c>
      <c r="AZ444">
        <v>0</v>
      </c>
      <c r="BA444" s="1">
        <v>46031</v>
      </c>
      <c r="BB444" t="s">
        <v>474</v>
      </c>
      <c r="BC444" t="s">
        <v>475</v>
      </c>
    </row>
    <row r="445" spans="1:57">
      <c r="A445" t="s">
        <v>2042</v>
      </c>
      <c r="B445" t="s">
        <v>170</v>
      </c>
      <c r="C445">
        <v>503</v>
      </c>
      <c r="D445" t="s">
        <v>425</v>
      </c>
      <c r="E445">
        <v>1</v>
      </c>
      <c r="F445" t="s">
        <v>277</v>
      </c>
      <c r="G445" t="s">
        <v>609</v>
      </c>
      <c r="H445" t="s">
        <v>277</v>
      </c>
      <c r="I445" t="s">
        <v>277</v>
      </c>
      <c r="K445">
        <v>30</v>
      </c>
      <c r="L445">
        <v>30</v>
      </c>
      <c r="O445">
        <v>2</v>
      </c>
      <c r="P445">
        <v>14707</v>
      </c>
      <c r="Q445">
        <v>14899</v>
      </c>
      <c r="R445">
        <v>192</v>
      </c>
      <c r="S445">
        <v>4000</v>
      </c>
      <c r="T445">
        <v>768</v>
      </c>
      <c r="W445">
        <v>2</v>
      </c>
      <c r="X445">
        <v>100000</v>
      </c>
      <c r="Y445">
        <v>200000</v>
      </c>
      <c r="Z445">
        <v>2</v>
      </c>
      <c r="AA445">
        <v>30000</v>
      </c>
      <c r="AB445">
        <v>60000</v>
      </c>
      <c r="AC445">
        <v>1</v>
      </c>
      <c r="AD445">
        <v>100000</v>
      </c>
      <c r="AE445">
        <v>100000</v>
      </c>
      <c r="AL445">
        <v>2</v>
      </c>
      <c r="AM445">
        <v>60000</v>
      </c>
      <c r="AN445">
        <v>120</v>
      </c>
      <c r="AU445" t="s">
        <v>780</v>
      </c>
      <c r="AV445" t="s">
        <v>804</v>
      </c>
      <c r="AX445" t="s">
        <v>1382</v>
      </c>
      <c r="AY445" t="s">
        <v>383</v>
      </c>
      <c r="AZ445">
        <v>0</v>
      </c>
    </row>
    <row r="446" spans="1:57">
      <c r="A446" t="s">
        <v>2043</v>
      </c>
      <c r="B446" t="s">
        <v>170</v>
      </c>
      <c r="C446">
        <v>504</v>
      </c>
      <c r="D446" t="s">
        <v>425</v>
      </c>
      <c r="E446">
        <v>1</v>
      </c>
      <c r="F446" t="s">
        <v>609</v>
      </c>
      <c r="G446" t="s">
        <v>609</v>
      </c>
      <c r="H446" t="s">
        <v>609</v>
      </c>
      <c r="I446" t="s">
        <v>609</v>
      </c>
      <c r="K446">
        <v>30</v>
      </c>
      <c r="L446">
        <v>30</v>
      </c>
      <c r="O446">
        <v>1</v>
      </c>
      <c r="P446">
        <v>6776</v>
      </c>
      <c r="Q446">
        <v>6850</v>
      </c>
      <c r="R446">
        <v>74</v>
      </c>
      <c r="S446">
        <v>4000</v>
      </c>
      <c r="T446">
        <v>296</v>
      </c>
      <c r="W446">
        <v>1</v>
      </c>
      <c r="X446">
        <v>100000</v>
      </c>
      <c r="Y446">
        <v>100000</v>
      </c>
      <c r="Z446">
        <v>1</v>
      </c>
      <c r="AA446">
        <v>30000</v>
      </c>
      <c r="AB446">
        <v>30000</v>
      </c>
      <c r="AC446">
        <v>1</v>
      </c>
      <c r="AD446">
        <v>100000</v>
      </c>
      <c r="AE446">
        <v>100000</v>
      </c>
      <c r="AL446">
        <v>1</v>
      </c>
      <c r="AM446">
        <v>60000</v>
      </c>
      <c r="AN446">
        <v>60</v>
      </c>
      <c r="AU446">
        <v>586</v>
      </c>
      <c r="AV446" t="s">
        <v>2044</v>
      </c>
      <c r="AX446" t="s">
        <v>2045</v>
      </c>
      <c r="AY446" t="s">
        <v>383</v>
      </c>
      <c r="AZ446">
        <v>0</v>
      </c>
    </row>
    <row r="447" spans="1:57">
      <c r="A447" t="s">
        <v>2046</v>
      </c>
      <c r="B447" t="s">
        <v>170</v>
      </c>
      <c r="C447">
        <v>505</v>
      </c>
      <c r="D447" t="s">
        <v>425</v>
      </c>
      <c r="E447">
        <v>1</v>
      </c>
      <c r="F447" t="s">
        <v>395</v>
      </c>
      <c r="G447" t="s">
        <v>609</v>
      </c>
      <c r="H447" t="s">
        <v>395</v>
      </c>
      <c r="I447" t="s">
        <v>395</v>
      </c>
      <c r="K447">
        <v>30</v>
      </c>
      <c r="L447">
        <v>30</v>
      </c>
      <c r="O447">
        <v>2</v>
      </c>
      <c r="P447">
        <v>18387</v>
      </c>
      <c r="Q447">
        <v>18598</v>
      </c>
      <c r="R447">
        <v>211</v>
      </c>
      <c r="S447">
        <v>4000</v>
      </c>
      <c r="T447">
        <v>844</v>
      </c>
      <c r="W447">
        <v>2</v>
      </c>
      <c r="X447">
        <v>120000</v>
      </c>
      <c r="Y447">
        <v>240000</v>
      </c>
      <c r="AB447">
        <v>0</v>
      </c>
      <c r="AC447">
        <v>1</v>
      </c>
      <c r="AD447">
        <v>100000</v>
      </c>
      <c r="AE447">
        <v>100000</v>
      </c>
      <c r="AM447">
        <v>60000</v>
      </c>
      <c r="AN447">
        <v>0</v>
      </c>
      <c r="AO447">
        <v>2</v>
      </c>
      <c r="AP447">
        <v>120000</v>
      </c>
      <c r="AQ447">
        <v>240000</v>
      </c>
      <c r="AU447" t="s">
        <v>2047</v>
      </c>
      <c r="AV447" t="s">
        <v>2048</v>
      </c>
      <c r="AX447" t="s">
        <v>2049</v>
      </c>
      <c r="AY447" t="s">
        <v>383</v>
      </c>
      <c r="AZ447">
        <v>0</v>
      </c>
    </row>
    <row r="448" spans="1:57">
      <c r="A448" t="s">
        <v>2050</v>
      </c>
      <c r="B448" t="s">
        <v>170</v>
      </c>
      <c r="C448">
        <v>506</v>
      </c>
      <c r="D448" t="s">
        <v>425</v>
      </c>
      <c r="E448">
        <v>1</v>
      </c>
      <c r="F448" t="s">
        <v>1025</v>
      </c>
      <c r="G448" t="s">
        <v>552</v>
      </c>
      <c r="H448" t="s">
        <v>1025</v>
      </c>
      <c r="I448" t="s">
        <v>1025</v>
      </c>
      <c r="K448">
        <v>30</v>
      </c>
      <c r="L448">
        <v>30</v>
      </c>
      <c r="O448">
        <v>2</v>
      </c>
      <c r="P448">
        <v>15673</v>
      </c>
      <c r="Q448">
        <v>15991</v>
      </c>
      <c r="R448">
        <v>318</v>
      </c>
      <c r="S448">
        <v>4000</v>
      </c>
      <c r="T448" t="s">
        <v>2051</v>
      </c>
      <c r="W448">
        <v>2</v>
      </c>
      <c r="X448">
        <v>120000</v>
      </c>
      <c r="Y448">
        <v>240000</v>
      </c>
      <c r="AB448">
        <v>0</v>
      </c>
      <c r="AC448">
        <v>1</v>
      </c>
      <c r="AD448">
        <v>100000</v>
      </c>
      <c r="AE448">
        <v>100000</v>
      </c>
      <c r="AN448">
        <v>0</v>
      </c>
      <c r="AO448">
        <v>2</v>
      </c>
      <c r="AP448">
        <v>120000</v>
      </c>
      <c r="AQ448">
        <v>240000</v>
      </c>
      <c r="AU448" t="s">
        <v>625</v>
      </c>
      <c r="AV448" t="s">
        <v>1320</v>
      </c>
      <c r="AX448" t="s">
        <v>1321</v>
      </c>
      <c r="AY448" t="s">
        <v>383</v>
      </c>
      <c r="AZ448">
        <v>0</v>
      </c>
    </row>
    <row r="449" spans="1:60">
      <c r="A449" t="s">
        <v>2052</v>
      </c>
      <c r="B449" t="s">
        <v>170</v>
      </c>
      <c r="C449">
        <v>507</v>
      </c>
      <c r="D449" t="s">
        <v>425</v>
      </c>
      <c r="E449">
        <v>1</v>
      </c>
      <c r="F449" t="s">
        <v>277</v>
      </c>
      <c r="G449" t="s">
        <v>395</v>
      </c>
      <c r="H449" t="s">
        <v>277</v>
      </c>
      <c r="I449" t="s">
        <v>277</v>
      </c>
      <c r="K449">
        <v>30</v>
      </c>
      <c r="L449">
        <v>30</v>
      </c>
      <c r="O449">
        <v>2</v>
      </c>
      <c r="P449">
        <v>9593</v>
      </c>
      <c r="Q449">
        <v>9933</v>
      </c>
      <c r="R449">
        <v>340</v>
      </c>
      <c r="S449">
        <v>4000</v>
      </c>
      <c r="T449" t="s">
        <v>2053</v>
      </c>
      <c r="W449">
        <v>2</v>
      </c>
      <c r="X449">
        <v>120000</v>
      </c>
      <c r="Y449">
        <v>240000</v>
      </c>
      <c r="AB449">
        <v>0</v>
      </c>
      <c r="AC449">
        <v>1</v>
      </c>
      <c r="AD449">
        <v>100000</v>
      </c>
      <c r="AE449">
        <v>100000</v>
      </c>
      <c r="AK449">
        <v>0</v>
      </c>
      <c r="AN449">
        <v>0</v>
      </c>
      <c r="AO449">
        <v>2</v>
      </c>
      <c r="AP449">
        <v>120000</v>
      </c>
      <c r="AQ449">
        <v>240000</v>
      </c>
      <c r="AU449" t="s">
        <v>2054</v>
      </c>
      <c r="AV449" t="s">
        <v>2055</v>
      </c>
      <c r="AX449" t="s">
        <v>2056</v>
      </c>
      <c r="AY449" t="s">
        <v>383</v>
      </c>
      <c r="AZ449">
        <v>0</v>
      </c>
    </row>
    <row r="450" spans="1:60">
      <c r="A450" t="s">
        <v>2057</v>
      </c>
      <c r="B450" t="s">
        <v>170</v>
      </c>
      <c r="C450">
        <v>508</v>
      </c>
      <c r="D450" t="s">
        <v>425</v>
      </c>
      <c r="E450">
        <v>1</v>
      </c>
      <c r="F450" t="s">
        <v>426</v>
      </c>
      <c r="G450" t="s">
        <v>395</v>
      </c>
      <c r="H450" t="s">
        <v>426</v>
      </c>
      <c r="I450" t="s">
        <v>426</v>
      </c>
      <c r="K450">
        <v>30</v>
      </c>
      <c r="L450">
        <v>30</v>
      </c>
      <c r="O450">
        <v>2</v>
      </c>
      <c r="P450">
        <v>16228</v>
      </c>
      <c r="Q450">
        <v>16693</v>
      </c>
      <c r="R450">
        <v>465</v>
      </c>
      <c r="S450">
        <v>4000</v>
      </c>
      <c r="T450" t="s">
        <v>618</v>
      </c>
      <c r="W450">
        <v>2</v>
      </c>
      <c r="X450">
        <v>120000</v>
      </c>
      <c r="Y450">
        <v>240000</v>
      </c>
      <c r="AA450">
        <v>30000</v>
      </c>
      <c r="AB450">
        <v>0</v>
      </c>
      <c r="AC450">
        <v>1</v>
      </c>
      <c r="AD450">
        <v>100000</v>
      </c>
      <c r="AE450">
        <v>100000</v>
      </c>
      <c r="AM450">
        <v>60000</v>
      </c>
      <c r="AN450">
        <v>0</v>
      </c>
      <c r="AO450">
        <v>2</v>
      </c>
      <c r="AP450">
        <v>120000</v>
      </c>
      <c r="AQ450">
        <v>240000</v>
      </c>
      <c r="AU450" t="s">
        <v>562</v>
      </c>
      <c r="AV450" t="s">
        <v>2058</v>
      </c>
      <c r="AX450" t="s">
        <v>2059</v>
      </c>
      <c r="AY450" t="s">
        <v>383</v>
      </c>
      <c r="AZ450">
        <v>0</v>
      </c>
    </row>
    <row r="451" spans="1:60">
      <c r="A451" t="s">
        <v>2060</v>
      </c>
      <c r="B451" t="s">
        <v>170</v>
      </c>
      <c r="C451">
        <v>601</v>
      </c>
      <c r="D451" t="s">
        <v>425</v>
      </c>
      <c r="E451">
        <v>1</v>
      </c>
      <c r="F451" t="s">
        <v>395</v>
      </c>
      <c r="G451" t="s">
        <v>395</v>
      </c>
      <c r="H451" t="s">
        <v>395</v>
      </c>
      <c r="I451" t="s">
        <v>395</v>
      </c>
      <c r="K451">
        <v>30</v>
      </c>
      <c r="L451">
        <v>30</v>
      </c>
      <c r="O451">
        <v>3</v>
      </c>
      <c r="P451">
        <v>9937</v>
      </c>
      <c r="Q451">
        <v>10015</v>
      </c>
      <c r="R451">
        <v>78</v>
      </c>
      <c r="S451">
        <v>4000</v>
      </c>
      <c r="T451">
        <v>312</v>
      </c>
      <c r="W451">
        <v>3</v>
      </c>
      <c r="X451">
        <v>120000</v>
      </c>
      <c r="Y451">
        <v>360000</v>
      </c>
      <c r="AB451">
        <v>0</v>
      </c>
      <c r="AC451">
        <v>1</v>
      </c>
      <c r="AD451">
        <v>100000</v>
      </c>
      <c r="AE451">
        <v>100000</v>
      </c>
      <c r="AI451">
        <v>2</v>
      </c>
      <c r="AJ451">
        <v>150000</v>
      </c>
      <c r="AK451">
        <v>300000</v>
      </c>
      <c r="AN451">
        <v>0</v>
      </c>
      <c r="AO451">
        <v>3</v>
      </c>
      <c r="AP451">
        <v>120000</v>
      </c>
      <c r="AQ451">
        <v>360000</v>
      </c>
      <c r="AU451" t="s">
        <v>2061</v>
      </c>
      <c r="AV451" t="s">
        <v>2062</v>
      </c>
      <c r="AW451" t="s">
        <v>2063</v>
      </c>
      <c r="AX451" t="s">
        <v>2064</v>
      </c>
      <c r="AY451" t="s">
        <v>383</v>
      </c>
      <c r="AZ451">
        <v>0</v>
      </c>
      <c r="BA451" s="1">
        <v>46030</v>
      </c>
      <c r="BB451" t="s">
        <v>480</v>
      </c>
      <c r="BC451" t="s">
        <v>475</v>
      </c>
    </row>
    <row r="452" spans="1:60">
      <c r="A452" t="s">
        <v>2065</v>
      </c>
      <c r="B452" t="s">
        <v>170</v>
      </c>
      <c r="C452">
        <v>602</v>
      </c>
      <c r="D452" t="s">
        <v>425</v>
      </c>
      <c r="E452">
        <v>1</v>
      </c>
      <c r="F452" t="s">
        <v>445</v>
      </c>
      <c r="G452" t="s">
        <v>395</v>
      </c>
      <c r="H452" t="s">
        <v>445</v>
      </c>
      <c r="I452" t="s">
        <v>445</v>
      </c>
      <c r="K452">
        <v>30</v>
      </c>
      <c r="L452">
        <v>30</v>
      </c>
      <c r="O452">
        <v>2</v>
      </c>
      <c r="P452">
        <v>9404</v>
      </c>
      <c r="Q452">
        <v>9675</v>
      </c>
      <c r="R452">
        <v>271</v>
      </c>
      <c r="S452">
        <v>4000</v>
      </c>
      <c r="T452" t="s">
        <v>1283</v>
      </c>
      <c r="W452">
        <v>2</v>
      </c>
      <c r="X452">
        <v>120000</v>
      </c>
      <c r="Y452">
        <v>240000</v>
      </c>
      <c r="AA452">
        <v>30000</v>
      </c>
      <c r="AB452">
        <v>0</v>
      </c>
      <c r="AC452">
        <v>1</v>
      </c>
      <c r="AD452">
        <v>100000</v>
      </c>
      <c r="AE452">
        <v>100000</v>
      </c>
      <c r="AM452">
        <v>60000</v>
      </c>
      <c r="AN452">
        <v>0</v>
      </c>
      <c r="AO452">
        <v>2</v>
      </c>
      <c r="AP452">
        <v>120000</v>
      </c>
      <c r="AQ452">
        <v>240000</v>
      </c>
      <c r="AU452" t="s">
        <v>1773</v>
      </c>
      <c r="AV452" t="s">
        <v>2066</v>
      </c>
      <c r="AX452" t="s">
        <v>2067</v>
      </c>
      <c r="AY452" t="s">
        <v>383</v>
      </c>
      <c r="AZ452">
        <v>0</v>
      </c>
    </row>
    <row r="453" spans="1:60">
      <c r="A453" t="s">
        <v>2068</v>
      </c>
      <c r="B453" t="s">
        <v>170</v>
      </c>
      <c r="C453">
        <v>603</v>
      </c>
      <c r="D453" t="s">
        <v>425</v>
      </c>
      <c r="E453">
        <v>1</v>
      </c>
      <c r="F453" t="s">
        <v>426</v>
      </c>
      <c r="G453" t="s">
        <v>395</v>
      </c>
      <c r="H453" t="s">
        <v>426</v>
      </c>
      <c r="I453" t="s">
        <v>445</v>
      </c>
      <c r="K453">
        <v>30</v>
      </c>
      <c r="L453">
        <v>30</v>
      </c>
      <c r="O453">
        <v>2</v>
      </c>
      <c r="P453">
        <v>13480</v>
      </c>
      <c r="Q453">
        <v>13729</v>
      </c>
      <c r="R453">
        <v>249</v>
      </c>
      <c r="S453">
        <v>4000</v>
      </c>
      <c r="T453">
        <v>996</v>
      </c>
      <c r="W453">
        <v>2</v>
      </c>
      <c r="X453">
        <v>100000</v>
      </c>
      <c r="Y453">
        <v>200000</v>
      </c>
      <c r="Z453">
        <v>2</v>
      </c>
      <c r="AA453">
        <v>30000</v>
      </c>
      <c r="AB453">
        <v>60000</v>
      </c>
      <c r="AC453">
        <v>1</v>
      </c>
      <c r="AD453">
        <v>100000</v>
      </c>
      <c r="AE453">
        <v>100000</v>
      </c>
      <c r="AL453">
        <v>2</v>
      </c>
      <c r="AM453">
        <v>60000</v>
      </c>
      <c r="AN453">
        <v>120</v>
      </c>
      <c r="AU453" t="s">
        <v>1174</v>
      </c>
      <c r="AV453" t="s">
        <v>2069</v>
      </c>
      <c r="AW453" t="s">
        <v>2070</v>
      </c>
      <c r="AX453" t="s">
        <v>2071</v>
      </c>
      <c r="AY453" t="s">
        <v>383</v>
      </c>
      <c r="AZ453">
        <v>0</v>
      </c>
    </row>
    <row r="454" spans="1:60">
      <c r="A454" t="s">
        <v>2072</v>
      </c>
      <c r="B454" t="s">
        <v>170</v>
      </c>
      <c r="C454">
        <v>604</v>
      </c>
      <c r="D454" t="s">
        <v>425</v>
      </c>
      <c r="E454">
        <v>1</v>
      </c>
      <c r="F454" t="s">
        <v>426</v>
      </c>
      <c r="G454" t="s">
        <v>395</v>
      </c>
      <c r="H454" t="s">
        <v>426</v>
      </c>
      <c r="I454" t="s">
        <v>426</v>
      </c>
      <c r="K454">
        <v>30</v>
      </c>
      <c r="L454">
        <v>30</v>
      </c>
      <c r="O454">
        <v>2</v>
      </c>
      <c r="P454">
        <v>6424</v>
      </c>
      <c r="Q454">
        <v>6728</v>
      </c>
      <c r="R454">
        <v>304</v>
      </c>
      <c r="S454">
        <v>4000</v>
      </c>
      <c r="T454" t="s">
        <v>2073</v>
      </c>
      <c r="W454">
        <v>2</v>
      </c>
      <c r="X454">
        <v>100000</v>
      </c>
      <c r="Y454">
        <v>200000</v>
      </c>
      <c r="Z454">
        <v>2</v>
      </c>
      <c r="AA454">
        <v>30000</v>
      </c>
      <c r="AB454">
        <v>60000</v>
      </c>
      <c r="AC454">
        <v>0</v>
      </c>
      <c r="AD454">
        <v>90000</v>
      </c>
      <c r="AE454">
        <v>0</v>
      </c>
      <c r="AL454">
        <v>0</v>
      </c>
      <c r="AM454">
        <v>60000</v>
      </c>
      <c r="AN454">
        <v>0</v>
      </c>
      <c r="AU454" t="s">
        <v>1174</v>
      </c>
      <c r="AV454" t="s">
        <v>1494</v>
      </c>
      <c r="AX454" t="s">
        <v>1495</v>
      </c>
      <c r="AY454" t="s">
        <v>383</v>
      </c>
      <c r="AZ454">
        <v>0</v>
      </c>
    </row>
    <row r="455" spans="1:60">
      <c r="A455" t="s">
        <v>2074</v>
      </c>
      <c r="B455" t="s">
        <v>170</v>
      </c>
      <c r="C455">
        <v>605</v>
      </c>
      <c r="D455" t="s">
        <v>425</v>
      </c>
      <c r="E455">
        <v>1</v>
      </c>
      <c r="F455" t="s">
        <v>426</v>
      </c>
      <c r="G455" t="s">
        <v>395</v>
      </c>
      <c r="H455" t="s">
        <v>426</v>
      </c>
      <c r="I455" t="s">
        <v>426</v>
      </c>
      <c r="K455">
        <v>30</v>
      </c>
      <c r="L455">
        <v>30</v>
      </c>
      <c r="O455">
        <v>3</v>
      </c>
      <c r="P455">
        <v>11401</v>
      </c>
      <c r="Q455">
        <v>11619</v>
      </c>
      <c r="R455">
        <v>218</v>
      </c>
      <c r="S455">
        <v>4000</v>
      </c>
      <c r="T455">
        <v>872</v>
      </c>
      <c r="W455">
        <v>3</v>
      </c>
      <c r="X455">
        <v>100000</v>
      </c>
      <c r="Y455">
        <v>300000</v>
      </c>
      <c r="Z455">
        <v>3</v>
      </c>
      <c r="AA455">
        <v>30000</v>
      </c>
      <c r="AB455">
        <v>90000</v>
      </c>
      <c r="AC455">
        <v>1</v>
      </c>
      <c r="AD455">
        <v>90000</v>
      </c>
      <c r="AE455">
        <v>90000</v>
      </c>
      <c r="AL455">
        <v>3</v>
      </c>
      <c r="AM455">
        <v>60000</v>
      </c>
      <c r="AN455">
        <v>180</v>
      </c>
      <c r="AU455" t="s">
        <v>1486</v>
      </c>
      <c r="AV455" t="s">
        <v>681</v>
      </c>
      <c r="AX455" t="s">
        <v>682</v>
      </c>
      <c r="AY455" t="s">
        <v>383</v>
      </c>
      <c r="AZ455">
        <v>0</v>
      </c>
    </row>
    <row r="456" spans="1:60">
      <c r="A456" t="s">
        <v>264</v>
      </c>
      <c r="B456" t="s">
        <v>170</v>
      </c>
      <c r="C456">
        <v>606</v>
      </c>
      <c r="D456" t="s">
        <v>425</v>
      </c>
      <c r="E456">
        <v>1</v>
      </c>
      <c r="F456" t="s">
        <v>277</v>
      </c>
      <c r="G456" t="s">
        <v>552</v>
      </c>
      <c r="H456" t="s">
        <v>277</v>
      </c>
      <c r="I456" t="s">
        <v>277</v>
      </c>
      <c r="K456">
        <v>30</v>
      </c>
      <c r="L456">
        <v>30</v>
      </c>
      <c r="O456">
        <v>2</v>
      </c>
      <c r="P456">
        <v>11160</v>
      </c>
      <c r="Q456">
        <v>11377</v>
      </c>
      <c r="R456">
        <v>217</v>
      </c>
      <c r="S456">
        <v>4000</v>
      </c>
      <c r="T456">
        <v>868</v>
      </c>
      <c r="W456">
        <v>2</v>
      </c>
      <c r="X456">
        <v>120000</v>
      </c>
      <c r="Y456">
        <v>240000</v>
      </c>
      <c r="AB456">
        <v>0</v>
      </c>
      <c r="AD456">
        <v>100000</v>
      </c>
      <c r="AE456">
        <v>0</v>
      </c>
      <c r="AN456">
        <v>0</v>
      </c>
      <c r="AO456">
        <v>2</v>
      </c>
      <c r="AP456">
        <v>120000</v>
      </c>
      <c r="AQ456">
        <v>240000</v>
      </c>
      <c r="AU456" t="s">
        <v>1335</v>
      </c>
      <c r="AV456" t="s">
        <v>2075</v>
      </c>
      <c r="AX456" t="s">
        <v>2076</v>
      </c>
      <c r="AY456" t="s">
        <v>383</v>
      </c>
      <c r="AZ456">
        <v>0</v>
      </c>
      <c r="BA456" s="1">
        <v>46030</v>
      </c>
      <c r="BB456" t="s">
        <v>474</v>
      </c>
      <c r="BC456" t="s">
        <v>1114</v>
      </c>
      <c r="BH456">
        <v>0</v>
      </c>
    </row>
    <row r="457" spans="1:60">
      <c r="A457" t="s">
        <v>2077</v>
      </c>
      <c r="B457" t="s">
        <v>170</v>
      </c>
      <c r="C457">
        <v>607</v>
      </c>
      <c r="D457" t="s">
        <v>425</v>
      </c>
      <c r="E457">
        <v>1</v>
      </c>
      <c r="F457" t="s">
        <v>277</v>
      </c>
      <c r="G457" t="s">
        <v>395</v>
      </c>
      <c r="H457" t="s">
        <v>277</v>
      </c>
      <c r="I457" t="s">
        <v>277</v>
      </c>
      <c r="K457">
        <v>30</v>
      </c>
      <c r="L457">
        <v>30</v>
      </c>
      <c r="O457">
        <v>1</v>
      </c>
      <c r="P457">
        <v>10178</v>
      </c>
      <c r="Q457">
        <v>10329</v>
      </c>
      <c r="R457">
        <v>151</v>
      </c>
      <c r="S457">
        <v>4000</v>
      </c>
      <c r="T457">
        <v>604</v>
      </c>
      <c r="W457">
        <v>1</v>
      </c>
      <c r="X457">
        <v>120000</v>
      </c>
      <c r="Y457">
        <v>120000</v>
      </c>
      <c r="AB457">
        <v>0</v>
      </c>
      <c r="AC457">
        <v>1</v>
      </c>
      <c r="AD457">
        <v>100000</v>
      </c>
      <c r="AE457">
        <v>100000</v>
      </c>
      <c r="AN457">
        <v>0</v>
      </c>
      <c r="AO457">
        <v>1</v>
      </c>
      <c r="AP457">
        <v>120000</v>
      </c>
      <c r="AQ457">
        <v>120000</v>
      </c>
      <c r="AU457">
        <v>944</v>
      </c>
      <c r="AV457" t="s">
        <v>511</v>
      </c>
      <c r="AX457" t="s">
        <v>513</v>
      </c>
      <c r="AY457" t="s">
        <v>383</v>
      </c>
      <c r="AZ457">
        <v>0</v>
      </c>
    </row>
    <row r="458" spans="1:60">
      <c r="A458" t="s">
        <v>2078</v>
      </c>
      <c r="B458" t="s">
        <v>170</v>
      </c>
      <c r="C458">
        <v>608</v>
      </c>
      <c r="D458" t="s">
        <v>425</v>
      </c>
      <c r="E458">
        <v>1</v>
      </c>
      <c r="F458" t="s">
        <v>1755</v>
      </c>
      <c r="G458" t="s">
        <v>395</v>
      </c>
      <c r="H458" t="s">
        <v>1755</v>
      </c>
      <c r="I458" t="s">
        <v>1755</v>
      </c>
      <c r="K458">
        <v>30</v>
      </c>
      <c r="L458">
        <v>30</v>
      </c>
      <c r="O458">
        <v>3</v>
      </c>
      <c r="P458">
        <v>10085</v>
      </c>
      <c r="Q458">
        <v>10255</v>
      </c>
      <c r="R458">
        <v>170</v>
      </c>
      <c r="S458">
        <v>4000</v>
      </c>
      <c r="T458">
        <v>680</v>
      </c>
      <c r="W458">
        <v>3</v>
      </c>
      <c r="X458">
        <v>120000</v>
      </c>
      <c r="Y458">
        <v>360000</v>
      </c>
      <c r="AA458">
        <v>30000</v>
      </c>
      <c r="AB458">
        <v>0</v>
      </c>
      <c r="AC458">
        <v>1</v>
      </c>
      <c r="AD458">
        <v>100000</v>
      </c>
      <c r="AE458">
        <v>100000</v>
      </c>
      <c r="AM458">
        <v>60000</v>
      </c>
      <c r="AN458">
        <v>0</v>
      </c>
      <c r="AO458">
        <v>3</v>
      </c>
      <c r="AP458">
        <v>120000</v>
      </c>
      <c r="AQ458">
        <v>360000</v>
      </c>
      <c r="AU458" t="s">
        <v>1077</v>
      </c>
      <c r="AV458" t="s">
        <v>1992</v>
      </c>
      <c r="AX458" t="s">
        <v>1993</v>
      </c>
      <c r="AY458" t="s">
        <v>383</v>
      </c>
      <c r="AZ458">
        <v>0</v>
      </c>
    </row>
    <row r="459" spans="1:60">
      <c r="A459" t="s">
        <v>2079</v>
      </c>
      <c r="B459" t="s">
        <v>184</v>
      </c>
      <c r="C459">
        <v>202</v>
      </c>
      <c r="D459" t="s">
        <v>375</v>
      </c>
      <c r="E459">
        <v>1</v>
      </c>
      <c r="F459" t="s">
        <v>2080</v>
      </c>
      <c r="G459" t="s">
        <v>2081</v>
      </c>
      <c r="H459" t="s">
        <v>2080</v>
      </c>
      <c r="I459" t="s">
        <v>2080</v>
      </c>
      <c r="K459">
        <v>30</v>
      </c>
      <c r="L459">
        <v>30</v>
      </c>
      <c r="O459">
        <v>1</v>
      </c>
      <c r="P459">
        <v>1745</v>
      </c>
      <c r="Q459">
        <v>1896</v>
      </c>
      <c r="R459">
        <v>151</v>
      </c>
      <c r="S459">
        <v>4000</v>
      </c>
      <c r="T459">
        <v>604</v>
      </c>
      <c r="W459">
        <v>1</v>
      </c>
      <c r="X459">
        <v>120000</v>
      </c>
      <c r="Y459">
        <v>120000</v>
      </c>
      <c r="Z459">
        <v>1</v>
      </c>
      <c r="AA459">
        <v>60000</v>
      </c>
      <c r="AB459">
        <v>60000</v>
      </c>
      <c r="AC459">
        <v>1</v>
      </c>
      <c r="AD459">
        <v>100000</v>
      </c>
      <c r="AE459">
        <v>100000</v>
      </c>
      <c r="AP459">
        <v>120000</v>
      </c>
      <c r="AQ459">
        <v>0</v>
      </c>
      <c r="AU459">
        <v>884</v>
      </c>
      <c r="AV459" t="s">
        <v>2082</v>
      </c>
      <c r="AX459" t="s">
        <v>2083</v>
      </c>
      <c r="AY459" t="s">
        <v>383</v>
      </c>
      <c r="AZ459">
        <v>0</v>
      </c>
    </row>
    <row r="460" spans="1:60">
      <c r="A460" t="s">
        <v>2084</v>
      </c>
      <c r="B460" t="s">
        <v>184</v>
      </c>
      <c r="C460">
        <v>101</v>
      </c>
      <c r="D460" t="s">
        <v>375</v>
      </c>
      <c r="E460">
        <v>1</v>
      </c>
      <c r="F460" t="s">
        <v>1058</v>
      </c>
      <c r="G460" t="s">
        <v>2085</v>
      </c>
      <c r="H460" t="s">
        <v>1058</v>
      </c>
      <c r="I460" t="s">
        <v>1058</v>
      </c>
      <c r="J460" t="s">
        <v>1058</v>
      </c>
      <c r="K460">
        <v>30</v>
      </c>
      <c r="L460">
        <v>30</v>
      </c>
      <c r="P460">
        <v>12420</v>
      </c>
      <c r="Q460">
        <v>12420</v>
      </c>
      <c r="R460">
        <v>0</v>
      </c>
      <c r="S460">
        <v>4000</v>
      </c>
      <c r="T460">
        <v>0</v>
      </c>
      <c r="X460">
        <v>120000</v>
      </c>
      <c r="Y460">
        <v>0</v>
      </c>
      <c r="AA460">
        <v>60000</v>
      </c>
      <c r="AB460">
        <v>0</v>
      </c>
      <c r="AD460">
        <v>100000</v>
      </c>
      <c r="AE460">
        <v>0</v>
      </c>
      <c r="AL460">
        <v>0</v>
      </c>
      <c r="AM460">
        <v>0</v>
      </c>
      <c r="AN460">
        <v>0</v>
      </c>
      <c r="AQ460">
        <v>0</v>
      </c>
      <c r="AU460">
        <v>0</v>
      </c>
      <c r="AV460" t="s">
        <v>2086</v>
      </c>
      <c r="AW460" t="s">
        <v>2087</v>
      </c>
      <c r="AX460" t="s">
        <v>2088</v>
      </c>
      <c r="AY460" t="s">
        <v>383</v>
      </c>
      <c r="AZ460">
        <v>0</v>
      </c>
    </row>
    <row r="461" spans="1:60">
      <c r="A461" t="s">
        <v>2089</v>
      </c>
      <c r="B461" t="s">
        <v>184</v>
      </c>
      <c r="C461">
        <v>201</v>
      </c>
      <c r="D461" t="s">
        <v>375</v>
      </c>
      <c r="E461">
        <v>1</v>
      </c>
      <c r="F461" t="s">
        <v>395</v>
      </c>
      <c r="G461" t="s">
        <v>395</v>
      </c>
      <c r="H461" t="s">
        <v>395</v>
      </c>
      <c r="I461" t="s">
        <v>395</v>
      </c>
      <c r="J461" t="s">
        <v>395</v>
      </c>
      <c r="K461">
        <v>30</v>
      </c>
      <c r="L461">
        <v>30</v>
      </c>
      <c r="P461">
        <v>14131</v>
      </c>
      <c r="Q461">
        <v>14131</v>
      </c>
      <c r="R461">
        <v>0</v>
      </c>
      <c r="S461">
        <v>4000</v>
      </c>
      <c r="T461">
        <v>0</v>
      </c>
      <c r="X461">
        <v>100000</v>
      </c>
      <c r="Y461">
        <v>0</v>
      </c>
      <c r="AA461">
        <v>30000</v>
      </c>
      <c r="AB461">
        <v>0</v>
      </c>
      <c r="AD461">
        <v>100000</v>
      </c>
      <c r="AE461">
        <v>0</v>
      </c>
      <c r="AL461">
        <v>0</v>
      </c>
      <c r="AM461">
        <v>0</v>
      </c>
      <c r="AN461">
        <v>0</v>
      </c>
      <c r="AQ461">
        <v>0</v>
      </c>
      <c r="AU461">
        <v>0</v>
      </c>
      <c r="AV461" t="s">
        <v>2090</v>
      </c>
      <c r="AW461" t="s">
        <v>483</v>
      </c>
      <c r="AX461" t="s">
        <v>1635</v>
      </c>
      <c r="AY461" t="s">
        <v>383</v>
      </c>
      <c r="AZ461">
        <v>0</v>
      </c>
    </row>
    <row r="462" spans="1:60">
      <c r="A462" t="s">
        <v>2091</v>
      </c>
      <c r="B462" t="s">
        <v>184</v>
      </c>
      <c r="C462">
        <v>301</v>
      </c>
      <c r="D462" t="s">
        <v>375</v>
      </c>
      <c r="E462">
        <v>1</v>
      </c>
      <c r="F462" t="s">
        <v>395</v>
      </c>
      <c r="G462" t="s">
        <v>395</v>
      </c>
      <c r="H462" t="s">
        <v>395</v>
      </c>
      <c r="I462" t="s">
        <v>395</v>
      </c>
      <c r="K462">
        <v>30</v>
      </c>
      <c r="L462">
        <v>30</v>
      </c>
      <c r="O462">
        <v>1</v>
      </c>
      <c r="P462">
        <v>7659</v>
      </c>
      <c r="Q462">
        <v>7875</v>
      </c>
      <c r="R462">
        <v>216</v>
      </c>
      <c r="S462">
        <v>4000</v>
      </c>
      <c r="T462">
        <v>864</v>
      </c>
      <c r="W462">
        <v>1</v>
      </c>
      <c r="X462">
        <v>90000</v>
      </c>
      <c r="Y462">
        <v>90000</v>
      </c>
      <c r="Z462">
        <v>1</v>
      </c>
      <c r="AA462">
        <v>30000</v>
      </c>
      <c r="AB462">
        <v>30000</v>
      </c>
      <c r="AC462">
        <v>0</v>
      </c>
      <c r="AD462">
        <v>100000</v>
      </c>
      <c r="AE462">
        <v>0</v>
      </c>
      <c r="AL462">
        <v>0</v>
      </c>
      <c r="AM462">
        <v>0</v>
      </c>
      <c r="AN462">
        <v>0</v>
      </c>
      <c r="AU462">
        <v>984</v>
      </c>
      <c r="AV462" t="s">
        <v>2092</v>
      </c>
      <c r="AX462" t="s">
        <v>2093</v>
      </c>
      <c r="AY462" t="s">
        <v>383</v>
      </c>
      <c r="AZ462">
        <v>0</v>
      </c>
    </row>
    <row r="463" spans="1:60">
      <c r="A463" t="s">
        <v>2094</v>
      </c>
      <c r="B463" t="s">
        <v>184</v>
      </c>
      <c r="C463">
        <v>302</v>
      </c>
      <c r="D463" t="s">
        <v>375</v>
      </c>
      <c r="E463">
        <v>1</v>
      </c>
      <c r="F463" t="s">
        <v>445</v>
      </c>
      <c r="G463" t="s">
        <v>552</v>
      </c>
      <c r="H463" t="s">
        <v>445</v>
      </c>
      <c r="I463" t="s">
        <v>445</v>
      </c>
      <c r="K463">
        <v>30</v>
      </c>
      <c r="L463">
        <v>30</v>
      </c>
      <c r="O463">
        <v>1</v>
      </c>
      <c r="P463">
        <v>12175</v>
      </c>
      <c r="Q463">
        <v>12360</v>
      </c>
      <c r="R463">
        <v>185</v>
      </c>
      <c r="S463">
        <v>4000</v>
      </c>
      <c r="T463">
        <v>740</v>
      </c>
      <c r="W463">
        <v>1</v>
      </c>
      <c r="X463">
        <v>100000</v>
      </c>
      <c r="Y463">
        <v>100000</v>
      </c>
      <c r="Z463">
        <v>1</v>
      </c>
      <c r="AA463">
        <v>60000</v>
      </c>
      <c r="AB463">
        <v>60000</v>
      </c>
      <c r="AC463">
        <v>1</v>
      </c>
      <c r="AD463">
        <v>100000</v>
      </c>
      <c r="AE463">
        <v>100000</v>
      </c>
      <c r="AL463">
        <v>0</v>
      </c>
      <c r="AM463">
        <v>0</v>
      </c>
      <c r="AN463">
        <v>0</v>
      </c>
      <c r="AQ463">
        <v>0</v>
      </c>
      <c r="AU463" t="s">
        <v>672</v>
      </c>
      <c r="AV463" t="s">
        <v>1418</v>
      </c>
      <c r="AX463" t="s">
        <v>2095</v>
      </c>
      <c r="AY463" t="s">
        <v>383</v>
      </c>
      <c r="AZ463">
        <v>0</v>
      </c>
    </row>
    <row r="464" spans="1:60">
      <c r="A464" t="s">
        <v>2096</v>
      </c>
      <c r="B464" t="s">
        <v>184</v>
      </c>
      <c r="C464">
        <v>303</v>
      </c>
      <c r="D464" t="s">
        <v>375</v>
      </c>
      <c r="E464">
        <v>1</v>
      </c>
      <c r="F464" t="s">
        <v>426</v>
      </c>
      <c r="G464" t="s">
        <v>552</v>
      </c>
      <c r="H464" t="s">
        <v>426</v>
      </c>
      <c r="I464" t="s">
        <v>426</v>
      </c>
      <c r="K464">
        <v>30</v>
      </c>
      <c r="L464">
        <v>30</v>
      </c>
      <c r="O464">
        <v>1</v>
      </c>
      <c r="P464">
        <v>4925</v>
      </c>
      <c r="Q464">
        <v>4989</v>
      </c>
      <c r="R464">
        <v>64</v>
      </c>
      <c r="S464">
        <v>4000</v>
      </c>
      <c r="T464">
        <v>256</v>
      </c>
      <c r="W464">
        <v>1</v>
      </c>
      <c r="X464">
        <v>120000</v>
      </c>
      <c r="Y464">
        <v>120000</v>
      </c>
      <c r="Z464">
        <v>1</v>
      </c>
      <c r="AA464">
        <v>60000</v>
      </c>
      <c r="AB464">
        <v>60000</v>
      </c>
      <c r="AD464">
        <v>100000</v>
      </c>
      <c r="AE464">
        <v>0</v>
      </c>
      <c r="AL464">
        <v>0</v>
      </c>
      <c r="AM464">
        <v>0</v>
      </c>
      <c r="AN464">
        <v>0</v>
      </c>
      <c r="AQ464">
        <v>0</v>
      </c>
      <c r="AU464">
        <v>436</v>
      </c>
      <c r="AV464" t="s">
        <v>2097</v>
      </c>
      <c r="AX464" t="s">
        <v>2098</v>
      </c>
      <c r="AY464" t="s">
        <v>383</v>
      </c>
      <c r="AZ464">
        <v>0</v>
      </c>
    </row>
    <row r="465" spans="1:60">
      <c r="A465" t="s">
        <v>2099</v>
      </c>
      <c r="B465" t="s">
        <v>184</v>
      </c>
      <c r="C465">
        <v>304</v>
      </c>
      <c r="D465" t="s">
        <v>375</v>
      </c>
      <c r="E465">
        <v>1</v>
      </c>
      <c r="F465" t="s">
        <v>609</v>
      </c>
      <c r="G465" t="s">
        <v>609</v>
      </c>
      <c r="H465" t="s">
        <v>609</v>
      </c>
      <c r="I465" t="s">
        <v>609</v>
      </c>
      <c r="K465">
        <v>30</v>
      </c>
      <c r="L465">
        <v>30</v>
      </c>
      <c r="O465">
        <v>1</v>
      </c>
      <c r="P465">
        <v>23647</v>
      </c>
      <c r="Q465">
        <v>23647</v>
      </c>
      <c r="R465">
        <v>0</v>
      </c>
      <c r="S465">
        <v>4000</v>
      </c>
      <c r="T465">
        <v>0</v>
      </c>
      <c r="W465">
        <v>1</v>
      </c>
      <c r="X465">
        <v>120000</v>
      </c>
      <c r="Y465">
        <v>120000</v>
      </c>
      <c r="AB465">
        <v>0</v>
      </c>
      <c r="AC465">
        <v>1</v>
      </c>
      <c r="AD465">
        <v>100000</v>
      </c>
      <c r="AE465">
        <v>100000</v>
      </c>
      <c r="AL465">
        <v>0</v>
      </c>
      <c r="AM465">
        <v>0</v>
      </c>
      <c r="AN465">
        <v>0</v>
      </c>
      <c r="AO465">
        <v>1</v>
      </c>
      <c r="AP465">
        <v>120000</v>
      </c>
      <c r="AQ465">
        <v>120000</v>
      </c>
      <c r="AU465">
        <v>340</v>
      </c>
      <c r="AV465" t="s">
        <v>1535</v>
      </c>
      <c r="AW465" t="s">
        <v>2100</v>
      </c>
      <c r="AX465" t="s">
        <v>2101</v>
      </c>
      <c r="AY465" t="s">
        <v>522</v>
      </c>
      <c r="AZ465">
        <v>153.548</v>
      </c>
    </row>
    <row r="466" spans="1:60">
      <c r="A466" t="s">
        <v>2102</v>
      </c>
      <c r="B466" t="s">
        <v>184</v>
      </c>
      <c r="C466">
        <v>402</v>
      </c>
      <c r="D466" t="s">
        <v>375</v>
      </c>
      <c r="E466">
        <v>1</v>
      </c>
      <c r="F466" t="s">
        <v>445</v>
      </c>
      <c r="G466" t="s">
        <v>552</v>
      </c>
      <c r="H466" t="s">
        <v>445</v>
      </c>
      <c r="I466" t="s">
        <v>445</v>
      </c>
      <c r="K466">
        <v>30</v>
      </c>
      <c r="L466">
        <v>30</v>
      </c>
      <c r="O466">
        <v>2</v>
      </c>
      <c r="P466">
        <v>13750</v>
      </c>
      <c r="Q466">
        <v>14000</v>
      </c>
      <c r="R466">
        <v>250</v>
      </c>
      <c r="S466">
        <v>4000</v>
      </c>
      <c r="T466" t="s">
        <v>1918</v>
      </c>
      <c r="W466">
        <v>2</v>
      </c>
      <c r="X466">
        <v>100000</v>
      </c>
      <c r="Y466">
        <v>200000</v>
      </c>
      <c r="AA466">
        <v>30000</v>
      </c>
      <c r="AB466">
        <v>0</v>
      </c>
      <c r="AD466">
        <v>100000</v>
      </c>
      <c r="AE466">
        <v>0</v>
      </c>
      <c r="AI466">
        <v>0</v>
      </c>
      <c r="AL466">
        <v>0</v>
      </c>
      <c r="AM466">
        <v>0</v>
      </c>
      <c r="AN466">
        <v>0</v>
      </c>
      <c r="AO466">
        <v>2</v>
      </c>
      <c r="AP466">
        <v>60000</v>
      </c>
      <c r="AQ466">
        <v>120000</v>
      </c>
      <c r="AU466" t="s">
        <v>2103</v>
      </c>
      <c r="AV466" t="s">
        <v>463</v>
      </c>
      <c r="AX466" t="s">
        <v>465</v>
      </c>
      <c r="AY466" t="s">
        <v>383</v>
      </c>
      <c r="AZ466">
        <v>0</v>
      </c>
    </row>
    <row r="467" spans="1:60">
      <c r="A467" t="s">
        <v>2104</v>
      </c>
      <c r="B467" t="s">
        <v>188</v>
      </c>
      <c r="C467">
        <v>101</v>
      </c>
      <c r="D467" t="s">
        <v>515</v>
      </c>
      <c r="E467">
        <v>1</v>
      </c>
      <c r="F467" t="s">
        <v>400</v>
      </c>
      <c r="G467" t="s">
        <v>420</v>
      </c>
      <c r="H467" t="s">
        <v>400</v>
      </c>
      <c r="I467" t="s">
        <v>400</v>
      </c>
      <c r="K467">
        <v>30</v>
      </c>
      <c r="L467">
        <v>30</v>
      </c>
      <c r="O467">
        <v>3</v>
      </c>
      <c r="P467">
        <v>12083</v>
      </c>
      <c r="Q467">
        <v>12314</v>
      </c>
      <c r="R467">
        <v>231</v>
      </c>
      <c r="S467">
        <v>4</v>
      </c>
      <c r="T467">
        <v>924</v>
      </c>
      <c r="U467">
        <v>796</v>
      </c>
      <c r="V467">
        <v>802</v>
      </c>
      <c r="W467">
        <v>6</v>
      </c>
      <c r="X467">
        <v>35000</v>
      </c>
      <c r="Y467">
        <v>210000</v>
      </c>
      <c r="AB467">
        <v>0</v>
      </c>
      <c r="AD467">
        <v>100000</v>
      </c>
      <c r="AE467">
        <v>0</v>
      </c>
      <c r="AN467">
        <v>0</v>
      </c>
      <c r="AO467">
        <v>3</v>
      </c>
      <c r="AP467">
        <v>60000</v>
      </c>
      <c r="AQ467">
        <v>180000</v>
      </c>
      <c r="AU467" t="s">
        <v>2105</v>
      </c>
      <c r="AV467" t="s">
        <v>2106</v>
      </c>
      <c r="AX467" t="s">
        <v>2107</v>
      </c>
      <c r="AY467" t="s">
        <v>383</v>
      </c>
      <c r="AZ467">
        <v>0</v>
      </c>
    </row>
    <row r="468" spans="1:60">
      <c r="A468" t="s">
        <v>2108</v>
      </c>
      <c r="B468" t="s">
        <v>188</v>
      </c>
      <c r="C468">
        <v>201</v>
      </c>
      <c r="D468" t="s">
        <v>515</v>
      </c>
      <c r="E468">
        <v>1</v>
      </c>
      <c r="F468" t="s">
        <v>386</v>
      </c>
      <c r="G468" t="s">
        <v>420</v>
      </c>
      <c r="H468" t="s">
        <v>386</v>
      </c>
      <c r="I468" t="s">
        <v>386</v>
      </c>
      <c r="K468">
        <v>30</v>
      </c>
      <c r="L468">
        <v>30</v>
      </c>
      <c r="O468">
        <v>2</v>
      </c>
      <c r="P468">
        <v>16211</v>
      </c>
      <c r="Q468">
        <v>16435</v>
      </c>
      <c r="R468">
        <v>224</v>
      </c>
      <c r="S468">
        <v>4</v>
      </c>
      <c r="T468">
        <v>896</v>
      </c>
      <c r="U468">
        <v>1051</v>
      </c>
      <c r="V468">
        <v>1056</v>
      </c>
      <c r="W468">
        <v>5</v>
      </c>
      <c r="X468">
        <v>35000</v>
      </c>
      <c r="Y468">
        <v>175000</v>
      </c>
      <c r="AB468">
        <v>0</v>
      </c>
      <c r="AC468">
        <v>1</v>
      </c>
      <c r="AD468">
        <v>100000</v>
      </c>
      <c r="AE468">
        <v>100000</v>
      </c>
      <c r="AN468">
        <v>0</v>
      </c>
      <c r="AO468">
        <v>2</v>
      </c>
      <c r="AP468">
        <v>120000</v>
      </c>
      <c r="AQ468">
        <v>240000</v>
      </c>
      <c r="AU468" t="s">
        <v>2109</v>
      </c>
      <c r="AV468" t="s">
        <v>2110</v>
      </c>
      <c r="AX468" t="s">
        <v>2111</v>
      </c>
      <c r="AY468" t="s">
        <v>383</v>
      </c>
      <c r="AZ468">
        <v>0</v>
      </c>
    </row>
    <row r="469" spans="1:60">
      <c r="A469" t="s">
        <v>2112</v>
      </c>
      <c r="B469" t="s">
        <v>188</v>
      </c>
      <c r="C469">
        <v>202</v>
      </c>
      <c r="D469" t="s">
        <v>515</v>
      </c>
      <c r="E469">
        <v>1</v>
      </c>
      <c r="F469" t="s">
        <v>409</v>
      </c>
      <c r="G469" t="s">
        <v>391</v>
      </c>
      <c r="H469" t="s">
        <v>409</v>
      </c>
      <c r="I469" t="s">
        <v>409</v>
      </c>
      <c r="K469">
        <v>30</v>
      </c>
      <c r="L469">
        <v>30</v>
      </c>
      <c r="O469">
        <v>2</v>
      </c>
      <c r="P469">
        <v>23371</v>
      </c>
      <c r="Q469">
        <v>23564</v>
      </c>
      <c r="R469">
        <v>193</v>
      </c>
      <c r="S469">
        <v>4</v>
      </c>
      <c r="T469">
        <v>772</v>
      </c>
      <c r="W469">
        <v>2</v>
      </c>
      <c r="X469">
        <v>90000</v>
      </c>
      <c r="Y469">
        <v>180000</v>
      </c>
      <c r="Z469">
        <v>2</v>
      </c>
      <c r="AA469">
        <v>30000</v>
      </c>
      <c r="AB469">
        <v>60000</v>
      </c>
      <c r="AL469">
        <v>2</v>
      </c>
      <c r="AM469">
        <v>60000</v>
      </c>
      <c r="AN469">
        <v>120</v>
      </c>
      <c r="AO469">
        <v>0</v>
      </c>
      <c r="AQ469">
        <v>0</v>
      </c>
      <c r="AU469" t="s">
        <v>2113</v>
      </c>
      <c r="AV469" t="s">
        <v>2114</v>
      </c>
      <c r="AX469" t="s">
        <v>2115</v>
      </c>
      <c r="AY469" t="s">
        <v>383</v>
      </c>
      <c r="AZ469">
        <v>0</v>
      </c>
    </row>
    <row r="470" spans="1:60">
      <c r="A470" t="s">
        <v>2116</v>
      </c>
      <c r="B470" t="s">
        <v>188</v>
      </c>
      <c r="C470">
        <v>301</v>
      </c>
      <c r="D470" t="s">
        <v>515</v>
      </c>
      <c r="E470">
        <v>1</v>
      </c>
      <c r="F470" t="s">
        <v>377</v>
      </c>
      <c r="G470" t="s">
        <v>420</v>
      </c>
      <c r="H470" t="s">
        <v>377</v>
      </c>
      <c r="I470" t="s">
        <v>377</v>
      </c>
      <c r="K470">
        <v>30</v>
      </c>
      <c r="L470">
        <v>30</v>
      </c>
      <c r="O470">
        <v>2</v>
      </c>
      <c r="P470">
        <v>15769</v>
      </c>
      <c r="Q470">
        <v>15910</v>
      </c>
      <c r="R470">
        <v>141</v>
      </c>
      <c r="S470">
        <v>4</v>
      </c>
      <c r="T470">
        <v>564</v>
      </c>
      <c r="U470">
        <v>601</v>
      </c>
      <c r="V470">
        <v>609</v>
      </c>
      <c r="W470">
        <v>8</v>
      </c>
      <c r="X470">
        <v>35000</v>
      </c>
      <c r="Y470">
        <v>280000</v>
      </c>
      <c r="AB470">
        <v>0</v>
      </c>
      <c r="AD470">
        <v>100000</v>
      </c>
      <c r="AE470">
        <v>0</v>
      </c>
      <c r="AK470">
        <v>0</v>
      </c>
      <c r="AN470">
        <v>0</v>
      </c>
      <c r="AO470">
        <v>2</v>
      </c>
      <c r="AP470">
        <v>120000</v>
      </c>
      <c r="AQ470">
        <v>240000</v>
      </c>
      <c r="AU470" t="s">
        <v>477</v>
      </c>
      <c r="AV470" t="s">
        <v>2117</v>
      </c>
      <c r="AX470" t="s">
        <v>2118</v>
      </c>
      <c r="AY470" t="s">
        <v>383</v>
      </c>
      <c r="AZ470">
        <v>0</v>
      </c>
    </row>
    <row r="471" spans="1:60">
      <c r="A471" t="s">
        <v>2119</v>
      </c>
      <c r="B471" t="s">
        <v>188</v>
      </c>
      <c r="C471">
        <v>302</v>
      </c>
      <c r="D471" t="s">
        <v>515</v>
      </c>
      <c r="E471">
        <v>1</v>
      </c>
      <c r="F471" t="s">
        <v>408</v>
      </c>
      <c r="G471" t="s">
        <v>391</v>
      </c>
      <c r="H471" t="s">
        <v>408</v>
      </c>
      <c r="I471" t="s">
        <v>408</v>
      </c>
      <c r="K471">
        <v>30</v>
      </c>
      <c r="L471">
        <v>30</v>
      </c>
      <c r="O471">
        <v>1</v>
      </c>
      <c r="P471">
        <v>14920</v>
      </c>
      <c r="Q471">
        <v>15193</v>
      </c>
      <c r="R471">
        <v>273</v>
      </c>
      <c r="S471">
        <v>4</v>
      </c>
      <c r="T471" t="s">
        <v>2120</v>
      </c>
      <c r="U471">
        <v>893</v>
      </c>
      <c r="V471">
        <v>895</v>
      </c>
      <c r="W471">
        <v>2</v>
      </c>
      <c r="X471">
        <v>35000</v>
      </c>
      <c r="Y471">
        <v>70000</v>
      </c>
      <c r="AB471">
        <v>0</v>
      </c>
      <c r="AC471">
        <v>1</v>
      </c>
      <c r="AD471">
        <v>100000</v>
      </c>
      <c r="AE471">
        <v>100000</v>
      </c>
      <c r="AK471">
        <v>0</v>
      </c>
      <c r="AM471">
        <v>60000</v>
      </c>
      <c r="AN471">
        <v>0</v>
      </c>
      <c r="AO471">
        <v>1</v>
      </c>
      <c r="AP471">
        <v>120000</v>
      </c>
      <c r="AQ471">
        <v>120000</v>
      </c>
      <c r="AU471" t="s">
        <v>2121</v>
      </c>
      <c r="AV471" t="s">
        <v>2122</v>
      </c>
      <c r="AX471" t="s">
        <v>2123</v>
      </c>
      <c r="AY471" t="s">
        <v>383</v>
      </c>
      <c r="AZ471">
        <v>0</v>
      </c>
    </row>
    <row r="472" spans="1:60">
      <c r="A472" t="s">
        <v>2124</v>
      </c>
      <c r="B472" t="s">
        <v>188</v>
      </c>
      <c r="C472">
        <v>401</v>
      </c>
      <c r="D472" t="s">
        <v>515</v>
      </c>
      <c r="E472">
        <v>1</v>
      </c>
      <c r="F472" t="s">
        <v>385</v>
      </c>
      <c r="G472" t="s">
        <v>420</v>
      </c>
      <c r="H472" t="s">
        <v>385</v>
      </c>
      <c r="I472" t="s">
        <v>385</v>
      </c>
      <c r="K472">
        <v>30</v>
      </c>
      <c r="L472">
        <v>30</v>
      </c>
      <c r="O472">
        <v>2</v>
      </c>
      <c r="P472">
        <v>13538</v>
      </c>
      <c r="Q472">
        <v>13872</v>
      </c>
      <c r="R472">
        <v>334</v>
      </c>
      <c r="S472">
        <v>4</v>
      </c>
      <c r="T472" t="s">
        <v>2125</v>
      </c>
      <c r="U472">
        <v>602</v>
      </c>
      <c r="V472">
        <v>605</v>
      </c>
      <c r="W472">
        <v>3</v>
      </c>
      <c r="X472">
        <v>35000</v>
      </c>
      <c r="Y472">
        <v>105000</v>
      </c>
      <c r="AB472">
        <v>0</v>
      </c>
      <c r="AD472">
        <v>100000</v>
      </c>
      <c r="AE472">
        <v>0</v>
      </c>
      <c r="AN472">
        <v>0</v>
      </c>
      <c r="AO472">
        <v>2</v>
      </c>
      <c r="AP472">
        <v>120000</v>
      </c>
      <c r="AQ472">
        <v>240000</v>
      </c>
      <c r="AU472" t="s">
        <v>2126</v>
      </c>
      <c r="AV472" t="s">
        <v>2127</v>
      </c>
      <c r="AW472" t="s">
        <v>2128</v>
      </c>
      <c r="AX472" t="s">
        <v>2129</v>
      </c>
      <c r="AY472" t="s">
        <v>383</v>
      </c>
      <c r="AZ472">
        <v>0</v>
      </c>
    </row>
    <row r="473" spans="1:60">
      <c r="A473" t="s">
        <v>2130</v>
      </c>
      <c r="B473" t="s">
        <v>188</v>
      </c>
      <c r="C473">
        <v>402</v>
      </c>
      <c r="D473" t="s">
        <v>515</v>
      </c>
      <c r="E473">
        <v>1</v>
      </c>
      <c r="F473" t="s">
        <v>408</v>
      </c>
      <c r="G473" t="s">
        <v>391</v>
      </c>
      <c r="H473" t="s">
        <v>408</v>
      </c>
      <c r="I473" t="s">
        <v>408</v>
      </c>
      <c r="J473" t="s">
        <v>408</v>
      </c>
      <c r="K473">
        <v>30</v>
      </c>
      <c r="L473">
        <v>30</v>
      </c>
      <c r="O473">
        <v>2</v>
      </c>
      <c r="P473">
        <v>12746</v>
      </c>
      <c r="Q473">
        <v>12746</v>
      </c>
      <c r="R473">
        <v>0</v>
      </c>
      <c r="S473">
        <v>4</v>
      </c>
      <c r="T473">
        <v>0</v>
      </c>
      <c r="W473">
        <v>2</v>
      </c>
      <c r="X473">
        <v>120000</v>
      </c>
      <c r="Y473">
        <v>240000</v>
      </c>
      <c r="AB473">
        <v>0</v>
      </c>
      <c r="AC473">
        <v>1</v>
      </c>
      <c r="AD473">
        <v>100000</v>
      </c>
      <c r="AE473">
        <v>100000</v>
      </c>
      <c r="AK473">
        <v>0</v>
      </c>
      <c r="AN473">
        <v>0</v>
      </c>
      <c r="AO473">
        <v>2</v>
      </c>
      <c r="AP473">
        <v>120000</v>
      </c>
      <c r="AQ473">
        <v>240000</v>
      </c>
      <c r="AU473">
        <v>580</v>
      </c>
      <c r="AV473" t="s">
        <v>2131</v>
      </c>
      <c r="AW473" t="s">
        <v>2132</v>
      </c>
      <c r="AX473" t="s">
        <v>2133</v>
      </c>
      <c r="AY473" t="s">
        <v>383</v>
      </c>
      <c r="AZ473">
        <v>0</v>
      </c>
    </row>
    <row r="474" spans="1:60">
      <c r="A474" t="s">
        <v>2134</v>
      </c>
      <c r="B474" t="s">
        <v>188</v>
      </c>
      <c r="C474">
        <v>501</v>
      </c>
      <c r="D474" t="s">
        <v>515</v>
      </c>
      <c r="E474">
        <v>1</v>
      </c>
      <c r="F474" t="s">
        <v>789</v>
      </c>
      <c r="G474" t="s">
        <v>420</v>
      </c>
      <c r="H474" t="s">
        <v>789</v>
      </c>
      <c r="I474" t="s">
        <v>789</v>
      </c>
      <c r="K474">
        <v>30</v>
      </c>
      <c r="L474">
        <v>30</v>
      </c>
      <c r="O474">
        <v>1</v>
      </c>
      <c r="P474">
        <v>18521</v>
      </c>
      <c r="Q474">
        <v>18662</v>
      </c>
      <c r="R474">
        <v>141</v>
      </c>
      <c r="S474">
        <v>4</v>
      </c>
      <c r="T474">
        <v>564</v>
      </c>
      <c r="U474">
        <v>702</v>
      </c>
      <c r="V474">
        <v>704</v>
      </c>
      <c r="W474">
        <v>2</v>
      </c>
      <c r="X474">
        <v>35000</v>
      </c>
      <c r="Y474">
        <v>70000</v>
      </c>
      <c r="AB474">
        <v>0</v>
      </c>
      <c r="AD474">
        <v>100000</v>
      </c>
      <c r="AE474">
        <v>0</v>
      </c>
      <c r="AM474">
        <v>60000</v>
      </c>
      <c r="AN474">
        <v>0</v>
      </c>
      <c r="AO474">
        <v>1</v>
      </c>
      <c r="AP474">
        <v>120000</v>
      </c>
      <c r="AQ474">
        <v>120000</v>
      </c>
      <c r="AU474">
        <v>754</v>
      </c>
      <c r="AV474" t="s">
        <v>2135</v>
      </c>
      <c r="AW474" t="s">
        <v>2136</v>
      </c>
      <c r="AX474" t="s">
        <v>2137</v>
      </c>
      <c r="AY474" t="s">
        <v>383</v>
      </c>
      <c r="AZ474">
        <v>0</v>
      </c>
    </row>
    <row r="475" spans="1:60">
      <c r="A475" t="s">
        <v>2138</v>
      </c>
      <c r="B475" t="s">
        <v>189</v>
      </c>
      <c r="C475">
        <v>101</v>
      </c>
      <c r="D475" t="s">
        <v>515</v>
      </c>
      <c r="E475">
        <v>1</v>
      </c>
      <c r="F475" t="s">
        <v>377</v>
      </c>
      <c r="G475" t="s">
        <v>420</v>
      </c>
      <c r="H475" t="s">
        <v>377</v>
      </c>
      <c r="I475" t="s">
        <v>377</v>
      </c>
      <c r="K475">
        <v>30</v>
      </c>
      <c r="L475">
        <v>30</v>
      </c>
      <c r="O475">
        <v>3</v>
      </c>
      <c r="P475">
        <v>3414</v>
      </c>
      <c r="Q475">
        <v>3692</v>
      </c>
      <c r="R475">
        <v>278</v>
      </c>
      <c r="S475">
        <v>4000</v>
      </c>
      <c r="T475" t="s">
        <v>2139</v>
      </c>
      <c r="U475">
        <v>1180</v>
      </c>
      <c r="V475">
        <v>1187</v>
      </c>
      <c r="W475">
        <v>7</v>
      </c>
      <c r="X475">
        <v>35000</v>
      </c>
      <c r="Y475">
        <v>245000</v>
      </c>
      <c r="AA475">
        <v>30000</v>
      </c>
      <c r="AB475">
        <v>0</v>
      </c>
      <c r="AC475">
        <v>0</v>
      </c>
      <c r="AD475">
        <v>100000</v>
      </c>
      <c r="AE475">
        <v>0</v>
      </c>
      <c r="AM475">
        <v>60000</v>
      </c>
      <c r="AN475">
        <v>0</v>
      </c>
      <c r="AO475">
        <v>3</v>
      </c>
      <c r="AP475">
        <v>60000</v>
      </c>
      <c r="AQ475">
        <v>180000</v>
      </c>
      <c r="AU475" t="s">
        <v>2140</v>
      </c>
      <c r="AV475" t="s">
        <v>2141</v>
      </c>
      <c r="AX475" t="s">
        <v>2142</v>
      </c>
      <c r="AY475" t="s">
        <v>383</v>
      </c>
      <c r="AZ475">
        <v>0</v>
      </c>
      <c r="BF475">
        <v>0</v>
      </c>
      <c r="BG475">
        <v>3.8</v>
      </c>
      <c r="BH475">
        <v>0</v>
      </c>
    </row>
    <row r="476" spans="1:60">
      <c r="A476" t="s">
        <v>2143</v>
      </c>
      <c r="B476" t="s">
        <v>189</v>
      </c>
      <c r="C476">
        <v>201</v>
      </c>
      <c r="D476" t="s">
        <v>515</v>
      </c>
      <c r="E476">
        <v>1</v>
      </c>
      <c r="F476" t="s">
        <v>408</v>
      </c>
      <c r="G476" t="s">
        <v>789</v>
      </c>
      <c r="H476" t="s">
        <v>408</v>
      </c>
      <c r="I476" t="s">
        <v>408</v>
      </c>
      <c r="K476">
        <v>30</v>
      </c>
      <c r="L476">
        <v>30</v>
      </c>
      <c r="M476">
        <v>147.032</v>
      </c>
      <c r="O476">
        <v>1</v>
      </c>
      <c r="P476">
        <v>1760</v>
      </c>
      <c r="Q476">
        <v>1776</v>
      </c>
      <c r="R476">
        <v>16</v>
      </c>
      <c r="S476">
        <v>4000</v>
      </c>
      <c r="T476">
        <v>64</v>
      </c>
      <c r="W476">
        <v>1</v>
      </c>
      <c r="X476">
        <v>120000</v>
      </c>
      <c r="Y476">
        <v>120000</v>
      </c>
      <c r="AB476">
        <v>0</v>
      </c>
      <c r="AC476">
        <v>1</v>
      </c>
      <c r="AD476">
        <v>100000</v>
      </c>
      <c r="AE476">
        <v>100000</v>
      </c>
      <c r="AN476">
        <v>0</v>
      </c>
      <c r="AO476">
        <v>1</v>
      </c>
      <c r="AP476">
        <v>120000</v>
      </c>
      <c r="AQ476">
        <v>120000</v>
      </c>
      <c r="AU476">
        <v>404</v>
      </c>
      <c r="AV476" t="s">
        <v>2144</v>
      </c>
      <c r="AW476" t="s">
        <v>697</v>
      </c>
      <c r="AX476" t="s">
        <v>2145</v>
      </c>
      <c r="AY476" t="s">
        <v>522</v>
      </c>
      <c r="AZ476">
        <v>1.968</v>
      </c>
    </row>
    <row r="477" spans="1:60">
      <c r="A477" t="s">
        <v>2146</v>
      </c>
      <c r="B477" t="s">
        <v>189</v>
      </c>
      <c r="C477">
        <v>202</v>
      </c>
      <c r="D477" t="s">
        <v>515</v>
      </c>
      <c r="E477">
        <v>1</v>
      </c>
      <c r="F477" t="s">
        <v>391</v>
      </c>
      <c r="G477" t="s">
        <v>391</v>
      </c>
      <c r="H477" t="s">
        <v>391</v>
      </c>
      <c r="I477" t="s">
        <v>391</v>
      </c>
      <c r="K477">
        <v>30</v>
      </c>
      <c r="L477">
        <v>30</v>
      </c>
      <c r="O477">
        <v>4</v>
      </c>
      <c r="P477">
        <v>2059</v>
      </c>
      <c r="Q477">
        <v>2255</v>
      </c>
      <c r="R477">
        <v>196</v>
      </c>
      <c r="S477">
        <v>4000</v>
      </c>
      <c r="T477">
        <v>784</v>
      </c>
      <c r="U477">
        <v>1408</v>
      </c>
      <c r="V477">
        <v>1418</v>
      </c>
      <c r="W477">
        <v>10</v>
      </c>
      <c r="X477">
        <v>35000</v>
      </c>
      <c r="Y477">
        <v>350000</v>
      </c>
      <c r="AA477">
        <v>30000</v>
      </c>
      <c r="AB477">
        <v>0</v>
      </c>
      <c r="AC477">
        <v>1</v>
      </c>
      <c r="AD477">
        <v>100000</v>
      </c>
      <c r="AE477">
        <v>100000</v>
      </c>
      <c r="AL477">
        <v>0</v>
      </c>
      <c r="AM477">
        <v>60000</v>
      </c>
      <c r="AN477">
        <v>0</v>
      </c>
      <c r="AO477">
        <v>4</v>
      </c>
      <c r="AP477">
        <v>60000</v>
      </c>
      <c r="AQ477">
        <v>240000</v>
      </c>
      <c r="AU477" t="s">
        <v>2147</v>
      </c>
      <c r="AV477" t="s">
        <v>2148</v>
      </c>
      <c r="AX477" t="s">
        <v>2149</v>
      </c>
      <c r="AY477" t="s">
        <v>383</v>
      </c>
      <c r="AZ477">
        <v>0</v>
      </c>
    </row>
    <row r="478" spans="1:60">
      <c r="A478" t="s">
        <v>2150</v>
      </c>
      <c r="B478" t="s">
        <v>189</v>
      </c>
      <c r="C478">
        <v>301</v>
      </c>
      <c r="D478" t="s">
        <v>515</v>
      </c>
      <c r="E478">
        <v>1</v>
      </c>
      <c r="F478" t="s">
        <v>386</v>
      </c>
      <c r="G478" t="s">
        <v>386</v>
      </c>
      <c r="H478" t="s">
        <v>386</v>
      </c>
      <c r="I478" t="s">
        <v>386</v>
      </c>
      <c r="K478">
        <v>30</v>
      </c>
      <c r="L478">
        <v>30</v>
      </c>
      <c r="O478">
        <v>2</v>
      </c>
      <c r="P478">
        <v>2552</v>
      </c>
      <c r="Q478">
        <v>2723</v>
      </c>
      <c r="R478">
        <v>171</v>
      </c>
      <c r="S478">
        <v>4000</v>
      </c>
      <c r="T478">
        <v>684</v>
      </c>
      <c r="U478">
        <v>1279</v>
      </c>
      <c r="V478">
        <v>1285</v>
      </c>
      <c r="W478">
        <v>6</v>
      </c>
      <c r="X478">
        <v>35000</v>
      </c>
      <c r="Y478">
        <v>210000</v>
      </c>
      <c r="AB478">
        <v>0</v>
      </c>
      <c r="AC478">
        <v>1</v>
      </c>
      <c r="AD478">
        <v>100000</v>
      </c>
      <c r="AE478">
        <v>100000</v>
      </c>
      <c r="AK478">
        <v>0</v>
      </c>
      <c r="AN478">
        <v>0</v>
      </c>
      <c r="AO478">
        <v>2</v>
      </c>
      <c r="AP478">
        <v>120000</v>
      </c>
      <c r="AQ478">
        <v>240000</v>
      </c>
      <c r="AU478" t="s">
        <v>2151</v>
      </c>
      <c r="AV478" t="s">
        <v>2152</v>
      </c>
      <c r="AX478" t="s">
        <v>2153</v>
      </c>
      <c r="AY478" t="s">
        <v>383</v>
      </c>
      <c r="AZ478">
        <v>0</v>
      </c>
    </row>
    <row r="479" spans="1:60">
      <c r="A479" t="s">
        <v>2154</v>
      </c>
      <c r="B479" t="s">
        <v>189</v>
      </c>
      <c r="C479">
        <v>302</v>
      </c>
      <c r="D479" t="s">
        <v>515</v>
      </c>
      <c r="E479">
        <v>1</v>
      </c>
      <c r="F479" t="s">
        <v>420</v>
      </c>
      <c r="G479" t="s">
        <v>409</v>
      </c>
      <c r="H479" t="s">
        <v>420</v>
      </c>
      <c r="I479" t="s">
        <v>420</v>
      </c>
      <c r="K479">
        <v>30</v>
      </c>
      <c r="L479">
        <v>30</v>
      </c>
      <c r="O479">
        <v>4</v>
      </c>
      <c r="P479">
        <v>1687</v>
      </c>
      <c r="Q479">
        <v>1895</v>
      </c>
      <c r="R479">
        <v>208</v>
      </c>
      <c r="S479">
        <v>4000</v>
      </c>
      <c r="T479">
        <v>832</v>
      </c>
      <c r="W479">
        <v>4</v>
      </c>
      <c r="X479">
        <v>120000</v>
      </c>
      <c r="Y479">
        <v>480000</v>
      </c>
      <c r="AB479">
        <v>0</v>
      </c>
      <c r="AC479">
        <v>1</v>
      </c>
      <c r="AD479">
        <v>100000</v>
      </c>
      <c r="AE479">
        <v>100000</v>
      </c>
      <c r="AN479">
        <v>0</v>
      </c>
      <c r="AO479">
        <v>4</v>
      </c>
      <c r="AP479">
        <v>120000</v>
      </c>
      <c r="AQ479">
        <v>480000</v>
      </c>
      <c r="AU479" t="s">
        <v>2155</v>
      </c>
      <c r="AV479" t="s">
        <v>2156</v>
      </c>
      <c r="AX479" t="s">
        <v>2157</v>
      </c>
      <c r="AY479" t="s">
        <v>383</v>
      </c>
      <c r="AZ479">
        <v>0</v>
      </c>
    </row>
    <row r="480" spans="1:60">
      <c r="A480" t="s">
        <v>2158</v>
      </c>
      <c r="B480" t="s">
        <v>189</v>
      </c>
      <c r="C480">
        <v>401</v>
      </c>
      <c r="D480" t="s">
        <v>515</v>
      </c>
      <c r="E480">
        <v>1</v>
      </c>
      <c r="F480" t="s">
        <v>408</v>
      </c>
      <c r="G480" t="s">
        <v>408</v>
      </c>
      <c r="H480" t="s">
        <v>408</v>
      </c>
      <c r="I480" t="s">
        <v>408</v>
      </c>
      <c r="K480">
        <v>30</v>
      </c>
      <c r="L480">
        <v>30</v>
      </c>
      <c r="O480">
        <v>2</v>
      </c>
      <c r="P480">
        <v>946</v>
      </c>
      <c r="Q480">
        <v>1022</v>
      </c>
      <c r="R480">
        <v>76</v>
      </c>
      <c r="S480">
        <v>4000</v>
      </c>
      <c r="T480">
        <v>304</v>
      </c>
      <c r="U480">
        <v>738</v>
      </c>
      <c r="V480">
        <v>741</v>
      </c>
      <c r="W480">
        <v>3</v>
      </c>
      <c r="X480">
        <v>35000</v>
      </c>
      <c r="Y480">
        <v>105000</v>
      </c>
      <c r="Z480">
        <v>2</v>
      </c>
      <c r="AA480">
        <v>30000</v>
      </c>
      <c r="AB480">
        <v>60000</v>
      </c>
      <c r="AC480">
        <v>1</v>
      </c>
      <c r="AD480">
        <v>100000</v>
      </c>
      <c r="AE480">
        <v>100000</v>
      </c>
      <c r="AL480">
        <v>1</v>
      </c>
      <c r="AM480">
        <v>60000</v>
      </c>
      <c r="AN480">
        <v>60</v>
      </c>
      <c r="AU480">
        <v>629</v>
      </c>
      <c r="AV480" t="s">
        <v>2159</v>
      </c>
      <c r="AX480" t="s">
        <v>2160</v>
      </c>
      <c r="AY480" t="s">
        <v>383</v>
      </c>
      <c r="AZ480">
        <v>0</v>
      </c>
    </row>
    <row r="481" spans="1:60">
      <c r="A481" t="s">
        <v>2161</v>
      </c>
      <c r="B481" t="s">
        <v>189</v>
      </c>
      <c r="C481">
        <v>402</v>
      </c>
      <c r="D481" t="s">
        <v>515</v>
      </c>
      <c r="E481">
        <v>1</v>
      </c>
      <c r="F481" t="s">
        <v>420</v>
      </c>
      <c r="G481" t="s">
        <v>420</v>
      </c>
      <c r="H481" t="s">
        <v>420</v>
      </c>
      <c r="I481" t="s">
        <v>420</v>
      </c>
      <c r="K481">
        <v>30</v>
      </c>
      <c r="L481">
        <v>30</v>
      </c>
      <c r="O481">
        <v>3</v>
      </c>
      <c r="P481">
        <v>1803</v>
      </c>
      <c r="Q481">
        <v>2064</v>
      </c>
      <c r="R481">
        <v>261</v>
      </c>
      <c r="S481">
        <v>4000</v>
      </c>
      <c r="T481" t="s">
        <v>2162</v>
      </c>
      <c r="W481">
        <v>3</v>
      </c>
      <c r="X481">
        <v>100000</v>
      </c>
      <c r="Y481">
        <v>300000</v>
      </c>
      <c r="Z481">
        <v>3</v>
      </c>
      <c r="AA481">
        <v>30000</v>
      </c>
      <c r="AB481">
        <v>90000</v>
      </c>
      <c r="AC481">
        <v>1</v>
      </c>
      <c r="AD481">
        <v>100000</v>
      </c>
      <c r="AE481">
        <v>100000</v>
      </c>
      <c r="AL481">
        <v>3</v>
      </c>
      <c r="AM481">
        <v>50000</v>
      </c>
      <c r="AN481">
        <v>150</v>
      </c>
      <c r="AU481" t="s">
        <v>1545</v>
      </c>
      <c r="AV481" t="s">
        <v>2163</v>
      </c>
      <c r="AX481" t="s">
        <v>2164</v>
      </c>
      <c r="AY481" t="s">
        <v>383</v>
      </c>
      <c r="AZ481">
        <v>0</v>
      </c>
    </row>
    <row r="482" spans="1:60">
      <c r="A482" t="s">
        <v>2165</v>
      </c>
      <c r="B482" t="s">
        <v>189</v>
      </c>
      <c r="C482">
        <v>501</v>
      </c>
      <c r="D482" t="s">
        <v>515</v>
      </c>
      <c r="E482">
        <v>1</v>
      </c>
      <c r="F482" t="s">
        <v>386</v>
      </c>
      <c r="G482" t="s">
        <v>789</v>
      </c>
      <c r="H482" t="s">
        <v>386</v>
      </c>
      <c r="I482" t="s">
        <v>386</v>
      </c>
      <c r="K482">
        <v>30</v>
      </c>
      <c r="L482">
        <v>30</v>
      </c>
      <c r="O482">
        <v>1</v>
      </c>
      <c r="P482">
        <v>1504</v>
      </c>
      <c r="Q482">
        <v>1637</v>
      </c>
      <c r="R482">
        <v>133</v>
      </c>
      <c r="S482">
        <v>4000</v>
      </c>
      <c r="T482">
        <v>532</v>
      </c>
      <c r="U482">
        <v>902</v>
      </c>
      <c r="V482">
        <v>904</v>
      </c>
      <c r="W482">
        <v>2</v>
      </c>
      <c r="X482">
        <v>35000</v>
      </c>
      <c r="Y482">
        <v>70000</v>
      </c>
      <c r="Z482">
        <v>1</v>
      </c>
      <c r="AA482">
        <v>30000</v>
      </c>
      <c r="AB482">
        <v>30000</v>
      </c>
      <c r="AC482">
        <v>1</v>
      </c>
      <c r="AD482">
        <v>100000</v>
      </c>
      <c r="AE482">
        <v>100000</v>
      </c>
      <c r="AL482">
        <v>1</v>
      </c>
      <c r="AM482">
        <v>60000</v>
      </c>
      <c r="AN482">
        <v>60</v>
      </c>
      <c r="AQ482">
        <v>0</v>
      </c>
      <c r="AU482">
        <v>792</v>
      </c>
      <c r="AV482" t="s">
        <v>2166</v>
      </c>
      <c r="AX482" t="s">
        <v>2167</v>
      </c>
      <c r="AY482" t="s">
        <v>383</v>
      </c>
      <c r="AZ482">
        <v>0</v>
      </c>
    </row>
    <row r="483" spans="1:60">
      <c r="A483" t="s">
        <v>2168</v>
      </c>
      <c r="B483" t="s">
        <v>243</v>
      </c>
      <c r="C483">
        <v>101</v>
      </c>
      <c r="D483" t="s">
        <v>974</v>
      </c>
      <c r="E483">
        <v>1</v>
      </c>
      <c r="F483" t="s">
        <v>395</v>
      </c>
      <c r="G483" t="s">
        <v>385</v>
      </c>
      <c r="H483" t="s">
        <v>395</v>
      </c>
      <c r="I483" t="s">
        <v>395</v>
      </c>
      <c r="K483">
        <v>30</v>
      </c>
      <c r="L483">
        <v>30</v>
      </c>
      <c r="O483">
        <v>2</v>
      </c>
      <c r="P483">
        <v>4186</v>
      </c>
      <c r="Q483">
        <v>4629</v>
      </c>
      <c r="R483">
        <v>443</v>
      </c>
      <c r="S483">
        <v>4000</v>
      </c>
      <c r="T483" t="s">
        <v>1982</v>
      </c>
      <c r="U483">
        <v>432</v>
      </c>
      <c r="V483">
        <v>444</v>
      </c>
      <c r="W483">
        <v>12</v>
      </c>
      <c r="X483">
        <v>35000</v>
      </c>
      <c r="Y483">
        <v>420000</v>
      </c>
      <c r="Z483">
        <v>2</v>
      </c>
      <c r="AA483">
        <v>60000</v>
      </c>
      <c r="AB483">
        <v>120000</v>
      </c>
      <c r="AC483">
        <v>1</v>
      </c>
      <c r="AD483">
        <v>100000</v>
      </c>
      <c r="AE483">
        <v>100000</v>
      </c>
      <c r="AH483">
        <v>0</v>
      </c>
      <c r="AK483">
        <v>0</v>
      </c>
      <c r="AN483">
        <v>0</v>
      </c>
      <c r="AQ483">
        <v>0</v>
      </c>
      <c r="AU483" t="s">
        <v>2169</v>
      </c>
      <c r="AV483" t="s">
        <v>2170</v>
      </c>
      <c r="AX483" t="s">
        <v>2171</v>
      </c>
      <c r="AY483" t="s">
        <v>383</v>
      </c>
      <c r="AZ483">
        <v>0</v>
      </c>
    </row>
    <row r="484" spans="1:60">
      <c r="A484" t="s">
        <v>2172</v>
      </c>
      <c r="B484" t="s">
        <v>243</v>
      </c>
      <c r="C484">
        <v>201</v>
      </c>
      <c r="D484" t="s">
        <v>974</v>
      </c>
      <c r="E484">
        <v>1</v>
      </c>
      <c r="F484" t="s">
        <v>376</v>
      </c>
      <c r="G484" t="s">
        <v>385</v>
      </c>
      <c r="H484" t="s">
        <v>376</v>
      </c>
      <c r="I484" t="s">
        <v>376</v>
      </c>
      <c r="K484">
        <v>30</v>
      </c>
      <c r="L484">
        <v>30</v>
      </c>
      <c r="O484">
        <v>2</v>
      </c>
      <c r="P484">
        <v>8128</v>
      </c>
      <c r="Q484">
        <v>8570</v>
      </c>
      <c r="R484">
        <v>442</v>
      </c>
      <c r="S484">
        <v>4000</v>
      </c>
      <c r="T484" t="s">
        <v>2173</v>
      </c>
      <c r="W484">
        <v>2</v>
      </c>
      <c r="X484">
        <v>120000</v>
      </c>
      <c r="Y484">
        <v>240000</v>
      </c>
      <c r="Z484">
        <v>2</v>
      </c>
      <c r="AA484">
        <v>30000</v>
      </c>
      <c r="AB484">
        <v>60000</v>
      </c>
      <c r="AC484">
        <v>1</v>
      </c>
      <c r="AD484">
        <v>100000</v>
      </c>
      <c r="AE484">
        <v>100000</v>
      </c>
      <c r="AF484">
        <v>2</v>
      </c>
      <c r="AG484">
        <v>50</v>
      </c>
      <c r="AH484">
        <v>100000</v>
      </c>
      <c r="AK484">
        <v>0</v>
      </c>
      <c r="AL484">
        <v>2</v>
      </c>
      <c r="AM484">
        <v>60000</v>
      </c>
      <c r="AN484">
        <v>120</v>
      </c>
      <c r="AQ484">
        <v>0</v>
      </c>
      <c r="AU484" t="s">
        <v>2174</v>
      </c>
      <c r="AV484" t="s">
        <v>2175</v>
      </c>
      <c r="AX484" t="s">
        <v>2176</v>
      </c>
      <c r="AY484" t="s">
        <v>383</v>
      </c>
      <c r="AZ484">
        <v>0</v>
      </c>
    </row>
    <row r="485" spans="1:60">
      <c r="A485" t="s">
        <v>2177</v>
      </c>
      <c r="B485" t="s">
        <v>243</v>
      </c>
      <c r="C485">
        <v>202</v>
      </c>
      <c r="D485" t="s">
        <v>974</v>
      </c>
      <c r="E485">
        <v>1</v>
      </c>
      <c r="F485" t="s">
        <v>377</v>
      </c>
      <c r="G485" t="s">
        <v>385</v>
      </c>
      <c r="H485" t="s">
        <v>377</v>
      </c>
      <c r="I485" t="s">
        <v>376</v>
      </c>
      <c r="K485">
        <v>30</v>
      </c>
      <c r="L485">
        <v>30</v>
      </c>
      <c r="O485">
        <v>1</v>
      </c>
      <c r="P485">
        <v>7293</v>
      </c>
      <c r="Q485">
        <v>7470</v>
      </c>
      <c r="R485">
        <v>177</v>
      </c>
      <c r="S485">
        <v>4000</v>
      </c>
      <c r="T485">
        <v>708</v>
      </c>
      <c r="W485">
        <v>1</v>
      </c>
      <c r="X485">
        <v>120000</v>
      </c>
      <c r="Y485">
        <v>120000</v>
      </c>
      <c r="AB485">
        <v>0</v>
      </c>
      <c r="AD485">
        <v>100000</v>
      </c>
      <c r="AE485">
        <v>0</v>
      </c>
      <c r="AF485">
        <v>1</v>
      </c>
      <c r="AG485">
        <v>50</v>
      </c>
      <c r="AH485">
        <v>50000</v>
      </c>
      <c r="AN485">
        <v>0</v>
      </c>
      <c r="AO485">
        <v>1</v>
      </c>
      <c r="AP485">
        <v>120000</v>
      </c>
      <c r="AQ485">
        <v>120000</v>
      </c>
      <c r="AU485">
        <v>998</v>
      </c>
      <c r="AV485" t="s">
        <v>2178</v>
      </c>
      <c r="AW485" t="s">
        <v>2179</v>
      </c>
      <c r="AX485" t="s">
        <v>2180</v>
      </c>
      <c r="AY485" t="s">
        <v>383</v>
      </c>
      <c r="AZ485">
        <v>0</v>
      </c>
    </row>
    <row r="486" spans="1:60">
      <c r="A486" t="s">
        <v>2181</v>
      </c>
      <c r="B486" t="s">
        <v>243</v>
      </c>
      <c r="C486">
        <v>203</v>
      </c>
      <c r="D486" t="s">
        <v>974</v>
      </c>
      <c r="E486">
        <v>1</v>
      </c>
      <c r="F486" t="s">
        <v>377</v>
      </c>
      <c r="G486" t="s">
        <v>400</v>
      </c>
      <c r="H486" t="s">
        <v>377</v>
      </c>
      <c r="I486" t="s">
        <v>377</v>
      </c>
      <c r="K486">
        <v>30</v>
      </c>
      <c r="L486">
        <v>30</v>
      </c>
      <c r="O486">
        <v>3</v>
      </c>
      <c r="P486">
        <v>5027</v>
      </c>
      <c r="Q486">
        <v>5236</v>
      </c>
      <c r="R486">
        <v>209</v>
      </c>
      <c r="S486">
        <v>4000</v>
      </c>
      <c r="T486">
        <v>836</v>
      </c>
      <c r="W486">
        <v>3</v>
      </c>
      <c r="X486">
        <v>120000</v>
      </c>
      <c r="Y486">
        <v>360000</v>
      </c>
      <c r="AB486">
        <v>0</v>
      </c>
      <c r="AC486">
        <v>1</v>
      </c>
      <c r="AD486">
        <v>100000</v>
      </c>
      <c r="AE486">
        <v>100000</v>
      </c>
      <c r="AF486">
        <v>3</v>
      </c>
      <c r="AG486">
        <v>50</v>
      </c>
      <c r="AH486">
        <v>150000</v>
      </c>
      <c r="AN486">
        <v>0</v>
      </c>
      <c r="AO486">
        <v>3</v>
      </c>
      <c r="AP486">
        <v>120000</v>
      </c>
      <c r="AQ486">
        <v>360000</v>
      </c>
      <c r="AU486" t="s">
        <v>2182</v>
      </c>
      <c r="AV486" t="s">
        <v>2183</v>
      </c>
      <c r="AX486" t="s">
        <v>2184</v>
      </c>
      <c r="AY486" t="s">
        <v>383</v>
      </c>
      <c r="AZ486">
        <v>0</v>
      </c>
    </row>
    <row r="487" spans="1:60">
      <c r="A487" t="s">
        <v>2185</v>
      </c>
      <c r="B487" t="s">
        <v>243</v>
      </c>
      <c r="C487">
        <v>301</v>
      </c>
      <c r="D487" t="s">
        <v>974</v>
      </c>
      <c r="E487">
        <v>1</v>
      </c>
      <c r="F487" t="s">
        <v>395</v>
      </c>
      <c r="G487" t="s">
        <v>385</v>
      </c>
      <c r="H487" t="s">
        <v>395</v>
      </c>
      <c r="I487" t="s">
        <v>395</v>
      </c>
      <c r="K487">
        <v>30</v>
      </c>
      <c r="L487">
        <v>30</v>
      </c>
      <c r="O487">
        <v>3</v>
      </c>
      <c r="P487">
        <v>6112</v>
      </c>
      <c r="Q487">
        <v>6491</v>
      </c>
      <c r="R487">
        <v>379</v>
      </c>
      <c r="S487">
        <v>4000</v>
      </c>
      <c r="T487" t="s">
        <v>1821</v>
      </c>
      <c r="W487">
        <v>3</v>
      </c>
      <c r="X487">
        <v>120000</v>
      </c>
      <c r="Y487">
        <v>360000</v>
      </c>
      <c r="AB487">
        <v>0</v>
      </c>
      <c r="AC487">
        <v>1</v>
      </c>
      <c r="AD487">
        <v>100000</v>
      </c>
      <c r="AE487">
        <v>100000</v>
      </c>
      <c r="AF487">
        <v>3</v>
      </c>
      <c r="AG487">
        <v>50</v>
      </c>
      <c r="AH487">
        <v>150000</v>
      </c>
      <c r="AK487">
        <v>0</v>
      </c>
      <c r="AN487">
        <v>0</v>
      </c>
      <c r="AO487">
        <v>3</v>
      </c>
      <c r="AP487">
        <v>120000</v>
      </c>
      <c r="AQ487">
        <v>360000</v>
      </c>
      <c r="AU487" t="s">
        <v>2186</v>
      </c>
      <c r="AV487" t="s">
        <v>2187</v>
      </c>
      <c r="AX487" t="s">
        <v>2188</v>
      </c>
      <c r="AY487" t="s">
        <v>383</v>
      </c>
      <c r="AZ487">
        <v>0</v>
      </c>
    </row>
    <row r="488" spans="1:60">
      <c r="A488" t="s">
        <v>2189</v>
      </c>
      <c r="B488" t="s">
        <v>243</v>
      </c>
      <c r="C488">
        <v>302</v>
      </c>
      <c r="D488" t="s">
        <v>974</v>
      </c>
      <c r="E488">
        <v>1</v>
      </c>
      <c r="F488" t="s">
        <v>385</v>
      </c>
      <c r="G488" t="s">
        <v>385</v>
      </c>
      <c r="H488" t="s">
        <v>385</v>
      </c>
      <c r="I488" t="s">
        <v>385</v>
      </c>
      <c r="K488">
        <v>30</v>
      </c>
      <c r="L488">
        <v>30</v>
      </c>
      <c r="O488">
        <v>1</v>
      </c>
      <c r="P488">
        <v>3703</v>
      </c>
      <c r="Q488">
        <v>3733</v>
      </c>
      <c r="R488">
        <v>30</v>
      </c>
      <c r="S488">
        <v>4000</v>
      </c>
      <c r="T488">
        <v>120</v>
      </c>
      <c r="U488">
        <v>163</v>
      </c>
      <c r="V488">
        <v>167</v>
      </c>
      <c r="W488">
        <v>4</v>
      </c>
      <c r="X488">
        <v>35000</v>
      </c>
      <c r="Y488">
        <v>140000</v>
      </c>
      <c r="AB488">
        <v>0</v>
      </c>
      <c r="AC488">
        <v>0</v>
      </c>
      <c r="AD488">
        <v>100000</v>
      </c>
      <c r="AE488">
        <v>0</v>
      </c>
      <c r="AF488">
        <v>1</v>
      </c>
      <c r="AG488">
        <v>50</v>
      </c>
      <c r="AH488">
        <v>50000</v>
      </c>
      <c r="AN488">
        <v>0</v>
      </c>
      <c r="AO488">
        <v>1</v>
      </c>
      <c r="AP488">
        <v>120000</v>
      </c>
      <c r="AQ488">
        <v>120000</v>
      </c>
      <c r="AU488">
        <v>430</v>
      </c>
      <c r="AV488" t="s">
        <v>2190</v>
      </c>
      <c r="AX488" t="s">
        <v>2191</v>
      </c>
      <c r="AY488" t="s">
        <v>383</v>
      </c>
      <c r="AZ488">
        <v>0</v>
      </c>
    </row>
    <row r="489" spans="1:60">
      <c r="A489" t="s">
        <v>2192</v>
      </c>
      <c r="B489" t="s">
        <v>243</v>
      </c>
      <c r="C489">
        <v>303</v>
      </c>
      <c r="D489" t="s">
        <v>974</v>
      </c>
      <c r="E489">
        <v>1</v>
      </c>
      <c r="F489" t="s">
        <v>377</v>
      </c>
      <c r="G489" t="s">
        <v>400</v>
      </c>
      <c r="H489" t="s">
        <v>377</v>
      </c>
      <c r="I489" t="s">
        <v>377</v>
      </c>
      <c r="K489">
        <v>30</v>
      </c>
      <c r="L489">
        <v>30</v>
      </c>
      <c r="O489">
        <v>2</v>
      </c>
      <c r="P489">
        <v>5588</v>
      </c>
      <c r="Q489">
        <v>5838</v>
      </c>
      <c r="R489">
        <v>250</v>
      </c>
      <c r="S489">
        <v>4000</v>
      </c>
      <c r="T489" t="s">
        <v>1918</v>
      </c>
      <c r="W489">
        <v>2</v>
      </c>
      <c r="X489">
        <v>120000</v>
      </c>
      <c r="Y489">
        <v>240000</v>
      </c>
      <c r="AB489">
        <v>0</v>
      </c>
      <c r="AC489">
        <v>1</v>
      </c>
      <c r="AD489">
        <v>100000</v>
      </c>
      <c r="AE489">
        <v>100000</v>
      </c>
      <c r="AF489">
        <v>2</v>
      </c>
      <c r="AG489">
        <v>50</v>
      </c>
      <c r="AH489">
        <v>100000</v>
      </c>
      <c r="AK489">
        <v>0</v>
      </c>
      <c r="AN489">
        <v>0</v>
      </c>
      <c r="AO489">
        <v>2</v>
      </c>
      <c r="AP489">
        <v>120000</v>
      </c>
      <c r="AQ489">
        <v>240000</v>
      </c>
      <c r="AU489" t="s">
        <v>791</v>
      </c>
      <c r="AV489" t="s">
        <v>2193</v>
      </c>
      <c r="AX489" t="s">
        <v>2194</v>
      </c>
      <c r="AY489" t="s">
        <v>522</v>
      </c>
      <c r="AZ489">
        <v>50</v>
      </c>
    </row>
    <row r="490" spans="1:60">
      <c r="A490" t="s">
        <v>2195</v>
      </c>
      <c r="B490" t="s">
        <v>243</v>
      </c>
      <c r="C490">
        <v>401</v>
      </c>
      <c r="D490" t="s">
        <v>974</v>
      </c>
      <c r="E490">
        <v>1</v>
      </c>
      <c r="F490" t="s">
        <v>277</v>
      </c>
      <c r="G490" t="s">
        <v>385</v>
      </c>
      <c r="H490" t="s">
        <v>277</v>
      </c>
      <c r="I490" t="s">
        <v>277</v>
      </c>
      <c r="K490">
        <v>30</v>
      </c>
      <c r="L490">
        <v>30</v>
      </c>
      <c r="O490">
        <v>2</v>
      </c>
      <c r="P490">
        <v>6499</v>
      </c>
      <c r="Q490">
        <v>6694</v>
      </c>
      <c r="R490">
        <v>195</v>
      </c>
      <c r="S490">
        <v>4000</v>
      </c>
      <c r="T490">
        <v>780</v>
      </c>
      <c r="U490">
        <v>256</v>
      </c>
      <c r="V490">
        <v>261</v>
      </c>
      <c r="W490">
        <v>5</v>
      </c>
      <c r="X490">
        <v>35000</v>
      </c>
      <c r="Y490">
        <v>175000</v>
      </c>
      <c r="AB490">
        <v>0</v>
      </c>
      <c r="AC490">
        <v>1</v>
      </c>
      <c r="AD490">
        <v>100000</v>
      </c>
      <c r="AE490">
        <v>100000</v>
      </c>
      <c r="AF490">
        <v>2</v>
      </c>
      <c r="AG490">
        <v>50</v>
      </c>
      <c r="AH490">
        <v>100000</v>
      </c>
      <c r="AN490">
        <v>0</v>
      </c>
      <c r="AO490">
        <v>2</v>
      </c>
      <c r="AP490">
        <v>120000</v>
      </c>
      <c r="AQ490">
        <v>240000</v>
      </c>
      <c r="AU490" t="s">
        <v>2196</v>
      </c>
      <c r="AV490" t="s">
        <v>2197</v>
      </c>
      <c r="AX490" t="s">
        <v>2198</v>
      </c>
      <c r="AY490" t="s">
        <v>383</v>
      </c>
      <c r="AZ490">
        <v>0</v>
      </c>
    </row>
    <row r="491" spans="1:60">
      <c r="A491" t="s">
        <v>2199</v>
      </c>
      <c r="B491" t="s">
        <v>243</v>
      </c>
      <c r="C491">
        <v>402</v>
      </c>
      <c r="D491" t="s">
        <v>974</v>
      </c>
      <c r="E491">
        <v>1</v>
      </c>
      <c r="F491" t="s">
        <v>377</v>
      </c>
      <c r="G491" t="s">
        <v>385</v>
      </c>
      <c r="H491" t="s">
        <v>377</v>
      </c>
      <c r="I491" t="s">
        <v>377</v>
      </c>
      <c r="K491">
        <v>30</v>
      </c>
      <c r="L491">
        <v>30</v>
      </c>
      <c r="O491">
        <v>3</v>
      </c>
      <c r="P491">
        <v>4982</v>
      </c>
      <c r="Q491">
        <v>5348</v>
      </c>
      <c r="R491">
        <v>366</v>
      </c>
      <c r="S491">
        <v>4000</v>
      </c>
      <c r="T491" t="s">
        <v>939</v>
      </c>
      <c r="W491">
        <v>1</v>
      </c>
      <c r="X491">
        <v>120</v>
      </c>
      <c r="Y491">
        <v>120000</v>
      </c>
      <c r="AB491">
        <v>0</v>
      </c>
      <c r="AC491">
        <v>1</v>
      </c>
      <c r="AD491">
        <v>100000</v>
      </c>
      <c r="AE491">
        <v>100000</v>
      </c>
      <c r="AF491">
        <v>3</v>
      </c>
      <c r="AG491">
        <v>50</v>
      </c>
      <c r="AH491">
        <v>150000</v>
      </c>
      <c r="AN491">
        <v>0</v>
      </c>
      <c r="AO491">
        <v>3</v>
      </c>
      <c r="AP491">
        <v>120000</v>
      </c>
      <c r="AQ491">
        <v>360000</v>
      </c>
      <c r="AU491" t="s">
        <v>2200</v>
      </c>
      <c r="AV491" t="s">
        <v>2201</v>
      </c>
      <c r="AX491" t="s">
        <v>2202</v>
      </c>
      <c r="AY491" t="s">
        <v>383</v>
      </c>
      <c r="AZ491">
        <v>0</v>
      </c>
      <c r="BH491">
        <v>0</v>
      </c>
    </row>
    <row r="492" spans="1:60">
      <c r="A492" t="s">
        <v>2203</v>
      </c>
      <c r="B492" t="s">
        <v>243</v>
      </c>
      <c r="C492">
        <v>403</v>
      </c>
      <c r="D492" t="s">
        <v>974</v>
      </c>
      <c r="E492">
        <v>1</v>
      </c>
      <c r="F492" t="s">
        <v>386</v>
      </c>
      <c r="G492" t="s">
        <v>400</v>
      </c>
      <c r="H492" t="s">
        <v>386</v>
      </c>
      <c r="I492" t="s">
        <v>386</v>
      </c>
      <c r="J492" t="s">
        <v>386</v>
      </c>
      <c r="K492">
        <v>30</v>
      </c>
      <c r="L492">
        <v>30</v>
      </c>
      <c r="O492">
        <v>1</v>
      </c>
      <c r="P492">
        <v>6407</v>
      </c>
      <c r="Q492">
        <v>6407</v>
      </c>
      <c r="R492">
        <v>0</v>
      </c>
      <c r="S492">
        <v>4000</v>
      </c>
      <c r="T492">
        <v>0</v>
      </c>
      <c r="U492">
        <v>160</v>
      </c>
      <c r="V492">
        <v>160</v>
      </c>
      <c r="W492">
        <v>0</v>
      </c>
      <c r="X492">
        <v>35000</v>
      </c>
      <c r="Y492">
        <v>0</v>
      </c>
      <c r="AB492">
        <v>0</v>
      </c>
      <c r="AC492">
        <v>1</v>
      </c>
      <c r="AD492">
        <v>100000</v>
      </c>
      <c r="AE492">
        <v>100000</v>
      </c>
      <c r="AF492">
        <v>1</v>
      </c>
      <c r="AG492">
        <v>50</v>
      </c>
      <c r="AH492">
        <v>50000</v>
      </c>
      <c r="AN492">
        <v>0</v>
      </c>
      <c r="AO492">
        <v>1</v>
      </c>
      <c r="AP492">
        <v>70000</v>
      </c>
      <c r="AQ492">
        <v>70000</v>
      </c>
      <c r="AU492">
        <v>220</v>
      </c>
      <c r="AV492" t="s">
        <v>2204</v>
      </c>
      <c r="AW492" t="s">
        <v>2205</v>
      </c>
      <c r="AX492" t="s">
        <v>2206</v>
      </c>
      <c r="AY492" t="s">
        <v>383</v>
      </c>
      <c r="AZ492">
        <v>0</v>
      </c>
      <c r="BA492" s="1">
        <v>46031</v>
      </c>
      <c r="BB492" t="s">
        <v>474</v>
      </c>
      <c r="BC492" t="s">
        <v>475</v>
      </c>
    </row>
    <row r="493" spans="1:60">
      <c r="A493" t="s">
        <v>2207</v>
      </c>
      <c r="B493" t="s">
        <v>243</v>
      </c>
      <c r="C493">
        <v>501</v>
      </c>
      <c r="D493" t="s">
        <v>974</v>
      </c>
      <c r="E493">
        <v>1</v>
      </c>
      <c r="F493" t="s">
        <v>552</v>
      </c>
      <c r="G493" t="s">
        <v>385</v>
      </c>
      <c r="H493" t="s">
        <v>552</v>
      </c>
      <c r="I493" t="s">
        <v>552</v>
      </c>
      <c r="K493">
        <v>30</v>
      </c>
      <c r="L493">
        <v>30</v>
      </c>
      <c r="O493">
        <v>2</v>
      </c>
      <c r="P493">
        <v>3367</v>
      </c>
      <c r="Q493">
        <v>3716</v>
      </c>
      <c r="R493">
        <v>349</v>
      </c>
      <c r="S493">
        <v>4000</v>
      </c>
      <c r="T493" t="s">
        <v>2208</v>
      </c>
      <c r="W493">
        <v>2</v>
      </c>
      <c r="X493">
        <v>120000</v>
      </c>
      <c r="Y493">
        <v>240000</v>
      </c>
      <c r="AB493">
        <v>0</v>
      </c>
      <c r="AC493">
        <v>1</v>
      </c>
      <c r="AD493">
        <v>100000</v>
      </c>
      <c r="AE493">
        <v>100000</v>
      </c>
      <c r="AF493">
        <v>2</v>
      </c>
      <c r="AG493">
        <v>50</v>
      </c>
      <c r="AH493">
        <v>100000</v>
      </c>
      <c r="AN493">
        <v>0</v>
      </c>
      <c r="AO493">
        <v>2</v>
      </c>
      <c r="AP493">
        <v>120000</v>
      </c>
      <c r="AQ493">
        <v>240000</v>
      </c>
      <c r="AU493" t="s">
        <v>1279</v>
      </c>
      <c r="AV493" t="s">
        <v>1280</v>
      </c>
      <c r="AW493" t="s">
        <v>2209</v>
      </c>
      <c r="AX493" t="s">
        <v>1271</v>
      </c>
      <c r="AY493" t="s">
        <v>417</v>
      </c>
      <c r="AZ493">
        <v>-100</v>
      </c>
    </row>
    <row r="494" spans="1:60">
      <c r="A494" t="s">
        <v>2210</v>
      </c>
      <c r="B494" t="s">
        <v>243</v>
      </c>
      <c r="C494">
        <v>502</v>
      </c>
      <c r="D494" t="s">
        <v>974</v>
      </c>
      <c r="E494">
        <v>1</v>
      </c>
      <c r="F494" t="s">
        <v>400</v>
      </c>
      <c r="G494" t="s">
        <v>385</v>
      </c>
      <c r="H494" t="s">
        <v>400</v>
      </c>
      <c r="I494" t="s">
        <v>385</v>
      </c>
      <c r="K494">
        <v>30</v>
      </c>
      <c r="L494">
        <v>30</v>
      </c>
      <c r="O494">
        <v>1</v>
      </c>
      <c r="P494">
        <v>7325</v>
      </c>
      <c r="Q494">
        <v>7542</v>
      </c>
      <c r="R494">
        <v>217</v>
      </c>
      <c r="S494">
        <v>4000</v>
      </c>
      <c r="T494">
        <v>868</v>
      </c>
      <c r="W494">
        <v>1</v>
      </c>
      <c r="X494">
        <v>100000</v>
      </c>
      <c r="Y494">
        <v>100000</v>
      </c>
      <c r="Z494">
        <v>1</v>
      </c>
      <c r="AA494">
        <v>30000</v>
      </c>
      <c r="AB494">
        <v>30000</v>
      </c>
      <c r="AC494">
        <v>1</v>
      </c>
      <c r="AD494">
        <v>100000</v>
      </c>
      <c r="AE494">
        <v>100000</v>
      </c>
      <c r="AF494">
        <v>1</v>
      </c>
      <c r="AG494">
        <v>50</v>
      </c>
      <c r="AH494">
        <v>50000</v>
      </c>
      <c r="AK494">
        <v>0</v>
      </c>
      <c r="AL494">
        <v>1</v>
      </c>
      <c r="AM494">
        <v>60000</v>
      </c>
      <c r="AN494">
        <v>60</v>
      </c>
      <c r="AU494" t="s">
        <v>1734</v>
      </c>
      <c r="AV494" t="s">
        <v>2211</v>
      </c>
      <c r="AX494" t="s">
        <v>2212</v>
      </c>
      <c r="AY494" t="s">
        <v>383</v>
      </c>
      <c r="AZ494">
        <v>0</v>
      </c>
    </row>
    <row r="495" spans="1:60">
      <c r="A495" t="s">
        <v>2213</v>
      </c>
      <c r="B495" t="s">
        <v>243</v>
      </c>
      <c r="C495">
        <v>503</v>
      </c>
      <c r="D495" t="s">
        <v>974</v>
      </c>
      <c r="E495">
        <v>1</v>
      </c>
      <c r="F495" t="s">
        <v>426</v>
      </c>
      <c r="G495" t="s">
        <v>400</v>
      </c>
      <c r="H495" t="s">
        <v>426</v>
      </c>
      <c r="I495" t="s">
        <v>426</v>
      </c>
      <c r="K495">
        <v>30</v>
      </c>
      <c r="L495">
        <v>30</v>
      </c>
      <c r="O495">
        <v>2</v>
      </c>
      <c r="P495">
        <v>5081</v>
      </c>
      <c r="Q495">
        <v>5312</v>
      </c>
      <c r="R495">
        <v>231</v>
      </c>
      <c r="S495">
        <v>4000</v>
      </c>
      <c r="T495">
        <v>924</v>
      </c>
      <c r="U495">
        <v>194</v>
      </c>
      <c r="V495">
        <v>199</v>
      </c>
      <c r="W495">
        <v>5</v>
      </c>
      <c r="X495">
        <v>35000</v>
      </c>
      <c r="Y495">
        <v>175000</v>
      </c>
      <c r="AB495">
        <v>0</v>
      </c>
      <c r="AD495">
        <v>100000</v>
      </c>
      <c r="AE495">
        <v>0</v>
      </c>
      <c r="AF495">
        <v>2</v>
      </c>
      <c r="AG495">
        <v>50</v>
      </c>
      <c r="AH495">
        <v>100000</v>
      </c>
      <c r="AN495">
        <v>0</v>
      </c>
      <c r="AO495">
        <v>2</v>
      </c>
      <c r="AP495">
        <v>120000</v>
      </c>
      <c r="AQ495">
        <v>240000</v>
      </c>
      <c r="AU495" t="s">
        <v>2214</v>
      </c>
      <c r="AV495" t="s">
        <v>2215</v>
      </c>
      <c r="AX495" t="s">
        <v>2216</v>
      </c>
      <c r="AY495" t="s">
        <v>383</v>
      </c>
      <c r="AZ495">
        <v>0</v>
      </c>
    </row>
    <row r="496" spans="1:60">
      <c r="A496" t="s">
        <v>2217</v>
      </c>
      <c r="B496" t="s">
        <v>243</v>
      </c>
      <c r="C496">
        <v>601</v>
      </c>
      <c r="D496" t="s">
        <v>974</v>
      </c>
      <c r="E496">
        <v>1</v>
      </c>
      <c r="F496" t="s">
        <v>426</v>
      </c>
      <c r="G496" t="s">
        <v>385</v>
      </c>
      <c r="H496" t="s">
        <v>426</v>
      </c>
      <c r="I496" t="s">
        <v>426</v>
      </c>
      <c r="K496">
        <v>30</v>
      </c>
      <c r="L496">
        <v>30</v>
      </c>
      <c r="O496">
        <v>1</v>
      </c>
      <c r="P496">
        <v>5139</v>
      </c>
      <c r="Q496">
        <v>5194</v>
      </c>
      <c r="R496">
        <v>55</v>
      </c>
      <c r="S496">
        <v>4000</v>
      </c>
      <c r="T496">
        <v>220</v>
      </c>
      <c r="W496">
        <v>1</v>
      </c>
      <c r="X496">
        <v>120000</v>
      </c>
      <c r="Y496">
        <v>120000</v>
      </c>
      <c r="AB496">
        <v>0</v>
      </c>
      <c r="AC496">
        <v>1</v>
      </c>
      <c r="AD496">
        <v>100000</v>
      </c>
      <c r="AE496">
        <v>100000</v>
      </c>
      <c r="AF496">
        <v>1</v>
      </c>
      <c r="AG496">
        <v>50</v>
      </c>
      <c r="AH496">
        <v>50000</v>
      </c>
      <c r="AN496">
        <v>0</v>
      </c>
      <c r="AO496">
        <v>1</v>
      </c>
      <c r="AP496">
        <v>120000</v>
      </c>
      <c r="AQ496">
        <v>120000</v>
      </c>
      <c r="AU496">
        <v>610</v>
      </c>
      <c r="AV496" t="s">
        <v>2218</v>
      </c>
      <c r="AX496" t="s">
        <v>2219</v>
      </c>
      <c r="AY496" t="s">
        <v>383</v>
      </c>
      <c r="AZ496">
        <v>0</v>
      </c>
    </row>
    <row r="497" spans="1:52">
      <c r="A497" t="s">
        <v>2220</v>
      </c>
      <c r="B497" t="s">
        <v>243</v>
      </c>
      <c r="C497">
        <v>602</v>
      </c>
      <c r="D497" t="s">
        <v>974</v>
      </c>
      <c r="E497">
        <v>1</v>
      </c>
      <c r="F497" t="s">
        <v>377</v>
      </c>
      <c r="G497" t="s">
        <v>385</v>
      </c>
      <c r="H497" t="s">
        <v>377</v>
      </c>
      <c r="I497" t="s">
        <v>377</v>
      </c>
      <c r="K497">
        <v>30</v>
      </c>
      <c r="L497">
        <v>30</v>
      </c>
      <c r="O497">
        <v>3</v>
      </c>
      <c r="P497">
        <v>7475</v>
      </c>
      <c r="Q497">
        <v>7673</v>
      </c>
      <c r="R497">
        <v>198</v>
      </c>
      <c r="S497">
        <v>4000</v>
      </c>
      <c r="T497">
        <v>792</v>
      </c>
      <c r="W497">
        <v>3</v>
      </c>
      <c r="X497">
        <v>100000</v>
      </c>
      <c r="Y497">
        <v>300000</v>
      </c>
      <c r="Z497">
        <v>3</v>
      </c>
      <c r="AA497">
        <v>30000</v>
      </c>
      <c r="AB497">
        <v>90000</v>
      </c>
      <c r="AC497">
        <v>1</v>
      </c>
      <c r="AD497">
        <v>100000</v>
      </c>
      <c r="AE497">
        <v>100000</v>
      </c>
      <c r="AF497">
        <v>3</v>
      </c>
      <c r="AG497">
        <v>50</v>
      </c>
      <c r="AH497">
        <v>150000</v>
      </c>
      <c r="AK497">
        <v>0</v>
      </c>
      <c r="AL497">
        <v>3</v>
      </c>
      <c r="AM497">
        <v>60000</v>
      </c>
      <c r="AN497">
        <v>180</v>
      </c>
      <c r="AQ497">
        <v>0</v>
      </c>
      <c r="AU497" t="s">
        <v>1274</v>
      </c>
      <c r="AV497" t="s">
        <v>2221</v>
      </c>
      <c r="AX497" t="s">
        <v>2222</v>
      </c>
      <c r="AY497" t="s">
        <v>383</v>
      </c>
      <c r="AZ497">
        <v>0</v>
      </c>
    </row>
    <row r="498" spans="1:52">
      <c r="A498" t="s">
        <v>2223</v>
      </c>
      <c r="B498" t="s">
        <v>243</v>
      </c>
      <c r="C498">
        <v>603</v>
      </c>
      <c r="D498" t="s">
        <v>974</v>
      </c>
      <c r="E498">
        <v>1</v>
      </c>
      <c r="F498" t="s">
        <v>376</v>
      </c>
      <c r="G498" t="s">
        <v>400</v>
      </c>
      <c r="H498" t="s">
        <v>376</v>
      </c>
      <c r="I498" t="s">
        <v>376</v>
      </c>
      <c r="K498">
        <v>30</v>
      </c>
      <c r="L498">
        <v>30</v>
      </c>
      <c r="O498">
        <v>3</v>
      </c>
      <c r="P498">
        <v>7243</v>
      </c>
      <c r="Q498">
        <v>7465</v>
      </c>
      <c r="R498">
        <v>222</v>
      </c>
      <c r="S498">
        <v>4000</v>
      </c>
      <c r="T498">
        <v>888</v>
      </c>
      <c r="U498">
        <v>369</v>
      </c>
      <c r="V498">
        <v>369</v>
      </c>
      <c r="W498">
        <v>0</v>
      </c>
      <c r="X498">
        <v>35000</v>
      </c>
      <c r="Y498">
        <v>0</v>
      </c>
      <c r="AB498">
        <v>0</v>
      </c>
      <c r="AC498">
        <v>1</v>
      </c>
      <c r="AD498">
        <v>100000</v>
      </c>
      <c r="AE498">
        <v>100000</v>
      </c>
      <c r="AF498">
        <v>3</v>
      </c>
      <c r="AG498">
        <v>50</v>
      </c>
      <c r="AH498">
        <v>150000</v>
      </c>
      <c r="AO498">
        <v>3</v>
      </c>
      <c r="AP498">
        <v>120000</v>
      </c>
      <c r="AQ498">
        <v>360000</v>
      </c>
      <c r="AU498" t="s">
        <v>2224</v>
      </c>
      <c r="AV498" t="s">
        <v>2225</v>
      </c>
      <c r="AX498" t="s">
        <v>2226</v>
      </c>
      <c r="AY498" t="s">
        <v>383</v>
      </c>
      <c r="AZ498">
        <v>0</v>
      </c>
    </row>
    <row r="499" spans="1:52">
      <c r="A499" t="s">
        <v>2227</v>
      </c>
      <c r="B499" t="s">
        <v>232</v>
      </c>
      <c r="C499">
        <v>101</v>
      </c>
      <c r="D499" t="s">
        <v>795</v>
      </c>
      <c r="E499">
        <v>1</v>
      </c>
      <c r="K499">
        <v>30</v>
      </c>
      <c r="L499">
        <v>30</v>
      </c>
      <c r="O499">
        <v>3</v>
      </c>
      <c r="P499">
        <v>2795</v>
      </c>
      <c r="Q499">
        <v>2819</v>
      </c>
      <c r="R499">
        <v>24</v>
      </c>
      <c r="S499">
        <v>4</v>
      </c>
      <c r="T499">
        <v>96</v>
      </c>
      <c r="U499">
        <v>407</v>
      </c>
      <c r="V499">
        <v>409</v>
      </c>
      <c r="W499">
        <v>2</v>
      </c>
      <c r="X499">
        <v>30000</v>
      </c>
      <c r="Y499">
        <v>60000</v>
      </c>
      <c r="Z499">
        <v>1</v>
      </c>
      <c r="AA499">
        <v>30000</v>
      </c>
      <c r="AB499">
        <v>30000</v>
      </c>
      <c r="AC499">
        <v>0</v>
      </c>
      <c r="AD499">
        <v>90000</v>
      </c>
      <c r="AE499">
        <v>0</v>
      </c>
      <c r="AF499">
        <v>0</v>
      </c>
      <c r="AG499">
        <v>40000</v>
      </c>
      <c r="AH499">
        <v>0</v>
      </c>
      <c r="AL499">
        <v>0</v>
      </c>
      <c r="AM499">
        <v>60000</v>
      </c>
      <c r="AN499">
        <v>0</v>
      </c>
      <c r="AU499">
        <v>186</v>
      </c>
      <c r="AV499">
        <v>186</v>
      </c>
      <c r="AX499">
        <v>186</v>
      </c>
      <c r="AY499" t="s">
        <v>383</v>
      </c>
      <c r="AZ499">
        <v>0</v>
      </c>
    </row>
    <row r="500" spans="1:52">
      <c r="A500" t="s">
        <v>2228</v>
      </c>
      <c r="B500" t="s">
        <v>232</v>
      </c>
      <c r="C500">
        <v>102</v>
      </c>
      <c r="D500" t="s">
        <v>795</v>
      </c>
      <c r="E500">
        <v>1</v>
      </c>
      <c r="F500" t="s">
        <v>1755</v>
      </c>
      <c r="G500" t="s">
        <v>609</v>
      </c>
      <c r="H500" t="s">
        <v>1755</v>
      </c>
      <c r="I500" t="s">
        <v>1755</v>
      </c>
      <c r="K500">
        <v>30</v>
      </c>
      <c r="L500">
        <v>30</v>
      </c>
      <c r="O500">
        <v>1</v>
      </c>
      <c r="P500">
        <v>9194</v>
      </c>
      <c r="Q500">
        <v>9327</v>
      </c>
      <c r="R500">
        <v>133</v>
      </c>
      <c r="S500">
        <v>4</v>
      </c>
      <c r="T500">
        <v>532</v>
      </c>
      <c r="W500">
        <v>1</v>
      </c>
      <c r="X500">
        <v>120000</v>
      </c>
      <c r="Y500">
        <v>120000</v>
      </c>
      <c r="AB500">
        <v>0</v>
      </c>
      <c r="AC500">
        <v>1</v>
      </c>
      <c r="AD500">
        <v>100000</v>
      </c>
      <c r="AE500">
        <v>100000</v>
      </c>
      <c r="AH500">
        <v>0</v>
      </c>
      <c r="AI500">
        <v>1</v>
      </c>
      <c r="AJ500">
        <v>150000</v>
      </c>
      <c r="AK500">
        <v>150000</v>
      </c>
      <c r="AN500">
        <v>0</v>
      </c>
      <c r="AO500">
        <v>1</v>
      </c>
      <c r="AP500">
        <v>120000</v>
      </c>
      <c r="AQ500">
        <v>120000</v>
      </c>
      <c r="AU500" t="s">
        <v>2229</v>
      </c>
      <c r="AV500" t="s">
        <v>2230</v>
      </c>
      <c r="AX500" t="s">
        <v>2231</v>
      </c>
      <c r="AY500" t="s">
        <v>383</v>
      </c>
      <c r="AZ500">
        <v>0</v>
      </c>
    </row>
    <row r="501" spans="1:52">
      <c r="A501" t="s">
        <v>2232</v>
      </c>
      <c r="B501" t="s">
        <v>232</v>
      </c>
      <c r="C501">
        <v>201</v>
      </c>
      <c r="D501" t="s">
        <v>795</v>
      </c>
      <c r="E501">
        <v>1</v>
      </c>
      <c r="F501" t="s">
        <v>1755</v>
      </c>
      <c r="G501" t="s">
        <v>609</v>
      </c>
      <c r="H501" t="s">
        <v>1755</v>
      </c>
      <c r="I501" t="s">
        <v>1755</v>
      </c>
      <c r="K501">
        <v>30</v>
      </c>
      <c r="L501">
        <v>30</v>
      </c>
      <c r="O501">
        <v>1</v>
      </c>
      <c r="P501">
        <v>7458</v>
      </c>
      <c r="Q501">
        <v>7576</v>
      </c>
      <c r="R501">
        <v>118</v>
      </c>
      <c r="S501">
        <v>4</v>
      </c>
      <c r="T501">
        <v>472</v>
      </c>
      <c r="W501">
        <v>1</v>
      </c>
      <c r="X501">
        <v>120000</v>
      </c>
      <c r="Y501">
        <v>120000</v>
      </c>
      <c r="AB501">
        <v>0</v>
      </c>
      <c r="AC501">
        <v>1</v>
      </c>
      <c r="AD501">
        <v>100000</v>
      </c>
      <c r="AE501">
        <v>100000</v>
      </c>
      <c r="AH501">
        <v>0</v>
      </c>
      <c r="AN501">
        <v>0</v>
      </c>
      <c r="AO501">
        <v>1</v>
      </c>
      <c r="AP501">
        <v>120000</v>
      </c>
      <c r="AQ501">
        <v>120000</v>
      </c>
      <c r="AU501">
        <v>812</v>
      </c>
      <c r="AV501" t="s">
        <v>2233</v>
      </c>
      <c r="AX501" t="s">
        <v>2234</v>
      </c>
      <c r="AY501" t="s">
        <v>383</v>
      </c>
      <c r="AZ501">
        <v>0</v>
      </c>
    </row>
    <row r="502" spans="1:52">
      <c r="A502" t="s">
        <v>2235</v>
      </c>
      <c r="B502" t="s">
        <v>232</v>
      </c>
      <c r="C502">
        <v>202</v>
      </c>
      <c r="D502" t="s">
        <v>795</v>
      </c>
      <c r="E502">
        <v>1</v>
      </c>
      <c r="F502" t="s">
        <v>277</v>
      </c>
      <c r="G502" t="s">
        <v>609</v>
      </c>
      <c r="H502" t="s">
        <v>277</v>
      </c>
      <c r="I502" t="s">
        <v>277</v>
      </c>
      <c r="K502">
        <v>30</v>
      </c>
      <c r="L502">
        <v>30</v>
      </c>
      <c r="O502">
        <v>1</v>
      </c>
      <c r="P502">
        <v>13122</v>
      </c>
      <c r="Q502">
        <v>13515</v>
      </c>
      <c r="R502">
        <v>393</v>
      </c>
      <c r="S502">
        <v>4</v>
      </c>
      <c r="T502" t="s">
        <v>2236</v>
      </c>
      <c r="W502">
        <v>1</v>
      </c>
      <c r="X502">
        <v>120000</v>
      </c>
      <c r="Y502">
        <v>120000</v>
      </c>
      <c r="AB502">
        <v>0</v>
      </c>
      <c r="AC502">
        <v>1</v>
      </c>
      <c r="AD502">
        <v>100000</v>
      </c>
      <c r="AE502">
        <v>100000</v>
      </c>
      <c r="AG502">
        <v>50000</v>
      </c>
      <c r="AH502">
        <v>0</v>
      </c>
      <c r="AM502">
        <v>60000</v>
      </c>
      <c r="AN502">
        <v>0</v>
      </c>
      <c r="AO502">
        <v>1</v>
      </c>
      <c r="AP502">
        <v>120000</v>
      </c>
      <c r="AQ502">
        <v>120000</v>
      </c>
      <c r="AU502" t="s">
        <v>2237</v>
      </c>
      <c r="AV502" t="s">
        <v>2238</v>
      </c>
      <c r="AX502" t="s">
        <v>2239</v>
      </c>
      <c r="AY502" t="s">
        <v>383</v>
      </c>
      <c r="AZ502">
        <v>0</v>
      </c>
    </row>
    <row r="503" spans="1:52">
      <c r="A503" t="s">
        <v>2240</v>
      </c>
      <c r="B503" t="s">
        <v>232</v>
      </c>
      <c r="C503">
        <v>301</v>
      </c>
      <c r="D503" t="s">
        <v>795</v>
      </c>
      <c r="E503">
        <v>1</v>
      </c>
      <c r="F503" t="s">
        <v>395</v>
      </c>
      <c r="G503" t="s">
        <v>609</v>
      </c>
      <c r="H503" t="s">
        <v>395</v>
      </c>
      <c r="I503" t="s">
        <v>395</v>
      </c>
      <c r="J503" t="s">
        <v>395</v>
      </c>
      <c r="K503">
        <v>30</v>
      </c>
      <c r="L503">
        <v>30</v>
      </c>
      <c r="O503">
        <v>2</v>
      </c>
      <c r="P503">
        <v>8663</v>
      </c>
      <c r="Q503">
        <v>8663</v>
      </c>
      <c r="R503">
        <v>0</v>
      </c>
      <c r="S503">
        <v>4</v>
      </c>
      <c r="T503">
        <v>0</v>
      </c>
      <c r="U503">
        <v>541</v>
      </c>
      <c r="V503">
        <v>541</v>
      </c>
      <c r="W503">
        <v>0</v>
      </c>
      <c r="X503">
        <v>35000</v>
      </c>
      <c r="Y503">
        <v>0</v>
      </c>
      <c r="AB503">
        <v>0</v>
      </c>
      <c r="AD503">
        <v>100000</v>
      </c>
      <c r="AE503">
        <v>0</v>
      </c>
      <c r="AF503">
        <v>2</v>
      </c>
      <c r="AG503">
        <v>60000</v>
      </c>
      <c r="AH503">
        <v>120000</v>
      </c>
      <c r="AN503">
        <v>0</v>
      </c>
      <c r="AO503">
        <v>2</v>
      </c>
      <c r="AP503">
        <v>120000</v>
      </c>
      <c r="AQ503">
        <v>240000</v>
      </c>
      <c r="AU503">
        <v>360</v>
      </c>
      <c r="AV503" t="s">
        <v>1920</v>
      </c>
      <c r="AW503" t="s">
        <v>2241</v>
      </c>
      <c r="AX503" t="s">
        <v>433</v>
      </c>
      <c r="AY503" t="s">
        <v>417</v>
      </c>
      <c r="AZ503">
        <v>-120</v>
      </c>
    </row>
    <row r="504" spans="1:52">
      <c r="A504" t="s">
        <v>2242</v>
      </c>
      <c r="B504" t="s">
        <v>232</v>
      </c>
      <c r="C504">
        <v>302</v>
      </c>
      <c r="D504" t="s">
        <v>795</v>
      </c>
      <c r="E504">
        <v>1</v>
      </c>
      <c r="F504" t="s">
        <v>609</v>
      </c>
      <c r="G504" t="s">
        <v>609</v>
      </c>
      <c r="H504" t="s">
        <v>609</v>
      </c>
      <c r="I504" t="s">
        <v>609</v>
      </c>
      <c r="J504">
        <v>400</v>
      </c>
      <c r="K504">
        <v>30</v>
      </c>
      <c r="L504">
        <v>30</v>
      </c>
      <c r="O504">
        <v>2</v>
      </c>
      <c r="P504">
        <v>8243</v>
      </c>
      <c r="Q504">
        <v>8270</v>
      </c>
      <c r="R504">
        <v>27</v>
      </c>
      <c r="S504">
        <v>4</v>
      </c>
      <c r="T504">
        <v>108</v>
      </c>
      <c r="W504">
        <v>2</v>
      </c>
      <c r="X504">
        <v>120000</v>
      </c>
      <c r="Y504">
        <v>240000</v>
      </c>
      <c r="AB504">
        <v>0</v>
      </c>
      <c r="AC504">
        <v>1</v>
      </c>
      <c r="AD504">
        <v>100000</v>
      </c>
      <c r="AE504">
        <v>100000</v>
      </c>
      <c r="AF504">
        <v>2</v>
      </c>
      <c r="AG504">
        <v>60000</v>
      </c>
      <c r="AH504">
        <v>120000</v>
      </c>
      <c r="AL504">
        <v>0</v>
      </c>
      <c r="AM504">
        <v>60000</v>
      </c>
      <c r="AN504">
        <v>0</v>
      </c>
      <c r="AO504">
        <v>2</v>
      </c>
      <c r="AP504">
        <v>120000</v>
      </c>
      <c r="AQ504">
        <v>240000</v>
      </c>
      <c r="AU504">
        <v>808</v>
      </c>
      <c r="AV504" t="s">
        <v>2243</v>
      </c>
      <c r="AW504" t="s">
        <v>2244</v>
      </c>
      <c r="AX504" t="s">
        <v>2245</v>
      </c>
      <c r="AY504" t="s">
        <v>383</v>
      </c>
      <c r="AZ504">
        <v>0</v>
      </c>
    </row>
    <row r="505" spans="1:52">
      <c r="A505" t="s">
        <v>2246</v>
      </c>
      <c r="B505" t="s">
        <v>232</v>
      </c>
      <c r="C505">
        <v>401</v>
      </c>
      <c r="D505" t="s">
        <v>795</v>
      </c>
      <c r="E505">
        <v>1</v>
      </c>
      <c r="F505" t="s">
        <v>1025</v>
      </c>
      <c r="G505" t="s">
        <v>609</v>
      </c>
      <c r="H505" t="s">
        <v>1025</v>
      </c>
      <c r="I505" t="s">
        <v>1025</v>
      </c>
      <c r="K505">
        <v>30</v>
      </c>
      <c r="L505">
        <v>30</v>
      </c>
      <c r="O505">
        <v>1</v>
      </c>
      <c r="P505">
        <v>5740</v>
      </c>
      <c r="Q505">
        <v>5908</v>
      </c>
      <c r="R505">
        <v>168</v>
      </c>
      <c r="S505">
        <v>4</v>
      </c>
      <c r="T505">
        <v>672</v>
      </c>
      <c r="W505">
        <v>1</v>
      </c>
      <c r="X505">
        <v>120000</v>
      </c>
      <c r="Y505">
        <v>120000</v>
      </c>
      <c r="AB505">
        <v>0</v>
      </c>
      <c r="AC505">
        <v>1</v>
      </c>
      <c r="AD505">
        <v>100000</v>
      </c>
      <c r="AE505">
        <v>100000</v>
      </c>
      <c r="AF505">
        <v>1</v>
      </c>
      <c r="AG505">
        <v>60000</v>
      </c>
      <c r="AH505">
        <v>60000</v>
      </c>
      <c r="AN505">
        <v>0</v>
      </c>
      <c r="AO505">
        <v>1</v>
      </c>
      <c r="AP505">
        <v>120000</v>
      </c>
      <c r="AQ505">
        <v>120000</v>
      </c>
      <c r="AU505" t="s">
        <v>2247</v>
      </c>
      <c r="AV505" t="s">
        <v>405</v>
      </c>
      <c r="AX505" t="s">
        <v>2248</v>
      </c>
      <c r="AY505" t="s">
        <v>383</v>
      </c>
      <c r="AZ505">
        <v>0</v>
      </c>
    </row>
    <row r="506" spans="1:52">
      <c r="A506" t="s">
        <v>2249</v>
      </c>
      <c r="B506" t="s">
        <v>232</v>
      </c>
      <c r="C506">
        <v>402</v>
      </c>
      <c r="D506" t="s">
        <v>795</v>
      </c>
      <c r="E506">
        <v>1</v>
      </c>
      <c r="F506" t="s">
        <v>395</v>
      </c>
      <c r="G506" t="s">
        <v>609</v>
      </c>
      <c r="H506" t="s">
        <v>395</v>
      </c>
      <c r="I506" t="s">
        <v>395</v>
      </c>
      <c r="J506" t="s">
        <v>395</v>
      </c>
      <c r="K506">
        <v>30</v>
      </c>
      <c r="L506">
        <v>30</v>
      </c>
      <c r="O506">
        <v>1</v>
      </c>
      <c r="P506">
        <v>8448</v>
      </c>
      <c r="Q506">
        <v>8448</v>
      </c>
      <c r="R506">
        <v>0</v>
      </c>
      <c r="S506">
        <v>4</v>
      </c>
      <c r="T506">
        <v>0</v>
      </c>
      <c r="W506">
        <v>1</v>
      </c>
      <c r="X506">
        <v>120000</v>
      </c>
      <c r="Y506">
        <v>120000</v>
      </c>
      <c r="AB506">
        <v>0</v>
      </c>
      <c r="AC506">
        <v>1</v>
      </c>
      <c r="AD506">
        <v>100000</v>
      </c>
      <c r="AE506">
        <v>100000</v>
      </c>
      <c r="AF506">
        <v>1</v>
      </c>
      <c r="AG506">
        <v>60000</v>
      </c>
      <c r="AH506">
        <v>60000</v>
      </c>
      <c r="AN506">
        <v>0</v>
      </c>
      <c r="AO506">
        <v>1</v>
      </c>
      <c r="AP506">
        <v>120000</v>
      </c>
      <c r="AQ506">
        <v>120000</v>
      </c>
      <c r="AU506">
        <v>400</v>
      </c>
      <c r="AV506" t="s">
        <v>2250</v>
      </c>
      <c r="AW506" t="s">
        <v>2251</v>
      </c>
      <c r="AX506" t="s">
        <v>2252</v>
      </c>
      <c r="AY506" t="s">
        <v>522</v>
      </c>
      <c r="AZ506">
        <v>120</v>
      </c>
    </row>
    <row r="507" spans="1:52">
      <c r="A507" t="s">
        <v>2253</v>
      </c>
      <c r="B507" t="s">
        <v>232</v>
      </c>
      <c r="C507">
        <v>501</v>
      </c>
      <c r="D507" t="s">
        <v>795</v>
      </c>
      <c r="E507">
        <v>1</v>
      </c>
      <c r="F507" t="s">
        <v>395</v>
      </c>
      <c r="G507" t="s">
        <v>609</v>
      </c>
      <c r="H507" t="s">
        <v>395</v>
      </c>
      <c r="I507" t="s">
        <v>395</v>
      </c>
      <c r="K507">
        <v>30</v>
      </c>
      <c r="L507">
        <v>30</v>
      </c>
      <c r="O507">
        <v>2</v>
      </c>
      <c r="P507">
        <v>9240</v>
      </c>
      <c r="Q507">
        <v>9640</v>
      </c>
      <c r="R507">
        <v>400</v>
      </c>
      <c r="S507">
        <v>4</v>
      </c>
      <c r="T507" t="s">
        <v>2254</v>
      </c>
      <c r="W507">
        <v>2</v>
      </c>
      <c r="X507">
        <v>100000</v>
      </c>
      <c r="Y507">
        <v>200000</v>
      </c>
      <c r="Z507">
        <v>2</v>
      </c>
      <c r="AA507">
        <v>30000</v>
      </c>
      <c r="AB507">
        <v>60000</v>
      </c>
      <c r="AC507">
        <v>1</v>
      </c>
      <c r="AD507">
        <v>100000</v>
      </c>
      <c r="AE507">
        <v>100000</v>
      </c>
      <c r="AF507">
        <v>2</v>
      </c>
      <c r="AG507">
        <v>40000</v>
      </c>
      <c r="AH507">
        <v>80000</v>
      </c>
      <c r="AL507">
        <v>2</v>
      </c>
      <c r="AM507">
        <v>60000</v>
      </c>
      <c r="AN507">
        <v>120</v>
      </c>
      <c r="AU507" t="s">
        <v>1919</v>
      </c>
      <c r="AV507" t="s">
        <v>2255</v>
      </c>
      <c r="AX507" t="s">
        <v>2256</v>
      </c>
      <c r="AY507" t="s">
        <v>383</v>
      </c>
      <c r="AZ507">
        <v>0</v>
      </c>
    </row>
    <row r="508" spans="1:52">
      <c r="A508" t="s">
        <v>2257</v>
      </c>
      <c r="B508" t="s">
        <v>232</v>
      </c>
      <c r="C508">
        <v>502</v>
      </c>
      <c r="D508" t="s">
        <v>795</v>
      </c>
      <c r="E508">
        <v>1</v>
      </c>
      <c r="F508" t="s">
        <v>395</v>
      </c>
      <c r="G508" t="s">
        <v>609</v>
      </c>
      <c r="H508" t="s">
        <v>395</v>
      </c>
      <c r="I508" t="s">
        <v>395</v>
      </c>
      <c r="J508">
        <v>200</v>
      </c>
      <c r="K508">
        <v>30</v>
      </c>
      <c r="L508">
        <v>30</v>
      </c>
      <c r="O508">
        <v>1</v>
      </c>
      <c r="P508">
        <v>8217</v>
      </c>
      <c r="Q508">
        <v>8234</v>
      </c>
      <c r="R508">
        <v>17</v>
      </c>
      <c r="S508">
        <v>4</v>
      </c>
      <c r="T508">
        <v>68</v>
      </c>
      <c r="W508">
        <v>1</v>
      </c>
      <c r="X508">
        <v>120000</v>
      </c>
      <c r="Y508">
        <v>120000</v>
      </c>
      <c r="AC508">
        <v>1</v>
      </c>
      <c r="AD508">
        <v>100000</v>
      </c>
      <c r="AE508">
        <v>100000</v>
      </c>
      <c r="AF508">
        <v>0</v>
      </c>
      <c r="AH508">
        <v>0</v>
      </c>
      <c r="AN508">
        <v>0</v>
      </c>
      <c r="AO508">
        <v>1</v>
      </c>
      <c r="AP508">
        <v>120000</v>
      </c>
      <c r="AQ508">
        <v>120000</v>
      </c>
      <c r="AU508">
        <v>408</v>
      </c>
      <c r="AV508" t="s">
        <v>2258</v>
      </c>
      <c r="AW508" t="s">
        <v>530</v>
      </c>
      <c r="AX508" t="s">
        <v>2259</v>
      </c>
      <c r="AY508" t="s">
        <v>383</v>
      </c>
      <c r="AZ508">
        <v>0</v>
      </c>
    </row>
    <row r="509" spans="1:52">
      <c r="A509" t="s">
        <v>2260</v>
      </c>
      <c r="B509" t="s">
        <v>232</v>
      </c>
      <c r="C509">
        <v>601</v>
      </c>
      <c r="D509" t="s">
        <v>795</v>
      </c>
      <c r="E509">
        <v>1</v>
      </c>
      <c r="F509" t="s">
        <v>445</v>
      </c>
      <c r="G509" t="s">
        <v>609</v>
      </c>
      <c r="H509" t="s">
        <v>445</v>
      </c>
      <c r="I509" t="s">
        <v>445</v>
      </c>
      <c r="K509">
        <v>30</v>
      </c>
      <c r="L509">
        <v>30</v>
      </c>
      <c r="O509">
        <v>1</v>
      </c>
      <c r="P509">
        <v>3103</v>
      </c>
      <c r="Q509">
        <v>3263</v>
      </c>
      <c r="R509">
        <v>160</v>
      </c>
      <c r="S509">
        <v>4</v>
      </c>
      <c r="T509">
        <v>640</v>
      </c>
      <c r="W509">
        <v>1</v>
      </c>
      <c r="X509">
        <v>120000</v>
      </c>
      <c r="Y509">
        <v>120000</v>
      </c>
      <c r="AB509">
        <v>0</v>
      </c>
      <c r="AC509">
        <v>1</v>
      </c>
      <c r="AD509">
        <v>100000</v>
      </c>
      <c r="AE509">
        <v>100000</v>
      </c>
      <c r="AF509">
        <v>1</v>
      </c>
      <c r="AG509">
        <v>50000</v>
      </c>
      <c r="AH509">
        <v>50000</v>
      </c>
      <c r="AN509">
        <v>0</v>
      </c>
      <c r="AO509">
        <v>1</v>
      </c>
      <c r="AP509">
        <v>120000</v>
      </c>
      <c r="AQ509">
        <v>120000</v>
      </c>
      <c r="AU509" t="s">
        <v>2261</v>
      </c>
      <c r="AV509" t="s">
        <v>2262</v>
      </c>
      <c r="AX509" t="s">
        <v>2263</v>
      </c>
      <c r="AY509" t="s">
        <v>383</v>
      </c>
      <c r="AZ509">
        <v>0</v>
      </c>
    </row>
    <row r="510" spans="1:52">
      <c r="A510" t="s">
        <v>2264</v>
      </c>
      <c r="B510" t="s">
        <v>232</v>
      </c>
      <c r="C510">
        <v>602</v>
      </c>
      <c r="D510" t="s">
        <v>795</v>
      </c>
      <c r="E510">
        <v>1</v>
      </c>
      <c r="F510" t="s">
        <v>445</v>
      </c>
      <c r="G510" t="s">
        <v>609</v>
      </c>
      <c r="H510" t="s">
        <v>445</v>
      </c>
      <c r="I510" t="s">
        <v>445</v>
      </c>
      <c r="K510">
        <v>30</v>
      </c>
      <c r="L510">
        <v>30</v>
      </c>
      <c r="O510">
        <v>1</v>
      </c>
      <c r="P510">
        <v>2475</v>
      </c>
      <c r="Q510">
        <v>2656</v>
      </c>
      <c r="R510">
        <v>181</v>
      </c>
      <c r="S510">
        <v>4</v>
      </c>
      <c r="T510">
        <v>724</v>
      </c>
      <c r="W510">
        <v>1</v>
      </c>
      <c r="X510">
        <v>120000</v>
      </c>
      <c r="Y510">
        <v>120000</v>
      </c>
      <c r="AB510">
        <v>0</v>
      </c>
      <c r="AC510">
        <v>1</v>
      </c>
      <c r="AD510">
        <v>100000</v>
      </c>
      <c r="AE510">
        <v>100000</v>
      </c>
      <c r="AF510">
        <v>1</v>
      </c>
      <c r="AG510">
        <v>50000</v>
      </c>
      <c r="AH510">
        <v>50000</v>
      </c>
      <c r="AM510">
        <v>60000</v>
      </c>
      <c r="AN510">
        <v>0</v>
      </c>
      <c r="AO510">
        <v>1</v>
      </c>
      <c r="AP510">
        <v>120000</v>
      </c>
      <c r="AQ510">
        <v>120000</v>
      </c>
      <c r="AU510" t="s">
        <v>2265</v>
      </c>
      <c r="AV510" t="s">
        <v>2266</v>
      </c>
      <c r="AX510" t="s">
        <v>2267</v>
      </c>
      <c r="AY510" t="s">
        <v>383</v>
      </c>
      <c r="AZ510">
        <v>0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Y121"/>
  <sheetViews>
    <sheetView topLeftCell="C4" workbookViewId="0">
      <selection activeCell="J23" sqref="J23"/>
    </sheetView>
  </sheetViews>
  <sheetFormatPr defaultColWidth="8.88888888888889" defaultRowHeight="14.4"/>
  <sheetData>
    <row r="1" spans="1:25">
      <c r="A1" t="s">
        <v>2268</v>
      </c>
      <c r="L1" t="s">
        <v>2269</v>
      </c>
    </row>
    <row r="2" spans="1:25">
      <c r="A2" t="s">
        <v>301</v>
      </c>
      <c r="B2" t="s">
        <v>2270</v>
      </c>
      <c r="C2" t="s">
        <v>2271</v>
      </c>
      <c r="D2" t="s">
        <v>2272</v>
      </c>
      <c r="E2" t="s">
        <v>2273</v>
      </c>
      <c r="F2" t="s">
        <v>2274</v>
      </c>
      <c r="G2" t="s">
        <v>2275</v>
      </c>
      <c r="H2" t="s">
        <v>2276</v>
      </c>
      <c r="I2" t="s">
        <v>2277</v>
      </c>
      <c r="L2" t="s">
        <v>2278</v>
      </c>
      <c r="M2" t="s">
        <v>2279</v>
      </c>
      <c r="N2" t="s">
        <v>2280</v>
      </c>
      <c r="O2" t="s">
        <v>2281</v>
      </c>
      <c r="P2" t="s">
        <v>2282</v>
      </c>
      <c r="Q2" t="s">
        <v>2283</v>
      </c>
      <c r="R2" t="s">
        <v>2284</v>
      </c>
      <c r="S2" t="s">
        <v>2285</v>
      </c>
      <c r="T2" t="s">
        <v>2286</v>
      </c>
      <c r="U2" t="s">
        <v>2287</v>
      </c>
      <c r="V2" t="s">
        <v>2288</v>
      </c>
      <c r="W2" t="s">
        <v>125</v>
      </c>
      <c r="X2" t="s">
        <v>126</v>
      </c>
      <c r="Y2" t="s">
        <v>127</v>
      </c>
    </row>
    <row r="3" spans="1:25">
      <c r="A3" t="s">
        <v>871</v>
      </c>
      <c r="B3" t="s">
        <v>2289</v>
      </c>
      <c r="C3" t="s">
        <v>2290</v>
      </c>
      <c r="D3">
        <v>2.011</v>
      </c>
      <c r="E3" t="s">
        <v>2291</v>
      </c>
      <c r="F3" t="s">
        <v>1140</v>
      </c>
      <c r="G3">
        <v>0</v>
      </c>
      <c r="H3">
        <v>0</v>
      </c>
      <c r="I3" t="s">
        <v>2292</v>
      </c>
      <c r="L3" t="s">
        <v>242</v>
      </c>
      <c r="M3" t="s">
        <v>974</v>
      </c>
      <c r="N3" t="s">
        <v>2293</v>
      </c>
      <c r="O3" t="s">
        <v>2294</v>
      </c>
      <c r="R3">
        <v>98</v>
      </c>
      <c r="S3" t="s">
        <v>2295</v>
      </c>
      <c r="T3" t="s">
        <v>2296</v>
      </c>
      <c r="U3" t="s">
        <v>2294</v>
      </c>
      <c r="W3" t="e">
        <v>#REF!</v>
      </c>
      <c r="X3" t="e">
        <v>#REF!</v>
      </c>
      <c r="Y3" t="e">
        <v>#REF!</v>
      </c>
    </row>
    <row r="4" spans="1:25">
      <c r="A4" t="s">
        <v>974</v>
      </c>
      <c r="B4" t="s">
        <v>2297</v>
      </c>
      <c r="C4" t="s">
        <v>2298</v>
      </c>
      <c r="D4" t="s">
        <v>2299</v>
      </c>
      <c r="E4" t="s">
        <v>2300</v>
      </c>
      <c r="F4" t="s">
        <v>2301</v>
      </c>
      <c r="G4">
        <v>584</v>
      </c>
      <c r="H4">
        <v>2</v>
      </c>
      <c r="I4" t="s">
        <v>2302</v>
      </c>
      <c r="L4" t="s">
        <v>142</v>
      </c>
      <c r="M4" t="s">
        <v>871</v>
      </c>
      <c r="N4" t="s">
        <v>2303</v>
      </c>
      <c r="O4" t="s">
        <v>2304</v>
      </c>
      <c r="R4">
        <v>100</v>
      </c>
      <c r="S4" t="s">
        <v>2295</v>
      </c>
      <c r="T4" t="s">
        <v>2305</v>
      </c>
      <c r="U4" t="s">
        <v>2304</v>
      </c>
    </row>
    <row r="5" spans="1:25">
      <c r="A5" t="s">
        <v>2306</v>
      </c>
      <c r="B5" t="s">
        <v>2307</v>
      </c>
      <c r="C5" t="s">
        <v>2308</v>
      </c>
      <c r="D5">
        <v>345.334</v>
      </c>
      <c r="E5" t="s">
        <v>2309</v>
      </c>
      <c r="F5" t="s">
        <v>2310</v>
      </c>
      <c r="G5">
        <v>0</v>
      </c>
      <c r="H5">
        <v>0</v>
      </c>
      <c r="I5" t="s">
        <v>2311</v>
      </c>
      <c r="L5" t="s">
        <v>153</v>
      </c>
      <c r="M5" t="s">
        <v>515</v>
      </c>
      <c r="N5" t="s">
        <v>2312</v>
      </c>
      <c r="O5" t="s">
        <v>2313</v>
      </c>
      <c r="P5" t="s">
        <v>2314</v>
      </c>
      <c r="R5">
        <v>93</v>
      </c>
      <c r="S5" t="s">
        <v>2315</v>
      </c>
      <c r="T5" t="s">
        <v>2313</v>
      </c>
      <c r="U5" t="s">
        <v>2313</v>
      </c>
    </row>
    <row r="6" spans="1:25">
      <c r="A6" t="s">
        <v>2316</v>
      </c>
      <c r="B6" t="s">
        <v>2317</v>
      </c>
      <c r="C6" t="s">
        <v>2318</v>
      </c>
      <c r="D6">
        <v>-130</v>
      </c>
      <c r="E6" t="s">
        <v>2319</v>
      </c>
      <c r="F6">
        <v>0</v>
      </c>
      <c r="G6">
        <v>0</v>
      </c>
      <c r="H6" t="e">
        <v>#DIV/0!</v>
      </c>
      <c r="I6" t="s">
        <v>2295</v>
      </c>
      <c r="L6" t="s">
        <v>218</v>
      </c>
      <c r="M6" t="s">
        <v>375</v>
      </c>
      <c r="N6" t="s">
        <v>2320</v>
      </c>
      <c r="O6" t="s">
        <v>2321</v>
      </c>
      <c r="P6" t="s">
        <v>2322</v>
      </c>
      <c r="Q6">
        <v>50</v>
      </c>
      <c r="R6">
        <v>91</v>
      </c>
      <c r="S6" t="s">
        <v>2323</v>
      </c>
      <c r="T6" t="s">
        <v>2324</v>
      </c>
      <c r="U6" t="s">
        <v>2321</v>
      </c>
      <c r="W6" t="s">
        <v>2296</v>
      </c>
      <c r="X6" t="s">
        <v>2325</v>
      </c>
      <c r="Y6" t="s">
        <v>2326</v>
      </c>
    </row>
    <row r="7" spans="1:25">
      <c r="A7" t="s">
        <v>761</v>
      </c>
      <c r="B7" t="s">
        <v>2327</v>
      </c>
      <c r="C7" t="s">
        <v>2328</v>
      </c>
      <c r="D7" t="s">
        <v>2329</v>
      </c>
      <c r="E7" t="s">
        <v>2330</v>
      </c>
      <c r="F7" t="s">
        <v>2331</v>
      </c>
      <c r="G7" t="s">
        <v>1151</v>
      </c>
      <c r="H7">
        <v>20</v>
      </c>
      <c r="I7" t="s">
        <v>2332</v>
      </c>
      <c r="L7" t="s">
        <v>204</v>
      </c>
      <c r="M7" t="s">
        <v>375</v>
      </c>
      <c r="N7" t="s">
        <v>2333</v>
      </c>
      <c r="O7" t="s">
        <v>2334</v>
      </c>
      <c r="R7">
        <v>98</v>
      </c>
      <c r="S7" t="s">
        <v>2295</v>
      </c>
      <c r="T7" t="s">
        <v>2335</v>
      </c>
      <c r="U7" t="s">
        <v>2334</v>
      </c>
    </row>
    <row r="8" spans="1:25">
      <c r="A8" t="s">
        <v>2336</v>
      </c>
      <c r="B8" t="s">
        <v>2337</v>
      </c>
      <c r="C8" t="s">
        <v>2338</v>
      </c>
      <c r="D8">
        <v>-7.352</v>
      </c>
      <c r="E8" t="s">
        <v>2339</v>
      </c>
      <c r="F8" t="s">
        <v>2340</v>
      </c>
      <c r="G8">
        <v>0</v>
      </c>
      <c r="H8">
        <v>0</v>
      </c>
      <c r="I8" t="s">
        <v>2341</v>
      </c>
      <c r="L8" t="s">
        <v>143</v>
      </c>
      <c r="M8" t="s">
        <v>761</v>
      </c>
      <c r="N8" t="s">
        <v>2342</v>
      </c>
      <c r="O8" t="s">
        <v>2343</v>
      </c>
      <c r="R8">
        <v>100</v>
      </c>
      <c r="S8" t="s">
        <v>2295</v>
      </c>
      <c r="T8" t="s">
        <v>2343</v>
      </c>
      <c r="U8" t="s">
        <v>2343</v>
      </c>
    </row>
    <row r="9" spans="1:25">
      <c r="A9" t="s">
        <v>1468</v>
      </c>
      <c r="B9" t="s">
        <v>2344</v>
      </c>
      <c r="C9" t="s">
        <v>2345</v>
      </c>
      <c r="D9">
        <v>-20.667</v>
      </c>
      <c r="E9" t="s">
        <v>2309</v>
      </c>
      <c r="F9" t="s">
        <v>1728</v>
      </c>
      <c r="G9">
        <v>500</v>
      </c>
      <c r="H9">
        <v>11</v>
      </c>
      <c r="I9" t="s">
        <v>2346</v>
      </c>
      <c r="L9" t="s">
        <v>230</v>
      </c>
      <c r="M9" t="s">
        <v>795</v>
      </c>
      <c r="N9" t="s">
        <v>2347</v>
      </c>
      <c r="O9" t="s">
        <v>2348</v>
      </c>
      <c r="P9" t="s">
        <v>2349</v>
      </c>
      <c r="R9">
        <v>88</v>
      </c>
      <c r="S9" t="s">
        <v>2350</v>
      </c>
      <c r="T9" t="s">
        <v>2351</v>
      </c>
      <c r="U9" t="s">
        <v>2348</v>
      </c>
      <c r="W9" t="e">
        <v>#REF!</v>
      </c>
      <c r="X9" t="e">
        <v>#REF!</v>
      </c>
      <c r="Y9" t="e">
        <v>#REF!</v>
      </c>
    </row>
    <row r="10" spans="1:25">
      <c r="A10" t="s">
        <v>515</v>
      </c>
      <c r="B10" t="s">
        <v>2352</v>
      </c>
      <c r="C10" t="s">
        <v>2353</v>
      </c>
      <c r="D10">
        <v>406.058</v>
      </c>
      <c r="E10" t="s">
        <v>2309</v>
      </c>
      <c r="F10" t="s">
        <v>835</v>
      </c>
      <c r="G10">
        <v>0</v>
      </c>
      <c r="H10">
        <v>0</v>
      </c>
      <c r="I10" t="s">
        <v>2332</v>
      </c>
      <c r="L10" t="s">
        <v>186</v>
      </c>
      <c r="M10" t="s">
        <v>515</v>
      </c>
      <c r="N10" t="s">
        <v>2354</v>
      </c>
      <c r="O10" t="s">
        <v>2355</v>
      </c>
      <c r="R10">
        <v>100</v>
      </c>
      <c r="S10" t="s">
        <v>2295</v>
      </c>
      <c r="T10" t="s">
        <v>2356</v>
      </c>
      <c r="U10" t="s">
        <v>2355</v>
      </c>
      <c r="W10" t="s">
        <v>2313</v>
      </c>
      <c r="X10">
        <v>0</v>
      </c>
      <c r="Y10" t="s">
        <v>2357</v>
      </c>
    </row>
    <row r="11" spans="1:25">
      <c r="A11" t="s">
        <v>375</v>
      </c>
      <c r="B11" t="s">
        <v>2358</v>
      </c>
      <c r="C11" t="s">
        <v>2359</v>
      </c>
      <c r="D11" t="s">
        <v>2360</v>
      </c>
      <c r="E11" t="s">
        <v>2361</v>
      </c>
      <c r="F11" t="s">
        <v>1026</v>
      </c>
      <c r="G11">
        <v>50</v>
      </c>
      <c r="H11">
        <v>2</v>
      </c>
      <c r="I11" t="s">
        <v>2332</v>
      </c>
      <c r="L11" t="s">
        <v>187</v>
      </c>
      <c r="M11" t="s">
        <v>515</v>
      </c>
      <c r="N11" t="s">
        <v>2362</v>
      </c>
      <c r="O11" t="s">
        <v>2363</v>
      </c>
      <c r="R11" t="s">
        <v>2330</v>
      </c>
      <c r="S11" t="s">
        <v>2295</v>
      </c>
      <c r="T11" t="s">
        <v>2364</v>
      </c>
      <c r="U11" t="s">
        <v>2363</v>
      </c>
    </row>
    <row r="12" spans="1:25">
      <c r="A12" t="s">
        <v>1296</v>
      </c>
      <c r="B12" t="s">
        <v>2365</v>
      </c>
      <c r="C12" t="s">
        <v>2366</v>
      </c>
      <c r="D12">
        <v>-3</v>
      </c>
      <c r="E12" t="s">
        <v>2319</v>
      </c>
      <c r="F12">
        <v>0</v>
      </c>
      <c r="G12">
        <v>0</v>
      </c>
      <c r="H12" t="e">
        <v>#DIV/0!</v>
      </c>
      <c r="I12" t="s">
        <v>2295</v>
      </c>
      <c r="L12" t="s">
        <v>167</v>
      </c>
      <c r="M12" t="s">
        <v>425</v>
      </c>
      <c r="N12" t="s">
        <v>2367</v>
      </c>
      <c r="O12" t="s">
        <v>2367</v>
      </c>
      <c r="R12">
        <v>100</v>
      </c>
      <c r="S12" t="s">
        <v>2295</v>
      </c>
      <c r="T12" t="s">
        <v>2368</v>
      </c>
      <c r="U12" t="s">
        <v>2369</v>
      </c>
      <c r="W12" t="s">
        <v>2324</v>
      </c>
      <c r="X12">
        <v>45</v>
      </c>
      <c r="Y12" t="s">
        <v>2370</v>
      </c>
    </row>
    <row r="13" spans="1:25">
      <c r="A13" t="s">
        <v>795</v>
      </c>
      <c r="B13" t="s">
        <v>2371</v>
      </c>
      <c r="C13" t="s">
        <v>2372</v>
      </c>
      <c r="D13" t="s">
        <v>2373</v>
      </c>
      <c r="E13" t="s">
        <v>2374</v>
      </c>
      <c r="F13" t="s">
        <v>2375</v>
      </c>
      <c r="G13">
        <v>760</v>
      </c>
      <c r="H13">
        <v>2</v>
      </c>
      <c r="I13" t="s">
        <v>2376</v>
      </c>
      <c r="L13" t="s">
        <v>168</v>
      </c>
      <c r="M13" t="s">
        <v>425</v>
      </c>
      <c r="N13" t="s">
        <v>2377</v>
      </c>
      <c r="O13" t="s">
        <v>2378</v>
      </c>
      <c r="R13">
        <v>100</v>
      </c>
      <c r="S13" t="s">
        <v>2295</v>
      </c>
      <c r="T13" t="s">
        <v>2379</v>
      </c>
      <c r="U13" t="s">
        <v>2378</v>
      </c>
      <c r="W13" t="s">
        <v>2335</v>
      </c>
      <c r="X13" t="s">
        <v>2380</v>
      </c>
      <c r="Y13" t="s">
        <v>2381</v>
      </c>
    </row>
    <row r="14" spans="1:25">
      <c r="A14" t="s">
        <v>425</v>
      </c>
      <c r="B14" t="s">
        <v>2382</v>
      </c>
      <c r="C14" t="s">
        <v>2383</v>
      </c>
      <c r="D14">
        <v>-8.29</v>
      </c>
      <c r="E14" t="s">
        <v>2384</v>
      </c>
      <c r="F14" t="s">
        <v>1948</v>
      </c>
      <c r="G14">
        <v>104</v>
      </c>
      <c r="H14">
        <v>3</v>
      </c>
      <c r="I14" t="s">
        <v>2385</v>
      </c>
      <c r="L14" t="s">
        <v>180</v>
      </c>
      <c r="M14" t="s">
        <v>375</v>
      </c>
      <c r="N14" t="s">
        <v>2386</v>
      </c>
      <c r="O14" t="s">
        <v>2387</v>
      </c>
      <c r="R14">
        <v>94</v>
      </c>
      <c r="S14" t="s">
        <v>2295</v>
      </c>
      <c r="T14" t="s">
        <v>2388</v>
      </c>
      <c r="U14" t="s">
        <v>2387</v>
      </c>
      <c r="W14" t="s">
        <v>2343</v>
      </c>
      <c r="X14">
        <v>0</v>
      </c>
      <c r="Y14" t="s">
        <v>2389</v>
      </c>
    </row>
    <row r="15" spans="1:25">
      <c r="A15" t="s">
        <v>2390</v>
      </c>
      <c r="B15" t="s">
        <v>2391</v>
      </c>
      <c r="C15" t="s">
        <v>2392</v>
      </c>
      <c r="D15" t="s">
        <v>2393</v>
      </c>
      <c r="E15" t="s">
        <v>2394</v>
      </c>
      <c r="F15" t="s">
        <v>2395</v>
      </c>
      <c r="G15" t="s">
        <v>2396</v>
      </c>
      <c r="H15">
        <v>4</v>
      </c>
      <c r="I15" t="s">
        <v>2397</v>
      </c>
      <c r="L15" t="s">
        <v>169</v>
      </c>
      <c r="M15" t="s">
        <v>425</v>
      </c>
      <c r="N15" t="s">
        <v>2398</v>
      </c>
      <c r="O15" t="s">
        <v>2398</v>
      </c>
      <c r="R15">
        <v>100</v>
      </c>
      <c r="S15" t="s">
        <v>2295</v>
      </c>
      <c r="T15" t="s">
        <v>2399</v>
      </c>
      <c r="U15" t="s">
        <v>2400</v>
      </c>
      <c r="W15" t="s">
        <v>2351</v>
      </c>
      <c r="X15" t="s">
        <v>2401</v>
      </c>
      <c r="Y15" t="s">
        <v>2402</v>
      </c>
    </row>
    <row r="16" spans="1:25">
      <c r="L16" t="s">
        <v>144</v>
      </c>
      <c r="M16" t="s">
        <v>871</v>
      </c>
      <c r="N16" t="s">
        <v>2403</v>
      </c>
      <c r="O16" t="s">
        <v>2404</v>
      </c>
      <c r="P16" t="s">
        <v>2405</v>
      </c>
      <c r="R16">
        <v>95</v>
      </c>
      <c r="S16" t="s">
        <v>2406</v>
      </c>
      <c r="T16" t="s">
        <v>2407</v>
      </c>
      <c r="U16" t="s">
        <v>2404</v>
      </c>
      <c r="W16" t="s">
        <v>2356</v>
      </c>
      <c r="X16" t="s">
        <v>2408</v>
      </c>
      <c r="Y16" t="s">
        <v>2409</v>
      </c>
    </row>
    <row r="17" spans="5:25">
      <c r="L17" t="s">
        <v>154</v>
      </c>
      <c r="M17" t="s">
        <v>761</v>
      </c>
      <c r="N17" t="s">
        <v>2410</v>
      </c>
      <c r="O17" t="s">
        <v>2411</v>
      </c>
      <c r="P17" t="s">
        <v>1666</v>
      </c>
      <c r="Q17" t="s">
        <v>907</v>
      </c>
      <c r="R17">
        <v>98</v>
      </c>
      <c r="S17" t="s">
        <v>2412</v>
      </c>
      <c r="T17" t="s">
        <v>2413</v>
      </c>
      <c r="U17" t="s">
        <v>2411</v>
      </c>
      <c r="W17" t="s">
        <v>2364</v>
      </c>
      <c r="X17" t="s">
        <v>2414</v>
      </c>
      <c r="Y17" t="s">
        <v>2415</v>
      </c>
    </row>
    <row r="18" spans="5:25">
      <c r="L18" t="s">
        <v>145</v>
      </c>
      <c r="M18" t="s">
        <v>871</v>
      </c>
      <c r="N18" t="s">
        <v>2416</v>
      </c>
      <c r="O18" t="s">
        <v>2416</v>
      </c>
      <c r="R18">
        <v>100</v>
      </c>
      <c r="S18" t="s">
        <v>2295</v>
      </c>
      <c r="T18" t="s">
        <v>2416</v>
      </c>
      <c r="U18" t="s">
        <v>2416</v>
      </c>
      <c r="W18" t="s">
        <v>2368</v>
      </c>
      <c r="X18" t="s">
        <v>2417</v>
      </c>
      <c r="Y18" t="s">
        <v>2418</v>
      </c>
    </row>
    <row r="19" spans="5:25">
      <c r="E19" t="s">
        <v>2419</v>
      </c>
      <c r="L19" t="s">
        <v>146</v>
      </c>
      <c r="M19" t="s">
        <v>871</v>
      </c>
      <c r="N19" t="s">
        <v>2420</v>
      </c>
      <c r="O19" t="s">
        <v>2421</v>
      </c>
      <c r="R19">
        <v>107</v>
      </c>
      <c r="S19" t="s">
        <v>2295</v>
      </c>
      <c r="T19" t="s">
        <v>2422</v>
      </c>
      <c r="U19" t="s">
        <v>2421</v>
      </c>
    </row>
    <row r="20" spans="5:25">
      <c r="L20" t="s">
        <v>205</v>
      </c>
      <c r="M20" t="s">
        <v>1296</v>
      </c>
      <c r="N20" t="s">
        <v>2423</v>
      </c>
      <c r="O20" t="s">
        <v>2424</v>
      </c>
      <c r="R20">
        <v>100</v>
      </c>
      <c r="S20" t="s">
        <v>2295</v>
      </c>
      <c r="T20" t="s">
        <v>2425</v>
      </c>
      <c r="U20" t="s">
        <v>2424</v>
      </c>
    </row>
    <row r="21" spans="5:25">
      <c r="L21" t="s">
        <v>181</v>
      </c>
      <c r="M21" t="s">
        <v>375</v>
      </c>
      <c r="N21" t="s">
        <v>2426</v>
      </c>
      <c r="O21" t="s">
        <v>2427</v>
      </c>
      <c r="R21">
        <v>99</v>
      </c>
      <c r="S21" t="s">
        <v>2295</v>
      </c>
      <c r="T21" t="s">
        <v>2428</v>
      </c>
      <c r="U21" t="s">
        <v>2427</v>
      </c>
    </row>
    <row r="22" spans="5:25">
      <c r="L22" t="s">
        <v>243</v>
      </c>
      <c r="M22" t="s">
        <v>974</v>
      </c>
      <c r="N22" t="s">
        <v>2429</v>
      </c>
      <c r="O22" t="s">
        <v>2430</v>
      </c>
      <c r="R22">
        <v>100</v>
      </c>
      <c r="S22" t="s">
        <v>2295</v>
      </c>
      <c r="T22" t="s">
        <v>2431</v>
      </c>
      <c r="U22" t="s">
        <v>2430</v>
      </c>
    </row>
    <row r="23" spans="5:25">
      <c r="L23" t="s">
        <v>206</v>
      </c>
      <c r="M23" t="s">
        <v>1468</v>
      </c>
      <c r="N23" t="s">
        <v>2432</v>
      </c>
      <c r="O23" t="s">
        <v>2432</v>
      </c>
      <c r="R23">
        <v>100</v>
      </c>
      <c r="S23" t="s">
        <v>2295</v>
      </c>
      <c r="T23" t="s">
        <v>2433</v>
      </c>
      <c r="U23" t="s">
        <v>2432</v>
      </c>
    </row>
    <row r="24" spans="5:25">
      <c r="H24" t="s">
        <v>2434</v>
      </c>
      <c r="L24" t="s">
        <v>182</v>
      </c>
      <c r="M24" t="s">
        <v>375</v>
      </c>
      <c r="N24" t="s">
        <v>2435</v>
      </c>
      <c r="O24" t="s">
        <v>2436</v>
      </c>
      <c r="R24">
        <v>100</v>
      </c>
      <c r="S24" t="s">
        <v>2295</v>
      </c>
      <c r="T24" t="s">
        <v>2436</v>
      </c>
      <c r="U24" t="s">
        <v>2436</v>
      </c>
      <c r="W24" t="s">
        <v>2379</v>
      </c>
      <c r="X24" t="s">
        <v>2437</v>
      </c>
      <c r="Y24" t="s">
        <v>2438</v>
      </c>
    </row>
    <row r="25" spans="5:25">
      <c r="L25" t="s">
        <v>183</v>
      </c>
      <c r="M25" t="s">
        <v>375</v>
      </c>
      <c r="N25" t="s">
        <v>2439</v>
      </c>
      <c r="O25" t="s">
        <v>2440</v>
      </c>
      <c r="R25">
        <v>100</v>
      </c>
      <c r="S25" t="s">
        <v>2295</v>
      </c>
      <c r="T25" t="s">
        <v>2441</v>
      </c>
      <c r="U25" t="s">
        <v>2440</v>
      </c>
      <c r="W25" t="s">
        <v>2399</v>
      </c>
      <c r="X25" t="s">
        <v>2442</v>
      </c>
      <c r="Y25" t="s">
        <v>2443</v>
      </c>
    </row>
    <row r="26" spans="5:25">
      <c r="L26" t="s">
        <v>219</v>
      </c>
      <c r="M26" t="s">
        <v>1296</v>
      </c>
      <c r="N26" t="s">
        <v>2444</v>
      </c>
      <c r="O26" t="s">
        <v>2445</v>
      </c>
      <c r="R26">
        <v>100</v>
      </c>
      <c r="S26" t="s">
        <v>2295</v>
      </c>
      <c r="T26" t="s">
        <v>2445</v>
      </c>
      <c r="U26" t="s">
        <v>2445</v>
      </c>
      <c r="W26" t="e">
        <v>#REF!</v>
      </c>
      <c r="X26" t="e">
        <v>#REF!</v>
      </c>
      <c r="Y26" t="e">
        <v>#REF!</v>
      </c>
    </row>
    <row r="27" spans="5:25">
      <c r="L27" t="s">
        <v>207</v>
      </c>
      <c r="M27" t="s">
        <v>375</v>
      </c>
      <c r="N27" t="s">
        <v>2446</v>
      </c>
      <c r="O27" t="s">
        <v>2447</v>
      </c>
      <c r="R27">
        <v>100</v>
      </c>
      <c r="S27" t="s">
        <v>2295</v>
      </c>
      <c r="T27" t="s">
        <v>2448</v>
      </c>
      <c r="U27" t="s">
        <v>2447</v>
      </c>
      <c r="W27" t="s">
        <v>2407</v>
      </c>
      <c r="X27">
        <v>422.1</v>
      </c>
      <c r="Y27" t="s">
        <v>2449</v>
      </c>
    </row>
    <row r="28" spans="5:25">
      <c r="L28" t="s">
        <v>208</v>
      </c>
      <c r="M28" t="s">
        <v>1468</v>
      </c>
      <c r="N28" t="s">
        <v>2450</v>
      </c>
      <c r="O28" t="s">
        <v>2450</v>
      </c>
      <c r="R28">
        <v>100</v>
      </c>
      <c r="S28" t="s">
        <v>2295</v>
      </c>
      <c r="T28" t="s">
        <v>2451</v>
      </c>
      <c r="U28" t="s">
        <v>2450</v>
      </c>
      <c r="W28" t="s">
        <v>2413</v>
      </c>
      <c r="X28" t="s">
        <v>2452</v>
      </c>
      <c r="Y28" t="s">
        <v>2453</v>
      </c>
    </row>
    <row r="29" spans="5:25">
      <c r="L29" t="s">
        <v>209</v>
      </c>
      <c r="M29" t="s">
        <v>1468</v>
      </c>
      <c r="N29" t="s">
        <v>2454</v>
      </c>
      <c r="O29" t="s">
        <v>2455</v>
      </c>
      <c r="P29" t="s">
        <v>2456</v>
      </c>
      <c r="Q29">
        <v>500</v>
      </c>
      <c r="R29">
        <v>94</v>
      </c>
      <c r="S29" t="s">
        <v>2457</v>
      </c>
      <c r="T29" t="s">
        <v>2455</v>
      </c>
      <c r="U29" t="s">
        <v>2455</v>
      </c>
      <c r="W29" t="s">
        <v>2416</v>
      </c>
      <c r="X29">
        <v>0</v>
      </c>
      <c r="Y29" t="s">
        <v>2458</v>
      </c>
    </row>
    <row r="30" spans="5:25">
      <c r="L30" t="s">
        <v>231</v>
      </c>
      <c r="M30" t="s">
        <v>795</v>
      </c>
      <c r="N30" t="s">
        <v>2459</v>
      </c>
      <c r="O30" t="s">
        <v>2460</v>
      </c>
      <c r="P30" t="s">
        <v>2461</v>
      </c>
      <c r="R30">
        <v>89</v>
      </c>
      <c r="S30" t="s">
        <v>2462</v>
      </c>
      <c r="T30" t="s">
        <v>2463</v>
      </c>
      <c r="U30" t="s">
        <v>2460</v>
      </c>
      <c r="W30" t="s">
        <v>2422</v>
      </c>
      <c r="X30" t="s">
        <v>1755</v>
      </c>
      <c r="Y30" t="s">
        <v>2464</v>
      </c>
    </row>
    <row r="31" spans="5:25">
      <c r="L31" t="s">
        <v>244</v>
      </c>
      <c r="M31" t="s">
        <v>974</v>
      </c>
      <c r="N31" t="s">
        <v>2465</v>
      </c>
      <c r="O31" t="s">
        <v>2466</v>
      </c>
      <c r="R31">
        <v>100</v>
      </c>
      <c r="S31" t="s">
        <v>2295</v>
      </c>
      <c r="T31" t="s">
        <v>2467</v>
      </c>
      <c r="U31" t="s">
        <v>2466</v>
      </c>
      <c r="W31" t="s">
        <v>2425</v>
      </c>
      <c r="X31" t="s">
        <v>2468</v>
      </c>
      <c r="Y31" t="s">
        <v>2469</v>
      </c>
    </row>
    <row r="32" spans="5:25">
      <c r="L32" t="s">
        <v>184</v>
      </c>
      <c r="M32" t="s">
        <v>375</v>
      </c>
      <c r="N32" t="s">
        <v>2470</v>
      </c>
      <c r="O32" t="s">
        <v>2471</v>
      </c>
      <c r="R32">
        <v>100</v>
      </c>
      <c r="S32" t="s">
        <v>2295</v>
      </c>
      <c r="T32" t="s">
        <v>2472</v>
      </c>
      <c r="U32" t="s">
        <v>2471</v>
      </c>
      <c r="W32" t="s">
        <v>2428</v>
      </c>
      <c r="X32" t="s">
        <v>2473</v>
      </c>
      <c r="Y32" t="s">
        <v>2474</v>
      </c>
    </row>
    <row r="33" spans="12:25">
      <c r="L33" t="s">
        <v>147</v>
      </c>
      <c r="M33" t="s">
        <v>871</v>
      </c>
      <c r="N33" t="s">
        <v>2475</v>
      </c>
      <c r="O33" t="s">
        <v>2476</v>
      </c>
      <c r="R33">
        <v>100</v>
      </c>
      <c r="S33" t="s">
        <v>2295</v>
      </c>
      <c r="T33" t="s">
        <v>2477</v>
      </c>
      <c r="U33" t="s">
        <v>2476</v>
      </c>
      <c r="W33" t="s">
        <v>2431</v>
      </c>
      <c r="X33" t="s">
        <v>2478</v>
      </c>
      <c r="Y33" t="s">
        <v>2479</v>
      </c>
    </row>
    <row r="34" spans="12:25">
      <c r="L34" t="s">
        <v>170</v>
      </c>
      <c r="M34" t="s">
        <v>425</v>
      </c>
      <c r="N34" t="s">
        <v>2480</v>
      </c>
      <c r="O34" t="s">
        <v>2481</v>
      </c>
      <c r="P34" t="s">
        <v>2482</v>
      </c>
      <c r="Q34">
        <v>104</v>
      </c>
      <c r="R34">
        <v>99</v>
      </c>
      <c r="S34" t="s">
        <v>2483</v>
      </c>
      <c r="T34" t="s">
        <v>2484</v>
      </c>
      <c r="U34" t="s">
        <v>2485</v>
      </c>
      <c r="W34" t="s">
        <v>2433</v>
      </c>
      <c r="X34" t="s">
        <v>2486</v>
      </c>
      <c r="Y34" t="s">
        <v>2487</v>
      </c>
    </row>
    <row r="35" spans="12:25">
      <c r="L35" t="s">
        <v>232</v>
      </c>
      <c r="M35" t="s">
        <v>795</v>
      </c>
      <c r="N35" t="s">
        <v>2488</v>
      </c>
      <c r="O35" t="s">
        <v>2488</v>
      </c>
      <c r="R35">
        <v>100</v>
      </c>
      <c r="S35" t="s">
        <v>2295</v>
      </c>
      <c r="T35" t="s">
        <v>2489</v>
      </c>
      <c r="U35" t="s">
        <v>2488</v>
      </c>
    </row>
    <row r="36" spans="12:25">
      <c r="L36" t="s">
        <v>188</v>
      </c>
      <c r="M36" t="s">
        <v>515</v>
      </c>
      <c r="N36" t="s">
        <v>2490</v>
      </c>
      <c r="O36" t="s">
        <v>2490</v>
      </c>
      <c r="R36">
        <v>100</v>
      </c>
      <c r="S36" t="s">
        <v>2295</v>
      </c>
      <c r="T36" t="s">
        <v>2490</v>
      </c>
      <c r="U36" t="s">
        <v>2490</v>
      </c>
      <c r="W36" t="s">
        <v>2436</v>
      </c>
      <c r="X36">
        <v>0</v>
      </c>
      <c r="Y36" t="s">
        <v>2491</v>
      </c>
    </row>
    <row r="37" spans="12:25">
      <c r="L37" t="s">
        <v>189</v>
      </c>
      <c r="M37" t="s">
        <v>515</v>
      </c>
      <c r="N37" t="s">
        <v>2492</v>
      </c>
      <c r="O37" t="s">
        <v>2493</v>
      </c>
      <c r="R37">
        <v>100</v>
      </c>
      <c r="S37" t="s">
        <v>2295</v>
      </c>
      <c r="T37" t="s">
        <v>2493</v>
      </c>
      <c r="U37" t="s">
        <v>2493</v>
      </c>
      <c r="W37" t="s">
        <v>2441</v>
      </c>
      <c r="X37" t="s">
        <v>2494</v>
      </c>
      <c r="Y37" t="s">
        <v>2495</v>
      </c>
    </row>
    <row r="38" spans="12:25">
      <c r="L38" t="s">
        <v>245</v>
      </c>
      <c r="M38" t="s">
        <v>974</v>
      </c>
      <c r="N38" t="s">
        <v>2496</v>
      </c>
      <c r="O38" t="s">
        <v>2496</v>
      </c>
      <c r="R38">
        <v>100</v>
      </c>
      <c r="S38" t="s">
        <v>2295</v>
      </c>
      <c r="T38" t="s">
        <v>2496</v>
      </c>
      <c r="U38" t="s">
        <v>2496</v>
      </c>
      <c r="W38" t="s">
        <v>2445</v>
      </c>
      <c r="X38">
        <v>0</v>
      </c>
      <c r="Y38" t="s">
        <v>2497</v>
      </c>
    </row>
    <row r="39" spans="12:25">
      <c r="L39" t="s">
        <v>220</v>
      </c>
      <c r="M39" t="s">
        <v>515</v>
      </c>
      <c r="N39" t="s">
        <v>2498</v>
      </c>
      <c r="O39" t="s">
        <v>2499</v>
      </c>
      <c r="R39">
        <v>100</v>
      </c>
      <c r="S39" t="s">
        <v>2295</v>
      </c>
      <c r="T39" t="s">
        <v>2500</v>
      </c>
      <c r="U39" t="s">
        <v>2501</v>
      </c>
      <c r="W39" t="s">
        <v>2448</v>
      </c>
      <c r="X39" t="s">
        <v>2502</v>
      </c>
      <c r="Y39" t="s">
        <v>2503</v>
      </c>
    </row>
    <row r="40" spans="12:25">
      <c r="L40" t="s">
        <v>155</v>
      </c>
      <c r="M40" t="s">
        <v>761</v>
      </c>
      <c r="N40" t="s">
        <v>2504</v>
      </c>
      <c r="O40" t="s">
        <v>2505</v>
      </c>
      <c r="R40">
        <v>100</v>
      </c>
      <c r="S40" t="s">
        <v>2295</v>
      </c>
      <c r="T40" t="s">
        <v>2506</v>
      </c>
      <c r="U40" t="s">
        <v>2505</v>
      </c>
      <c r="W40" t="s">
        <v>2451</v>
      </c>
      <c r="X40" t="s">
        <v>2507</v>
      </c>
      <c r="Y40" t="s">
        <v>2508</v>
      </c>
    </row>
    <row r="41" spans="12:25">
      <c r="L41" t="s">
        <v>253</v>
      </c>
      <c r="M41" t="s">
        <v>2306</v>
      </c>
      <c r="N41" t="s">
        <v>2509</v>
      </c>
      <c r="O41" t="s">
        <v>2510</v>
      </c>
      <c r="P41" t="s">
        <v>2511</v>
      </c>
      <c r="R41">
        <v>95</v>
      </c>
      <c r="S41" t="s">
        <v>2512</v>
      </c>
      <c r="T41" t="s">
        <v>2513</v>
      </c>
      <c r="U41" t="s">
        <v>2514</v>
      </c>
      <c r="W41" t="s">
        <v>2455</v>
      </c>
      <c r="X41">
        <v>0</v>
      </c>
      <c r="Y41" t="s">
        <v>2515</v>
      </c>
    </row>
    <row r="42" spans="12:25">
      <c r="L42" t="s">
        <v>233</v>
      </c>
      <c r="M42" t="s">
        <v>795</v>
      </c>
      <c r="N42" t="s">
        <v>2516</v>
      </c>
      <c r="O42" t="s">
        <v>2517</v>
      </c>
      <c r="R42">
        <v>105</v>
      </c>
      <c r="S42" t="s">
        <v>2295</v>
      </c>
      <c r="T42" t="s">
        <v>2518</v>
      </c>
      <c r="U42" t="s">
        <v>2519</v>
      </c>
      <c r="W42" t="s">
        <v>2463</v>
      </c>
      <c r="X42" t="s">
        <v>2520</v>
      </c>
      <c r="Y42" t="s">
        <v>2521</v>
      </c>
    </row>
    <row r="43" spans="12:25">
      <c r="L43" t="s">
        <v>156</v>
      </c>
      <c r="M43" t="s">
        <v>761</v>
      </c>
      <c r="N43" t="s">
        <v>2454</v>
      </c>
      <c r="O43" t="s">
        <v>2454</v>
      </c>
      <c r="R43">
        <v>100</v>
      </c>
      <c r="S43" t="s">
        <v>2295</v>
      </c>
      <c r="T43" t="s">
        <v>2522</v>
      </c>
      <c r="U43" t="s">
        <v>2454</v>
      </c>
      <c r="W43" t="e">
        <v>#REF!</v>
      </c>
      <c r="X43" t="e">
        <v>#REF!</v>
      </c>
      <c r="Y43" t="e">
        <v>#REF!</v>
      </c>
    </row>
    <row r="44" spans="12:25">
      <c r="L44" t="s">
        <v>157</v>
      </c>
      <c r="M44" t="s">
        <v>761</v>
      </c>
      <c r="N44" t="s">
        <v>2523</v>
      </c>
      <c r="O44" t="s">
        <v>2523</v>
      </c>
      <c r="R44">
        <v>100</v>
      </c>
      <c r="S44" t="s">
        <v>2295</v>
      </c>
      <c r="T44" t="s">
        <v>2524</v>
      </c>
      <c r="U44" t="s">
        <v>2523</v>
      </c>
      <c r="W44" t="e">
        <v>#REF!</v>
      </c>
      <c r="X44" t="e">
        <v>#REF!</v>
      </c>
      <c r="Y44" t="e">
        <v>#REF!</v>
      </c>
    </row>
    <row r="45" spans="12:25">
      <c r="L45" t="s">
        <v>158</v>
      </c>
      <c r="M45" t="s">
        <v>761</v>
      </c>
      <c r="N45" t="s">
        <v>2525</v>
      </c>
      <c r="O45" t="s">
        <v>2526</v>
      </c>
      <c r="P45" t="s">
        <v>2527</v>
      </c>
      <c r="R45">
        <v>92</v>
      </c>
      <c r="S45" t="s">
        <v>2528</v>
      </c>
      <c r="T45" t="s">
        <v>2529</v>
      </c>
      <c r="U45" t="s">
        <v>2526</v>
      </c>
      <c r="W45" t="s">
        <v>2477</v>
      </c>
      <c r="X45">
        <v>135</v>
      </c>
      <c r="Y45" t="s">
        <v>2530</v>
      </c>
    </row>
    <row r="46" spans="12:25">
      <c r="L46" t="s">
        <v>159</v>
      </c>
      <c r="M46" t="s">
        <v>761</v>
      </c>
      <c r="N46" t="s">
        <v>2531</v>
      </c>
      <c r="O46" t="s">
        <v>2532</v>
      </c>
      <c r="R46">
        <v>100</v>
      </c>
      <c r="S46" t="s">
        <v>2295</v>
      </c>
      <c r="T46" t="s">
        <v>2533</v>
      </c>
      <c r="U46" t="s">
        <v>2532</v>
      </c>
    </row>
    <row r="47" spans="12:25">
      <c r="L47" t="s">
        <v>160</v>
      </c>
      <c r="M47" t="s">
        <v>761</v>
      </c>
      <c r="N47" t="s">
        <v>2534</v>
      </c>
      <c r="O47" t="s">
        <v>2535</v>
      </c>
      <c r="R47">
        <v>100</v>
      </c>
      <c r="S47" t="s">
        <v>2295</v>
      </c>
      <c r="T47" t="s">
        <v>2536</v>
      </c>
      <c r="U47" t="s">
        <v>2535</v>
      </c>
    </row>
    <row r="48" spans="12:25">
      <c r="L48" t="s">
        <v>234</v>
      </c>
      <c r="M48" t="s">
        <v>2306</v>
      </c>
      <c r="N48" t="s">
        <v>2537</v>
      </c>
      <c r="O48" t="s">
        <v>2538</v>
      </c>
      <c r="R48">
        <v>109</v>
      </c>
      <c r="S48" t="s">
        <v>2295</v>
      </c>
      <c r="T48" t="s">
        <v>2539</v>
      </c>
      <c r="U48" t="s">
        <v>2540</v>
      </c>
      <c r="W48" t="s">
        <v>2484</v>
      </c>
      <c r="X48" t="s">
        <v>2541</v>
      </c>
      <c r="Y48" t="s">
        <v>2542</v>
      </c>
    </row>
    <row r="49" spans="12:25">
      <c r="L49" t="s">
        <v>235</v>
      </c>
      <c r="M49" t="s">
        <v>795</v>
      </c>
      <c r="N49" t="s">
        <v>2543</v>
      </c>
      <c r="O49" t="s">
        <v>2544</v>
      </c>
      <c r="R49">
        <v>100</v>
      </c>
      <c r="S49" t="s">
        <v>2295</v>
      </c>
      <c r="T49" t="s">
        <v>2545</v>
      </c>
      <c r="U49" t="s">
        <v>2544</v>
      </c>
      <c r="W49" t="s">
        <v>2489</v>
      </c>
      <c r="X49" t="s">
        <v>2546</v>
      </c>
      <c r="Y49" t="s">
        <v>2547</v>
      </c>
    </row>
    <row r="50" spans="12:25">
      <c r="L50" t="s">
        <v>221</v>
      </c>
      <c r="M50" t="s">
        <v>2336</v>
      </c>
      <c r="N50" t="s">
        <v>2548</v>
      </c>
      <c r="O50" t="s">
        <v>2548</v>
      </c>
      <c r="R50">
        <v>100</v>
      </c>
      <c r="S50" t="s">
        <v>2295</v>
      </c>
      <c r="T50" t="s">
        <v>2548</v>
      </c>
      <c r="U50" t="s">
        <v>2548</v>
      </c>
      <c r="W50" t="s">
        <v>2490</v>
      </c>
      <c r="X50">
        <v>0</v>
      </c>
      <c r="Y50" t="s">
        <v>2549</v>
      </c>
    </row>
    <row r="51" spans="12:25">
      <c r="L51" t="s">
        <v>222</v>
      </c>
      <c r="M51" t="s">
        <v>2336</v>
      </c>
      <c r="N51" t="s">
        <v>2550</v>
      </c>
      <c r="O51" t="s">
        <v>2551</v>
      </c>
      <c r="R51">
        <v>100</v>
      </c>
      <c r="S51" t="s">
        <v>2295</v>
      </c>
      <c r="T51" t="s">
        <v>2552</v>
      </c>
      <c r="U51" t="s">
        <v>2551</v>
      </c>
      <c r="W51" t="s">
        <v>2493</v>
      </c>
      <c r="X51">
        <v>0</v>
      </c>
      <c r="Y51" t="s">
        <v>2553</v>
      </c>
    </row>
    <row r="52" spans="12:25">
      <c r="L52" t="s">
        <v>210</v>
      </c>
      <c r="M52" t="s">
        <v>1296</v>
      </c>
      <c r="N52" t="s">
        <v>2554</v>
      </c>
      <c r="O52" t="s">
        <v>2555</v>
      </c>
      <c r="R52">
        <v>100</v>
      </c>
      <c r="S52" t="s">
        <v>2295</v>
      </c>
      <c r="T52" t="s">
        <v>2555</v>
      </c>
      <c r="U52" t="s">
        <v>2555</v>
      </c>
      <c r="W52" t="s">
        <v>2496</v>
      </c>
      <c r="X52">
        <v>0</v>
      </c>
      <c r="Y52" t="s">
        <v>2556</v>
      </c>
    </row>
    <row r="53" spans="12:25">
      <c r="L53" t="s">
        <v>254</v>
      </c>
      <c r="M53" t="s">
        <v>2306</v>
      </c>
      <c r="N53" t="s">
        <v>2557</v>
      </c>
      <c r="O53" t="s">
        <v>2558</v>
      </c>
      <c r="R53">
        <v>100</v>
      </c>
      <c r="S53" t="s">
        <v>2295</v>
      </c>
      <c r="T53" t="s">
        <v>2559</v>
      </c>
      <c r="U53" t="s">
        <v>2560</v>
      </c>
      <c r="W53" t="s">
        <v>2500</v>
      </c>
      <c r="X53" t="s">
        <v>2561</v>
      </c>
      <c r="Y53" t="s">
        <v>2562</v>
      </c>
    </row>
    <row r="54" spans="12:25">
      <c r="L54" t="s">
        <v>246</v>
      </c>
      <c r="M54" t="s">
        <v>974</v>
      </c>
      <c r="N54" t="s">
        <v>2563</v>
      </c>
      <c r="O54" t="s">
        <v>2564</v>
      </c>
      <c r="P54" t="s">
        <v>2565</v>
      </c>
      <c r="R54">
        <v>94</v>
      </c>
      <c r="S54" t="s">
        <v>2566</v>
      </c>
      <c r="T54" t="s">
        <v>2567</v>
      </c>
      <c r="U54" t="s">
        <v>2564</v>
      </c>
      <c r="W54" t="s">
        <v>2506</v>
      </c>
      <c r="X54" t="s">
        <v>2568</v>
      </c>
      <c r="Y54" t="s">
        <v>2569</v>
      </c>
    </row>
    <row r="55" spans="12:25">
      <c r="L55" t="s">
        <v>192</v>
      </c>
      <c r="M55" t="s">
        <v>2316</v>
      </c>
      <c r="N55" t="s">
        <v>2570</v>
      </c>
      <c r="O55" t="s">
        <v>2571</v>
      </c>
      <c r="R55">
        <v>100</v>
      </c>
      <c r="S55" t="s">
        <v>2295</v>
      </c>
      <c r="T55" t="s">
        <v>2572</v>
      </c>
      <c r="U55" t="s">
        <v>2571</v>
      </c>
      <c r="W55" t="s">
        <v>2513</v>
      </c>
      <c r="X55" t="s">
        <v>2573</v>
      </c>
      <c r="Y55" t="s">
        <v>2574</v>
      </c>
    </row>
    <row r="56" spans="12:25">
      <c r="L56" t="s">
        <v>193</v>
      </c>
      <c r="M56" t="s">
        <v>2316</v>
      </c>
      <c r="N56" t="s">
        <v>2575</v>
      </c>
      <c r="O56" t="s">
        <v>2576</v>
      </c>
      <c r="R56">
        <v>100</v>
      </c>
      <c r="S56" t="s">
        <v>2295</v>
      </c>
      <c r="T56" t="s">
        <v>2577</v>
      </c>
      <c r="U56" t="s">
        <v>2576</v>
      </c>
      <c r="W56" t="s">
        <v>2522</v>
      </c>
      <c r="X56" t="s">
        <v>2578</v>
      </c>
      <c r="Y56" t="s">
        <v>2579</v>
      </c>
    </row>
    <row r="57" spans="12:25">
      <c r="L57" t="s">
        <v>194</v>
      </c>
      <c r="M57" t="s">
        <v>2316</v>
      </c>
      <c r="N57" t="s">
        <v>2580</v>
      </c>
      <c r="O57" t="s">
        <v>2581</v>
      </c>
      <c r="R57">
        <v>100</v>
      </c>
      <c r="S57" t="s">
        <v>2295</v>
      </c>
      <c r="T57" t="s">
        <v>2582</v>
      </c>
      <c r="U57" t="s">
        <v>2581</v>
      </c>
      <c r="W57" t="s">
        <v>2524</v>
      </c>
      <c r="X57" t="s">
        <v>2583</v>
      </c>
      <c r="Y57" t="s">
        <v>2584</v>
      </c>
    </row>
    <row r="58" spans="12:25">
      <c r="L58" t="s">
        <v>190</v>
      </c>
      <c r="M58" t="s">
        <v>515</v>
      </c>
      <c r="N58" t="s">
        <v>2585</v>
      </c>
      <c r="O58" t="s">
        <v>2585</v>
      </c>
      <c r="R58">
        <v>100</v>
      </c>
      <c r="S58" t="s">
        <v>2295</v>
      </c>
      <c r="T58" t="s">
        <v>2586</v>
      </c>
      <c r="U58" t="s">
        <v>2587</v>
      </c>
      <c r="W58" t="s">
        <v>2529</v>
      </c>
      <c r="X58" t="s">
        <v>2588</v>
      </c>
      <c r="Y58" t="s">
        <v>2589</v>
      </c>
    </row>
    <row r="59" spans="12:25">
      <c r="L59" t="s">
        <v>236</v>
      </c>
      <c r="M59" t="s">
        <v>795</v>
      </c>
      <c r="N59" t="s">
        <v>2590</v>
      </c>
      <c r="O59" t="s">
        <v>2591</v>
      </c>
      <c r="R59">
        <v>100</v>
      </c>
      <c r="S59" t="s">
        <v>2295</v>
      </c>
      <c r="T59" t="s">
        <v>2592</v>
      </c>
      <c r="U59" t="s">
        <v>2593</v>
      </c>
      <c r="W59" t="s">
        <v>2533</v>
      </c>
      <c r="X59" t="s">
        <v>2594</v>
      </c>
      <c r="Y59" t="s">
        <v>2595</v>
      </c>
    </row>
    <row r="60" spans="12:25">
      <c r="L60" t="s">
        <v>211</v>
      </c>
      <c r="M60" t="s">
        <v>515</v>
      </c>
      <c r="N60" t="s">
        <v>2596</v>
      </c>
      <c r="O60" t="s">
        <v>2597</v>
      </c>
      <c r="R60">
        <v>100</v>
      </c>
      <c r="S60" t="s">
        <v>2295</v>
      </c>
      <c r="T60" t="s">
        <v>2598</v>
      </c>
      <c r="U60" t="s">
        <v>2599</v>
      </c>
      <c r="W60" t="s">
        <v>2536</v>
      </c>
      <c r="X60" t="s">
        <v>2600</v>
      </c>
      <c r="Y60" t="s">
        <v>2601</v>
      </c>
    </row>
    <row r="61" spans="12:25">
      <c r="L61" t="s">
        <v>212</v>
      </c>
      <c r="M61" t="s">
        <v>1468</v>
      </c>
      <c r="N61" t="s">
        <v>2602</v>
      </c>
      <c r="O61" t="s">
        <v>2603</v>
      </c>
      <c r="R61">
        <v>100</v>
      </c>
      <c r="S61" t="s">
        <v>2295</v>
      </c>
      <c r="T61" t="s">
        <v>2603</v>
      </c>
      <c r="U61" t="s">
        <v>2603</v>
      </c>
      <c r="W61" t="e">
        <v>#REF!</v>
      </c>
      <c r="X61" t="e">
        <v>#REF!</v>
      </c>
      <c r="Y61" t="e">
        <v>#REF!</v>
      </c>
    </row>
    <row r="62" spans="12:25">
      <c r="L62" t="s">
        <v>213</v>
      </c>
      <c r="M62" t="s">
        <v>515</v>
      </c>
      <c r="N62" t="s">
        <v>2604</v>
      </c>
      <c r="O62" t="s">
        <v>2605</v>
      </c>
      <c r="R62">
        <v>100</v>
      </c>
      <c r="S62" t="s">
        <v>2295</v>
      </c>
      <c r="T62" t="s">
        <v>2605</v>
      </c>
      <c r="U62" t="s">
        <v>2605</v>
      </c>
      <c r="W62" t="s">
        <v>2539</v>
      </c>
      <c r="X62" t="s">
        <v>2606</v>
      </c>
      <c r="Y62" t="s">
        <v>2607</v>
      </c>
    </row>
    <row r="63" spans="12:25">
      <c r="L63" t="s">
        <v>171</v>
      </c>
      <c r="M63" t="s">
        <v>425</v>
      </c>
      <c r="N63" t="s">
        <v>2608</v>
      </c>
      <c r="O63" t="s">
        <v>2608</v>
      </c>
      <c r="R63">
        <v>100</v>
      </c>
      <c r="S63" t="s">
        <v>2295</v>
      </c>
      <c r="T63" t="s">
        <v>2609</v>
      </c>
      <c r="U63" t="s">
        <v>2608</v>
      </c>
      <c r="W63" t="s">
        <v>2545</v>
      </c>
      <c r="X63" t="s">
        <v>2610</v>
      </c>
      <c r="Y63" t="s">
        <v>2611</v>
      </c>
    </row>
    <row r="64" spans="12:25">
      <c r="L64" t="s">
        <v>172</v>
      </c>
      <c r="M64" t="s">
        <v>425</v>
      </c>
      <c r="N64" t="s">
        <v>2612</v>
      </c>
      <c r="O64" t="s">
        <v>2612</v>
      </c>
      <c r="R64">
        <v>100</v>
      </c>
      <c r="S64" t="s">
        <v>2295</v>
      </c>
      <c r="T64" t="s">
        <v>2613</v>
      </c>
      <c r="U64" t="s">
        <v>2612</v>
      </c>
      <c r="W64" t="s">
        <v>2548</v>
      </c>
      <c r="X64">
        <v>0</v>
      </c>
      <c r="Y64" t="s">
        <v>2614</v>
      </c>
    </row>
    <row r="65" spans="12:25">
      <c r="L65" t="s">
        <v>148</v>
      </c>
      <c r="M65" t="s">
        <v>761</v>
      </c>
      <c r="N65" t="s">
        <v>2615</v>
      </c>
      <c r="O65" t="s">
        <v>2615</v>
      </c>
      <c r="R65">
        <v>100</v>
      </c>
      <c r="S65" t="s">
        <v>2295</v>
      </c>
      <c r="T65" t="s">
        <v>2615</v>
      </c>
      <c r="U65" t="s">
        <v>2615</v>
      </c>
      <c r="W65" t="s">
        <v>2552</v>
      </c>
      <c r="X65" t="s">
        <v>2616</v>
      </c>
      <c r="Y65" t="s">
        <v>2617</v>
      </c>
    </row>
    <row r="66" spans="12:25">
      <c r="L66" t="s">
        <v>173</v>
      </c>
      <c r="M66" t="s">
        <v>425</v>
      </c>
      <c r="N66" t="s">
        <v>2618</v>
      </c>
      <c r="O66" t="s">
        <v>2618</v>
      </c>
      <c r="R66">
        <v>100</v>
      </c>
      <c r="S66" t="s">
        <v>2295</v>
      </c>
      <c r="T66" t="s">
        <v>2619</v>
      </c>
      <c r="U66" t="s">
        <v>2618</v>
      </c>
      <c r="W66" t="s">
        <v>2555</v>
      </c>
      <c r="X66">
        <v>0</v>
      </c>
      <c r="Y66" t="s">
        <v>2620</v>
      </c>
    </row>
    <row r="67" spans="12:25">
      <c r="L67" t="s">
        <v>199</v>
      </c>
      <c r="M67" t="s">
        <v>2336</v>
      </c>
      <c r="N67" t="s">
        <v>2621</v>
      </c>
      <c r="O67" t="s">
        <v>2622</v>
      </c>
      <c r="R67">
        <v>100</v>
      </c>
      <c r="S67" t="s">
        <v>2295</v>
      </c>
      <c r="T67" t="s">
        <v>2622</v>
      </c>
      <c r="U67" t="s">
        <v>2622</v>
      </c>
      <c r="W67" t="s">
        <v>2559</v>
      </c>
      <c r="X67" t="s">
        <v>2623</v>
      </c>
      <c r="Y67" t="s">
        <v>2624</v>
      </c>
    </row>
    <row r="68" spans="12:25">
      <c r="L68" t="s">
        <v>255</v>
      </c>
      <c r="M68" t="s">
        <v>2306</v>
      </c>
      <c r="N68" t="s">
        <v>2625</v>
      </c>
      <c r="O68" t="s">
        <v>2626</v>
      </c>
      <c r="R68">
        <v>100</v>
      </c>
      <c r="S68" t="s">
        <v>2295</v>
      </c>
      <c r="T68" t="s">
        <v>2627</v>
      </c>
      <c r="U68" t="s">
        <v>2626</v>
      </c>
      <c r="W68" t="s">
        <v>2567</v>
      </c>
      <c r="X68" t="s">
        <v>2628</v>
      </c>
      <c r="Y68" t="s">
        <v>2629</v>
      </c>
    </row>
    <row r="69" spans="12:25">
      <c r="L69" t="s">
        <v>174</v>
      </c>
      <c r="M69" t="s">
        <v>425</v>
      </c>
      <c r="N69" t="s">
        <v>2630</v>
      </c>
      <c r="O69" t="s">
        <v>2631</v>
      </c>
      <c r="R69">
        <v>100</v>
      </c>
      <c r="S69" t="s">
        <v>2295</v>
      </c>
      <c r="T69" t="s">
        <v>2632</v>
      </c>
      <c r="U69" t="s">
        <v>2633</v>
      </c>
      <c r="W69" t="s">
        <v>2572</v>
      </c>
      <c r="X69" t="s">
        <v>2634</v>
      </c>
      <c r="Y69" t="s">
        <v>2635</v>
      </c>
    </row>
    <row r="70" spans="12:25">
      <c r="L70" t="s">
        <v>247</v>
      </c>
      <c r="M70" t="s">
        <v>974</v>
      </c>
      <c r="N70" t="s">
        <v>2636</v>
      </c>
      <c r="O70" t="s">
        <v>2637</v>
      </c>
      <c r="R70">
        <v>104</v>
      </c>
      <c r="S70" t="s">
        <v>2295</v>
      </c>
      <c r="T70" t="s">
        <v>2638</v>
      </c>
      <c r="U70" t="s">
        <v>2637</v>
      </c>
      <c r="W70" t="s">
        <v>2577</v>
      </c>
      <c r="X70" t="s">
        <v>2639</v>
      </c>
      <c r="Y70" t="s">
        <v>2640</v>
      </c>
    </row>
    <row r="71" spans="12:25">
      <c r="L71" t="s">
        <v>256</v>
      </c>
      <c r="M71" t="s">
        <v>2306</v>
      </c>
      <c r="N71" t="s">
        <v>2641</v>
      </c>
      <c r="O71" t="s">
        <v>2641</v>
      </c>
      <c r="R71">
        <v>100</v>
      </c>
      <c r="S71" t="s">
        <v>2295</v>
      </c>
      <c r="T71" t="s">
        <v>2642</v>
      </c>
      <c r="U71" t="s">
        <v>2641</v>
      </c>
      <c r="W71" t="s">
        <v>2582</v>
      </c>
      <c r="X71" t="s">
        <v>2643</v>
      </c>
      <c r="Y71" t="s">
        <v>2644</v>
      </c>
    </row>
    <row r="72" spans="12:25">
      <c r="L72" t="s">
        <v>223</v>
      </c>
      <c r="M72" t="s">
        <v>1296</v>
      </c>
      <c r="N72" t="s">
        <v>2645</v>
      </c>
      <c r="O72" t="s">
        <v>2645</v>
      </c>
      <c r="R72">
        <v>100</v>
      </c>
      <c r="S72" t="s">
        <v>2295</v>
      </c>
      <c r="T72" t="s">
        <v>2646</v>
      </c>
      <c r="U72" t="s">
        <v>2645</v>
      </c>
      <c r="W72" t="s">
        <v>2592</v>
      </c>
      <c r="X72" t="s">
        <v>2647</v>
      </c>
      <c r="Y72" t="s">
        <v>2648</v>
      </c>
    </row>
    <row r="73" spans="12:25">
      <c r="L73" t="s">
        <v>161</v>
      </c>
      <c r="M73" t="s">
        <v>761</v>
      </c>
      <c r="N73" t="s">
        <v>2649</v>
      </c>
      <c r="O73" t="s">
        <v>2649</v>
      </c>
      <c r="R73">
        <v>100</v>
      </c>
      <c r="S73" t="s">
        <v>2295</v>
      </c>
      <c r="T73" t="s">
        <v>2649</v>
      </c>
      <c r="U73" t="s">
        <v>2649</v>
      </c>
      <c r="W73" t="e">
        <v>#REF!</v>
      </c>
      <c r="X73" t="e">
        <v>#REF!</v>
      </c>
      <c r="Y73" t="e">
        <v>#REF!</v>
      </c>
    </row>
    <row r="74" spans="12:25">
      <c r="L74" t="s">
        <v>175</v>
      </c>
      <c r="M74" t="s">
        <v>425</v>
      </c>
      <c r="N74" t="s">
        <v>2650</v>
      </c>
      <c r="O74" t="s">
        <v>2650</v>
      </c>
      <c r="R74">
        <v>100</v>
      </c>
      <c r="S74" t="s">
        <v>2295</v>
      </c>
      <c r="T74" t="s">
        <v>2650</v>
      </c>
      <c r="U74" t="s">
        <v>2650</v>
      </c>
      <c r="W74" t="s">
        <v>2598</v>
      </c>
      <c r="X74" t="s">
        <v>2651</v>
      </c>
      <c r="Y74" t="s">
        <v>2652</v>
      </c>
    </row>
    <row r="75" spans="12:25">
      <c r="L75" t="s">
        <v>200</v>
      </c>
      <c r="M75" t="s">
        <v>2336</v>
      </c>
      <c r="N75" t="s">
        <v>2653</v>
      </c>
      <c r="O75" t="s">
        <v>2653</v>
      </c>
      <c r="R75">
        <v>100</v>
      </c>
      <c r="S75" t="s">
        <v>2295</v>
      </c>
      <c r="T75" t="s">
        <v>2653</v>
      </c>
      <c r="U75" t="s">
        <v>2653</v>
      </c>
      <c r="W75" t="s">
        <v>2603</v>
      </c>
      <c r="X75">
        <v>0</v>
      </c>
      <c r="Y75" t="s">
        <v>2654</v>
      </c>
    </row>
    <row r="76" spans="12:25">
      <c r="L76" t="s">
        <v>224</v>
      </c>
      <c r="M76" t="s">
        <v>1296</v>
      </c>
      <c r="N76" t="s">
        <v>2655</v>
      </c>
      <c r="O76" t="s">
        <v>2655</v>
      </c>
      <c r="R76">
        <v>100</v>
      </c>
      <c r="S76" t="s">
        <v>2295</v>
      </c>
      <c r="T76" t="s">
        <v>2656</v>
      </c>
      <c r="U76" t="s">
        <v>2655</v>
      </c>
      <c r="W76" t="s">
        <v>2605</v>
      </c>
      <c r="X76">
        <v>0</v>
      </c>
      <c r="Y76" t="s">
        <v>2657</v>
      </c>
    </row>
    <row r="77" spans="12:25">
      <c r="L77" t="s">
        <v>162</v>
      </c>
      <c r="M77" t="s">
        <v>761</v>
      </c>
      <c r="N77" t="s">
        <v>2658</v>
      </c>
      <c r="O77" t="s">
        <v>2659</v>
      </c>
      <c r="R77">
        <v>99</v>
      </c>
      <c r="S77" t="s">
        <v>2295</v>
      </c>
      <c r="T77" t="s">
        <v>2660</v>
      </c>
      <c r="U77" t="s">
        <v>2660</v>
      </c>
      <c r="W77" t="s">
        <v>2609</v>
      </c>
      <c r="X77" t="s">
        <v>2661</v>
      </c>
      <c r="Y77" t="s">
        <v>2662</v>
      </c>
    </row>
    <row r="78" spans="12:25">
      <c r="L78" t="s">
        <v>2663</v>
      </c>
      <c r="M78" t="s">
        <v>795</v>
      </c>
      <c r="N78" t="s">
        <v>2664</v>
      </c>
      <c r="O78" t="s">
        <v>2665</v>
      </c>
      <c r="R78">
        <v>100</v>
      </c>
      <c r="S78" t="s">
        <v>2295</v>
      </c>
      <c r="T78" t="s">
        <v>2666</v>
      </c>
      <c r="U78" t="s">
        <v>2665</v>
      </c>
      <c r="W78" t="s">
        <v>2613</v>
      </c>
      <c r="X78" t="s">
        <v>2667</v>
      </c>
      <c r="Y78" t="s">
        <v>2668</v>
      </c>
    </row>
    <row r="79" spans="12:25">
      <c r="L79" t="s">
        <v>2669</v>
      </c>
      <c r="M79" t="s">
        <v>795</v>
      </c>
      <c r="N79" t="s">
        <v>2670</v>
      </c>
      <c r="O79" t="s">
        <v>2670</v>
      </c>
      <c r="R79">
        <v>100</v>
      </c>
      <c r="S79" t="s">
        <v>2295</v>
      </c>
      <c r="T79" t="s">
        <v>2671</v>
      </c>
      <c r="U79" t="s">
        <v>2670</v>
      </c>
      <c r="W79" t="s">
        <v>2615</v>
      </c>
      <c r="X79">
        <v>0</v>
      </c>
      <c r="Y79" t="s">
        <v>2672</v>
      </c>
    </row>
    <row r="80" spans="12:25">
      <c r="L80" t="s">
        <v>176</v>
      </c>
      <c r="M80" t="s">
        <v>425</v>
      </c>
      <c r="N80" t="s">
        <v>2673</v>
      </c>
      <c r="O80" t="s">
        <v>2674</v>
      </c>
      <c r="R80">
        <v>100</v>
      </c>
      <c r="S80" t="s">
        <v>2295</v>
      </c>
      <c r="T80" t="s">
        <v>2675</v>
      </c>
      <c r="U80" t="s">
        <v>2674</v>
      </c>
    </row>
    <row r="81" spans="12:21">
      <c r="L81" t="s">
        <v>225</v>
      </c>
      <c r="M81" t="s">
        <v>1296</v>
      </c>
      <c r="N81" t="s">
        <v>2676</v>
      </c>
      <c r="O81" t="s">
        <v>2676</v>
      </c>
      <c r="R81">
        <v>100</v>
      </c>
      <c r="S81" t="s">
        <v>2295</v>
      </c>
      <c r="T81" t="s">
        <v>2677</v>
      </c>
      <c r="U81" t="s">
        <v>2676</v>
      </c>
    </row>
    <row r="82" spans="12:21">
      <c r="L82" t="s">
        <v>257</v>
      </c>
      <c r="M82" t="s">
        <v>2306</v>
      </c>
      <c r="N82" t="s">
        <v>2678</v>
      </c>
      <c r="O82" t="s">
        <v>2679</v>
      </c>
      <c r="P82" t="s">
        <v>2680</v>
      </c>
      <c r="R82">
        <v>88</v>
      </c>
      <c r="S82" t="s">
        <v>2681</v>
      </c>
      <c r="T82" t="s">
        <v>2682</v>
      </c>
      <c r="U82" t="s">
        <v>2679</v>
      </c>
    </row>
    <row r="83" spans="12:21">
      <c r="L83" t="s">
        <v>2683</v>
      </c>
      <c r="M83" t="s">
        <v>795</v>
      </c>
      <c r="N83" t="s">
        <v>2684</v>
      </c>
      <c r="O83" t="s">
        <v>2685</v>
      </c>
      <c r="R83">
        <v>99</v>
      </c>
      <c r="S83" t="s">
        <v>2295</v>
      </c>
      <c r="T83" t="s">
        <v>2686</v>
      </c>
      <c r="U83" t="s">
        <v>2685</v>
      </c>
    </row>
    <row r="84" spans="12:21">
      <c r="L84" t="s">
        <v>248</v>
      </c>
      <c r="M84" t="s">
        <v>974</v>
      </c>
      <c r="N84" t="s">
        <v>2687</v>
      </c>
      <c r="O84" t="s">
        <v>2688</v>
      </c>
      <c r="P84" t="s">
        <v>2689</v>
      </c>
      <c r="R84">
        <v>91</v>
      </c>
      <c r="S84" t="s">
        <v>2690</v>
      </c>
      <c r="T84" t="s">
        <v>2691</v>
      </c>
      <c r="U84" t="s">
        <v>2692</v>
      </c>
    </row>
    <row r="85" spans="12:21">
      <c r="L85" t="s">
        <v>226</v>
      </c>
      <c r="M85" t="s">
        <v>1296</v>
      </c>
      <c r="N85" t="s">
        <v>2693</v>
      </c>
      <c r="O85" t="s">
        <v>2694</v>
      </c>
      <c r="R85">
        <v>100</v>
      </c>
      <c r="S85" t="s">
        <v>2295</v>
      </c>
      <c r="T85" t="s">
        <v>2695</v>
      </c>
      <c r="U85" t="s">
        <v>2694</v>
      </c>
    </row>
    <row r="86" spans="12:21">
      <c r="L86" t="s">
        <v>214</v>
      </c>
      <c r="M86" t="s">
        <v>1468</v>
      </c>
      <c r="N86" t="s">
        <v>2696</v>
      </c>
      <c r="O86" t="s">
        <v>2696</v>
      </c>
      <c r="R86">
        <v>100</v>
      </c>
      <c r="S86" t="s">
        <v>2295</v>
      </c>
      <c r="T86" t="s">
        <v>2696</v>
      </c>
      <c r="U86" t="s">
        <v>2696</v>
      </c>
    </row>
    <row r="87" spans="12:21">
      <c r="L87" t="s">
        <v>249</v>
      </c>
      <c r="M87" t="s">
        <v>974</v>
      </c>
      <c r="N87" t="s">
        <v>2697</v>
      </c>
      <c r="O87" t="s">
        <v>2698</v>
      </c>
      <c r="P87" t="s">
        <v>2699</v>
      </c>
      <c r="Q87">
        <v>584</v>
      </c>
      <c r="R87">
        <v>74</v>
      </c>
      <c r="S87" t="s">
        <v>2700</v>
      </c>
      <c r="T87" t="s">
        <v>2701</v>
      </c>
      <c r="U87" t="s">
        <v>2698</v>
      </c>
    </row>
    <row r="88" spans="12:21">
      <c r="L88" t="s">
        <v>238</v>
      </c>
      <c r="M88" t="s">
        <v>795</v>
      </c>
      <c r="N88" t="s">
        <v>2702</v>
      </c>
      <c r="O88" t="s">
        <v>2703</v>
      </c>
      <c r="P88" t="s">
        <v>2704</v>
      </c>
      <c r="Q88">
        <v>760</v>
      </c>
      <c r="R88">
        <v>91</v>
      </c>
      <c r="S88" t="s">
        <v>2705</v>
      </c>
      <c r="T88" t="s">
        <v>2706</v>
      </c>
      <c r="U88" t="s">
        <v>2707</v>
      </c>
    </row>
    <row r="89" spans="12:21">
      <c r="L89" t="s">
        <v>177</v>
      </c>
      <c r="M89" t="s">
        <v>425</v>
      </c>
      <c r="N89" t="s">
        <v>2708</v>
      </c>
      <c r="O89" t="s">
        <v>2709</v>
      </c>
      <c r="R89">
        <v>100</v>
      </c>
      <c r="S89" t="s">
        <v>2295</v>
      </c>
      <c r="T89" t="s">
        <v>2709</v>
      </c>
      <c r="U89" t="s">
        <v>2709</v>
      </c>
    </row>
    <row r="90" spans="12:21">
      <c r="L90" t="s">
        <v>227</v>
      </c>
      <c r="M90" t="s">
        <v>1296</v>
      </c>
      <c r="N90" t="s">
        <v>2710</v>
      </c>
      <c r="O90" t="s">
        <v>2711</v>
      </c>
      <c r="R90">
        <v>100</v>
      </c>
      <c r="S90" t="s">
        <v>2295</v>
      </c>
      <c r="T90" t="s">
        <v>2712</v>
      </c>
      <c r="U90" t="s">
        <v>2711</v>
      </c>
    </row>
    <row r="91" spans="12:21">
      <c r="L91" t="s">
        <v>239</v>
      </c>
      <c r="M91" t="s">
        <v>761</v>
      </c>
      <c r="N91" t="s">
        <v>2713</v>
      </c>
      <c r="O91" t="s">
        <v>2714</v>
      </c>
      <c r="R91">
        <v>100</v>
      </c>
      <c r="S91" t="s">
        <v>2295</v>
      </c>
      <c r="T91" t="s">
        <v>2715</v>
      </c>
      <c r="U91" t="s">
        <v>2716</v>
      </c>
    </row>
    <row r="92" spans="12:21">
      <c r="L92" t="s">
        <v>178</v>
      </c>
      <c r="M92" t="s">
        <v>425</v>
      </c>
      <c r="N92" t="s">
        <v>2717</v>
      </c>
      <c r="O92" t="s">
        <v>2717</v>
      </c>
      <c r="R92">
        <v>100</v>
      </c>
      <c r="S92" t="s">
        <v>2295</v>
      </c>
      <c r="T92" t="s">
        <v>2717</v>
      </c>
      <c r="U92" t="s">
        <v>2717</v>
      </c>
    </row>
    <row r="93" spans="12:21">
      <c r="L93" t="s">
        <v>149</v>
      </c>
      <c r="M93" t="s">
        <v>871</v>
      </c>
      <c r="N93" t="s">
        <v>2718</v>
      </c>
      <c r="O93" t="s">
        <v>2719</v>
      </c>
      <c r="R93">
        <v>100</v>
      </c>
      <c r="S93" t="s">
        <v>2295</v>
      </c>
      <c r="T93" t="s">
        <v>2719</v>
      </c>
      <c r="U93" t="s">
        <v>2719</v>
      </c>
    </row>
    <row r="94" spans="12:21">
      <c r="L94" t="s">
        <v>164</v>
      </c>
      <c r="M94" t="s">
        <v>761</v>
      </c>
      <c r="N94" t="s">
        <v>2720</v>
      </c>
      <c r="O94" t="s">
        <v>2721</v>
      </c>
      <c r="R94">
        <v>100</v>
      </c>
      <c r="S94" t="s">
        <v>2295</v>
      </c>
      <c r="T94" t="s">
        <v>2722</v>
      </c>
      <c r="U94" t="s">
        <v>2721</v>
      </c>
    </row>
    <row r="95" spans="12:21">
      <c r="L95" t="s">
        <v>240</v>
      </c>
      <c r="M95" t="s">
        <v>795</v>
      </c>
      <c r="N95" t="s">
        <v>2723</v>
      </c>
      <c r="O95" t="s">
        <v>2724</v>
      </c>
      <c r="P95" t="s">
        <v>2725</v>
      </c>
      <c r="Q95">
        <v>0</v>
      </c>
      <c r="R95">
        <v>91</v>
      </c>
      <c r="S95" t="s">
        <v>2726</v>
      </c>
      <c r="T95" t="s">
        <v>2727</v>
      </c>
      <c r="U95" t="s">
        <v>2728</v>
      </c>
    </row>
    <row r="96" spans="12:21">
      <c r="L96" t="s">
        <v>150</v>
      </c>
      <c r="M96" t="s">
        <v>2336</v>
      </c>
      <c r="N96" t="s">
        <v>2729</v>
      </c>
      <c r="O96" t="s">
        <v>2730</v>
      </c>
      <c r="P96" t="s">
        <v>2731</v>
      </c>
      <c r="R96">
        <v>96</v>
      </c>
      <c r="S96" t="s">
        <v>2412</v>
      </c>
      <c r="T96" t="s">
        <v>2732</v>
      </c>
      <c r="U96" t="s">
        <v>2730</v>
      </c>
    </row>
    <row r="97" spans="12:25">
      <c r="L97" t="s">
        <v>250</v>
      </c>
      <c r="M97" t="s">
        <v>974</v>
      </c>
      <c r="N97" t="s">
        <v>2733</v>
      </c>
      <c r="O97" t="s">
        <v>2734</v>
      </c>
      <c r="R97">
        <v>99</v>
      </c>
      <c r="S97" t="s">
        <v>2295</v>
      </c>
      <c r="T97" t="s">
        <v>2735</v>
      </c>
      <c r="U97" t="s">
        <v>2734</v>
      </c>
    </row>
    <row r="98" spans="12:25">
      <c r="L98" t="s">
        <v>251</v>
      </c>
      <c r="M98" t="s">
        <v>974</v>
      </c>
      <c r="N98" t="s">
        <v>2736</v>
      </c>
      <c r="O98" t="s">
        <v>2737</v>
      </c>
      <c r="R98">
        <v>98</v>
      </c>
      <c r="S98" t="s">
        <v>2295</v>
      </c>
      <c r="T98" t="s">
        <v>2738</v>
      </c>
      <c r="U98" t="s">
        <v>2737</v>
      </c>
    </row>
    <row r="99" spans="12:25">
      <c r="L99" t="s">
        <v>195</v>
      </c>
      <c r="M99" t="s">
        <v>2316</v>
      </c>
      <c r="N99" t="s">
        <v>2739</v>
      </c>
      <c r="O99" t="s">
        <v>2740</v>
      </c>
      <c r="R99">
        <v>100</v>
      </c>
      <c r="S99" t="s">
        <v>2295</v>
      </c>
      <c r="T99" t="s">
        <v>2741</v>
      </c>
      <c r="U99" t="s">
        <v>2740</v>
      </c>
    </row>
    <row r="100" spans="12:25">
      <c r="L100" t="s">
        <v>196</v>
      </c>
      <c r="M100" t="s">
        <v>2316</v>
      </c>
      <c r="N100" t="s">
        <v>2742</v>
      </c>
      <c r="O100" t="s">
        <v>2743</v>
      </c>
      <c r="R100">
        <v>99</v>
      </c>
      <c r="S100" t="s">
        <v>2295</v>
      </c>
      <c r="T100" t="s">
        <v>2744</v>
      </c>
      <c r="U100" t="s">
        <v>2743</v>
      </c>
    </row>
    <row r="101" spans="12:25">
      <c r="L101" t="s">
        <v>258</v>
      </c>
      <c r="M101" t="s">
        <v>2306</v>
      </c>
      <c r="N101" t="s">
        <v>2745</v>
      </c>
      <c r="O101" t="s">
        <v>2746</v>
      </c>
      <c r="R101">
        <v>100</v>
      </c>
      <c r="S101" t="s">
        <v>2295</v>
      </c>
      <c r="T101" t="s">
        <v>2746</v>
      </c>
      <c r="U101" t="s">
        <v>2746</v>
      </c>
    </row>
    <row r="102" spans="12:25">
      <c r="L102" t="s">
        <v>2747</v>
      </c>
      <c r="M102" t="s">
        <v>2336</v>
      </c>
      <c r="N102" t="s">
        <v>2748</v>
      </c>
      <c r="O102" t="s">
        <v>2748</v>
      </c>
      <c r="R102">
        <v>100</v>
      </c>
      <c r="S102" t="s">
        <v>2295</v>
      </c>
      <c r="T102" t="s">
        <v>2748</v>
      </c>
      <c r="U102" t="s">
        <v>2748</v>
      </c>
    </row>
    <row r="103" spans="12:25">
      <c r="L103" t="s">
        <v>197</v>
      </c>
      <c r="M103" t="s">
        <v>2316</v>
      </c>
      <c r="N103" t="s">
        <v>2749</v>
      </c>
      <c r="O103" t="s">
        <v>2750</v>
      </c>
      <c r="R103">
        <v>101</v>
      </c>
      <c r="S103" t="s">
        <v>2295</v>
      </c>
      <c r="T103" t="s">
        <v>2751</v>
      </c>
      <c r="U103" t="s">
        <v>2750</v>
      </c>
    </row>
    <row r="104" spans="12:25">
      <c r="L104" t="s">
        <v>215</v>
      </c>
      <c r="M104" t="s">
        <v>1468</v>
      </c>
      <c r="N104" t="s">
        <v>2752</v>
      </c>
      <c r="O104" t="s">
        <v>2752</v>
      </c>
      <c r="R104">
        <v>100</v>
      </c>
      <c r="S104" t="s">
        <v>2295</v>
      </c>
      <c r="T104" t="s">
        <v>2752</v>
      </c>
      <c r="U104" t="s">
        <v>2752</v>
      </c>
    </row>
    <row r="105" spans="12:25">
      <c r="L105" t="s">
        <v>2753</v>
      </c>
      <c r="M105" t="s">
        <v>974</v>
      </c>
      <c r="N105" t="s">
        <v>2754</v>
      </c>
      <c r="O105" t="s">
        <v>2755</v>
      </c>
      <c r="R105">
        <v>65</v>
      </c>
      <c r="S105" t="s">
        <v>2295</v>
      </c>
      <c r="T105" t="s">
        <v>2756</v>
      </c>
      <c r="U105" t="s">
        <v>2757</v>
      </c>
    </row>
    <row r="106" spans="12:25">
      <c r="L106" t="s">
        <v>89</v>
      </c>
      <c r="N106" t="s">
        <v>2758</v>
      </c>
      <c r="O106" t="s">
        <v>2759</v>
      </c>
      <c r="P106" t="s">
        <v>2760</v>
      </c>
      <c r="Q106" t="s">
        <v>2761</v>
      </c>
      <c r="R106">
        <v>98</v>
      </c>
      <c r="S106" t="s">
        <v>2397</v>
      </c>
      <c r="T106" t="s">
        <v>2762</v>
      </c>
      <c r="U106" t="s">
        <v>2763</v>
      </c>
      <c r="V106">
        <v>0</v>
      </c>
    </row>
    <row r="110" spans="12:25">
      <c r="W110" t="e">
        <v>#REF!</v>
      </c>
      <c r="X110" t="e">
        <v>#REF!</v>
      </c>
      <c r="Y110" t="e">
        <v>#REF!</v>
      </c>
    </row>
    <row r="114" spans="23:25">
      <c r="W114" t="e">
        <v>#REF!</v>
      </c>
      <c r="X114" t="e">
        <v>#REF!</v>
      </c>
      <c r="Y114" t="e">
        <v>#REF!</v>
      </c>
    </row>
    <row r="120" spans="23:25">
      <c r="W120" t="s">
        <v>2762</v>
      </c>
      <c r="X120" t="s">
        <v>2764</v>
      </c>
      <c r="Y120" t="s">
        <v>2765</v>
      </c>
    </row>
    <row r="121" spans="23:25">
      <c r="W121" t="e">
        <v>#REF!</v>
      </c>
      <c r="X121" t="e">
        <v>#REF!</v>
      </c>
      <c r="Y121" t="e">
        <v>#REF!</v>
      </c>
    </row>
  </sheetData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52"/>
  <sheetViews>
    <sheetView workbookViewId="0">
      <selection activeCell="N19" sqref="N19"/>
    </sheetView>
  </sheetViews>
  <sheetFormatPr defaultColWidth="8.88888888888889" defaultRowHeight="14.4"/>
  <sheetData>
    <row r="1" spans="1:9">
      <c r="A1" t="s">
        <v>2766</v>
      </c>
    </row>
    <row r="2" spans="1:9">
      <c r="A2" t="s">
        <v>110</v>
      </c>
      <c r="B2" t="s">
        <v>2767</v>
      </c>
      <c r="C2" t="s">
        <v>2279</v>
      </c>
      <c r="D2" t="s">
        <v>2768</v>
      </c>
      <c r="E2" t="s">
        <v>2769</v>
      </c>
      <c r="F2" t="s">
        <v>2770</v>
      </c>
      <c r="G2" t="s">
        <v>2771</v>
      </c>
      <c r="H2" t="s">
        <v>2772</v>
      </c>
      <c r="I2" t="s">
        <v>2773</v>
      </c>
    </row>
    <row r="3" spans="1:9">
      <c r="H3" t="s">
        <v>2774</v>
      </c>
      <c r="I3" t="s">
        <v>2761</v>
      </c>
    </row>
    <row r="4" spans="1:9">
      <c r="A4">
        <v>1</v>
      </c>
      <c r="B4" t="s">
        <v>1726</v>
      </c>
      <c r="C4" t="s">
        <v>203</v>
      </c>
      <c r="F4" t="s">
        <v>2775</v>
      </c>
      <c r="G4" s="140" t="s">
        <v>2776</v>
      </c>
      <c r="H4">
        <v>536</v>
      </c>
      <c r="I4">
        <v>500</v>
      </c>
    </row>
    <row r="5" spans="1:9">
      <c r="A5">
        <v>2</v>
      </c>
      <c r="B5" t="s">
        <v>2777</v>
      </c>
      <c r="C5" t="s">
        <v>198</v>
      </c>
      <c r="F5" t="s">
        <v>2778</v>
      </c>
      <c r="G5" t="s">
        <v>2779</v>
      </c>
      <c r="H5" t="s">
        <v>2780</v>
      </c>
      <c r="I5">
        <v>0</v>
      </c>
    </row>
    <row r="6" spans="1:9">
      <c r="A6">
        <v>3</v>
      </c>
      <c r="B6" t="s">
        <v>1139</v>
      </c>
      <c r="C6" t="s">
        <v>140</v>
      </c>
      <c r="F6" t="s">
        <v>2781</v>
      </c>
      <c r="G6" s="140" t="s">
        <v>2782</v>
      </c>
      <c r="H6">
        <v>144</v>
      </c>
      <c r="I6">
        <v>0</v>
      </c>
    </row>
    <row r="7" spans="1:9">
      <c r="A7">
        <v>4</v>
      </c>
      <c r="B7" t="s">
        <v>1776</v>
      </c>
      <c r="C7" t="s">
        <v>229</v>
      </c>
      <c r="D7" s="1">
        <v>46180</v>
      </c>
      <c r="F7" t="s">
        <v>2783</v>
      </c>
      <c r="G7" s="140" t="s">
        <v>2784</v>
      </c>
      <c r="H7">
        <v>632</v>
      </c>
      <c r="I7">
        <v>0</v>
      </c>
    </row>
    <row r="8" spans="1:9">
      <c r="A8">
        <v>5</v>
      </c>
      <c r="B8" t="s">
        <v>826</v>
      </c>
      <c r="C8" t="s">
        <v>229</v>
      </c>
      <c r="D8" t="s">
        <v>2785</v>
      </c>
      <c r="F8" t="s">
        <v>2786</v>
      </c>
      <c r="G8" s="140" t="s">
        <v>2787</v>
      </c>
      <c r="H8">
        <v>936</v>
      </c>
      <c r="I8">
        <v>0</v>
      </c>
    </row>
    <row r="9" spans="1:9">
      <c r="A9">
        <v>6</v>
      </c>
      <c r="B9" t="s">
        <v>1149</v>
      </c>
      <c r="C9" t="s">
        <v>152</v>
      </c>
      <c r="D9" t="s">
        <v>2788</v>
      </c>
      <c r="F9" t="s">
        <v>2789</v>
      </c>
      <c r="G9" t="s">
        <v>2790</v>
      </c>
      <c r="H9">
        <v>940</v>
      </c>
      <c r="I9" t="s">
        <v>907</v>
      </c>
    </row>
    <row r="10" spans="1:9">
      <c r="A10">
        <v>7</v>
      </c>
      <c r="B10" t="s">
        <v>1947</v>
      </c>
      <c r="C10" t="s">
        <v>2791</v>
      </c>
      <c r="D10" t="s">
        <v>2792</v>
      </c>
      <c r="F10" t="s">
        <v>2781</v>
      </c>
      <c r="G10" s="140" t="s">
        <v>2793</v>
      </c>
      <c r="H10">
        <v>104</v>
      </c>
      <c r="I10">
        <v>104</v>
      </c>
    </row>
    <row r="11" spans="1:9">
      <c r="A11">
        <v>8</v>
      </c>
      <c r="B11" t="s">
        <v>2794</v>
      </c>
      <c r="C11" t="s">
        <v>229</v>
      </c>
      <c r="D11" s="1">
        <v>46086</v>
      </c>
      <c r="F11" t="s">
        <v>2778</v>
      </c>
      <c r="G11" s="140" t="s">
        <v>2795</v>
      </c>
      <c r="H11" t="s">
        <v>2796</v>
      </c>
      <c r="I11">
        <v>0</v>
      </c>
    </row>
    <row r="12" spans="1:9">
      <c r="A12">
        <v>9</v>
      </c>
      <c r="B12" t="s">
        <v>2797</v>
      </c>
      <c r="C12" t="s">
        <v>229</v>
      </c>
      <c r="D12" t="s">
        <v>2798</v>
      </c>
      <c r="F12" t="s">
        <v>2799</v>
      </c>
      <c r="G12" t="s">
        <v>2800</v>
      </c>
      <c r="H12" t="s">
        <v>2801</v>
      </c>
      <c r="I12">
        <v>0</v>
      </c>
    </row>
    <row r="13" spans="1:9">
      <c r="A13">
        <v>10</v>
      </c>
      <c r="B13" t="s">
        <v>2802</v>
      </c>
      <c r="C13" t="s">
        <v>252</v>
      </c>
      <c r="F13" t="s">
        <v>2775</v>
      </c>
      <c r="G13" s="140" t="s">
        <v>2803</v>
      </c>
      <c r="H13" t="s">
        <v>1395</v>
      </c>
      <c r="I13">
        <v>0</v>
      </c>
    </row>
    <row r="14" spans="1:9">
      <c r="A14">
        <v>11</v>
      </c>
      <c r="B14" t="s">
        <v>834</v>
      </c>
      <c r="C14" t="s">
        <v>185</v>
      </c>
      <c r="D14" s="1">
        <v>45666</v>
      </c>
      <c r="F14" t="s">
        <v>2778</v>
      </c>
      <c r="G14" s="140" t="s">
        <v>2804</v>
      </c>
      <c r="H14">
        <v>144</v>
      </c>
      <c r="I14">
        <v>0</v>
      </c>
    </row>
    <row r="15" spans="1:9">
      <c r="A15">
        <v>12</v>
      </c>
      <c r="B15" t="s">
        <v>2805</v>
      </c>
      <c r="C15" t="s">
        <v>241</v>
      </c>
      <c r="D15" s="1">
        <v>46024</v>
      </c>
      <c r="F15" t="s">
        <v>2778</v>
      </c>
      <c r="G15" s="140" t="s">
        <v>2806</v>
      </c>
      <c r="H15" t="s">
        <v>2807</v>
      </c>
      <c r="I15">
        <v>0</v>
      </c>
    </row>
    <row r="16" spans="1:9">
      <c r="A16">
        <v>13</v>
      </c>
      <c r="B16" t="s">
        <v>2808</v>
      </c>
      <c r="C16" t="s">
        <v>252</v>
      </c>
      <c r="D16" s="1">
        <v>45659</v>
      </c>
      <c r="F16" t="s">
        <v>2778</v>
      </c>
      <c r="G16" s="140" t="s">
        <v>2809</v>
      </c>
      <c r="H16">
        <v>944</v>
      </c>
      <c r="I16">
        <v>0</v>
      </c>
    </row>
    <row r="17" spans="1:9">
      <c r="A17">
        <v>14</v>
      </c>
      <c r="B17" t="s">
        <v>2810</v>
      </c>
      <c r="C17" t="s">
        <v>241</v>
      </c>
      <c r="D17" s="1">
        <v>45666</v>
      </c>
      <c r="F17" t="s">
        <v>2811</v>
      </c>
      <c r="G17" s="140" t="s">
        <v>2812</v>
      </c>
      <c r="H17">
        <v>584</v>
      </c>
      <c r="I17">
        <v>584</v>
      </c>
    </row>
    <row r="18" spans="1:9">
      <c r="A18">
        <v>15</v>
      </c>
      <c r="B18" t="s">
        <v>2813</v>
      </c>
      <c r="C18" t="s">
        <v>241</v>
      </c>
      <c r="D18" s="1">
        <v>46149</v>
      </c>
      <c r="F18" t="s">
        <v>2814</v>
      </c>
      <c r="G18" t="s">
        <v>2815</v>
      </c>
      <c r="H18">
        <v>560</v>
      </c>
      <c r="I18">
        <v>0</v>
      </c>
    </row>
    <row r="19" spans="1:9">
      <c r="A19">
        <v>16</v>
      </c>
      <c r="B19" t="s">
        <v>2816</v>
      </c>
      <c r="C19" t="s">
        <v>2817</v>
      </c>
      <c r="D19">
        <v>2023</v>
      </c>
      <c r="F19" t="s">
        <v>2818</v>
      </c>
      <c r="G19" s="140" t="s">
        <v>2819</v>
      </c>
      <c r="H19">
        <v>404</v>
      </c>
      <c r="I19">
        <v>0</v>
      </c>
    </row>
    <row r="20" spans="1:9">
      <c r="A20">
        <v>17</v>
      </c>
      <c r="B20" t="s">
        <v>2820</v>
      </c>
      <c r="C20" t="s">
        <v>241</v>
      </c>
      <c r="D20" s="1">
        <v>46180</v>
      </c>
      <c r="F20" t="s">
        <v>2811</v>
      </c>
      <c r="G20" s="140" t="s">
        <v>2821</v>
      </c>
      <c r="H20" t="s">
        <v>2822</v>
      </c>
      <c r="I20">
        <v>0</v>
      </c>
    </row>
    <row r="21" spans="1:9">
      <c r="A21">
        <v>18</v>
      </c>
      <c r="B21" t="s">
        <v>2823</v>
      </c>
      <c r="C21" t="s">
        <v>241</v>
      </c>
      <c r="F21" t="s">
        <v>2778</v>
      </c>
      <c r="G21" s="140" t="s">
        <v>2824</v>
      </c>
      <c r="H21">
        <v>236</v>
      </c>
      <c r="I21">
        <v>0</v>
      </c>
    </row>
    <row r="22" spans="1:9">
      <c r="A22">
        <v>19</v>
      </c>
      <c r="B22" t="s">
        <v>2825</v>
      </c>
      <c r="C22" t="s">
        <v>179</v>
      </c>
      <c r="F22" t="s">
        <v>2778</v>
      </c>
      <c r="H22">
        <v>48</v>
      </c>
      <c r="I22">
        <v>50</v>
      </c>
    </row>
    <row r="23" spans="1:9">
      <c r="A23">
        <v>20</v>
      </c>
      <c r="B23" t="s">
        <v>2826</v>
      </c>
      <c r="C23" t="s">
        <v>229</v>
      </c>
      <c r="H23" t="s">
        <v>2827</v>
      </c>
      <c r="I23">
        <v>760</v>
      </c>
    </row>
    <row r="24" spans="1:9">
      <c r="H24">
        <v>0</v>
      </c>
      <c r="I24">
        <v>0</v>
      </c>
    </row>
    <row r="25" spans="1:9">
      <c r="H25">
        <v>0</v>
      </c>
      <c r="I25">
        <v>0</v>
      </c>
    </row>
    <row r="26" spans="1:9">
      <c r="H26">
        <v>0</v>
      </c>
      <c r="I26">
        <v>0</v>
      </c>
    </row>
    <row r="27" spans="1:9">
      <c r="H27">
        <v>0</v>
      </c>
      <c r="I27">
        <v>0</v>
      </c>
    </row>
    <row r="28" spans="1:9">
      <c r="H28">
        <v>0</v>
      </c>
      <c r="I28">
        <v>0</v>
      </c>
    </row>
    <row r="29" spans="1:9">
      <c r="H29">
        <v>0</v>
      </c>
      <c r="I29">
        <v>0</v>
      </c>
    </row>
    <row r="30" spans="1:9">
      <c r="H30">
        <v>0</v>
      </c>
      <c r="I30">
        <v>0</v>
      </c>
    </row>
    <row r="31" spans="1:9">
      <c r="H31">
        <v>0</v>
      </c>
      <c r="I31">
        <v>0</v>
      </c>
    </row>
    <row r="32" spans="1:9">
      <c r="H32">
        <v>0</v>
      </c>
      <c r="I32">
        <v>0</v>
      </c>
    </row>
    <row r="33" spans="8:9">
      <c r="H33">
        <v>0</v>
      </c>
      <c r="I33">
        <v>0</v>
      </c>
    </row>
    <row r="34" spans="8:9">
      <c r="H34">
        <v>0</v>
      </c>
      <c r="I34">
        <v>0</v>
      </c>
    </row>
    <row r="35" spans="8:9">
      <c r="H35">
        <v>0</v>
      </c>
      <c r="I35">
        <v>0</v>
      </c>
    </row>
    <row r="36" spans="8:9">
      <c r="H36">
        <v>0</v>
      </c>
      <c r="I36">
        <v>0</v>
      </c>
    </row>
    <row r="37" spans="8:9">
      <c r="H37">
        <v>0</v>
      </c>
      <c r="I37">
        <v>0</v>
      </c>
    </row>
    <row r="38" spans="8:9">
      <c r="H38">
        <v>0</v>
      </c>
      <c r="I38">
        <v>0</v>
      </c>
    </row>
    <row r="39" spans="8:9">
      <c r="H39">
        <v>0</v>
      </c>
      <c r="I39">
        <v>0</v>
      </c>
    </row>
    <row r="40" spans="8:9">
      <c r="H40">
        <v>0</v>
      </c>
      <c r="I40">
        <v>0</v>
      </c>
    </row>
    <row r="41" spans="8:9">
      <c r="H41">
        <v>0</v>
      </c>
      <c r="I41">
        <v>0</v>
      </c>
    </row>
    <row r="42" spans="8:9">
      <c r="H42">
        <v>0</v>
      </c>
      <c r="I42">
        <v>0</v>
      </c>
    </row>
    <row r="43" spans="8:9">
      <c r="H43">
        <v>0</v>
      </c>
      <c r="I43">
        <v>0</v>
      </c>
    </row>
    <row r="44" spans="8:9">
      <c r="H44">
        <v>0</v>
      </c>
      <c r="I44">
        <v>0</v>
      </c>
    </row>
    <row r="45" spans="8:9">
      <c r="H45">
        <v>0</v>
      </c>
      <c r="I45">
        <v>0</v>
      </c>
    </row>
    <row r="46" spans="8:9">
      <c r="H46">
        <v>0</v>
      </c>
      <c r="I46">
        <v>0</v>
      </c>
    </row>
    <row r="47" spans="8:9">
      <c r="H47">
        <v>0</v>
      </c>
      <c r="I47">
        <v>0</v>
      </c>
    </row>
    <row r="48" spans="8:9">
      <c r="H48">
        <v>0</v>
      </c>
      <c r="I48">
        <v>0</v>
      </c>
    </row>
    <row r="49" spans="8:9">
      <c r="H49">
        <v>0</v>
      </c>
      <c r="I49">
        <v>0</v>
      </c>
    </row>
    <row r="50" spans="8:9">
      <c r="H50">
        <v>0</v>
      </c>
      <c r="I50">
        <v>0</v>
      </c>
    </row>
    <row r="51" spans="8:9">
      <c r="H51">
        <v>0</v>
      </c>
      <c r="I51">
        <v>0</v>
      </c>
    </row>
    <row r="52" spans="8:9">
      <c r="H52">
        <v>0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tabSelected="1" workbookViewId="0">
      <selection activeCell="C9" sqref="C9"/>
    </sheetView>
  </sheetViews>
  <sheetFormatPr defaultColWidth="8.88888888888889" defaultRowHeight="14.4"/>
  <sheetData/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Báo cáo tháng 6</vt:lpstr>
      <vt:lpstr>Báo cáo kinh doanh Tháng 8</vt:lpstr>
      <vt:lpstr>Bảng lương</vt:lpstr>
      <vt:lpstr>HD</vt:lpstr>
      <vt:lpstr>HD theo tòa</vt:lpstr>
      <vt:lpstr>Cập nhật thu tiền</vt:lpstr>
      <vt:lpstr>DS phòng phá hợp đồng</vt:lpstr>
      <vt:lpstr>Sheet10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2026-09-20T09:28:34Z</dcterms:created>
  <dcterms:modified xsi:type="dcterms:W3CDTF">2026-09-20T09:42:17Z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22CCD3CC7F2F46DC9AD2DDCBEB034E3F_11</vt:lpwstr>
  </property>
  <property fmtid="{D5CDD505-2E9C-101B-9397-08002B2CF9AE}" pid="3" name="KSOProductBuildVer">
    <vt:lpwstr>1033-12.1.0.28485</vt:lpwstr>
  </property>
  <property fmtid="{D5CDD505-2E9C-101B-9397-08002B2CF9AE}" pid="4" name="CalculationRule">
    <vt:i4>1</vt:i4>
  </property>
</Properties>
</file>